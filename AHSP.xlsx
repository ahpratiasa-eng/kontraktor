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wnloads\"/>
    </mc:Choice>
  </mc:AlternateContent>
  <xr:revisionPtr revIDLastSave="0" documentId="13_ncr:1_{4AB37381-51B4-4A8B-B4DC-061167699794}" xr6:coauthVersionLast="47" xr6:coauthVersionMax="47" xr10:uidLastSave="{00000000-0000-0000-0000-000000000000}"/>
  <bookViews>
    <workbookView xWindow="0" yWindow="0" windowWidth="28800" windowHeight="15480" tabRatio="693" firstSheet="11" activeTab="12" xr2:uid="{00000000-000D-0000-FFFF-FFFF00000000}"/>
    <workbookView xWindow="0" yWindow="720" windowWidth="28800" windowHeight="15480" firstSheet="1" activeTab="2" xr2:uid="{3980A512-4067-44AD-B2A6-97F455BEDB1C}"/>
  </bookViews>
  <sheets>
    <sheet name="Daftar Harga Satuan Pekerjaan" sheetId="27" r:id="rId1"/>
    <sheet name="Upah Bahan" sheetId="1" r:id="rId2"/>
    <sheet name="Persiapan" sheetId="2" r:id="rId3"/>
    <sheet name="Galian Tanah" sheetId="3" r:id="rId4"/>
    <sheet name="Timbunan Pemadatan" sheetId="4" r:id="rId5"/>
    <sheet name="Pembongkaran" sheetId="5" r:id="rId6"/>
    <sheet name="Pondasi" sheetId="7" r:id="rId7"/>
    <sheet name="Beton" sheetId="8" r:id="rId8"/>
    <sheet name="Rangka Atap" sheetId="9" r:id="rId9"/>
    <sheet name="Pasangan Dinding" sheetId="10" r:id="rId10"/>
    <sheet name="Penutup Atap" sheetId="11" r:id="rId11"/>
    <sheet name="Plesteran Dan Acian" sheetId="12" r:id="rId12"/>
    <sheet name="Plafon" sheetId="13" r:id="rId13"/>
    <sheet name="Penutup Lantai dan Dinding" sheetId="14" r:id="rId14"/>
    <sheet name="Pintu dan Jendela" sheetId="15" r:id="rId15"/>
    <sheet name="Kaca" sheetId="16" r:id="rId16"/>
    <sheet name="Besi dan Aluminium" sheetId="17" r:id="rId17"/>
    <sheet name="Kayu" sheetId="18" r:id="rId18"/>
    <sheet name="Pengecatan dan Pelituran" sheetId="19" r:id="rId19"/>
    <sheet name="Signage" sheetId="20" r:id="rId20"/>
    <sheet name="Sanitair" sheetId="21" r:id="rId21"/>
    <sheet name="Sistem Air Minum" sheetId="22" r:id="rId22"/>
    <sheet name="Sistem Air Limbah" sheetId="23" r:id="rId23"/>
    <sheet name="Bak Kontrol" sheetId="24" r:id="rId24"/>
    <sheet name="Perpipaan Gedung" sheetId="25" r:id="rId25"/>
    <sheet name="Jaringan Listrik" sheetId="26" r:id="rId26"/>
    <sheet name="Sheet1" sheetId="28" r:id="rId27"/>
  </sheets>
  <externalReferences>
    <externalReference r:id="rId28"/>
    <externalReference r:id="rId29"/>
  </externalReferences>
  <definedNames>
    <definedName name="bakkontrol">'Bak Kontrol'!$C$3:$I$75</definedName>
    <definedName name="besidanaluminium">'Besi dan Aluminium'!$C$3:$I$123</definedName>
    <definedName name="beton">Beton!$C$3:$I$1047</definedName>
    <definedName name="galiantanah">'Galian Tanah'!$C$3:$I$207</definedName>
    <definedName name="jaringanlistrik">'Jaringan Listrik'!$C$3:$I$2296</definedName>
    <definedName name="kaca">Kaca!$C$3:$I$259</definedName>
    <definedName name="kayu">Kayu!$C$3:$I$51</definedName>
    <definedName name="pasangdinding">'Pasangan Dinding'!$C$3:$I$490</definedName>
    <definedName name="pembongkaran">Pembongkaran!$C$3:$I$143</definedName>
    <definedName name="pengecatandanpelitur">'Pengecatan dan Pelituran'!$C$3:$I$464</definedName>
    <definedName name="penutupatap">'Penutup Atap'!$C$3:$I$1004</definedName>
    <definedName name="penutuplantaidandinding">'Penutup Lantai dan Dinding'!$C$3:$I$1771</definedName>
    <definedName name="perpipaangedung">'Perpipaan Gedung'!$C$3:$I$531</definedName>
    <definedName name="persiapan">Persiapan!$C$4:$I$403</definedName>
    <definedName name="pintudanjendela">'Pintu dan Jendela'!$C$3:$I$831</definedName>
    <definedName name="plafon">Plafon!$C$3:$I$243</definedName>
    <definedName name="plesteranacian">'Plesteran Dan Acian'!$C$3:$I$276</definedName>
    <definedName name="pondasi">Pondasi!$C$3:$I$600</definedName>
    <definedName name="rangkaatap">'Rangka Atap'!$C$3:$I$158</definedName>
    <definedName name="sanitair">Sanitair!$C$3:$I$426</definedName>
    <definedName name="signage">Signage!$C$3:$I$68</definedName>
    <definedName name="sistemairlimbah">'Sistem Air Limbah'!$C$3:$I$168</definedName>
    <definedName name="sistemairminum">'Sistem Air Minum'!$C$3:$I$554</definedName>
    <definedName name="TENAGA">'[1]UPAH BAHAN'!$C$6:$C$19</definedName>
    <definedName name="timbunanpemadatan">'Timbunan Pemadatan'!$C$3:$I$105</definedName>
    <definedName name="upahbahan">'Upah Bahan'!$E$9:$G$1217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3" l="1"/>
  <c r="I334" i="28"/>
  <c r="H334" i="28"/>
  <c r="G334" i="28"/>
  <c r="H333" i="28"/>
  <c r="G333" i="28"/>
  <c r="I333" i="28" s="1"/>
  <c r="B333" i="28"/>
  <c r="B334" i="28" s="1"/>
  <c r="H332" i="28"/>
  <c r="G332" i="28"/>
  <c r="I332" i="28" s="1"/>
  <c r="I329" i="28"/>
  <c r="H328" i="28"/>
  <c r="G328" i="28"/>
  <c r="I328" i="28" s="1"/>
  <c r="H327" i="28"/>
  <c r="G327" i="28"/>
  <c r="I327" i="28" s="1"/>
  <c r="H326" i="28"/>
  <c r="G326" i="28"/>
  <c r="I326" i="28" s="1"/>
  <c r="H325" i="28"/>
  <c r="I325" i="28" s="1"/>
  <c r="G325" i="28"/>
  <c r="H324" i="28"/>
  <c r="G324" i="28"/>
  <c r="I324" i="28" s="1"/>
  <c r="I323" i="28"/>
  <c r="H323" i="28"/>
  <c r="G323" i="28"/>
  <c r="H322" i="28"/>
  <c r="G322" i="28"/>
  <c r="I322" i="28" s="1"/>
  <c r="B322" i="28"/>
  <c r="B323" i="28" s="1"/>
  <c r="B324" i="28" s="1"/>
  <c r="B325" i="28" s="1"/>
  <c r="B326" i="28" s="1"/>
  <c r="B327" i="28" s="1"/>
  <c r="B328" i="28" s="1"/>
  <c r="H321" i="28"/>
  <c r="G321" i="28"/>
  <c r="I321" i="28" s="1"/>
  <c r="F321" i="28"/>
  <c r="F322" i="28" s="1"/>
  <c r="H318" i="28"/>
  <c r="G318" i="28"/>
  <c r="I318" i="28" s="1"/>
  <c r="H317" i="28"/>
  <c r="G317" i="28"/>
  <c r="I317" i="28" s="1"/>
  <c r="H316" i="28"/>
  <c r="G316" i="28"/>
  <c r="I316" i="28" s="1"/>
  <c r="H315" i="28"/>
  <c r="G315" i="28"/>
  <c r="I315" i="28" s="1"/>
  <c r="H314" i="28"/>
  <c r="G314" i="28"/>
  <c r="I314" i="28" s="1"/>
  <c r="H313" i="28"/>
  <c r="I313" i="28" s="1"/>
  <c r="H312" i="28"/>
  <c r="G312" i="28"/>
  <c r="I312" i="28" s="1"/>
  <c r="H311" i="28"/>
  <c r="G311" i="28"/>
  <c r="I311" i="28" s="1"/>
  <c r="H310" i="28"/>
  <c r="G310" i="28"/>
  <c r="I310" i="28" s="1"/>
  <c r="H309" i="28"/>
  <c r="G309" i="28"/>
  <c r="I309" i="28" s="1"/>
  <c r="H308" i="28"/>
  <c r="G308" i="28"/>
  <c r="I308" i="28" s="1"/>
  <c r="H307" i="28"/>
  <c r="G307" i="28"/>
  <c r="I307" i="28" s="1"/>
  <c r="H306" i="28"/>
  <c r="G306" i="28"/>
  <c r="I306" i="28" s="1"/>
  <c r="B306" i="28"/>
  <c r="B307" i="28" s="1"/>
  <c r="B308" i="28" s="1"/>
  <c r="B309" i="28" s="1"/>
  <c r="B310" i="28" s="1"/>
  <c r="B311" i="28" s="1"/>
  <c r="B312" i="28" s="1"/>
  <c r="B313" i="28" s="1"/>
  <c r="B314" i="28" s="1"/>
  <c r="B315" i="28" s="1"/>
  <c r="B316" i="28" s="1"/>
  <c r="B317" i="28" s="1"/>
  <c r="B318" i="28" s="1"/>
  <c r="I305" i="28"/>
  <c r="H305" i="28"/>
  <c r="G305" i="28"/>
  <c r="H302" i="28"/>
  <c r="G302" i="28"/>
  <c r="I302" i="28" s="1"/>
  <c r="H301" i="28"/>
  <c r="G301" i="28"/>
  <c r="I301" i="28" s="1"/>
  <c r="H300" i="28"/>
  <c r="G300" i="28"/>
  <c r="I300" i="28" s="1"/>
  <c r="B300" i="28"/>
  <c r="B301" i="28" s="1"/>
  <c r="B302" i="28" s="1"/>
  <c r="I299" i="28"/>
  <c r="H299" i="28"/>
  <c r="G299" i="28"/>
  <c r="B299" i="28"/>
  <c r="I298" i="28"/>
  <c r="H298" i="28"/>
  <c r="G298" i="28"/>
  <c r="H297" i="28"/>
  <c r="G297" i="28"/>
  <c r="I297" i="28" s="1"/>
  <c r="H296" i="28"/>
  <c r="G296" i="28"/>
  <c r="I296" i="28" s="1"/>
  <c r="H295" i="28"/>
  <c r="G295" i="28"/>
  <c r="I295" i="28" s="1"/>
  <c r="H294" i="28"/>
  <c r="G294" i="28"/>
  <c r="I294" i="28" s="1"/>
  <c r="H293" i="28"/>
  <c r="G293" i="28"/>
  <c r="I293" i="28" s="1"/>
  <c r="H292" i="28"/>
  <c r="G292" i="28"/>
  <c r="I292" i="28" s="1"/>
  <c r="H291" i="28"/>
  <c r="G291" i="28"/>
  <c r="I291" i="28" s="1"/>
  <c r="H290" i="28"/>
  <c r="G290" i="28"/>
  <c r="I290" i="28" s="1"/>
  <c r="H289" i="28"/>
  <c r="G289" i="28"/>
  <c r="I289" i="28" s="1"/>
  <c r="B289" i="28"/>
  <c r="B290" i="28" s="1"/>
  <c r="B291" i="28" s="1"/>
  <c r="B292" i="28" s="1"/>
  <c r="B293" i="28" s="1"/>
  <c r="B294" i="28" s="1"/>
  <c r="B295" i="28" s="1"/>
  <c r="B296" i="28" s="1"/>
  <c r="H288" i="28"/>
  <c r="I288" i="28" s="1"/>
  <c r="G288" i="28"/>
  <c r="H285" i="28"/>
  <c r="G285" i="28"/>
  <c r="I285" i="28" s="1"/>
  <c r="I284" i="28"/>
  <c r="H284" i="28"/>
  <c r="G284" i="28"/>
  <c r="H283" i="28"/>
  <c r="G283" i="28"/>
  <c r="I283" i="28" s="1"/>
  <c r="H282" i="28"/>
  <c r="G282" i="28"/>
  <c r="I282" i="28" s="1"/>
  <c r="H281" i="28"/>
  <c r="G281" i="28"/>
  <c r="I281" i="28" s="1"/>
  <c r="H280" i="28"/>
  <c r="G280" i="28"/>
  <c r="I280" i="28" s="1"/>
  <c r="H279" i="28"/>
  <c r="G279" i="28"/>
  <c r="I279" i="28" s="1"/>
  <c r="H278" i="28"/>
  <c r="G278" i="28"/>
  <c r="I278" i="28" s="1"/>
  <c r="H275" i="28"/>
  <c r="G275" i="28"/>
  <c r="I275" i="28" s="1"/>
  <c r="H274" i="28"/>
  <c r="G274" i="28"/>
  <c r="I274" i="28" s="1"/>
  <c r="H273" i="28"/>
  <c r="G273" i="28"/>
  <c r="I273" i="28" s="1"/>
  <c r="H272" i="28"/>
  <c r="G272" i="28"/>
  <c r="I272" i="28" s="1"/>
  <c r="I271" i="28"/>
  <c r="H271" i="28"/>
  <c r="G271" i="28"/>
  <c r="H270" i="28"/>
  <c r="G270" i="28"/>
  <c r="I270" i="28" s="1"/>
  <c r="H269" i="28"/>
  <c r="G269" i="28"/>
  <c r="I269" i="28" s="1"/>
  <c r="G268" i="28"/>
  <c r="I268" i="28" s="1"/>
  <c r="H267" i="28"/>
  <c r="G267" i="28"/>
  <c r="I267" i="28" s="1"/>
  <c r="I264" i="28"/>
  <c r="H263" i="28"/>
  <c r="I263" i="28" s="1"/>
  <c r="G263" i="28"/>
  <c r="H262" i="28"/>
  <c r="I262" i="28" s="1"/>
  <c r="G262" i="28"/>
  <c r="H261" i="28"/>
  <c r="G261" i="28"/>
  <c r="I261" i="28" s="1"/>
  <c r="H260" i="28"/>
  <c r="G260" i="28"/>
  <c r="I260" i="28" s="1"/>
  <c r="H259" i="28"/>
  <c r="G259" i="28"/>
  <c r="I259" i="28" s="1"/>
  <c r="H258" i="28"/>
  <c r="I258" i="28" s="1"/>
  <c r="G258" i="28"/>
  <c r="H257" i="28"/>
  <c r="G257" i="28"/>
  <c r="I257" i="28" s="1"/>
  <c r="H256" i="28"/>
  <c r="G256" i="28"/>
  <c r="I256" i="28" s="1"/>
  <c r="H255" i="28"/>
  <c r="G255" i="28"/>
  <c r="I255" i="28" s="1"/>
  <c r="H254" i="28"/>
  <c r="G254" i="28"/>
  <c r="I254" i="28" s="1"/>
  <c r="H253" i="28"/>
  <c r="G253" i="28"/>
  <c r="I253" i="28" s="1"/>
  <c r="H252" i="28"/>
  <c r="G252" i="28"/>
  <c r="I252" i="28" s="1"/>
  <c r="I249" i="28"/>
  <c r="H249" i="28"/>
  <c r="G249" i="28"/>
  <c r="I248" i="28"/>
  <c r="H247" i="28"/>
  <c r="G247" i="28"/>
  <c r="I247" i="28" s="1"/>
  <c r="H246" i="28"/>
  <c r="G246" i="28"/>
  <c r="I246" i="28" s="1"/>
  <c r="B246" i="28"/>
  <c r="B247" i="28" s="1"/>
  <c r="I245" i="28"/>
  <c r="H245" i="28"/>
  <c r="G245" i="28"/>
  <c r="H244" i="28"/>
  <c r="G244" i="28"/>
  <c r="I244" i="28" s="1"/>
  <c r="H243" i="28"/>
  <c r="G243" i="28"/>
  <c r="I243" i="28" s="1"/>
  <c r="H242" i="28"/>
  <c r="G242" i="28"/>
  <c r="I242" i="28" s="1"/>
  <c r="H241" i="28"/>
  <c r="G241" i="28"/>
  <c r="I241" i="28" s="1"/>
  <c r="H240" i="28"/>
  <c r="I240" i="28" s="1"/>
  <c r="G240" i="28"/>
  <c r="H239" i="28"/>
  <c r="G239" i="28"/>
  <c r="I239" i="28" s="1"/>
  <c r="H238" i="28"/>
  <c r="G238" i="28"/>
  <c r="I238" i="28" s="1"/>
  <c r="B238" i="28"/>
  <c r="B239" i="28" s="1"/>
  <c r="B240" i="28" s="1"/>
  <c r="B241" i="28" s="1"/>
  <c r="B242" i="28" s="1"/>
  <c r="B243" i="28" s="1"/>
  <c r="B244" i="28" s="1"/>
  <c r="H237" i="28"/>
  <c r="I237" i="28" s="1"/>
  <c r="G237" i="28"/>
  <c r="H236" i="28"/>
  <c r="G236" i="28"/>
  <c r="I236" i="28" s="1"/>
  <c r="B236" i="28"/>
  <c r="B237" i="28" s="1"/>
  <c r="H235" i="28"/>
  <c r="G235" i="28"/>
  <c r="I235" i="28" s="1"/>
  <c r="I232" i="28"/>
  <c r="H231" i="28"/>
  <c r="G231" i="28"/>
  <c r="I231" i="28" s="1"/>
  <c r="H230" i="28"/>
  <c r="G230" i="28"/>
  <c r="I230" i="28" s="1"/>
  <c r="H229" i="28"/>
  <c r="I229" i="28" s="1"/>
  <c r="G229" i="28"/>
  <c r="H228" i="28"/>
  <c r="G228" i="28"/>
  <c r="I228" i="28" s="1"/>
  <c r="B228" i="28"/>
  <c r="B229" i="28" s="1"/>
  <c r="B230" i="28" s="1"/>
  <c r="B231" i="28" s="1"/>
  <c r="I227" i="28"/>
  <c r="H227" i="28"/>
  <c r="G227" i="28"/>
  <c r="B227" i="28"/>
  <c r="H226" i="28"/>
  <c r="I226" i="28" s="1"/>
  <c r="G226" i="28"/>
  <c r="H225" i="28"/>
  <c r="G225" i="28"/>
  <c r="I225" i="28" s="1"/>
  <c r="H224" i="28"/>
  <c r="G224" i="28"/>
  <c r="I224" i="28" s="1"/>
  <c r="H223" i="28"/>
  <c r="G223" i="28"/>
  <c r="I223" i="28" s="1"/>
  <c r="B223" i="28"/>
  <c r="B224" i="28" s="1"/>
  <c r="B225" i="28" s="1"/>
  <c r="B226" i="28" s="1"/>
  <c r="H222" i="28"/>
  <c r="G222" i="28"/>
  <c r="I222" i="28" s="1"/>
  <c r="I219" i="28"/>
  <c r="H218" i="28"/>
  <c r="I218" i="28" s="1"/>
  <c r="G218" i="28"/>
  <c r="H217" i="28"/>
  <c r="G217" i="28"/>
  <c r="I217" i="28" s="1"/>
  <c r="H216" i="28"/>
  <c r="G216" i="28"/>
  <c r="I216" i="28" s="1"/>
  <c r="H215" i="28"/>
  <c r="I215" i="28" s="1"/>
  <c r="G215" i="28"/>
  <c r="H214" i="28"/>
  <c r="G214" i="28"/>
  <c r="I214" i="28" s="1"/>
  <c r="H213" i="28"/>
  <c r="G213" i="28"/>
  <c r="I213" i="28" s="1"/>
  <c r="H212" i="28"/>
  <c r="G212" i="28"/>
  <c r="I212" i="28" s="1"/>
  <c r="H211" i="28"/>
  <c r="G211" i="28"/>
  <c r="I211" i="28" s="1"/>
  <c r="H210" i="28"/>
  <c r="I210" i="28" s="1"/>
  <c r="G210" i="28"/>
  <c r="H209" i="28"/>
  <c r="G209" i="28"/>
  <c r="I209" i="28" s="1"/>
  <c r="H208" i="28"/>
  <c r="G208" i="28"/>
  <c r="I208" i="28" s="1"/>
  <c r="H207" i="28"/>
  <c r="I207" i="28" s="1"/>
  <c r="G207" i="28"/>
  <c r="H206" i="28"/>
  <c r="G206" i="28"/>
  <c r="I206" i="28" s="1"/>
  <c r="H205" i="28"/>
  <c r="G205" i="28"/>
  <c r="I205" i="28" s="1"/>
  <c r="H204" i="28"/>
  <c r="G204" i="28"/>
  <c r="I204" i="28" s="1"/>
  <c r="H203" i="28"/>
  <c r="G203" i="28"/>
  <c r="I203" i="28" s="1"/>
  <c r="B203" i="28"/>
  <c r="B204" i="28" s="1"/>
  <c r="B205" i="28" s="1"/>
  <c r="B206" i="28" s="1"/>
  <c r="B207" i="28" s="1"/>
  <c r="B208" i="28" s="1"/>
  <c r="B209" i="28" s="1"/>
  <c r="B210" i="28" s="1"/>
  <c r="B211" i="28" s="1"/>
  <c r="B212" i="28" s="1"/>
  <c r="B213" i="28" s="1"/>
  <c r="B214" i="28" s="1"/>
  <c r="B215" i="28" s="1"/>
  <c r="B216" i="28" s="1"/>
  <c r="B217" i="28" s="1"/>
  <c r="B218" i="28" s="1"/>
  <c r="H202" i="28"/>
  <c r="I202" i="28" s="1"/>
  <c r="G202" i="28"/>
  <c r="H199" i="28"/>
  <c r="G199" i="28"/>
  <c r="I199" i="28" s="1"/>
  <c r="H198" i="28"/>
  <c r="G198" i="28"/>
  <c r="I198" i="28" s="1"/>
  <c r="H197" i="28"/>
  <c r="G197" i="28"/>
  <c r="I197" i="28" s="1"/>
  <c r="I196" i="28"/>
  <c r="H196" i="28"/>
  <c r="G196" i="28"/>
  <c r="H195" i="28"/>
  <c r="G195" i="28"/>
  <c r="I195" i="28" s="1"/>
  <c r="H194" i="28"/>
  <c r="G194" i="28"/>
  <c r="I194" i="28" s="1"/>
  <c r="H193" i="28"/>
  <c r="G193" i="28"/>
  <c r="I193" i="28" s="1"/>
  <c r="H189" i="28"/>
  <c r="G189" i="28"/>
  <c r="I189" i="28" s="1"/>
  <c r="H188" i="28"/>
  <c r="G188" i="28"/>
  <c r="I188" i="28" s="1"/>
  <c r="H187" i="28"/>
  <c r="I187" i="28" s="1"/>
  <c r="G187" i="28"/>
  <c r="H186" i="28"/>
  <c r="G186" i="28"/>
  <c r="I186" i="28" s="1"/>
  <c r="H185" i="28"/>
  <c r="G185" i="28"/>
  <c r="I185" i="28" s="1"/>
  <c r="H184" i="28"/>
  <c r="I184" i="28" s="1"/>
  <c r="G184" i="28"/>
  <c r="H183" i="28"/>
  <c r="G183" i="28"/>
  <c r="I183" i="28" s="1"/>
  <c r="H182" i="28"/>
  <c r="G182" i="28"/>
  <c r="I182" i="28" s="1"/>
  <c r="H181" i="28"/>
  <c r="G181" i="28"/>
  <c r="I181" i="28" s="1"/>
  <c r="H180" i="28"/>
  <c r="G180" i="28"/>
  <c r="I180" i="28" s="1"/>
  <c r="H179" i="28"/>
  <c r="I179" i="28" s="1"/>
  <c r="G179" i="28"/>
  <c r="H178" i="28"/>
  <c r="G178" i="28"/>
  <c r="I178" i="28" s="1"/>
  <c r="H177" i="28"/>
  <c r="G177" i="28"/>
  <c r="I177" i="28" s="1"/>
  <c r="H176" i="28"/>
  <c r="I176" i="28" s="1"/>
  <c r="G176" i="28"/>
  <c r="H175" i="28"/>
  <c r="G175" i="28"/>
  <c r="I175" i="28" s="1"/>
  <c r="H174" i="28"/>
  <c r="G174" i="28"/>
  <c r="I174" i="28" s="1"/>
  <c r="H173" i="28"/>
  <c r="G173" i="28"/>
  <c r="I173" i="28" s="1"/>
  <c r="H172" i="28"/>
  <c r="G172" i="28"/>
  <c r="I172" i="28" s="1"/>
  <c r="H171" i="28"/>
  <c r="I171" i="28" s="1"/>
  <c r="G171" i="28"/>
  <c r="H170" i="28"/>
  <c r="G170" i="28"/>
  <c r="I170" i="28" s="1"/>
  <c r="H169" i="28"/>
  <c r="G169" i="28"/>
  <c r="I169" i="28" s="1"/>
  <c r="H168" i="28"/>
  <c r="I168" i="28" s="1"/>
  <c r="G168" i="28"/>
  <c r="H167" i="28"/>
  <c r="G167" i="28"/>
  <c r="I167" i="28" s="1"/>
  <c r="B167" i="28"/>
  <c r="B168" i="28" s="1"/>
  <c r="B169" i="28" s="1"/>
  <c r="B170" i="28" s="1"/>
  <c r="B171" i="28" s="1"/>
  <c r="B172" i="28" s="1"/>
  <c r="B173" i="28" s="1"/>
  <c r="B174" i="28" s="1"/>
  <c r="B175" i="28" s="1"/>
  <c r="B176" i="28" s="1"/>
  <c r="B177" i="28" s="1"/>
  <c r="B178" i="28" s="1"/>
  <c r="B179" i="28" s="1"/>
  <c r="B180" i="28" s="1"/>
  <c r="B181" i="28" s="1"/>
  <c r="B182" i="28" s="1"/>
  <c r="B183" i="28" s="1"/>
  <c r="B184" i="28" s="1"/>
  <c r="B185" i="28" s="1"/>
  <c r="B186" i="28" s="1"/>
  <c r="B187" i="28" s="1"/>
  <c r="B188" i="28" s="1"/>
  <c r="B189" i="28" s="1"/>
  <c r="H166" i="28"/>
  <c r="G166" i="28"/>
  <c r="I166" i="28" s="1"/>
  <c r="H162" i="28"/>
  <c r="G162" i="28"/>
  <c r="I162" i="28" s="1"/>
  <c r="H161" i="28"/>
  <c r="G161" i="28"/>
  <c r="I161" i="28" s="1"/>
  <c r="H160" i="28"/>
  <c r="G160" i="28"/>
  <c r="I160" i="28" s="1"/>
  <c r="H159" i="28"/>
  <c r="G159" i="28"/>
  <c r="I159" i="28" s="1"/>
  <c r="H158" i="28"/>
  <c r="G158" i="28"/>
  <c r="I158" i="28" s="1"/>
  <c r="B158" i="28"/>
  <c r="B159" i="28" s="1"/>
  <c r="B160" i="28" s="1"/>
  <c r="B161" i="28" s="1"/>
  <c r="B162" i="28" s="1"/>
  <c r="H157" i="28"/>
  <c r="I157" i="28" s="1"/>
  <c r="G157" i="28"/>
  <c r="H156" i="28"/>
  <c r="G156" i="28"/>
  <c r="I156" i="28" s="1"/>
  <c r="H155" i="28"/>
  <c r="G155" i="28"/>
  <c r="I155" i="28" s="1"/>
  <c r="H154" i="28"/>
  <c r="G154" i="28"/>
  <c r="I154" i="28" s="1"/>
  <c r="H153" i="28"/>
  <c r="G153" i="28"/>
  <c r="I153" i="28" s="1"/>
  <c r="B153" i="28"/>
  <c r="B154" i="28" s="1"/>
  <c r="B155" i="28" s="1"/>
  <c r="B156" i="28" s="1"/>
  <c r="B157" i="28" s="1"/>
  <c r="H152" i="28"/>
  <c r="G152" i="28"/>
  <c r="I152" i="28" s="1"/>
  <c r="B152" i="28"/>
  <c r="H151" i="28"/>
  <c r="G151" i="28"/>
  <c r="I151" i="28" s="1"/>
  <c r="H148" i="28"/>
  <c r="G148" i="28"/>
  <c r="I148" i="28" s="1"/>
  <c r="H147" i="28"/>
  <c r="G147" i="28"/>
  <c r="I147" i="28" s="1"/>
  <c r="B147" i="28"/>
  <c r="B148" i="28" s="1"/>
  <c r="I146" i="28"/>
  <c r="H146" i="28"/>
  <c r="G146" i="28"/>
  <c r="H145" i="28"/>
  <c r="G145" i="28"/>
  <c r="I145" i="28" s="1"/>
  <c r="H144" i="28"/>
  <c r="G144" i="28"/>
  <c r="I144" i="28" s="1"/>
  <c r="H143" i="28"/>
  <c r="G143" i="28"/>
  <c r="I143" i="28" s="1"/>
  <c r="H142" i="28"/>
  <c r="G142" i="28"/>
  <c r="I142" i="28" s="1"/>
  <c r="B142" i="28"/>
  <c r="B143" i="28" s="1"/>
  <c r="B144" i="28" s="1"/>
  <c r="B145" i="28" s="1"/>
  <c r="I141" i="28"/>
  <c r="H141" i="28"/>
  <c r="G141" i="28"/>
  <c r="H140" i="28"/>
  <c r="G140" i="28"/>
  <c r="I140" i="28" s="1"/>
  <c r="H139" i="28"/>
  <c r="G139" i="28"/>
  <c r="I139" i="28" s="1"/>
  <c r="H138" i="28"/>
  <c r="I138" i="28" s="1"/>
  <c r="G138" i="28"/>
  <c r="H137" i="28"/>
  <c r="G137" i="28"/>
  <c r="I137" i="28" s="1"/>
  <c r="H136" i="28"/>
  <c r="G136" i="28"/>
  <c r="I136" i="28" s="1"/>
  <c r="H135" i="28"/>
  <c r="G135" i="28"/>
  <c r="I135" i="28" s="1"/>
  <c r="B135" i="28"/>
  <c r="B136" i="28" s="1"/>
  <c r="B137" i="28" s="1"/>
  <c r="B138" i="28" s="1"/>
  <c r="B139" i="28" s="1"/>
  <c r="B140" i="28" s="1"/>
  <c r="H134" i="28"/>
  <c r="G134" i="28"/>
  <c r="I134" i="28" s="1"/>
  <c r="H131" i="28"/>
  <c r="I131" i="28" s="1"/>
  <c r="G131" i="28"/>
  <c r="D131" i="28"/>
  <c r="H130" i="28"/>
  <c r="G130" i="28"/>
  <c r="I130" i="28" s="1"/>
  <c r="D130" i="28"/>
  <c r="H129" i="28"/>
  <c r="G129" i="28"/>
  <c r="I129" i="28" s="1"/>
  <c r="I128" i="28"/>
  <c r="H128" i="28"/>
  <c r="G128" i="28"/>
  <c r="H127" i="28"/>
  <c r="G127" i="28"/>
  <c r="I127" i="28" s="1"/>
  <c r="H126" i="28"/>
  <c r="G126" i="28"/>
  <c r="I126" i="28" s="1"/>
  <c r="H125" i="28"/>
  <c r="G125" i="28"/>
  <c r="I125" i="28" s="1"/>
  <c r="H124" i="28"/>
  <c r="G124" i="28"/>
  <c r="I124" i="28" s="1"/>
  <c r="I123" i="28"/>
  <c r="H123" i="28"/>
  <c r="G123" i="28"/>
  <c r="H122" i="28"/>
  <c r="G122" i="28"/>
  <c r="I122" i="28" s="1"/>
  <c r="I121" i="28"/>
  <c r="H121" i="28"/>
  <c r="G121" i="28"/>
  <c r="I120" i="28"/>
  <c r="H120" i="28"/>
  <c r="G120" i="28"/>
  <c r="H119" i="28"/>
  <c r="G119" i="28"/>
  <c r="I119" i="28" s="1"/>
  <c r="B119" i="28"/>
  <c r="B120" i="28" s="1"/>
  <c r="B121" i="28" s="1"/>
  <c r="B122" i="28" s="1"/>
  <c r="B123" i="28" s="1"/>
  <c r="B124" i="28" s="1"/>
  <c r="B125" i="28" s="1"/>
  <c r="B126" i="28" s="1"/>
  <c r="B127" i="28" s="1"/>
  <c r="B128" i="28" s="1"/>
  <c r="H118" i="28"/>
  <c r="G118" i="28"/>
  <c r="I118" i="28" s="1"/>
  <c r="H115" i="28"/>
  <c r="G115" i="28"/>
  <c r="I115" i="28" s="1"/>
  <c r="H114" i="28"/>
  <c r="G114" i="28"/>
  <c r="I114" i="28" s="1"/>
  <c r="H113" i="28"/>
  <c r="I113" i="28" s="1"/>
  <c r="G113" i="28"/>
  <c r="H112" i="28"/>
  <c r="G112" i="28"/>
  <c r="I112" i="28" s="1"/>
  <c r="H111" i="28"/>
  <c r="G111" i="28"/>
  <c r="I111" i="28" s="1"/>
  <c r="H110" i="28"/>
  <c r="I110" i="28" s="1"/>
  <c r="G110" i="28"/>
  <c r="H109" i="28"/>
  <c r="G109" i="28"/>
  <c r="I109" i="28" s="1"/>
  <c r="H108" i="28"/>
  <c r="G108" i="28"/>
  <c r="I108" i="28" s="1"/>
  <c r="H107" i="28"/>
  <c r="G107" i="28"/>
  <c r="I107" i="28" s="1"/>
  <c r="H106" i="28"/>
  <c r="G106" i="28"/>
  <c r="I106" i="28" s="1"/>
  <c r="B106" i="28"/>
  <c r="B107" i="28" s="1"/>
  <c r="B108" i="28" s="1"/>
  <c r="B109" i="28" s="1"/>
  <c r="B110" i="28" s="1"/>
  <c r="B111" i="28" s="1"/>
  <c r="B112" i="28" s="1"/>
  <c r="B113" i="28" s="1"/>
  <c r="B114" i="28" s="1"/>
  <c r="B115" i="28" s="1"/>
  <c r="H105" i="28"/>
  <c r="I105" i="28" s="1"/>
  <c r="G105" i="28"/>
  <c r="L102" i="28"/>
  <c r="L103" i="28" s="1"/>
  <c r="H102" i="28"/>
  <c r="G102" i="28"/>
  <c r="I102" i="28" s="1"/>
  <c r="G101" i="28"/>
  <c r="I101" i="28" s="1"/>
  <c r="G100" i="28"/>
  <c r="I100" i="28" s="1"/>
  <c r="G99" i="28"/>
  <c r="I99" i="28" s="1"/>
  <c r="G98" i="28"/>
  <c r="I98" i="28" s="1"/>
  <c r="G97" i="28"/>
  <c r="I97" i="28" s="1"/>
  <c r="H96" i="28"/>
  <c r="G96" i="28"/>
  <c r="I96" i="28" s="1"/>
  <c r="H95" i="28"/>
  <c r="G95" i="28"/>
  <c r="I95" i="28" s="1"/>
  <c r="H94" i="28"/>
  <c r="I94" i="28" s="1"/>
  <c r="G94" i="28"/>
  <c r="H93" i="28"/>
  <c r="G93" i="28"/>
  <c r="I93" i="28" s="1"/>
  <c r="H92" i="28"/>
  <c r="G92" i="28"/>
  <c r="I92" i="28" s="1"/>
  <c r="H91" i="28"/>
  <c r="I91" i="28" s="1"/>
  <c r="G91" i="28"/>
  <c r="H90" i="28"/>
  <c r="G90" i="28"/>
  <c r="I90" i="28" s="1"/>
  <c r="H89" i="28"/>
  <c r="G89" i="28"/>
  <c r="I89" i="28" s="1"/>
  <c r="H88" i="28"/>
  <c r="G88" i="28"/>
  <c r="I88" i="28" s="1"/>
  <c r="H87" i="28"/>
  <c r="G87" i="28"/>
  <c r="I87" i="28" s="1"/>
  <c r="H86" i="28"/>
  <c r="I86" i="28" s="1"/>
  <c r="G86" i="28"/>
  <c r="H85" i="28"/>
  <c r="G85" i="28"/>
  <c r="I85" i="28" s="1"/>
  <c r="B85" i="28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I84" i="28"/>
  <c r="H84" i="28"/>
  <c r="G84" i="28"/>
  <c r="B84" i="28"/>
  <c r="H83" i="28"/>
  <c r="I83" i="28" s="1"/>
  <c r="G83" i="28"/>
  <c r="H80" i="28"/>
  <c r="G80" i="28"/>
  <c r="I80" i="28" s="1"/>
  <c r="H79" i="28"/>
  <c r="G79" i="28"/>
  <c r="I79" i="28" s="1"/>
  <c r="H78" i="28"/>
  <c r="G78" i="28"/>
  <c r="I78" i="28" s="1"/>
  <c r="H77" i="28"/>
  <c r="G77" i="28"/>
  <c r="I77" i="28" s="1"/>
  <c r="B77" i="28"/>
  <c r="B78" i="28" s="1"/>
  <c r="B79" i="28" s="1"/>
  <c r="B80" i="28" s="1"/>
  <c r="H76" i="28"/>
  <c r="G76" i="28"/>
  <c r="I76" i="28" s="1"/>
  <c r="H73" i="28"/>
  <c r="G73" i="28"/>
  <c r="I73" i="28" s="1"/>
  <c r="H72" i="28"/>
  <c r="G72" i="28"/>
  <c r="I72" i="28" s="1"/>
  <c r="H71" i="28"/>
  <c r="I71" i="28" s="1"/>
  <c r="I70" i="28"/>
  <c r="H70" i="28"/>
  <c r="H69" i="28"/>
  <c r="I69" i="28" s="1"/>
  <c r="H68" i="28"/>
  <c r="I68" i="28" s="1"/>
  <c r="H67" i="28"/>
  <c r="I67" i="28" s="1"/>
  <c r="H66" i="28"/>
  <c r="I66" i="28" s="1"/>
  <c r="H65" i="28"/>
  <c r="I65" i="28" s="1"/>
  <c r="H64" i="28"/>
  <c r="I64" i="28" s="1"/>
  <c r="B64" i="28"/>
  <c r="B65" i="28" s="1"/>
  <c r="B66" i="28" s="1"/>
  <c r="B67" i="28" s="1"/>
  <c r="B68" i="28" s="1"/>
  <c r="B69" i="28" s="1"/>
  <c r="B70" i="28" s="1"/>
  <c r="B71" i="28" s="1"/>
  <c r="B72" i="28" s="1"/>
  <c r="B73" i="28" s="1"/>
  <c r="H63" i="28"/>
  <c r="I63" i="28" s="1"/>
  <c r="H60" i="28"/>
  <c r="G60" i="28"/>
  <c r="I60" i="28" s="1"/>
  <c r="H59" i="28"/>
  <c r="G59" i="28"/>
  <c r="I59" i="28" s="1"/>
  <c r="B59" i="28"/>
  <c r="B60" i="28" s="1"/>
  <c r="H58" i="28"/>
  <c r="I58" i="28" s="1"/>
  <c r="G58" i="28"/>
  <c r="H57" i="28"/>
  <c r="G57" i="28"/>
  <c r="I57" i="28" s="1"/>
  <c r="B57" i="28"/>
  <c r="B58" i="28" s="1"/>
  <c r="H56" i="28"/>
  <c r="G56" i="28"/>
  <c r="I56" i="28" s="1"/>
  <c r="B42" i="28"/>
  <c r="B43" i="28" s="1"/>
  <c r="B44" i="28" s="1"/>
  <c r="B45" i="28" s="1"/>
  <c r="B46" i="28" s="1"/>
  <c r="B47" i="28" s="1"/>
  <c r="B38" i="28"/>
  <c r="B39" i="28" s="1"/>
  <c r="B40" i="28" s="1"/>
  <c r="B26" i="28"/>
  <c r="B27" i="28" s="1"/>
  <c r="B28" i="28" s="1"/>
  <c r="B29" i="28" s="1"/>
  <c r="B30" i="28" s="1"/>
  <c r="B31" i="28" s="1"/>
  <c r="B32" i="28" s="1"/>
  <c r="B25" i="28"/>
  <c r="B5" i="28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129" i="28" l="1"/>
  <c r="B131" i="28" s="1"/>
  <c r="B130" i="28"/>
  <c r="L6" i="28"/>
  <c r="G8" i="3" l="1"/>
  <c r="G7" i="3"/>
  <c r="G22" i="3"/>
  <c r="G21" i="3"/>
  <c r="G36" i="3"/>
  <c r="G35" i="3"/>
  <c r="G50" i="3"/>
  <c r="G49" i="3"/>
  <c r="G64" i="3"/>
  <c r="G63" i="3"/>
  <c r="G78" i="3"/>
  <c r="G77" i="3"/>
  <c r="G92" i="3"/>
  <c r="G91" i="3"/>
  <c r="G106" i="3"/>
  <c r="G105" i="3"/>
  <c r="G385" i="2"/>
  <c r="G384" i="2"/>
  <c r="G383" i="2"/>
  <c r="G380" i="2"/>
  <c r="G379" i="2"/>
  <c r="G378" i="2"/>
  <c r="G377" i="2"/>
  <c r="H377" i="2" s="1"/>
  <c r="G1348" i="26"/>
  <c r="G2288" i="26"/>
  <c r="G2268" i="26"/>
  <c r="G2251" i="26"/>
  <c r="G2234" i="26"/>
  <c r="G2217" i="26"/>
  <c r="G2200" i="26"/>
  <c r="G2183" i="26"/>
  <c r="G2166" i="26"/>
  <c r="G2149" i="26"/>
  <c r="G2132" i="26"/>
  <c r="G2115" i="26"/>
  <c r="G2098" i="26"/>
  <c r="G2064" i="26"/>
  <c r="G2047" i="26"/>
  <c r="G2030" i="26"/>
  <c r="G2013" i="26"/>
  <c r="G1996" i="26"/>
  <c r="G1979" i="26"/>
  <c r="G1962" i="26"/>
  <c r="G1945" i="26"/>
  <c r="G1927" i="26"/>
  <c r="G1909" i="26"/>
  <c r="G1892" i="26"/>
  <c r="G1875" i="26"/>
  <c r="G1858" i="26"/>
  <c r="G1841" i="26"/>
  <c r="G1824" i="26"/>
  <c r="G1807" i="26"/>
  <c r="G1790" i="26"/>
  <c r="G1773" i="26"/>
  <c r="G1756" i="26"/>
  <c r="G1739" i="26"/>
  <c r="G1722" i="26"/>
  <c r="G1705" i="26"/>
  <c r="G1688" i="26"/>
  <c r="G1671" i="26"/>
  <c r="G1654" i="26"/>
  <c r="G1637" i="26"/>
  <c r="G1620" i="26"/>
  <c r="G1603" i="26"/>
  <c r="G1586" i="26"/>
  <c r="G1569" i="26"/>
  <c r="G1552" i="26"/>
  <c r="G1535" i="26"/>
  <c r="G1518" i="26"/>
  <c r="G1501" i="26"/>
  <c r="G1484" i="26"/>
  <c r="G1467" i="26"/>
  <c r="G1450" i="26"/>
  <c r="G1433" i="26"/>
  <c r="G1416" i="26"/>
  <c r="G1399" i="26"/>
  <c r="G1382" i="26"/>
  <c r="G1365" i="26"/>
  <c r="G1330" i="26"/>
  <c r="G1312" i="26"/>
  <c r="G1295" i="26"/>
  <c r="G1278" i="26"/>
  <c r="G1261" i="26"/>
  <c r="G1227" i="26"/>
  <c r="G1244" i="26"/>
  <c r="G1210" i="26"/>
  <c r="G1193" i="26"/>
  <c r="G1176" i="26"/>
  <c r="G1159" i="26"/>
  <c r="G1142" i="26"/>
  <c r="G1125" i="26"/>
  <c r="G1108" i="26"/>
  <c r="G1091" i="26"/>
  <c r="G1074" i="26"/>
  <c r="G1057" i="26"/>
  <c r="G1040" i="26"/>
  <c r="G1023" i="26"/>
  <c r="G1006" i="26"/>
  <c r="G989" i="26"/>
  <c r="G972" i="26"/>
  <c r="G955" i="26"/>
  <c r="G937" i="26"/>
  <c r="G919" i="26"/>
  <c r="G902" i="26"/>
  <c r="G885" i="26"/>
  <c r="G868" i="26"/>
  <c r="G851" i="26"/>
  <c r="G834" i="26"/>
  <c r="G817" i="26"/>
  <c r="G800" i="26"/>
  <c r="G783" i="26"/>
  <c r="G766" i="26"/>
  <c r="G749" i="26"/>
  <c r="G732" i="26"/>
  <c r="G715" i="26"/>
  <c r="G698" i="26"/>
  <c r="G681" i="26"/>
  <c r="G664" i="26"/>
  <c r="G647" i="26"/>
  <c r="G630" i="26"/>
  <c r="G613" i="26"/>
  <c r="G596" i="26"/>
  <c r="G579" i="26"/>
  <c r="G562" i="26"/>
  <c r="G545" i="26"/>
  <c r="G528" i="26"/>
  <c r="G511" i="26"/>
  <c r="G494" i="26"/>
  <c r="G477" i="26"/>
  <c r="G460" i="26"/>
  <c r="G443" i="26"/>
  <c r="G426" i="26"/>
  <c r="G409" i="26"/>
  <c r="G392" i="26"/>
  <c r="G375" i="26"/>
  <c r="G358" i="26"/>
  <c r="G341" i="26"/>
  <c r="G324" i="26"/>
  <c r="G307" i="26"/>
  <c r="G290" i="26"/>
  <c r="G273" i="26"/>
  <c r="G256" i="26"/>
  <c r="G239" i="26"/>
  <c r="G222" i="26"/>
  <c r="G205" i="26"/>
  <c r="G188" i="26"/>
  <c r="G171" i="26"/>
  <c r="G154" i="26"/>
  <c r="G137" i="26"/>
  <c r="G120" i="26"/>
  <c r="G103" i="26"/>
  <c r="G86" i="26"/>
  <c r="G69" i="26"/>
  <c r="G52" i="26"/>
  <c r="G35" i="26"/>
  <c r="G2283" i="26"/>
  <c r="H2283" i="26" s="1"/>
  <c r="G2282" i="26"/>
  <c r="H2282" i="26" s="1"/>
  <c r="G2281" i="26"/>
  <c r="H2281" i="26" s="1"/>
  <c r="G2280" i="26"/>
  <c r="H2280" i="26" s="1"/>
  <c r="G2277" i="26"/>
  <c r="H2277" i="26" s="1"/>
  <c r="G2276" i="26"/>
  <c r="H2276" i="26" s="1"/>
  <c r="G2275" i="26"/>
  <c r="G2274" i="26"/>
  <c r="H2274" i="26" s="1"/>
  <c r="G2263" i="26"/>
  <c r="H2263" i="26" s="1"/>
  <c r="H2264" i="26" s="1"/>
  <c r="G2260" i="26"/>
  <c r="H2260" i="26" s="1"/>
  <c r="G2259" i="26"/>
  <c r="H2259" i="26" s="1"/>
  <c r="G2258" i="26"/>
  <c r="G2257" i="26"/>
  <c r="H2257" i="26" s="1"/>
  <c r="G2246" i="26"/>
  <c r="H2246" i="26" s="1"/>
  <c r="H2247" i="26" s="1"/>
  <c r="G2243" i="26"/>
  <c r="H2243" i="26" s="1"/>
  <c r="G2242" i="26"/>
  <c r="H2242" i="26" s="1"/>
  <c r="G2241" i="26"/>
  <c r="G2240" i="26"/>
  <c r="H2240" i="26" s="1"/>
  <c r="G2229" i="26"/>
  <c r="H2229" i="26" s="1"/>
  <c r="H2230" i="26" s="1"/>
  <c r="G2226" i="26"/>
  <c r="H2226" i="26" s="1"/>
  <c r="G2225" i="26"/>
  <c r="H2225" i="26" s="1"/>
  <c r="G2224" i="26"/>
  <c r="G2223" i="26"/>
  <c r="H2223" i="26" s="1"/>
  <c r="G2212" i="26"/>
  <c r="H2212" i="26" s="1"/>
  <c r="H2213" i="26" s="1"/>
  <c r="G2209" i="26"/>
  <c r="H2209" i="26" s="1"/>
  <c r="G2208" i="26"/>
  <c r="H2208" i="26" s="1"/>
  <c r="G2207" i="26"/>
  <c r="G2206" i="26"/>
  <c r="H2206" i="26" s="1"/>
  <c r="G2195" i="26"/>
  <c r="H2195" i="26" s="1"/>
  <c r="H2196" i="26" s="1"/>
  <c r="G2192" i="26"/>
  <c r="H2192" i="26" s="1"/>
  <c r="G2191" i="26"/>
  <c r="H2191" i="26" s="1"/>
  <c r="G2190" i="26"/>
  <c r="G2189" i="26"/>
  <c r="H2189" i="26" s="1"/>
  <c r="G2178" i="26"/>
  <c r="H2178" i="26" s="1"/>
  <c r="H2179" i="26" s="1"/>
  <c r="G2175" i="26"/>
  <c r="H2175" i="26" s="1"/>
  <c r="G2174" i="26"/>
  <c r="H2174" i="26" s="1"/>
  <c r="G2173" i="26"/>
  <c r="G2172" i="26"/>
  <c r="G2161" i="26"/>
  <c r="G2158" i="26"/>
  <c r="H2158" i="26" s="1"/>
  <c r="G2157" i="26"/>
  <c r="H2157" i="26" s="1"/>
  <c r="G2156" i="26"/>
  <c r="G2155" i="26"/>
  <c r="H2155" i="26" s="1"/>
  <c r="G2144" i="26"/>
  <c r="H2144" i="26" s="1"/>
  <c r="H2145" i="26" s="1"/>
  <c r="G2141" i="26"/>
  <c r="H2141" i="26" s="1"/>
  <c r="G2140" i="26"/>
  <c r="H2140" i="26" s="1"/>
  <c r="G2139" i="26"/>
  <c r="G2138" i="26"/>
  <c r="H2138" i="26" s="1"/>
  <c r="G2127" i="26"/>
  <c r="H2127" i="26" s="1"/>
  <c r="H2128" i="26" s="1"/>
  <c r="G2124" i="26"/>
  <c r="H2124" i="26" s="1"/>
  <c r="G2123" i="26"/>
  <c r="H2123" i="26" s="1"/>
  <c r="G2122" i="26"/>
  <c r="G2121" i="26"/>
  <c r="H2121" i="26" s="1"/>
  <c r="G2110" i="26"/>
  <c r="H2110" i="26" s="1"/>
  <c r="H2111" i="26" s="1"/>
  <c r="G2107" i="26"/>
  <c r="H2107" i="26" s="1"/>
  <c r="G2106" i="26"/>
  <c r="H2106" i="26" s="1"/>
  <c r="G2105" i="26"/>
  <c r="G2104" i="26"/>
  <c r="H2104" i="26" s="1"/>
  <c r="G2093" i="26"/>
  <c r="H2093" i="26" s="1"/>
  <c r="H2094" i="26" s="1"/>
  <c r="G2090" i="26"/>
  <c r="H2090" i="26" s="1"/>
  <c r="G2089" i="26"/>
  <c r="H2089" i="26" s="1"/>
  <c r="G2088" i="26"/>
  <c r="G2087" i="26"/>
  <c r="H2087" i="26" s="1"/>
  <c r="G2076" i="26"/>
  <c r="H2076" i="26" s="1"/>
  <c r="H2077" i="26" s="1"/>
  <c r="G2073" i="26"/>
  <c r="H2073" i="26" s="1"/>
  <c r="G2072" i="26"/>
  <c r="H2072" i="26" s="1"/>
  <c r="G2071" i="26"/>
  <c r="G2070" i="26"/>
  <c r="H2070" i="26" s="1"/>
  <c r="G2059" i="26"/>
  <c r="H2059" i="26" s="1"/>
  <c r="H2060" i="26" s="1"/>
  <c r="G2056" i="26"/>
  <c r="G2055" i="26"/>
  <c r="H2055" i="26" s="1"/>
  <c r="G2054" i="26"/>
  <c r="G2053" i="26"/>
  <c r="G2042" i="26"/>
  <c r="H2042" i="26" s="1"/>
  <c r="H2043" i="26" s="1"/>
  <c r="G2039" i="26"/>
  <c r="H2039" i="26" s="1"/>
  <c r="G2038" i="26"/>
  <c r="H2038" i="26" s="1"/>
  <c r="G2037" i="26"/>
  <c r="G2036" i="26"/>
  <c r="H2036" i="26" s="1"/>
  <c r="G2025" i="26"/>
  <c r="H2025" i="26" s="1"/>
  <c r="H2026" i="26" s="1"/>
  <c r="G2022" i="26"/>
  <c r="H2022" i="26" s="1"/>
  <c r="G2021" i="26"/>
  <c r="H2021" i="26" s="1"/>
  <c r="G2020" i="26"/>
  <c r="G2019" i="26"/>
  <c r="H2019" i="26" s="1"/>
  <c r="G2008" i="26"/>
  <c r="H2008" i="26" s="1"/>
  <c r="H2009" i="26" s="1"/>
  <c r="G2005" i="26"/>
  <c r="H2005" i="26" s="1"/>
  <c r="G2004" i="26"/>
  <c r="H2004" i="26" s="1"/>
  <c r="G2003" i="26"/>
  <c r="G2002" i="26"/>
  <c r="H2002" i="26" s="1"/>
  <c r="G1991" i="26"/>
  <c r="H1991" i="26" s="1"/>
  <c r="H1992" i="26" s="1"/>
  <c r="G1988" i="26"/>
  <c r="H1988" i="26" s="1"/>
  <c r="G1987" i="26"/>
  <c r="H1987" i="26" s="1"/>
  <c r="G1986" i="26"/>
  <c r="G1985" i="26"/>
  <c r="H1985" i="26" s="1"/>
  <c r="G1974" i="26"/>
  <c r="H1974" i="26" s="1"/>
  <c r="H1975" i="26" s="1"/>
  <c r="G1971" i="26"/>
  <c r="H1971" i="26" s="1"/>
  <c r="G1970" i="26"/>
  <c r="H1970" i="26" s="1"/>
  <c r="G1969" i="26"/>
  <c r="G1968" i="26"/>
  <c r="H1968" i="26" s="1"/>
  <c r="G1957" i="26"/>
  <c r="H1957" i="26" s="1"/>
  <c r="H1958" i="26" s="1"/>
  <c r="G1954" i="26"/>
  <c r="H1954" i="26" s="1"/>
  <c r="G1953" i="26"/>
  <c r="H1953" i="26" s="1"/>
  <c r="G1952" i="26"/>
  <c r="G1951" i="26"/>
  <c r="G1940" i="26"/>
  <c r="G1939" i="26"/>
  <c r="G1936" i="26"/>
  <c r="H1936" i="26" s="1"/>
  <c r="G1935" i="26"/>
  <c r="H1935" i="26" s="1"/>
  <c r="G1934" i="26"/>
  <c r="G1933" i="26"/>
  <c r="H1933" i="26" s="1"/>
  <c r="G1922" i="26"/>
  <c r="H1922" i="26" s="1"/>
  <c r="G1921" i="26"/>
  <c r="H1921" i="26" s="1"/>
  <c r="G1918" i="26"/>
  <c r="H1918" i="26" s="1"/>
  <c r="G1917" i="26"/>
  <c r="H1917" i="26" s="1"/>
  <c r="G1916" i="26"/>
  <c r="G1915" i="26"/>
  <c r="H1915" i="26" s="1"/>
  <c r="G1904" i="26"/>
  <c r="H1904" i="26" s="1"/>
  <c r="H1905" i="26" s="1"/>
  <c r="G1901" i="26"/>
  <c r="H1901" i="26" s="1"/>
  <c r="G1900" i="26"/>
  <c r="G1899" i="26"/>
  <c r="G1898" i="26"/>
  <c r="H1898" i="26" s="1"/>
  <c r="G1887" i="26"/>
  <c r="G1884" i="26"/>
  <c r="H1884" i="26" s="1"/>
  <c r="G1883" i="26"/>
  <c r="H1883" i="26" s="1"/>
  <c r="G1882" i="26"/>
  <c r="G1881" i="26"/>
  <c r="H1881" i="26" s="1"/>
  <c r="G1870" i="26"/>
  <c r="H1870" i="26" s="1"/>
  <c r="H1871" i="26" s="1"/>
  <c r="G1867" i="26"/>
  <c r="H1867" i="26" s="1"/>
  <c r="G1866" i="26"/>
  <c r="H1866" i="26" s="1"/>
  <c r="G1865" i="26"/>
  <c r="G1864" i="26"/>
  <c r="H1864" i="26" s="1"/>
  <c r="G1853" i="26"/>
  <c r="H1853" i="26" s="1"/>
  <c r="H1854" i="26" s="1"/>
  <c r="G1850" i="26"/>
  <c r="H1850" i="26" s="1"/>
  <c r="G1849" i="26"/>
  <c r="H1849" i="26" s="1"/>
  <c r="G1848" i="26"/>
  <c r="G1847" i="26"/>
  <c r="H1847" i="26" s="1"/>
  <c r="G1836" i="26"/>
  <c r="H1836" i="26" s="1"/>
  <c r="H1837" i="26" s="1"/>
  <c r="G1833" i="26"/>
  <c r="H1833" i="26" s="1"/>
  <c r="G1832" i="26"/>
  <c r="H1832" i="26" s="1"/>
  <c r="G1831" i="26"/>
  <c r="G1830" i="26"/>
  <c r="H1830" i="26" s="1"/>
  <c r="G1819" i="26"/>
  <c r="H1819" i="26" s="1"/>
  <c r="H1820" i="26" s="1"/>
  <c r="G1816" i="26"/>
  <c r="H1816" i="26" s="1"/>
  <c r="G1815" i="26"/>
  <c r="H1815" i="26" s="1"/>
  <c r="G1814" i="26"/>
  <c r="G1813" i="26"/>
  <c r="H1813" i="26" s="1"/>
  <c r="G1802" i="26"/>
  <c r="H1802" i="26" s="1"/>
  <c r="H1803" i="26" s="1"/>
  <c r="G1799" i="26"/>
  <c r="H1799" i="26" s="1"/>
  <c r="G1798" i="26"/>
  <c r="H1798" i="26" s="1"/>
  <c r="G1797" i="26"/>
  <c r="G1796" i="26"/>
  <c r="H1796" i="26" s="1"/>
  <c r="G1785" i="26"/>
  <c r="H1785" i="26" s="1"/>
  <c r="H1786" i="26" s="1"/>
  <c r="G1782" i="26"/>
  <c r="H1782" i="26" s="1"/>
  <c r="G1781" i="26"/>
  <c r="H1781" i="26" s="1"/>
  <c r="G1780" i="26"/>
  <c r="G1779" i="26"/>
  <c r="H1779" i="26" s="1"/>
  <c r="G1768" i="26"/>
  <c r="H1768" i="26" s="1"/>
  <c r="H1769" i="26" s="1"/>
  <c r="G1765" i="26"/>
  <c r="H1765" i="26" s="1"/>
  <c r="G1764" i="26"/>
  <c r="H1764" i="26" s="1"/>
  <c r="G1763" i="26"/>
  <c r="G1762" i="26"/>
  <c r="H1762" i="26" s="1"/>
  <c r="G1751" i="26"/>
  <c r="H1751" i="26" s="1"/>
  <c r="H1752" i="26" s="1"/>
  <c r="G1748" i="26"/>
  <c r="H1748" i="26" s="1"/>
  <c r="G1747" i="26"/>
  <c r="H1747" i="26" s="1"/>
  <c r="G1746" i="26"/>
  <c r="G1745" i="26"/>
  <c r="H1745" i="26" s="1"/>
  <c r="G1734" i="26"/>
  <c r="G1731" i="26"/>
  <c r="G1730" i="26"/>
  <c r="H1730" i="26" s="1"/>
  <c r="G1729" i="26"/>
  <c r="G1728" i="26"/>
  <c r="H1728" i="26" s="1"/>
  <c r="G1717" i="26"/>
  <c r="H1717" i="26" s="1"/>
  <c r="H1718" i="26" s="1"/>
  <c r="G1714" i="26"/>
  <c r="H1714" i="26" s="1"/>
  <c r="G1713" i="26"/>
  <c r="H1713" i="26" s="1"/>
  <c r="G1712" i="26"/>
  <c r="G1711" i="26"/>
  <c r="H1711" i="26" s="1"/>
  <c r="G1700" i="26"/>
  <c r="H1700" i="26" s="1"/>
  <c r="H1701" i="26" s="1"/>
  <c r="G1697" i="26"/>
  <c r="H1697" i="26" s="1"/>
  <c r="G1696" i="26"/>
  <c r="H1696" i="26" s="1"/>
  <c r="G1695" i="26"/>
  <c r="G1694" i="26"/>
  <c r="H1694" i="26" s="1"/>
  <c r="G1683" i="26"/>
  <c r="H1683" i="26" s="1"/>
  <c r="H1684" i="26" s="1"/>
  <c r="G1680" i="26"/>
  <c r="G1679" i="26"/>
  <c r="H1679" i="26" s="1"/>
  <c r="G1678" i="26"/>
  <c r="G1677" i="26"/>
  <c r="H1677" i="26" s="1"/>
  <c r="G1666" i="26"/>
  <c r="H1666" i="26" s="1"/>
  <c r="H1667" i="26" s="1"/>
  <c r="G1663" i="26"/>
  <c r="H1663" i="26" s="1"/>
  <c r="G1662" i="26"/>
  <c r="H1662" i="26" s="1"/>
  <c r="G1661" i="26"/>
  <c r="G1660" i="26"/>
  <c r="H1660" i="26" s="1"/>
  <c r="G1649" i="26"/>
  <c r="H1649" i="26" s="1"/>
  <c r="H1650" i="26" s="1"/>
  <c r="G1646" i="26"/>
  <c r="H1646" i="26" s="1"/>
  <c r="G1645" i="26"/>
  <c r="H1645" i="26" s="1"/>
  <c r="G1644" i="26"/>
  <c r="G1643" i="26"/>
  <c r="H1643" i="26" s="1"/>
  <c r="G1632" i="26"/>
  <c r="H1632" i="26" s="1"/>
  <c r="H1633" i="26" s="1"/>
  <c r="G1629" i="26"/>
  <c r="H1629" i="26" s="1"/>
  <c r="G1628" i="26"/>
  <c r="H1628" i="26" s="1"/>
  <c r="G1627" i="26"/>
  <c r="G1626" i="26"/>
  <c r="H1626" i="26" s="1"/>
  <c r="G1615" i="26"/>
  <c r="H1615" i="26" s="1"/>
  <c r="H1616" i="26" s="1"/>
  <c r="G1612" i="26"/>
  <c r="H1612" i="26" s="1"/>
  <c r="G1611" i="26"/>
  <c r="H1611" i="26" s="1"/>
  <c r="G1610" i="26"/>
  <c r="G1609" i="26"/>
  <c r="H1609" i="26" s="1"/>
  <c r="G1598" i="26"/>
  <c r="H1598" i="26" s="1"/>
  <c r="H1599" i="26" s="1"/>
  <c r="G1595" i="26"/>
  <c r="H1595" i="26" s="1"/>
  <c r="G1594" i="26"/>
  <c r="H1594" i="26" s="1"/>
  <c r="G1593" i="26"/>
  <c r="G1592" i="26"/>
  <c r="H1592" i="26" s="1"/>
  <c r="G1581" i="26"/>
  <c r="H1581" i="26" s="1"/>
  <c r="H1582" i="26" s="1"/>
  <c r="G1578" i="26"/>
  <c r="H1578" i="26" s="1"/>
  <c r="G1577" i="26"/>
  <c r="H1577" i="26" s="1"/>
  <c r="G1576" i="26"/>
  <c r="G1575" i="26"/>
  <c r="H1575" i="26" s="1"/>
  <c r="G1564" i="26"/>
  <c r="H1564" i="26" s="1"/>
  <c r="H1565" i="26" s="1"/>
  <c r="G1561" i="26"/>
  <c r="H1561" i="26" s="1"/>
  <c r="G1560" i="26"/>
  <c r="H1560" i="26" s="1"/>
  <c r="G1559" i="26"/>
  <c r="G1558" i="26"/>
  <c r="H1558" i="26" s="1"/>
  <c r="G1547" i="26"/>
  <c r="H1547" i="26" s="1"/>
  <c r="H1548" i="26" s="1"/>
  <c r="G1544" i="26"/>
  <c r="H1544" i="26" s="1"/>
  <c r="G1543" i="26"/>
  <c r="H1543" i="26" s="1"/>
  <c r="G1542" i="26"/>
  <c r="G1541" i="26"/>
  <c r="H1541" i="26" s="1"/>
  <c r="G1530" i="26"/>
  <c r="H1530" i="26" s="1"/>
  <c r="H1531" i="26" s="1"/>
  <c r="G1527" i="26"/>
  <c r="H1527" i="26" s="1"/>
  <c r="G1526" i="26"/>
  <c r="H1526" i="26" s="1"/>
  <c r="G1525" i="26"/>
  <c r="G1524" i="26"/>
  <c r="H1524" i="26" s="1"/>
  <c r="G1513" i="26"/>
  <c r="H1513" i="26" s="1"/>
  <c r="H1514" i="26" s="1"/>
  <c r="G1510" i="26"/>
  <c r="H1510" i="26" s="1"/>
  <c r="G1509" i="26"/>
  <c r="H1509" i="26" s="1"/>
  <c r="G1508" i="26"/>
  <c r="G1507" i="26"/>
  <c r="H1507" i="26" s="1"/>
  <c r="G1496" i="26"/>
  <c r="H1496" i="26" s="1"/>
  <c r="H1497" i="26" s="1"/>
  <c r="G1493" i="26"/>
  <c r="H1493" i="26" s="1"/>
  <c r="G1492" i="26"/>
  <c r="H1492" i="26" s="1"/>
  <c r="G1491" i="26"/>
  <c r="G1490" i="26"/>
  <c r="H1490" i="26" s="1"/>
  <c r="G1479" i="26"/>
  <c r="H1479" i="26" s="1"/>
  <c r="H1480" i="26" s="1"/>
  <c r="G1476" i="26"/>
  <c r="H1476" i="26" s="1"/>
  <c r="G1475" i="26"/>
  <c r="H1475" i="26" s="1"/>
  <c r="G1474" i="26"/>
  <c r="G1473" i="26"/>
  <c r="H1473" i="26" s="1"/>
  <c r="G1462" i="26"/>
  <c r="G1459" i="26"/>
  <c r="H1459" i="26" s="1"/>
  <c r="G1458" i="26"/>
  <c r="H1458" i="26" s="1"/>
  <c r="G1457" i="26"/>
  <c r="G1456" i="26"/>
  <c r="H1456" i="26" s="1"/>
  <c r="G1445" i="26"/>
  <c r="H1445" i="26" s="1"/>
  <c r="H1446" i="26" s="1"/>
  <c r="G1442" i="26"/>
  <c r="H1442" i="26" s="1"/>
  <c r="G1441" i="26"/>
  <c r="H1441" i="26" s="1"/>
  <c r="G1440" i="26"/>
  <c r="G1439" i="26"/>
  <c r="H1439" i="26" s="1"/>
  <c r="G1428" i="26"/>
  <c r="H1428" i="26" s="1"/>
  <c r="H1429" i="26" s="1"/>
  <c r="G1425" i="26"/>
  <c r="H1425" i="26" s="1"/>
  <c r="G1424" i="26"/>
  <c r="H1424" i="26" s="1"/>
  <c r="G1423" i="26"/>
  <c r="G1422" i="26"/>
  <c r="H1422" i="26" s="1"/>
  <c r="G1411" i="26"/>
  <c r="G1408" i="26"/>
  <c r="G1407" i="26"/>
  <c r="H1407" i="26" s="1"/>
  <c r="G1406" i="26"/>
  <c r="G1405" i="26"/>
  <c r="H1405" i="26" s="1"/>
  <c r="G1394" i="26"/>
  <c r="H1394" i="26" s="1"/>
  <c r="H1395" i="26" s="1"/>
  <c r="G1391" i="26"/>
  <c r="H1391" i="26" s="1"/>
  <c r="G1390" i="26"/>
  <c r="H1390" i="26" s="1"/>
  <c r="G1389" i="26"/>
  <c r="G1388" i="26"/>
  <c r="H1388" i="26" s="1"/>
  <c r="G1377" i="26"/>
  <c r="H1377" i="26" s="1"/>
  <c r="H1378" i="26" s="1"/>
  <c r="G1374" i="26"/>
  <c r="H1374" i="26" s="1"/>
  <c r="G1373" i="26"/>
  <c r="H1373" i="26" s="1"/>
  <c r="G1372" i="26"/>
  <c r="G1371" i="26"/>
  <c r="H1371" i="26" s="1"/>
  <c r="G1360" i="26"/>
  <c r="H1360" i="26" s="1"/>
  <c r="H1361" i="26" s="1"/>
  <c r="G1357" i="26"/>
  <c r="H1357" i="26" s="1"/>
  <c r="G1356" i="26"/>
  <c r="H1356" i="26" s="1"/>
  <c r="G1355" i="26"/>
  <c r="G1354" i="26"/>
  <c r="H1354" i="26" s="1"/>
  <c r="G1343" i="26"/>
  <c r="H1343" i="26" s="1"/>
  <c r="G1342" i="26"/>
  <c r="G1339" i="26"/>
  <c r="H1339" i="26" s="1"/>
  <c r="G1338" i="26"/>
  <c r="H1338" i="26" s="1"/>
  <c r="G1337" i="26"/>
  <c r="G1336" i="26"/>
  <c r="H1336" i="26" s="1"/>
  <c r="G1325" i="26"/>
  <c r="H1325" i="26" s="1"/>
  <c r="G1324" i="26"/>
  <c r="G1321" i="26"/>
  <c r="H1321" i="26" s="1"/>
  <c r="G1320" i="26"/>
  <c r="H1320" i="26" s="1"/>
  <c r="G1319" i="26"/>
  <c r="G1318" i="26"/>
  <c r="H1318" i="26" s="1"/>
  <c r="G1307" i="26"/>
  <c r="H1307" i="26" s="1"/>
  <c r="H1308" i="26" s="1"/>
  <c r="G1304" i="26"/>
  <c r="H1304" i="26" s="1"/>
  <c r="G1303" i="26"/>
  <c r="H1303" i="26" s="1"/>
  <c r="G1302" i="26"/>
  <c r="G1301" i="26"/>
  <c r="H1301" i="26" s="1"/>
  <c r="G1290" i="26"/>
  <c r="H1290" i="26" s="1"/>
  <c r="H1291" i="26" s="1"/>
  <c r="G1287" i="26"/>
  <c r="H1287" i="26" s="1"/>
  <c r="G1286" i="26"/>
  <c r="H1286" i="26" s="1"/>
  <c r="G1285" i="26"/>
  <c r="G1284" i="26"/>
  <c r="H1284" i="26" s="1"/>
  <c r="G1273" i="26"/>
  <c r="H1273" i="26" s="1"/>
  <c r="H1274" i="26" s="1"/>
  <c r="G1270" i="26"/>
  <c r="H1270" i="26" s="1"/>
  <c r="G1269" i="26"/>
  <c r="H1269" i="26" s="1"/>
  <c r="G1268" i="26"/>
  <c r="G1267" i="26"/>
  <c r="H1267" i="26" s="1"/>
  <c r="G1256" i="26"/>
  <c r="H1256" i="26" s="1"/>
  <c r="H1257" i="26" s="1"/>
  <c r="G1253" i="26"/>
  <c r="H1253" i="26" s="1"/>
  <c r="G1252" i="26"/>
  <c r="H1252" i="26" s="1"/>
  <c r="G1251" i="26"/>
  <c r="G1250" i="26"/>
  <c r="H1250" i="26" s="1"/>
  <c r="G1239" i="26"/>
  <c r="H1239" i="26" s="1"/>
  <c r="H1240" i="26" s="1"/>
  <c r="G1236" i="26"/>
  <c r="H1236" i="26" s="1"/>
  <c r="G1235" i="26"/>
  <c r="H1235" i="26" s="1"/>
  <c r="G1234" i="26"/>
  <c r="G1233" i="26"/>
  <c r="H1233" i="26" s="1"/>
  <c r="G1222" i="26"/>
  <c r="H1222" i="26" s="1"/>
  <c r="H1223" i="26" s="1"/>
  <c r="G1219" i="26"/>
  <c r="H1219" i="26" s="1"/>
  <c r="G1218" i="26"/>
  <c r="H1218" i="26" s="1"/>
  <c r="G1217" i="26"/>
  <c r="G1216" i="26"/>
  <c r="H1216" i="26" s="1"/>
  <c r="G1205" i="26"/>
  <c r="H1205" i="26" s="1"/>
  <c r="H1206" i="26" s="1"/>
  <c r="G1202" i="26"/>
  <c r="H1202" i="26" s="1"/>
  <c r="G1201" i="26"/>
  <c r="H1201" i="26" s="1"/>
  <c r="G1200" i="26"/>
  <c r="G1199" i="26"/>
  <c r="H1199" i="26" s="1"/>
  <c r="G1188" i="26"/>
  <c r="H1188" i="26" s="1"/>
  <c r="H1189" i="26" s="1"/>
  <c r="G1185" i="26"/>
  <c r="H1185" i="26" s="1"/>
  <c r="G1184" i="26"/>
  <c r="H1184" i="26" s="1"/>
  <c r="G1183" i="26"/>
  <c r="G1182" i="26"/>
  <c r="H1182" i="26" s="1"/>
  <c r="G1171" i="26"/>
  <c r="H1171" i="26" s="1"/>
  <c r="H1172" i="26" s="1"/>
  <c r="G1168" i="26"/>
  <c r="H1168" i="26" s="1"/>
  <c r="G1167" i="26"/>
  <c r="H1167" i="26" s="1"/>
  <c r="G1166" i="26"/>
  <c r="G1165" i="26"/>
  <c r="H1165" i="26" s="1"/>
  <c r="G1154" i="26"/>
  <c r="H1154" i="26" s="1"/>
  <c r="H1155" i="26" s="1"/>
  <c r="G1151" i="26"/>
  <c r="H1151" i="26" s="1"/>
  <c r="G1150" i="26"/>
  <c r="H1150" i="26" s="1"/>
  <c r="G1149" i="26"/>
  <c r="G1148" i="26"/>
  <c r="H1148" i="26" s="1"/>
  <c r="G1137" i="26"/>
  <c r="H1137" i="26" s="1"/>
  <c r="H1138" i="26" s="1"/>
  <c r="G1134" i="26"/>
  <c r="H1134" i="26" s="1"/>
  <c r="G1133" i="26"/>
  <c r="H1133" i="26" s="1"/>
  <c r="G1132" i="26"/>
  <c r="G1131" i="26"/>
  <c r="H1131" i="26" s="1"/>
  <c r="G1120" i="26"/>
  <c r="H1120" i="26" s="1"/>
  <c r="H1121" i="26" s="1"/>
  <c r="G1117" i="26"/>
  <c r="H1117" i="26" s="1"/>
  <c r="G1116" i="26"/>
  <c r="H1116" i="26" s="1"/>
  <c r="G1115" i="26"/>
  <c r="G1114" i="26"/>
  <c r="H1114" i="26" s="1"/>
  <c r="G1103" i="26"/>
  <c r="H1103" i="26" s="1"/>
  <c r="H1104" i="26" s="1"/>
  <c r="G1100" i="26"/>
  <c r="H1100" i="26" s="1"/>
  <c r="G1099" i="26"/>
  <c r="H1099" i="26" s="1"/>
  <c r="G1098" i="26"/>
  <c r="G1097" i="26"/>
  <c r="H1097" i="26" s="1"/>
  <c r="G1086" i="26"/>
  <c r="H1086" i="26" s="1"/>
  <c r="H1087" i="26" s="1"/>
  <c r="G1083" i="26"/>
  <c r="H1083" i="26" s="1"/>
  <c r="G1082" i="26"/>
  <c r="H1082" i="26" s="1"/>
  <c r="G1081" i="26"/>
  <c r="G1080" i="26"/>
  <c r="H1080" i="26" s="1"/>
  <c r="G1069" i="26"/>
  <c r="H1069" i="26" s="1"/>
  <c r="H1070" i="26" s="1"/>
  <c r="G1066" i="26"/>
  <c r="H1066" i="26" s="1"/>
  <c r="G1065" i="26"/>
  <c r="H1065" i="26" s="1"/>
  <c r="G1064" i="26"/>
  <c r="G1063" i="26"/>
  <c r="H1063" i="26" s="1"/>
  <c r="G1052" i="26"/>
  <c r="H1052" i="26" s="1"/>
  <c r="H1053" i="26" s="1"/>
  <c r="G1049" i="26"/>
  <c r="H1049" i="26" s="1"/>
  <c r="G1048" i="26"/>
  <c r="H1048" i="26" s="1"/>
  <c r="G1047" i="26"/>
  <c r="G1046" i="26"/>
  <c r="H1046" i="26" s="1"/>
  <c r="G1035" i="26"/>
  <c r="H1035" i="26" s="1"/>
  <c r="H1036" i="26" s="1"/>
  <c r="G1032" i="26"/>
  <c r="H1032" i="26" s="1"/>
  <c r="G1031" i="26"/>
  <c r="H1031" i="26" s="1"/>
  <c r="G1030" i="26"/>
  <c r="G1029" i="26"/>
  <c r="H1029" i="26" s="1"/>
  <c r="G1018" i="26"/>
  <c r="H1018" i="26" s="1"/>
  <c r="H1019" i="26" s="1"/>
  <c r="G1015" i="26"/>
  <c r="H1015" i="26" s="1"/>
  <c r="G1014" i="26"/>
  <c r="H1014" i="26" s="1"/>
  <c r="G1013" i="26"/>
  <c r="G1012" i="26"/>
  <c r="H1012" i="26" s="1"/>
  <c r="G1001" i="26"/>
  <c r="H1001" i="26" s="1"/>
  <c r="H1002" i="26" s="1"/>
  <c r="G998" i="26"/>
  <c r="H998" i="26" s="1"/>
  <c r="G997" i="26"/>
  <c r="H997" i="26" s="1"/>
  <c r="G996" i="26"/>
  <c r="G995" i="26"/>
  <c r="H995" i="26" s="1"/>
  <c r="G984" i="26"/>
  <c r="H984" i="26" s="1"/>
  <c r="H985" i="26" s="1"/>
  <c r="G981" i="26"/>
  <c r="H981" i="26" s="1"/>
  <c r="G980" i="26"/>
  <c r="H980" i="26" s="1"/>
  <c r="G979" i="26"/>
  <c r="G978" i="26"/>
  <c r="H978" i="26" s="1"/>
  <c r="G967" i="26"/>
  <c r="H967" i="26" s="1"/>
  <c r="H968" i="26" s="1"/>
  <c r="G964" i="26"/>
  <c r="H964" i="26" s="1"/>
  <c r="G963" i="26"/>
  <c r="H963" i="26" s="1"/>
  <c r="G962" i="26"/>
  <c r="G961" i="26"/>
  <c r="H961" i="26" s="1"/>
  <c r="G950" i="26"/>
  <c r="H950" i="26" s="1"/>
  <c r="G949" i="26"/>
  <c r="H949" i="26" s="1"/>
  <c r="G946" i="26"/>
  <c r="H946" i="26" s="1"/>
  <c r="G945" i="26"/>
  <c r="H945" i="26" s="1"/>
  <c r="G944" i="26"/>
  <c r="G943" i="26"/>
  <c r="H943" i="26" s="1"/>
  <c r="G932" i="26"/>
  <c r="H932" i="26" s="1"/>
  <c r="G931" i="26"/>
  <c r="H931" i="26" s="1"/>
  <c r="G928" i="26"/>
  <c r="H928" i="26" s="1"/>
  <c r="G927" i="26"/>
  <c r="H927" i="26" s="1"/>
  <c r="G926" i="26"/>
  <c r="G925" i="26"/>
  <c r="H925" i="26" s="1"/>
  <c r="G914" i="26"/>
  <c r="H914" i="26" s="1"/>
  <c r="H915" i="26" s="1"/>
  <c r="G911" i="26"/>
  <c r="H911" i="26" s="1"/>
  <c r="G910" i="26"/>
  <c r="H910" i="26" s="1"/>
  <c r="G909" i="26"/>
  <c r="G908" i="26"/>
  <c r="H908" i="26" s="1"/>
  <c r="G897" i="26"/>
  <c r="H897" i="26" s="1"/>
  <c r="H898" i="26" s="1"/>
  <c r="G894" i="26"/>
  <c r="H894" i="26" s="1"/>
  <c r="G893" i="26"/>
  <c r="H893" i="26" s="1"/>
  <c r="G892" i="26"/>
  <c r="G891" i="26"/>
  <c r="H891" i="26" s="1"/>
  <c r="G880" i="26"/>
  <c r="H880" i="26" s="1"/>
  <c r="H881" i="26" s="1"/>
  <c r="G877" i="26"/>
  <c r="H877" i="26" s="1"/>
  <c r="G876" i="26"/>
  <c r="H876" i="26" s="1"/>
  <c r="G875" i="26"/>
  <c r="G874" i="26"/>
  <c r="H874" i="26" s="1"/>
  <c r="G863" i="26"/>
  <c r="H863" i="26" s="1"/>
  <c r="H864" i="26" s="1"/>
  <c r="G860" i="26"/>
  <c r="H860" i="26" s="1"/>
  <c r="G859" i="26"/>
  <c r="H859" i="26" s="1"/>
  <c r="G858" i="26"/>
  <c r="G857" i="26"/>
  <c r="H857" i="26" s="1"/>
  <c r="G846" i="26"/>
  <c r="H846" i="26" s="1"/>
  <c r="H847" i="26" s="1"/>
  <c r="G843" i="26"/>
  <c r="H843" i="26" s="1"/>
  <c r="G842" i="26"/>
  <c r="H842" i="26" s="1"/>
  <c r="G841" i="26"/>
  <c r="G840" i="26"/>
  <c r="H840" i="26" s="1"/>
  <c r="G829" i="26"/>
  <c r="H829" i="26" s="1"/>
  <c r="H830" i="26" s="1"/>
  <c r="G826" i="26"/>
  <c r="H826" i="26" s="1"/>
  <c r="G825" i="26"/>
  <c r="H825" i="26" s="1"/>
  <c r="G824" i="26"/>
  <c r="G823" i="26"/>
  <c r="H823" i="26" s="1"/>
  <c r="G812" i="26"/>
  <c r="H812" i="26" s="1"/>
  <c r="H813" i="26" s="1"/>
  <c r="G809" i="26"/>
  <c r="H809" i="26" s="1"/>
  <c r="G808" i="26"/>
  <c r="H808" i="26" s="1"/>
  <c r="G807" i="26"/>
  <c r="G806" i="26"/>
  <c r="H806" i="26" s="1"/>
  <c r="G795" i="26"/>
  <c r="H795" i="26" s="1"/>
  <c r="H796" i="26" s="1"/>
  <c r="G792" i="26"/>
  <c r="H792" i="26" s="1"/>
  <c r="G791" i="26"/>
  <c r="H791" i="26" s="1"/>
  <c r="G790" i="26"/>
  <c r="G789" i="26"/>
  <c r="H789" i="26" s="1"/>
  <c r="G778" i="26"/>
  <c r="H778" i="26" s="1"/>
  <c r="H779" i="26" s="1"/>
  <c r="G775" i="26"/>
  <c r="H775" i="26" s="1"/>
  <c r="G774" i="26"/>
  <c r="H774" i="26" s="1"/>
  <c r="G773" i="26"/>
  <c r="G772" i="26"/>
  <c r="H772" i="26" s="1"/>
  <c r="G761" i="26"/>
  <c r="H761" i="26" s="1"/>
  <c r="H762" i="26" s="1"/>
  <c r="G758" i="26"/>
  <c r="H758" i="26" s="1"/>
  <c r="G757" i="26"/>
  <c r="H757" i="26" s="1"/>
  <c r="G756" i="26"/>
  <c r="G755" i="26"/>
  <c r="H755" i="26" s="1"/>
  <c r="G744" i="26"/>
  <c r="H744" i="26" s="1"/>
  <c r="H745" i="26" s="1"/>
  <c r="G741" i="26"/>
  <c r="H741" i="26" s="1"/>
  <c r="G740" i="26"/>
  <c r="H740" i="26" s="1"/>
  <c r="G739" i="26"/>
  <c r="G738" i="26"/>
  <c r="H738" i="26" s="1"/>
  <c r="G727" i="26"/>
  <c r="H727" i="26" s="1"/>
  <c r="H728" i="26" s="1"/>
  <c r="G724" i="26"/>
  <c r="H724" i="26" s="1"/>
  <c r="G723" i="26"/>
  <c r="H723" i="26" s="1"/>
  <c r="G722" i="26"/>
  <c r="G721" i="26"/>
  <c r="H721" i="26" s="1"/>
  <c r="G710" i="26"/>
  <c r="H710" i="26" s="1"/>
  <c r="H711" i="26" s="1"/>
  <c r="G707" i="26"/>
  <c r="H707" i="26" s="1"/>
  <c r="G706" i="26"/>
  <c r="H706" i="26" s="1"/>
  <c r="G705" i="26"/>
  <c r="G704" i="26"/>
  <c r="H704" i="26" s="1"/>
  <c r="G693" i="26"/>
  <c r="H693" i="26" s="1"/>
  <c r="H694" i="26" s="1"/>
  <c r="G690" i="26"/>
  <c r="H690" i="26" s="1"/>
  <c r="G689" i="26"/>
  <c r="H689" i="26" s="1"/>
  <c r="G688" i="26"/>
  <c r="G687" i="26"/>
  <c r="H687" i="26" s="1"/>
  <c r="G676" i="26"/>
  <c r="H676" i="26" s="1"/>
  <c r="H677" i="26" s="1"/>
  <c r="G673" i="26"/>
  <c r="H673" i="26" s="1"/>
  <c r="G672" i="26"/>
  <c r="H672" i="26" s="1"/>
  <c r="G671" i="26"/>
  <c r="G670" i="26"/>
  <c r="H670" i="26" s="1"/>
  <c r="G659" i="26"/>
  <c r="H659" i="26" s="1"/>
  <c r="H660" i="26" s="1"/>
  <c r="G656" i="26"/>
  <c r="H656" i="26" s="1"/>
  <c r="G655" i="26"/>
  <c r="H655" i="26" s="1"/>
  <c r="G654" i="26"/>
  <c r="G653" i="26"/>
  <c r="H653" i="26" s="1"/>
  <c r="G642" i="26"/>
  <c r="H642" i="26" s="1"/>
  <c r="H643" i="26" s="1"/>
  <c r="G639" i="26"/>
  <c r="H639" i="26" s="1"/>
  <c r="G638" i="26"/>
  <c r="H638" i="26" s="1"/>
  <c r="G637" i="26"/>
  <c r="G636" i="26"/>
  <c r="H636" i="26" s="1"/>
  <c r="G625" i="26"/>
  <c r="H625" i="26" s="1"/>
  <c r="H626" i="26" s="1"/>
  <c r="G622" i="26"/>
  <c r="H622" i="26" s="1"/>
  <c r="G621" i="26"/>
  <c r="H621" i="26" s="1"/>
  <c r="G620" i="26"/>
  <c r="G619" i="26"/>
  <c r="H619" i="26" s="1"/>
  <c r="G608" i="26"/>
  <c r="H608" i="26" s="1"/>
  <c r="H609" i="26" s="1"/>
  <c r="G605" i="26"/>
  <c r="H605" i="26" s="1"/>
  <c r="G604" i="26"/>
  <c r="H604" i="26" s="1"/>
  <c r="G603" i="26"/>
  <c r="G602" i="26"/>
  <c r="H602" i="26" s="1"/>
  <c r="G591" i="26"/>
  <c r="H591" i="26" s="1"/>
  <c r="H592" i="26" s="1"/>
  <c r="G588" i="26"/>
  <c r="H588" i="26" s="1"/>
  <c r="G587" i="26"/>
  <c r="H587" i="26" s="1"/>
  <c r="G586" i="26"/>
  <c r="G585" i="26"/>
  <c r="H585" i="26" s="1"/>
  <c r="G574" i="26"/>
  <c r="H574" i="26" s="1"/>
  <c r="H575" i="26" s="1"/>
  <c r="G571" i="26"/>
  <c r="H571" i="26" s="1"/>
  <c r="G570" i="26"/>
  <c r="H570" i="26" s="1"/>
  <c r="G569" i="26"/>
  <c r="G568" i="26"/>
  <c r="H568" i="26" s="1"/>
  <c r="G557" i="26"/>
  <c r="H557" i="26" s="1"/>
  <c r="H558" i="26" s="1"/>
  <c r="G554" i="26"/>
  <c r="H554" i="26" s="1"/>
  <c r="G553" i="26"/>
  <c r="H553" i="26" s="1"/>
  <c r="G552" i="26"/>
  <c r="G551" i="26"/>
  <c r="H551" i="26" s="1"/>
  <c r="G540" i="26"/>
  <c r="H540" i="26" s="1"/>
  <c r="H541" i="26" s="1"/>
  <c r="G537" i="26"/>
  <c r="H537" i="26" s="1"/>
  <c r="G536" i="26"/>
  <c r="H536" i="26" s="1"/>
  <c r="G535" i="26"/>
  <c r="G534" i="26"/>
  <c r="H534" i="26" s="1"/>
  <c r="G523" i="26"/>
  <c r="H523" i="26" s="1"/>
  <c r="H524" i="26" s="1"/>
  <c r="G520" i="26"/>
  <c r="H520" i="26" s="1"/>
  <c r="G519" i="26"/>
  <c r="H519" i="26" s="1"/>
  <c r="G518" i="26"/>
  <c r="G517" i="26"/>
  <c r="H517" i="26" s="1"/>
  <c r="G506" i="26"/>
  <c r="H506" i="26" s="1"/>
  <c r="H507" i="26" s="1"/>
  <c r="G503" i="26"/>
  <c r="H503" i="26" s="1"/>
  <c r="G502" i="26"/>
  <c r="H502" i="26" s="1"/>
  <c r="G501" i="26"/>
  <c r="G500" i="26"/>
  <c r="H500" i="26" s="1"/>
  <c r="G489" i="26"/>
  <c r="H489" i="26" s="1"/>
  <c r="H490" i="26" s="1"/>
  <c r="G486" i="26"/>
  <c r="H486" i="26" s="1"/>
  <c r="G485" i="26"/>
  <c r="H485" i="26" s="1"/>
  <c r="G484" i="26"/>
  <c r="G483" i="26"/>
  <c r="H483" i="26" s="1"/>
  <c r="G472" i="26"/>
  <c r="H472" i="26" s="1"/>
  <c r="H473" i="26" s="1"/>
  <c r="G469" i="26"/>
  <c r="H469" i="26" s="1"/>
  <c r="G468" i="26"/>
  <c r="H468" i="26" s="1"/>
  <c r="G467" i="26"/>
  <c r="G466" i="26"/>
  <c r="H466" i="26" s="1"/>
  <c r="G455" i="26"/>
  <c r="G452" i="26"/>
  <c r="H452" i="26" s="1"/>
  <c r="G451" i="26"/>
  <c r="H451" i="26" s="1"/>
  <c r="G450" i="26"/>
  <c r="G449" i="26"/>
  <c r="H449" i="26" s="1"/>
  <c r="G438" i="26"/>
  <c r="G435" i="26"/>
  <c r="H435" i="26" s="1"/>
  <c r="G434" i="26"/>
  <c r="H434" i="26" s="1"/>
  <c r="G433" i="26"/>
  <c r="G432" i="26"/>
  <c r="H432" i="26" s="1"/>
  <c r="G421" i="26"/>
  <c r="H421" i="26" s="1"/>
  <c r="H422" i="26" s="1"/>
  <c r="G418" i="26"/>
  <c r="H418" i="26" s="1"/>
  <c r="G417" i="26"/>
  <c r="H417" i="26" s="1"/>
  <c r="G416" i="26"/>
  <c r="G415" i="26"/>
  <c r="H415" i="26" s="1"/>
  <c r="G404" i="26"/>
  <c r="H404" i="26" s="1"/>
  <c r="H405" i="26" s="1"/>
  <c r="G401" i="26"/>
  <c r="H401" i="26" s="1"/>
  <c r="G400" i="26"/>
  <c r="H400" i="26" s="1"/>
  <c r="G399" i="26"/>
  <c r="G398" i="26"/>
  <c r="H398" i="26" s="1"/>
  <c r="G387" i="26"/>
  <c r="H387" i="26" s="1"/>
  <c r="H388" i="26" s="1"/>
  <c r="G384" i="26"/>
  <c r="H384" i="26" s="1"/>
  <c r="G383" i="26"/>
  <c r="H383" i="26" s="1"/>
  <c r="G382" i="26"/>
  <c r="G381" i="26"/>
  <c r="H381" i="26" s="1"/>
  <c r="G370" i="26"/>
  <c r="H370" i="26" s="1"/>
  <c r="H371" i="26" s="1"/>
  <c r="G367" i="26"/>
  <c r="H367" i="26" s="1"/>
  <c r="G366" i="26"/>
  <c r="H366" i="26" s="1"/>
  <c r="G365" i="26"/>
  <c r="G364" i="26"/>
  <c r="H364" i="26" s="1"/>
  <c r="G353" i="26"/>
  <c r="H353" i="26" s="1"/>
  <c r="H354" i="26" s="1"/>
  <c r="G350" i="26"/>
  <c r="H350" i="26" s="1"/>
  <c r="G349" i="26"/>
  <c r="H349" i="26" s="1"/>
  <c r="G348" i="26"/>
  <c r="G347" i="26"/>
  <c r="H347" i="26" s="1"/>
  <c r="G336" i="26"/>
  <c r="H336" i="26" s="1"/>
  <c r="H337" i="26" s="1"/>
  <c r="G333" i="26"/>
  <c r="H333" i="26" s="1"/>
  <c r="G332" i="26"/>
  <c r="G331" i="26"/>
  <c r="G330" i="26"/>
  <c r="H330" i="26" s="1"/>
  <c r="G319" i="26"/>
  <c r="H319" i="26" s="1"/>
  <c r="H320" i="26" s="1"/>
  <c r="G316" i="26"/>
  <c r="H316" i="26" s="1"/>
  <c r="G315" i="26"/>
  <c r="H315" i="26" s="1"/>
  <c r="G314" i="26"/>
  <c r="G313" i="26"/>
  <c r="H313" i="26" s="1"/>
  <c r="G302" i="26"/>
  <c r="H302" i="26" s="1"/>
  <c r="H303" i="26" s="1"/>
  <c r="G299" i="26"/>
  <c r="H299" i="26" s="1"/>
  <c r="G298" i="26"/>
  <c r="H298" i="26" s="1"/>
  <c r="G297" i="26"/>
  <c r="G296" i="26"/>
  <c r="H296" i="26" s="1"/>
  <c r="G285" i="26"/>
  <c r="G282" i="26"/>
  <c r="H282" i="26" s="1"/>
  <c r="G281" i="26"/>
  <c r="H281" i="26" s="1"/>
  <c r="G280" i="26"/>
  <c r="G279" i="26"/>
  <c r="H279" i="26" s="1"/>
  <c r="G268" i="26"/>
  <c r="H268" i="26" s="1"/>
  <c r="H269" i="26" s="1"/>
  <c r="G265" i="26"/>
  <c r="H265" i="26" s="1"/>
  <c r="G264" i="26"/>
  <c r="H264" i="26" s="1"/>
  <c r="G263" i="26"/>
  <c r="G262" i="26"/>
  <c r="H262" i="26" s="1"/>
  <c r="G251" i="26"/>
  <c r="H251" i="26" s="1"/>
  <c r="H252" i="26" s="1"/>
  <c r="G248" i="26"/>
  <c r="H248" i="26" s="1"/>
  <c r="G247" i="26"/>
  <c r="H247" i="26" s="1"/>
  <c r="G246" i="26"/>
  <c r="G245" i="26"/>
  <c r="H245" i="26" s="1"/>
  <c r="G234" i="26"/>
  <c r="H234" i="26" s="1"/>
  <c r="H235" i="26" s="1"/>
  <c r="G231" i="26"/>
  <c r="H231" i="26" s="1"/>
  <c r="G230" i="26"/>
  <c r="H230" i="26" s="1"/>
  <c r="G229" i="26"/>
  <c r="G228" i="26"/>
  <c r="H228" i="26" s="1"/>
  <c r="G217" i="26"/>
  <c r="H217" i="26" s="1"/>
  <c r="H218" i="26" s="1"/>
  <c r="G214" i="26"/>
  <c r="H214" i="26" s="1"/>
  <c r="G213" i="26"/>
  <c r="H213" i="26" s="1"/>
  <c r="G212" i="26"/>
  <c r="G211" i="26"/>
  <c r="H211" i="26" s="1"/>
  <c r="G200" i="26"/>
  <c r="H200" i="26" s="1"/>
  <c r="H201" i="26" s="1"/>
  <c r="G197" i="26"/>
  <c r="H197" i="26" s="1"/>
  <c r="G196" i="26"/>
  <c r="H196" i="26" s="1"/>
  <c r="G195" i="26"/>
  <c r="G194" i="26"/>
  <c r="H194" i="26" s="1"/>
  <c r="G183" i="26"/>
  <c r="H183" i="26" s="1"/>
  <c r="H184" i="26" s="1"/>
  <c r="G180" i="26"/>
  <c r="H180" i="26" s="1"/>
  <c r="G179" i="26"/>
  <c r="H179" i="26" s="1"/>
  <c r="G178" i="26"/>
  <c r="G177" i="26"/>
  <c r="H177" i="26" s="1"/>
  <c r="G166" i="26"/>
  <c r="H166" i="26" s="1"/>
  <c r="H167" i="26" s="1"/>
  <c r="G163" i="26"/>
  <c r="H163" i="26" s="1"/>
  <c r="G162" i="26"/>
  <c r="H162" i="26" s="1"/>
  <c r="G161" i="26"/>
  <c r="G160" i="26"/>
  <c r="H160" i="26" s="1"/>
  <c r="G149" i="26"/>
  <c r="H149" i="26" s="1"/>
  <c r="H150" i="26" s="1"/>
  <c r="G146" i="26"/>
  <c r="H146" i="26" s="1"/>
  <c r="G145" i="26"/>
  <c r="H145" i="26" s="1"/>
  <c r="G144" i="26"/>
  <c r="G143" i="26"/>
  <c r="H143" i="26" s="1"/>
  <c r="G132" i="26"/>
  <c r="H132" i="26" s="1"/>
  <c r="H133" i="26" s="1"/>
  <c r="G129" i="26"/>
  <c r="H129" i="26" s="1"/>
  <c r="G128" i="26"/>
  <c r="H128" i="26" s="1"/>
  <c r="G127" i="26"/>
  <c r="G126" i="26"/>
  <c r="H126" i="26" s="1"/>
  <c r="G115" i="26"/>
  <c r="G112" i="26"/>
  <c r="H112" i="26" s="1"/>
  <c r="G111" i="26"/>
  <c r="H111" i="26" s="1"/>
  <c r="G110" i="26"/>
  <c r="G109" i="26"/>
  <c r="H109" i="26" s="1"/>
  <c r="G98" i="26"/>
  <c r="G95" i="26"/>
  <c r="H95" i="26" s="1"/>
  <c r="G94" i="26"/>
  <c r="H94" i="26" s="1"/>
  <c r="G93" i="26"/>
  <c r="G92" i="26"/>
  <c r="H92" i="26" s="1"/>
  <c r="G81" i="26"/>
  <c r="H81" i="26" s="1"/>
  <c r="H82" i="26" s="1"/>
  <c r="G78" i="26"/>
  <c r="H78" i="26" s="1"/>
  <c r="G77" i="26"/>
  <c r="H77" i="26" s="1"/>
  <c r="G76" i="26"/>
  <c r="G75" i="26"/>
  <c r="H75" i="26" s="1"/>
  <c r="G64" i="26"/>
  <c r="H64" i="26" s="1"/>
  <c r="H65" i="26" s="1"/>
  <c r="G61" i="26"/>
  <c r="H61" i="26" s="1"/>
  <c r="G60" i="26"/>
  <c r="H60" i="26" s="1"/>
  <c r="G59" i="26"/>
  <c r="G58" i="26"/>
  <c r="H58" i="26" s="1"/>
  <c r="G47" i="26"/>
  <c r="H47" i="26" s="1"/>
  <c r="H48" i="26" s="1"/>
  <c r="G44" i="26"/>
  <c r="H44" i="26" s="1"/>
  <c r="G43" i="26"/>
  <c r="H43" i="26" s="1"/>
  <c r="G42" i="26"/>
  <c r="G41" i="26"/>
  <c r="H41" i="26" s="1"/>
  <c r="G30" i="26"/>
  <c r="H30" i="26" s="1"/>
  <c r="H31" i="26" s="1"/>
  <c r="G27" i="26"/>
  <c r="H27" i="26" s="1"/>
  <c r="G26" i="26"/>
  <c r="H26" i="26" s="1"/>
  <c r="G25" i="26"/>
  <c r="G24" i="26"/>
  <c r="H24" i="26" s="1"/>
  <c r="G18" i="26"/>
  <c r="G13" i="26"/>
  <c r="H13" i="26" s="1"/>
  <c r="H14" i="26" s="1"/>
  <c r="G10" i="26"/>
  <c r="H10" i="26" s="1"/>
  <c r="G9" i="26"/>
  <c r="H9" i="26" s="1"/>
  <c r="G8" i="26"/>
  <c r="H8" i="26" s="1"/>
  <c r="G7" i="26"/>
  <c r="H7" i="26" s="1"/>
  <c r="H2172" i="26"/>
  <c r="H2161" i="26"/>
  <c r="H2162" i="26" s="1"/>
  <c r="H2056" i="26"/>
  <c r="H2053" i="26"/>
  <c r="H1951" i="26"/>
  <c r="H1940" i="26"/>
  <c r="H1939" i="26"/>
  <c r="H1900" i="26"/>
  <c r="H1887" i="26"/>
  <c r="H1888" i="26" s="1"/>
  <c r="H1734" i="26"/>
  <c r="H1735" i="26" s="1"/>
  <c r="H1731" i="26"/>
  <c r="H1680" i="26"/>
  <c r="H1462" i="26"/>
  <c r="H1463" i="26" s="1"/>
  <c r="H1411" i="26"/>
  <c r="H1412" i="26" s="1"/>
  <c r="H1408" i="26"/>
  <c r="F438" i="26"/>
  <c r="H332" i="26"/>
  <c r="F285" i="26"/>
  <c r="F98" i="26"/>
  <c r="D25" i="26"/>
  <c r="D3" i="26"/>
  <c r="C3" i="26"/>
  <c r="G523" i="25"/>
  <c r="G505" i="25"/>
  <c r="G487" i="25"/>
  <c r="G469" i="25"/>
  <c r="G451" i="25"/>
  <c r="G433" i="25"/>
  <c r="G415" i="25"/>
  <c r="G397" i="25"/>
  <c r="G379" i="25"/>
  <c r="G361" i="25"/>
  <c r="G343" i="25"/>
  <c r="G325" i="25"/>
  <c r="G307" i="25"/>
  <c r="G289" i="25"/>
  <c r="G271" i="25"/>
  <c r="G253" i="25"/>
  <c r="G235" i="25"/>
  <c r="G217" i="25"/>
  <c r="G199" i="25"/>
  <c r="G181" i="25"/>
  <c r="G163" i="25"/>
  <c r="G145" i="25"/>
  <c r="G127" i="25"/>
  <c r="G109" i="25"/>
  <c r="G91" i="25"/>
  <c r="G73" i="25"/>
  <c r="G55" i="25"/>
  <c r="G37" i="25"/>
  <c r="G19" i="25"/>
  <c r="G517" i="25"/>
  <c r="G514" i="25"/>
  <c r="H514" i="25" s="1"/>
  <c r="G513" i="25"/>
  <c r="H513" i="25" s="1"/>
  <c r="G512" i="25"/>
  <c r="G511" i="25"/>
  <c r="H511" i="25" s="1"/>
  <c r="G499" i="25"/>
  <c r="G496" i="25"/>
  <c r="H496" i="25" s="1"/>
  <c r="G495" i="25"/>
  <c r="H495" i="25" s="1"/>
  <c r="G494" i="25"/>
  <c r="G493" i="25"/>
  <c r="H493" i="25" s="1"/>
  <c r="G481" i="25"/>
  <c r="G478" i="25"/>
  <c r="H478" i="25" s="1"/>
  <c r="G477" i="25"/>
  <c r="H477" i="25" s="1"/>
  <c r="G476" i="25"/>
  <c r="G475" i="25"/>
  <c r="H475" i="25" s="1"/>
  <c r="G463" i="25"/>
  <c r="G460" i="25"/>
  <c r="H460" i="25" s="1"/>
  <c r="G459" i="25"/>
  <c r="H459" i="25" s="1"/>
  <c r="G458" i="25"/>
  <c r="G457" i="25"/>
  <c r="H457" i="25" s="1"/>
  <c r="G445" i="25"/>
  <c r="G442" i="25"/>
  <c r="H442" i="25" s="1"/>
  <c r="G441" i="25"/>
  <c r="H441" i="25" s="1"/>
  <c r="G440" i="25"/>
  <c r="G439" i="25"/>
  <c r="H439" i="25" s="1"/>
  <c r="G427" i="25"/>
  <c r="G424" i="25"/>
  <c r="H424" i="25" s="1"/>
  <c r="G423" i="25"/>
  <c r="H423" i="25" s="1"/>
  <c r="G422" i="25"/>
  <c r="G421" i="25"/>
  <c r="H421" i="25" s="1"/>
  <c r="G409" i="25"/>
  <c r="G406" i="25"/>
  <c r="H406" i="25" s="1"/>
  <c r="G405" i="25"/>
  <c r="H405" i="25" s="1"/>
  <c r="G404" i="25"/>
  <c r="G403" i="25"/>
  <c r="H403" i="25" s="1"/>
  <c r="G391" i="25"/>
  <c r="G388" i="25"/>
  <c r="H388" i="25" s="1"/>
  <c r="G387" i="25"/>
  <c r="H387" i="25" s="1"/>
  <c r="G386" i="25"/>
  <c r="G385" i="25"/>
  <c r="H385" i="25" s="1"/>
  <c r="G373" i="25"/>
  <c r="G370" i="25"/>
  <c r="H370" i="25" s="1"/>
  <c r="G369" i="25"/>
  <c r="H369" i="25" s="1"/>
  <c r="G368" i="25"/>
  <c r="G367" i="25"/>
  <c r="H367" i="25" s="1"/>
  <c r="G355" i="25"/>
  <c r="G352" i="25"/>
  <c r="H352" i="25" s="1"/>
  <c r="G351" i="25"/>
  <c r="H351" i="25" s="1"/>
  <c r="G350" i="25"/>
  <c r="G349" i="25"/>
  <c r="H349" i="25" s="1"/>
  <c r="G337" i="25"/>
  <c r="G334" i="25"/>
  <c r="H334" i="25" s="1"/>
  <c r="G333" i="25"/>
  <c r="H333" i="25" s="1"/>
  <c r="G332" i="25"/>
  <c r="G331" i="25"/>
  <c r="H331" i="25" s="1"/>
  <c r="G319" i="25"/>
  <c r="G316" i="25"/>
  <c r="H316" i="25" s="1"/>
  <c r="G315" i="25"/>
  <c r="H315" i="25" s="1"/>
  <c r="G314" i="25"/>
  <c r="G313" i="25"/>
  <c r="H313" i="25" s="1"/>
  <c r="G301" i="25"/>
  <c r="G298" i="25"/>
  <c r="H298" i="25" s="1"/>
  <c r="G297" i="25"/>
  <c r="H297" i="25" s="1"/>
  <c r="G296" i="25"/>
  <c r="G295" i="25"/>
  <c r="H295" i="25" s="1"/>
  <c r="G283" i="25"/>
  <c r="G280" i="25"/>
  <c r="H280" i="25" s="1"/>
  <c r="G279" i="25"/>
  <c r="H279" i="25" s="1"/>
  <c r="G278" i="25"/>
  <c r="G277" i="25"/>
  <c r="H277" i="25" s="1"/>
  <c r="G265" i="25"/>
  <c r="G262" i="25"/>
  <c r="H262" i="25" s="1"/>
  <c r="G261" i="25"/>
  <c r="H261" i="25" s="1"/>
  <c r="G260" i="25"/>
  <c r="G259" i="25"/>
  <c r="H259" i="25" s="1"/>
  <c r="G247" i="25"/>
  <c r="G244" i="25"/>
  <c r="H244" i="25" s="1"/>
  <c r="G243" i="25"/>
  <c r="H243" i="25" s="1"/>
  <c r="G242" i="25"/>
  <c r="G241" i="25"/>
  <c r="H241" i="25" s="1"/>
  <c r="G229" i="25"/>
  <c r="G226" i="25"/>
  <c r="H226" i="25" s="1"/>
  <c r="G225" i="25"/>
  <c r="H225" i="25" s="1"/>
  <c r="G224" i="25"/>
  <c r="G223" i="25"/>
  <c r="H223" i="25" s="1"/>
  <c r="G211" i="25"/>
  <c r="G208" i="25"/>
  <c r="H208" i="25" s="1"/>
  <c r="G207" i="25"/>
  <c r="H207" i="25" s="1"/>
  <c r="G206" i="25"/>
  <c r="G205" i="25"/>
  <c r="H205" i="25" s="1"/>
  <c r="G193" i="25"/>
  <c r="G190" i="25"/>
  <c r="H190" i="25" s="1"/>
  <c r="G189" i="25"/>
  <c r="H189" i="25" s="1"/>
  <c r="G188" i="25"/>
  <c r="G187" i="25"/>
  <c r="H187" i="25" s="1"/>
  <c r="G175" i="25"/>
  <c r="G172" i="25"/>
  <c r="H172" i="25" s="1"/>
  <c r="G171" i="25"/>
  <c r="H171" i="25" s="1"/>
  <c r="G170" i="25"/>
  <c r="G169" i="25"/>
  <c r="H169" i="25" s="1"/>
  <c r="G157" i="25"/>
  <c r="G154" i="25"/>
  <c r="H154" i="25" s="1"/>
  <c r="G153" i="25"/>
  <c r="H153" i="25" s="1"/>
  <c r="G152" i="25"/>
  <c r="G151" i="25"/>
  <c r="H151" i="25" s="1"/>
  <c r="G139" i="25"/>
  <c r="G136" i="25"/>
  <c r="H136" i="25" s="1"/>
  <c r="G135" i="25"/>
  <c r="H135" i="25" s="1"/>
  <c r="G134" i="25"/>
  <c r="G133" i="25"/>
  <c r="H133" i="25" s="1"/>
  <c r="G121" i="25"/>
  <c r="G118" i="25"/>
  <c r="H118" i="25" s="1"/>
  <c r="G117" i="25"/>
  <c r="H117" i="25" s="1"/>
  <c r="G116" i="25"/>
  <c r="G115" i="25"/>
  <c r="H115" i="25" s="1"/>
  <c r="G103" i="25"/>
  <c r="G100" i="25"/>
  <c r="H100" i="25" s="1"/>
  <c r="G99" i="25"/>
  <c r="H99" i="25" s="1"/>
  <c r="G98" i="25"/>
  <c r="G97" i="25"/>
  <c r="H97" i="25" s="1"/>
  <c r="G85" i="25"/>
  <c r="G82" i="25"/>
  <c r="H82" i="25" s="1"/>
  <c r="G81" i="25"/>
  <c r="H81" i="25" s="1"/>
  <c r="G80" i="25"/>
  <c r="G79" i="25"/>
  <c r="H79" i="25" s="1"/>
  <c r="G67" i="25"/>
  <c r="G64" i="25"/>
  <c r="H64" i="25" s="1"/>
  <c r="G63" i="25"/>
  <c r="H63" i="25" s="1"/>
  <c r="G62" i="25"/>
  <c r="G61" i="25"/>
  <c r="H61" i="25" s="1"/>
  <c r="G49" i="25"/>
  <c r="H49" i="25" s="1"/>
  <c r="G46" i="25"/>
  <c r="H46" i="25" s="1"/>
  <c r="G45" i="25"/>
  <c r="H45" i="25" s="1"/>
  <c r="G44" i="25"/>
  <c r="G43" i="25"/>
  <c r="H43" i="25" s="1"/>
  <c r="G31" i="25"/>
  <c r="H31" i="25" s="1"/>
  <c r="G28" i="25"/>
  <c r="H28" i="25" s="1"/>
  <c r="G27" i="25"/>
  <c r="H27" i="25" s="1"/>
  <c r="G26" i="25"/>
  <c r="G25" i="25"/>
  <c r="H25" i="25" s="1"/>
  <c r="G13" i="25"/>
  <c r="H13" i="25" s="1"/>
  <c r="G10" i="25"/>
  <c r="H10" i="25" s="1"/>
  <c r="G9" i="25"/>
  <c r="H9" i="25" s="1"/>
  <c r="G8" i="25"/>
  <c r="H8" i="25" s="1"/>
  <c r="G7" i="25"/>
  <c r="H7" i="25" s="1"/>
  <c r="F67" i="25"/>
  <c r="D26" i="25"/>
  <c r="D44" i="25" s="1"/>
  <c r="F14" i="25"/>
  <c r="F32" i="25" s="1"/>
  <c r="D3" i="25"/>
  <c r="C3" i="25"/>
  <c r="G67" i="24"/>
  <c r="G45" i="24"/>
  <c r="G62" i="24"/>
  <c r="H62" i="24" s="1"/>
  <c r="G61" i="24"/>
  <c r="H61" i="24" s="1"/>
  <c r="G60" i="24"/>
  <c r="H60" i="24" s="1"/>
  <c r="G59" i="24"/>
  <c r="H59" i="24" s="1"/>
  <c r="G58" i="24"/>
  <c r="H58" i="24" s="1"/>
  <c r="G57" i="24"/>
  <c r="H57" i="24" s="1"/>
  <c r="G54" i="24"/>
  <c r="H54" i="24" s="1"/>
  <c r="G53" i="24"/>
  <c r="H53" i="24" s="1"/>
  <c r="G52" i="24"/>
  <c r="H52" i="24" s="1"/>
  <c r="G51" i="24"/>
  <c r="H51" i="24" s="1"/>
  <c r="G40" i="24"/>
  <c r="H40" i="24" s="1"/>
  <c r="G39" i="24"/>
  <c r="H39" i="24" s="1"/>
  <c r="G38" i="24"/>
  <c r="H38" i="24" s="1"/>
  <c r="G37" i="24"/>
  <c r="H37" i="24" s="1"/>
  <c r="G36" i="24"/>
  <c r="H36" i="24" s="1"/>
  <c r="G35" i="24"/>
  <c r="H35" i="24" s="1"/>
  <c r="G32" i="24"/>
  <c r="H32" i="24" s="1"/>
  <c r="G31" i="24"/>
  <c r="H31" i="24" s="1"/>
  <c r="G30" i="24"/>
  <c r="H30" i="24" s="1"/>
  <c r="G29" i="24"/>
  <c r="H29" i="24" s="1"/>
  <c r="G18" i="24"/>
  <c r="H18" i="24" s="1"/>
  <c r="G17" i="24"/>
  <c r="H17" i="24" s="1"/>
  <c r="G16" i="24"/>
  <c r="H16" i="24" s="1"/>
  <c r="G15" i="24"/>
  <c r="H15" i="24" s="1"/>
  <c r="G14" i="24"/>
  <c r="H14" i="24" s="1"/>
  <c r="G13" i="24"/>
  <c r="H13" i="24" s="1"/>
  <c r="G10" i="24"/>
  <c r="H10" i="24" s="1"/>
  <c r="G9" i="24"/>
  <c r="H9" i="24" s="1"/>
  <c r="G8" i="24"/>
  <c r="H8" i="24" s="1"/>
  <c r="G7" i="24"/>
  <c r="H7" i="24" s="1"/>
  <c r="G23" i="24"/>
  <c r="D3" i="24"/>
  <c r="C3" i="24"/>
  <c r="G155" i="23"/>
  <c r="G138" i="23"/>
  <c r="G121" i="23"/>
  <c r="G104" i="23"/>
  <c r="G87" i="23"/>
  <c r="G70" i="23"/>
  <c r="G53" i="23"/>
  <c r="G36" i="23"/>
  <c r="G18" i="23"/>
  <c r="G150" i="23"/>
  <c r="H150" i="23" s="1"/>
  <c r="H151" i="23" s="1"/>
  <c r="G147" i="23"/>
  <c r="H147" i="23" s="1"/>
  <c r="G146" i="23"/>
  <c r="H146" i="23" s="1"/>
  <c r="G145" i="23"/>
  <c r="G144" i="23"/>
  <c r="H144" i="23" s="1"/>
  <c r="G133" i="23"/>
  <c r="H133" i="23" s="1"/>
  <c r="H134" i="23" s="1"/>
  <c r="G130" i="23"/>
  <c r="H130" i="23" s="1"/>
  <c r="G129" i="23"/>
  <c r="H129" i="23" s="1"/>
  <c r="G128" i="23"/>
  <c r="G127" i="23"/>
  <c r="H127" i="23" s="1"/>
  <c r="G116" i="23"/>
  <c r="H116" i="23" s="1"/>
  <c r="H117" i="23" s="1"/>
  <c r="G113" i="23"/>
  <c r="H113" i="23" s="1"/>
  <c r="G112" i="23"/>
  <c r="H112" i="23" s="1"/>
  <c r="G111" i="23"/>
  <c r="G110" i="23"/>
  <c r="H110" i="23" s="1"/>
  <c r="G99" i="23"/>
  <c r="H99" i="23" s="1"/>
  <c r="H100" i="23" s="1"/>
  <c r="G96" i="23"/>
  <c r="H96" i="23" s="1"/>
  <c r="G95" i="23"/>
  <c r="H95" i="23" s="1"/>
  <c r="G94" i="23"/>
  <c r="G93" i="23"/>
  <c r="H93" i="23" s="1"/>
  <c r="G82" i="23"/>
  <c r="H82" i="23" s="1"/>
  <c r="H83" i="23" s="1"/>
  <c r="G79" i="23"/>
  <c r="H79" i="23" s="1"/>
  <c r="G78" i="23"/>
  <c r="H78" i="23" s="1"/>
  <c r="G77" i="23"/>
  <c r="G76" i="23"/>
  <c r="H76" i="23" s="1"/>
  <c r="G65" i="23"/>
  <c r="G62" i="23"/>
  <c r="H62" i="23" s="1"/>
  <c r="G61" i="23"/>
  <c r="H61" i="23" s="1"/>
  <c r="G60" i="23"/>
  <c r="G59" i="23"/>
  <c r="H59" i="23" s="1"/>
  <c r="G48" i="23"/>
  <c r="G45" i="23"/>
  <c r="H45" i="23" s="1"/>
  <c r="G44" i="23"/>
  <c r="H44" i="23" s="1"/>
  <c r="G43" i="23"/>
  <c r="G42" i="23"/>
  <c r="H42" i="23" s="1"/>
  <c r="G31" i="23"/>
  <c r="G28" i="23"/>
  <c r="H28" i="23" s="1"/>
  <c r="G27" i="23"/>
  <c r="H27" i="23" s="1"/>
  <c r="G26" i="23"/>
  <c r="G25" i="23"/>
  <c r="H25" i="23" s="1"/>
  <c r="G13" i="23"/>
  <c r="H13" i="23" s="1"/>
  <c r="H14" i="23" s="1"/>
  <c r="G10" i="23"/>
  <c r="H10" i="23" s="1"/>
  <c r="G9" i="23"/>
  <c r="H9" i="23" s="1"/>
  <c r="G8" i="23"/>
  <c r="H8" i="23" s="1"/>
  <c r="G7" i="23"/>
  <c r="H7" i="23" s="1"/>
  <c r="F31" i="23"/>
  <c r="F48" i="23" s="1"/>
  <c r="D26" i="23"/>
  <c r="D3" i="23"/>
  <c r="C3" i="23"/>
  <c r="G540" i="22"/>
  <c r="G537" i="22"/>
  <c r="H537" i="22" s="1"/>
  <c r="G536" i="22"/>
  <c r="H536" i="22" s="1"/>
  <c r="G535" i="22"/>
  <c r="G534" i="22"/>
  <c r="H534" i="22" s="1"/>
  <c r="G523" i="22"/>
  <c r="G520" i="22"/>
  <c r="H520" i="22" s="1"/>
  <c r="G519" i="22"/>
  <c r="H519" i="22" s="1"/>
  <c r="G518" i="22"/>
  <c r="G517" i="22"/>
  <c r="H517" i="22" s="1"/>
  <c r="G506" i="22"/>
  <c r="G503" i="22"/>
  <c r="H503" i="22" s="1"/>
  <c r="G502" i="22"/>
  <c r="H502" i="22" s="1"/>
  <c r="G501" i="22"/>
  <c r="G500" i="22"/>
  <c r="H500" i="22" s="1"/>
  <c r="G489" i="22"/>
  <c r="G486" i="22"/>
  <c r="H486" i="22" s="1"/>
  <c r="G485" i="22"/>
  <c r="H485" i="22" s="1"/>
  <c r="G484" i="22"/>
  <c r="G483" i="22"/>
  <c r="H483" i="22" s="1"/>
  <c r="G472" i="22"/>
  <c r="G469" i="22"/>
  <c r="H469" i="22" s="1"/>
  <c r="G468" i="22"/>
  <c r="H468" i="22" s="1"/>
  <c r="G467" i="22"/>
  <c r="G466" i="22"/>
  <c r="H466" i="22" s="1"/>
  <c r="G455" i="22"/>
  <c r="G452" i="22"/>
  <c r="H452" i="22" s="1"/>
  <c r="G451" i="22"/>
  <c r="H451" i="22" s="1"/>
  <c r="G450" i="22"/>
  <c r="G449" i="22"/>
  <c r="H449" i="22" s="1"/>
  <c r="G438" i="22"/>
  <c r="G435" i="22"/>
  <c r="H435" i="22" s="1"/>
  <c r="G434" i="22"/>
  <c r="H434" i="22" s="1"/>
  <c r="G433" i="22"/>
  <c r="G432" i="22"/>
  <c r="H432" i="22" s="1"/>
  <c r="G421" i="22"/>
  <c r="H421" i="22" s="1"/>
  <c r="H422" i="22" s="1"/>
  <c r="G418" i="22"/>
  <c r="H418" i="22" s="1"/>
  <c r="G417" i="22"/>
  <c r="H417" i="22" s="1"/>
  <c r="G416" i="22"/>
  <c r="G415" i="22"/>
  <c r="H415" i="22" s="1"/>
  <c r="G404" i="22"/>
  <c r="H404" i="22" s="1"/>
  <c r="H405" i="22" s="1"/>
  <c r="G401" i="22"/>
  <c r="H401" i="22" s="1"/>
  <c r="G400" i="22"/>
  <c r="H400" i="22" s="1"/>
  <c r="G399" i="22"/>
  <c r="G398" i="22"/>
  <c r="H398" i="22" s="1"/>
  <c r="G387" i="22"/>
  <c r="H387" i="22" s="1"/>
  <c r="H388" i="22" s="1"/>
  <c r="G384" i="22"/>
  <c r="H384" i="22" s="1"/>
  <c r="G383" i="22"/>
  <c r="H383" i="22" s="1"/>
  <c r="G382" i="22"/>
  <c r="G381" i="22"/>
  <c r="H381" i="22" s="1"/>
  <c r="G370" i="22"/>
  <c r="G367" i="22"/>
  <c r="H367" i="22" s="1"/>
  <c r="G366" i="22"/>
  <c r="H366" i="22" s="1"/>
  <c r="G365" i="22"/>
  <c r="G364" i="22"/>
  <c r="H364" i="22" s="1"/>
  <c r="G353" i="22"/>
  <c r="H353" i="22" s="1"/>
  <c r="H354" i="22" s="1"/>
  <c r="G350" i="22"/>
  <c r="H350" i="22" s="1"/>
  <c r="G349" i="22"/>
  <c r="H349" i="22" s="1"/>
  <c r="G348" i="22"/>
  <c r="G347" i="22"/>
  <c r="H347" i="22" s="1"/>
  <c r="G336" i="22"/>
  <c r="G333" i="22"/>
  <c r="H333" i="22" s="1"/>
  <c r="G332" i="22"/>
  <c r="H332" i="22" s="1"/>
  <c r="G331" i="22"/>
  <c r="G330" i="22"/>
  <c r="H330" i="22" s="1"/>
  <c r="G319" i="22"/>
  <c r="G316" i="22"/>
  <c r="H316" i="22" s="1"/>
  <c r="G315" i="22"/>
  <c r="H315" i="22" s="1"/>
  <c r="G314" i="22"/>
  <c r="G313" i="22"/>
  <c r="H313" i="22" s="1"/>
  <c r="G302" i="22"/>
  <c r="H302" i="22" s="1"/>
  <c r="H303" i="22" s="1"/>
  <c r="G299" i="22"/>
  <c r="H299" i="22" s="1"/>
  <c r="G298" i="22"/>
  <c r="H298" i="22" s="1"/>
  <c r="G297" i="22"/>
  <c r="G296" i="22"/>
  <c r="H296" i="22" s="1"/>
  <c r="G285" i="22"/>
  <c r="G282" i="22"/>
  <c r="H282" i="22" s="1"/>
  <c r="G281" i="22"/>
  <c r="H281" i="22" s="1"/>
  <c r="G280" i="22"/>
  <c r="G279" i="22"/>
  <c r="H279" i="22" s="1"/>
  <c r="G268" i="22"/>
  <c r="H268" i="22" s="1"/>
  <c r="H269" i="22" s="1"/>
  <c r="G265" i="22"/>
  <c r="H265" i="22" s="1"/>
  <c r="G264" i="22"/>
  <c r="H264" i="22" s="1"/>
  <c r="G263" i="22"/>
  <c r="H263" i="22" s="1"/>
  <c r="G262" i="22"/>
  <c r="H262" i="22" s="1"/>
  <c r="G251" i="22"/>
  <c r="H251" i="22" s="1"/>
  <c r="H252" i="22" s="1"/>
  <c r="G248" i="22"/>
  <c r="H248" i="22" s="1"/>
  <c r="G247" i="22"/>
  <c r="H247" i="22" s="1"/>
  <c r="G246" i="22"/>
  <c r="H246" i="22" s="1"/>
  <c r="G245" i="22"/>
  <c r="H245" i="22" s="1"/>
  <c r="G234" i="22"/>
  <c r="G231" i="22"/>
  <c r="H231" i="22" s="1"/>
  <c r="G230" i="22"/>
  <c r="H230" i="22" s="1"/>
  <c r="G229" i="22"/>
  <c r="G228" i="22"/>
  <c r="H228" i="22" s="1"/>
  <c r="G217" i="22"/>
  <c r="G214" i="22"/>
  <c r="H214" i="22" s="1"/>
  <c r="G213" i="22"/>
  <c r="H213" i="22" s="1"/>
  <c r="G212" i="22"/>
  <c r="G211" i="22"/>
  <c r="H211" i="22" s="1"/>
  <c r="G200" i="22"/>
  <c r="H200" i="22" s="1"/>
  <c r="H201" i="22" s="1"/>
  <c r="G197" i="22"/>
  <c r="H197" i="22" s="1"/>
  <c r="G196" i="22"/>
  <c r="H196" i="22" s="1"/>
  <c r="G195" i="22"/>
  <c r="G194" i="22"/>
  <c r="H194" i="22" s="1"/>
  <c r="G183" i="22"/>
  <c r="H183" i="22" s="1"/>
  <c r="H184" i="22" s="1"/>
  <c r="G180" i="22"/>
  <c r="H180" i="22" s="1"/>
  <c r="G179" i="22"/>
  <c r="H179" i="22" s="1"/>
  <c r="G178" i="22"/>
  <c r="G177" i="22"/>
  <c r="H177" i="22" s="1"/>
  <c r="G166" i="22"/>
  <c r="G163" i="22"/>
  <c r="H163" i="22" s="1"/>
  <c r="G162" i="22"/>
  <c r="H162" i="22" s="1"/>
  <c r="G161" i="22"/>
  <c r="G160" i="22"/>
  <c r="H160" i="22" s="1"/>
  <c r="G149" i="22"/>
  <c r="G146" i="22"/>
  <c r="H146" i="22" s="1"/>
  <c r="G145" i="22"/>
  <c r="H145" i="22" s="1"/>
  <c r="G144" i="22"/>
  <c r="G143" i="22"/>
  <c r="H143" i="22" s="1"/>
  <c r="G132" i="22"/>
  <c r="H132" i="22" s="1"/>
  <c r="H133" i="22" s="1"/>
  <c r="G129" i="22"/>
  <c r="H129" i="22" s="1"/>
  <c r="G128" i="22"/>
  <c r="H128" i="22" s="1"/>
  <c r="G127" i="22"/>
  <c r="G126" i="22"/>
  <c r="H126" i="22" s="1"/>
  <c r="G115" i="22"/>
  <c r="H115" i="22" s="1"/>
  <c r="H116" i="22" s="1"/>
  <c r="G112" i="22"/>
  <c r="H112" i="22" s="1"/>
  <c r="G111" i="22"/>
  <c r="H111" i="22" s="1"/>
  <c r="G110" i="22"/>
  <c r="G109" i="22"/>
  <c r="H109" i="22" s="1"/>
  <c r="G98" i="22"/>
  <c r="G95" i="22"/>
  <c r="H95" i="22" s="1"/>
  <c r="G94" i="22"/>
  <c r="H94" i="22" s="1"/>
  <c r="G93" i="22"/>
  <c r="G92" i="22"/>
  <c r="H92" i="22" s="1"/>
  <c r="G81" i="22"/>
  <c r="G78" i="22"/>
  <c r="H78" i="22" s="1"/>
  <c r="G77" i="22"/>
  <c r="H77" i="22" s="1"/>
  <c r="G76" i="22"/>
  <c r="G75" i="22"/>
  <c r="H75" i="22" s="1"/>
  <c r="G64" i="22"/>
  <c r="H64" i="22" s="1"/>
  <c r="H65" i="22" s="1"/>
  <c r="G61" i="22"/>
  <c r="H61" i="22" s="1"/>
  <c r="G60" i="22"/>
  <c r="H60" i="22" s="1"/>
  <c r="G59" i="22"/>
  <c r="G58" i="22"/>
  <c r="H58" i="22" s="1"/>
  <c r="G47" i="22"/>
  <c r="H47" i="22" s="1"/>
  <c r="H48" i="22" s="1"/>
  <c r="G44" i="22"/>
  <c r="H44" i="22" s="1"/>
  <c r="G43" i="22"/>
  <c r="H43" i="22" s="1"/>
  <c r="G42" i="22"/>
  <c r="G41" i="22"/>
  <c r="H41" i="22" s="1"/>
  <c r="G30" i="22"/>
  <c r="H30" i="22" s="1"/>
  <c r="H31" i="22" s="1"/>
  <c r="G27" i="22"/>
  <c r="H27" i="22" s="1"/>
  <c r="G26" i="22"/>
  <c r="H26" i="22" s="1"/>
  <c r="G25" i="22"/>
  <c r="G24" i="22"/>
  <c r="H24" i="22" s="1"/>
  <c r="G13" i="22"/>
  <c r="H13" i="22" s="1"/>
  <c r="H14" i="22" s="1"/>
  <c r="G10" i="22"/>
  <c r="H10" i="22" s="1"/>
  <c r="G9" i="22"/>
  <c r="H9" i="22" s="1"/>
  <c r="G8" i="22"/>
  <c r="H8" i="22" s="1"/>
  <c r="G7" i="22"/>
  <c r="H7" i="22" s="1"/>
  <c r="G18" i="22"/>
  <c r="G421" i="21"/>
  <c r="G404" i="21"/>
  <c r="G387" i="21"/>
  <c r="G370" i="21"/>
  <c r="G353" i="21"/>
  <c r="G336" i="21"/>
  <c r="G319" i="21"/>
  <c r="G301" i="21"/>
  <c r="G283" i="21"/>
  <c r="G266" i="21"/>
  <c r="G246" i="21"/>
  <c r="G228" i="21"/>
  <c r="G209" i="21"/>
  <c r="G187" i="21"/>
  <c r="G168" i="21"/>
  <c r="G149" i="21"/>
  <c r="G129" i="21"/>
  <c r="G111" i="21"/>
  <c r="G92" i="21"/>
  <c r="G74" i="21"/>
  <c r="G55" i="21"/>
  <c r="G37" i="21"/>
  <c r="G19" i="21"/>
  <c r="G416" i="21"/>
  <c r="G413" i="21"/>
  <c r="G412" i="21"/>
  <c r="G411" i="21"/>
  <c r="G410" i="21"/>
  <c r="G399" i="21"/>
  <c r="G396" i="21"/>
  <c r="G395" i="21"/>
  <c r="G394" i="21"/>
  <c r="G393" i="21"/>
  <c r="G382" i="21"/>
  <c r="G379" i="21"/>
  <c r="G378" i="21"/>
  <c r="G377" i="21"/>
  <c r="G376" i="21"/>
  <c r="G365" i="21"/>
  <c r="G362" i="21"/>
  <c r="G361" i="21"/>
  <c r="G360" i="21"/>
  <c r="G359" i="21"/>
  <c r="G348" i="21"/>
  <c r="G345" i="21"/>
  <c r="G344" i="21"/>
  <c r="G343" i="21"/>
  <c r="G342" i="21"/>
  <c r="G331" i="21"/>
  <c r="G328" i="21"/>
  <c r="G327" i="21"/>
  <c r="G326" i="21"/>
  <c r="G325" i="21"/>
  <c r="G314" i="21"/>
  <c r="G313" i="21"/>
  <c r="G310" i="21"/>
  <c r="G309" i="21"/>
  <c r="G308" i="21"/>
  <c r="G307" i="21"/>
  <c r="G296" i="21"/>
  <c r="G295" i="21"/>
  <c r="G292" i="21"/>
  <c r="G291" i="21"/>
  <c r="G290" i="21"/>
  <c r="G289" i="21"/>
  <c r="G278" i="21"/>
  <c r="G275" i="21"/>
  <c r="G274" i="21"/>
  <c r="G273" i="21"/>
  <c r="G272" i="21"/>
  <c r="G261" i="21"/>
  <c r="G260" i="21"/>
  <c r="G259" i="21"/>
  <c r="G258" i="21"/>
  <c r="G255" i="21"/>
  <c r="G254" i="21"/>
  <c r="G253" i="21"/>
  <c r="G252" i="21"/>
  <c r="G241" i="21"/>
  <c r="G240" i="21"/>
  <c r="G237" i="21"/>
  <c r="G236" i="21"/>
  <c r="G235" i="21"/>
  <c r="G234" i="21"/>
  <c r="G223" i="21"/>
  <c r="G222" i="21"/>
  <c r="G221" i="21"/>
  <c r="G218" i="21"/>
  <c r="G217" i="21"/>
  <c r="G216" i="21"/>
  <c r="G215" i="21"/>
  <c r="G204" i="21"/>
  <c r="G203" i="21"/>
  <c r="G202" i="21"/>
  <c r="G201" i="21"/>
  <c r="G200" i="21"/>
  <c r="G199" i="21"/>
  <c r="G196" i="21"/>
  <c r="G195" i="21"/>
  <c r="G194" i="21"/>
  <c r="G193" i="21"/>
  <c r="G182" i="21"/>
  <c r="G181" i="21"/>
  <c r="G180" i="21"/>
  <c r="G177" i="21"/>
  <c r="G176" i="21"/>
  <c r="G175" i="21"/>
  <c r="G174" i="21"/>
  <c r="G162" i="21"/>
  <c r="G163" i="21"/>
  <c r="G161" i="21"/>
  <c r="G158" i="21"/>
  <c r="G157" i="21"/>
  <c r="G156" i="21"/>
  <c r="G155" i="21"/>
  <c r="G144" i="21"/>
  <c r="G143" i="21"/>
  <c r="G142" i="21"/>
  <c r="G141" i="21"/>
  <c r="G138" i="21"/>
  <c r="G137" i="21"/>
  <c r="G136" i="21"/>
  <c r="G135" i="21"/>
  <c r="G124" i="21"/>
  <c r="G123" i="21"/>
  <c r="G120" i="21"/>
  <c r="G119" i="21"/>
  <c r="G118" i="21"/>
  <c r="G117" i="21"/>
  <c r="G106" i="21"/>
  <c r="G105" i="21"/>
  <c r="G104" i="21"/>
  <c r="G101" i="21"/>
  <c r="G100" i="21"/>
  <c r="G99" i="21"/>
  <c r="G98" i="21"/>
  <c r="G87" i="21"/>
  <c r="G86" i="21"/>
  <c r="G83" i="21"/>
  <c r="G82" i="21"/>
  <c r="G81" i="21"/>
  <c r="G80" i="21"/>
  <c r="G69" i="21"/>
  <c r="G68" i="21"/>
  <c r="G67" i="21"/>
  <c r="G64" i="21"/>
  <c r="G63" i="21"/>
  <c r="G62" i="21"/>
  <c r="G61" i="21"/>
  <c r="G50" i="21"/>
  <c r="G49" i="21"/>
  <c r="G46" i="21"/>
  <c r="G45" i="21"/>
  <c r="G44" i="21"/>
  <c r="G43" i="21"/>
  <c r="G31" i="21"/>
  <c r="G28" i="21"/>
  <c r="G27" i="21"/>
  <c r="G26" i="21"/>
  <c r="G25" i="21"/>
  <c r="G32" i="21"/>
  <c r="G14" i="21"/>
  <c r="G13" i="21"/>
  <c r="G10" i="21"/>
  <c r="G9" i="21"/>
  <c r="G8" i="21"/>
  <c r="G7" i="21"/>
  <c r="F438" i="22"/>
  <c r="F455" i="22" s="1"/>
  <c r="F370" i="22"/>
  <c r="F319" i="22"/>
  <c r="F336" i="22" s="1"/>
  <c r="D280" i="22"/>
  <c r="D297" i="22" s="1"/>
  <c r="F268" i="22"/>
  <c r="F285" i="22" s="1"/>
  <c r="F217" i="22"/>
  <c r="F234" i="22" s="1"/>
  <c r="F149" i="22"/>
  <c r="F166" i="22" s="1"/>
  <c r="F81" i="22"/>
  <c r="D25" i="22"/>
  <c r="D42" i="22" s="1"/>
  <c r="D3" i="22"/>
  <c r="C3" i="22"/>
  <c r="H11" i="26" l="1"/>
  <c r="H55" i="24"/>
  <c r="H951" i="26"/>
  <c r="H1941" i="26"/>
  <c r="H44" i="25"/>
  <c r="H47" i="25" s="1"/>
  <c r="H25" i="26"/>
  <c r="H28" i="26" s="1"/>
  <c r="H34" i="26" s="1"/>
  <c r="H35" i="26" s="1"/>
  <c r="D42" i="26"/>
  <c r="H933" i="26"/>
  <c r="H285" i="26"/>
  <c r="H286" i="26" s="1"/>
  <c r="H438" i="26"/>
  <c r="H439" i="26" s="1"/>
  <c r="H1923" i="26"/>
  <c r="H17" i="26"/>
  <c r="H18" i="26" s="1"/>
  <c r="H98" i="26"/>
  <c r="H99" i="26" s="1"/>
  <c r="F115" i="26"/>
  <c r="H115" i="26" s="1"/>
  <c r="H116" i="26" s="1"/>
  <c r="H1342" i="26"/>
  <c r="H1344" i="26" s="1"/>
  <c r="H1324" i="26"/>
  <c r="H1326" i="26" s="1"/>
  <c r="F455" i="26"/>
  <c r="H455" i="26" s="1"/>
  <c r="H456" i="26" s="1"/>
  <c r="H2284" i="26"/>
  <c r="H26" i="23"/>
  <c r="H29" i="23" s="1"/>
  <c r="H41" i="24"/>
  <c r="H11" i="24"/>
  <c r="H11" i="25"/>
  <c r="D62" i="25"/>
  <c r="H26" i="25"/>
  <c r="H29" i="25" s="1"/>
  <c r="H32" i="25"/>
  <c r="H33" i="25" s="1"/>
  <c r="F50" i="25"/>
  <c r="F85" i="25"/>
  <c r="H67" i="25"/>
  <c r="H14" i="25"/>
  <c r="H15" i="25" s="1"/>
  <c r="H33" i="24"/>
  <c r="H19" i="24"/>
  <c r="H63" i="24"/>
  <c r="H11" i="23"/>
  <c r="H17" i="23" s="1"/>
  <c r="H18" i="23" s="1"/>
  <c r="F65" i="23"/>
  <c r="H65" i="23" s="1"/>
  <c r="H66" i="23" s="1"/>
  <c r="H48" i="23"/>
  <c r="H49" i="23" s="1"/>
  <c r="D43" i="23"/>
  <c r="H31" i="23"/>
  <c r="H32" i="23" s="1"/>
  <c r="H234" i="22"/>
  <c r="H235" i="22" s="1"/>
  <c r="H166" i="22"/>
  <c r="H167" i="22" s="1"/>
  <c r="H81" i="22"/>
  <c r="H82" i="22" s="1"/>
  <c r="H285" i="22"/>
  <c r="H286" i="22" s="1"/>
  <c r="H438" i="22"/>
  <c r="H439" i="22" s="1"/>
  <c r="H11" i="22"/>
  <c r="H17" i="22" s="1"/>
  <c r="H18" i="22" s="1"/>
  <c r="H149" i="22"/>
  <c r="H150" i="22" s="1"/>
  <c r="H370" i="22"/>
  <c r="H371" i="22" s="1"/>
  <c r="H319" i="22"/>
  <c r="H320" i="22" s="1"/>
  <c r="H280" i="22"/>
  <c r="H283" i="22" s="1"/>
  <c r="H336" i="22"/>
  <c r="H337" i="22" s="1"/>
  <c r="H42" i="22"/>
  <c r="H45" i="22" s="1"/>
  <c r="H51" i="22" s="1"/>
  <c r="D59" i="22"/>
  <c r="H25" i="22"/>
  <c r="H28" i="22" s="1"/>
  <c r="H34" i="22" s="1"/>
  <c r="H217" i="22"/>
  <c r="H218" i="22" s="1"/>
  <c r="H266" i="22"/>
  <c r="H272" i="22" s="1"/>
  <c r="F98" i="22"/>
  <c r="H98" i="22" s="1"/>
  <c r="H99" i="22" s="1"/>
  <c r="H249" i="22"/>
  <c r="H255" i="22" s="1"/>
  <c r="F472" i="22"/>
  <c r="H455" i="22"/>
  <c r="H456" i="22" s="1"/>
  <c r="D314" i="22"/>
  <c r="H297" i="22"/>
  <c r="H300" i="22" s="1"/>
  <c r="H306" i="22" s="1"/>
  <c r="H416" i="21"/>
  <c r="H417" i="21" s="1"/>
  <c r="H413" i="21"/>
  <c r="H412" i="21"/>
  <c r="H411" i="21"/>
  <c r="H410" i="21"/>
  <c r="H399" i="21"/>
  <c r="H400" i="21" s="1"/>
  <c r="H396" i="21"/>
  <c r="H395" i="21"/>
  <c r="H394" i="21"/>
  <c r="H393" i="21"/>
  <c r="H382" i="21"/>
  <c r="H383" i="21" s="1"/>
  <c r="H379" i="21"/>
  <c r="H378" i="21"/>
  <c r="H377" i="21"/>
  <c r="H376" i="21"/>
  <c r="H365" i="21"/>
  <c r="H366" i="21" s="1"/>
  <c r="H362" i="21"/>
  <c r="H361" i="21"/>
  <c r="H360" i="21"/>
  <c r="H359" i="21"/>
  <c r="H348" i="21"/>
  <c r="H349" i="21" s="1"/>
  <c r="H345" i="21"/>
  <c r="H344" i="21"/>
  <c r="H343" i="21"/>
  <c r="H342" i="21"/>
  <c r="H331" i="21"/>
  <c r="H332" i="21" s="1"/>
  <c r="H328" i="21"/>
  <c r="H327" i="21"/>
  <c r="H326" i="21"/>
  <c r="H325" i="21"/>
  <c r="H314" i="21"/>
  <c r="H313" i="21"/>
  <c r="H310" i="21"/>
  <c r="H309" i="21"/>
  <c r="H308" i="21"/>
  <c r="H307" i="21"/>
  <c r="H296" i="21"/>
  <c r="H295" i="21"/>
  <c r="H292" i="21"/>
  <c r="H291" i="21"/>
  <c r="H290" i="21"/>
  <c r="H289" i="21"/>
  <c r="H278" i="21"/>
  <c r="H279" i="21" s="1"/>
  <c r="H275" i="21"/>
  <c r="H274" i="21"/>
  <c r="H273" i="21"/>
  <c r="H272" i="21"/>
  <c r="H261" i="21"/>
  <c r="H260" i="21"/>
  <c r="H259" i="21"/>
  <c r="H258" i="21"/>
  <c r="H255" i="21"/>
  <c r="H254" i="21"/>
  <c r="H253" i="21"/>
  <c r="H252" i="21"/>
  <c r="H241" i="21"/>
  <c r="H240" i="21"/>
  <c r="H237" i="21"/>
  <c r="H236" i="21"/>
  <c r="H235" i="21"/>
  <c r="H234" i="21"/>
  <c r="H223" i="21"/>
  <c r="H222" i="21"/>
  <c r="H221" i="21"/>
  <c r="H218" i="21"/>
  <c r="H217" i="21"/>
  <c r="H216" i="21"/>
  <c r="H215" i="21"/>
  <c r="H204" i="21"/>
  <c r="H203" i="21"/>
  <c r="H202" i="21"/>
  <c r="H201" i="21"/>
  <c r="H200" i="21"/>
  <c r="H199" i="21"/>
  <c r="H196" i="21"/>
  <c r="H195" i="21"/>
  <c r="H194" i="21"/>
  <c r="H193" i="21"/>
  <c r="H182" i="21"/>
  <c r="H181" i="21"/>
  <c r="H180" i="21"/>
  <c r="H177" i="21"/>
  <c r="H176" i="21"/>
  <c r="H175" i="21"/>
  <c r="H174" i="21"/>
  <c r="H163" i="21"/>
  <c r="H162" i="21"/>
  <c r="H161" i="21"/>
  <c r="H158" i="21"/>
  <c r="H157" i="21"/>
  <c r="H156" i="21"/>
  <c r="H155" i="21"/>
  <c r="H144" i="21"/>
  <c r="H143" i="21"/>
  <c r="H142" i="21"/>
  <c r="H141" i="21"/>
  <c r="H138" i="21"/>
  <c r="H137" i="21"/>
  <c r="H136" i="21"/>
  <c r="H135" i="21"/>
  <c r="H124" i="21"/>
  <c r="H123" i="21"/>
  <c r="H120" i="21"/>
  <c r="H119" i="21"/>
  <c r="H118" i="21"/>
  <c r="H117" i="21"/>
  <c r="H106" i="21"/>
  <c r="H105" i="21"/>
  <c r="H104" i="21"/>
  <c r="H101" i="21"/>
  <c r="H100" i="21"/>
  <c r="H99" i="21"/>
  <c r="H98" i="21"/>
  <c r="H87" i="21"/>
  <c r="H86" i="21"/>
  <c r="H83" i="21"/>
  <c r="H82" i="21"/>
  <c r="H81" i="21"/>
  <c r="H80" i="21"/>
  <c r="H69" i="21"/>
  <c r="H68" i="21"/>
  <c r="H67" i="21"/>
  <c r="H64" i="21"/>
  <c r="H63" i="21"/>
  <c r="H62" i="21"/>
  <c r="H61" i="21"/>
  <c r="H50" i="21"/>
  <c r="H49" i="21"/>
  <c r="H46" i="21"/>
  <c r="H45" i="21"/>
  <c r="H44" i="21"/>
  <c r="H43" i="21"/>
  <c r="H32" i="21"/>
  <c r="H31" i="21"/>
  <c r="H28" i="21"/>
  <c r="H27" i="21"/>
  <c r="H26" i="21"/>
  <c r="H25" i="21"/>
  <c r="H13" i="21"/>
  <c r="H14" i="21" s="1"/>
  <c r="H15" i="21" s="1"/>
  <c r="H10" i="21"/>
  <c r="H9" i="21"/>
  <c r="H8" i="21"/>
  <c r="H7" i="21"/>
  <c r="D3" i="21"/>
  <c r="C3" i="21"/>
  <c r="G59" i="20"/>
  <c r="G42" i="20"/>
  <c r="G23" i="20"/>
  <c r="G54" i="20"/>
  <c r="H54" i="20" s="1"/>
  <c r="H55" i="20" s="1"/>
  <c r="G51" i="20"/>
  <c r="H51" i="20" s="1"/>
  <c r="G50" i="20"/>
  <c r="H50" i="20" s="1"/>
  <c r="G49" i="20"/>
  <c r="H49" i="20" s="1"/>
  <c r="G48" i="20"/>
  <c r="H48" i="20" s="1"/>
  <c r="G37" i="20"/>
  <c r="H37" i="20" s="1"/>
  <c r="G36" i="20"/>
  <c r="H36" i="20" s="1"/>
  <c r="G35" i="20"/>
  <c r="H35" i="20" s="1"/>
  <c r="G32" i="20"/>
  <c r="H32" i="20" s="1"/>
  <c r="G31" i="20"/>
  <c r="H31" i="20" s="1"/>
  <c r="G30" i="20"/>
  <c r="H30" i="20" s="1"/>
  <c r="G29" i="20"/>
  <c r="H29" i="20" s="1"/>
  <c r="G17" i="20"/>
  <c r="H17" i="20" s="1"/>
  <c r="G16" i="20"/>
  <c r="H16" i="20" s="1"/>
  <c r="G15" i="20"/>
  <c r="H15" i="20" s="1"/>
  <c r="G14" i="20"/>
  <c r="H14" i="20" s="1"/>
  <c r="G11" i="20"/>
  <c r="H11" i="20" s="1"/>
  <c r="G10" i="20"/>
  <c r="H10" i="20" s="1"/>
  <c r="G9" i="20"/>
  <c r="H9" i="20" s="1"/>
  <c r="G8" i="20"/>
  <c r="H8" i="20" s="1"/>
  <c r="G7" i="20"/>
  <c r="H7" i="20" s="1"/>
  <c r="H20" i="20"/>
  <c r="H21" i="20" s="1"/>
  <c r="D3" i="20"/>
  <c r="C3" i="20"/>
  <c r="G449" i="19"/>
  <c r="G427" i="19"/>
  <c r="G410" i="19"/>
  <c r="G392" i="19"/>
  <c r="G373" i="19"/>
  <c r="G352" i="19"/>
  <c r="G332" i="19"/>
  <c r="G312" i="19"/>
  <c r="G291" i="19"/>
  <c r="G273" i="19"/>
  <c r="G254" i="19"/>
  <c r="G235" i="19"/>
  <c r="G217" i="19"/>
  <c r="G199" i="19"/>
  <c r="G181" i="19"/>
  <c r="G162" i="19"/>
  <c r="G143" i="19"/>
  <c r="G128" i="19"/>
  <c r="G109" i="19"/>
  <c r="G92" i="19"/>
  <c r="G69" i="19"/>
  <c r="G46" i="19"/>
  <c r="G31" i="19"/>
  <c r="G16" i="19"/>
  <c r="G444" i="19"/>
  <c r="H444" i="19" s="1"/>
  <c r="G443" i="19"/>
  <c r="H443" i="19" s="1"/>
  <c r="G442" i="19"/>
  <c r="H442" i="19" s="1"/>
  <c r="G441" i="19"/>
  <c r="H441" i="19" s="1"/>
  <c r="G440" i="19"/>
  <c r="H440" i="19" s="1"/>
  <c r="G439" i="19"/>
  <c r="H439" i="19" s="1"/>
  <c r="G436" i="19"/>
  <c r="H436" i="19" s="1"/>
  <c r="G435" i="19"/>
  <c r="H435" i="19" s="1"/>
  <c r="G434" i="19"/>
  <c r="H434" i="19" s="1"/>
  <c r="G433" i="19"/>
  <c r="H433" i="19" s="1"/>
  <c r="G422" i="19"/>
  <c r="H422" i="19" s="1"/>
  <c r="H423" i="19" s="1"/>
  <c r="G419" i="19"/>
  <c r="H419" i="19" s="1"/>
  <c r="G418" i="19"/>
  <c r="H418" i="19" s="1"/>
  <c r="G417" i="19"/>
  <c r="H417" i="19" s="1"/>
  <c r="G416" i="19"/>
  <c r="H416" i="19" s="1"/>
  <c r="G405" i="19"/>
  <c r="H405" i="19" s="1"/>
  <c r="G404" i="19"/>
  <c r="H404" i="19" s="1"/>
  <c r="G401" i="19"/>
  <c r="H401" i="19" s="1"/>
  <c r="G400" i="19"/>
  <c r="H400" i="19" s="1"/>
  <c r="G399" i="19"/>
  <c r="H399" i="19" s="1"/>
  <c r="G398" i="19"/>
  <c r="H398" i="19" s="1"/>
  <c r="G387" i="19"/>
  <c r="H387" i="19" s="1"/>
  <c r="G386" i="19"/>
  <c r="H386" i="19" s="1"/>
  <c r="G385" i="19"/>
  <c r="H385" i="19" s="1"/>
  <c r="G382" i="19"/>
  <c r="H382" i="19" s="1"/>
  <c r="G381" i="19"/>
  <c r="H381" i="19" s="1"/>
  <c r="G380" i="19"/>
  <c r="H380" i="19" s="1"/>
  <c r="G379" i="19"/>
  <c r="H379" i="19" s="1"/>
  <c r="G368" i="19"/>
  <c r="H368" i="19" s="1"/>
  <c r="G367" i="19"/>
  <c r="H367" i="19" s="1"/>
  <c r="G366" i="19"/>
  <c r="H366" i="19" s="1"/>
  <c r="G365" i="19"/>
  <c r="H365" i="19" s="1"/>
  <c r="G364" i="19"/>
  <c r="H364" i="19" s="1"/>
  <c r="G361" i="19"/>
  <c r="H361" i="19" s="1"/>
  <c r="G360" i="19"/>
  <c r="H360" i="19" s="1"/>
  <c r="G359" i="19"/>
  <c r="H359" i="19" s="1"/>
  <c r="G358" i="19"/>
  <c r="H358" i="19" s="1"/>
  <c r="G347" i="19"/>
  <c r="H347" i="19" s="1"/>
  <c r="G346" i="19"/>
  <c r="H346" i="19" s="1"/>
  <c r="G345" i="19"/>
  <c r="H345" i="19" s="1"/>
  <c r="G344" i="19"/>
  <c r="H344" i="19" s="1"/>
  <c r="G341" i="19"/>
  <c r="H341" i="19" s="1"/>
  <c r="G340" i="19"/>
  <c r="H340" i="19" s="1"/>
  <c r="G339" i="19"/>
  <c r="H339" i="19" s="1"/>
  <c r="G338" i="19"/>
  <c r="H338" i="19" s="1"/>
  <c r="G327" i="19"/>
  <c r="H327" i="19" s="1"/>
  <c r="G326" i="19"/>
  <c r="H326" i="19" s="1"/>
  <c r="G325" i="19"/>
  <c r="H325" i="19" s="1"/>
  <c r="G324" i="19"/>
  <c r="H324" i="19" s="1"/>
  <c r="G321" i="19"/>
  <c r="H321" i="19" s="1"/>
  <c r="G320" i="19"/>
  <c r="H320" i="19" s="1"/>
  <c r="G319" i="19"/>
  <c r="H319" i="19" s="1"/>
  <c r="G318" i="19"/>
  <c r="H318" i="19" s="1"/>
  <c r="G307" i="19"/>
  <c r="H307" i="19" s="1"/>
  <c r="G306" i="19"/>
  <c r="H306" i="19" s="1"/>
  <c r="G305" i="19"/>
  <c r="H305" i="19" s="1"/>
  <c r="G304" i="19"/>
  <c r="H304" i="19" s="1"/>
  <c r="G303" i="19"/>
  <c r="H303" i="19" s="1"/>
  <c r="G300" i="19"/>
  <c r="H300" i="19" s="1"/>
  <c r="G299" i="19"/>
  <c r="H299" i="19" s="1"/>
  <c r="G298" i="19"/>
  <c r="H298" i="19" s="1"/>
  <c r="G297" i="19"/>
  <c r="H297" i="19" s="1"/>
  <c r="G286" i="19"/>
  <c r="H286" i="19" s="1"/>
  <c r="G285" i="19"/>
  <c r="H285" i="19" s="1"/>
  <c r="G282" i="19"/>
  <c r="H282" i="19" s="1"/>
  <c r="G281" i="19"/>
  <c r="H281" i="19" s="1"/>
  <c r="G280" i="19"/>
  <c r="H280" i="19" s="1"/>
  <c r="G279" i="19"/>
  <c r="H279" i="19" s="1"/>
  <c r="G268" i="19"/>
  <c r="H268" i="19" s="1"/>
  <c r="G267" i="19"/>
  <c r="H267" i="19" s="1"/>
  <c r="G266" i="19"/>
  <c r="H266" i="19" s="1"/>
  <c r="G263" i="19"/>
  <c r="H263" i="19" s="1"/>
  <c r="G262" i="19"/>
  <c r="H262" i="19" s="1"/>
  <c r="G261" i="19"/>
  <c r="H261" i="19" s="1"/>
  <c r="G260" i="19"/>
  <c r="H260" i="19" s="1"/>
  <c r="G249" i="19"/>
  <c r="H249" i="19" s="1"/>
  <c r="G248" i="19"/>
  <c r="H248" i="19" s="1"/>
  <c r="G247" i="19"/>
  <c r="H247" i="19" s="1"/>
  <c r="G244" i="19"/>
  <c r="H244" i="19" s="1"/>
  <c r="G243" i="19"/>
  <c r="H243" i="19" s="1"/>
  <c r="G242" i="19"/>
  <c r="H242" i="19" s="1"/>
  <c r="G241" i="19"/>
  <c r="H241" i="19" s="1"/>
  <c r="G230" i="19"/>
  <c r="H230" i="19" s="1"/>
  <c r="G229" i="19"/>
  <c r="H229" i="19" s="1"/>
  <c r="G226" i="19"/>
  <c r="H226" i="19" s="1"/>
  <c r="G225" i="19"/>
  <c r="H225" i="19" s="1"/>
  <c r="G224" i="19"/>
  <c r="H224" i="19" s="1"/>
  <c r="G223" i="19"/>
  <c r="H223" i="19" s="1"/>
  <c r="G212" i="19"/>
  <c r="H212" i="19" s="1"/>
  <c r="G211" i="19"/>
  <c r="H211" i="19" s="1"/>
  <c r="G208" i="19"/>
  <c r="H208" i="19" s="1"/>
  <c r="G207" i="19"/>
  <c r="H207" i="19" s="1"/>
  <c r="G206" i="19"/>
  <c r="H206" i="19" s="1"/>
  <c r="G205" i="19"/>
  <c r="H205" i="19" s="1"/>
  <c r="G194" i="19"/>
  <c r="H194" i="19" s="1"/>
  <c r="G193" i="19"/>
  <c r="H193" i="19" s="1"/>
  <c r="G190" i="19"/>
  <c r="H190" i="19" s="1"/>
  <c r="G189" i="19"/>
  <c r="H189" i="19" s="1"/>
  <c r="G188" i="19"/>
  <c r="H188" i="19" s="1"/>
  <c r="G187" i="19"/>
  <c r="H187" i="19" s="1"/>
  <c r="G176" i="19"/>
  <c r="H176" i="19" s="1"/>
  <c r="G175" i="19"/>
  <c r="H175" i="19" s="1"/>
  <c r="G174" i="19"/>
  <c r="H174" i="19" s="1"/>
  <c r="G171" i="19"/>
  <c r="H171" i="19" s="1"/>
  <c r="G170" i="19"/>
  <c r="H170" i="19" s="1"/>
  <c r="G169" i="19"/>
  <c r="H169" i="19" s="1"/>
  <c r="G168" i="19"/>
  <c r="H168" i="19" s="1"/>
  <c r="G157" i="19"/>
  <c r="H157" i="19" s="1"/>
  <c r="G156" i="19"/>
  <c r="H156" i="19" s="1"/>
  <c r="G155" i="19"/>
  <c r="H155" i="19" s="1"/>
  <c r="G152" i="19"/>
  <c r="H152" i="19" s="1"/>
  <c r="G151" i="19"/>
  <c r="H151" i="19" s="1"/>
  <c r="G150" i="19"/>
  <c r="H150" i="19" s="1"/>
  <c r="G149" i="19"/>
  <c r="H149" i="19" s="1"/>
  <c r="G138" i="19"/>
  <c r="H138" i="19" s="1"/>
  <c r="H139" i="19" s="1"/>
  <c r="G135" i="19"/>
  <c r="H135" i="19" s="1"/>
  <c r="G134" i="19"/>
  <c r="H134" i="19" s="1"/>
  <c r="G123" i="19"/>
  <c r="H123" i="19" s="1"/>
  <c r="G122" i="19"/>
  <c r="H122" i="19" s="1"/>
  <c r="G121" i="19"/>
  <c r="H121" i="19" s="1"/>
  <c r="G118" i="19"/>
  <c r="H118" i="19" s="1"/>
  <c r="G117" i="19"/>
  <c r="H117" i="19" s="1"/>
  <c r="G116" i="19"/>
  <c r="H116" i="19" s="1"/>
  <c r="G115" i="19"/>
  <c r="H115" i="19" s="1"/>
  <c r="G104" i="19"/>
  <c r="H104" i="19" s="1"/>
  <c r="H105" i="19" s="1"/>
  <c r="G101" i="19"/>
  <c r="H101" i="19" s="1"/>
  <c r="G100" i="19"/>
  <c r="H100" i="19" s="1"/>
  <c r="G99" i="19"/>
  <c r="H99" i="19" s="1"/>
  <c r="G98" i="19"/>
  <c r="H98" i="19" s="1"/>
  <c r="G87" i="19"/>
  <c r="H87" i="19" s="1"/>
  <c r="G86" i="19"/>
  <c r="H86" i="19" s="1"/>
  <c r="G85" i="19"/>
  <c r="H85" i="19" s="1"/>
  <c r="G84" i="19"/>
  <c r="H84" i="19" s="1"/>
  <c r="G83" i="19"/>
  <c r="H83" i="19" s="1"/>
  <c r="G82" i="19"/>
  <c r="H82" i="19" s="1"/>
  <c r="G81" i="19"/>
  <c r="H81" i="19" s="1"/>
  <c r="G78" i="19"/>
  <c r="H78" i="19" s="1"/>
  <c r="G77" i="19"/>
  <c r="H77" i="19" s="1"/>
  <c r="G76" i="19"/>
  <c r="H76" i="19" s="1"/>
  <c r="G75" i="19"/>
  <c r="H75" i="19" s="1"/>
  <c r="G64" i="19"/>
  <c r="H64" i="19" s="1"/>
  <c r="G63" i="19"/>
  <c r="H63" i="19" s="1"/>
  <c r="G62" i="19"/>
  <c r="H62" i="19" s="1"/>
  <c r="G61" i="19"/>
  <c r="H61" i="19" s="1"/>
  <c r="G60" i="19"/>
  <c r="H60" i="19" s="1"/>
  <c r="G59" i="19"/>
  <c r="H59" i="19" s="1"/>
  <c r="G58" i="19"/>
  <c r="H58" i="19" s="1"/>
  <c r="G55" i="19"/>
  <c r="H55" i="19" s="1"/>
  <c r="G54" i="19"/>
  <c r="H54" i="19" s="1"/>
  <c r="G53" i="19"/>
  <c r="H53" i="19" s="1"/>
  <c r="G52" i="19"/>
  <c r="H52" i="19" s="1"/>
  <c r="G41" i="19"/>
  <c r="H41" i="19" s="1"/>
  <c r="H42" i="19" s="1"/>
  <c r="G38" i="19"/>
  <c r="H38" i="19" s="1"/>
  <c r="G37" i="19"/>
  <c r="H37" i="19" s="1"/>
  <c r="G26" i="19"/>
  <c r="H26" i="19" s="1"/>
  <c r="H27" i="19" s="1"/>
  <c r="G23" i="19"/>
  <c r="H23" i="19" s="1"/>
  <c r="G22" i="19"/>
  <c r="H22" i="19" s="1"/>
  <c r="G11" i="19"/>
  <c r="H11" i="19" s="1"/>
  <c r="H12" i="19" s="1"/>
  <c r="G8" i="19"/>
  <c r="H8" i="19" s="1"/>
  <c r="G7" i="19"/>
  <c r="H7" i="19" s="1"/>
  <c r="D3" i="19"/>
  <c r="C3" i="19"/>
  <c r="G42" i="18"/>
  <c r="G21" i="18"/>
  <c r="G37" i="18"/>
  <c r="H37" i="18" s="1"/>
  <c r="G36" i="18"/>
  <c r="H36" i="18" s="1"/>
  <c r="G35" i="18"/>
  <c r="H35" i="18" s="1"/>
  <c r="G34" i="18"/>
  <c r="H34" i="18" s="1"/>
  <c r="G33" i="18"/>
  <c r="H33" i="18" s="1"/>
  <c r="G30" i="18"/>
  <c r="H30" i="18" s="1"/>
  <c r="G29" i="18"/>
  <c r="H29" i="18" s="1"/>
  <c r="G28" i="18"/>
  <c r="H28" i="18" s="1"/>
  <c r="G27" i="18"/>
  <c r="H27" i="18" s="1"/>
  <c r="G16" i="18"/>
  <c r="H16" i="18" s="1"/>
  <c r="G15" i="18"/>
  <c r="H15" i="18" s="1"/>
  <c r="G14" i="18"/>
  <c r="H14" i="18" s="1"/>
  <c r="G13" i="18"/>
  <c r="H13" i="18" s="1"/>
  <c r="G10" i="18"/>
  <c r="H10" i="18" s="1"/>
  <c r="G9" i="18"/>
  <c r="H9" i="18" s="1"/>
  <c r="G8" i="18"/>
  <c r="H8" i="18" s="1"/>
  <c r="G7" i="18"/>
  <c r="H7" i="18" s="1"/>
  <c r="D3" i="18"/>
  <c r="C3" i="18"/>
  <c r="G116" i="17"/>
  <c r="G95" i="17"/>
  <c r="G75" i="17"/>
  <c r="G57" i="17"/>
  <c r="G37" i="17"/>
  <c r="G19" i="17"/>
  <c r="G111" i="17"/>
  <c r="H111" i="17" s="1"/>
  <c r="G110" i="17"/>
  <c r="H110" i="17" s="1"/>
  <c r="G109" i="17"/>
  <c r="H109" i="17" s="1"/>
  <c r="G108" i="17"/>
  <c r="H108" i="17" s="1"/>
  <c r="G107" i="17"/>
  <c r="H107" i="17" s="1"/>
  <c r="G104" i="17"/>
  <c r="H104" i="17" s="1"/>
  <c r="G103" i="17"/>
  <c r="H103" i="17" s="1"/>
  <c r="G102" i="17"/>
  <c r="H102" i="17" s="1"/>
  <c r="G101" i="17"/>
  <c r="H101" i="17" s="1"/>
  <c r="G90" i="17"/>
  <c r="H90" i="17" s="1"/>
  <c r="G89" i="17"/>
  <c r="H89" i="17" s="1"/>
  <c r="G88" i="17"/>
  <c r="H88" i="17" s="1"/>
  <c r="G87" i="17"/>
  <c r="H87" i="17" s="1"/>
  <c r="G84" i="17"/>
  <c r="H84" i="17" s="1"/>
  <c r="G83" i="17"/>
  <c r="H83" i="17" s="1"/>
  <c r="G82" i="17"/>
  <c r="H82" i="17" s="1"/>
  <c r="G81" i="17"/>
  <c r="H81" i="17" s="1"/>
  <c r="G72" i="17"/>
  <c r="H72" i="17" s="1"/>
  <c r="H73" i="17" s="1"/>
  <c r="G69" i="17"/>
  <c r="H69" i="17" s="1"/>
  <c r="H70" i="17" s="1"/>
  <c r="G66" i="17"/>
  <c r="H66" i="17" s="1"/>
  <c r="G65" i="17"/>
  <c r="H65" i="17" s="1"/>
  <c r="G64" i="17"/>
  <c r="H64" i="17" s="1"/>
  <c r="G63" i="17"/>
  <c r="H63" i="17" s="1"/>
  <c r="G51" i="17"/>
  <c r="H51" i="17" s="1"/>
  <c r="G49" i="17"/>
  <c r="H49" i="17" s="1"/>
  <c r="H50" i="17" s="1"/>
  <c r="G46" i="17"/>
  <c r="H46" i="17" s="1"/>
  <c r="G45" i="17"/>
  <c r="H45" i="17" s="1"/>
  <c r="G44" i="17"/>
  <c r="H44" i="17" s="1"/>
  <c r="G43" i="17"/>
  <c r="H43" i="17" s="1"/>
  <c r="G32" i="17"/>
  <c r="H32" i="17" s="1"/>
  <c r="G31" i="17"/>
  <c r="H31" i="17" s="1"/>
  <c r="G28" i="17"/>
  <c r="H28" i="17" s="1"/>
  <c r="G27" i="17"/>
  <c r="H27" i="17" s="1"/>
  <c r="G26" i="17"/>
  <c r="H26" i="17" s="1"/>
  <c r="G25" i="17"/>
  <c r="H25" i="17" s="1"/>
  <c r="G14" i="17"/>
  <c r="H14" i="17" s="1"/>
  <c r="G13" i="17"/>
  <c r="H13" i="17" s="1"/>
  <c r="G10" i="17"/>
  <c r="H10" i="17" s="1"/>
  <c r="G9" i="17"/>
  <c r="H9" i="17" s="1"/>
  <c r="G8" i="17"/>
  <c r="H8" i="17" s="1"/>
  <c r="G7" i="17"/>
  <c r="H7" i="17" s="1"/>
  <c r="F52" i="17"/>
  <c r="D3" i="17"/>
  <c r="C3" i="17"/>
  <c r="G253" i="16"/>
  <c r="G233" i="16"/>
  <c r="G215" i="16"/>
  <c r="G195" i="16"/>
  <c r="G177" i="16"/>
  <c r="G159" i="16"/>
  <c r="G142" i="16"/>
  <c r="G125" i="16"/>
  <c r="G108" i="16"/>
  <c r="G90" i="16"/>
  <c r="G72" i="16"/>
  <c r="G54" i="16"/>
  <c r="G36" i="16"/>
  <c r="G18" i="16"/>
  <c r="G248" i="16"/>
  <c r="H248" i="16" s="1"/>
  <c r="G247" i="16"/>
  <c r="H247" i="16" s="1"/>
  <c r="G246" i="16"/>
  <c r="H246" i="16" s="1"/>
  <c r="G243" i="16"/>
  <c r="H243" i="16" s="1"/>
  <c r="G242" i="16"/>
  <c r="H242" i="16" s="1"/>
  <c r="G241" i="16"/>
  <c r="H241" i="16" s="1"/>
  <c r="G240" i="16"/>
  <c r="H240" i="16" s="1"/>
  <c r="G239" i="16"/>
  <c r="H239" i="16" s="1"/>
  <c r="G228" i="16"/>
  <c r="H228" i="16" s="1"/>
  <c r="G227" i="16"/>
  <c r="H227" i="16" s="1"/>
  <c r="G224" i="16"/>
  <c r="H224" i="16" s="1"/>
  <c r="G223" i="16"/>
  <c r="H223" i="16" s="1"/>
  <c r="G222" i="16"/>
  <c r="H222" i="16" s="1"/>
  <c r="G221" i="16"/>
  <c r="H221" i="16" s="1"/>
  <c r="G210" i="16"/>
  <c r="H210" i="16" s="1"/>
  <c r="G209" i="16"/>
  <c r="H209" i="16" s="1"/>
  <c r="G208" i="16"/>
  <c r="H208" i="16" s="1"/>
  <c r="G205" i="16"/>
  <c r="H205" i="16" s="1"/>
  <c r="G204" i="16"/>
  <c r="H204" i="16" s="1"/>
  <c r="G203" i="16"/>
  <c r="H203" i="16" s="1"/>
  <c r="G202" i="16"/>
  <c r="H202" i="16" s="1"/>
  <c r="G201" i="16"/>
  <c r="H201" i="16" s="1"/>
  <c r="G190" i="16"/>
  <c r="H190" i="16" s="1"/>
  <c r="G189" i="16"/>
  <c r="H189" i="16" s="1"/>
  <c r="G186" i="16"/>
  <c r="H186" i="16" s="1"/>
  <c r="G185" i="16"/>
  <c r="H185" i="16" s="1"/>
  <c r="G184" i="16"/>
  <c r="H184" i="16" s="1"/>
  <c r="G183" i="16"/>
  <c r="H183" i="16" s="1"/>
  <c r="G172" i="16"/>
  <c r="H172" i="16" s="1"/>
  <c r="G171" i="16"/>
  <c r="H171" i="16" s="1"/>
  <c r="G168" i="16"/>
  <c r="H168" i="16" s="1"/>
  <c r="G167" i="16"/>
  <c r="H167" i="16" s="1"/>
  <c r="G166" i="16"/>
  <c r="H166" i="16" s="1"/>
  <c r="G165" i="16"/>
  <c r="H165" i="16" s="1"/>
  <c r="G154" i="16"/>
  <c r="H154" i="16" s="1"/>
  <c r="H155" i="16" s="1"/>
  <c r="G151" i="16"/>
  <c r="H151" i="16" s="1"/>
  <c r="G150" i="16"/>
  <c r="H150" i="16" s="1"/>
  <c r="G149" i="16"/>
  <c r="H149" i="16" s="1"/>
  <c r="G148" i="16"/>
  <c r="H148" i="16" s="1"/>
  <c r="G137" i="16"/>
  <c r="H137" i="16" s="1"/>
  <c r="H138" i="16" s="1"/>
  <c r="G134" i="16"/>
  <c r="H134" i="16" s="1"/>
  <c r="G133" i="16"/>
  <c r="H133" i="16" s="1"/>
  <c r="G132" i="16"/>
  <c r="H132" i="16" s="1"/>
  <c r="G131" i="16"/>
  <c r="H131" i="16" s="1"/>
  <c r="G120" i="16"/>
  <c r="H120" i="16" s="1"/>
  <c r="H121" i="16" s="1"/>
  <c r="G117" i="16"/>
  <c r="H117" i="16" s="1"/>
  <c r="G116" i="16"/>
  <c r="H116" i="16" s="1"/>
  <c r="G115" i="16"/>
  <c r="H115" i="16" s="1"/>
  <c r="G114" i="16"/>
  <c r="H114" i="16" s="1"/>
  <c r="G103" i="16"/>
  <c r="H103" i="16" s="1"/>
  <c r="G102" i="16"/>
  <c r="H102" i="16" s="1"/>
  <c r="G99" i="16"/>
  <c r="H99" i="16" s="1"/>
  <c r="G98" i="16"/>
  <c r="H98" i="16" s="1"/>
  <c r="G97" i="16"/>
  <c r="H97" i="16" s="1"/>
  <c r="G96" i="16"/>
  <c r="H96" i="16" s="1"/>
  <c r="G85" i="16"/>
  <c r="H85" i="16" s="1"/>
  <c r="G84" i="16"/>
  <c r="H84" i="16" s="1"/>
  <c r="G81" i="16"/>
  <c r="H81" i="16" s="1"/>
  <c r="G80" i="16"/>
  <c r="H80" i="16" s="1"/>
  <c r="G79" i="16"/>
  <c r="H79" i="16" s="1"/>
  <c r="G78" i="16"/>
  <c r="H78" i="16" s="1"/>
  <c r="G67" i="16"/>
  <c r="H67" i="16" s="1"/>
  <c r="G66" i="16"/>
  <c r="H66" i="16" s="1"/>
  <c r="G63" i="16"/>
  <c r="H63" i="16" s="1"/>
  <c r="G62" i="16"/>
  <c r="H62" i="16" s="1"/>
  <c r="G61" i="16"/>
  <c r="H61" i="16" s="1"/>
  <c r="G60" i="16"/>
  <c r="H60" i="16" s="1"/>
  <c r="G49" i="16"/>
  <c r="H49" i="16" s="1"/>
  <c r="G48" i="16"/>
  <c r="H48" i="16" s="1"/>
  <c r="G45" i="16"/>
  <c r="H45" i="16" s="1"/>
  <c r="G44" i="16"/>
  <c r="H44" i="16" s="1"/>
  <c r="G43" i="16"/>
  <c r="H43" i="16" s="1"/>
  <c r="G42" i="16"/>
  <c r="H42" i="16" s="1"/>
  <c r="G31" i="16"/>
  <c r="H31" i="16" s="1"/>
  <c r="G30" i="16"/>
  <c r="H30" i="16" s="1"/>
  <c r="G27" i="16"/>
  <c r="H27" i="16" s="1"/>
  <c r="G26" i="16"/>
  <c r="H26" i="16" s="1"/>
  <c r="G25" i="16"/>
  <c r="H25" i="16" s="1"/>
  <c r="G24" i="16"/>
  <c r="H24" i="16" s="1"/>
  <c r="G13" i="16"/>
  <c r="H13" i="16" s="1"/>
  <c r="H14" i="16" s="1"/>
  <c r="G10" i="16"/>
  <c r="H10" i="16" s="1"/>
  <c r="G9" i="16"/>
  <c r="H9" i="16" s="1"/>
  <c r="G8" i="16"/>
  <c r="H8" i="16" s="1"/>
  <c r="G7" i="16"/>
  <c r="H7" i="16" s="1"/>
  <c r="D3" i="16"/>
  <c r="C3" i="16"/>
  <c r="G820" i="15"/>
  <c r="G803" i="15"/>
  <c r="G786" i="15"/>
  <c r="G769" i="15"/>
  <c r="G752" i="15"/>
  <c r="G733" i="15"/>
  <c r="G715" i="15"/>
  <c r="G698" i="15"/>
  <c r="G681" i="15"/>
  <c r="G664" i="15"/>
  <c r="G647" i="15"/>
  <c r="G630" i="15"/>
  <c r="G613" i="15"/>
  <c r="G596" i="15"/>
  <c r="G579" i="15"/>
  <c r="G562" i="15"/>
  <c r="G545" i="15"/>
  <c r="G528" i="15"/>
  <c r="G511" i="15"/>
  <c r="G494" i="15"/>
  <c r="G477" i="15"/>
  <c r="G460" i="15"/>
  <c r="G442" i="15"/>
  <c r="G423" i="15"/>
  <c r="G404" i="15"/>
  <c r="G385" i="15"/>
  <c r="G366" i="15"/>
  <c r="G347" i="15"/>
  <c r="G328" i="15"/>
  <c r="G310" i="15"/>
  <c r="G291" i="15"/>
  <c r="G274" i="15"/>
  <c r="G255" i="15"/>
  <c r="G238" i="15"/>
  <c r="G218" i="15"/>
  <c r="G198" i="15"/>
  <c r="G180" i="15"/>
  <c r="G162" i="15"/>
  <c r="G144" i="15"/>
  <c r="G126" i="15"/>
  <c r="G108" i="15"/>
  <c r="G89" i="15"/>
  <c r="G70" i="15"/>
  <c r="G52" i="15"/>
  <c r="G35" i="15"/>
  <c r="G18" i="15"/>
  <c r="G815" i="15"/>
  <c r="H815" i="15" s="1"/>
  <c r="H816" i="15" s="1"/>
  <c r="G812" i="15"/>
  <c r="H812" i="15" s="1"/>
  <c r="G811" i="15"/>
  <c r="H811" i="15" s="1"/>
  <c r="G810" i="15"/>
  <c r="H810" i="15" s="1"/>
  <c r="G809" i="15"/>
  <c r="H809" i="15" s="1"/>
  <c r="G798" i="15"/>
  <c r="H798" i="15" s="1"/>
  <c r="H799" i="15" s="1"/>
  <c r="G795" i="15"/>
  <c r="H795" i="15" s="1"/>
  <c r="G794" i="15"/>
  <c r="H794" i="15" s="1"/>
  <c r="G793" i="15"/>
  <c r="H793" i="15" s="1"/>
  <c r="G792" i="15"/>
  <c r="H792" i="15" s="1"/>
  <c r="G781" i="15"/>
  <c r="H781" i="15" s="1"/>
  <c r="H782" i="15" s="1"/>
  <c r="G778" i="15"/>
  <c r="H778" i="15" s="1"/>
  <c r="G777" i="15"/>
  <c r="H777" i="15" s="1"/>
  <c r="G776" i="15"/>
  <c r="H776" i="15" s="1"/>
  <c r="G775" i="15"/>
  <c r="H775" i="15" s="1"/>
  <c r="G764" i="15"/>
  <c r="H764" i="15" s="1"/>
  <c r="H765" i="15" s="1"/>
  <c r="G761" i="15"/>
  <c r="H761" i="15" s="1"/>
  <c r="G760" i="15"/>
  <c r="H760" i="15" s="1"/>
  <c r="G759" i="15"/>
  <c r="H759" i="15" s="1"/>
  <c r="G758" i="15"/>
  <c r="H758" i="15" s="1"/>
  <c r="G747" i="15"/>
  <c r="H747" i="15" s="1"/>
  <c r="G745" i="15"/>
  <c r="H745" i="15" s="1"/>
  <c r="G742" i="15"/>
  <c r="H742" i="15" s="1"/>
  <c r="G741" i="15"/>
  <c r="H741" i="15" s="1"/>
  <c r="G740" i="15"/>
  <c r="H740" i="15" s="1"/>
  <c r="G739" i="15"/>
  <c r="H739" i="15" s="1"/>
  <c r="G727" i="15"/>
  <c r="H727" i="15" s="1"/>
  <c r="G724" i="15"/>
  <c r="H724" i="15" s="1"/>
  <c r="G723" i="15"/>
  <c r="H723" i="15" s="1"/>
  <c r="G722" i="15"/>
  <c r="H722" i="15" s="1"/>
  <c r="G721" i="15"/>
  <c r="H721" i="15" s="1"/>
  <c r="G710" i="15"/>
  <c r="H710" i="15" s="1"/>
  <c r="H711" i="15" s="1"/>
  <c r="G707" i="15"/>
  <c r="H707" i="15" s="1"/>
  <c r="G706" i="15"/>
  <c r="H706" i="15" s="1"/>
  <c r="G705" i="15"/>
  <c r="H705" i="15" s="1"/>
  <c r="G704" i="15"/>
  <c r="H704" i="15" s="1"/>
  <c r="G693" i="15"/>
  <c r="H693" i="15" s="1"/>
  <c r="H694" i="15" s="1"/>
  <c r="G690" i="15"/>
  <c r="H690" i="15" s="1"/>
  <c r="G689" i="15"/>
  <c r="H689" i="15" s="1"/>
  <c r="G688" i="15"/>
  <c r="H688" i="15" s="1"/>
  <c r="G687" i="15"/>
  <c r="H687" i="15" s="1"/>
  <c r="G676" i="15"/>
  <c r="H676" i="15" s="1"/>
  <c r="H677" i="15" s="1"/>
  <c r="G673" i="15"/>
  <c r="H673" i="15" s="1"/>
  <c r="G672" i="15"/>
  <c r="H672" i="15" s="1"/>
  <c r="G671" i="15"/>
  <c r="H671" i="15" s="1"/>
  <c r="G670" i="15"/>
  <c r="H670" i="15" s="1"/>
  <c r="G659" i="15"/>
  <c r="H659" i="15" s="1"/>
  <c r="H660" i="15" s="1"/>
  <c r="G656" i="15"/>
  <c r="H656" i="15" s="1"/>
  <c r="G655" i="15"/>
  <c r="H655" i="15" s="1"/>
  <c r="G654" i="15"/>
  <c r="H654" i="15" s="1"/>
  <c r="G653" i="15"/>
  <c r="H653" i="15" s="1"/>
  <c r="G642" i="15"/>
  <c r="H642" i="15" s="1"/>
  <c r="H643" i="15" s="1"/>
  <c r="G639" i="15"/>
  <c r="H639" i="15" s="1"/>
  <c r="G638" i="15"/>
  <c r="H638" i="15" s="1"/>
  <c r="G637" i="15"/>
  <c r="H637" i="15" s="1"/>
  <c r="G636" i="15"/>
  <c r="H636" i="15" s="1"/>
  <c r="G625" i="15"/>
  <c r="H625" i="15" s="1"/>
  <c r="H626" i="15" s="1"/>
  <c r="G622" i="15"/>
  <c r="H622" i="15" s="1"/>
  <c r="G621" i="15"/>
  <c r="H621" i="15" s="1"/>
  <c r="G620" i="15"/>
  <c r="H620" i="15" s="1"/>
  <c r="G619" i="15"/>
  <c r="H619" i="15" s="1"/>
  <c r="G608" i="15"/>
  <c r="H608" i="15" s="1"/>
  <c r="H609" i="15" s="1"/>
  <c r="G605" i="15"/>
  <c r="H605" i="15" s="1"/>
  <c r="G604" i="15"/>
  <c r="H604" i="15" s="1"/>
  <c r="G603" i="15"/>
  <c r="H603" i="15" s="1"/>
  <c r="G602" i="15"/>
  <c r="H602" i="15" s="1"/>
  <c r="G591" i="15"/>
  <c r="H591" i="15" s="1"/>
  <c r="H592" i="15" s="1"/>
  <c r="G588" i="15"/>
  <c r="H588" i="15" s="1"/>
  <c r="G587" i="15"/>
  <c r="H587" i="15" s="1"/>
  <c r="G586" i="15"/>
  <c r="H586" i="15" s="1"/>
  <c r="G585" i="15"/>
  <c r="H585" i="15" s="1"/>
  <c r="G574" i="15"/>
  <c r="H574" i="15" s="1"/>
  <c r="H575" i="15" s="1"/>
  <c r="G571" i="15"/>
  <c r="H571" i="15" s="1"/>
  <c r="G570" i="15"/>
  <c r="H570" i="15" s="1"/>
  <c r="G569" i="15"/>
  <c r="H569" i="15" s="1"/>
  <c r="G568" i="15"/>
  <c r="H568" i="15" s="1"/>
  <c r="G557" i="15"/>
  <c r="H557" i="15" s="1"/>
  <c r="H558" i="15" s="1"/>
  <c r="G554" i="15"/>
  <c r="H554" i="15" s="1"/>
  <c r="G553" i="15"/>
  <c r="H553" i="15" s="1"/>
  <c r="G552" i="15"/>
  <c r="H552" i="15" s="1"/>
  <c r="G551" i="15"/>
  <c r="H551" i="15" s="1"/>
  <c r="G540" i="15"/>
  <c r="H540" i="15" s="1"/>
  <c r="H541" i="15" s="1"/>
  <c r="G537" i="15"/>
  <c r="H537" i="15" s="1"/>
  <c r="G536" i="15"/>
  <c r="H536" i="15" s="1"/>
  <c r="G535" i="15"/>
  <c r="H535" i="15" s="1"/>
  <c r="G534" i="15"/>
  <c r="H534" i="15" s="1"/>
  <c r="G523" i="15"/>
  <c r="H523" i="15" s="1"/>
  <c r="H524" i="15" s="1"/>
  <c r="G520" i="15"/>
  <c r="H520" i="15" s="1"/>
  <c r="G519" i="15"/>
  <c r="H519" i="15" s="1"/>
  <c r="G518" i="15"/>
  <c r="H518" i="15" s="1"/>
  <c r="G517" i="15"/>
  <c r="H517" i="15" s="1"/>
  <c r="G506" i="15"/>
  <c r="H506" i="15" s="1"/>
  <c r="H507" i="15" s="1"/>
  <c r="G503" i="15"/>
  <c r="H503" i="15" s="1"/>
  <c r="G502" i="15"/>
  <c r="H502" i="15" s="1"/>
  <c r="G501" i="15"/>
  <c r="H501" i="15" s="1"/>
  <c r="G500" i="15"/>
  <c r="H500" i="15" s="1"/>
  <c r="G489" i="15"/>
  <c r="H489" i="15" s="1"/>
  <c r="H490" i="15" s="1"/>
  <c r="G486" i="15"/>
  <c r="H486" i="15" s="1"/>
  <c r="G485" i="15"/>
  <c r="H485" i="15" s="1"/>
  <c r="G484" i="15"/>
  <c r="H484" i="15" s="1"/>
  <c r="G483" i="15"/>
  <c r="H483" i="15" s="1"/>
  <c r="G472" i="15"/>
  <c r="H472" i="15" s="1"/>
  <c r="H473" i="15" s="1"/>
  <c r="G469" i="15"/>
  <c r="H469" i="15" s="1"/>
  <c r="G468" i="15"/>
  <c r="H468" i="15" s="1"/>
  <c r="G467" i="15"/>
  <c r="H467" i="15" s="1"/>
  <c r="G466" i="15"/>
  <c r="H466" i="15" s="1"/>
  <c r="G455" i="15"/>
  <c r="H455" i="15" s="1"/>
  <c r="G454" i="15"/>
  <c r="H454" i="15" s="1"/>
  <c r="G451" i="15"/>
  <c r="H451" i="15" s="1"/>
  <c r="G450" i="15"/>
  <c r="H450" i="15" s="1"/>
  <c r="G449" i="15"/>
  <c r="H449" i="15" s="1"/>
  <c r="G448" i="15"/>
  <c r="H448" i="15" s="1"/>
  <c r="G437" i="15"/>
  <c r="H437" i="15" s="1"/>
  <c r="G436" i="15"/>
  <c r="H436" i="15" s="1"/>
  <c r="G435" i="15"/>
  <c r="H435" i="15" s="1"/>
  <c r="G432" i="15"/>
  <c r="H432" i="15" s="1"/>
  <c r="G431" i="15"/>
  <c r="H431" i="15" s="1"/>
  <c r="G430" i="15"/>
  <c r="H430" i="15" s="1"/>
  <c r="G429" i="15"/>
  <c r="H429" i="15" s="1"/>
  <c r="G418" i="15"/>
  <c r="H418" i="15" s="1"/>
  <c r="G417" i="15"/>
  <c r="H417" i="15" s="1"/>
  <c r="G416" i="15"/>
  <c r="H416" i="15" s="1"/>
  <c r="G413" i="15"/>
  <c r="H413" i="15" s="1"/>
  <c r="G412" i="15"/>
  <c r="H412" i="15" s="1"/>
  <c r="G411" i="15"/>
  <c r="H411" i="15" s="1"/>
  <c r="G410" i="15"/>
  <c r="H410" i="15" s="1"/>
  <c r="G399" i="15"/>
  <c r="H399" i="15" s="1"/>
  <c r="G398" i="15"/>
  <c r="H398" i="15" s="1"/>
  <c r="G397" i="15"/>
  <c r="H397" i="15" s="1"/>
  <c r="G394" i="15"/>
  <c r="H394" i="15" s="1"/>
  <c r="G393" i="15"/>
  <c r="H393" i="15" s="1"/>
  <c r="G392" i="15"/>
  <c r="H392" i="15" s="1"/>
  <c r="G391" i="15"/>
  <c r="H391" i="15" s="1"/>
  <c r="G380" i="15"/>
  <c r="H380" i="15" s="1"/>
  <c r="G379" i="15"/>
  <c r="H379" i="15" s="1"/>
  <c r="G378" i="15"/>
  <c r="H378" i="15" s="1"/>
  <c r="G375" i="15"/>
  <c r="H375" i="15" s="1"/>
  <c r="G374" i="15"/>
  <c r="H374" i="15" s="1"/>
  <c r="G373" i="15"/>
  <c r="H373" i="15" s="1"/>
  <c r="G372" i="15"/>
  <c r="H372" i="15" s="1"/>
  <c r="G361" i="15"/>
  <c r="H361" i="15" s="1"/>
  <c r="G360" i="15"/>
  <c r="H360" i="15" s="1"/>
  <c r="G359" i="15"/>
  <c r="H359" i="15" s="1"/>
  <c r="G356" i="15"/>
  <c r="H356" i="15" s="1"/>
  <c r="G355" i="15"/>
  <c r="H355" i="15" s="1"/>
  <c r="G354" i="15"/>
  <c r="H354" i="15" s="1"/>
  <c r="G353" i="15"/>
  <c r="H353" i="15" s="1"/>
  <c r="G342" i="15"/>
  <c r="H342" i="15" s="1"/>
  <c r="G341" i="15"/>
  <c r="H341" i="15" s="1"/>
  <c r="G340" i="15"/>
  <c r="H340" i="15" s="1"/>
  <c r="G337" i="15"/>
  <c r="H337" i="15" s="1"/>
  <c r="G336" i="15"/>
  <c r="H336" i="15" s="1"/>
  <c r="G335" i="15"/>
  <c r="H335" i="15" s="1"/>
  <c r="G334" i="15"/>
  <c r="H334" i="15" s="1"/>
  <c r="G323" i="15"/>
  <c r="H323" i="15" s="1"/>
  <c r="G322" i="15"/>
  <c r="H322" i="15" s="1"/>
  <c r="G319" i="15"/>
  <c r="H319" i="15" s="1"/>
  <c r="G318" i="15"/>
  <c r="H318" i="15" s="1"/>
  <c r="G317" i="15"/>
  <c r="H317" i="15" s="1"/>
  <c r="G316" i="15"/>
  <c r="H316" i="15" s="1"/>
  <c r="G305" i="15"/>
  <c r="H305" i="15" s="1"/>
  <c r="G304" i="15"/>
  <c r="H304" i="15" s="1"/>
  <c r="G303" i="15"/>
  <c r="H303" i="15" s="1"/>
  <c r="G300" i="15"/>
  <c r="H300" i="15" s="1"/>
  <c r="G299" i="15"/>
  <c r="H299" i="15" s="1"/>
  <c r="G298" i="15"/>
  <c r="H298" i="15" s="1"/>
  <c r="G297" i="15"/>
  <c r="H297" i="15" s="1"/>
  <c r="G286" i="15"/>
  <c r="H286" i="15" s="1"/>
  <c r="H287" i="15" s="1"/>
  <c r="G283" i="15"/>
  <c r="H283" i="15" s="1"/>
  <c r="G282" i="15"/>
  <c r="H282" i="15" s="1"/>
  <c r="G281" i="15"/>
  <c r="H281" i="15" s="1"/>
  <c r="G280" i="15"/>
  <c r="H280" i="15" s="1"/>
  <c r="G269" i="15"/>
  <c r="H269" i="15" s="1"/>
  <c r="G268" i="15"/>
  <c r="H268" i="15" s="1"/>
  <c r="G267" i="15"/>
  <c r="H267" i="15" s="1"/>
  <c r="G264" i="15"/>
  <c r="H264" i="15" s="1"/>
  <c r="G263" i="15"/>
  <c r="H263" i="15" s="1"/>
  <c r="G262" i="15"/>
  <c r="H262" i="15" s="1"/>
  <c r="G261" i="15"/>
  <c r="H261" i="15" s="1"/>
  <c r="G250" i="15"/>
  <c r="H250" i="15" s="1"/>
  <c r="H251" i="15" s="1"/>
  <c r="G247" i="15"/>
  <c r="H247" i="15" s="1"/>
  <c r="G246" i="15"/>
  <c r="H246" i="15" s="1"/>
  <c r="G245" i="15"/>
  <c r="H245" i="15" s="1"/>
  <c r="G244" i="15"/>
  <c r="H244" i="15" s="1"/>
  <c r="G233" i="15"/>
  <c r="H233" i="15" s="1"/>
  <c r="G232" i="15"/>
  <c r="H232" i="15" s="1"/>
  <c r="G231" i="15"/>
  <c r="H231" i="15" s="1"/>
  <c r="G230" i="15"/>
  <c r="H230" i="15" s="1"/>
  <c r="G227" i="15"/>
  <c r="H227" i="15" s="1"/>
  <c r="G226" i="15"/>
  <c r="H226" i="15" s="1"/>
  <c r="G225" i="15"/>
  <c r="H225" i="15" s="1"/>
  <c r="G224" i="15"/>
  <c r="H224" i="15" s="1"/>
  <c r="G213" i="15"/>
  <c r="H213" i="15" s="1"/>
  <c r="G212" i="15"/>
  <c r="H212" i="15" s="1"/>
  <c r="G211" i="15"/>
  <c r="H211" i="15" s="1"/>
  <c r="G210" i="15"/>
  <c r="H210" i="15" s="1"/>
  <c r="G207" i="15"/>
  <c r="H207" i="15" s="1"/>
  <c r="G206" i="15"/>
  <c r="H206" i="15" s="1"/>
  <c r="G205" i="15"/>
  <c r="H205" i="15" s="1"/>
  <c r="G204" i="15"/>
  <c r="H204" i="15" s="1"/>
  <c r="G193" i="15"/>
  <c r="H193" i="15" s="1"/>
  <c r="G192" i="15"/>
  <c r="H192" i="15" s="1"/>
  <c r="G189" i="15"/>
  <c r="H189" i="15" s="1"/>
  <c r="G188" i="15"/>
  <c r="H188" i="15" s="1"/>
  <c r="G187" i="15"/>
  <c r="H187" i="15" s="1"/>
  <c r="G186" i="15"/>
  <c r="H186" i="15" s="1"/>
  <c r="G175" i="15"/>
  <c r="H175" i="15" s="1"/>
  <c r="G174" i="15"/>
  <c r="H174" i="15" s="1"/>
  <c r="G171" i="15"/>
  <c r="H171" i="15" s="1"/>
  <c r="G170" i="15"/>
  <c r="H170" i="15" s="1"/>
  <c r="G169" i="15"/>
  <c r="H169" i="15" s="1"/>
  <c r="G168" i="15"/>
  <c r="H168" i="15" s="1"/>
  <c r="G157" i="15"/>
  <c r="H157" i="15" s="1"/>
  <c r="G156" i="15"/>
  <c r="H156" i="15" s="1"/>
  <c r="G153" i="15"/>
  <c r="H153" i="15" s="1"/>
  <c r="G152" i="15"/>
  <c r="H152" i="15" s="1"/>
  <c r="G151" i="15"/>
  <c r="H151" i="15" s="1"/>
  <c r="G150" i="15"/>
  <c r="H150" i="15" s="1"/>
  <c r="G139" i="15"/>
  <c r="H139" i="15" s="1"/>
  <c r="G138" i="15"/>
  <c r="H138" i="15" s="1"/>
  <c r="G135" i="15"/>
  <c r="H135" i="15" s="1"/>
  <c r="G134" i="15"/>
  <c r="H134" i="15" s="1"/>
  <c r="G133" i="15"/>
  <c r="H133" i="15" s="1"/>
  <c r="G132" i="15"/>
  <c r="H132" i="15" s="1"/>
  <c r="G121" i="15"/>
  <c r="H121" i="15" s="1"/>
  <c r="G120" i="15"/>
  <c r="H120" i="15" s="1"/>
  <c r="G117" i="15"/>
  <c r="H117" i="15" s="1"/>
  <c r="G116" i="15"/>
  <c r="H116" i="15" s="1"/>
  <c r="G115" i="15"/>
  <c r="H115" i="15" s="1"/>
  <c r="G114" i="15"/>
  <c r="H114" i="15" s="1"/>
  <c r="G103" i="15"/>
  <c r="H103" i="15" s="1"/>
  <c r="G102" i="15"/>
  <c r="H102" i="15" s="1"/>
  <c r="G101" i="15"/>
  <c r="H101" i="15" s="1"/>
  <c r="G98" i="15"/>
  <c r="H98" i="15" s="1"/>
  <c r="G97" i="15"/>
  <c r="H97" i="15" s="1"/>
  <c r="G96" i="15"/>
  <c r="H96" i="15" s="1"/>
  <c r="G95" i="15"/>
  <c r="H95" i="15" s="1"/>
  <c r="G84" i="15"/>
  <c r="H84" i="15" s="1"/>
  <c r="G83" i="15"/>
  <c r="H83" i="15" s="1"/>
  <c r="G82" i="15"/>
  <c r="H82" i="15" s="1"/>
  <c r="G79" i="15"/>
  <c r="H79" i="15" s="1"/>
  <c r="G78" i="15"/>
  <c r="H78" i="15" s="1"/>
  <c r="G77" i="15"/>
  <c r="H77" i="15" s="1"/>
  <c r="G76" i="15"/>
  <c r="H76" i="15" s="1"/>
  <c r="G65" i="15"/>
  <c r="H65" i="15" s="1"/>
  <c r="G64" i="15"/>
  <c r="H64" i="15" s="1"/>
  <c r="G61" i="15"/>
  <c r="H61" i="15" s="1"/>
  <c r="G60" i="15"/>
  <c r="H60" i="15" s="1"/>
  <c r="G59" i="15"/>
  <c r="H59" i="15" s="1"/>
  <c r="G58" i="15"/>
  <c r="H58" i="15" s="1"/>
  <c r="G47" i="15"/>
  <c r="H47" i="15" s="1"/>
  <c r="H48" i="15" s="1"/>
  <c r="G44" i="15"/>
  <c r="H44" i="15" s="1"/>
  <c r="G43" i="15"/>
  <c r="H43" i="15" s="1"/>
  <c r="G42" i="15"/>
  <c r="H42" i="15" s="1"/>
  <c r="G41" i="15"/>
  <c r="H41" i="15" s="1"/>
  <c r="G30" i="15"/>
  <c r="H30" i="15" s="1"/>
  <c r="H31" i="15" s="1"/>
  <c r="G27" i="15"/>
  <c r="H27" i="15" s="1"/>
  <c r="G26" i="15"/>
  <c r="H26" i="15" s="1"/>
  <c r="G25" i="15"/>
  <c r="H25" i="15" s="1"/>
  <c r="G24" i="15"/>
  <c r="H24" i="15" s="1"/>
  <c r="G13" i="15"/>
  <c r="H13" i="15" s="1"/>
  <c r="H14" i="15" s="1"/>
  <c r="G10" i="15"/>
  <c r="H10" i="15" s="1"/>
  <c r="G9" i="15"/>
  <c r="H9" i="15" s="1"/>
  <c r="G8" i="15"/>
  <c r="H8" i="15" s="1"/>
  <c r="G7" i="15"/>
  <c r="H7" i="15" s="1"/>
  <c r="D3" i="15"/>
  <c r="C3" i="15"/>
  <c r="G1758" i="14"/>
  <c r="G1740" i="14"/>
  <c r="G1721" i="14"/>
  <c r="G1700" i="14"/>
  <c r="G1680" i="14"/>
  <c r="G1660" i="14"/>
  <c r="G1642" i="14"/>
  <c r="G1623" i="14"/>
  <c r="G1603" i="14"/>
  <c r="G1585" i="14"/>
  <c r="G1566" i="14"/>
  <c r="G1547" i="14"/>
  <c r="G1527" i="14"/>
  <c r="G1507" i="14"/>
  <c r="G1487" i="14"/>
  <c r="G1467" i="14"/>
  <c r="G1448" i="14"/>
  <c r="G1429" i="14"/>
  <c r="G1410" i="14"/>
  <c r="G1390" i="14"/>
  <c r="G1370" i="14"/>
  <c r="G1350" i="14"/>
  <c r="G1330" i="14"/>
  <c r="G1311" i="14"/>
  <c r="G1294" i="14"/>
  <c r="G1277" i="14"/>
  <c r="G1259" i="14"/>
  <c r="G1241" i="14"/>
  <c r="G1223" i="14"/>
  <c r="G1205" i="14"/>
  <c r="G1187" i="14"/>
  <c r="G1169" i="14"/>
  <c r="G1151" i="14"/>
  <c r="G1131" i="14"/>
  <c r="G1111" i="14"/>
  <c r="G1091" i="14"/>
  <c r="G1071" i="14"/>
  <c r="G1051" i="14"/>
  <c r="G1031" i="14"/>
  <c r="G1011" i="14"/>
  <c r="G991" i="14"/>
  <c r="G971" i="14"/>
  <c r="G951" i="14"/>
  <c r="G931" i="14"/>
  <c r="G911" i="14"/>
  <c r="G891" i="14"/>
  <c r="G871" i="14"/>
  <c r="G851" i="14"/>
  <c r="G831" i="14"/>
  <c r="G811" i="14"/>
  <c r="G791" i="14"/>
  <c r="G771" i="14"/>
  <c r="G751" i="14"/>
  <c r="G731" i="14"/>
  <c r="G711" i="14"/>
  <c r="G691" i="14"/>
  <c r="G671" i="14"/>
  <c r="G651" i="14"/>
  <c r="G631" i="14"/>
  <c r="G611" i="14"/>
  <c r="G591" i="14"/>
  <c r="G571" i="14"/>
  <c r="G551" i="14"/>
  <c r="G531" i="14"/>
  <c r="G511" i="14"/>
  <c r="G491" i="14"/>
  <c r="G471" i="14"/>
  <c r="G451" i="14"/>
  <c r="G431" i="14"/>
  <c r="G411" i="14"/>
  <c r="G391" i="14"/>
  <c r="G371" i="14"/>
  <c r="G20" i="14"/>
  <c r="G1753" i="14"/>
  <c r="H1753" i="14" s="1"/>
  <c r="G1752" i="14"/>
  <c r="H1752" i="14" s="1"/>
  <c r="G1749" i="14"/>
  <c r="H1749" i="14" s="1"/>
  <c r="G1748" i="14"/>
  <c r="H1748" i="14" s="1"/>
  <c r="G1747" i="14"/>
  <c r="H1747" i="14" s="1"/>
  <c r="G1746" i="14"/>
  <c r="H1746" i="14" s="1"/>
  <c r="G1735" i="14"/>
  <c r="H1735" i="14" s="1"/>
  <c r="G1734" i="14"/>
  <c r="H1734" i="14" s="1"/>
  <c r="G1733" i="14"/>
  <c r="H1733" i="14" s="1"/>
  <c r="G1730" i="14"/>
  <c r="H1730" i="14" s="1"/>
  <c r="G1729" i="14"/>
  <c r="H1729" i="14" s="1"/>
  <c r="G1728" i="14"/>
  <c r="H1728" i="14" s="1"/>
  <c r="G1727" i="14"/>
  <c r="H1727" i="14" s="1"/>
  <c r="G1716" i="14"/>
  <c r="H1716" i="14" s="1"/>
  <c r="G1715" i="14"/>
  <c r="H1715" i="14" s="1"/>
  <c r="G1714" i="14"/>
  <c r="H1714" i="14" s="1"/>
  <c r="G1713" i="14"/>
  <c r="H1713" i="14" s="1"/>
  <c r="G1712" i="14"/>
  <c r="H1712" i="14" s="1"/>
  <c r="G1709" i="14"/>
  <c r="H1709" i="14" s="1"/>
  <c r="G1708" i="14"/>
  <c r="H1708" i="14" s="1"/>
  <c r="G1707" i="14"/>
  <c r="H1707" i="14" s="1"/>
  <c r="G1706" i="14"/>
  <c r="H1706" i="14" s="1"/>
  <c r="G1695" i="14"/>
  <c r="H1695" i="14" s="1"/>
  <c r="G1694" i="14"/>
  <c r="H1694" i="14" s="1"/>
  <c r="G1693" i="14"/>
  <c r="H1693" i="14" s="1"/>
  <c r="G1692" i="14"/>
  <c r="H1692" i="14" s="1"/>
  <c r="G1689" i="14"/>
  <c r="H1689" i="14" s="1"/>
  <c r="G1688" i="14"/>
  <c r="H1688" i="14" s="1"/>
  <c r="G1687" i="14"/>
  <c r="H1687" i="14" s="1"/>
  <c r="G1686" i="14"/>
  <c r="H1686" i="14" s="1"/>
  <c r="G1675" i="14"/>
  <c r="H1675" i="14" s="1"/>
  <c r="G1674" i="14"/>
  <c r="H1674" i="14" s="1"/>
  <c r="G1673" i="14"/>
  <c r="H1673" i="14" s="1"/>
  <c r="G1672" i="14"/>
  <c r="H1672" i="14" s="1"/>
  <c r="G1669" i="14"/>
  <c r="H1669" i="14" s="1"/>
  <c r="G1668" i="14"/>
  <c r="H1668" i="14" s="1"/>
  <c r="G1667" i="14"/>
  <c r="H1667" i="14" s="1"/>
  <c r="G1666" i="14"/>
  <c r="H1666" i="14" s="1"/>
  <c r="G1655" i="14"/>
  <c r="H1655" i="14" s="1"/>
  <c r="G1654" i="14"/>
  <c r="H1654" i="14" s="1"/>
  <c r="G1651" i="14"/>
  <c r="H1651" i="14" s="1"/>
  <c r="G1650" i="14"/>
  <c r="H1650" i="14" s="1"/>
  <c r="G1649" i="14"/>
  <c r="H1649" i="14" s="1"/>
  <c r="G1648" i="14"/>
  <c r="H1648" i="14" s="1"/>
  <c r="G1637" i="14"/>
  <c r="H1637" i="14" s="1"/>
  <c r="G1636" i="14"/>
  <c r="H1636" i="14" s="1"/>
  <c r="G1635" i="14"/>
  <c r="H1635" i="14" s="1"/>
  <c r="G1632" i="14"/>
  <c r="H1632" i="14" s="1"/>
  <c r="G1631" i="14"/>
  <c r="H1631" i="14" s="1"/>
  <c r="G1630" i="14"/>
  <c r="H1630" i="14" s="1"/>
  <c r="G1629" i="14"/>
  <c r="H1629" i="14" s="1"/>
  <c r="G1618" i="14"/>
  <c r="H1618" i="14" s="1"/>
  <c r="G1617" i="14"/>
  <c r="H1617" i="14" s="1"/>
  <c r="G1616" i="14"/>
  <c r="H1616" i="14" s="1"/>
  <c r="G1615" i="14"/>
  <c r="H1615" i="14" s="1"/>
  <c r="G1612" i="14"/>
  <c r="H1612" i="14" s="1"/>
  <c r="G1611" i="14"/>
  <c r="H1611" i="14" s="1"/>
  <c r="G1610" i="14"/>
  <c r="H1610" i="14" s="1"/>
  <c r="G1609" i="14"/>
  <c r="H1609" i="14" s="1"/>
  <c r="G1598" i="14"/>
  <c r="H1598" i="14" s="1"/>
  <c r="G1597" i="14"/>
  <c r="H1597" i="14" s="1"/>
  <c r="G1594" i="14"/>
  <c r="H1594" i="14" s="1"/>
  <c r="G1593" i="14"/>
  <c r="H1593" i="14" s="1"/>
  <c r="G1592" i="14"/>
  <c r="H1592" i="14" s="1"/>
  <c r="G1591" i="14"/>
  <c r="H1591" i="14" s="1"/>
  <c r="G1580" i="14"/>
  <c r="H1580" i="14" s="1"/>
  <c r="G1579" i="14"/>
  <c r="H1579" i="14" s="1"/>
  <c r="G1578" i="14"/>
  <c r="H1578" i="14" s="1"/>
  <c r="G1575" i="14"/>
  <c r="H1575" i="14" s="1"/>
  <c r="G1574" i="14"/>
  <c r="H1574" i="14" s="1"/>
  <c r="G1573" i="14"/>
  <c r="H1573" i="14" s="1"/>
  <c r="G1572" i="14"/>
  <c r="H1572" i="14" s="1"/>
  <c r="G1559" i="14"/>
  <c r="H1559" i="14" s="1"/>
  <c r="G1561" i="14"/>
  <c r="H1561" i="14" s="1"/>
  <c r="G1560" i="14"/>
  <c r="H1560" i="14" s="1"/>
  <c r="G1556" i="14"/>
  <c r="H1556" i="14" s="1"/>
  <c r="G1555" i="14"/>
  <c r="H1555" i="14" s="1"/>
  <c r="G1554" i="14"/>
  <c r="H1554" i="14" s="1"/>
  <c r="G1553" i="14"/>
  <c r="H1553" i="14" s="1"/>
  <c r="G1542" i="14"/>
  <c r="H1542" i="14" s="1"/>
  <c r="G1541" i="14"/>
  <c r="H1541" i="14" s="1"/>
  <c r="G1540" i="14"/>
  <c r="H1540" i="14" s="1"/>
  <c r="G1539" i="14"/>
  <c r="H1539" i="14" s="1"/>
  <c r="G1536" i="14"/>
  <c r="H1536" i="14" s="1"/>
  <c r="G1535" i="14"/>
  <c r="H1535" i="14" s="1"/>
  <c r="G1534" i="14"/>
  <c r="H1534" i="14" s="1"/>
  <c r="G1533" i="14"/>
  <c r="H1533" i="14" s="1"/>
  <c r="G1522" i="14"/>
  <c r="H1522" i="14" s="1"/>
  <c r="G1521" i="14"/>
  <c r="H1521" i="14" s="1"/>
  <c r="G1520" i="14"/>
  <c r="H1520" i="14" s="1"/>
  <c r="G1519" i="14"/>
  <c r="H1519" i="14" s="1"/>
  <c r="G1516" i="14"/>
  <c r="H1516" i="14" s="1"/>
  <c r="G1515" i="14"/>
  <c r="H1515" i="14" s="1"/>
  <c r="G1514" i="14"/>
  <c r="H1514" i="14" s="1"/>
  <c r="G1513" i="14"/>
  <c r="H1513" i="14" s="1"/>
  <c r="G1502" i="14"/>
  <c r="H1502" i="14" s="1"/>
  <c r="G1501" i="14"/>
  <c r="H1501" i="14" s="1"/>
  <c r="G1500" i="14"/>
  <c r="H1500" i="14" s="1"/>
  <c r="G1499" i="14"/>
  <c r="H1499" i="14" s="1"/>
  <c r="G1496" i="14"/>
  <c r="H1496" i="14" s="1"/>
  <c r="G1495" i="14"/>
  <c r="H1495" i="14" s="1"/>
  <c r="G1494" i="14"/>
  <c r="H1494" i="14" s="1"/>
  <c r="G1493" i="14"/>
  <c r="H1493" i="14" s="1"/>
  <c r="G1482" i="14"/>
  <c r="H1482" i="14" s="1"/>
  <c r="G1481" i="14"/>
  <c r="H1481" i="14" s="1"/>
  <c r="G1480" i="14"/>
  <c r="H1480" i="14" s="1"/>
  <c r="G1479" i="14"/>
  <c r="H1479" i="14" s="1"/>
  <c r="G1476" i="14"/>
  <c r="H1476" i="14" s="1"/>
  <c r="G1475" i="14"/>
  <c r="H1475" i="14" s="1"/>
  <c r="G1474" i="14"/>
  <c r="H1474" i="14" s="1"/>
  <c r="G1473" i="14"/>
  <c r="H1473" i="14" s="1"/>
  <c r="G1462" i="14"/>
  <c r="H1462" i="14" s="1"/>
  <c r="G1461" i="14"/>
  <c r="H1461" i="14" s="1"/>
  <c r="G1460" i="14"/>
  <c r="H1460" i="14" s="1"/>
  <c r="G1457" i="14"/>
  <c r="H1457" i="14" s="1"/>
  <c r="G1456" i="14"/>
  <c r="H1456" i="14" s="1"/>
  <c r="G1455" i="14"/>
  <c r="H1455" i="14" s="1"/>
  <c r="G1454" i="14"/>
  <c r="H1454" i="14" s="1"/>
  <c r="G1443" i="14"/>
  <c r="H1443" i="14" s="1"/>
  <c r="G1442" i="14"/>
  <c r="H1442" i="14" s="1"/>
  <c r="G1441" i="14"/>
  <c r="H1441" i="14" s="1"/>
  <c r="G1438" i="14"/>
  <c r="H1438" i="14" s="1"/>
  <c r="G1437" i="14"/>
  <c r="H1437" i="14" s="1"/>
  <c r="G1436" i="14"/>
  <c r="H1436" i="14" s="1"/>
  <c r="G1435" i="14"/>
  <c r="H1435" i="14" s="1"/>
  <c r="G1424" i="14"/>
  <c r="H1424" i="14" s="1"/>
  <c r="G1423" i="14"/>
  <c r="H1423" i="14" s="1"/>
  <c r="G1422" i="14"/>
  <c r="H1422" i="14" s="1"/>
  <c r="G1419" i="14"/>
  <c r="H1419" i="14" s="1"/>
  <c r="G1418" i="14"/>
  <c r="H1418" i="14" s="1"/>
  <c r="G1417" i="14"/>
  <c r="H1417" i="14" s="1"/>
  <c r="G1416" i="14"/>
  <c r="H1416" i="14" s="1"/>
  <c r="G1405" i="14"/>
  <c r="H1405" i="14" s="1"/>
  <c r="G1404" i="14"/>
  <c r="H1404" i="14" s="1"/>
  <c r="G1403" i="14"/>
  <c r="H1403" i="14" s="1"/>
  <c r="G1402" i="14"/>
  <c r="H1402" i="14" s="1"/>
  <c r="G1399" i="14"/>
  <c r="H1399" i="14" s="1"/>
  <c r="G1398" i="14"/>
  <c r="H1398" i="14" s="1"/>
  <c r="G1397" i="14"/>
  <c r="H1397" i="14" s="1"/>
  <c r="G1396" i="14"/>
  <c r="H1396" i="14" s="1"/>
  <c r="G1385" i="14"/>
  <c r="H1385" i="14" s="1"/>
  <c r="G1384" i="14"/>
  <c r="H1384" i="14" s="1"/>
  <c r="G1383" i="14"/>
  <c r="H1383" i="14" s="1"/>
  <c r="G1382" i="14"/>
  <c r="H1382" i="14" s="1"/>
  <c r="G1379" i="14"/>
  <c r="H1379" i="14" s="1"/>
  <c r="G1378" i="14"/>
  <c r="H1378" i="14" s="1"/>
  <c r="G1377" i="14"/>
  <c r="H1377" i="14" s="1"/>
  <c r="G1376" i="14"/>
  <c r="H1376" i="14" s="1"/>
  <c r="G1365" i="14"/>
  <c r="H1365" i="14" s="1"/>
  <c r="G1364" i="14"/>
  <c r="H1364" i="14" s="1"/>
  <c r="G1363" i="14"/>
  <c r="H1363" i="14" s="1"/>
  <c r="G1362" i="14"/>
  <c r="H1362" i="14" s="1"/>
  <c r="G1359" i="14"/>
  <c r="H1359" i="14" s="1"/>
  <c r="G1358" i="14"/>
  <c r="H1358" i="14" s="1"/>
  <c r="G1357" i="14"/>
  <c r="H1357" i="14" s="1"/>
  <c r="G1356" i="14"/>
  <c r="H1356" i="14" s="1"/>
  <c r="G1345" i="14"/>
  <c r="H1345" i="14" s="1"/>
  <c r="G1344" i="14"/>
  <c r="H1344" i="14" s="1"/>
  <c r="G1343" i="14"/>
  <c r="H1343" i="14" s="1"/>
  <c r="G1342" i="14"/>
  <c r="H1342" i="14" s="1"/>
  <c r="G1339" i="14"/>
  <c r="H1339" i="14" s="1"/>
  <c r="G1338" i="14"/>
  <c r="H1338" i="14" s="1"/>
  <c r="G1337" i="14"/>
  <c r="H1337" i="14" s="1"/>
  <c r="G1336" i="14"/>
  <c r="H1336" i="14" s="1"/>
  <c r="G1327" i="14"/>
  <c r="H1327" i="14" s="1"/>
  <c r="H1328" i="14" s="1"/>
  <c r="G1324" i="14"/>
  <c r="H1324" i="14" s="1"/>
  <c r="G1323" i="14"/>
  <c r="H1323" i="14" s="1"/>
  <c r="G1320" i="14"/>
  <c r="H1320" i="14" s="1"/>
  <c r="G1319" i="14"/>
  <c r="H1319" i="14" s="1"/>
  <c r="G1318" i="14"/>
  <c r="H1318" i="14" s="1"/>
  <c r="G1317" i="14"/>
  <c r="H1317" i="14" s="1"/>
  <c r="G1306" i="14"/>
  <c r="H1306" i="14" s="1"/>
  <c r="H1307" i="14" s="1"/>
  <c r="G1303" i="14"/>
  <c r="H1303" i="14" s="1"/>
  <c r="G1302" i="14"/>
  <c r="H1302" i="14" s="1"/>
  <c r="G1301" i="14"/>
  <c r="H1301" i="14" s="1"/>
  <c r="G1300" i="14"/>
  <c r="H1300" i="14" s="1"/>
  <c r="G1289" i="14"/>
  <c r="H1289" i="14" s="1"/>
  <c r="H1290" i="14" s="1"/>
  <c r="G1286" i="14"/>
  <c r="H1286" i="14" s="1"/>
  <c r="G1285" i="14"/>
  <c r="H1285" i="14" s="1"/>
  <c r="G1284" i="14"/>
  <c r="H1284" i="14" s="1"/>
  <c r="G1283" i="14"/>
  <c r="H1283" i="14" s="1"/>
  <c r="G1272" i="14"/>
  <c r="H1272" i="14" s="1"/>
  <c r="G1271" i="14"/>
  <c r="H1271" i="14" s="1"/>
  <c r="G1268" i="14"/>
  <c r="H1268" i="14" s="1"/>
  <c r="G1267" i="14"/>
  <c r="H1267" i="14" s="1"/>
  <c r="G1266" i="14"/>
  <c r="H1266" i="14" s="1"/>
  <c r="G1265" i="14"/>
  <c r="H1265" i="14" s="1"/>
  <c r="G1254" i="14"/>
  <c r="H1254" i="14" s="1"/>
  <c r="G1253" i="14"/>
  <c r="H1253" i="14" s="1"/>
  <c r="G1250" i="14"/>
  <c r="H1250" i="14" s="1"/>
  <c r="G1249" i="14"/>
  <c r="H1249" i="14" s="1"/>
  <c r="G1248" i="14"/>
  <c r="H1248" i="14" s="1"/>
  <c r="G1247" i="14"/>
  <c r="H1247" i="14" s="1"/>
  <c r="G1236" i="14"/>
  <c r="H1236" i="14" s="1"/>
  <c r="G1235" i="14"/>
  <c r="H1235" i="14" s="1"/>
  <c r="G1232" i="14"/>
  <c r="H1232" i="14" s="1"/>
  <c r="G1231" i="14"/>
  <c r="H1231" i="14" s="1"/>
  <c r="G1230" i="14"/>
  <c r="H1230" i="14" s="1"/>
  <c r="G1229" i="14"/>
  <c r="H1229" i="14" s="1"/>
  <c r="G1218" i="14"/>
  <c r="H1218" i="14" s="1"/>
  <c r="G1217" i="14"/>
  <c r="H1217" i="14" s="1"/>
  <c r="G1214" i="14"/>
  <c r="H1214" i="14" s="1"/>
  <c r="G1213" i="14"/>
  <c r="H1213" i="14" s="1"/>
  <c r="G1212" i="14"/>
  <c r="H1212" i="14" s="1"/>
  <c r="G1211" i="14"/>
  <c r="H1211" i="14" s="1"/>
  <c r="G1200" i="14"/>
  <c r="H1200" i="14" s="1"/>
  <c r="G1199" i="14"/>
  <c r="H1199" i="14" s="1"/>
  <c r="G1196" i="14"/>
  <c r="H1196" i="14" s="1"/>
  <c r="G1195" i="14"/>
  <c r="H1195" i="14" s="1"/>
  <c r="G1194" i="14"/>
  <c r="H1194" i="14" s="1"/>
  <c r="G1193" i="14"/>
  <c r="H1193" i="14" s="1"/>
  <c r="G1182" i="14"/>
  <c r="H1182" i="14" s="1"/>
  <c r="G1181" i="14"/>
  <c r="H1181" i="14" s="1"/>
  <c r="G1178" i="14"/>
  <c r="H1178" i="14" s="1"/>
  <c r="G1177" i="14"/>
  <c r="H1177" i="14" s="1"/>
  <c r="G1176" i="14"/>
  <c r="H1176" i="14" s="1"/>
  <c r="G1175" i="14"/>
  <c r="H1175" i="14" s="1"/>
  <c r="G1164" i="14"/>
  <c r="H1164" i="14" s="1"/>
  <c r="G1163" i="14"/>
  <c r="H1163" i="14" s="1"/>
  <c r="G1160" i="14"/>
  <c r="H1160" i="14" s="1"/>
  <c r="G1159" i="14"/>
  <c r="H1159" i="14" s="1"/>
  <c r="G1158" i="14"/>
  <c r="H1158" i="14" s="1"/>
  <c r="G1157" i="14"/>
  <c r="H1157" i="14" s="1"/>
  <c r="G1146" i="14"/>
  <c r="H1146" i="14" s="1"/>
  <c r="G1145" i="14"/>
  <c r="H1145" i="14" s="1"/>
  <c r="G1144" i="14"/>
  <c r="H1144" i="14" s="1"/>
  <c r="G1143" i="14"/>
  <c r="H1143" i="14" s="1"/>
  <c r="G1140" i="14"/>
  <c r="H1140" i="14" s="1"/>
  <c r="G1139" i="14"/>
  <c r="H1139" i="14" s="1"/>
  <c r="G1138" i="14"/>
  <c r="H1138" i="14" s="1"/>
  <c r="G1137" i="14"/>
  <c r="H1137" i="14" s="1"/>
  <c r="G1126" i="14"/>
  <c r="H1126" i="14" s="1"/>
  <c r="G1125" i="14"/>
  <c r="H1125" i="14" s="1"/>
  <c r="G1124" i="14"/>
  <c r="H1124" i="14" s="1"/>
  <c r="G1123" i="14"/>
  <c r="H1123" i="14" s="1"/>
  <c r="G1120" i="14"/>
  <c r="H1120" i="14" s="1"/>
  <c r="G1119" i="14"/>
  <c r="H1119" i="14" s="1"/>
  <c r="G1118" i="14"/>
  <c r="H1118" i="14" s="1"/>
  <c r="G1117" i="14"/>
  <c r="H1117" i="14" s="1"/>
  <c r="G1106" i="14"/>
  <c r="H1106" i="14" s="1"/>
  <c r="G1105" i="14"/>
  <c r="H1105" i="14" s="1"/>
  <c r="G1104" i="14"/>
  <c r="H1104" i="14" s="1"/>
  <c r="G1103" i="14"/>
  <c r="H1103" i="14" s="1"/>
  <c r="G1100" i="14"/>
  <c r="H1100" i="14" s="1"/>
  <c r="G1099" i="14"/>
  <c r="H1099" i="14" s="1"/>
  <c r="G1098" i="14"/>
  <c r="H1098" i="14" s="1"/>
  <c r="G1097" i="14"/>
  <c r="H1097" i="14" s="1"/>
  <c r="G1086" i="14"/>
  <c r="H1086" i="14" s="1"/>
  <c r="G1085" i="14"/>
  <c r="H1085" i="14" s="1"/>
  <c r="G1084" i="14"/>
  <c r="H1084" i="14" s="1"/>
  <c r="G1083" i="14"/>
  <c r="H1083" i="14" s="1"/>
  <c r="G1080" i="14"/>
  <c r="H1080" i="14" s="1"/>
  <c r="G1079" i="14"/>
  <c r="H1079" i="14" s="1"/>
  <c r="G1078" i="14"/>
  <c r="H1078" i="14" s="1"/>
  <c r="G1077" i="14"/>
  <c r="H1077" i="14" s="1"/>
  <c r="G1066" i="14"/>
  <c r="H1066" i="14" s="1"/>
  <c r="G1065" i="14"/>
  <c r="H1065" i="14" s="1"/>
  <c r="G1064" i="14"/>
  <c r="H1064" i="14" s="1"/>
  <c r="G1063" i="14"/>
  <c r="H1063" i="14" s="1"/>
  <c r="G1060" i="14"/>
  <c r="H1060" i="14" s="1"/>
  <c r="G1059" i="14"/>
  <c r="H1059" i="14" s="1"/>
  <c r="G1058" i="14"/>
  <c r="H1058" i="14" s="1"/>
  <c r="G1057" i="14"/>
  <c r="H1057" i="14" s="1"/>
  <c r="G1046" i="14"/>
  <c r="H1046" i="14" s="1"/>
  <c r="G1045" i="14"/>
  <c r="H1045" i="14" s="1"/>
  <c r="G1044" i="14"/>
  <c r="H1044" i="14" s="1"/>
  <c r="G1043" i="14"/>
  <c r="H1043" i="14" s="1"/>
  <c r="G1040" i="14"/>
  <c r="H1040" i="14" s="1"/>
  <c r="G1039" i="14"/>
  <c r="H1039" i="14" s="1"/>
  <c r="G1038" i="14"/>
  <c r="H1038" i="14" s="1"/>
  <c r="G1037" i="14"/>
  <c r="H1037" i="14" s="1"/>
  <c r="G1026" i="14"/>
  <c r="H1026" i="14" s="1"/>
  <c r="G1025" i="14"/>
  <c r="H1025" i="14" s="1"/>
  <c r="G1024" i="14"/>
  <c r="H1024" i="14" s="1"/>
  <c r="G1023" i="14"/>
  <c r="H1023" i="14" s="1"/>
  <c r="G1020" i="14"/>
  <c r="H1020" i="14" s="1"/>
  <c r="G1019" i="14"/>
  <c r="H1019" i="14" s="1"/>
  <c r="G1018" i="14"/>
  <c r="H1018" i="14" s="1"/>
  <c r="G1017" i="14"/>
  <c r="H1017" i="14" s="1"/>
  <c r="G1006" i="14"/>
  <c r="H1006" i="14" s="1"/>
  <c r="G1005" i="14"/>
  <c r="H1005" i="14" s="1"/>
  <c r="G1004" i="14"/>
  <c r="H1004" i="14" s="1"/>
  <c r="G1003" i="14"/>
  <c r="H1003" i="14" s="1"/>
  <c r="G1000" i="14"/>
  <c r="H1000" i="14" s="1"/>
  <c r="G999" i="14"/>
  <c r="H999" i="14" s="1"/>
  <c r="G998" i="14"/>
  <c r="H998" i="14" s="1"/>
  <c r="G997" i="14"/>
  <c r="H997" i="14" s="1"/>
  <c r="G986" i="14"/>
  <c r="H986" i="14" s="1"/>
  <c r="G985" i="14"/>
  <c r="H985" i="14" s="1"/>
  <c r="G984" i="14"/>
  <c r="H984" i="14" s="1"/>
  <c r="G983" i="14"/>
  <c r="H983" i="14" s="1"/>
  <c r="G980" i="14"/>
  <c r="H980" i="14" s="1"/>
  <c r="G979" i="14"/>
  <c r="H979" i="14" s="1"/>
  <c r="G978" i="14"/>
  <c r="H978" i="14" s="1"/>
  <c r="G977" i="14"/>
  <c r="H977" i="14" s="1"/>
  <c r="G966" i="14"/>
  <c r="H966" i="14" s="1"/>
  <c r="G965" i="14"/>
  <c r="H965" i="14" s="1"/>
  <c r="G964" i="14"/>
  <c r="H964" i="14" s="1"/>
  <c r="G963" i="14"/>
  <c r="H963" i="14" s="1"/>
  <c r="G960" i="14"/>
  <c r="H960" i="14" s="1"/>
  <c r="G959" i="14"/>
  <c r="H959" i="14" s="1"/>
  <c r="G958" i="14"/>
  <c r="H958" i="14" s="1"/>
  <c r="G957" i="14"/>
  <c r="H957" i="14" s="1"/>
  <c r="G946" i="14"/>
  <c r="H946" i="14" s="1"/>
  <c r="G945" i="14"/>
  <c r="H945" i="14" s="1"/>
  <c r="G944" i="14"/>
  <c r="H944" i="14" s="1"/>
  <c r="G943" i="14"/>
  <c r="H943" i="14" s="1"/>
  <c r="G940" i="14"/>
  <c r="H940" i="14" s="1"/>
  <c r="G939" i="14"/>
  <c r="H939" i="14" s="1"/>
  <c r="G938" i="14"/>
  <c r="H938" i="14" s="1"/>
  <c r="G937" i="14"/>
  <c r="H937" i="14" s="1"/>
  <c r="G926" i="14"/>
  <c r="H926" i="14" s="1"/>
  <c r="G925" i="14"/>
  <c r="H925" i="14" s="1"/>
  <c r="G924" i="14"/>
  <c r="H924" i="14" s="1"/>
  <c r="G923" i="14"/>
  <c r="H923" i="14" s="1"/>
  <c r="G920" i="14"/>
  <c r="H920" i="14" s="1"/>
  <c r="G919" i="14"/>
  <c r="H919" i="14" s="1"/>
  <c r="G918" i="14"/>
  <c r="H918" i="14" s="1"/>
  <c r="G917" i="14"/>
  <c r="H917" i="14" s="1"/>
  <c r="G906" i="14"/>
  <c r="H906" i="14" s="1"/>
  <c r="G905" i="14"/>
  <c r="H905" i="14" s="1"/>
  <c r="G904" i="14"/>
  <c r="H904" i="14" s="1"/>
  <c r="G903" i="14"/>
  <c r="H903" i="14" s="1"/>
  <c r="G900" i="14"/>
  <c r="H900" i="14" s="1"/>
  <c r="G899" i="14"/>
  <c r="H899" i="14" s="1"/>
  <c r="G898" i="14"/>
  <c r="H898" i="14" s="1"/>
  <c r="G897" i="14"/>
  <c r="H897" i="14" s="1"/>
  <c r="G886" i="14"/>
  <c r="H886" i="14" s="1"/>
  <c r="G885" i="14"/>
  <c r="H885" i="14" s="1"/>
  <c r="G884" i="14"/>
  <c r="H884" i="14" s="1"/>
  <c r="G883" i="14"/>
  <c r="H883" i="14" s="1"/>
  <c r="G880" i="14"/>
  <c r="H880" i="14" s="1"/>
  <c r="G879" i="14"/>
  <c r="H879" i="14" s="1"/>
  <c r="G878" i="14"/>
  <c r="H878" i="14" s="1"/>
  <c r="G877" i="14"/>
  <c r="H877" i="14" s="1"/>
  <c r="G866" i="14"/>
  <c r="H866" i="14" s="1"/>
  <c r="G865" i="14"/>
  <c r="H865" i="14" s="1"/>
  <c r="G864" i="14"/>
  <c r="H864" i="14" s="1"/>
  <c r="G863" i="14"/>
  <c r="H863" i="14" s="1"/>
  <c r="G860" i="14"/>
  <c r="H860" i="14" s="1"/>
  <c r="G859" i="14"/>
  <c r="H859" i="14" s="1"/>
  <c r="G858" i="14"/>
  <c r="H858" i="14" s="1"/>
  <c r="G857" i="14"/>
  <c r="H857" i="14" s="1"/>
  <c r="G846" i="14"/>
  <c r="H846" i="14" s="1"/>
  <c r="G845" i="14"/>
  <c r="H845" i="14" s="1"/>
  <c r="G844" i="14"/>
  <c r="H844" i="14" s="1"/>
  <c r="G843" i="14"/>
  <c r="H843" i="14" s="1"/>
  <c r="G840" i="14"/>
  <c r="H840" i="14" s="1"/>
  <c r="G839" i="14"/>
  <c r="H839" i="14" s="1"/>
  <c r="G838" i="14"/>
  <c r="H838" i="14" s="1"/>
  <c r="G837" i="14"/>
  <c r="H837" i="14" s="1"/>
  <c r="G826" i="14"/>
  <c r="H826" i="14" s="1"/>
  <c r="G825" i="14"/>
  <c r="H825" i="14" s="1"/>
  <c r="G824" i="14"/>
  <c r="H824" i="14" s="1"/>
  <c r="G823" i="14"/>
  <c r="H823" i="14" s="1"/>
  <c r="G820" i="14"/>
  <c r="H820" i="14" s="1"/>
  <c r="G819" i="14"/>
  <c r="H819" i="14" s="1"/>
  <c r="G818" i="14"/>
  <c r="H818" i="14" s="1"/>
  <c r="G817" i="14"/>
  <c r="H817" i="14" s="1"/>
  <c r="G806" i="14"/>
  <c r="H806" i="14" s="1"/>
  <c r="G805" i="14"/>
  <c r="H805" i="14" s="1"/>
  <c r="G804" i="14"/>
  <c r="H804" i="14" s="1"/>
  <c r="G803" i="14"/>
  <c r="H803" i="14" s="1"/>
  <c r="G800" i="14"/>
  <c r="H800" i="14" s="1"/>
  <c r="G799" i="14"/>
  <c r="H799" i="14" s="1"/>
  <c r="G798" i="14"/>
  <c r="H798" i="14" s="1"/>
  <c r="G797" i="14"/>
  <c r="H797" i="14" s="1"/>
  <c r="G786" i="14"/>
  <c r="H786" i="14" s="1"/>
  <c r="G785" i="14"/>
  <c r="H785" i="14" s="1"/>
  <c r="G784" i="14"/>
  <c r="H784" i="14" s="1"/>
  <c r="G783" i="14"/>
  <c r="H783" i="14" s="1"/>
  <c r="G780" i="14"/>
  <c r="H780" i="14" s="1"/>
  <c r="G779" i="14"/>
  <c r="H779" i="14" s="1"/>
  <c r="G778" i="14"/>
  <c r="H778" i="14" s="1"/>
  <c r="G777" i="14"/>
  <c r="H777" i="14" s="1"/>
  <c r="G766" i="14"/>
  <c r="H766" i="14" s="1"/>
  <c r="G765" i="14"/>
  <c r="H765" i="14" s="1"/>
  <c r="G764" i="14"/>
  <c r="H764" i="14" s="1"/>
  <c r="G763" i="14"/>
  <c r="H763" i="14" s="1"/>
  <c r="G760" i="14"/>
  <c r="H760" i="14" s="1"/>
  <c r="G759" i="14"/>
  <c r="H759" i="14" s="1"/>
  <c r="G758" i="14"/>
  <c r="H758" i="14" s="1"/>
  <c r="G757" i="14"/>
  <c r="H757" i="14" s="1"/>
  <c r="G746" i="14"/>
  <c r="H746" i="14" s="1"/>
  <c r="G745" i="14"/>
  <c r="H745" i="14" s="1"/>
  <c r="G744" i="14"/>
  <c r="H744" i="14" s="1"/>
  <c r="G743" i="14"/>
  <c r="H743" i="14" s="1"/>
  <c r="G740" i="14"/>
  <c r="H740" i="14" s="1"/>
  <c r="G739" i="14"/>
  <c r="H739" i="14" s="1"/>
  <c r="G738" i="14"/>
  <c r="H738" i="14" s="1"/>
  <c r="G737" i="14"/>
  <c r="H737" i="14" s="1"/>
  <c r="G726" i="14"/>
  <c r="H726" i="14" s="1"/>
  <c r="G725" i="14"/>
  <c r="H725" i="14" s="1"/>
  <c r="G724" i="14"/>
  <c r="H724" i="14" s="1"/>
  <c r="G723" i="14"/>
  <c r="H723" i="14" s="1"/>
  <c r="G720" i="14"/>
  <c r="H720" i="14" s="1"/>
  <c r="G719" i="14"/>
  <c r="H719" i="14" s="1"/>
  <c r="G718" i="14"/>
  <c r="H718" i="14" s="1"/>
  <c r="G717" i="14"/>
  <c r="H717" i="14" s="1"/>
  <c r="G706" i="14"/>
  <c r="H706" i="14" s="1"/>
  <c r="G705" i="14"/>
  <c r="H705" i="14" s="1"/>
  <c r="G704" i="14"/>
  <c r="H704" i="14" s="1"/>
  <c r="G703" i="14"/>
  <c r="H703" i="14" s="1"/>
  <c r="G700" i="14"/>
  <c r="H700" i="14" s="1"/>
  <c r="G699" i="14"/>
  <c r="H699" i="14" s="1"/>
  <c r="G698" i="14"/>
  <c r="H698" i="14" s="1"/>
  <c r="G697" i="14"/>
  <c r="H697" i="14" s="1"/>
  <c r="G686" i="14"/>
  <c r="H686" i="14" s="1"/>
  <c r="G685" i="14"/>
  <c r="H685" i="14" s="1"/>
  <c r="G684" i="14"/>
  <c r="H684" i="14" s="1"/>
  <c r="G683" i="14"/>
  <c r="H683" i="14" s="1"/>
  <c r="G680" i="14"/>
  <c r="H680" i="14" s="1"/>
  <c r="G679" i="14"/>
  <c r="H679" i="14" s="1"/>
  <c r="G678" i="14"/>
  <c r="H678" i="14" s="1"/>
  <c r="G677" i="14"/>
  <c r="H677" i="14" s="1"/>
  <c r="G666" i="14"/>
  <c r="H666" i="14" s="1"/>
  <c r="G665" i="14"/>
  <c r="H665" i="14" s="1"/>
  <c r="G664" i="14"/>
  <c r="H664" i="14" s="1"/>
  <c r="G663" i="14"/>
  <c r="H663" i="14" s="1"/>
  <c r="G660" i="14"/>
  <c r="H660" i="14" s="1"/>
  <c r="G659" i="14"/>
  <c r="H659" i="14" s="1"/>
  <c r="G658" i="14"/>
  <c r="H658" i="14" s="1"/>
  <c r="G657" i="14"/>
  <c r="H657" i="14" s="1"/>
  <c r="G646" i="14"/>
  <c r="H646" i="14" s="1"/>
  <c r="G645" i="14"/>
  <c r="H645" i="14" s="1"/>
  <c r="G644" i="14"/>
  <c r="H644" i="14" s="1"/>
  <c r="G643" i="14"/>
  <c r="H643" i="14" s="1"/>
  <c r="G640" i="14"/>
  <c r="H640" i="14" s="1"/>
  <c r="G639" i="14"/>
  <c r="H639" i="14" s="1"/>
  <c r="G638" i="14"/>
  <c r="H638" i="14" s="1"/>
  <c r="G637" i="14"/>
  <c r="H637" i="14" s="1"/>
  <c r="G626" i="14"/>
  <c r="H626" i="14" s="1"/>
  <c r="G625" i="14"/>
  <c r="H625" i="14" s="1"/>
  <c r="G624" i="14"/>
  <c r="H624" i="14" s="1"/>
  <c r="G623" i="14"/>
  <c r="H623" i="14" s="1"/>
  <c r="G620" i="14"/>
  <c r="H620" i="14" s="1"/>
  <c r="G619" i="14"/>
  <c r="H619" i="14" s="1"/>
  <c r="G618" i="14"/>
  <c r="H618" i="14" s="1"/>
  <c r="G617" i="14"/>
  <c r="H617" i="14" s="1"/>
  <c r="G606" i="14"/>
  <c r="H606" i="14" s="1"/>
  <c r="G605" i="14"/>
  <c r="H605" i="14" s="1"/>
  <c r="G604" i="14"/>
  <c r="H604" i="14" s="1"/>
  <c r="G603" i="14"/>
  <c r="H603" i="14" s="1"/>
  <c r="G600" i="14"/>
  <c r="H600" i="14" s="1"/>
  <c r="G599" i="14"/>
  <c r="H599" i="14" s="1"/>
  <c r="G598" i="14"/>
  <c r="H598" i="14" s="1"/>
  <c r="G597" i="14"/>
  <c r="H597" i="14" s="1"/>
  <c r="G586" i="14"/>
  <c r="H586" i="14" s="1"/>
  <c r="G585" i="14"/>
  <c r="H585" i="14" s="1"/>
  <c r="G584" i="14"/>
  <c r="H584" i="14" s="1"/>
  <c r="G583" i="14"/>
  <c r="H583" i="14" s="1"/>
  <c r="G580" i="14"/>
  <c r="H580" i="14" s="1"/>
  <c r="G579" i="14"/>
  <c r="H579" i="14" s="1"/>
  <c r="G578" i="14"/>
  <c r="H578" i="14" s="1"/>
  <c r="G577" i="14"/>
  <c r="H577" i="14" s="1"/>
  <c r="G566" i="14"/>
  <c r="H566" i="14" s="1"/>
  <c r="G565" i="14"/>
  <c r="H565" i="14" s="1"/>
  <c r="G564" i="14"/>
  <c r="H564" i="14" s="1"/>
  <c r="G563" i="14"/>
  <c r="H563" i="14" s="1"/>
  <c r="G560" i="14"/>
  <c r="H560" i="14" s="1"/>
  <c r="G559" i="14"/>
  <c r="H559" i="14" s="1"/>
  <c r="G558" i="14"/>
  <c r="H558" i="14" s="1"/>
  <c r="G557" i="14"/>
  <c r="H557" i="14" s="1"/>
  <c r="G546" i="14"/>
  <c r="H546" i="14" s="1"/>
  <c r="G545" i="14"/>
  <c r="H545" i="14" s="1"/>
  <c r="G544" i="14"/>
  <c r="H544" i="14" s="1"/>
  <c r="G543" i="14"/>
  <c r="H543" i="14" s="1"/>
  <c r="G540" i="14"/>
  <c r="H540" i="14" s="1"/>
  <c r="G539" i="14"/>
  <c r="H539" i="14" s="1"/>
  <c r="G538" i="14"/>
  <c r="H538" i="14" s="1"/>
  <c r="G537" i="14"/>
  <c r="H537" i="14" s="1"/>
  <c r="G526" i="14"/>
  <c r="H526" i="14" s="1"/>
  <c r="G525" i="14"/>
  <c r="H525" i="14" s="1"/>
  <c r="G524" i="14"/>
  <c r="H524" i="14" s="1"/>
  <c r="G523" i="14"/>
  <c r="H523" i="14" s="1"/>
  <c r="G520" i="14"/>
  <c r="H520" i="14" s="1"/>
  <c r="G519" i="14"/>
  <c r="H519" i="14" s="1"/>
  <c r="G518" i="14"/>
  <c r="H518" i="14" s="1"/>
  <c r="G517" i="14"/>
  <c r="H517" i="14" s="1"/>
  <c r="G506" i="14"/>
  <c r="H506" i="14" s="1"/>
  <c r="G505" i="14"/>
  <c r="H505" i="14" s="1"/>
  <c r="G504" i="14"/>
  <c r="H504" i="14" s="1"/>
  <c r="G503" i="14"/>
  <c r="H503" i="14" s="1"/>
  <c r="G500" i="14"/>
  <c r="H500" i="14" s="1"/>
  <c r="G499" i="14"/>
  <c r="H499" i="14" s="1"/>
  <c r="G498" i="14"/>
  <c r="H498" i="14" s="1"/>
  <c r="G497" i="14"/>
  <c r="H497" i="14" s="1"/>
  <c r="G486" i="14"/>
  <c r="H486" i="14" s="1"/>
  <c r="G485" i="14"/>
  <c r="H485" i="14" s="1"/>
  <c r="G484" i="14"/>
  <c r="H484" i="14" s="1"/>
  <c r="G483" i="14"/>
  <c r="H483" i="14" s="1"/>
  <c r="G480" i="14"/>
  <c r="H480" i="14" s="1"/>
  <c r="G479" i="14"/>
  <c r="H479" i="14" s="1"/>
  <c r="G478" i="14"/>
  <c r="H478" i="14" s="1"/>
  <c r="G477" i="14"/>
  <c r="H477" i="14" s="1"/>
  <c r="G466" i="14"/>
  <c r="H466" i="14" s="1"/>
  <c r="G465" i="14"/>
  <c r="H465" i="14" s="1"/>
  <c r="G464" i="14"/>
  <c r="H464" i="14" s="1"/>
  <c r="G463" i="14"/>
  <c r="H463" i="14" s="1"/>
  <c r="G460" i="14"/>
  <c r="H460" i="14" s="1"/>
  <c r="G459" i="14"/>
  <c r="H459" i="14" s="1"/>
  <c r="G458" i="14"/>
  <c r="H458" i="14" s="1"/>
  <c r="G457" i="14"/>
  <c r="H457" i="14" s="1"/>
  <c r="G446" i="14"/>
  <c r="H446" i="14" s="1"/>
  <c r="G445" i="14"/>
  <c r="H445" i="14" s="1"/>
  <c r="G444" i="14"/>
  <c r="H444" i="14" s="1"/>
  <c r="G443" i="14"/>
  <c r="H443" i="14" s="1"/>
  <c r="G440" i="14"/>
  <c r="H440" i="14" s="1"/>
  <c r="G439" i="14"/>
  <c r="H439" i="14" s="1"/>
  <c r="G438" i="14"/>
  <c r="H438" i="14" s="1"/>
  <c r="G437" i="14"/>
  <c r="H437" i="14" s="1"/>
  <c r="G426" i="14"/>
  <c r="H426" i="14" s="1"/>
  <c r="G425" i="14"/>
  <c r="H425" i="14" s="1"/>
  <c r="G424" i="14"/>
  <c r="H424" i="14" s="1"/>
  <c r="G423" i="14"/>
  <c r="H423" i="14" s="1"/>
  <c r="G420" i="14"/>
  <c r="H420" i="14" s="1"/>
  <c r="G419" i="14"/>
  <c r="H419" i="14" s="1"/>
  <c r="G418" i="14"/>
  <c r="H418" i="14" s="1"/>
  <c r="G417" i="14"/>
  <c r="H417" i="14" s="1"/>
  <c r="G406" i="14"/>
  <c r="H406" i="14" s="1"/>
  <c r="G405" i="14"/>
  <c r="H405" i="14" s="1"/>
  <c r="G404" i="14"/>
  <c r="H404" i="14" s="1"/>
  <c r="G403" i="14"/>
  <c r="H403" i="14" s="1"/>
  <c r="G400" i="14"/>
  <c r="H400" i="14" s="1"/>
  <c r="G399" i="14"/>
  <c r="H399" i="14" s="1"/>
  <c r="G398" i="14"/>
  <c r="H398" i="14" s="1"/>
  <c r="G397" i="14"/>
  <c r="H397" i="14" s="1"/>
  <c r="G386" i="14"/>
  <c r="H386" i="14" s="1"/>
  <c r="G385" i="14"/>
  <c r="H385" i="14" s="1"/>
  <c r="G384" i="14"/>
  <c r="H384" i="14" s="1"/>
  <c r="G383" i="14"/>
  <c r="H383" i="14" s="1"/>
  <c r="G380" i="14"/>
  <c r="H380" i="14" s="1"/>
  <c r="G379" i="14"/>
  <c r="H379" i="14" s="1"/>
  <c r="G378" i="14"/>
  <c r="H378" i="14" s="1"/>
  <c r="G377" i="14"/>
  <c r="H377" i="14" s="1"/>
  <c r="G366" i="14"/>
  <c r="H366" i="14" s="1"/>
  <c r="G365" i="14"/>
  <c r="H365" i="14" s="1"/>
  <c r="G362" i="14"/>
  <c r="H362" i="14" s="1"/>
  <c r="G361" i="14"/>
  <c r="H361" i="14" s="1"/>
  <c r="G360" i="14"/>
  <c r="H360" i="14" s="1"/>
  <c r="G359" i="14"/>
  <c r="H359" i="14" s="1"/>
  <c r="G348" i="14"/>
  <c r="H348" i="14" s="1"/>
  <c r="G347" i="14"/>
  <c r="H347" i="14" s="1"/>
  <c r="G346" i="14"/>
  <c r="H346" i="14" s="1"/>
  <c r="G345" i="14"/>
  <c r="H345" i="14" s="1"/>
  <c r="G342" i="14"/>
  <c r="H342" i="14" s="1"/>
  <c r="G341" i="14"/>
  <c r="H341" i="14" s="1"/>
  <c r="G340" i="14"/>
  <c r="H340" i="14" s="1"/>
  <c r="G339" i="14"/>
  <c r="H339" i="14" s="1"/>
  <c r="G328" i="14"/>
  <c r="H328" i="14" s="1"/>
  <c r="G327" i="14"/>
  <c r="H327" i="14" s="1"/>
  <c r="G326" i="14"/>
  <c r="H326" i="14" s="1"/>
  <c r="G325" i="14"/>
  <c r="H325" i="14" s="1"/>
  <c r="G322" i="14"/>
  <c r="H322" i="14" s="1"/>
  <c r="G321" i="14"/>
  <c r="H321" i="14" s="1"/>
  <c r="G320" i="14"/>
  <c r="H320" i="14" s="1"/>
  <c r="G319" i="14"/>
  <c r="H319" i="14" s="1"/>
  <c r="G308" i="14"/>
  <c r="H308" i="14" s="1"/>
  <c r="G307" i="14"/>
  <c r="H307" i="14" s="1"/>
  <c r="G306" i="14"/>
  <c r="H306" i="14" s="1"/>
  <c r="G305" i="14"/>
  <c r="H305" i="14" s="1"/>
  <c r="G302" i="14"/>
  <c r="H302" i="14" s="1"/>
  <c r="G301" i="14"/>
  <c r="H301" i="14" s="1"/>
  <c r="G300" i="14"/>
  <c r="H300" i="14" s="1"/>
  <c r="G299" i="14"/>
  <c r="H299" i="14" s="1"/>
  <c r="G288" i="14"/>
  <c r="H288" i="14" s="1"/>
  <c r="G287" i="14"/>
  <c r="H287" i="14" s="1"/>
  <c r="G286" i="14"/>
  <c r="H286" i="14" s="1"/>
  <c r="G285" i="14"/>
  <c r="H285" i="14" s="1"/>
  <c r="G282" i="14"/>
  <c r="H282" i="14" s="1"/>
  <c r="G281" i="14"/>
  <c r="H281" i="14" s="1"/>
  <c r="G280" i="14"/>
  <c r="H280" i="14" s="1"/>
  <c r="G279" i="14"/>
  <c r="H279" i="14" s="1"/>
  <c r="G268" i="14"/>
  <c r="H268" i="14" s="1"/>
  <c r="G267" i="14"/>
  <c r="H267" i="14" s="1"/>
  <c r="G266" i="14"/>
  <c r="H266" i="14" s="1"/>
  <c r="G265" i="14"/>
  <c r="H265" i="14" s="1"/>
  <c r="G262" i="14"/>
  <c r="H262" i="14" s="1"/>
  <c r="G261" i="14"/>
  <c r="H261" i="14" s="1"/>
  <c r="G260" i="14"/>
  <c r="H260" i="14" s="1"/>
  <c r="G259" i="14"/>
  <c r="H259" i="14" s="1"/>
  <c r="G248" i="14"/>
  <c r="H248" i="14" s="1"/>
  <c r="G247" i="14"/>
  <c r="H247" i="14" s="1"/>
  <c r="G246" i="14"/>
  <c r="H246" i="14" s="1"/>
  <c r="G245" i="14"/>
  <c r="H245" i="14" s="1"/>
  <c r="G242" i="14"/>
  <c r="H242" i="14" s="1"/>
  <c r="G241" i="14"/>
  <c r="H241" i="14" s="1"/>
  <c r="G240" i="14"/>
  <c r="H240" i="14" s="1"/>
  <c r="G239" i="14"/>
  <c r="H239" i="14" s="1"/>
  <c r="G228" i="14"/>
  <c r="H228" i="14" s="1"/>
  <c r="G227" i="14"/>
  <c r="H227" i="14" s="1"/>
  <c r="G226" i="14"/>
  <c r="H226" i="14" s="1"/>
  <c r="G225" i="14"/>
  <c r="H225" i="14" s="1"/>
  <c r="G222" i="14"/>
  <c r="H222" i="14" s="1"/>
  <c r="G221" i="14"/>
  <c r="H221" i="14" s="1"/>
  <c r="G220" i="14"/>
  <c r="H220" i="14" s="1"/>
  <c r="G219" i="14"/>
  <c r="H219" i="14" s="1"/>
  <c r="G208" i="14"/>
  <c r="H208" i="14" s="1"/>
  <c r="G207" i="14"/>
  <c r="H207" i="14" s="1"/>
  <c r="G206" i="14"/>
  <c r="H206" i="14" s="1"/>
  <c r="G205" i="14"/>
  <c r="H205" i="14" s="1"/>
  <c r="G202" i="14"/>
  <c r="H202" i="14" s="1"/>
  <c r="G201" i="14"/>
  <c r="H201" i="14" s="1"/>
  <c r="G200" i="14"/>
  <c r="H200" i="14" s="1"/>
  <c r="G199" i="14"/>
  <c r="H199" i="14" s="1"/>
  <c r="G188" i="14"/>
  <c r="H188" i="14" s="1"/>
  <c r="G187" i="14"/>
  <c r="H187" i="14" s="1"/>
  <c r="G186" i="14"/>
  <c r="H186" i="14" s="1"/>
  <c r="G185" i="14"/>
  <c r="H185" i="14" s="1"/>
  <c r="G182" i="14"/>
  <c r="H182" i="14" s="1"/>
  <c r="G181" i="14"/>
  <c r="H181" i="14" s="1"/>
  <c r="G180" i="14"/>
  <c r="H180" i="14" s="1"/>
  <c r="G179" i="14"/>
  <c r="H179" i="14" s="1"/>
  <c r="G168" i="14"/>
  <c r="H168" i="14" s="1"/>
  <c r="G167" i="14"/>
  <c r="H167" i="14" s="1"/>
  <c r="G166" i="14"/>
  <c r="H166" i="14" s="1"/>
  <c r="G165" i="14"/>
  <c r="H165" i="14" s="1"/>
  <c r="G162" i="14"/>
  <c r="H162" i="14" s="1"/>
  <c r="G161" i="14"/>
  <c r="H161" i="14" s="1"/>
  <c r="G160" i="14"/>
  <c r="H160" i="14" s="1"/>
  <c r="G159" i="14"/>
  <c r="H159" i="14" s="1"/>
  <c r="G148" i="14"/>
  <c r="H148" i="14" s="1"/>
  <c r="G147" i="14"/>
  <c r="H147" i="14" s="1"/>
  <c r="G146" i="14"/>
  <c r="H146" i="14" s="1"/>
  <c r="G143" i="14"/>
  <c r="H143" i="14" s="1"/>
  <c r="G142" i="14"/>
  <c r="H142" i="14" s="1"/>
  <c r="G141" i="14"/>
  <c r="H141" i="14" s="1"/>
  <c r="G140" i="14"/>
  <c r="H140" i="14" s="1"/>
  <c r="G129" i="14"/>
  <c r="H129" i="14" s="1"/>
  <c r="G128" i="14"/>
  <c r="H128" i="14" s="1"/>
  <c r="G127" i="14"/>
  <c r="H127" i="14" s="1"/>
  <c r="G124" i="14"/>
  <c r="H124" i="14" s="1"/>
  <c r="G123" i="14"/>
  <c r="H123" i="14" s="1"/>
  <c r="G122" i="14"/>
  <c r="H122" i="14" s="1"/>
  <c r="G121" i="14"/>
  <c r="H121" i="14" s="1"/>
  <c r="G110" i="14"/>
  <c r="H110" i="14" s="1"/>
  <c r="G109" i="14"/>
  <c r="H109" i="14" s="1"/>
  <c r="G108" i="14"/>
  <c r="H108" i="14" s="1"/>
  <c r="G105" i="14"/>
  <c r="H105" i="14" s="1"/>
  <c r="G104" i="14"/>
  <c r="H104" i="14" s="1"/>
  <c r="G103" i="14"/>
  <c r="H103" i="14" s="1"/>
  <c r="G102" i="14"/>
  <c r="H102" i="14" s="1"/>
  <c r="G91" i="14"/>
  <c r="H91" i="14" s="1"/>
  <c r="G90" i="14"/>
  <c r="H90" i="14" s="1"/>
  <c r="G89" i="14"/>
  <c r="H89" i="14" s="1"/>
  <c r="G86" i="14"/>
  <c r="H86" i="14" s="1"/>
  <c r="G85" i="14"/>
  <c r="H85" i="14" s="1"/>
  <c r="G84" i="14"/>
  <c r="H84" i="14" s="1"/>
  <c r="G83" i="14"/>
  <c r="H83" i="14" s="1"/>
  <c r="G72" i="14"/>
  <c r="H72" i="14" s="1"/>
  <c r="G71" i="14"/>
  <c r="H71" i="14" s="1"/>
  <c r="G70" i="14"/>
  <c r="H70" i="14" s="1"/>
  <c r="G67" i="14"/>
  <c r="H67" i="14" s="1"/>
  <c r="G66" i="14"/>
  <c r="H66" i="14" s="1"/>
  <c r="G65" i="14"/>
  <c r="H65" i="14" s="1"/>
  <c r="G64" i="14"/>
  <c r="H64" i="14" s="1"/>
  <c r="G53" i="14"/>
  <c r="H53" i="14" s="1"/>
  <c r="G52" i="14"/>
  <c r="H52" i="14" s="1"/>
  <c r="G51" i="14"/>
  <c r="H51" i="14" s="1"/>
  <c r="G48" i="14"/>
  <c r="H48" i="14" s="1"/>
  <c r="G47" i="14"/>
  <c r="H47" i="14" s="1"/>
  <c r="G46" i="14"/>
  <c r="H46" i="14" s="1"/>
  <c r="G45" i="14"/>
  <c r="H45" i="14" s="1"/>
  <c r="G34" i="14"/>
  <c r="H34" i="14" s="1"/>
  <c r="G33" i="14"/>
  <c r="H33" i="14" s="1"/>
  <c r="G32" i="14"/>
  <c r="H32" i="14" s="1"/>
  <c r="G29" i="14"/>
  <c r="H29" i="14" s="1"/>
  <c r="G28" i="14"/>
  <c r="H28" i="14" s="1"/>
  <c r="G27" i="14"/>
  <c r="H27" i="14" s="1"/>
  <c r="G26" i="14"/>
  <c r="H26" i="14" s="1"/>
  <c r="G15" i="14"/>
  <c r="H15" i="14" s="1"/>
  <c r="G14" i="14"/>
  <c r="H14" i="14" s="1"/>
  <c r="G13" i="14"/>
  <c r="H13" i="14" s="1"/>
  <c r="G10" i="14"/>
  <c r="H10" i="14" s="1"/>
  <c r="G9" i="14"/>
  <c r="H9" i="14" s="1"/>
  <c r="G8" i="14"/>
  <c r="H8" i="14" s="1"/>
  <c r="G7" i="14"/>
  <c r="H7" i="14" s="1"/>
  <c r="D3" i="14"/>
  <c r="C3" i="14"/>
  <c r="G234" i="13"/>
  <c r="G216" i="13"/>
  <c r="G198" i="13"/>
  <c r="G180" i="13"/>
  <c r="G162" i="13"/>
  <c r="G144" i="13"/>
  <c r="G126" i="13"/>
  <c r="G108" i="13"/>
  <c r="G90" i="13"/>
  <c r="G72" i="13"/>
  <c r="G52" i="13"/>
  <c r="G35" i="13"/>
  <c r="G18" i="13"/>
  <c r="G229" i="13"/>
  <c r="H229" i="13" s="1"/>
  <c r="G228" i="13"/>
  <c r="H228" i="13" s="1"/>
  <c r="G225" i="13"/>
  <c r="H225" i="13" s="1"/>
  <c r="G224" i="13"/>
  <c r="H224" i="13" s="1"/>
  <c r="G223" i="13"/>
  <c r="H223" i="13" s="1"/>
  <c r="G222" i="13"/>
  <c r="H222" i="13" s="1"/>
  <c r="G211" i="13"/>
  <c r="H211" i="13" s="1"/>
  <c r="G210" i="13"/>
  <c r="H210" i="13" s="1"/>
  <c r="G207" i="13"/>
  <c r="H207" i="13" s="1"/>
  <c r="G206" i="13"/>
  <c r="H206" i="13" s="1"/>
  <c r="G205" i="13"/>
  <c r="H205" i="13" s="1"/>
  <c r="G204" i="13"/>
  <c r="H204" i="13" s="1"/>
  <c r="G193" i="13"/>
  <c r="H193" i="13" s="1"/>
  <c r="G192" i="13"/>
  <c r="H192" i="13" s="1"/>
  <c r="G189" i="13"/>
  <c r="H189" i="13" s="1"/>
  <c r="G188" i="13"/>
  <c r="H188" i="13" s="1"/>
  <c r="G187" i="13"/>
  <c r="H187" i="13" s="1"/>
  <c r="G186" i="13"/>
  <c r="H186" i="13" s="1"/>
  <c r="G175" i="13"/>
  <c r="H175" i="13" s="1"/>
  <c r="G174" i="13"/>
  <c r="H174" i="13" s="1"/>
  <c r="G171" i="13"/>
  <c r="H171" i="13" s="1"/>
  <c r="G170" i="13"/>
  <c r="H170" i="13" s="1"/>
  <c r="G169" i="13"/>
  <c r="H169" i="13" s="1"/>
  <c r="G168" i="13"/>
  <c r="H168" i="13" s="1"/>
  <c r="G157" i="13"/>
  <c r="H157" i="13" s="1"/>
  <c r="G156" i="13"/>
  <c r="H156" i="13" s="1"/>
  <c r="G153" i="13"/>
  <c r="H153" i="13" s="1"/>
  <c r="G152" i="13"/>
  <c r="H152" i="13" s="1"/>
  <c r="G151" i="13"/>
  <c r="H151" i="13" s="1"/>
  <c r="G150" i="13"/>
  <c r="H150" i="13" s="1"/>
  <c r="G139" i="13"/>
  <c r="H139" i="13" s="1"/>
  <c r="G138" i="13"/>
  <c r="H138" i="13" s="1"/>
  <c r="G135" i="13"/>
  <c r="H135" i="13" s="1"/>
  <c r="G134" i="13"/>
  <c r="H134" i="13" s="1"/>
  <c r="G133" i="13"/>
  <c r="H133" i="13" s="1"/>
  <c r="G132" i="13"/>
  <c r="H132" i="13" s="1"/>
  <c r="G120" i="13"/>
  <c r="H120" i="13" s="1"/>
  <c r="G121" i="13"/>
  <c r="H121" i="13" s="1"/>
  <c r="G117" i="13"/>
  <c r="H117" i="13" s="1"/>
  <c r="G116" i="13"/>
  <c r="H116" i="13" s="1"/>
  <c r="G115" i="13"/>
  <c r="H115" i="13" s="1"/>
  <c r="G114" i="13"/>
  <c r="H114" i="13" s="1"/>
  <c r="G103" i="13"/>
  <c r="H103" i="13" s="1"/>
  <c r="G102" i="13"/>
  <c r="H102" i="13" s="1"/>
  <c r="G99" i="13"/>
  <c r="H99" i="13" s="1"/>
  <c r="G98" i="13"/>
  <c r="H98" i="13" s="1"/>
  <c r="G97" i="13"/>
  <c r="H97" i="13" s="1"/>
  <c r="G96" i="13"/>
  <c r="H96" i="13" s="1"/>
  <c r="G85" i="13"/>
  <c r="H85" i="13" s="1"/>
  <c r="G84" i="13"/>
  <c r="H84" i="13" s="1"/>
  <c r="G81" i="13"/>
  <c r="H81" i="13" s="1"/>
  <c r="G80" i="13"/>
  <c r="H80" i="13" s="1"/>
  <c r="G79" i="13"/>
  <c r="H79" i="13" s="1"/>
  <c r="G78" i="13"/>
  <c r="H78" i="13" s="1"/>
  <c r="G67" i="13"/>
  <c r="H67" i="13" s="1"/>
  <c r="G66" i="13"/>
  <c r="H66" i="13" s="1"/>
  <c r="G65" i="13"/>
  <c r="H65" i="13" s="1"/>
  <c r="G64" i="13"/>
  <c r="H64" i="13" s="1"/>
  <c r="G61" i="13"/>
  <c r="H61" i="13" s="1"/>
  <c r="G60" i="13"/>
  <c r="H60" i="13" s="1"/>
  <c r="G59" i="13"/>
  <c r="H59" i="13" s="1"/>
  <c r="G58" i="13"/>
  <c r="H58" i="13" s="1"/>
  <c r="G47" i="13"/>
  <c r="H47" i="13" s="1"/>
  <c r="H48" i="13" s="1"/>
  <c r="G44" i="13"/>
  <c r="H44" i="13" s="1"/>
  <c r="G43" i="13"/>
  <c r="H43" i="13" s="1"/>
  <c r="G42" i="13"/>
  <c r="H42" i="13" s="1"/>
  <c r="G41" i="13"/>
  <c r="H41" i="13" s="1"/>
  <c r="G30" i="13"/>
  <c r="H30" i="13" s="1"/>
  <c r="H31" i="13" s="1"/>
  <c r="G27" i="13"/>
  <c r="H27" i="13" s="1"/>
  <c r="G26" i="13"/>
  <c r="H26" i="13" s="1"/>
  <c r="G25" i="13"/>
  <c r="H25" i="13" s="1"/>
  <c r="G24" i="13"/>
  <c r="H24" i="13" s="1"/>
  <c r="G13" i="13"/>
  <c r="H13" i="13" s="1"/>
  <c r="H14" i="13" s="1"/>
  <c r="G10" i="13"/>
  <c r="H10" i="13" s="1"/>
  <c r="G9" i="13"/>
  <c r="H9" i="13" s="1"/>
  <c r="G8" i="13"/>
  <c r="H8" i="13" s="1"/>
  <c r="G7" i="13"/>
  <c r="H7" i="13" s="1"/>
  <c r="D3" i="13"/>
  <c r="C3" i="13"/>
  <c r="G267" i="12"/>
  <c r="G250" i="12"/>
  <c r="G233" i="12"/>
  <c r="G215" i="12"/>
  <c r="G197" i="12"/>
  <c r="G179" i="12"/>
  <c r="G161" i="12"/>
  <c r="G143" i="12"/>
  <c r="G126" i="12"/>
  <c r="G109" i="12"/>
  <c r="G91" i="12"/>
  <c r="G73" i="12"/>
  <c r="G55" i="12"/>
  <c r="G37" i="12"/>
  <c r="G19" i="12"/>
  <c r="G262" i="12"/>
  <c r="H262" i="12" s="1"/>
  <c r="H263" i="12" s="1"/>
  <c r="G259" i="12"/>
  <c r="H259" i="12" s="1"/>
  <c r="G258" i="12"/>
  <c r="H258" i="12" s="1"/>
  <c r="G257" i="12"/>
  <c r="H257" i="12" s="1"/>
  <c r="G256" i="12"/>
  <c r="H256" i="12" s="1"/>
  <c r="G245" i="12"/>
  <c r="H245" i="12" s="1"/>
  <c r="H246" i="12" s="1"/>
  <c r="G242" i="12"/>
  <c r="H242" i="12" s="1"/>
  <c r="G241" i="12"/>
  <c r="H241" i="12" s="1"/>
  <c r="G240" i="12"/>
  <c r="H240" i="12" s="1"/>
  <c r="G239" i="12"/>
  <c r="H239" i="12" s="1"/>
  <c r="G228" i="12"/>
  <c r="H228" i="12" s="1"/>
  <c r="G227" i="12"/>
  <c r="H227" i="12" s="1"/>
  <c r="G224" i="12"/>
  <c r="H224" i="12" s="1"/>
  <c r="G223" i="12"/>
  <c r="H223" i="12" s="1"/>
  <c r="G222" i="12"/>
  <c r="H222" i="12" s="1"/>
  <c r="G221" i="12"/>
  <c r="H221" i="12" s="1"/>
  <c r="G210" i="12"/>
  <c r="H210" i="12" s="1"/>
  <c r="G209" i="12"/>
  <c r="H209" i="12" s="1"/>
  <c r="G206" i="12"/>
  <c r="H206" i="12" s="1"/>
  <c r="G205" i="12"/>
  <c r="H205" i="12" s="1"/>
  <c r="G204" i="12"/>
  <c r="H204" i="12" s="1"/>
  <c r="G203" i="12"/>
  <c r="H203" i="12" s="1"/>
  <c r="G192" i="12"/>
  <c r="H192" i="12" s="1"/>
  <c r="G191" i="12"/>
  <c r="H191" i="12" s="1"/>
  <c r="G188" i="12"/>
  <c r="H188" i="12" s="1"/>
  <c r="G187" i="12"/>
  <c r="H187" i="12" s="1"/>
  <c r="G186" i="12"/>
  <c r="H186" i="12" s="1"/>
  <c r="G185" i="12"/>
  <c r="H185" i="12" s="1"/>
  <c r="G174" i="12"/>
  <c r="H174" i="12" s="1"/>
  <c r="G173" i="12"/>
  <c r="H173" i="12" s="1"/>
  <c r="G170" i="12"/>
  <c r="H170" i="12" s="1"/>
  <c r="G169" i="12"/>
  <c r="H169" i="12" s="1"/>
  <c r="G168" i="12"/>
  <c r="H168" i="12" s="1"/>
  <c r="G167" i="12"/>
  <c r="H167" i="12" s="1"/>
  <c r="G156" i="12"/>
  <c r="H156" i="12" s="1"/>
  <c r="G155" i="12"/>
  <c r="H155" i="12" s="1"/>
  <c r="G152" i="12"/>
  <c r="H152" i="12" s="1"/>
  <c r="G151" i="12"/>
  <c r="H151" i="12" s="1"/>
  <c r="G150" i="12"/>
  <c r="H150" i="12" s="1"/>
  <c r="G149" i="12"/>
  <c r="H149" i="12" s="1"/>
  <c r="G138" i="12"/>
  <c r="H138" i="12" s="1"/>
  <c r="H139" i="12" s="1"/>
  <c r="G135" i="12"/>
  <c r="H135" i="12" s="1"/>
  <c r="G134" i="12"/>
  <c r="H134" i="12" s="1"/>
  <c r="G133" i="12"/>
  <c r="H133" i="12" s="1"/>
  <c r="G132" i="12"/>
  <c r="H132" i="12" s="1"/>
  <c r="G121" i="12"/>
  <c r="H121" i="12" s="1"/>
  <c r="H122" i="12" s="1"/>
  <c r="G118" i="12"/>
  <c r="H118" i="12" s="1"/>
  <c r="G117" i="12"/>
  <c r="H117" i="12" s="1"/>
  <c r="G116" i="12"/>
  <c r="H116" i="12" s="1"/>
  <c r="G115" i="12"/>
  <c r="H115" i="12" s="1"/>
  <c r="G104" i="12"/>
  <c r="H104" i="12" s="1"/>
  <c r="G103" i="12"/>
  <c r="H103" i="12" s="1"/>
  <c r="G100" i="12"/>
  <c r="H100" i="12" s="1"/>
  <c r="G99" i="12"/>
  <c r="H99" i="12" s="1"/>
  <c r="G98" i="12"/>
  <c r="H98" i="12" s="1"/>
  <c r="G97" i="12"/>
  <c r="H97" i="12" s="1"/>
  <c r="G86" i="12"/>
  <c r="H86" i="12" s="1"/>
  <c r="G85" i="12"/>
  <c r="H85" i="12" s="1"/>
  <c r="G82" i="12"/>
  <c r="H82" i="12" s="1"/>
  <c r="G81" i="12"/>
  <c r="H81" i="12" s="1"/>
  <c r="G80" i="12"/>
  <c r="H80" i="12" s="1"/>
  <c r="G79" i="12"/>
  <c r="H79" i="12" s="1"/>
  <c r="G68" i="12"/>
  <c r="H68" i="12" s="1"/>
  <c r="G67" i="12"/>
  <c r="H67" i="12" s="1"/>
  <c r="G64" i="12"/>
  <c r="H64" i="12" s="1"/>
  <c r="G63" i="12"/>
  <c r="H63" i="12" s="1"/>
  <c r="G62" i="12"/>
  <c r="H62" i="12" s="1"/>
  <c r="G61" i="12"/>
  <c r="H61" i="12" s="1"/>
  <c r="G50" i="12"/>
  <c r="H50" i="12" s="1"/>
  <c r="G49" i="12"/>
  <c r="H49" i="12" s="1"/>
  <c r="G46" i="12"/>
  <c r="H46" i="12" s="1"/>
  <c r="G45" i="12"/>
  <c r="H45" i="12" s="1"/>
  <c r="G44" i="12"/>
  <c r="H44" i="12" s="1"/>
  <c r="G43" i="12"/>
  <c r="H43" i="12" s="1"/>
  <c r="G32" i="12"/>
  <c r="H32" i="12" s="1"/>
  <c r="G31" i="12"/>
  <c r="H31" i="12" s="1"/>
  <c r="G28" i="12"/>
  <c r="H28" i="12" s="1"/>
  <c r="G27" i="12"/>
  <c r="H27" i="12" s="1"/>
  <c r="G26" i="12"/>
  <c r="H26" i="12" s="1"/>
  <c r="G25" i="12"/>
  <c r="H25" i="12" s="1"/>
  <c r="G14" i="12"/>
  <c r="H14" i="12" s="1"/>
  <c r="G13" i="12"/>
  <c r="H13" i="12" s="1"/>
  <c r="G10" i="12"/>
  <c r="H10" i="12" s="1"/>
  <c r="G9" i="12"/>
  <c r="H9" i="12" s="1"/>
  <c r="G8" i="12"/>
  <c r="H8" i="12" s="1"/>
  <c r="G7" i="12"/>
  <c r="H7" i="12" s="1"/>
  <c r="D3" i="12"/>
  <c r="C3" i="12"/>
  <c r="G996" i="11"/>
  <c r="G978" i="11"/>
  <c r="G960" i="11"/>
  <c r="G942" i="11"/>
  <c r="G924" i="11"/>
  <c r="G905" i="11"/>
  <c r="G886" i="11"/>
  <c r="G869" i="11"/>
  <c r="G852" i="11"/>
  <c r="G834" i="11"/>
  <c r="G817" i="11"/>
  <c r="G799" i="11"/>
  <c r="G780" i="11"/>
  <c r="G762" i="11"/>
  <c r="G744" i="11"/>
  <c r="G726" i="11"/>
  <c r="G708" i="11"/>
  <c r="G690" i="11"/>
  <c r="G672" i="11"/>
  <c r="G652" i="11"/>
  <c r="G634" i="11"/>
  <c r="G616" i="11"/>
  <c r="G598" i="11"/>
  <c r="G580" i="11"/>
  <c r="G562" i="11"/>
  <c r="G544" i="11"/>
  <c r="G526" i="11"/>
  <c r="G508" i="11"/>
  <c r="G490" i="11"/>
  <c r="G472" i="11"/>
  <c r="G454" i="11"/>
  <c r="G436" i="11"/>
  <c r="G418" i="11"/>
  <c r="G400" i="11"/>
  <c r="G382" i="11"/>
  <c r="G364" i="11"/>
  <c r="G346" i="11"/>
  <c r="G328" i="11"/>
  <c r="G310" i="11"/>
  <c r="G292" i="11"/>
  <c r="G274" i="11"/>
  <c r="G256" i="11"/>
  <c r="G238" i="11"/>
  <c r="G220" i="11"/>
  <c r="G202" i="11"/>
  <c r="G184" i="11"/>
  <c r="G166" i="11"/>
  <c r="G148" i="11"/>
  <c r="G127" i="11"/>
  <c r="G108" i="11"/>
  <c r="G89" i="11"/>
  <c r="G70" i="11"/>
  <c r="G52" i="11"/>
  <c r="G35" i="11"/>
  <c r="G18" i="11"/>
  <c r="G991" i="11"/>
  <c r="H991" i="11" s="1"/>
  <c r="G990" i="11"/>
  <c r="H990" i="11" s="1"/>
  <c r="G987" i="11"/>
  <c r="H987" i="11" s="1"/>
  <c r="G986" i="11"/>
  <c r="H986" i="11" s="1"/>
  <c r="G985" i="11"/>
  <c r="H985" i="11" s="1"/>
  <c r="G984" i="11"/>
  <c r="H984" i="11" s="1"/>
  <c r="G973" i="11"/>
  <c r="H973" i="11" s="1"/>
  <c r="G972" i="11"/>
  <c r="H972" i="11" s="1"/>
  <c r="G969" i="11"/>
  <c r="H969" i="11" s="1"/>
  <c r="G968" i="11"/>
  <c r="H968" i="11" s="1"/>
  <c r="G967" i="11"/>
  <c r="H967" i="11" s="1"/>
  <c r="G966" i="11"/>
  <c r="H966" i="11" s="1"/>
  <c r="G955" i="11"/>
  <c r="H955" i="11" s="1"/>
  <c r="G954" i="11"/>
  <c r="H954" i="11" s="1"/>
  <c r="G951" i="11"/>
  <c r="H951" i="11" s="1"/>
  <c r="G950" i="11"/>
  <c r="H950" i="11" s="1"/>
  <c r="G949" i="11"/>
  <c r="H949" i="11" s="1"/>
  <c r="G948" i="11"/>
  <c r="H948" i="11" s="1"/>
  <c r="G937" i="11"/>
  <c r="H937" i="11" s="1"/>
  <c r="G936" i="11"/>
  <c r="H936" i="11" s="1"/>
  <c r="G933" i="11"/>
  <c r="H933" i="11" s="1"/>
  <c r="G932" i="11"/>
  <c r="H932" i="11" s="1"/>
  <c r="G931" i="11"/>
  <c r="H931" i="11" s="1"/>
  <c r="G930" i="11"/>
  <c r="H930" i="11" s="1"/>
  <c r="G919" i="11"/>
  <c r="H919" i="11" s="1"/>
  <c r="G918" i="11"/>
  <c r="H918" i="11" s="1"/>
  <c r="G917" i="11"/>
  <c r="H917" i="11" s="1"/>
  <c r="G914" i="11"/>
  <c r="H914" i="11" s="1"/>
  <c r="G913" i="11"/>
  <c r="H913" i="11" s="1"/>
  <c r="G912" i="11"/>
  <c r="H912" i="11" s="1"/>
  <c r="G911" i="11"/>
  <c r="H911" i="11" s="1"/>
  <c r="G900" i="11"/>
  <c r="H900" i="11" s="1"/>
  <c r="G899" i="11"/>
  <c r="H899" i="11" s="1"/>
  <c r="G898" i="11"/>
  <c r="H898" i="11" s="1"/>
  <c r="G895" i="11"/>
  <c r="H895" i="11" s="1"/>
  <c r="G894" i="11"/>
  <c r="H894" i="11" s="1"/>
  <c r="G893" i="11"/>
  <c r="H893" i="11" s="1"/>
  <c r="G892" i="11"/>
  <c r="H892" i="11" s="1"/>
  <c r="G881" i="11"/>
  <c r="H881" i="11" s="1"/>
  <c r="H882" i="11" s="1"/>
  <c r="G878" i="11"/>
  <c r="H878" i="11" s="1"/>
  <c r="G877" i="11"/>
  <c r="H877" i="11" s="1"/>
  <c r="G876" i="11"/>
  <c r="H876" i="11" s="1"/>
  <c r="G875" i="11"/>
  <c r="H875" i="11" s="1"/>
  <c r="G864" i="11"/>
  <c r="H864" i="11" s="1"/>
  <c r="H865" i="11" s="1"/>
  <c r="G861" i="11"/>
  <c r="H861" i="11" s="1"/>
  <c r="G860" i="11"/>
  <c r="H860" i="11" s="1"/>
  <c r="G859" i="11"/>
  <c r="H859" i="11" s="1"/>
  <c r="G858" i="11"/>
  <c r="H858" i="11" s="1"/>
  <c r="G847" i="11"/>
  <c r="H847" i="11" s="1"/>
  <c r="G846" i="11"/>
  <c r="H846" i="11" s="1"/>
  <c r="G843" i="11"/>
  <c r="H843" i="11" s="1"/>
  <c r="G842" i="11"/>
  <c r="H842" i="11" s="1"/>
  <c r="G841" i="11"/>
  <c r="H841" i="11" s="1"/>
  <c r="G840" i="11"/>
  <c r="H840" i="11" s="1"/>
  <c r="G829" i="11"/>
  <c r="H829" i="11" s="1"/>
  <c r="H830" i="11" s="1"/>
  <c r="G826" i="11"/>
  <c r="H826" i="11" s="1"/>
  <c r="G825" i="11"/>
  <c r="H825" i="11" s="1"/>
  <c r="G824" i="11"/>
  <c r="H824" i="11" s="1"/>
  <c r="G823" i="11"/>
  <c r="H823" i="11" s="1"/>
  <c r="G812" i="11"/>
  <c r="H812" i="11" s="1"/>
  <c r="G811" i="11"/>
  <c r="H811" i="11" s="1"/>
  <c r="G808" i="11"/>
  <c r="H808" i="11" s="1"/>
  <c r="G807" i="11"/>
  <c r="H807" i="11" s="1"/>
  <c r="G806" i="11"/>
  <c r="H806" i="11" s="1"/>
  <c r="G805" i="11"/>
  <c r="H805" i="11" s="1"/>
  <c r="G794" i="11"/>
  <c r="H794" i="11" s="1"/>
  <c r="G793" i="11"/>
  <c r="H793" i="11" s="1"/>
  <c r="G792" i="11"/>
  <c r="H792" i="11" s="1"/>
  <c r="G789" i="11"/>
  <c r="H789" i="11" s="1"/>
  <c r="G788" i="11"/>
  <c r="H788" i="11" s="1"/>
  <c r="G787" i="11"/>
  <c r="H787" i="11" s="1"/>
  <c r="G786" i="11"/>
  <c r="H786" i="11" s="1"/>
  <c r="G775" i="11"/>
  <c r="H775" i="11" s="1"/>
  <c r="G774" i="11"/>
  <c r="H774" i="11" s="1"/>
  <c r="G771" i="11"/>
  <c r="H771" i="11" s="1"/>
  <c r="G770" i="11"/>
  <c r="H770" i="11" s="1"/>
  <c r="G769" i="11"/>
  <c r="H769" i="11" s="1"/>
  <c r="G768" i="11"/>
  <c r="H768" i="11" s="1"/>
  <c r="G757" i="11"/>
  <c r="H757" i="11" s="1"/>
  <c r="G756" i="11"/>
  <c r="H756" i="11" s="1"/>
  <c r="G753" i="11"/>
  <c r="H753" i="11" s="1"/>
  <c r="G752" i="11"/>
  <c r="H752" i="11" s="1"/>
  <c r="G751" i="11"/>
  <c r="H751" i="11" s="1"/>
  <c r="G750" i="11"/>
  <c r="H750" i="11" s="1"/>
  <c r="G739" i="11"/>
  <c r="H739" i="11" s="1"/>
  <c r="G738" i="11"/>
  <c r="H738" i="11" s="1"/>
  <c r="G735" i="11"/>
  <c r="H735" i="11" s="1"/>
  <c r="G734" i="11"/>
  <c r="H734" i="11" s="1"/>
  <c r="G733" i="11"/>
  <c r="H733" i="11" s="1"/>
  <c r="G732" i="11"/>
  <c r="H732" i="11" s="1"/>
  <c r="G721" i="11"/>
  <c r="H721" i="11" s="1"/>
  <c r="G720" i="11"/>
  <c r="H720" i="11" s="1"/>
  <c r="G717" i="11"/>
  <c r="H717" i="11" s="1"/>
  <c r="G716" i="11"/>
  <c r="H716" i="11" s="1"/>
  <c r="G715" i="11"/>
  <c r="H715" i="11" s="1"/>
  <c r="G714" i="11"/>
  <c r="H714" i="11" s="1"/>
  <c r="G703" i="11"/>
  <c r="H703" i="11" s="1"/>
  <c r="G702" i="11"/>
  <c r="H702" i="11" s="1"/>
  <c r="G699" i="11"/>
  <c r="H699" i="11" s="1"/>
  <c r="G698" i="11"/>
  <c r="H698" i="11" s="1"/>
  <c r="G697" i="11"/>
  <c r="H697" i="11" s="1"/>
  <c r="G696" i="11"/>
  <c r="H696" i="11" s="1"/>
  <c r="G685" i="11"/>
  <c r="H685" i="11" s="1"/>
  <c r="G684" i="11"/>
  <c r="H684" i="11" s="1"/>
  <c r="G681" i="11"/>
  <c r="H681" i="11" s="1"/>
  <c r="G680" i="11"/>
  <c r="H680" i="11" s="1"/>
  <c r="G679" i="11"/>
  <c r="H679" i="11" s="1"/>
  <c r="G678" i="11"/>
  <c r="H678" i="11" s="1"/>
  <c r="G667" i="11"/>
  <c r="H667" i="11" s="1"/>
  <c r="G666" i="11"/>
  <c r="H666" i="11" s="1"/>
  <c r="G665" i="11"/>
  <c r="H665" i="11" s="1"/>
  <c r="G664" i="11"/>
  <c r="H664" i="11" s="1"/>
  <c r="G661" i="11"/>
  <c r="H661" i="11" s="1"/>
  <c r="G660" i="11"/>
  <c r="H660" i="11" s="1"/>
  <c r="G659" i="11"/>
  <c r="H659" i="11" s="1"/>
  <c r="G658" i="11"/>
  <c r="H658" i="11" s="1"/>
  <c r="G647" i="11"/>
  <c r="H647" i="11" s="1"/>
  <c r="G646" i="11"/>
  <c r="H646" i="11" s="1"/>
  <c r="G643" i="11"/>
  <c r="H643" i="11" s="1"/>
  <c r="G642" i="11"/>
  <c r="H642" i="11" s="1"/>
  <c r="G641" i="11"/>
  <c r="H641" i="11" s="1"/>
  <c r="G640" i="11"/>
  <c r="H640" i="11" s="1"/>
  <c r="G629" i="11"/>
  <c r="H629" i="11" s="1"/>
  <c r="G628" i="11"/>
  <c r="H628" i="11" s="1"/>
  <c r="G625" i="11"/>
  <c r="H625" i="11" s="1"/>
  <c r="G624" i="11"/>
  <c r="H624" i="11" s="1"/>
  <c r="G623" i="11"/>
  <c r="H623" i="11" s="1"/>
  <c r="G622" i="11"/>
  <c r="H622" i="11" s="1"/>
  <c r="G611" i="11"/>
  <c r="H611" i="11" s="1"/>
  <c r="G610" i="11"/>
  <c r="H610" i="11" s="1"/>
  <c r="G607" i="11"/>
  <c r="H607" i="11" s="1"/>
  <c r="G606" i="11"/>
  <c r="H606" i="11" s="1"/>
  <c r="G605" i="11"/>
  <c r="H605" i="11" s="1"/>
  <c r="G604" i="11"/>
  <c r="H604" i="11" s="1"/>
  <c r="G593" i="11"/>
  <c r="H593" i="11" s="1"/>
  <c r="G592" i="11"/>
  <c r="H592" i="11" s="1"/>
  <c r="G589" i="11"/>
  <c r="H589" i="11" s="1"/>
  <c r="G588" i="11"/>
  <c r="H588" i="11" s="1"/>
  <c r="G587" i="11"/>
  <c r="H587" i="11" s="1"/>
  <c r="G586" i="11"/>
  <c r="H586" i="11" s="1"/>
  <c r="G575" i="11"/>
  <c r="H575" i="11" s="1"/>
  <c r="G574" i="11"/>
  <c r="H574" i="11" s="1"/>
  <c r="G571" i="11"/>
  <c r="H571" i="11" s="1"/>
  <c r="G570" i="11"/>
  <c r="H570" i="11" s="1"/>
  <c r="G569" i="11"/>
  <c r="H569" i="11" s="1"/>
  <c r="G568" i="11"/>
  <c r="H568" i="11" s="1"/>
  <c r="G557" i="11"/>
  <c r="H557" i="11" s="1"/>
  <c r="G556" i="11"/>
  <c r="H556" i="11" s="1"/>
  <c r="G553" i="11"/>
  <c r="H553" i="11" s="1"/>
  <c r="G552" i="11"/>
  <c r="H552" i="11" s="1"/>
  <c r="G551" i="11"/>
  <c r="H551" i="11" s="1"/>
  <c r="G550" i="11"/>
  <c r="H550" i="11" s="1"/>
  <c r="G539" i="11"/>
  <c r="H539" i="11" s="1"/>
  <c r="G538" i="11"/>
  <c r="H538" i="11" s="1"/>
  <c r="G535" i="11"/>
  <c r="H535" i="11" s="1"/>
  <c r="G534" i="11"/>
  <c r="H534" i="11" s="1"/>
  <c r="G533" i="11"/>
  <c r="H533" i="11" s="1"/>
  <c r="G532" i="11"/>
  <c r="H532" i="11" s="1"/>
  <c r="G521" i="11"/>
  <c r="H521" i="11" s="1"/>
  <c r="G520" i="11"/>
  <c r="H520" i="11" s="1"/>
  <c r="G517" i="11"/>
  <c r="H517" i="11" s="1"/>
  <c r="G516" i="11"/>
  <c r="H516" i="11" s="1"/>
  <c r="G515" i="11"/>
  <c r="H515" i="11" s="1"/>
  <c r="G514" i="11"/>
  <c r="H514" i="11" s="1"/>
  <c r="G503" i="11"/>
  <c r="H503" i="11" s="1"/>
  <c r="G502" i="11"/>
  <c r="H502" i="11" s="1"/>
  <c r="G499" i="11"/>
  <c r="H499" i="11" s="1"/>
  <c r="G498" i="11"/>
  <c r="H498" i="11" s="1"/>
  <c r="G497" i="11"/>
  <c r="H497" i="11" s="1"/>
  <c r="G496" i="11"/>
  <c r="H496" i="11" s="1"/>
  <c r="G485" i="11"/>
  <c r="H485" i="11" s="1"/>
  <c r="G484" i="11"/>
  <c r="H484" i="11" s="1"/>
  <c r="G481" i="11"/>
  <c r="H481" i="11" s="1"/>
  <c r="G480" i="11"/>
  <c r="H480" i="11" s="1"/>
  <c r="G479" i="11"/>
  <c r="H479" i="11" s="1"/>
  <c r="G478" i="11"/>
  <c r="H478" i="11" s="1"/>
  <c r="G467" i="11"/>
  <c r="H467" i="11" s="1"/>
  <c r="G466" i="11"/>
  <c r="H466" i="11" s="1"/>
  <c r="G463" i="11"/>
  <c r="H463" i="11" s="1"/>
  <c r="G462" i="11"/>
  <c r="H462" i="11" s="1"/>
  <c r="G461" i="11"/>
  <c r="H461" i="11" s="1"/>
  <c r="G460" i="11"/>
  <c r="H460" i="11" s="1"/>
  <c r="G449" i="11"/>
  <c r="H449" i="11" s="1"/>
  <c r="G448" i="11"/>
  <c r="H448" i="11" s="1"/>
  <c r="G445" i="11"/>
  <c r="H445" i="11" s="1"/>
  <c r="G444" i="11"/>
  <c r="H444" i="11" s="1"/>
  <c r="G443" i="11"/>
  <c r="H443" i="11" s="1"/>
  <c r="G442" i="11"/>
  <c r="H442" i="11" s="1"/>
  <c r="G431" i="11"/>
  <c r="H431" i="11" s="1"/>
  <c r="G430" i="11"/>
  <c r="H430" i="11" s="1"/>
  <c r="G427" i="11"/>
  <c r="H427" i="11" s="1"/>
  <c r="G426" i="11"/>
  <c r="H426" i="11" s="1"/>
  <c r="G425" i="11"/>
  <c r="H425" i="11" s="1"/>
  <c r="G424" i="11"/>
  <c r="H424" i="11" s="1"/>
  <c r="G413" i="11"/>
  <c r="H413" i="11" s="1"/>
  <c r="G412" i="11"/>
  <c r="H412" i="11" s="1"/>
  <c r="G409" i="11"/>
  <c r="H409" i="11" s="1"/>
  <c r="G408" i="11"/>
  <c r="H408" i="11" s="1"/>
  <c r="G407" i="11"/>
  <c r="H407" i="11" s="1"/>
  <c r="G406" i="11"/>
  <c r="H406" i="11" s="1"/>
  <c r="G395" i="11"/>
  <c r="H395" i="11" s="1"/>
  <c r="G394" i="11"/>
  <c r="H394" i="11" s="1"/>
  <c r="G391" i="11"/>
  <c r="H391" i="11" s="1"/>
  <c r="G390" i="11"/>
  <c r="H390" i="11" s="1"/>
  <c r="G389" i="11"/>
  <c r="H389" i="11" s="1"/>
  <c r="G388" i="11"/>
  <c r="H388" i="11" s="1"/>
  <c r="G377" i="11"/>
  <c r="H377" i="11" s="1"/>
  <c r="G376" i="11"/>
  <c r="H376" i="11" s="1"/>
  <c r="G373" i="11"/>
  <c r="H373" i="11" s="1"/>
  <c r="G372" i="11"/>
  <c r="H372" i="11" s="1"/>
  <c r="G371" i="11"/>
  <c r="H371" i="11" s="1"/>
  <c r="G370" i="11"/>
  <c r="H370" i="11" s="1"/>
  <c r="G359" i="11"/>
  <c r="H359" i="11" s="1"/>
  <c r="G358" i="11"/>
  <c r="H358" i="11" s="1"/>
  <c r="G355" i="11"/>
  <c r="H355" i="11" s="1"/>
  <c r="G354" i="11"/>
  <c r="H354" i="11" s="1"/>
  <c r="G353" i="11"/>
  <c r="H353" i="11" s="1"/>
  <c r="G352" i="11"/>
  <c r="H352" i="11" s="1"/>
  <c r="G341" i="11"/>
  <c r="H341" i="11" s="1"/>
  <c r="G340" i="11"/>
  <c r="H340" i="11" s="1"/>
  <c r="G337" i="11"/>
  <c r="H337" i="11" s="1"/>
  <c r="G336" i="11"/>
  <c r="H336" i="11" s="1"/>
  <c r="G335" i="11"/>
  <c r="H335" i="11" s="1"/>
  <c r="G334" i="11"/>
  <c r="H334" i="11" s="1"/>
  <c r="G323" i="11"/>
  <c r="H323" i="11" s="1"/>
  <c r="G322" i="11"/>
  <c r="H322" i="11" s="1"/>
  <c r="G319" i="11"/>
  <c r="H319" i="11" s="1"/>
  <c r="G318" i="11"/>
  <c r="H318" i="11" s="1"/>
  <c r="G317" i="11"/>
  <c r="H317" i="11" s="1"/>
  <c r="G316" i="11"/>
  <c r="H316" i="11" s="1"/>
  <c r="G305" i="11"/>
  <c r="H305" i="11" s="1"/>
  <c r="G304" i="11"/>
  <c r="H304" i="11" s="1"/>
  <c r="G301" i="11"/>
  <c r="H301" i="11" s="1"/>
  <c r="G300" i="11"/>
  <c r="H300" i="11" s="1"/>
  <c r="G299" i="11"/>
  <c r="H299" i="11" s="1"/>
  <c r="G298" i="11"/>
  <c r="H298" i="11" s="1"/>
  <c r="G287" i="11"/>
  <c r="H287" i="11" s="1"/>
  <c r="G286" i="11"/>
  <c r="H286" i="11" s="1"/>
  <c r="G283" i="11"/>
  <c r="H283" i="11" s="1"/>
  <c r="G282" i="11"/>
  <c r="H282" i="11" s="1"/>
  <c r="G281" i="11"/>
  <c r="H281" i="11" s="1"/>
  <c r="G280" i="11"/>
  <c r="H280" i="11" s="1"/>
  <c r="G269" i="11"/>
  <c r="H269" i="11" s="1"/>
  <c r="G268" i="11"/>
  <c r="H268" i="11" s="1"/>
  <c r="G265" i="11"/>
  <c r="H265" i="11" s="1"/>
  <c r="G264" i="11"/>
  <c r="H264" i="11" s="1"/>
  <c r="G263" i="11"/>
  <c r="H263" i="11" s="1"/>
  <c r="G262" i="11"/>
  <c r="H262" i="11" s="1"/>
  <c r="G251" i="11"/>
  <c r="H251" i="11" s="1"/>
  <c r="G250" i="11"/>
  <c r="H250" i="11" s="1"/>
  <c r="G247" i="11"/>
  <c r="H247" i="11" s="1"/>
  <c r="G246" i="11"/>
  <c r="H246" i="11" s="1"/>
  <c r="G245" i="11"/>
  <c r="H245" i="11" s="1"/>
  <c r="G244" i="11"/>
  <c r="H244" i="11" s="1"/>
  <c r="G233" i="11"/>
  <c r="H233" i="11" s="1"/>
  <c r="G232" i="11"/>
  <c r="H232" i="11" s="1"/>
  <c r="G229" i="11"/>
  <c r="H229" i="11" s="1"/>
  <c r="G228" i="11"/>
  <c r="H228" i="11" s="1"/>
  <c r="G227" i="11"/>
  <c r="H227" i="11" s="1"/>
  <c r="G226" i="11"/>
  <c r="H226" i="11" s="1"/>
  <c r="G215" i="11"/>
  <c r="H215" i="11" s="1"/>
  <c r="G214" i="11"/>
  <c r="H214" i="11" s="1"/>
  <c r="G211" i="11"/>
  <c r="H211" i="11" s="1"/>
  <c r="G210" i="11"/>
  <c r="H210" i="11" s="1"/>
  <c r="G209" i="11"/>
  <c r="H209" i="11" s="1"/>
  <c r="G208" i="11"/>
  <c r="H208" i="11" s="1"/>
  <c r="G197" i="11"/>
  <c r="H197" i="11" s="1"/>
  <c r="G196" i="11"/>
  <c r="H196" i="11" s="1"/>
  <c r="G193" i="11"/>
  <c r="H193" i="11" s="1"/>
  <c r="G192" i="11"/>
  <c r="H192" i="11" s="1"/>
  <c r="G191" i="11"/>
  <c r="H191" i="11" s="1"/>
  <c r="G190" i="11"/>
  <c r="H190" i="11" s="1"/>
  <c r="G179" i="11"/>
  <c r="H179" i="11" s="1"/>
  <c r="G178" i="11"/>
  <c r="H178" i="11" s="1"/>
  <c r="G175" i="11"/>
  <c r="H175" i="11" s="1"/>
  <c r="G174" i="11"/>
  <c r="H174" i="11" s="1"/>
  <c r="G173" i="11"/>
  <c r="H173" i="11" s="1"/>
  <c r="G172" i="11"/>
  <c r="H172" i="11" s="1"/>
  <c r="G161" i="11"/>
  <c r="H161" i="11" s="1"/>
  <c r="G160" i="11"/>
  <c r="H160" i="11" s="1"/>
  <c r="G157" i="11"/>
  <c r="H157" i="11" s="1"/>
  <c r="G156" i="11"/>
  <c r="H156" i="11" s="1"/>
  <c r="G155" i="11"/>
  <c r="H155" i="11" s="1"/>
  <c r="G154" i="11"/>
  <c r="H154" i="11" s="1"/>
  <c r="G143" i="11"/>
  <c r="H143" i="11" s="1"/>
  <c r="G142" i="11"/>
  <c r="H142" i="11" s="1"/>
  <c r="G141" i="11"/>
  <c r="H141" i="11" s="1"/>
  <c r="G140" i="11"/>
  <c r="H140" i="11" s="1"/>
  <c r="G139" i="11"/>
  <c r="H139" i="11" s="1"/>
  <c r="G136" i="11"/>
  <c r="H136" i="11" s="1"/>
  <c r="G135" i="11"/>
  <c r="H135" i="11" s="1"/>
  <c r="G134" i="11"/>
  <c r="H134" i="11" s="1"/>
  <c r="G133" i="11"/>
  <c r="H133" i="11" s="1"/>
  <c r="G122" i="11"/>
  <c r="H122" i="11"/>
  <c r="G121" i="11"/>
  <c r="H121" i="11" s="1"/>
  <c r="G120" i="11"/>
  <c r="H120" i="11" s="1"/>
  <c r="G117" i="11"/>
  <c r="H117" i="11" s="1"/>
  <c r="G116" i="11"/>
  <c r="H116" i="11" s="1"/>
  <c r="G115" i="11"/>
  <c r="H115" i="11" s="1"/>
  <c r="G114" i="11"/>
  <c r="H114" i="11" s="1"/>
  <c r="G103" i="11"/>
  <c r="H103" i="11" s="1"/>
  <c r="G102" i="11"/>
  <c r="H102" i="11" s="1"/>
  <c r="G101" i="11"/>
  <c r="H101" i="11" s="1"/>
  <c r="G98" i="11"/>
  <c r="H98" i="11" s="1"/>
  <c r="G97" i="11"/>
  <c r="H97" i="11" s="1"/>
  <c r="G96" i="11"/>
  <c r="H96" i="11" s="1"/>
  <c r="G95" i="11"/>
  <c r="H95" i="11" s="1"/>
  <c r="G84" i="11"/>
  <c r="H84" i="11" s="1"/>
  <c r="G83" i="11"/>
  <c r="H83" i="11" s="1"/>
  <c r="G82" i="11"/>
  <c r="H82" i="11" s="1"/>
  <c r="G79" i="11"/>
  <c r="H79" i="11" s="1"/>
  <c r="G78" i="11"/>
  <c r="H78" i="11" s="1"/>
  <c r="G77" i="11"/>
  <c r="H77" i="11" s="1"/>
  <c r="G76" i="11"/>
  <c r="H76" i="11" s="1"/>
  <c r="G65" i="11"/>
  <c r="H65" i="11" s="1"/>
  <c r="G64" i="11"/>
  <c r="H64" i="11" s="1"/>
  <c r="G61" i="11"/>
  <c r="H61" i="11" s="1"/>
  <c r="G60" i="11"/>
  <c r="H60" i="11" s="1"/>
  <c r="G59" i="11"/>
  <c r="H59" i="11" s="1"/>
  <c r="G58" i="11"/>
  <c r="H58" i="11" s="1"/>
  <c r="G47" i="11"/>
  <c r="H47" i="11" s="1"/>
  <c r="H48" i="11" s="1"/>
  <c r="G44" i="11"/>
  <c r="H44" i="11" s="1"/>
  <c r="G43" i="11"/>
  <c r="H43" i="11" s="1"/>
  <c r="G42" i="11"/>
  <c r="H42" i="11" s="1"/>
  <c r="G41" i="11"/>
  <c r="H41" i="11" s="1"/>
  <c r="G30" i="11"/>
  <c r="H30" i="11" s="1"/>
  <c r="H31" i="11" s="1"/>
  <c r="G27" i="11"/>
  <c r="H27" i="11" s="1"/>
  <c r="G26" i="11"/>
  <c r="H26" i="11" s="1"/>
  <c r="G25" i="11"/>
  <c r="H25" i="11" s="1"/>
  <c r="G24" i="11"/>
  <c r="H24" i="11" s="1"/>
  <c r="G13" i="11"/>
  <c r="H13" i="11" s="1"/>
  <c r="H14" i="11" s="1"/>
  <c r="G10" i="11"/>
  <c r="H10" i="11" s="1"/>
  <c r="G9" i="11"/>
  <c r="H9" i="11" s="1"/>
  <c r="G8" i="11"/>
  <c r="H8" i="11" s="1"/>
  <c r="G7" i="11"/>
  <c r="H7" i="11" s="1"/>
  <c r="D3" i="11"/>
  <c r="C3" i="11"/>
  <c r="G480" i="10"/>
  <c r="G460" i="10"/>
  <c r="G441" i="10"/>
  <c r="G423" i="10"/>
  <c r="G405" i="10"/>
  <c r="G387" i="10"/>
  <c r="G368" i="10"/>
  <c r="G349" i="10"/>
  <c r="G330" i="10"/>
  <c r="G311" i="10"/>
  <c r="G291" i="10"/>
  <c r="G271" i="10"/>
  <c r="G251" i="10"/>
  <c r="G231" i="10"/>
  <c r="G211" i="10"/>
  <c r="G191" i="10"/>
  <c r="G172" i="10"/>
  <c r="G153" i="10"/>
  <c r="G134" i="10"/>
  <c r="G115" i="10"/>
  <c r="G96" i="10"/>
  <c r="G77" i="10"/>
  <c r="G58" i="10"/>
  <c r="G39" i="10"/>
  <c r="G20" i="10"/>
  <c r="G475" i="10"/>
  <c r="H475" i="10" s="1"/>
  <c r="G474" i="10"/>
  <c r="H474" i="10" s="1"/>
  <c r="G473" i="10"/>
  <c r="H473" i="10" s="1"/>
  <c r="G472" i="10"/>
  <c r="H472" i="10" s="1"/>
  <c r="G469" i="10"/>
  <c r="H469" i="10" s="1"/>
  <c r="G468" i="10"/>
  <c r="H468" i="10" s="1"/>
  <c r="G467" i="10"/>
  <c r="H467" i="10" s="1"/>
  <c r="G466" i="10"/>
  <c r="H466" i="10" s="1"/>
  <c r="G455" i="10"/>
  <c r="H455" i="10" s="1"/>
  <c r="G454" i="10"/>
  <c r="H454" i="10" s="1"/>
  <c r="G453" i="10"/>
  <c r="H453" i="10" s="1"/>
  <c r="G450" i="10"/>
  <c r="H450" i="10" s="1"/>
  <c r="G449" i="10"/>
  <c r="H449" i="10" s="1"/>
  <c r="G448" i="10"/>
  <c r="H448" i="10" s="1"/>
  <c r="G447" i="10"/>
  <c r="H447" i="10" s="1"/>
  <c r="G436" i="10"/>
  <c r="H436" i="10" s="1"/>
  <c r="G435" i="10"/>
  <c r="H435" i="10" s="1"/>
  <c r="G432" i="10"/>
  <c r="H432" i="10" s="1"/>
  <c r="G431" i="10"/>
  <c r="H431" i="10" s="1"/>
  <c r="G430" i="10"/>
  <c r="H430" i="10" s="1"/>
  <c r="G429" i="10"/>
  <c r="H429" i="10" s="1"/>
  <c r="G418" i="10"/>
  <c r="H418" i="10" s="1"/>
  <c r="G417" i="10"/>
  <c r="H417" i="10" s="1"/>
  <c r="G414" i="10"/>
  <c r="H414" i="10" s="1"/>
  <c r="G413" i="10"/>
  <c r="H413" i="10" s="1"/>
  <c r="G412" i="10"/>
  <c r="H412" i="10" s="1"/>
  <c r="G411" i="10"/>
  <c r="H411" i="10" s="1"/>
  <c r="G400" i="10"/>
  <c r="H400" i="10" s="1"/>
  <c r="G399" i="10"/>
  <c r="H399" i="10" s="1"/>
  <c r="G396" i="10"/>
  <c r="H396" i="10" s="1"/>
  <c r="G395" i="10"/>
  <c r="H395" i="10" s="1"/>
  <c r="G394" i="10"/>
  <c r="H394" i="10" s="1"/>
  <c r="G393" i="10"/>
  <c r="H393" i="10" s="1"/>
  <c r="G382" i="10"/>
  <c r="H382" i="10" s="1"/>
  <c r="G381" i="10"/>
  <c r="H381" i="10" s="1"/>
  <c r="G380" i="10"/>
  <c r="H380" i="10" s="1"/>
  <c r="G377" i="10"/>
  <c r="H377" i="10" s="1"/>
  <c r="G376" i="10"/>
  <c r="H376" i="10" s="1"/>
  <c r="G375" i="10"/>
  <c r="H375" i="10" s="1"/>
  <c r="G374" i="10"/>
  <c r="H374" i="10" s="1"/>
  <c r="G363" i="10"/>
  <c r="H363" i="10" s="1"/>
  <c r="G362" i="10"/>
  <c r="H362" i="10" s="1"/>
  <c r="G361" i="10"/>
  <c r="H361" i="10" s="1"/>
  <c r="G358" i="10"/>
  <c r="H358" i="10" s="1"/>
  <c r="G357" i="10"/>
  <c r="H357" i="10" s="1"/>
  <c r="G356" i="10"/>
  <c r="H356" i="10" s="1"/>
  <c r="G355" i="10"/>
  <c r="H355" i="10" s="1"/>
  <c r="G344" i="10"/>
  <c r="H344" i="10" s="1"/>
  <c r="G343" i="10"/>
  <c r="H343" i="10" s="1"/>
  <c r="G342" i="10"/>
  <c r="H342" i="10" s="1"/>
  <c r="G339" i="10"/>
  <c r="H339" i="10" s="1"/>
  <c r="G338" i="10"/>
  <c r="H338" i="10" s="1"/>
  <c r="G337" i="10"/>
  <c r="H337" i="10" s="1"/>
  <c r="G336" i="10"/>
  <c r="H336" i="10" s="1"/>
  <c r="G325" i="10"/>
  <c r="H325" i="10" s="1"/>
  <c r="G324" i="10"/>
  <c r="H324" i="10" s="1"/>
  <c r="G323" i="10"/>
  <c r="H323" i="10" s="1"/>
  <c r="G320" i="10"/>
  <c r="H320" i="10" s="1"/>
  <c r="G319" i="10"/>
  <c r="H319" i="10" s="1"/>
  <c r="G318" i="10"/>
  <c r="H318" i="10" s="1"/>
  <c r="G317" i="10"/>
  <c r="H317" i="10" s="1"/>
  <c r="G306" i="10"/>
  <c r="H306" i="10" s="1"/>
  <c r="G305" i="10"/>
  <c r="H305" i="10" s="1"/>
  <c r="G304" i="10"/>
  <c r="H304" i="10" s="1"/>
  <c r="G303" i="10"/>
  <c r="H303" i="10" s="1"/>
  <c r="G300" i="10"/>
  <c r="H300" i="10" s="1"/>
  <c r="G299" i="10"/>
  <c r="H299" i="10" s="1"/>
  <c r="G298" i="10"/>
  <c r="H298" i="10" s="1"/>
  <c r="G297" i="10"/>
  <c r="H297" i="10" s="1"/>
  <c r="G286" i="10"/>
  <c r="H286" i="10" s="1"/>
  <c r="G285" i="10"/>
  <c r="H285" i="10" s="1"/>
  <c r="G284" i="10"/>
  <c r="H284" i="10" s="1"/>
  <c r="G283" i="10"/>
  <c r="H283" i="10" s="1"/>
  <c r="G280" i="10"/>
  <c r="H280" i="10" s="1"/>
  <c r="G279" i="10"/>
  <c r="H279" i="10" s="1"/>
  <c r="G278" i="10"/>
  <c r="H278" i="10" s="1"/>
  <c r="G277" i="10"/>
  <c r="H277" i="10" s="1"/>
  <c r="G266" i="10"/>
  <c r="H266" i="10" s="1"/>
  <c r="G265" i="10"/>
  <c r="H265" i="10" s="1"/>
  <c r="G264" i="10"/>
  <c r="H264" i="10" s="1"/>
  <c r="G263" i="10"/>
  <c r="H263" i="10" s="1"/>
  <c r="G260" i="10"/>
  <c r="H260" i="10" s="1"/>
  <c r="G259" i="10"/>
  <c r="H259" i="10" s="1"/>
  <c r="G258" i="10"/>
  <c r="H258" i="10" s="1"/>
  <c r="G257" i="10"/>
  <c r="H257" i="10" s="1"/>
  <c r="G246" i="10"/>
  <c r="H246" i="10" s="1"/>
  <c r="G245" i="10"/>
  <c r="H245" i="10" s="1"/>
  <c r="G244" i="10"/>
  <c r="H244" i="10" s="1"/>
  <c r="G243" i="10"/>
  <c r="H243" i="10" s="1"/>
  <c r="G240" i="10"/>
  <c r="H240" i="10" s="1"/>
  <c r="G239" i="10"/>
  <c r="H239" i="10" s="1"/>
  <c r="G238" i="10"/>
  <c r="H238" i="10" s="1"/>
  <c r="G237" i="10"/>
  <c r="H237" i="10" s="1"/>
  <c r="G226" i="10"/>
  <c r="H226" i="10" s="1"/>
  <c r="G225" i="10"/>
  <c r="H225" i="10" s="1"/>
  <c r="G224" i="10"/>
  <c r="H224" i="10" s="1"/>
  <c r="G223" i="10"/>
  <c r="H223" i="10" s="1"/>
  <c r="G220" i="10"/>
  <c r="H220" i="10" s="1"/>
  <c r="G219" i="10"/>
  <c r="H219" i="10" s="1"/>
  <c r="G218" i="10"/>
  <c r="H218" i="10" s="1"/>
  <c r="G217" i="10"/>
  <c r="H217" i="10" s="1"/>
  <c r="G206" i="10"/>
  <c r="H206" i="10" s="1"/>
  <c r="G205" i="10"/>
  <c r="H205" i="10" s="1"/>
  <c r="G204" i="10"/>
  <c r="H204" i="10" s="1"/>
  <c r="G203" i="10"/>
  <c r="H203" i="10" s="1"/>
  <c r="G200" i="10"/>
  <c r="H200" i="10" s="1"/>
  <c r="G199" i="10"/>
  <c r="H199" i="10" s="1"/>
  <c r="G198" i="10"/>
  <c r="H198" i="10" s="1"/>
  <c r="G197" i="10"/>
  <c r="H197" i="10" s="1"/>
  <c r="G186" i="10"/>
  <c r="H186" i="10" s="1"/>
  <c r="G185" i="10"/>
  <c r="H185" i="10" s="1"/>
  <c r="G184" i="10"/>
  <c r="H184" i="10" s="1"/>
  <c r="G181" i="10"/>
  <c r="H181" i="10" s="1"/>
  <c r="G180" i="10"/>
  <c r="H180" i="10" s="1"/>
  <c r="G179" i="10"/>
  <c r="H179" i="10" s="1"/>
  <c r="G178" i="10"/>
  <c r="H178" i="10" s="1"/>
  <c r="G167" i="10"/>
  <c r="H167" i="10" s="1"/>
  <c r="G166" i="10"/>
  <c r="H166" i="10" s="1"/>
  <c r="G165" i="10"/>
  <c r="H165" i="10" s="1"/>
  <c r="G162" i="10"/>
  <c r="H162" i="10" s="1"/>
  <c r="G161" i="10"/>
  <c r="H161" i="10" s="1"/>
  <c r="G160" i="10"/>
  <c r="H160" i="10" s="1"/>
  <c r="G159" i="10"/>
  <c r="H159" i="10" s="1"/>
  <c r="G148" i="10"/>
  <c r="H148" i="10" s="1"/>
  <c r="G147" i="10"/>
  <c r="H147" i="10" s="1"/>
  <c r="G146" i="10"/>
  <c r="H146" i="10" s="1"/>
  <c r="G143" i="10"/>
  <c r="H143" i="10" s="1"/>
  <c r="G142" i="10"/>
  <c r="H142" i="10" s="1"/>
  <c r="G141" i="10"/>
  <c r="H141" i="10" s="1"/>
  <c r="G140" i="10"/>
  <c r="H140" i="10" s="1"/>
  <c r="G129" i="10"/>
  <c r="H129" i="10" s="1"/>
  <c r="G128" i="10"/>
  <c r="H128" i="10" s="1"/>
  <c r="G127" i="10"/>
  <c r="H127" i="10" s="1"/>
  <c r="G124" i="10"/>
  <c r="H124" i="10" s="1"/>
  <c r="G123" i="10"/>
  <c r="H123" i="10" s="1"/>
  <c r="G122" i="10"/>
  <c r="H122" i="10" s="1"/>
  <c r="G121" i="10"/>
  <c r="H121" i="10" s="1"/>
  <c r="G110" i="10"/>
  <c r="H110" i="10" s="1"/>
  <c r="G109" i="10"/>
  <c r="H109" i="10" s="1"/>
  <c r="G108" i="10"/>
  <c r="H108" i="10" s="1"/>
  <c r="G105" i="10"/>
  <c r="H105" i="10" s="1"/>
  <c r="G104" i="10"/>
  <c r="H104" i="10" s="1"/>
  <c r="G103" i="10"/>
  <c r="H103" i="10" s="1"/>
  <c r="G102" i="10"/>
  <c r="H102" i="10" s="1"/>
  <c r="G91" i="10"/>
  <c r="H91" i="10" s="1"/>
  <c r="G90" i="10"/>
  <c r="H90" i="10" s="1"/>
  <c r="G89" i="10"/>
  <c r="H89" i="10" s="1"/>
  <c r="G86" i="10"/>
  <c r="H86" i="10" s="1"/>
  <c r="G85" i="10"/>
  <c r="H85" i="10" s="1"/>
  <c r="G84" i="10"/>
  <c r="H84" i="10" s="1"/>
  <c r="G83" i="10"/>
  <c r="H83" i="10" s="1"/>
  <c r="G72" i="10"/>
  <c r="H72" i="10" s="1"/>
  <c r="G71" i="10"/>
  <c r="H71" i="10" s="1"/>
  <c r="G70" i="10"/>
  <c r="H70" i="10" s="1"/>
  <c r="G67" i="10"/>
  <c r="H67" i="10" s="1"/>
  <c r="G66" i="10"/>
  <c r="H66" i="10" s="1"/>
  <c r="G65" i="10"/>
  <c r="H65" i="10" s="1"/>
  <c r="G64" i="10"/>
  <c r="H64" i="10" s="1"/>
  <c r="G53" i="10"/>
  <c r="H53" i="10" s="1"/>
  <c r="G52" i="10"/>
  <c r="H52" i="10" s="1"/>
  <c r="G51" i="10"/>
  <c r="H51" i="10" s="1"/>
  <c r="G48" i="10"/>
  <c r="H48" i="10" s="1"/>
  <c r="G47" i="10"/>
  <c r="H47" i="10" s="1"/>
  <c r="G46" i="10"/>
  <c r="H46" i="10" s="1"/>
  <c r="G45" i="10"/>
  <c r="H45" i="10" s="1"/>
  <c r="G34" i="10"/>
  <c r="H34" i="10" s="1"/>
  <c r="G33" i="10"/>
  <c r="H33" i="10" s="1"/>
  <c r="G32" i="10"/>
  <c r="H32" i="10" s="1"/>
  <c r="G29" i="10"/>
  <c r="H29" i="10" s="1"/>
  <c r="G28" i="10"/>
  <c r="H28" i="10" s="1"/>
  <c r="G27" i="10"/>
  <c r="H27" i="10" s="1"/>
  <c r="G26" i="10"/>
  <c r="H26" i="10" s="1"/>
  <c r="G15" i="10"/>
  <c r="H15" i="10" s="1"/>
  <c r="G14" i="10"/>
  <c r="H14" i="10" s="1"/>
  <c r="G13" i="10"/>
  <c r="H13" i="10" s="1"/>
  <c r="G10" i="10"/>
  <c r="H10" i="10" s="1"/>
  <c r="G9" i="10"/>
  <c r="H9" i="10" s="1"/>
  <c r="G8" i="10"/>
  <c r="H8" i="10" s="1"/>
  <c r="G7" i="10"/>
  <c r="H7" i="10" s="1"/>
  <c r="D3" i="10"/>
  <c r="C3" i="10"/>
  <c r="G148" i="9"/>
  <c r="G130" i="9"/>
  <c r="G111" i="9"/>
  <c r="G92" i="9"/>
  <c r="G73" i="9"/>
  <c r="G54" i="9"/>
  <c r="G35" i="9"/>
  <c r="G18" i="9"/>
  <c r="G143" i="9"/>
  <c r="H143" i="9" s="1"/>
  <c r="G142" i="9"/>
  <c r="H142" i="9" s="1"/>
  <c r="G139" i="9"/>
  <c r="H139" i="9" s="1"/>
  <c r="G138" i="9"/>
  <c r="H138" i="9" s="1"/>
  <c r="G137" i="9"/>
  <c r="H137" i="9" s="1"/>
  <c r="G136" i="9"/>
  <c r="H136" i="9" s="1"/>
  <c r="G125" i="9"/>
  <c r="H125" i="9" s="1"/>
  <c r="G124" i="9"/>
  <c r="H124" i="9" s="1"/>
  <c r="G123" i="9"/>
  <c r="H123" i="9" s="1"/>
  <c r="G120" i="9"/>
  <c r="H120" i="9" s="1"/>
  <c r="G119" i="9"/>
  <c r="H119" i="9" s="1"/>
  <c r="G118" i="9"/>
  <c r="H118" i="9" s="1"/>
  <c r="G117" i="9"/>
  <c r="H117" i="9" s="1"/>
  <c r="G106" i="9"/>
  <c r="H106" i="9" s="1"/>
  <c r="G105" i="9"/>
  <c r="H105" i="9" s="1"/>
  <c r="G104" i="9"/>
  <c r="H104" i="9" s="1"/>
  <c r="G101" i="9"/>
  <c r="H101" i="9" s="1"/>
  <c r="G100" i="9"/>
  <c r="H100" i="9" s="1"/>
  <c r="G99" i="9"/>
  <c r="H99" i="9" s="1"/>
  <c r="G98" i="9"/>
  <c r="H98" i="9" s="1"/>
  <c r="G87" i="9"/>
  <c r="H87" i="9" s="1"/>
  <c r="G86" i="9"/>
  <c r="H86" i="9" s="1"/>
  <c r="G85" i="9"/>
  <c r="H85" i="9" s="1"/>
  <c r="G82" i="9"/>
  <c r="H82" i="9" s="1"/>
  <c r="G81" i="9"/>
  <c r="H81" i="9" s="1"/>
  <c r="G80" i="9"/>
  <c r="H80" i="9" s="1"/>
  <c r="G79" i="9"/>
  <c r="H79" i="9" s="1"/>
  <c r="G68" i="9"/>
  <c r="H68" i="9" s="1"/>
  <c r="G67" i="9"/>
  <c r="H67" i="9" s="1"/>
  <c r="G66" i="9"/>
  <c r="H66" i="9" s="1"/>
  <c r="G63" i="9"/>
  <c r="H63" i="9" s="1"/>
  <c r="G62" i="9"/>
  <c r="H62" i="9" s="1"/>
  <c r="G61" i="9"/>
  <c r="H61" i="9" s="1"/>
  <c r="G60" i="9"/>
  <c r="H60" i="9" s="1"/>
  <c r="G49" i="9"/>
  <c r="H49" i="9" s="1"/>
  <c r="G48" i="9"/>
  <c r="H48" i="9" s="1"/>
  <c r="G47" i="9"/>
  <c r="H47" i="9" s="1"/>
  <c r="G44" i="9"/>
  <c r="H44" i="9" s="1"/>
  <c r="G43" i="9"/>
  <c r="H43" i="9" s="1"/>
  <c r="G42" i="9"/>
  <c r="H42" i="9" s="1"/>
  <c r="G41" i="9"/>
  <c r="H41" i="9" s="1"/>
  <c r="G30" i="9"/>
  <c r="H30" i="9" s="1"/>
  <c r="H31" i="9" s="1"/>
  <c r="G27" i="9"/>
  <c r="H27" i="9" s="1"/>
  <c r="G26" i="9"/>
  <c r="H26" i="9" s="1"/>
  <c r="G25" i="9"/>
  <c r="H25" i="9" s="1"/>
  <c r="G24" i="9"/>
  <c r="H24" i="9" s="1"/>
  <c r="G13" i="9"/>
  <c r="H13" i="9" s="1"/>
  <c r="H14" i="9" s="1"/>
  <c r="G10" i="9"/>
  <c r="H10" i="9" s="1"/>
  <c r="G9" i="9"/>
  <c r="H9" i="9" s="1"/>
  <c r="G8" i="9"/>
  <c r="H8" i="9" s="1"/>
  <c r="G7" i="9"/>
  <c r="H7" i="9" s="1"/>
  <c r="D25" i="9"/>
  <c r="D3" i="9"/>
  <c r="C3" i="9"/>
  <c r="G1036" i="8"/>
  <c r="G1021" i="8"/>
  <c r="G1003" i="8"/>
  <c r="G977" i="8"/>
  <c r="G952" i="8"/>
  <c r="G937" i="8"/>
  <c r="G922" i="8"/>
  <c r="G907" i="8"/>
  <c r="G892" i="8"/>
  <c r="G878" i="8"/>
  <c r="G863" i="8"/>
  <c r="G848" i="8"/>
  <c r="G833" i="8"/>
  <c r="G818" i="8"/>
  <c r="G804" i="8"/>
  <c r="G790" i="8"/>
  <c r="G773" i="8"/>
  <c r="G751" i="8"/>
  <c r="G729" i="8"/>
  <c r="G708" i="8"/>
  <c r="G687" i="8"/>
  <c r="G666" i="8"/>
  <c r="G645" i="8"/>
  <c r="G624" i="8"/>
  <c r="G603" i="8"/>
  <c r="G582" i="8"/>
  <c r="G561" i="8"/>
  <c r="G540" i="8"/>
  <c r="G520" i="8"/>
  <c r="G500" i="8"/>
  <c r="G480" i="8"/>
  <c r="G460" i="8"/>
  <c r="G440" i="8"/>
  <c r="G420" i="8"/>
  <c r="G406" i="8"/>
  <c r="G392" i="8"/>
  <c r="G373" i="8"/>
  <c r="G352" i="8"/>
  <c r="G330" i="8"/>
  <c r="G309" i="8"/>
  <c r="G288" i="8"/>
  <c r="G267" i="8"/>
  <c r="G248" i="8"/>
  <c r="G229" i="8"/>
  <c r="G210" i="8"/>
  <c r="G192" i="8"/>
  <c r="G175" i="8"/>
  <c r="G158" i="8"/>
  <c r="G142" i="8"/>
  <c r="G128" i="8"/>
  <c r="G114" i="8"/>
  <c r="G95" i="8"/>
  <c r="G77" i="8"/>
  <c r="G57" i="8"/>
  <c r="G39" i="8"/>
  <c r="G19" i="8"/>
  <c r="G590" i="7"/>
  <c r="G574" i="7"/>
  <c r="G558" i="7"/>
  <c r="G542" i="7"/>
  <c r="G524" i="7"/>
  <c r="G508" i="7"/>
  <c r="G492" i="7"/>
  <c r="G476" i="7"/>
  <c r="G458" i="7"/>
  <c r="G442" i="7"/>
  <c r="G426" i="7"/>
  <c r="G410" i="7"/>
  <c r="G392" i="7"/>
  <c r="G376" i="7"/>
  <c r="G360" i="7"/>
  <c r="G344" i="7"/>
  <c r="G326" i="7"/>
  <c r="G306" i="7"/>
  <c r="G285" i="7"/>
  <c r="G265" i="7"/>
  <c r="G244" i="7"/>
  <c r="G224" i="7"/>
  <c r="G204" i="7"/>
  <c r="G185" i="7"/>
  <c r="G167" i="7"/>
  <c r="G148" i="7"/>
  <c r="G130" i="7"/>
  <c r="G111" i="7"/>
  <c r="G93" i="7"/>
  <c r="G74" i="7"/>
  <c r="G56" i="7"/>
  <c r="G37" i="7"/>
  <c r="G19" i="7"/>
  <c r="G134" i="5"/>
  <c r="G119" i="5"/>
  <c r="G102" i="5"/>
  <c r="G87" i="5"/>
  <c r="G72" i="5"/>
  <c r="G53" i="5"/>
  <c r="G34" i="5"/>
  <c r="G18" i="5"/>
  <c r="G197" i="3"/>
  <c r="G183" i="3"/>
  <c r="G169" i="3"/>
  <c r="G155" i="3"/>
  <c r="G141" i="3"/>
  <c r="G127" i="3"/>
  <c r="G113" i="3"/>
  <c r="G99" i="3"/>
  <c r="G85" i="3"/>
  <c r="G71" i="3"/>
  <c r="G57" i="3"/>
  <c r="G43" i="3"/>
  <c r="G29" i="3"/>
  <c r="G391" i="2"/>
  <c r="G371" i="2"/>
  <c r="G350" i="2"/>
  <c r="G335" i="2"/>
  <c r="G320" i="2"/>
  <c r="G305" i="2"/>
  <c r="G290" i="2"/>
  <c r="G275" i="2"/>
  <c r="G260" i="2"/>
  <c r="G245" i="2"/>
  <c r="G230" i="2"/>
  <c r="G215" i="2"/>
  <c r="G200" i="2"/>
  <c r="G185" i="2"/>
  <c r="G171" i="2"/>
  <c r="G143" i="2"/>
  <c r="G112" i="2"/>
  <c r="G91" i="2"/>
  <c r="G74" i="2"/>
  <c r="G50" i="2"/>
  <c r="G90" i="4"/>
  <c r="G75" i="4"/>
  <c r="G60" i="4"/>
  <c r="G45" i="4"/>
  <c r="G30" i="4"/>
  <c r="G15" i="4"/>
  <c r="G1029" i="8"/>
  <c r="H1029" i="8" s="1"/>
  <c r="H1030" i="8" s="1"/>
  <c r="G1016" i="8"/>
  <c r="H1016" i="8" s="1"/>
  <c r="G1015" i="8"/>
  <c r="H1015" i="8" s="1"/>
  <c r="G1012" i="8"/>
  <c r="H1012" i="8" s="1"/>
  <c r="G1011" i="8"/>
  <c r="H1011" i="8" s="1"/>
  <c r="G1010" i="8"/>
  <c r="H1010" i="8" s="1"/>
  <c r="G1009" i="8"/>
  <c r="H1009" i="8" s="1"/>
  <c r="G998" i="8"/>
  <c r="H998" i="8" s="1"/>
  <c r="G997" i="8"/>
  <c r="H997" i="8" s="1"/>
  <c r="G996" i="8"/>
  <c r="H996" i="8" s="1"/>
  <c r="G995" i="8"/>
  <c r="H995" i="8" s="1"/>
  <c r="G994" i="8"/>
  <c r="H994" i="8" s="1"/>
  <c r="G993" i="8"/>
  <c r="H993" i="8" s="1"/>
  <c r="G992" i="8"/>
  <c r="H992" i="8" s="1"/>
  <c r="G991" i="8"/>
  <c r="H991" i="8" s="1"/>
  <c r="G988" i="8"/>
  <c r="H988" i="8" s="1"/>
  <c r="G987" i="8"/>
  <c r="H987" i="8" s="1"/>
  <c r="G986" i="8"/>
  <c r="H986" i="8" s="1"/>
  <c r="G985" i="8"/>
  <c r="H985" i="8" s="1"/>
  <c r="G984" i="8"/>
  <c r="H984" i="8" s="1"/>
  <c r="G983" i="8"/>
  <c r="H983" i="8" s="1"/>
  <c r="G972" i="8"/>
  <c r="H972" i="8" s="1"/>
  <c r="G971" i="8"/>
  <c r="H971" i="8" s="1"/>
  <c r="G970" i="8"/>
  <c r="H970" i="8" s="1"/>
  <c r="G969" i="8"/>
  <c r="H969" i="8" s="1"/>
  <c r="G968" i="8"/>
  <c r="H968" i="8" s="1"/>
  <c r="G967" i="8"/>
  <c r="H967" i="8" s="1"/>
  <c r="G966" i="8"/>
  <c r="H966" i="8" s="1"/>
  <c r="G963" i="8"/>
  <c r="H963" i="8" s="1"/>
  <c r="G962" i="8"/>
  <c r="H962" i="8" s="1"/>
  <c r="G961" i="8"/>
  <c r="H961" i="8" s="1"/>
  <c r="G960" i="8"/>
  <c r="H960" i="8" s="1"/>
  <c r="G959" i="8"/>
  <c r="H959" i="8" s="1"/>
  <c r="G958" i="8"/>
  <c r="H958" i="8" s="1"/>
  <c r="G947" i="8"/>
  <c r="H947" i="8" s="1"/>
  <c r="H948" i="8" s="1"/>
  <c r="G944" i="8"/>
  <c r="H944" i="8" s="1"/>
  <c r="G943" i="8"/>
  <c r="H943" i="8" s="1"/>
  <c r="G932" i="8"/>
  <c r="H932" i="8" s="1"/>
  <c r="H933" i="8" s="1"/>
  <c r="G929" i="8"/>
  <c r="H929" i="8" s="1"/>
  <c r="G928" i="8"/>
  <c r="H928" i="8" s="1"/>
  <c r="G917" i="8"/>
  <c r="H917" i="8" s="1"/>
  <c r="H918" i="8" s="1"/>
  <c r="G914" i="8"/>
  <c r="H914" i="8" s="1"/>
  <c r="G913" i="8"/>
  <c r="H913" i="8" s="1"/>
  <c r="G904" i="8"/>
  <c r="H904" i="8" s="1"/>
  <c r="H905" i="8" s="1"/>
  <c r="G899" i="8"/>
  <c r="H899" i="8" s="1"/>
  <c r="G898" i="8"/>
  <c r="H898" i="8" s="1"/>
  <c r="G885" i="8"/>
  <c r="H885" i="8" s="1"/>
  <c r="G884" i="8"/>
  <c r="H884" i="8" s="1"/>
  <c r="G875" i="8"/>
  <c r="H875" i="8" s="1"/>
  <c r="H876" i="8" s="1"/>
  <c r="G870" i="8"/>
  <c r="H870" i="8" s="1"/>
  <c r="G869" i="8"/>
  <c r="H869" i="8" s="1"/>
  <c r="G860" i="8"/>
  <c r="H860" i="8" s="1"/>
  <c r="H861" i="8" s="1"/>
  <c r="G855" i="8"/>
  <c r="H855" i="8" s="1"/>
  <c r="G854" i="8"/>
  <c r="H854" i="8" s="1"/>
  <c r="G845" i="8"/>
  <c r="H845" i="8" s="1"/>
  <c r="H846" i="8" s="1"/>
  <c r="G840" i="8"/>
  <c r="H840" i="8" s="1"/>
  <c r="G839" i="8"/>
  <c r="H839" i="8" s="1"/>
  <c r="G830" i="8"/>
  <c r="H830" i="8" s="1"/>
  <c r="H831" i="8" s="1"/>
  <c r="G825" i="8"/>
  <c r="H825" i="8" s="1"/>
  <c r="G824" i="8"/>
  <c r="H824" i="8" s="1"/>
  <c r="G811" i="8"/>
  <c r="H811" i="8" s="1"/>
  <c r="G810" i="8"/>
  <c r="H810" i="8" s="1"/>
  <c r="G797" i="8"/>
  <c r="H797" i="8" s="1"/>
  <c r="G796" i="8"/>
  <c r="H796" i="8" s="1"/>
  <c r="G785" i="8"/>
  <c r="H785" i="8" s="1"/>
  <c r="H786" i="8" s="1"/>
  <c r="G782" i="8"/>
  <c r="H782" i="8" s="1"/>
  <c r="G781" i="8"/>
  <c r="H781" i="8" s="1"/>
  <c r="G780" i="8"/>
  <c r="H780" i="8" s="1"/>
  <c r="G779" i="8"/>
  <c r="H779" i="8" s="1"/>
  <c r="G765" i="8"/>
  <c r="H765" i="8" s="1"/>
  <c r="G767" i="8"/>
  <c r="H767" i="8" s="1"/>
  <c r="G766" i="8"/>
  <c r="H766" i="8" s="1"/>
  <c r="G764" i="8"/>
  <c r="H764" i="8" s="1"/>
  <c r="G763" i="8"/>
  <c r="H763" i="8" s="1"/>
  <c r="G760" i="8"/>
  <c r="H760" i="8" s="1"/>
  <c r="G759" i="8"/>
  <c r="H759" i="8" s="1"/>
  <c r="G758" i="8"/>
  <c r="H758" i="8" s="1"/>
  <c r="G757" i="8"/>
  <c r="H757" i="8" s="1"/>
  <c r="G743" i="8"/>
  <c r="H743" i="8" s="1"/>
  <c r="G745" i="8"/>
  <c r="H745" i="8" s="1"/>
  <c r="G744" i="8"/>
  <c r="H744" i="8" s="1"/>
  <c r="G742" i="8"/>
  <c r="H742" i="8" s="1"/>
  <c r="G741" i="8"/>
  <c r="H741" i="8" s="1"/>
  <c r="G738" i="8"/>
  <c r="H738" i="8" s="1"/>
  <c r="G737" i="8"/>
  <c r="H737" i="8" s="1"/>
  <c r="G736" i="8"/>
  <c r="H736" i="8" s="1"/>
  <c r="G735" i="8"/>
  <c r="H735" i="8" s="1"/>
  <c r="G722" i="8"/>
  <c r="H722" i="8" s="1"/>
  <c r="G723" i="8"/>
  <c r="H723" i="8" s="1"/>
  <c r="G721" i="8"/>
  <c r="H721" i="8" s="1"/>
  <c r="G720" i="8"/>
  <c r="H720" i="8" s="1"/>
  <c r="G717" i="8"/>
  <c r="H717" i="8" s="1"/>
  <c r="G716" i="8"/>
  <c r="H716" i="8" s="1"/>
  <c r="G715" i="8"/>
  <c r="H715" i="8" s="1"/>
  <c r="G714" i="8"/>
  <c r="H714" i="8" s="1"/>
  <c r="G701" i="8"/>
  <c r="H701" i="8" s="1"/>
  <c r="G702" i="8"/>
  <c r="H702" i="8" s="1"/>
  <c r="G700" i="8"/>
  <c r="H700" i="8" s="1"/>
  <c r="G699" i="8"/>
  <c r="H699" i="8" s="1"/>
  <c r="G696" i="8"/>
  <c r="H696" i="8" s="1"/>
  <c r="G695" i="8"/>
  <c r="H695" i="8" s="1"/>
  <c r="G694" i="8"/>
  <c r="H694" i="8" s="1"/>
  <c r="G693" i="8"/>
  <c r="H693" i="8" s="1"/>
  <c r="G680" i="8"/>
  <c r="H680" i="8" s="1"/>
  <c r="G681" i="8"/>
  <c r="H681" i="8" s="1"/>
  <c r="G679" i="8"/>
  <c r="H679" i="8" s="1"/>
  <c r="G678" i="8"/>
  <c r="H678" i="8" s="1"/>
  <c r="G675" i="8"/>
  <c r="H675" i="8" s="1"/>
  <c r="G674" i="8"/>
  <c r="H674" i="8" s="1"/>
  <c r="G673" i="8"/>
  <c r="H673" i="8" s="1"/>
  <c r="G672" i="8"/>
  <c r="H672" i="8" s="1"/>
  <c r="G659" i="8"/>
  <c r="H659" i="8" s="1"/>
  <c r="G660" i="8"/>
  <c r="H660" i="8" s="1"/>
  <c r="G658" i="8"/>
  <c r="H658" i="8" s="1"/>
  <c r="G657" i="8"/>
  <c r="H657" i="8" s="1"/>
  <c r="G654" i="8"/>
  <c r="H654" i="8" s="1"/>
  <c r="G653" i="8"/>
  <c r="H653" i="8" s="1"/>
  <c r="G652" i="8"/>
  <c r="H652" i="8" s="1"/>
  <c r="G651" i="8"/>
  <c r="H651" i="8" s="1"/>
  <c r="G638" i="8"/>
  <c r="H638" i="8" s="1"/>
  <c r="G639" i="8"/>
  <c r="H639" i="8" s="1"/>
  <c r="G637" i="8"/>
  <c r="H637" i="8" s="1"/>
  <c r="G636" i="8"/>
  <c r="H636" i="8" s="1"/>
  <c r="G633" i="8"/>
  <c r="H633" i="8" s="1"/>
  <c r="G632" i="8"/>
  <c r="H632" i="8" s="1"/>
  <c r="G631" i="8"/>
  <c r="H631" i="8" s="1"/>
  <c r="G630" i="8"/>
  <c r="H630" i="8" s="1"/>
  <c r="G617" i="8"/>
  <c r="H617" i="8" s="1"/>
  <c r="G618" i="8"/>
  <c r="H618" i="8" s="1"/>
  <c r="G616" i="8"/>
  <c r="H616" i="8" s="1"/>
  <c r="G615" i="8"/>
  <c r="H615" i="8" s="1"/>
  <c r="G612" i="8"/>
  <c r="H612" i="8" s="1"/>
  <c r="G611" i="8"/>
  <c r="H611" i="8" s="1"/>
  <c r="G610" i="8"/>
  <c r="H610" i="8" s="1"/>
  <c r="G609" i="8"/>
  <c r="H609" i="8" s="1"/>
  <c r="G596" i="8"/>
  <c r="H596" i="8" s="1"/>
  <c r="G597" i="8"/>
  <c r="H597" i="8" s="1"/>
  <c r="G595" i="8"/>
  <c r="H595" i="8" s="1"/>
  <c r="G594" i="8"/>
  <c r="H594" i="8" s="1"/>
  <c r="G591" i="8"/>
  <c r="H591" i="8" s="1"/>
  <c r="G590" i="8"/>
  <c r="H590" i="8" s="1"/>
  <c r="G589" i="8"/>
  <c r="H589" i="8" s="1"/>
  <c r="G588" i="8"/>
  <c r="H588" i="8" s="1"/>
  <c r="G575" i="8"/>
  <c r="H575" i="8" s="1"/>
  <c r="G576" i="8"/>
  <c r="H576" i="8" s="1"/>
  <c r="G574" i="8"/>
  <c r="H574" i="8" s="1"/>
  <c r="G573" i="8"/>
  <c r="H573" i="8" s="1"/>
  <c r="G570" i="8"/>
  <c r="H570" i="8" s="1"/>
  <c r="G569" i="8"/>
  <c r="H569" i="8" s="1"/>
  <c r="G568" i="8"/>
  <c r="H568" i="8" s="1"/>
  <c r="G567" i="8"/>
  <c r="H567" i="8" s="1"/>
  <c r="G554" i="8"/>
  <c r="H554" i="8" s="1"/>
  <c r="G555" i="8"/>
  <c r="H555" i="8" s="1"/>
  <c r="G553" i="8"/>
  <c r="H553" i="8" s="1"/>
  <c r="G552" i="8"/>
  <c r="H552" i="8" s="1"/>
  <c r="G549" i="8"/>
  <c r="H549" i="8" s="1"/>
  <c r="G548" i="8"/>
  <c r="H548" i="8" s="1"/>
  <c r="G547" i="8"/>
  <c r="H547" i="8" s="1"/>
  <c r="G546" i="8"/>
  <c r="H546" i="8" s="1"/>
  <c r="G534" i="8"/>
  <c r="H534" i="8" s="1"/>
  <c r="G535" i="8"/>
  <c r="H535" i="8" s="1"/>
  <c r="G533" i="8"/>
  <c r="H533" i="8" s="1"/>
  <c r="G532" i="8"/>
  <c r="H532" i="8" s="1"/>
  <c r="G529" i="8"/>
  <c r="H529" i="8" s="1"/>
  <c r="G528" i="8"/>
  <c r="H528" i="8" s="1"/>
  <c r="G527" i="8"/>
  <c r="H527" i="8" s="1"/>
  <c r="G526" i="8"/>
  <c r="H526" i="8" s="1"/>
  <c r="G514" i="8"/>
  <c r="H514" i="8" s="1"/>
  <c r="G515" i="8"/>
  <c r="H515" i="8" s="1"/>
  <c r="G513" i="8"/>
  <c r="H513" i="8" s="1"/>
  <c r="G512" i="8"/>
  <c r="H512" i="8" s="1"/>
  <c r="G509" i="8"/>
  <c r="H509" i="8" s="1"/>
  <c r="G508" i="8"/>
  <c r="H508" i="8" s="1"/>
  <c r="G507" i="8"/>
  <c r="H507" i="8" s="1"/>
  <c r="G506" i="8"/>
  <c r="H506" i="8" s="1"/>
  <c r="G494" i="8"/>
  <c r="H494" i="8" s="1"/>
  <c r="G495" i="8"/>
  <c r="H495" i="8" s="1"/>
  <c r="G493" i="8"/>
  <c r="H493" i="8" s="1"/>
  <c r="G492" i="8"/>
  <c r="H492" i="8" s="1"/>
  <c r="G489" i="8"/>
  <c r="H489" i="8" s="1"/>
  <c r="G488" i="8"/>
  <c r="H488" i="8" s="1"/>
  <c r="G487" i="8"/>
  <c r="H487" i="8" s="1"/>
  <c r="G486" i="8"/>
  <c r="H486" i="8" s="1"/>
  <c r="G474" i="8"/>
  <c r="H474" i="8" s="1"/>
  <c r="G473" i="8"/>
  <c r="H473" i="8" s="1"/>
  <c r="G472" i="8"/>
  <c r="H472" i="8" s="1"/>
  <c r="G475" i="8"/>
  <c r="H475" i="8" s="1"/>
  <c r="G469" i="8"/>
  <c r="H469" i="8" s="1"/>
  <c r="G468" i="8"/>
  <c r="H468" i="8" s="1"/>
  <c r="G467" i="8"/>
  <c r="H467" i="8" s="1"/>
  <c r="G466" i="8"/>
  <c r="H466" i="8" s="1"/>
  <c r="G454" i="8"/>
  <c r="H454" i="8" s="1"/>
  <c r="G455" i="8"/>
  <c r="H455" i="8" s="1"/>
  <c r="G453" i="8"/>
  <c r="H453" i="8" s="1"/>
  <c r="G452" i="8"/>
  <c r="H452" i="8" s="1"/>
  <c r="G449" i="8"/>
  <c r="H449" i="8" s="1"/>
  <c r="G448" i="8"/>
  <c r="H448" i="8" s="1"/>
  <c r="G447" i="8"/>
  <c r="H447" i="8" s="1"/>
  <c r="G446" i="8"/>
  <c r="H446" i="8" s="1"/>
  <c r="G434" i="8"/>
  <c r="H434" i="8" s="1"/>
  <c r="G435" i="8"/>
  <c r="H435" i="8" s="1"/>
  <c r="G433" i="8"/>
  <c r="H433" i="8" s="1"/>
  <c r="G432" i="8"/>
  <c r="H432" i="8" s="1"/>
  <c r="G429" i="8"/>
  <c r="H429" i="8" s="1"/>
  <c r="G428" i="8"/>
  <c r="H428" i="8" s="1"/>
  <c r="G427" i="8"/>
  <c r="H427" i="8" s="1"/>
  <c r="G426" i="8"/>
  <c r="H426" i="8" s="1"/>
  <c r="G413" i="8"/>
  <c r="H413" i="8" s="1"/>
  <c r="G412" i="8"/>
  <c r="H412" i="8" s="1"/>
  <c r="G399" i="8"/>
  <c r="H399" i="8" s="1"/>
  <c r="G398" i="8"/>
  <c r="H398" i="8" s="1"/>
  <c r="G387" i="8"/>
  <c r="H387" i="8" s="1"/>
  <c r="G386" i="8"/>
  <c r="H386" i="8" s="1"/>
  <c r="G385" i="8"/>
  <c r="H385" i="8" s="1"/>
  <c r="G382" i="8"/>
  <c r="H382" i="8" s="1"/>
  <c r="G381" i="8"/>
  <c r="H381" i="8" s="1"/>
  <c r="G380" i="8"/>
  <c r="H380" i="8" s="1"/>
  <c r="G379" i="8"/>
  <c r="H379" i="8" s="1"/>
  <c r="G368" i="8"/>
  <c r="H368" i="8" s="1"/>
  <c r="G367" i="8"/>
  <c r="H367" i="8" s="1"/>
  <c r="G366" i="8"/>
  <c r="H366" i="8" s="1"/>
  <c r="G365" i="8"/>
  <c r="H365" i="8" s="1"/>
  <c r="G364" i="8"/>
  <c r="H364" i="8" s="1"/>
  <c r="G361" i="8"/>
  <c r="H361" i="8" s="1"/>
  <c r="G360" i="8"/>
  <c r="H360" i="8" s="1"/>
  <c r="G359" i="8"/>
  <c r="H359" i="8" s="1"/>
  <c r="G358" i="8"/>
  <c r="H358" i="8" s="1"/>
  <c r="G347" i="8"/>
  <c r="H347" i="8" s="1"/>
  <c r="G346" i="8"/>
  <c r="H346" i="8" s="1"/>
  <c r="G345" i="8"/>
  <c r="H345" i="8" s="1"/>
  <c r="G344" i="8"/>
  <c r="H344" i="8" s="1"/>
  <c r="G343" i="8"/>
  <c r="H343" i="8" s="1"/>
  <c r="G342" i="8"/>
  <c r="H342" i="8" s="1"/>
  <c r="G339" i="8"/>
  <c r="H339" i="8" s="1"/>
  <c r="G338" i="8"/>
  <c r="H338" i="8" s="1"/>
  <c r="G337" i="8"/>
  <c r="H337" i="8" s="1"/>
  <c r="G336" i="8"/>
  <c r="H336" i="8" s="1"/>
  <c r="G325" i="8"/>
  <c r="H325" i="8" s="1"/>
  <c r="G324" i="8"/>
  <c r="H324" i="8" s="1"/>
  <c r="G323" i="8"/>
  <c r="H323" i="8" s="1"/>
  <c r="G322" i="8"/>
  <c r="H322" i="8" s="1"/>
  <c r="G321" i="8"/>
  <c r="H321" i="8" s="1"/>
  <c r="G318" i="8"/>
  <c r="H318" i="8" s="1"/>
  <c r="G317" i="8"/>
  <c r="H317" i="8" s="1"/>
  <c r="G316" i="8"/>
  <c r="H316" i="8" s="1"/>
  <c r="G315" i="8"/>
  <c r="H315" i="8" s="1"/>
  <c r="G304" i="8"/>
  <c r="H304" i="8" s="1"/>
  <c r="G303" i="8"/>
  <c r="H303" i="8" s="1"/>
  <c r="G302" i="8"/>
  <c r="H302" i="8" s="1"/>
  <c r="G301" i="8"/>
  <c r="H301" i="8" s="1"/>
  <c r="G300" i="8"/>
  <c r="H300" i="8" s="1"/>
  <c r="G297" i="8"/>
  <c r="H297" i="8" s="1"/>
  <c r="G296" i="8"/>
  <c r="H296" i="8" s="1"/>
  <c r="G295" i="8"/>
  <c r="H295" i="8" s="1"/>
  <c r="G294" i="8"/>
  <c r="H294" i="8" s="1"/>
  <c r="G283" i="8"/>
  <c r="H283" i="8" s="1"/>
  <c r="G282" i="8"/>
  <c r="H282" i="8" s="1"/>
  <c r="G281" i="8"/>
  <c r="H281" i="8" s="1"/>
  <c r="G280" i="8"/>
  <c r="H280" i="8" s="1"/>
  <c r="G279" i="8"/>
  <c r="H279" i="8" s="1"/>
  <c r="G276" i="8"/>
  <c r="H276" i="8" s="1"/>
  <c r="G275" i="8"/>
  <c r="H275" i="8" s="1"/>
  <c r="G274" i="8"/>
  <c r="H274" i="8" s="1"/>
  <c r="G273" i="8"/>
  <c r="H273" i="8" s="1"/>
  <c r="G262" i="8"/>
  <c r="H262" i="8" s="1"/>
  <c r="G261" i="8"/>
  <c r="H261" i="8" s="1"/>
  <c r="G260" i="8"/>
  <c r="H260" i="8" s="1"/>
  <c r="G257" i="8"/>
  <c r="H257" i="8" s="1"/>
  <c r="G256" i="8"/>
  <c r="H256" i="8" s="1"/>
  <c r="G255" i="8"/>
  <c r="H255" i="8" s="1"/>
  <c r="G254" i="8"/>
  <c r="H254" i="8" s="1"/>
  <c r="G243" i="8"/>
  <c r="H243" i="8" s="1"/>
  <c r="G242" i="8"/>
  <c r="H242" i="8" s="1"/>
  <c r="G241" i="8"/>
  <c r="H241" i="8" s="1"/>
  <c r="G238" i="8"/>
  <c r="H238" i="8" s="1"/>
  <c r="G237" i="8"/>
  <c r="H237" i="8" s="1"/>
  <c r="G236" i="8"/>
  <c r="H236" i="8" s="1"/>
  <c r="G235" i="8"/>
  <c r="H235" i="8" s="1"/>
  <c r="G224" i="8"/>
  <c r="H224" i="8" s="1"/>
  <c r="G223" i="8"/>
  <c r="H223" i="8" s="1"/>
  <c r="G222" i="8"/>
  <c r="H222" i="8" s="1"/>
  <c r="G219" i="8"/>
  <c r="H219" i="8" s="1"/>
  <c r="G218" i="8"/>
  <c r="H218" i="8" s="1"/>
  <c r="G217" i="8"/>
  <c r="H217" i="8" s="1"/>
  <c r="G216" i="8"/>
  <c r="H216" i="8" s="1"/>
  <c r="G205" i="8"/>
  <c r="H205" i="8" s="1"/>
  <c r="G204" i="8"/>
  <c r="H204" i="8" s="1"/>
  <c r="G201" i="8"/>
  <c r="H201" i="8" s="1"/>
  <c r="G200" i="8"/>
  <c r="H200" i="8" s="1"/>
  <c r="G199" i="8"/>
  <c r="H199" i="8" s="1"/>
  <c r="G198" i="8"/>
  <c r="H198" i="8" s="1"/>
  <c r="G187" i="8"/>
  <c r="H187" i="8" s="1"/>
  <c r="H188" i="8" s="1"/>
  <c r="G184" i="8"/>
  <c r="H184" i="8" s="1"/>
  <c r="G183" i="8"/>
  <c r="H183" i="8" s="1"/>
  <c r="G182" i="8"/>
  <c r="H182" i="8" s="1"/>
  <c r="G181" i="8"/>
  <c r="H181" i="8" s="1"/>
  <c r="G170" i="8"/>
  <c r="H170" i="8" s="1"/>
  <c r="H171" i="8" s="1"/>
  <c r="G167" i="8"/>
  <c r="H167" i="8" s="1"/>
  <c r="G166" i="8"/>
  <c r="H166" i="8" s="1"/>
  <c r="G165" i="8"/>
  <c r="H165" i="8" s="1"/>
  <c r="G164" i="8"/>
  <c r="H164" i="8" s="1"/>
  <c r="G150" i="8"/>
  <c r="H150" i="8" s="1"/>
  <c r="G149" i="8"/>
  <c r="H149" i="8" s="1"/>
  <c r="G148" i="8"/>
  <c r="H148" i="8" s="1"/>
  <c r="G135" i="8"/>
  <c r="H135" i="8" s="1"/>
  <c r="G134" i="8"/>
  <c r="H134" i="8" s="1"/>
  <c r="G121" i="8"/>
  <c r="H121" i="8" s="1"/>
  <c r="G120" i="8"/>
  <c r="H120" i="8" s="1"/>
  <c r="G108" i="8"/>
  <c r="H108" i="8" s="1"/>
  <c r="G107" i="8"/>
  <c r="H107" i="8" s="1"/>
  <c r="G104" i="8"/>
  <c r="H104" i="8" s="1"/>
  <c r="G103" i="8"/>
  <c r="H103" i="8" s="1"/>
  <c r="G101" i="8"/>
  <c r="H101" i="8" s="1"/>
  <c r="G90" i="8"/>
  <c r="H90" i="8" s="1"/>
  <c r="G89" i="8"/>
  <c r="H89" i="8" s="1"/>
  <c r="G86" i="8"/>
  <c r="H86" i="8" s="1"/>
  <c r="G85" i="8"/>
  <c r="H85" i="8" s="1"/>
  <c r="G83" i="8"/>
  <c r="H83" i="8" s="1"/>
  <c r="G74" i="8"/>
  <c r="H74" i="8" s="1"/>
  <c r="G73" i="8"/>
  <c r="H73" i="8" s="1"/>
  <c r="G70" i="8"/>
  <c r="H70" i="8" s="1"/>
  <c r="G69" i="8"/>
  <c r="H69" i="8" s="1"/>
  <c r="G66" i="8"/>
  <c r="H66" i="8" s="1"/>
  <c r="G65" i="8"/>
  <c r="H65" i="8" s="1"/>
  <c r="G64" i="8"/>
  <c r="H64" i="8" s="1"/>
  <c r="G63" i="8"/>
  <c r="H63" i="8" s="1"/>
  <c r="G52" i="8"/>
  <c r="H52" i="8" s="1"/>
  <c r="G51" i="8"/>
  <c r="H51" i="8" s="1"/>
  <c r="G48" i="8"/>
  <c r="H48" i="8" s="1"/>
  <c r="G47" i="8"/>
  <c r="H47" i="8" s="1"/>
  <c r="G46" i="8"/>
  <c r="H46" i="8" s="1"/>
  <c r="G45" i="8"/>
  <c r="H45" i="8" s="1"/>
  <c r="G36" i="8"/>
  <c r="H36" i="8" s="1"/>
  <c r="G35" i="8"/>
  <c r="H35" i="8" s="1"/>
  <c r="G32" i="8"/>
  <c r="H32" i="8" s="1"/>
  <c r="G31" i="8"/>
  <c r="H31" i="8" s="1"/>
  <c r="G28" i="8"/>
  <c r="H28" i="8" s="1"/>
  <c r="G27" i="8"/>
  <c r="H27" i="8" s="1"/>
  <c r="G25" i="8"/>
  <c r="H25" i="8" s="1"/>
  <c r="G14" i="8"/>
  <c r="H14" i="8" s="1"/>
  <c r="G13" i="8"/>
  <c r="H13" i="8" s="1"/>
  <c r="G10" i="8"/>
  <c r="H10" i="8" s="1"/>
  <c r="G9" i="8"/>
  <c r="H9" i="8" s="1"/>
  <c r="G8" i="8"/>
  <c r="H8" i="8" s="1"/>
  <c r="G7" i="8"/>
  <c r="H7" i="8" s="1"/>
  <c r="G111" i="8" a="1"/>
  <c r="G111" i="8" s="1"/>
  <c r="H111" i="8" s="1"/>
  <c r="H112" i="8" s="1"/>
  <c r="D64" i="8"/>
  <c r="D84" i="8"/>
  <c r="D26" i="8"/>
  <c r="G26" i="8"/>
  <c r="H26" i="8" s="1"/>
  <c r="D3" i="8"/>
  <c r="C3" i="8"/>
  <c r="G587" i="7"/>
  <c r="H587" i="7" s="1"/>
  <c r="G581" i="7"/>
  <c r="H581" i="7" s="1"/>
  <c r="G580" i="7"/>
  <c r="H580" i="7" s="1"/>
  <c r="G571" i="7"/>
  <c r="H571" i="7" s="1"/>
  <c r="G565" i="7"/>
  <c r="H565" i="7" s="1"/>
  <c r="G564" i="7"/>
  <c r="H564" i="7" s="1"/>
  <c r="G555" i="7"/>
  <c r="H555" i="7" s="1"/>
  <c r="G549" i="7"/>
  <c r="H549" i="7" s="1"/>
  <c r="G548" i="7"/>
  <c r="H548" i="7" s="1"/>
  <c r="G538" i="7"/>
  <c r="H538" i="7" s="1"/>
  <c r="G534" i="7"/>
  <c r="H534" i="7" s="1"/>
  <c r="H535" i="7" s="1"/>
  <c r="G531" i="7"/>
  <c r="H531" i="7" s="1"/>
  <c r="G530" i="7"/>
  <c r="H530" i="7" s="1"/>
  <c r="G521" i="7"/>
  <c r="H521" i="7" s="1"/>
  <c r="G515" i="7"/>
  <c r="H515" i="7" s="1"/>
  <c r="G514" i="7"/>
  <c r="H514" i="7" s="1"/>
  <c r="G505" i="7"/>
  <c r="H505" i="7" s="1"/>
  <c r="G499" i="7"/>
  <c r="H499" i="7" s="1"/>
  <c r="G498" i="7"/>
  <c r="H498" i="7" s="1"/>
  <c r="G489" i="7"/>
  <c r="H489" i="7" s="1"/>
  <c r="G483" i="7"/>
  <c r="H483" i="7" s="1"/>
  <c r="G482" i="7"/>
  <c r="H482" i="7" s="1"/>
  <c r="G472" i="7"/>
  <c r="H472" i="7" s="1"/>
  <c r="G468" i="7"/>
  <c r="H468" i="7" s="1"/>
  <c r="H469" i="7" s="1"/>
  <c r="G465" i="7"/>
  <c r="H465" i="7" s="1"/>
  <c r="G464" i="7"/>
  <c r="H464" i="7" s="1"/>
  <c r="G455" i="7"/>
  <c r="H455" i="7" s="1"/>
  <c r="G449" i="7"/>
  <c r="H449" i="7" s="1"/>
  <c r="G448" i="7"/>
  <c r="H448" i="7" s="1"/>
  <c r="G439" i="7"/>
  <c r="H439" i="7" s="1"/>
  <c r="G433" i="7"/>
  <c r="H433" i="7" s="1"/>
  <c r="G432" i="7"/>
  <c r="H432" i="7" s="1"/>
  <c r="G423" i="7"/>
  <c r="H423" i="7" s="1"/>
  <c r="G417" i="7"/>
  <c r="H417" i="7" s="1"/>
  <c r="G416" i="7"/>
  <c r="H416" i="7" s="1"/>
  <c r="G406" i="7"/>
  <c r="H406" i="7" s="1"/>
  <c r="G402" i="7"/>
  <c r="H402" i="7" s="1"/>
  <c r="H403" i="7" s="1"/>
  <c r="G399" i="7"/>
  <c r="H399" i="7" s="1"/>
  <c r="G398" i="7"/>
  <c r="H398" i="7" s="1"/>
  <c r="G389" i="7"/>
  <c r="H389" i="7" s="1"/>
  <c r="G383" i="7"/>
  <c r="H383" i="7" s="1"/>
  <c r="G382" i="7"/>
  <c r="H382" i="7" s="1"/>
  <c r="G373" i="7"/>
  <c r="H373" i="7" s="1"/>
  <c r="G367" i="7"/>
  <c r="H367" i="7" s="1"/>
  <c r="G366" i="7"/>
  <c r="H366" i="7" s="1"/>
  <c r="G357" i="7"/>
  <c r="H357" i="7" s="1"/>
  <c r="G351" i="7"/>
  <c r="H351" i="7" s="1"/>
  <c r="G350" i="7"/>
  <c r="H350" i="7" s="1"/>
  <c r="G340" i="7"/>
  <c r="H340" i="7" s="1"/>
  <c r="G336" i="7"/>
  <c r="H336" i="7" s="1"/>
  <c r="H337" i="7" s="1"/>
  <c r="G333" i="7"/>
  <c r="H333" i="7" s="1"/>
  <c r="G332" i="7"/>
  <c r="H332" i="7" s="1"/>
  <c r="G320" i="7"/>
  <c r="H320" i="7" s="1"/>
  <c r="G321" i="7"/>
  <c r="H321" i="7" s="1"/>
  <c r="G319" i="7"/>
  <c r="H319" i="7" s="1"/>
  <c r="G318" i="7"/>
  <c r="H318" i="7" s="1"/>
  <c r="G315" i="7"/>
  <c r="H315" i="7" s="1"/>
  <c r="G314" i="7"/>
  <c r="H314" i="7" s="1"/>
  <c r="G313" i="7"/>
  <c r="H313" i="7" s="1"/>
  <c r="G312" i="7"/>
  <c r="H312" i="7" s="1"/>
  <c r="G300" i="7"/>
  <c r="H300" i="7" s="1"/>
  <c r="G299" i="7"/>
  <c r="H299" i="7" s="1"/>
  <c r="G298" i="7"/>
  <c r="H298" i="7" s="1"/>
  <c r="G297" i="7"/>
  <c r="H297" i="7" s="1"/>
  <c r="G296" i="7"/>
  <c r="H296" i="7" s="1"/>
  <c r="G293" i="7"/>
  <c r="H293" i="7" s="1"/>
  <c r="G292" i="7"/>
  <c r="H292" i="7" s="1"/>
  <c r="G291" i="7"/>
  <c r="H291" i="7" s="1"/>
  <c r="G280" i="7"/>
  <c r="H280" i="7" s="1"/>
  <c r="G279" i="7"/>
  <c r="H279" i="7" s="1"/>
  <c r="G278" i="7"/>
  <c r="H278" i="7" s="1"/>
  <c r="G277" i="7"/>
  <c r="H277" i="7" s="1"/>
  <c r="G276" i="7"/>
  <c r="H276" i="7" s="1"/>
  <c r="G273" i="7"/>
  <c r="H273" i="7" s="1"/>
  <c r="G272" i="7"/>
  <c r="H272" i="7" s="1"/>
  <c r="G271" i="7"/>
  <c r="H271" i="7" s="1"/>
  <c r="G258" i="7"/>
  <c r="H258" i="7" s="1"/>
  <c r="G257" i="7"/>
  <c r="H257" i="7" s="1"/>
  <c r="G259" i="7"/>
  <c r="H259" i="7" s="1"/>
  <c r="G256" i="7"/>
  <c r="H256" i="7" s="1"/>
  <c r="G255" i="7"/>
  <c r="H255" i="7" s="1"/>
  <c r="G252" i="7"/>
  <c r="H252" i="7" s="1"/>
  <c r="G251" i="7"/>
  <c r="H251" i="7" s="1"/>
  <c r="G250" i="7"/>
  <c r="H250" i="7" s="1"/>
  <c r="G238" i="7"/>
  <c r="H238" i="7" s="1"/>
  <c r="G237" i="7"/>
  <c r="H237" i="7" s="1"/>
  <c r="G239" i="7"/>
  <c r="H239" i="7" s="1"/>
  <c r="G236" i="7"/>
  <c r="H236" i="7" s="1"/>
  <c r="G235" i="7"/>
  <c r="H235" i="7" s="1"/>
  <c r="G232" i="7"/>
  <c r="H232" i="7" s="1"/>
  <c r="G231" i="7"/>
  <c r="H231" i="7" s="1"/>
  <c r="G230" i="7"/>
  <c r="H230" i="7" s="1"/>
  <c r="G218" i="7"/>
  <c r="H218" i="7" s="1"/>
  <c r="G217" i="7"/>
  <c r="H217" i="7" s="1"/>
  <c r="G219" i="7"/>
  <c r="H219" i="7" s="1"/>
  <c r="G216" i="7"/>
  <c r="H216" i="7" s="1"/>
  <c r="G215" i="7"/>
  <c r="H215" i="7" s="1"/>
  <c r="G212" i="7"/>
  <c r="H212" i="7" s="1"/>
  <c r="G211" i="7"/>
  <c r="H211" i="7" s="1"/>
  <c r="G210" i="7"/>
  <c r="H210" i="7" s="1"/>
  <c r="G198" i="7"/>
  <c r="H198" i="7" s="1"/>
  <c r="G197" i="7"/>
  <c r="H197" i="7" s="1"/>
  <c r="G196" i="7"/>
  <c r="H196" i="7" s="1"/>
  <c r="G193" i="7"/>
  <c r="H193" i="7" s="1"/>
  <c r="G192" i="7"/>
  <c r="H192" i="7" s="1"/>
  <c r="G191" i="7"/>
  <c r="H191" i="7" s="1"/>
  <c r="G180" i="7"/>
  <c r="H180" i="7" s="1"/>
  <c r="G179" i="7"/>
  <c r="H179" i="7" s="1"/>
  <c r="G178" i="7"/>
  <c r="H178" i="7" s="1"/>
  <c r="G175" i="7"/>
  <c r="H175" i="7" s="1"/>
  <c r="G174" i="7"/>
  <c r="H174" i="7" s="1"/>
  <c r="G173" i="7"/>
  <c r="H173" i="7" s="1"/>
  <c r="G161" i="7"/>
  <c r="H161" i="7" s="1"/>
  <c r="G160" i="7"/>
  <c r="H160" i="7" s="1"/>
  <c r="G159" i="7"/>
  <c r="H159" i="7" s="1"/>
  <c r="G156" i="7"/>
  <c r="H156" i="7" s="1"/>
  <c r="G155" i="7"/>
  <c r="H155" i="7" s="1"/>
  <c r="G154" i="7"/>
  <c r="H154" i="7" s="1"/>
  <c r="G143" i="7"/>
  <c r="H143" i="7" s="1"/>
  <c r="G142" i="7"/>
  <c r="H142" i="7" s="1"/>
  <c r="G141" i="7"/>
  <c r="H141" i="7" s="1"/>
  <c r="G138" i="7"/>
  <c r="H138" i="7" s="1"/>
  <c r="G137" i="7"/>
  <c r="H137" i="7" s="1"/>
  <c r="G136" i="7"/>
  <c r="H136" i="7" s="1"/>
  <c r="G124" i="7"/>
  <c r="H124" i="7" s="1"/>
  <c r="G123" i="7"/>
  <c r="H123" i="7" s="1"/>
  <c r="G122" i="7"/>
  <c r="H122" i="7" s="1"/>
  <c r="G119" i="7"/>
  <c r="H119" i="7" s="1"/>
  <c r="G118" i="7"/>
  <c r="H118" i="7" s="1"/>
  <c r="G117" i="7"/>
  <c r="H117" i="7" s="1"/>
  <c r="G106" i="7"/>
  <c r="H106" i="7" s="1"/>
  <c r="G105" i="7"/>
  <c r="H105" i="7" s="1"/>
  <c r="G104" i="7"/>
  <c r="H104" i="7" s="1"/>
  <c r="G101" i="7"/>
  <c r="H101" i="7" s="1"/>
  <c r="G100" i="7"/>
  <c r="H100" i="7" s="1"/>
  <c r="G99" i="7"/>
  <c r="H99" i="7" s="1"/>
  <c r="G87" i="7"/>
  <c r="H87" i="7" s="1"/>
  <c r="G86" i="7"/>
  <c r="H86" i="7" s="1"/>
  <c r="G85" i="7"/>
  <c r="H85" i="7" s="1"/>
  <c r="G82" i="7"/>
  <c r="H82" i="7" s="1"/>
  <c r="G81" i="7"/>
  <c r="H81" i="7" s="1"/>
  <c r="G80" i="7"/>
  <c r="H80" i="7" s="1"/>
  <c r="G69" i="7"/>
  <c r="H69" i="7" s="1"/>
  <c r="G68" i="7"/>
  <c r="H68" i="7" s="1"/>
  <c r="G67" i="7"/>
  <c r="H67" i="7" s="1"/>
  <c r="G64" i="7"/>
  <c r="H64" i="7" s="1"/>
  <c r="G63" i="7"/>
  <c r="H63" i="7" s="1"/>
  <c r="G62" i="7"/>
  <c r="H62" i="7" s="1"/>
  <c r="G50" i="7"/>
  <c r="H50" i="7" s="1"/>
  <c r="G49" i="7"/>
  <c r="H49" i="7" s="1"/>
  <c r="G48" i="7"/>
  <c r="H48" i="7" s="1"/>
  <c r="G45" i="7"/>
  <c r="H45" i="7" s="1"/>
  <c r="G44" i="7"/>
  <c r="H44" i="7" s="1"/>
  <c r="G43" i="7"/>
  <c r="H43" i="7" s="1"/>
  <c r="G32" i="7"/>
  <c r="H32" i="7" s="1"/>
  <c r="G31" i="7"/>
  <c r="H31" i="7" s="1"/>
  <c r="G30" i="7"/>
  <c r="H30" i="7" s="1"/>
  <c r="G27" i="7"/>
  <c r="H27" i="7" s="1"/>
  <c r="G26" i="7"/>
  <c r="H26" i="7" s="1"/>
  <c r="G25" i="7"/>
  <c r="H25" i="7" s="1"/>
  <c r="G14" i="7"/>
  <c r="H14" i="7" s="1"/>
  <c r="G13" i="7"/>
  <c r="H13" i="7" s="1"/>
  <c r="G10" i="7"/>
  <c r="H10" i="7" s="1"/>
  <c r="G9" i="7"/>
  <c r="H9" i="7" s="1"/>
  <c r="G8" i="7"/>
  <c r="H8" i="7" s="1"/>
  <c r="G7" i="7"/>
  <c r="H7" i="7" s="1"/>
  <c r="G131" i="5"/>
  <c r="H131" i="5" s="1"/>
  <c r="H132" i="5" s="1"/>
  <c r="G126" i="5"/>
  <c r="H126" i="5" s="1"/>
  <c r="G125" i="5"/>
  <c r="H125" i="5" s="1"/>
  <c r="G109" i="5"/>
  <c r="H109" i="5" s="1"/>
  <c r="G108" i="5"/>
  <c r="H108" i="5" s="1"/>
  <c r="G99" i="5"/>
  <c r="H99" i="5" s="1"/>
  <c r="H100" i="5" s="1"/>
  <c r="G94" i="5"/>
  <c r="H94" i="5" s="1"/>
  <c r="G93" i="5"/>
  <c r="H93" i="5" s="1"/>
  <c r="G84" i="5"/>
  <c r="H84" i="5" s="1"/>
  <c r="H85" i="5" s="1"/>
  <c r="G79" i="5"/>
  <c r="H79" i="5" s="1"/>
  <c r="G78" i="5"/>
  <c r="H78" i="5" s="1"/>
  <c r="G63" i="5"/>
  <c r="H63" i="5" s="1"/>
  <c r="H64" i="5" s="1"/>
  <c r="G60" i="5"/>
  <c r="H60" i="5" s="1"/>
  <c r="G59" i="5"/>
  <c r="H59" i="5" s="1"/>
  <c r="G44" i="5"/>
  <c r="H44" i="5" s="1"/>
  <c r="H45" i="5" s="1"/>
  <c r="G41" i="5"/>
  <c r="H41" i="5" s="1"/>
  <c r="G40" i="5"/>
  <c r="H40" i="5" s="1"/>
  <c r="G31" i="5"/>
  <c r="H31" i="5" s="1"/>
  <c r="H32" i="5" s="1"/>
  <c r="G26" i="5"/>
  <c r="H26" i="5" s="1"/>
  <c r="G25" i="5"/>
  <c r="H25" i="5" s="1"/>
  <c r="G8" i="5"/>
  <c r="H8" i="5" s="1"/>
  <c r="G7" i="5"/>
  <c r="H7" i="5" s="1"/>
  <c r="G303" i="7" a="1"/>
  <c r="G303" i="7" s="1"/>
  <c r="H303" i="7" s="1"/>
  <c r="H304" i="7" s="1"/>
  <c r="G262" i="7" a="1"/>
  <c r="G262" i="7" s="1"/>
  <c r="H262" i="7" s="1"/>
  <c r="H263" i="7" s="1"/>
  <c r="D3" i="7"/>
  <c r="C3" i="7"/>
  <c r="D3" i="5"/>
  <c r="G85" i="4"/>
  <c r="H85" i="4" s="1"/>
  <c r="H86" i="4" s="1"/>
  <c r="G82" i="4"/>
  <c r="H82" i="4" s="1"/>
  <c r="G81" i="4"/>
  <c r="H81" i="4" s="1"/>
  <c r="G68" i="4"/>
  <c r="H68" i="4" s="1"/>
  <c r="G67" i="4"/>
  <c r="H67" i="4" s="1"/>
  <c r="G55" i="4"/>
  <c r="H55" i="4" s="1"/>
  <c r="H56" i="4" s="1"/>
  <c r="G52" i="4"/>
  <c r="H52" i="4" s="1"/>
  <c r="G51" i="4"/>
  <c r="H51" i="4" s="1"/>
  <c r="G40" i="4"/>
  <c r="H40" i="4" s="1"/>
  <c r="H41" i="4" s="1"/>
  <c r="G37" i="4"/>
  <c r="H37" i="4" s="1"/>
  <c r="G36" i="4"/>
  <c r="H36" i="4" s="1"/>
  <c r="G25" i="4"/>
  <c r="H25" i="4" s="1"/>
  <c r="H26" i="4" s="1"/>
  <c r="G22" i="4"/>
  <c r="H22" i="4" s="1"/>
  <c r="G21" i="4"/>
  <c r="H21" i="4" s="1"/>
  <c r="G8" i="4"/>
  <c r="H8" i="4" s="1"/>
  <c r="G7" i="4"/>
  <c r="H7" i="4" s="1"/>
  <c r="D3" i="4"/>
  <c r="C3" i="4"/>
  <c r="G15" i="3"/>
  <c r="G190" i="3"/>
  <c r="H190" i="3" s="1"/>
  <c r="G189" i="3"/>
  <c r="H189" i="3" s="1"/>
  <c r="G176" i="3"/>
  <c r="H176" i="3" s="1"/>
  <c r="G175" i="3"/>
  <c r="H175" i="3" s="1"/>
  <c r="G162" i="3"/>
  <c r="H162" i="3" s="1"/>
  <c r="G161" i="3"/>
  <c r="H161" i="3" s="1"/>
  <c r="G148" i="3"/>
  <c r="H148" i="3" s="1"/>
  <c r="G147" i="3"/>
  <c r="H147" i="3" s="1"/>
  <c r="G134" i="3"/>
  <c r="H134" i="3" s="1"/>
  <c r="G133" i="3"/>
  <c r="H133" i="3" s="1"/>
  <c r="G120" i="3"/>
  <c r="H120" i="3" s="1"/>
  <c r="G119" i="3"/>
  <c r="H119" i="3" s="1"/>
  <c r="H106" i="3"/>
  <c r="H105" i="3"/>
  <c r="H92" i="3"/>
  <c r="H91" i="3"/>
  <c r="H78" i="3"/>
  <c r="H77" i="3"/>
  <c r="H64" i="3"/>
  <c r="H63" i="3"/>
  <c r="H50" i="3"/>
  <c r="H49" i="3"/>
  <c r="H36" i="3"/>
  <c r="H35" i="3"/>
  <c r="H22" i="3"/>
  <c r="H21" i="3"/>
  <c r="H8" i="3"/>
  <c r="H7" i="3"/>
  <c r="D3" i="3"/>
  <c r="G388" i="2"/>
  <c r="H388" i="2" s="1"/>
  <c r="H389" i="2" s="1"/>
  <c r="H385" i="2"/>
  <c r="H384" i="2"/>
  <c r="H383" i="2"/>
  <c r="H380" i="2"/>
  <c r="H379" i="2"/>
  <c r="H378" i="2"/>
  <c r="G157" i="2"/>
  <c r="G26" i="2"/>
  <c r="G364" i="2"/>
  <c r="H364" i="2" s="1"/>
  <c r="G363" i="2"/>
  <c r="H363" i="2" s="1"/>
  <c r="G360" i="2"/>
  <c r="H360" i="2" s="1"/>
  <c r="G359" i="2"/>
  <c r="H359" i="2" s="1"/>
  <c r="G358" i="2"/>
  <c r="H358" i="2" s="1"/>
  <c r="G357" i="2"/>
  <c r="H357" i="2" s="1"/>
  <c r="G356" i="2"/>
  <c r="H356" i="2" s="1"/>
  <c r="G347" i="2"/>
  <c r="H347" i="2" s="1"/>
  <c r="H348" i="2" s="1"/>
  <c r="G342" i="2"/>
  <c r="H342" i="2" s="1"/>
  <c r="G341" i="2"/>
  <c r="H341" i="2" s="1"/>
  <c r="G332" i="2"/>
  <c r="H332" i="2" s="1"/>
  <c r="H333" i="2" s="1"/>
  <c r="G327" i="2"/>
  <c r="H327" i="2" s="1"/>
  <c r="G326" i="2"/>
  <c r="H326" i="2" s="1"/>
  <c r="G317" i="2"/>
  <c r="H317" i="2" s="1"/>
  <c r="H318" i="2" s="1"/>
  <c r="G312" i="2"/>
  <c r="H312" i="2" s="1"/>
  <c r="G311" i="2"/>
  <c r="H311" i="2" s="1"/>
  <c r="G302" i="2"/>
  <c r="H302" i="2" s="1"/>
  <c r="H303" i="2" s="1"/>
  <c r="G297" i="2"/>
  <c r="H297" i="2" s="1"/>
  <c r="G296" i="2"/>
  <c r="H296" i="2" s="1"/>
  <c r="G287" i="2"/>
  <c r="H287" i="2" s="1"/>
  <c r="H288" i="2" s="1"/>
  <c r="G282" i="2"/>
  <c r="H282" i="2" s="1"/>
  <c r="G281" i="2"/>
  <c r="H281" i="2" s="1"/>
  <c r="G272" i="2"/>
  <c r="H272" i="2" s="1"/>
  <c r="H273" i="2" s="1"/>
  <c r="G267" i="2"/>
  <c r="H267" i="2" s="1"/>
  <c r="G266" i="2"/>
  <c r="H266" i="2" s="1"/>
  <c r="G257" i="2"/>
  <c r="H257" i="2" s="1"/>
  <c r="H258" i="2" s="1"/>
  <c r="G252" i="2"/>
  <c r="H252" i="2" s="1"/>
  <c r="G251" i="2"/>
  <c r="H251" i="2" s="1"/>
  <c r="G242" i="2"/>
  <c r="H242" i="2" s="1"/>
  <c r="H243" i="2" s="1"/>
  <c r="G237" i="2"/>
  <c r="H237" i="2" s="1"/>
  <c r="G236" i="2"/>
  <c r="H236" i="2" s="1"/>
  <c r="G227" i="2"/>
  <c r="H227" i="2" s="1"/>
  <c r="H228" i="2" s="1"/>
  <c r="G222" i="2"/>
  <c r="H222" i="2" s="1"/>
  <c r="G221" i="2"/>
  <c r="H221" i="2" s="1"/>
  <c r="G212" i="2"/>
  <c r="H212" i="2" s="1"/>
  <c r="H213" i="2" s="1"/>
  <c r="G207" i="2"/>
  <c r="H207" i="2" s="1"/>
  <c r="G206" i="2"/>
  <c r="H206" i="2" s="1"/>
  <c r="G197" i="2"/>
  <c r="H197" i="2" s="1"/>
  <c r="H198" i="2" s="1"/>
  <c r="G192" i="2"/>
  <c r="H192" i="2" s="1"/>
  <c r="G191" i="2"/>
  <c r="H191" i="2" s="1"/>
  <c r="G178" i="2"/>
  <c r="H178" i="2" s="1"/>
  <c r="G177" i="2"/>
  <c r="H177" i="2" s="1"/>
  <c r="G164" i="2"/>
  <c r="H164" i="2" s="1"/>
  <c r="G163" i="2"/>
  <c r="H163" i="2" s="1"/>
  <c r="G150" i="2"/>
  <c r="H150" i="2" s="1"/>
  <c r="G149" i="2"/>
  <c r="H149" i="2" s="1"/>
  <c r="G138" i="2"/>
  <c r="H138" i="2" s="1"/>
  <c r="G137" i="2"/>
  <c r="H137" i="2" s="1"/>
  <c r="G136" i="2"/>
  <c r="H136" i="2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2" i="2"/>
  <c r="H122" i="2" s="1"/>
  <c r="G121" i="2"/>
  <c r="H121" i="2" s="1"/>
  <c r="G120" i="2"/>
  <c r="H120" i="2" s="1"/>
  <c r="G119" i="2"/>
  <c r="H119" i="2" s="1"/>
  <c r="G118" i="2"/>
  <c r="H118" i="2" s="1"/>
  <c r="G107" i="2"/>
  <c r="H107" i="2" s="1"/>
  <c r="G106" i="2"/>
  <c r="H106" i="2" s="1"/>
  <c r="G105" i="2"/>
  <c r="H105" i="2" s="1"/>
  <c r="G104" i="2"/>
  <c r="H104" i="2" s="1"/>
  <c r="G103" i="2"/>
  <c r="H103" i="2" s="1"/>
  <c r="G100" i="2"/>
  <c r="H100" i="2" s="1"/>
  <c r="G99" i="2"/>
  <c r="H99" i="2" s="1"/>
  <c r="G98" i="2"/>
  <c r="H98" i="2" s="1"/>
  <c r="G97" i="2"/>
  <c r="H97" i="2" s="1"/>
  <c r="G86" i="2"/>
  <c r="H86" i="2" s="1"/>
  <c r="H87" i="2" s="1"/>
  <c r="G83" i="2"/>
  <c r="H83" i="2" s="1"/>
  <c r="G82" i="2"/>
  <c r="H82" i="2" s="1"/>
  <c r="G81" i="2"/>
  <c r="H81" i="2" s="1"/>
  <c r="G80" i="2"/>
  <c r="H8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0" i="2"/>
  <c r="H60" i="2" s="1"/>
  <c r="G59" i="2"/>
  <c r="H59" i="2" s="1"/>
  <c r="G58" i="2"/>
  <c r="H58" i="2" s="1"/>
  <c r="G57" i="2"/>
  <c r="H57" i="2" s="1"/>
  <c r="G56" i="2"/>
  <c r="H5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6" i="2"/>
  <c r="H36" i="2" s="1"/>
  <c r="G35" i="2"/>
  <c r="H35" i="2" s="1"/>
  <c r="G34" i="2"/>
  <c r="H34" i="2" s="1"/>
  <c r="G33" i="2"/>
  <c r="H33" i="2" s="1"/>
  <c r="G32" i="2"/>
  <c r="H3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1" i="2"/>
  <c r="H11" i="2" s="1"/>
  <c r="G10" i="2"/>
  <c r="H10" i="2" s="1"/>
  <c r="G9" i="2"/>
  <c r="H9" i="2" s="1"/>
  <c r="G8" i="2"/>
  <c r="H8" i="2" s="1"/>
  <c r="G7" i="2"/>
  <c r="H7" i="2" s="1"/>
  <c r="H12" i="2" s="1"/>
  <c r="F44" i="2"/>
  <c r="F68" i="2"/>
  <c r="F43" i="2"/>
  <c r="F67" i="2"/>
  <c r="F19" i="2"/>
  <c r="F18" i="2"/>
  <c r="E1141" i="1" a="1"/>
  <c r="E1141" i="1"/>
  <c r="E1142" i="1" a="1"/>
  <c r="E1142" i="1"/>
  <c r="E1143" i="1" a="1"/>
  <c r="E1143" i="1"/>
  <c r="E1144" i="1" a="1"/>
  <c r="E1144" i="1"/>
  <c r="E1145" i="1" a="1"/>
  <c r="E1145" i="1"/>
  <c r="E1146" i="1" a="1"/>
  <c r="E1146" i="1"/>
  <c r="E1147" i="1" a="1"/>
  <c r="E1147" i="1"/>
  <c r="E1148" i="1" a="1"/>
  <c r="E1148" i="1"/>
  <c r="E1149" i="1" a="1"/>
  <c r="E1149" i="1"/>
  <c r="E1150" i="1" a="1"/>
  <c r="E1150" i="1"/>
  <c r="E1151" i="1" a="1"/>
  <c r="E1151" i="1"/>
  <c r="E1152" i="1" a="1"/>
  <c r="E1152" i="1"/>
  <c r="E1153" i="1" a="1"/>
  <c r="E1153" i="1"/>
  <c r="E1156" i="1" a="1"/>
  <c r="E1156" i="1"/>
  <c r="E1157" i="1" a="1"/>
  <c r="E1157" i="1"/>
  <c r="G84" i="8"/>
  <c r="H84" i="8" s="1"/>
  <c r="D102" i="8"/>
  <c r="G102" i="8"/>
  <c r="H102" i="8" s="1"/>
  <c r="H191" i="16" l="1"/>
  <c r="H223" i="2"/>
  <c r="H66" i="24"/>
  <c r="H67" i="24" s="1"/>
  <c r="H180" i="11"/>
  <c r="H558" i="11"/>
  <c r="H179" i="2"/>
  <c r="H184" i="2" s="1"/>
  <c r="G356" i="7"/>
  <c r="H356" i="7" s="1"/>
  <c r="H157" i="7"/>
  <c r="H122" i="15"/>
  <c r="G539" i="7"/>
  <c r="H539" i="7" s="1"/>
  <c r="H53" i="8"/>
  <c r="H176" i="13"/>
  <c r="H468" i="11"/>
  <c r="G728" i="15"/>
  <c r="H728" i="15" s="1"/>
  <c r="H729" i="15" s="1"/>
  <c r="H15" i="8"/>
  <c r="H487" i="15"/>
  <c r="H493" i="15" s="1"/>
  <c r="H494" i="15" s="1"/>
  <c r="H79" i="3"/>
  <c r="H84" i="3" s="1"/>
  <c r="H85" i="3" s="1"/>
  <c r="H86" i="3" s="1"/>
  <c r="I74" i="3" s="1"/>
  <c r="E36" i="27" s="1"/>
  <c r="H776" i="11"/>
  <c r="H44" i="24"/>
  <c r="H45" i="24" s="1"/>
  <c r="H46" i="24" s="1"/>
  <c r="I26" i="24" s="1"/>
  <c r="E534" i="27" s="1"/>
  <c r="H263" i="8"/>
  <c r="H365" i="2"/>
  <c r="H158" i="19"/>
  <c r="H238" i="2"/>
  <c r="H122" i="8"/>
  <c r="H127" i="8" s="1"/>
  <c r="H128" i="8" s="1"/>
  <c r="H66" i="11"/>
  <c r="H667" i="14"/>
  <c r="H1107" i="14"/>
  <c r="H239" i="8"/>
  <c r="H229" i="2"/>
  <c r="H230" i="2" s="1"/>
  <c r="H231" i="2" s="1"/>
  <c r="I218" i="2" s="1"/>
  <c r="E19" i="27" s="1"/>
  <c r="H1183" i="14"/>
  <c r="H36" i="26"/>
  <c r="I21" i="26" s="1"/>
  <c r="E568" i="27" s="1"/>
  <c r="H42" i="26"/>
  <c r="H45" i="26" s="1"/>
  <c r="H51" i="26" s="1"/>
  <c r="H52" i="26" s="1"/>
  <c r="D59" i="26"/>
  <c r="H19" i="26"/>
  <c r="I4" i="26" s="1"/>
  <c r="E567" i="27" s="1"/>
  <c r="H75" i="8"/>
  <c r="H224" i="21"/>
  <c r="H49" i="8"/>
  <c r="H886" i="8"/>
  <c r="H891" i="8" s="1"/>
  <c r="H892" i="8" s="1"/>
  <c r="H893" i="8" s="1"/>
  <c r="I881" i="8" s="1"/>
  <c r="E143" i="27" s="1"/>
  <c r="H938" i="11"/>
  <c r="H157" i="12"/>
  <c r="H276" i="21"/>
  <c r="H282" i="21" s="1"/>
  <c r="H283" i="21" s="1"/>
  <c r="H18" i="25"/>
  <c r="H19" i="25" s="1"/>
  <c r="H22" i="24"/>
  <c r="H23" i="24" s="1"/>
  <c r="H65" i="3"/>
  <c r="H70" i="3" s="1"/>
  <c r="H71" i="3" s="1"/>
  <c r="H121" i="21"/>
  <c r="H35" i="23"/>
  <c r="H36" i="23" s="1"/>
  <c r="H37" i="23" s="1"/>
  <c r="I22" i="23" s="1"/>
  <c r="E524" i="27" s="1"/>
  <c r="H216" i="11"/>
  <c r="H400" i="15"/>
  <c r="H86" i="16"/>
  <c r="H36" i="25"/>
  <c r="H85" i="25"/>
  <c r="F103" i="25"/>
  <c r="F68" i="25"/>
  <c r="H50" i="25"/>
  <c r="H51" i="25" s="1"/>
  <c r="H54" i="25" s="1"/>
  <c r="H55" i="25" s="1"/>
  <c r="D80" i="25"/>
  <c r="H62" i="25"/>
  <c r="H65" i="25" s="1"/>
  <c r="H68" i="24"/>
  <c r="I48" i="24" s="1"/>
  <c r="E535" i="27" s="1"/>
  <c r="D60" i="23"/>
  <c r="H43" i="23"/>
  <c r="H46" i="23" s="1"/>
  <c r="H52" i="23" s="1"/>
  <c r="H53" i="23" s="1"/>
  <c r="H19" i="23"/>
  <c r="I4" i="23" s="1"/>
  <c r="E523" i="27" s="1"/>
  <c r="G357" i="15"/>
  <c r="H135" i="16"/>
  <c r="H141" i="16" s="1"/>
  <c r="H142" i="16" s="1"/>
  <c r="H187" i="16"/>
  <c r="H194" i="16" s="1"/>
  <c r="H195" i="16" s="1"/>
  <c r="H84" i="21"/>
  <c r="H194" i="7"/>
  <c r="H283" i="2"/>
  <c r="H289" i="2" s="1"/>
  <c r="H290" i="2" s="1"/>
  <c r="H291" i="2" s="1"/>
  <c r="I278" i="2" s="1"/>
  <c r="E23" i="27" s="1"/>
  <c r="H177" i="3"/>
  <c r="H182" i="3" s="1"/>
  <c r="H183" i="3" s="1"/>
  <c r="H184" i="3" s="1"/>
  <c r="I172" i="3" s="1"/>
  <c r="E43" i="27" s="1"/>
  <c r="H54" i="10"/>
  <c r="H51" i="12"/>
  <c r="G453" i="15"/>
  <c r="H33" i="21"/>
  <c r="H414" i="21"/>
  <c r="H420" i="21" s="1"/>
  <c r="H421" i="21" s="1"/>
  <c r="H46" i="16"/>
  <c r="H301" i="19"/>
  <c r="H191" i="3"/>
  <c r="H196" i="3" s="1"/>
  <c r="H197" i="3" s="1"/>
  <c r="H198" i="3" s="1"/>
  <c r="I186" i="3" s="1"/>
  <c r="E44" i="27" s="1"/>
  <c r="H362" i="8"/>
  <c r="H433" i="10"/>
  <c r="H306" i="11"/>
  <c r="H795" i="11"/>
  <c r="H311" i="21"/>
  <c r="G473" i="7"/>
  <c r="H473" i="7" s="1"/>
  <c r="G746" i="15"/>
  <c r="H746" i="15" s="1"/>
  <c r="H748" i="15" s="1"/>
  <c r="H151" i="2"/>
  <c r="H156" i="2" s="1"/>
  <c r="H157" i="2" s="1"/>
  <c r="G748" i="8"/>
  <c r="H748" i="8" s="1"/>
  <c r="H749" i="8" s="1"/>
  <c r="H71" i="8"/>
  <c r="H187" i="10"/>
  <c r="H289" i="22"/>
  <c r="H290" i="22" s="1"/>
  <c r="H291" i="22" s="1"/>
  <c r="I276" i="22" s="1"/>
  <c r="E506" i="27" s="1"/>
  <c r="H315" i="21"/>
  <c r="H238" i="21"/>
  <c r="H37" i="3"/>
  <c r="H42" i="3" s="1"/>
  <c r="H43" i="3" s="1"/>
  <c r="H44" i="3" s="1"/>
  <c r="I32" i="3" s="1"/>
  <c r="E33" i="27" s="1"/>
  <c r="H28" i="11"/>
  <c r="H34" i="11" s="1"/>
  <c r="H630" i="11"/>
  <c r="H340" i="8"/>
  <c r="H91" i="17"/>
  <c r="H1017" i="8"/>
  <c r="H274" i="7"/>
  <c r="H136" i="12"/>
  <c r="H142" i="12" s="1"/>
  <c r="H83" i="7"/>
  <c r="H484" i="7"/>
  <c r="H206" i="8"/>
  <c r="H594" i="11"/>
  <c r="H930" i="8"/>
  <c r="H936" i="8" s="1"/>
  <c r="H937" i="8" s="1"/>
  <c r="H657" i="15"/>
  <c r="H663" i="15" s="1"/>
  <c r="H664" i="15" s="1"/>
  <c r="H213" i="19"/>
  <c r="H88" i="21"/>
  <c r="H294" i="7"/>
  <c r="H450" i="11"/>
  <c r="H176" i="15"/>
  <c r="H11" i="17"/>
  <c r="H152" i="16"/>
  <c r="H158" i="16" s="1"/>
  <c r="H159" i="16" s="1"/>
  <c r="H136" i="8"/>
  <c r="H141" i="8" s="1"/>
  <c r="H142" i="8" s="1"/>
  <c r="H244" i="2"/>
  <c r="H245" i="2" s="1"/>
  <c r="H352" i="7"/>
  <c r="H532" i="7"/>
  <c r="H88" i="9"/>
  <c r="H754" i="11"/>
  <c r="H33" i="12"/>
  <c r="H229" i="12"/>
  <c r="H145" i="21"/>
  <c r="H154" i="13"/>
  <c r="H445" i="19"/>
  <c r="H945" i="8"/>
  <c r="H951" i="8" s="1"/>
  <c r="H952" i="8" s="1"/>
  <c r="H953" i="8" s="1"/>
  <c r="I940" i="8" s="1"/>
  <c r="E147" i="27" s="1"/>
  <c r="H704" i="11"/>
  <c r="H668" i="11"/>
  <c r="H194" i="13"/>
  <c r="H1599" i="14"/>
  <c r="H674" i="15"/>
  <c r="H680" i="15" s="1"/>
  <c r="H681" i="15" s="1"/>
  <c r="H136" i="19"/>
  <c r="H142" i="19" s="1"/>
  <c r="H143" i="19" s="1"/>
  <c r="H322" i="19"/>
  <c r="H362" i="19"/>
  <c r="H172" i="19"/>
  <c r="H571" i="8"/>
  <c r="H123" i="11"/>
  <c r="H848" i="11"/>
  <c r="H901" i="11"/>
  <c r="H952" i="11"/>
  <c r="H68" i="16"/>
  <c r="H225" i="8"/>
  <c r="H198" i="11"/>
  <c r="H194" i="15"/>
  <c r="H456" i="15"/>
  <c r="H225" i="16"/>
  <c r="H38" i="20"/>
  <c r="H159" i="21"/>
  <c r="H107" i="21"/>
  <c r="H307" i="22"/>
  <c r="H308" i="22" s="1"/>
  <c r="I293" i="22" s="1"/>
  <c r="E507" i="27" s="1"/>
  <c r="H256" i="22"/>
  <c r="H257" i="22" s="1"/>
  <c r="I242" i="22" s="1"/>
  <c r="E504" i="27" s="1"/>
  <c r="H52" i="22"/>
  <c r="H53" i="22" s="1"/>
  <c r="I38" i="22" s="1"/>
  <c r="E492" i="27" s="1"/>
  <c r="H35" i="22"/>
  <c r="H36" i="22" s="1"/>
  <c r="I21" i="22" s="1"/>
  <c r="E491" i="27" s="1"/>
  <c r="H273" i="22"/>
  <c r="H274" i="22" s="1"/>
  <c r="I259" i="22" s="1"/>
  <c r="E505" i="27" s="1"/>
  <c r="H314" i="22"/>
  <c r="H317" i="22" s="1"/>
  <c r="H323" i="22" s="1"/>
  <c r="D331" i="22"/>
  <c r="H19" i="22"/>
  <c r="I4" i="22" s="1"/>
  <c r="E490" i="27" s="1"/>
  <c r="D76" i="22"/>
  <c r="H59" i="22"/>
  <c r="H62" i="22" s="1"/>
  <c r="H68" i="22" s="1"/>
  <c r="F489" i="22"/>
  <c r="H472" i="22"/>
  <c r="H473" i="22" s="1"/>
  <c r="H262" i="21"/>
  <c r="H11" i="21"/>
  <c r="H18" i="21" s="1"/>
  <c r="H51" i="21"/>
  <c r="H183" i="21"/>
  <c r="H397" i="21"/>
  <c r="H403" i="21" s="1"/>
  <c r="H404" i="21" s="1"/>
  <c r="H164" i="21"/>
  <c r="H256" i="21"/>
  <c r="H380" i="21"/>
  <c r="H386" i="21" s="1"/>
  <c r="H387" i="21" s="1"/>
  <c r="H29" i="21"/>
  <c r="H219" i="21"/>
  <c r="H297" i="21"/>
  <c r="H70" i="21"/>
  <c r="H346" i="21"/>
  <c r="H352" i="21" s="1"/>
  <c r="H353" i="21" s="1"/>
  <c r="H197" i="21"/>
  <c r="H47" i="21"/>
  <c r="H125" i="21"/>
  <c r="H363" i="21"/>
  <c r="H369" i="21" s="1"/>
  <c r="H370" i="21" s="1"/>
  <c r="H329" i="21"/>
  <c r="H335" i="21" s="1"/>
  <c r="H139" i="21"/>
  <c r="H178" i="21"/>
  <c r="H242" i="21"/>
  <c r="H205" i="21"/>
  <c r="H102" i="21"/>
  <c r="H293" i="21"/>
  <c r="H65" i="21"/>
  <c r="H52" i="20"/>
  <c r="H58" i="20" s="1"/>
  <c r="H59" i="20" s="1"/>
  <c r="H12" i="20"/>
  <c r="H33" i="20"/>
  <c r="H18" i="20"/>
  <c r="H406" i="19"/>
  <c r="H269" i="19"/>
  <c r="H124" i="19"/>
  <c r="H119" i="19"/>
  <c r="H308" i="19"/>
  <c r="H348" i="19"/>
  <c r="H227" i="19"/>
  <c r="H231" i="19"/>
  <c r="H177" i="19"/>
  <c r="H245" i="19"/>
  <c r="H102" i="19"/>
  <c r="H108" i="19" s="1"/>
  <c r="H369" i="19"/>
  <c r="H250" i="19"/>
  <c r="H9" i="19"/>
  <c r="H15" i="19" s="1"/>
  <c r="H16" i="19" s="1"/>
  <c r="H24" i="19"/>
  <c r="H30" i="19" s="1"/>
  <c r="H31" i="19" s="1"/>
  <c r="H287" i="19"/>
  <c r="H195" i="19"/>
  <c r="H209" i="19"/>
  <c r="H402" i="19"/>
  <c r="H328" i="19"/>
  <c r="H153" i="19"/>
  <c r="H191" i="19"/>
  <c r="H264" i="19"/>
  <c r="H88" i="19"/>
  <c r="H437" i="19"/>
  <c r="H420" i="19"/>
  <c r="H426" i="19" s="1"/>
  <c r="H427" i="19" s="1"/>
  <c r="H56" i="19"/>
  <c r="H283" i="19"/>
  <c r="H79" i="19"/>
  <c r="H383" i="19"/>
  <c r="H65" i="19"/>
  <c r="H342" i="19"/>
  <c r="H39" i="19"/>
  <c r="H45" i="19" s="1"/>
  <c r="H46" i="19" s="1"/>
  <c r="H388" i="19"/>
  <c r="H38" i="18"/>
  <c r="H17" i="18"/>
  <c r="H31" i="18"/>
  <c r="H11" i="18"/>
  <c r="H52" i="17"/>
  <c r="H53" i="17" s="1"/>
  <c r="H105" i="17"/>
  <c r="H15" i="17"/>
  <c r="H67" i="17"/>
  <c r="H74" i="17" s="1"/>
  <c r="H75" i="17" s="1"/>
  <c r="H33" i="17"/>
  <c r="H29" i="17"/>
  <c r="H47" i="17"/>
  <c r="H112" i="17"/>
  <c r="H85" i="17"/>
  <c r="H32" i="16"/>
  <c r="H50" i="16"/>
  <c r="H169" i="16"/>
  <c r="H249" i="16"/>
  <c r="H173" i="16"/>
  <c r="H11" i="16"/>
  <c r="H17" i="16" s="1"/>
  <c r="H18" i="16" s="1"/>
  <c r="H100" i="16"/>
  <c r="H229" i="16"/>
  <c r="H244" i="16"/>
  <c r="H64" i="16"/>
  <c r="H104" i="16"/>
  <c r="H118" i="16"/>
  <c r="H82" i="16"/>
  <c r="H211" i="16"/>
  <c r="H28" i="16"/>
  <c r="H124" i="16"/>
  <c r="H125" i="16" s="1"/>
  <c r="H206" i="16"/>
  <c r="H841" i="14"/>
  <c r="H135" i="3"/>
  <c r="H140" i="3" s="1"/>
  <c r="H141" i="3" s="1"/>
  <c r="H500" i="7"/>
  <c r="H125" i="7"/>
  <c r="H140" i="9"/>
  <c r="H111" i="14"/>
  <c r="H319" i="8"/>
  <c r="H384" i="7"/>
  <c r="H450" i="7"/>
  <c r="H270" i="11"/>
  <c r="H158" i="13"/>
  <c r="H93" i="3"/>
  <c r="H98" i="3" s="1"/>
  <c r="H99" i="3" s="1"/>
  <c r="H100" i="3" s="1"/>
  <c r="I88" i="3" s="1"/>
  <c r="E37" i="27" s="1"/>
  <c r="H165" i="2"/>
  <c r="H170" i="2" s="1"/>
  <c r="H171" i="2" s="1"/>
  <c r="H722" i="11"/>
  <c r="H383" i="8"/>
  <c r="H456" i="8"/>
  <c r="H27" i="5"/>
  <c r="H33" i="5" s="1"/>
  <c r="H34" i="5" s="1"/>
  <c r="H95" i="5"/>
  <c r="H101" i="5" s="1"/>
  <c r="H102" i="5" s="1"/>
  <c r="H103" i="5" s="1"/>
  <c r="I90" i="5" s="1"/>
  <c r="E58" i="27" s="1"/>
  <c r="H126" i="9"/>
  <c r="H414" i="11"/>
  <c r="H381" i="2"/>
  <c r="H359" i="10"/>
  <c r="H106" i="14"/>
  <c r="H83" i="4"/>
  <c r="H89" i="4" s="1"/>
  <c r="H90" i="4" s="1"/>
  <c r="H91" i="4" s="1"/>
  <c r="I78" i="4" s="1"/>
  <c r="E51" i="27" s="1"/>
  <c r="H162" i="11"/>
  <c r="H252" i="11"/>
  <c r="H461" i="14"/>
  <c r="H581" i="14"/>
  <c r="H1273" i="14"/>
  <c r="H121" i="9"/>
  <c r="H383" i="10"/>
  <c r="H11" i="14"/>
  <c r="H476" i="10"/>
  <c r="H67" i="8"/>
  <c r="H240" i="7"/>
  <c r="H921" i="14"/>
  <c r="H234" i="11"/>
  <c r="H576" i="11"/>
  <c r="H69" i="12"/>
  <c r="H92" i="10"/>
  <c r="H80" i="5"/>
  <c r="H86" i="5" s="1"/>
  <c r="H87" i="5" s="1"/>
  <c r="H181" i="7"/>
  <c r="H612" i="11"/>
  <c r="H37" i="8"/>
  <c r="H244" i="8"/>
  <c r="H456" i="10"/>
  <c r="H974" i="11"/>
  <c r="H225" i="12"/>
  <c r="H172" i="13"/>
  <c r="H1754" i="14"/>
  <c r="H386" i="2"/>
  <c r="H999" i="8"/>
  <c r="H345" i="10"/>
  <c r="H208" i="2"/>
  <c r="H214" i="2" s="1"/>
  <c r="H261" i="10"/>
  <c r="H419" i="10"/>
  <c r="H83" i="12"/>
  <c r="H212" i="13"/>
  <c r="H130" i="14"/>
  <c r="H687" i="14"/>
  <c r="H397" i="10"/>
  <c r="H99" i="11"/>
  <c r="H226" i="13"/>
  <c r="H1197" i="14"/>
  <c r="H400" i="7"/>
  <c r="H500" i="11"/>
  <c r="H87" i="12"/>
  <c r="H470" i="15"/>
  <c r="H476" i="15" s="1"/>
  <c r="H477" i="15" s="1"/>
  <c r="H556" i="8"/>
  <c r="H592" i="8"/>
  <c r="H768" i="8"/>
  <c r="H136" i="13"/>
  <c r="H1656" i="14"/>
  <c r="H53" i="4"/>
  <c r="H59" i="4" s="1"/>
  <c r="H60" i="4" s="1"/>
  <c r="H61" i="4" s="1"/>
  <c r="I48" i="4" s="1"/>
  <c r="E49" i="27" s="1"/>
  <c r="H298" i="2"/>
  <c r="H304" i="2" s="1"/>
  <c r="H127" i="5"/>
  <c r="H133" i="5" s="1"/>
  <c r="H134" i="5" s="1"/>
  <c r="H566" i="7"/>
  <c r="H536" i="8"/>
  <c r="H812" i="8"/>
  <c r="H817" i="8" s="1"/>
  <c r="H818" i="8" s="1"/>
  <c r="H871" i="8"/>
  <c r="H877" i="8" s="1"/>
  <c r="H878" i="8" s="1"/>
  <c r="H879" i="8" s="1"/>
  <c r="I866" i="8" s="1"/>
  <c r="E142" i="27" s="1"/>
  <c r="H676" i="8"/>
  <c r="H61" i="2"/>
  <c r="H9" i="4"/>
  <c r="H14" i="4" s="1"/>
  <c r="H15" i="4" s="1"/>
  <c r="H16" i="4" s="1"/>
  <c r="I4" i="4" s="1"/>
  <c r="E46" i="27" s="1"/>
  <c r="H162" i="7"/>
  <c r="H510" i="8"/>
  <c r="H50" i="9"/>
  <c r="H193" i="12"/>
  <c r="H140" i="13"/>
  <c r="H230" i="13"/>
  <c r="H66" i="15"/>
  <c r="H343" i="15"/>
  <c r="H85" i="15"/>
  <c r="H136" i="15"/>
  <c r="H306" i="15"/>
  <c r="H813" i="15"/>
  <c r="H819" i="15" s="1"/>
  <c r="H820" i="15" s="1"/>
  <c r="H324" i="15"/>
  <c r="H320" i="15"/>
  <c r="H504" i="15"/>
  <c r="H510" i="15" s="1"/>
  <c r="H511" i="15" s="1"/>
  <c r="H362" i="15"/>
  <c r="H118" i="15"/>
  <c r="H125" i="15" s="1"/>
  <c r="H126" i="15" s="1"/>
  <c r="H11" i="15"/>
  <c r="H17" i="15" s="1"/>
  <c r="H18" i="15" s="1"/>
  <c r="H140" i="15"/>
  <c r="H589" i="15"/>
  <c r="H595" i="15" s="1"/>
  <c r="H45" i="15"/>
  <c r="H51" i="15" s="1"/>
  <c r="H52" i="15" s="1"/>
  <c r="H414" i="15"/>
  <c r="H158" i="15"/>
  <c r="H99" i="15"/>
  <c r="H762" i="15"/>
  <c r="H768" i="15" s="1"/>
  <c r="H769" i="15" s="1"/>
  <c r="H725" i="15"/>
  <c r="H555" i="15"/>
  <c r="H561" i="15" s="1"/>
  <c r="H562" i="15" s="1"/>
  <c r="H708" i="15"/>
  <c r="H714" i="15" s="1"/>
  <c r="H715" i="15" s="1"/>
  <c r="H62" i="15"/>
  <c r="H419" i="15"/>
  <c r="H538" i="15"/>
  <c r="H544" i="15" s="1"/>
  <c r="H545" i="15" s="1"/>
  <c r="H623" i="15"/>
  <c r="H629" i="15" s="1"/>
  <c r="H630" i="15" s="1"/>
  <c r="H208" i="15"/>
  <c r="H357" i="15"/>
  <c r="H284" i="15"/>
  <c r="H290" i="15" s="1"/>
  <c r="H291" i="15" s="1"/>
  <c r="H214" i="15"/>
  <c r="H104" i="15"/>
  <c r="H248" i="15"/>
  <c r="H254" i="15" s="1"/>
  <c r="H255" i="15" s="1"/>
  <c r="H154" i="15"/>
  <c r="H190" i="15"/>
  <c r="H80" i="15"/>
  <c r="H338" i="15"/>
  <c r="H433" i="15"/>
  <c r="H521" i="15"/>
  <c r="H527" i="15" s="1"/>
  <c r="H528" i="15" s="1"/>
  <c r="H228" i="15"/>
  <c r="H265" i="15"/>
  <c r="H301" i="15"/>
  <c r="H376" i="15"/>
  <c r="H438" i="15"/>
  <c r="H743" i="15"/>
  <c r="H779" i="15"/>
  <c r="H785" i="15" s="1"/>
  <c r="H786" i="15" s="1"/>
  <c r="H606" i="15"/>
  <c r="H612" i="15" s="1"/>
  <c r="H613" i="15" s="1"/>
  <c r="H452" i="15"/>
  <c r="H691" i="15"/>
  <c r="H697" i="15" s="1"/>
  <c r="H698" i="15" s="1"/>
  <c r="H234" i="15"/>
  <c r="H28" i="15"/>
  <c r="H34" i="15" s="1"/>
  <c r="H35" i="15" s="1"/>
  <c r="H381" i="15"/>
  <c r="H572" i="15"/>
  <c r="H578" i="15" s="1"/>
  <c r="H579" i="15" s="1"/>
  <c r="H270" i="15"/>
  <c r="H640" i="15"/>
  <c r="H646" i="15" s="1"/>
  <c r="H647" i="15" s="1"/>
  <c r="H796" i="15"/>
  <c r="H802" i="15" s="1"/>
  <c r="H803" i="15" s="1"/>
  <c r="H395" i="15"/>
  <c r="H172" i="15"/>
  <c r="H119" i="12"/>
  <c r="H125" i="12" s="1"/>
  <c r="H193" i="2"/>
  <c r="H199" i="2" s="1"/>
  <c r="H200" i="2" s="1"/>
  <c r="H190" i="13"/>
  <c r="H1081" i="14"/>
  <c r="H697" i="8"/>
  <c r="H572" i="11"/>
  <c r="H988" i="11"/>
  <c r="H767" i="14"/>
  <c r="H1523" i="14"/>
  <c r="H550" i="8"/>
  <c r="H809" i="11"/>
  <c r="H137" i="11"/>
  <c r="H915" i="11"/>
  <c r="H418" i="7"/>
  <c r="H305" i="8"/>
  <c r="H328" i="2"/>
  <c r="H334" i="2" s="1"/>
  <c r="H335" i="2" s="1"/>
  <c r="H336" i="2" s="1"/>
  <c r="I323" i="2" s="1"/>
  <c r="E26" i="27" s="1"/>
  <c r="H856" i="8"/>
  <c r="H862" i="8" s="1"/>
  <c r="H608" i="11"/>
  <c r="H358" i="7"/>
  <c r="H241" i="10"/>
  <c r="H288" i="11"/>
  <c r="H644" i="11"/>
  <c r="H361" i="2"/>
  <c r="H176" i="11"/>
  <c r="H183" i="11" s="1"/>
  <c r="H184" i="11" s="1"/>
  <c r="H185" i="11" s="1"/>
  <c r="I169" i="11" s="1"/>
  <c r="E197" i="27" s="1"/>
  <c r="H432" i="11"/>
  <c r="H11" i="13"/>
  <c r="H17" i="13" s="1"/>
  <c r="H18" i="13" s="1"/>
  <c r="H123" i="2"/>
  <c r="H163" i="3"/>
  <c r="H168" i="3" s="1"/>
  <c r="H33" i="7"/>
  <c r="H364" i="10"/>
  <c r="H540" i="11"/>
  <c r="H122" i="13"/>
  <c r="H516" i="7"/>
  <c r="H414" i="8"/>
  <c r="H419" i="8" s="1"/>
  <c r="H420" i="8" s="1"/>
  <c r="H28" i="9"/>
  <c r="H34" i="9" s="1"/>
  <c r="H125" i="10"/>
  <c r="H51" i="3"/>
  <c r="H56" i="3" s="1"/>
  <c r="H57" i="3" s="1"/>
  <c r="H107" i="3"/>
  <c r="H112" i="3" s="1"/>
  <c r="H113" i="3" s="1"/>
  <c r="H582" i="7"/>
  <c r="H277" i="8"/>
  <c r="H415" i="10"/>
  <c r="H85" i="11"/>
  <c r="H266" i="11"/>
  <c r="H686" i="11"/>
  <c r="H827" i="11"/>
  <c r="H833" i="11" s="1"/>
  <c r="H920" i="11"/>
  <c r="H739" i="8"/>
  <c r="H227" i="10"/>
  <c r="H427" i="14"/>
  <c r="H313" i="2"/>
  <c r="H319" i="2" s="1"/>
  <c r="H320" i="2" s="1"/>
  <c r="H321" i="2" s="1"/>
  <c r="I308" i="2" s="1"/>
  <c r="E25" i="27" s="1"/>
  <c r="H284" i="11"/>
  <c r="H700" i="11"/>
  <c r="H23" i="3"/>
  <c r="H28" i="3" s="1"/>
  <c r="H29" i="3" s="1"/>
  <c r="H30" i="3" s="1"/>
  <c r="I18" i="3" s="1"/>
  <c r="E32" i="27" s="1"/>
  <c r="H661" i="8"/>
  <c r="H83" i="9"/>
  <c r="H107" i="9"/>
  <c r="H334" i="7"/>
  <c r="H80" i="11"/>
  <c r="H298" i="8"/>
  <c r="H934" i="11"/>
  <c r="H798" i="8"/>
  <c r="H803" i="8" s="1"/>
  <c r="H45" i="11"/>
  <c r="H51" i="11" s="1"/>
  <c r="H486" i="11"/>
  <c r="H844" i="11"/>
  <c r="H105" i="12"/>
  <c r="H1340" i="14"/>
  <c r="H329" i="14"/>
  <c r="H149" i="14"/>
  <c r="H263" i="14"/>
  <c r="H189" i="14"/>
  <c r="H681" i="14"/>
  <c r="H947" i="14"/>
  <c r="H1219" i="14"/>
  <c r="H1041" i="14"/>
  <c r="H561" i="14"/>
  <c r="H1346" i="14"/>
  <c r="H1425" i="14"/>
  <c r="H407" i="14"/>
  <c r="H1576" i="14"/>
  <c r="H49" i="14"/>
  <c r="H16" i="14"/>
  <c r="H787" i="14"/>
  <c r="H1269" i="14"/>
  <c r="H1543" i="14"/>
  <c r="H1696" i="14"/>
  <c r="H481" i="14"/>
  <c r="H661" i="14"/>
  <c r="H1201" i="14"/>
  <c r="H1127" i="14"/>
  <c r="H721" i="14"/>
  <c r="H144" i="14"/>
  <c r="H387" i="14"/>
  <c r="H30" i="14"/>
  <c r="H607" i="14"/>
  <c r="H1101" i="14"/>
  <c r="H1110" i="14" s="1"/>
  <c r="H1111" i="14" s="1"/>
  <c r="H1458" i="14"/>
  <c r="H303" i="14"/>
  <c r="H223" i="14"/>
  <c r="H1021" i="14"/>
  <c r="H249" i="14"/>
  <c r="H401" i="14"/>
  <c r="H1439" i="14"/>
  <c r="H1717" i="14"/>
  <c r="H367" i="14"/>
  <c r="H881" i="14"/>
  <c r="H761" i="14"/>
  <c r="H1179" i="14"/>
  <c r="H1406" i="14"/>
  <c r="H343" i="14"/>
  <c r="H521" i="14"/>
  <c r="H1001" i="14"/>
  <c r="H1027" i="14"/>
  <c r="H125" i="14"/>
  <c r="H1087" i="14"/>
  <c r="H1325" i="14"/>
  <c r="H1562" i="14"/>
  <c r="H183" i="14"/>
  <c r="H827" i="14"/>
  <c r="H1619" i="14"/>
  <c r="H547" i="14"/>
  <c r="H1215" i="14"/>
  <c r="H1670" i="14"/>
  <c r="H1613" i="14"/>
  <c r="H587" i="14"/>
  <c r="H621" i="14"/>
  <c r="H701" i="14"/>
  <c r="H1061" i="14"/>
  <c r="H1537" i="14"/>
  <c r="H1255" i="14"/>
  <c r="H1386" i="14"/>
  <c r="H1420" i="14"/>
  <c r="H801" i="14"/>
  <c r="H1233" i="14"/>
  <c r="H92" i="14"/>
  <c r="H421" i="14"/>
  <c r="H601" i="14"/>
  <c r="H741" i="14"/>
  <c r="H861" i="14"/>
  <c r="H1067" i="14"/>
  <c r="H1595" i="14"/>
  <c r="H35" i="14"/>
  <c r="H309" i="14"/>
  <c r="H487" i="14"/>
  <c r="H54" i="14"/>
  <c r="H907" i="14"/>
  <c r="H243" i="14"/>
  <c r="H289" i="14"/>
  <c r="H781" i="14"/>
  <c r="H567" i="14"/>
  <c r="H1147" i="14"/>
  <c r="H441" i="14"/>
  <c r="H269" i="14"/>
  <c r="H1047" i="14"/>
  <c r="H323" i="14"/>
  <c r="H68" i="14"/>
  <c r="H867" i="14"/>
  <c r="H927" i="14"/>
  <c r="H209" i="14"/>
  <c r="H229" i="14"/>
  <c r="H901" i="14"/>
  <c r="H1731" i="14"/>
  <c r="H961" i="14"/>
  <c r="H1557" i="14"/>
  <c r="H727" i="14"/>
  <c r="H1165" i="14"/>
  <c r="H507" i="14"/>
  <c r="H967" i="14"/>
  <c r="H1483" i="14"/>
  <c r="H1638" i="14"/>
  <c r="H87" i="14"/>
  <c r="H203" i="14"/>
  <c r="H363" i="14"/>
  <c r="H1237" i="14"/>
  <c r="H163" i="14"/>
  <c r="H1304" i="14"/>
  <c r="H1310" i="14" s="1"/>
  <c r="H1311" i="14" s="1"/>
  <c r="H647" i="14"/>
  <c r="H169" i="14"/>
  <c r="H283" i="14"/>
  <c r="H627" i="14"/>
  <c r="H1444" i="14"/>
  <c r="H1477" i="14"/>
  <c r="H501" i="14"/>
  <c r="H73" i="14"/>
  <c r="H349" i="14"/>
  <c r="H747" i="14"/>
  <c r="H1400" i="14"/>
  <c r="H1710" i="14"/>
  <c r="H1121" i="14"/>
  <c r="H447" i="14"/>
  <c r="H887" i="14"/>
  <c r="H1251" i="14"/>
  <c r="H1380" i="14"/>
  <c r="H1652" i="14"/>
  <c r="H381" i="14"/>
  <c r="H1161" i="14"/>
  <c r="H1321" i="14"/>
  <c r="H1360" i="14"/>
  <c r="H1750" i="14"/>
  <c r="H541" i="14"/>
  <c r="H1141" i="14"/>
  <c r="H467" i="14"/>
  <c r="H1517" i="14"/>
  <c r="H1676" i="14"/>
  <c r="H707" i="14"/>
  <c r="H821" i="14"/>
  <c r="H987" i="14"/>
  <c r="H527" i="14"/>
  <c r="H1007" i="14"/>
  <c r="H1581" i="14"/>
  <c r="H641" i="14"/>
  <c r="H1287" i="14"/>
  <c r="H1293" i="14" s="1"/>
  <c r="H1294" i="14" s="1"/>
  <c r="H1463" i="14"/>
  <c r="H1503" i="14"/>
  <c r="H1690" i="14"/>
  <c r="H1736" i="14"/>
  <c r="H807" i="14"/>
  <c r="H1366" i="14"/>
  <c r="H981" i="14"/>
  <c r="H1633" i="14"/>
  <c r="H847" i="14"/>
  <c r="H1497" i="14"/>
  <c r="H941" i="14"/>
  <c r="H772" i="11"/>
  <c r="H758" i="11"/>
  <c r="H16" i="10"/>
  <c r="H470" i="8"/>
  <c r="H634" i="8"/>
  <c r="G155" i="8"/>
  <c r="H155" i="8" s="1"/>
  <c r="H156" i="8" s="1"/>
  <c r="H182" i="10"/>
  <c r="H613" i="8"/>
  <c r="H356" i="11"/>
  <c r="H682" i="11"/>
  <c r="H992" i="11"/>
  <c r="H118" i="13"/>
  <c r="G367" i="2"/>
  <c r="H367" i="2" s="1"/>
  <c r="G471" i="7"/>
  <c r="H471" i="7" s="1"/>
  <c r="H199" i="7"/>
  <c r="H451" i="10"/>
  <c r="H158" i="11"/>
  <c r="H342" i="11"/>
  <c r="H648" i="11"/>
  <c r="H100" i="13"/>
  <c r="H15" i="7"/>
  <c r="H201" i="10"/>
  <c r="H378" i="11"/>
  <c r="H101" i="12"/>
  <c r="H153" i="12"/>
  <c r="H28" i="7"/>
  <c r="H682" i="8"/>
  <c r="H68" i="13"/>
  <c r="H496" i="8"/>
  <c r="H207" i="10"/>
  <c r="H104" i="13"/>
  <c r="H320" i="11"/>
  <c r="H476" i="8"/>
  <c r="H208" i="13"/>
  <c r="G47" i="5"/>
  <c r="H47" i="5" s="1"/>
  <c r="H185" i="2"/>
  <c r="H186" i="2" s="1"/>
  <c r="I174" i="2" s="1"/>
  <c r="E16" i="27" s="1"/>
  <c r="H175" i="12"/>
  <c r="H105" i="8"/>
  <c r="H590" i="11"/>
  <c r="H176" i="7"/>
  <c r="H783" i="8"/>
  <c r="H789" i="8" s="1"/>
  <c r="H321" i="10"/>
  <c r="H437" i="10"/>
  <c r="H243" i="12"/>
  <c r="H249" i="12" s="1"/>
  <c r="H84" i="2"/>
  <c r="H90" i="2" s="1"/>
  <c r="H91" i="2" s="1"/>
  <c r="H144" i="7"/>
  <c r="H9" i="5"/>
  <c r="H281" i="7"/>
  <c r="H826" i="8"/>
  <c r="H832" i="8" s="1"/>
  <c r="H106" i="10"/>
  <c r="H248" i="11"/>
  <c r="H392" i="11"/>
  <c r="H428" i="11"/>
  <c r="H554" i="11"/>
  <c r="H561" i="11" s="1"/>
  <c r="H862" i="11"/>
  <c r="H868" i="11" s="1"/>
  <c r="H869" i="11" s="1"/>
  <c r="H870" i="11" s="1"/>
  <c r="I855" i="11" s="1"/>
  <c r="E235" i="27" s="1"/>
  <c r="H956" i="11"/>
  <c r="H121" i="3"/>
  <c r="H126" i="3" s="1"/>
  <c r="H127" i="3" s="1"/>
  <c r="H128" i="3" s="1"/>
  <c r="I116" i="3" s="1"/>
  <c r="E39" i="27" s="1"/>
  <c r="H964" i="8"/>
  <c r="H9" i="3"/>
  <c r="H14" i="3" s="1"/>
  <c r="H15" i="3" s="1"/>
  <c r="G770" i="8"/>
  <c r="H770" i="8" s="1"/>
  <c r="H771" i="8" s="1"/>
  <c r="H51" i="7"/>
  <c r="H120" i="7"/>
  <c r="H316" i="7"/>
  <c r="H516" i="8"/>
  <c r="H168" i="10"/>
  <c r="H118" i="11"/>
  <c r="H212" i="11"/>
  <c r="H464" i="11"/>
  <c r="H471" i="11" s="1"/>
  <c r="H522" i="11"/>
  <c r="H11" i="12"/>
  <c r="H221" i="10"/>
  <c r="H430" i="8"/>
  <c r="H267" i="10"/>
  <c r="H82" i="13"/>
  <c r="H301" i="10"/>
  <c r="H324" i="11"/>
  <c r="H260" i="12"/>
  <c r="H266" i="12" s="1"/>
  <c r="H42" i="5"/>
  <c r="H220" i="8"/>
  <c r="H470" i="10"/>
  <c r="H65" i="12"/>
  <c r="H322" i="7"/>
  <c r="H619" i="8"/>
  <c r="H149" i="10"/>
  <c r="H718" i="11"/>
  <c r="H86" i="13"/>
  <c r="H23" i="4"/>
  <c r="H29" i="4" s="1"/>
  <c r="H30" i="4" s="1"/>
  <c r="H70" i="7"/>
  <c r="H550" i="7"/>
  <c r="H102" i="9"/>
  <c r="H281" i="10"/>
  <c r="H896" i="11"/>
  <c r="H466" i="7"/>
  <c r="H87" i="8"/>
  <c r="H11" i="9"/>
  <c r="H17" i="9" s="1"/>
  <c r="H18" i="9" s="1"/>
  <c r="H19" i="9" s="1"/>
  <c r="I4" i="9" s="1"/>
  <c r="E153" i="27" s="1"/>
  <c r="H307" i="10"/>
  <c r="H338" i="11"/>
  <c r="H410" i="11"/>
  <c r="H482" i="11"/>
  <c r="H504" i="11"/>
  <c r="H211" i="12"/>
  <c r="H69" i="4"/>
  <c r="H74" i="4" s="1"/>
  <c r="H75" i="4" s="1"/>
  <c r="H915" i="8"/>
  <c r="H921" i="8" s="1"/>
  <c r="H1013" i="8"/>
  <c r="H73" i="10"/>
  <c r="H302" i="11"/>
  <c r="H30" i="10"/>
  <c r="H87" i="10"/>
  <c r="H746" i="8"/>
  <c r="H900" i="8"/>
  <c r="H906" i="8" s="1"/>
  <c r="H151" i="8"/>
  <c r="H446" i="11"/>
  <c r="H220" i="7"/>
  <c r="H102" i="7"/>
  <c r="H29" i="8"/>
  <c r="H69" i="9"/>
  <c r="H62" i="13"/>
  <c r="H61" i="5"/>
  <c r="H139" i="7"/>
  <c r="H436" i="8"/>
  <c r="H655" i="8"/>
  <c r="H724" i="8"/>
  <c r="H171" i="12"/>
  <c r="H46" i="2"/>
  <c r="H108" i="2"/>
  <c r="H46" i="7"/>
  <c r="H400" i="8"/>
  <c r="H405" i="8" s="1"/>
  <c r="H406" i="8" s="1"/>
  <c r="H110" i="5"/>
  <c r="H368" i="7"/>
  <c r="H703" i="8"/>
  <c r="H378" i="10"/>
  <c r="H104" i="11"/>
  <c r="H518" i="11"/>
  <c r="H340" i="10"/>
  <c r="H360" i="11"/>
  <c r="H396" i="11"/>
  <c r="H189" i="12"/>
  <c r="H11" i="8"/>
  <c r="H91" i="8"/>
  <c r="H640" i="8"/>
  <c r="H194" i="11"/>
  <c r="H45" i="13"/>
  <c r="H51" i="13" s="1"/>
  <c r="H139" i="2"/>
  <c r="G14" i="5"/>
  <c r="H14" i="5" s="1"/>
  <c r="G422" i="7"/>
  <c r="H422" i="7" s="1"/>
  <c r="H424" i="7" s="1"/>
  <c r="G579" i="8"/>
  <c r="H579" i="8" s="1"/>
  <c r="H580" i="8" s="1"/>
  <c r="G49" i="5"/>
  <c r="H49" i="5" s="1"/>
  <c r="G127" i="7"/>
  <c r="H127" i="7" s="1"/>
  <c r="H128" i="7" s="1"/>
  <c r="G454" i="7"/>
  <c r="H454" i="7" s="1"/>
  <c r="H456" i="7" s="1"/>
  <c r="G520" i="7"/>
  <c r="H520" i="7" s="1"/>
  <c r="H522" i="7" s="1"/>
  <c r="G684" i="8"/>
  <c r="H684" i="8" s="1"/>
  <c r="H685" i="8" s="1"/>
  <c r="G114" i="5"/>
  <c r="H114" i="5" s="1"/>
  <c r="G50" i="5"/>
  <c r="H50" i="5" s="1"/>
  <c r="G164" i="7"/>
  <c r="H164" i="7" s="1"/>
  <c r="H165" i="7" s="1"/>
  <c r="G558" i="8"/>
  <c r="H558" i="8" s="1"/>
  <c r="H559" i="8" s="1"/>
  <c r="G726" i="8"/>
  <c r="H726" i="8" s="1"/>
  <c r="H727" i="8" s="1"/>
  <c r="G407" i="7"/>
  <c r="H407" i="7" s="1"/>
  <c r="G570" i="7"/>
  <c r="H570" i="7" s="1"/>
  <c r="H572" i="7" s="1"/>
  <c r="G13" i="5"/>
  <c r="H13" i="5" s="1"/>
  <c r="G69" i="5"/>
  <c r="H69" i="5" s="1"/>
  <c r="G586" i="7"/>
  <c r="H586" i="7" s="1"/>
  <c r="H588" i="7" s="1"/>
  <c r="G663" i="8"/>
  <c r="H663" i="8" s="1"/>
  <c r="H664" i="8" s="1"/>
  <c r="G388" i="7"/>
  <c r="H388" i="7" s="1"/>
  <c r="H390" i="7" s="1"/>
  <c r="G642" i="8"/>
  <c r="H642" i="8" s="1"/>
  <c r="H643" i="8" s="1"/>
  <c r="G1033" i="8"/>
  <c r="H1033" i="8" s="1"/>
  <c r="G341" i="7"/>
  <c r="H341" i="7" s="1"/>
  <c r="G368" i="2"/>
  <c r="H368" i="2" s="1"/>
  <c r="G68" i="5"/>
  <c r="H68" i="5" s="1"/>
  <c r="G90" i="7"/>
  <c r="H90" i="7" s="1"/>
  <c r="H91" i="7" s="1"/>
  <c r="G621" i="8"/>
  <c r="H621" i="8" s="1"/>
  <c r="H622" i="8" s="1"/>
  <c r="G554" i="7"/>
  <c r="H554" i="7" s="1"/>
  <c r="H556" i="7" s="1"/>
  <c r="G600" i="8"/>
  <c r="H600" i="8" s="1"/>
  <c r="H601" i="8" s="1"/>
  <c r="G115" i="5"/>
  <c r="H115" i="5" s="1"/>
  <c r="G488" i="7"/>
  <c r="H488" i="7" s="1"/>
  <c r="H490" i="7" s="1"/>
  <c r="G537" i="7"/>
  <c r="H537" i="7" s="1"/>
  <c r="H540" i="7" s="1"/>
  <c r="G705" i="8"/>
  <c r="H705" i="8" s="1"/>
  <c r="H706" i="8" s="1"/>
  <c r="G53" i="7"/>
  <c r="H53" i="7" s="1"/>
  <c r="H54" i="7" s="1"/>
  <c r="G201" i="7"/>
  <c r="H201" i="7" s="1"/>
  <c r="H202" i="7" s="1"/>
  <c r="G116" i="5"/>
  <c r="H116" i="5" s="1"/>
  <c r="H348" i="8"/>
  <c r="H35" i="10"/>
  <c r="G48" i="5"/>
  <c r="H48" i="5" s="1"/>
  <c r="G504" i="7"/>
  <c r="H504" i="7" s="1"/>
  <c r="H506" i="7" s="1"/>
  <c r="G438" i="7"/>
  <c r="H438" i="7" s="1"/>
  <c r="H440" i="7" s="1"/>
  <c r="H740" i="11"/>
  <c r="H144" i="11"/>
  <c r="G405" i="7"/>
  <c r="H405" i="7" s="1"/>
  <c r="G67" i="5"/>
  <c r="H67" i="5" s="1"/>
  <c r="H577" i="8"/>
  <c r="H62" i="11"/>
  <c r="H598" i="8"/>
  <c r="H70" i="2"/>
  <c r="H530" i="8"/>
  <c r="H369" i="8"/>
  <c r="G1032" i="8"/>
  <c r="H1032" i="8" s="1"/>
  <c r="H268" i="2"/>
  <c r="H274" i="2" s="1"/>
  <c r="H88" i="7"/>
  <c r="H343" i="2"/>
  <c r="H349" i="2" s="1"/>
  <c r="H45" i="9"/>
  <c r="H207" i="12"/>
  <c r="H326" i="10"/>
  <c r="H253" i="7"/>
  <c r="H973" i="8"/>
  <c r="H233" i="7"/>
  <c r="H761" i="8"/>
  <c r="H11" i="10"/>
  <c r="H144" i="10"/>
  <c r="H230" i="11"/>
  <c r="H47" i="12"/>
  <c r="H536" i="11"/>
  <c r="H662" i="11"/>
  <c r="H989" i="8"/>
  <c r="H301" i="7"/>
  <c r="H253" i="2"/>
  <c r="H259" i="2" s="1"/>
  <c r="H101" i="2"/>
  <c r="H326" i="8"/>
  <c r="H718" i="8"/>
  <c r="H68" i="10"/>
  <c r="H970" i="11"/>
  <c r="H38" i="4"/>
  <c r="H44" i="4" s="1"/>
  <c r="H11" i="7"/>
  <c r="H260" i="7"/>
  <c r="H388" i="8"/>
  <c r="H736" i="11"/>
  <c r="H37" i="2"/>
  <c r="H149" i="3"/>
  <c r="H154" i="3" s="1"/>
  <c r="H213" i="7"/>
  <c r="H879" i="11"/>
  <c r="H885" i="11" s="1"/>
  <c r="H284" i="8"/>
  <c r="H111" i="10"/>
  <c r="H374" i="11"/>
  <c r="H163" i="10"/>
  <c r="H790" i="11"/>
  <c r="H29" i="12"/>
  <c r="H258" i="8"/>
  <c r="H64" i="9"/>
  <c r="H65" i="7"/>
  <c r="H109" i="8"/>
  <c r="H33" i="8"/>
  <c r="H185" i="8"/>
  <c r="H191" i="8" s="1"/>
  <c r="H841" i="8"/>
  <c r="H847" i="8" s="1"/>
  <c r="H144" i="9"/>
  <c r="H247" i="10"/>
  <c r="H49" i="10"/>
  <c r="H107" i="7"/>
  <c r="H490" i="8"/>
  <c r="H22" i="2"/>
  <c r="H434" i="7"/>
  <c r="H130" i="10"/>
  <c r="H168" i="8"/>
  <c r="H174" i="8" s="1"/>
  <c r="H450" i="8"/>
  <c r="H287" i="10"/>
  <c r="G339" i="7"/>
  <c r="H339" i="7" s="1"/>
  <c r="H202" i="8"/>
  <c r="H401" i="10"/>
  <c r="H813" i="11"/>
  <c r="H11" i="11"/>
  <c r="H17" i="11" s="1"/>
  <c r="H626" i="11"/>
  <c r="H15" i="12"/>
  <c r="G372" i="7"/>
  <c r="H372" i="7" s="1"/>
  <c r="H374" i="7" s="1"/>
  <c r="G15" i="5"/>
  <c r="H15" i="5" s="1"/>
  <c r="G66" i="5"/>
  <c r="H66" i="5" s="1"/>
  <c r="H28" i="13"/>
  <c r="H34" i="13" s="1"/>
  <c r="H179" i="13" l="1"/>
  <c r="H129" i="8"/>
  <c r="I117" i="8" s="1"/>
  <c r="E102" i="27" s="1"/>
  <c r="H36" i="21"/>
  <c r="H37" i="21" s="1"/>
  <c r="H56" i="8"/>
  <c r="H57" i="8" s="1"/>
  <c r="H58" i="8" s="1"/>
  <c r="I42" i="8" s="1"/>
  <c r="E98" i="27" s="1"/>
  <c r="H1602" i="14"/>
  <c r="H1603" i="14" s="1"/>
  <c r="H161" i="19"/>
  <c r="H162" i="19" s="1"/>
  <c r="H18" i="8"/>
  <c r="H19" i="8" s="1"/>
  <c r="H20" i="8" s="1"/>
  <c r="I4" i="8" s="1"/>
  <c r="E96" i="27" s="1"/>
  <c r="H143" i="13"/>
  <c r="H144" i="13" s="1"/>
  <c r="H145" i="13" s="1"/>
  <c r="I129" i="13" s="1"/>
  <c r="E267" i="27" s="1"/>
  <c r="H779" i="11"/>
  <c r="H780" i="11" s="1"/>
  <c r="H781" i="11" s="1"/>
  <c r="I765" i="11" s="1"/>
  <c r="E230" i="27" s="1"/>
  <c r="H525" i="11"/>
  <c r="H526" i="11" s="1"/>
  <c r="H527" i="11" s="1"/>
  <c r="I511" i="11" s="1"/>
  <c r="E216" i="27" s="1"/>
  <c r="H266" i="8"/>
  <c r="H267" i="8" s="1"/>
  <c r="H268" i="8" s="1"/>
  <c r="I251" i="8" s="1"/>
  <c r="E110" i="27" s="1"/>
  <c r="H247" i="8"/>
  <c r="H248" i="8" s="1"/>
  <c r="H249" i="8" s="1"/>
  <c r="I232" i="8" s="1"/>
  <c r="E109" i="27" s="1"/>
  <c r="H160" i="12"/>
  <c r="H161" i="12" s="1"/>
  <c r="H162" i="12" s="1"/>
  <c r="I146" i="12" s="1"/>
  <c r="E252" i="27" s="1"/>
  <c r="H1186" i="14"/>
  <c r="H1187" i="14" s="1"/>
  <c r="H670" i="14"/>
  <c r="H671" i="14" s="1"/>
  <c r="H176" i="16"/>
  <c r="H177" i="16" s="1"/>
  <c r="H53" i="26"/>
  <c r="I38" i="26" s="1"/>
  <c r="E569" i="27" s="1"/>
  <c r="H69" i="11"/>
  <c r="H70" i="11" s="1"/>
  <c r="H71" i="11" s="1"/>
  <c r="I55" i="11" s="1"/>
  <c r="E191" i="27" s="1"/>
  <c r="H923" i="11"/>
  <c r="H924" i="11" s="1"/>
  <c r="H925" i="11" s="1"/>
  <c r="I908" i="11" s="1"/>
  <c r="E238" i="27" s="1"/>
  <c r="H76" i="8"/>
  <c r="H77" i="8" s="1"/>
  <c r="H78" i="8" s="1"/>
  <c r="I60" i="8" s="1"/>
  <c r="E99" i="27" s="1"/>
  <c r="H37" i="25"/>
  <c r="H38" i="25" s="1"/>
  <c r="I22" i="25" s="1"/>
  <c r="E538" i="27" s="1"/>
  <c r="H474" i="7"/>
  <c r="H475" i="7" s="1"/>
  <c r="H476" i="7" s="1"/>
  <c r="H477" i="7" s="1"/>
  <c r="I461" i="7" s="1"/>
  <c r="E87" i="27" s="1"/>
  <c r="H89" i="16"/>
  <c r="H90" i="16" s="1"/>
  <c r="H91" i="16" s="1"/>
  <c r="I75" i="16" s="1"/>
  <c r="E416" i="27" s="1"/>
  <c r="H1020" i="8"/>
  <c r="H1021" i="8" s="1"/>
  <c r="H318" i="21"/>
  <c r="H319" i="21" s="1"/>
  <c r="H24" i="24"/>
  <c r="I4" i="24" s="1"/>
  <c r="E533" i="27" s="1"/>
  <c r="H94" i="17"/>
  <c r="H95" i="17" s="1"/>
  <c r="H227" i="21"/>
  <c r="H228" i="21" s="1"/>
  <c r="H850" i="14"/>
  <c r="H851" i="14" s="1"/>
  <c r="H798" i="11"/>
  <c r="H799" i="11" s="1"/>
  <c r="H800" i="11" s="1"/>
  <c r="I783" i="11" s="1"/>
  <c r="E231" i="27" s="1"/>
  <c r="H309" i="11"/>
  <c r="H310" i="11" s="1"/>
  <c r="H311" i="11" s="1"/>
  <c r="I295" i="11" s="1"/>
  <c r="E204" i="27" s="1"/>
  <c r="H91" i="21"/>
  <c r="H92" i="21" s="1"/>
  <c r="D76" i="26"/>
  <c r="H59" i="26"/>
  <c r="H62" i="26" s="1"/>
  <c r="H68" i="26" s="1"/>
  <c r="H161" i="13"/>
  <c r="H162" i="13" s="1"/>
  <c r="H403" i="15"/>
  <c r="H404" i="15" s="1"/>
  <c r="H228" i="8"/>
  <c r="H229" i="8" s="1"/>
  <c r="H230" i="8" s="1"/>
  <c r="I213" i="8" s="1"/>
  <c r="E108" i="27" s="1"/>
  <c r="H219" i="11"/>
  <c r="H220" i="11" s="1"/>
  <c r="H221" i="11" s="1"/>
  <c r="I205" i="11" s="1"/>
  <c r="E199" i="27" s="1"/>
  <c r="H590" i="14"/>
  <c r="H591" i="14" s="1"/>
  <c r="H941" i="11"/>
  <c r="H942" i="11" s="1"/>
  <c r="H943" i="11" s="1"/>
  <c r="I927" i="11" s="1"/>
  <c r="E239" i="27" s="1"/>
  <c r="H409" i="19"/>
  <c r="H410" i="19" s="1"/>
  <c r="H671" i="11"/>
  <c r="H672" i="11" s="1"/>
  <c r="H673" i="11" s="1"/>
  <c r="I655" i="11" s="1"/>
  <c r="E224" i="27" s="1"/>
  <c r="H20" i="25"/>
  <c r="I4" i="25" s="1"/>
  <c r="E537" i="27" s="1"/>
  <c r="H201" i="11"/>
  <c r="H202" i="11" s="1"/>
  <c r="H203" i="11" s="1"/>
  <c r="I187" i="11" s="1"/>
  <c r="E198" i="27" s="1"/>
  <c r="H72" i="3"/>
  <c r="I60" i="3" s="1"/>
  <c r="E35" i="27" s="1"/>
  <c r="H128" i="21"/>
  <c r="H129" i="21" s="1"/>
  <c r="H351" i="8"/>
  <c r="H352" i="8" s="1"/>
  <c r="H57" i="10"/>
  <c r="H58" i="10" s="1"/>
  <c r="H59" i="10" s="1"/>
  <c r="I42" i="10" s="1"/>
  <c r="E164" i="27" s="1"/>
  <c r="H440" i="10"/>
  <c r="H441" i="10" s="1"/>
  <c r="H158" i="2"/>
  <c r="I146" i="2" s="1"/>
  <c r="E14" i="27" s="1"/>
  <c r="D98" i="25"/>
  <c r="H80" i="25"/>
  <c r="H83" i="25" s="1"/>
  <c r="H56" i="25"/>
  <c r="I40" i="25" s="1"/>
  <c r="E539" i="27" s="1"/>
  <c r="H68" i="25"/>
  <c r="H69" i="25" s="1"/>
  <c r="H72" i="25" s="1"/>
  <c r="H73" i="25" s="1"/>
  <c r="F86" i="25"/>
  <c r="H103" i="25"/>
  <c r="F121" i="25"/>
  <c r="H54" i="23"/>
  <c r="I39" i="23" s="1"/>
  <c r="E525" i="27" s="1"/>
  <c r="H60" i="23"/>
  <c r="H63" i="23" s="1"/>
  <c r="H69" i="23" s="1"/>
  <c r="H70" i="23" s="1"/>
  <c r="D77" i="23"/>
  <c r="H305" i="7"/>
  <c r="H306" i="7" s="1"/>
  <c r="H307" i="7" s="1"/>
  <c r="I288" i="7" s="1"/>
  <c r="E77" i="27" s="1"/>
  <c r="H959" i="11"/>
  <c r="H960" i="11" s="1"/>
  <c r="H19" i="21"/>
  <c r="H20" i="21" s="1"/>
  <c r="I4" i="21" s="1"/>
  <c r="E466" i="27" s="1"/>
  <c r="H190" i="10"/>
  <c r="H191" i="10" s="1"/>
  <c r="H192" i="10" s="1"/>
  <c r="I175" i="10" s="1"/>
  <c r="E171" i="27" s="1"/>
  <c r="H38" i="14"/>
  <c r="H39" i="14" s="1"/>
  <c r="H40" i="14" s="1"/>
  <c r="I23" i="14" s="1"/>
  <c r="E275" i="27" s="1"/>
  <c r="H311" i="19"/>
  <c r="H312" i="19" s="1"/>
  <c r="H313" i="19" s="1"/>
  <c r="I294" i="19" s="1"/>
  <c r="E453" i="27" s="1"/>
  <c r="H633" i="11"/>
  <c r="H634" i="11" s="1"/>
  <c r="H635" i="11" s="1"/>
  <c r="I619" i="11" s="1"/>
  <c r="E222" i="27" s="1"/>
  <c r="H53" i="16"/>
  <c r="H54" i="16" s="1"/>
  <c r="H336" i="21"/>
  <c r="H337" i="21" s="1"/>
  <c r="I322" i="21" s="1"/>
  <c r="E483" i="27" s="1"/>
  <c r="H54" i="12"/>
  <c r="H55" i="12" s="1"/>
  <c r="H56" i="12" s="1"/>
  <c r="I40" i="12" s="1"/>
  <c r="E246" i="27" s="1"/>
  <c r="H114" i="14"/>
  <c r="H115" i="14" s="1"/>
  <c r="H116" i="14" s="1"/>
  <c r="I99" i="14" s="1"/>
  <c r="E279" i="27" s="1"/>
  <c r="H245" i="21"/>
  <c r="H246" i="21" s="1"/>
  <c r="H265" i="21"/>
  <c r="H266" i="21" s="1"/>
  <c r="H372" i="8"/>
  <c r="H373" i="8" s="1"/>
  <c r="H374" i="8" s="1"/>
  <c r="I355" i="8" s="1"/>
  <c r="E115" i="27" s="1"/>
  <c r="H491" i="7"/>
  <c r="H492" i="7" s="1"/>
  <c r="H493" i="7" s="1"/>
  <c r="I479" i="7" s="1"/>
  <c r="E88" i="27" s="1"/>
  <c r="H309" i="15"/>
  <c r="H310" i="15" s="1"/>
  <c r="H197" i="15"/>
  <c r="H198" i="15" s="1"/>
  <c r="H367" i="10"/>
  <c r="H368" i="10" s="1"/>
  <c r="H369" i="10" s="1"/>
  <c r="I352" i="10" s="1"/>
  <c r="E180" i="27" s="1"/>
  <c r="H331" i="19"/>
  <c r="H332" i="19" s="1"/>
  <c r="H732" i="15"/>
  <c r="H733" i="15" s="1"/>
  <c r="H209" i="8"/>
  <c r="H210" i="8" s="1"/>
  <c r="H597" i="11"/>
  <c r="H598" i="11" s="1"/>
  <c r="H599" i="11" s="1"/>
  <c r="I583" i="11" s="1"/>
  <c r="E220" i="27" s="1"/>
  <c r="H19" i="10"/>
  <c r="H20" i="10" s="1"/>
  <c r="H36" i="12"/>
  <c r="H37" i="12" s="1"/>
  <c r="H38" i="12" s="1"/>
  <c r="I22" i="12" s="1"/>
  <c r="E245" i="27" s="1"/>
  <c r="H325" i="7"/>
  <c r="H326" i="7" s="1"/>
  <c r="H327" i="7" s="1"/>
  <c r="I309" i="7" s="1"/>
  <c r="E78" i="27" s="1"/>
  <c r="H197" i="13"/>
  <c r="H198" i="13" s="1"/>
  <c r="H199" i="13" s="1"/>
  <c r="I183" i="13" s="1"/>
  <c r="E270" i="27" s="1"/>
  <c r="H186" i="21"/>
  <c r="H208" i="21"/>
  <c r="H167" i="21"/>
  <c r="H168" i="21" s="1"/>
  <c r="H938" i="8"/>
  <c r="I925" i="8" s="1"/>
  <c r="E146" i="27" s="1"/>
  <c r="H69" i="15"/>
  <c r="H70" i="15" s="1"/>
  <c r="H71" i="15" s="1"/>
  <c r="I55" i="15" s="1"/>
  <c r="E368" i="27" s="1"/>
  <c r="H214" i="16"/>
  <c r="H215" i="16" s="1"/>
  <c r="H115" i="17"/>
  <c r="H116" i="17" s="1"/>
  <c r="H284" i="7"/>
  <c r="H285" i="7" s="1"/>
  <c r="H215" i="13"/>
  <c r="H216" i="13" s="1"/>
  <c r="H56" i="17"/>
  <c r="H57" i="17" s="1"/>
  <c r="H22" i="20"/>
  <c r="H23" i="20" s="1"/>
  <c r="H216" i="19"/>
  <c r="H217" i="19" s="1"/>
  <c r="H35" i="16"/>
  <c r="H36" i="16" s="1"/>
  <c r="H88" i="11"/>
  <c r="H89" i="11" s="1"/>
  <c r="H90" i="11" s="1"/>
  <c r="I73" i="11" s="1"/>
  <c r="E192" i="27" s="1"/>
  <c r="H91" i="9"/>
  <c r="H92" i="9" s="1"/>
  <c r="H93" i="9" s="1"/>
  <c r="I76" i="9" s="1"/>
  <c r="E157" i="27" s="1"/>
  <c r="H41" i="18"/>
  <c r="H42" i="18" s="1"/>
  <c r="H359" i="7"/>
  <c r="H360" i="7" s="1"/>
  <c r="H361" i="7" s="1"/>
  <c r="I347" i="7" s="1"/>
  <c r="E80" i="27" s="1"/>
  <c r="H142" i="3"/>
  <c r="I130" i="3" s="1"/>
  <c r="E40" i="27" s="1"/>
  <c r="H489" i="11"/>
  <c r="H490" i="11" s="1"/>
  <c r="H491" i="11" s="1"/>
  <c r="I475" i="11" s="1"/>
  <c r="E214" i="27" s="1"/>
  <c r="H107" i="16"/>
  <c r="H108" i="16" s="1"/>
  <c r="H610" i="14"/>
  <c r="H611" i="14" s="1"/>
  <c r="H71" i="16"/>
  <c r="H72" i="16" s="1"/>
  <c r="H372" i="19"/>
  <c r="H373" i="19" s="1"/>
  <c r="H148" i="21"/>
  <c r="H127" i="19"/>
  <c r="H128" i="19" s="1"/>
  <c r="H129" i="19" s="1"/>
  <c r="I112" i="19" s="1"/>
  <c r="E443" i="27" s="1"/>
  <c r="H541" i="7"/>
  <c r="H542" i="7" s="1"/>
  <c r="H543" i="7" s="1"/>
  <c r="I527" i="7" s="1"/>
  <c r="E91" i="27" s="1"/>
  <c r="H308" i="8"/>
  <c r="H309" i="8" s="1"/>
  <c r="H310" i="8" s="1"/>
  <c r="I291" i="8" s="1"/>
  <c r="E112" i="27" s="1"/>
  <c r="H507" i="7"/>
  <c r="H508" i="7" s="1"/>
  <c r="H509" i="7" s="1"/>
  <c r="I495" i="7" s="1"/>
  <c r="E89" i="27" s="1"/>
  <c r="H579" i="11"/>
  <c r="H580" i="11" s="1"/>
  <c r="H581" i="11" s="1"/>
  <c r="I565" i="11" s="1"/>
  <c r="E219" i="27" s="1"/>
  <c r="H252" i="16"/>
  <c r="H253" i="16" s="1"/>
  <c r="H390" i="2"/>
  <c r="H391" i="2" s="1"/>
  <c r="H18" i="17"/>
  <c r="H41" i="20"/>
  <c r="H42" i="20" s="1"/>
  <c r="H179" i="15"/>
  <c r="H180" i="15" s="1"/>
  <c r="H196" i="16"/>
  <c r="I180" i="16" s="1"/>
  <c r="E422" i="27" s="1"/>
  <c r="H499" i="8"/>
  <c r="H500" i="8" s="1"/>
  <c r="H563" i="15"/>
  <c r="I548" i="15" s="1"/>
  <c r="E395" i="27" s="1"/>
  <c r="H479" i="10"/>
  <c r="H480" i="10" s="1"/>
  <c r="H448" i="19"/>
  <c r="H449" i="19" s="1"/>
  <c r="H904" i="11"/>
  <c r="H905" i="11" s="1"/>
  <c r="H329" i="8"/>
  <c r="H330" i="8" s="1"/>
  <c r="H329" i="10"/>
  <c r="H330" i="10" s="1"/>
  <c r="H331" i="10" s="1"/>
  <c r="I314" i="10" s="1"/>
  <c r="E178" i="27" s="1"/>
  <c r="H53" i="9"/>
  <c r="H54" i="9" s="1"/>
  <c r="H55" i="9" s="1"/>
  <c r="I38" i="9" s="1"/>
  <c r="E155" i="27" s="1"/>
  <c r="H143" i="8"/>
  <c r="I131" i="8" s="1"/>
  <c r="E103" i="27" s="1"/>
  <c r="H232" i="12"/>
  <c r="H233" i="12" s="1"/>
  <c r="H234" i="12" s="1"/>
  <c r="I218" i="12" s="1"/>
  <c r="E256" i="27" s="1"/>
  <c r="H91" i="19"/>
  <c r="H92" i="19" s="1"/>
  <c r="H707" i="11"/>
  <c r="H708" i="11" s="1"/>
  <c r="H709" i="11" s="1"/>
  <c r="I693" i="11" s="1"/>
  <c r="E226" i="27" s="1"/>
  <c r="H180" i="19"/>
  <c r="H596" i="15"/>
  <c r="H597" i="15" s="1"/>
  <c r="I582" i="15" s="1"/>
  <c r="E397" i="27" s="1"/>
  <c r="H232" i="16"/>
  <c r="H233" i="16" s="1"/>
  <c r="H479" i="8"/>
  <c r="H480" i="8" s="1"/>
  <c r="H272" i="19"/>
  <c r="H234" i="19"/>
  <c r="H109" i="19"/>
  <c r="H110" i="19" s="1"/>
  <c r="I95" i="19" s="1"/>
  <c r="E442" i="27" s="1"/>
  <c r="H273" i="11"/>
  <c r="H274" i="11" s="1"/>
  <c r="H750" i="8"/>
  <c r="H751" i="8" s="1"/>
  <c r="H752" i="8" s="1"/>
  <c r="I732" i="8" s="1"/>
  <c r="E134" i="27" s="1"/>
  <c r="H94" i="8"/>
  <c r="H95" i="8" s="1"/>
  <c r="H96" i="8" s="1"/>
  <c r="I80" i="8" s="1"/>
  <c r="E100" i="27" s="1"/>
  <c r="H391" i="7"/>
  <c r="H392" i="7" s="1"/>
  <c r="H393" i="7" s="1"/>
  <c r="I379" i="7" s="1"/>
  <c r="E82" i="27" s="1"/>
  <c r="H36" i="17"/>
  <c r="H37" i="17" s="1"/>
  <c r="H147" i="9"/>
  <c r="H148" i="9" s="1"/>
  <c r="H149" i="9" s="1"/>
  <c r="I133" i="9" s="1"/>
  <c r="E160" i="27" s="1"/>
  <c r="H126" i="11"/>
  <c r="H127" i="11" s="1"/>
  <c r="H128" i="11" s="1"/>
  <c r="I111" i="11" s="1"/>
  <c r="E194" i="27" s="1"/>
  <c r="H246" i="2"/>
  <c r="I233" i="2" s="1"/>
  <c r="E20" i="27" s="1"/>
  <c r="H453" i="11"/>
  <c r="H454" i="11" s="1"/>
  <c r="H455" i="11" s="1"/>
  <c r="I439" i="11" s="1"/>
  <c r="E212" i="27" s="1"/>
  <c r="H761" i="11"/>
  <c r="H762" i="11" s="1"/>
  <c r="H851" i="11"/>
  <c r="H852" i="11" s="1"/>
  <c r="H459" i="15"/>
  <c r="H460" i="15" s="1"/>
  <c r="H110" i="21"/>
  <c r="H331" i="22"/>
  <c r="H334" i="22" s="1"/>
  <c r="H340" i="22" s="1"/>
  <c r="D348" i="22"/>
  <c r="H324" i="22"/>
  <c r="H325" i="22" s="1"/>
  <c r="I310" i="22" s="1"/>
  <c r="E508" i="27" s="1"/>
  <c r="H489" i="22"/>
  <c r="H490" i="22" s="1"/>
  <c r="F506" i="22"/>
  <c r="H69" i="22"/>
  <c r="H70" i="22" s="1"/>
  <c r="I55" i="22" s="1"/>
  <c r="E493" i="27" s="1"/>
  <c r="H76" i="22"/>
  <c r="H79" i="22" s="1"/>
  <c r="H85" i="22" s="1"/>
  <c r="D93" i="22"/>
  <c r="H54" i="21"/>
  <c r="H73" i="21"/>
  <c r="H300" i="21"/>
  <c r="H354" i="21"/>
  <c r="I339" i="21" s="1"/>
  <c r="E484" i="27" s="1"/>
  <c r="H422" i="21"/>
  <c r="I407" i="21" s="1"/>
  <c r="E488" i="27" s="1"/>
  <c r="H284" i="21"/>
  <c r="I269" i="21" s="1"/>
  <c r="E480" i="27" s="1"/>
  <c r="H388" i="21"/>
  <c r="I373" i="21" s="1"/>
  <c r="E486" i="27" s="1"/>
  <c r="H405" i="21"/>
  <c r="I390" i="21" s="1"/>
  <c r="E487" i="27" s="1"/>
  <c r="H371" i="21"/>
  <c r="I356" i="21" s="1"/>
  <c r="E485" i="27" s="1"/>
  <c r="H60" i="20"/>
  <c r="I45" i="20" s="1"/>
  <c r="E464" i="27" s="1"/>
  <c r="H391" i="19"/>
  <c r="H253" i="19"/>
  <c r="H351" i="19"/>
  <c r="H352" i="19" s="1"/>
  <c r="H290" i="19"/>
  <c r="H291" i="19" s="1"/>
  <c r="H198" i="19"/>
  <c r="H47" i="19"/>
  <c r="I34" i="19" s="1"/>
  <c r="E439" i="27" s="1"/>
  <c r="H17" i="19"/>
  <c r="I4" i="19" s="1"/>
  <c r="E437" i="27" s="1"/>
  <c r="H428" i="19"/>
  <c r="I413" i="19" s="1"/>
  <c r="E459" i="27" s="1"/>
  <c r="H32" i="19"/>
  <c r="I19" i="19" s="1"/>
  <c r="E438" i="27" s="1"/>
  <c r="H68" i="19"/>
  <c r="H69" i="19" s="1"/>
  <c r="H144" i="19"/>
  <c r="I131" i="19" s="1"/>
  <c r="E444" i="27" s="1"/>
  <c r="H20" i="18"/>
  <c r="H76" i="17"/>
  <c r="I60" i="17" s="1"/>
  <c r="E430" i="27" s="1"/>
  <c r="H143" i="16"/>
  <c r="H19" i="16"/>
  <c r="I4" i="16" s="1"/>
  <c r="E412" i="27" s="1"/>
  <c r="H160" i="16"/>
  <c r="H126" i="16"/>
  <c r="H689" i="11"/>
  <c r="H690" i="11" s="1"/>
  <c r="H691" i="11" s="1"/>
  <c r="I675" i="11" s="1"/>
  <c r="E225" i="27" s="1"/>
  <c r="H573" i="7"/>
  <c r="H574" i="7" s="1"/>
  <c r="H575" i="7" s="1"/>
  <c r="I561" i="7" s="1"/>
  <c r="E93" i="27" s="1"/>
  <c r="H1276" i="14"/>
  <c r="H1277" i="14" s="1"/>
  <c r="H539" i="8"/>
  <c r="H540" i="8" s="1"/>
  <c r="H541" i="8" s="1"/>
  <c r="I523" i="8" s="1"/>
  <c r="E124" i="27" s="1"/>
  <c r="H165" i="11"/>
  <c r="H166" i="11" s="1"/>
  <c r="H725" i="11"/>
  <c r="H726" i="11" s="1"/>
  <c r="H727" i="11" s="1"/>
  <c r="I711" i="11" s="1"/>
  <c r="E227" i="27" s="1"/>
  <c r="H107" i="11"/>
  <c r="H108" i="11" s="1"/>
  <c r="H109" i="11" s="1"/>
  <c r="I92" i="11" s="1"/>
  <c r="E193" i="27" s="1"/>
  <c r="H386" i="10"/>
  <c r="H387" i="10" s="1"/>
  <c r="H388" i="10" s="1"/>
  <c r="I371" i="10" s="1"/>
  <c r="E181" i="27" s="1"/>
  <c r="H459" i="8"/>
  <c r="H460" i="8" s="1"/>
  <c r="H461" i="8" s="1"/>
  <c r="I443" i="8" s="1"/>
  <c r="E120" i="27" s="1"/>
  <c r="H133" i="10"/>
  <c r="H134" i="10" s="1"/>
  <c r="H135" i="10" s="1"/>
  <c r="I118" i="10" s="1"/>
  <c r="E168" i="27" s="1"/>
  <c r="H243" i="7"/>
  <c r="H244" i="7" s="1"/>
  <c r="H245" i="7" s="1"/>
  <c r="I227" i="7" s="1"/>
  <c r="E74" i="27" s="1"/>
  <c r="H133" i="14"/>
  <c r="H134" i="14" s="1"/>
  <c r="H135" i="14" s="1"/>
  <c r="I118" i="14" s="1"/>
  <c r="E280" i="27" s="1"/>
  <c r="H19" i="14"/>
  <c r="H20" i="14" s="1"/>
  <c r="H21" i="14" s="1"/>
  <c r="I4" i="14" s="1"/>
  <c r="E274" i="27" s="1"/>
  <c r="H615" i="11"/>
  <c r="H616" i="11" s="1"/>
  <c r="H617" i="11" s="1"/>
  <c r="I601" i="11" s="1"/>
  <c r="E221" i="27" s="1"/>
  <c r="H129" i="9"/>
  <c r="H130" i="9" s="1"/>
  <c r="H184" i="7"/>
  <c r="H185" i="7" s="1"/>
  <c r="H186" i="7" s="1"/>
  <c r="I170" i="7" s="1"/>
  <c r="E71" i="27" s="1"/>
  <c r="H147" i="11"/>
  <c r="H148" i="11" s="1"/>
  <c r="H149" i="11" s="1"/>
  <c r="I130" i="11" s="1"/>
  <c r="E195" i="27" s="1"/>
  <c r="H457" i="7"/>
  <c r="H346" i="15"/>
  <c r="H347" i="15" s="1"/>
  <c r="H172" i="2"/>
  <c r="I160" i="2" s="1"/>
  <c r="E15" i="27" s="1"/>
  <c r="H404" i="10"/>
  <c r="H405" i="10" s="1"/>
  <c r="H406" i="10" s="1"/>
  <c r="I390" i="10" s="1"/>
  <c r="E182" i="27" s="1"/>
  <c r="H25" i="2"/>
  <c r="H26" i="2" s="1"/>
  <c r="H147" i="7"/>
  <c r="H148" i="7" s="1"/>
  <c r="H149" i="7" s="1"/>
  <c r="I133" i="7" s="1"/>
  <c r="E69" i="27" s="1"/>
  <c r="H950" i="14"/>
  <c r="H951" i="14" s="1"/>
  <c r="H237" i="15"/>
  <c r="H88" i="15"/>
  <c r="H417" i="11"/>
  <c r="H255" i="11"/>
  <c r="H256" i="11" s="1"/>
  <c r="H210" i="10"/>
  <c r="H211" i="10" s="1"/>
  <c r="H212" i="10" s="1"/>
  <c r="I194" i="10" s="1"/>
  <c r="E172" i="27" s="1"/>
  <c r="H543" i="11"/>
  <c r="H544" i="11" s="1"/>
  <c r="H545" i="11" s="1"/>
  <c r="I529" i="11" s="1"/>
  <c r="E217" i="27" s="1"/>
  <c r="H233" i="13"/>
  <c r="H234" i="13" s="1"/>
  <c r="H391" i="8"/>
  <c r="H72" i="12"/>
  <c r="H73" i="12" s="1"/>
  <c r="H74" i="12" s="1"/>
  <c r="I58" i="12" s="1"/>
  <c r="E247" i="27" s="1"/>
  <c r="H690" i="14"/>
  <c r="H691" i="14" s="1"/>
  <c r="H252" i="14"/>
  <c r="H253" i="14" s="1"/>
  <c r="H254" i="14" s="1"/>
  <c r="I236" i="14" s="1"/>
  <c r="E286" i="27" s="1"/>
  <c r="H215" i="2"/>
  <c r="H216" i="2" s="1"/>
  <c r="I203" i="2" s="1"/>
  <c r="E18" i="27" s="1"/>
  <c r="H73" i="2"/>
  <c r="H74" i="2" s="1"/>
  <c r="H1002" i="8"/>
  <c r="H1003" i="8" s="1"/>
  <c r="H1004" i="8" s="1"/>
  <c r="I980" i="8" s="1"/>
  <c r="E149" i="27" s="1"/>
  <c r="H470" i="14"/>
  <c r="H471" i="14" s="1"/>
  <c r="H49" i="2"/>
  <c r="H50" i="2" s="1"/>
  <c r="H51" i="2" s="1"/>
  <c r="I29" i="2" s="1"/>
  <c r="E9" i="27" s="1"/>
  <c r="H178" i="12"/>
  <c r="H179" i="12" s="1"/>
  <c r="H180" i="12" s="1"/>
  <c r="I164" i="12" s="1"/>
  <c r="E253" i="27" s="1"/>
  <c r="H35" i="5"/>
  <c r="I22" i="5" s="1"/>
  <c r="E54" i="27" s="1"/>
  <c r="H264" i="7"/>
  <c r="H265" i="7" s="1"/>
  <c r="H266" i="7" s="1"/>
  <c r="I247" i="7" s="1"/>
  <c r="E75" i="27" s="1"/>
  <c r="H237" i="11"/>
  <c r="H238" i="11" s="1"/>
  <c r="H239" i="11" s="1"/>
  <c r="I223" i="11" s="1"/>
  <c r="E200" i="27" s="1"/>
  <c r="H55" i="7"/>
  <c r="H56" i="7" s="1"/>
  <c r="H57" i="7" s="1"/>
  <c r="I40" i="7" s="1"/>
  <c r="E64" i="27" s="1"/>
  <c r="H425" i="7"/>
  <c r="H426" i="7" s="1"/>
  <c r="H519" i="8"/>
  <c r="H520" i="8" s="1"/>
  <c r="H651" i="11"/>
  <c r="H652" i="11" s="1"/>
  <c r="H422" i="10"/>
  <c r="H423" i="10" s="1"/>
  <c r="H930" i="14"/>
  <c r="H931" i="14" s="1"/>
  <c r="H1204" i="14"/>
  <c r="H1205" i="14" s="1"/>
  <c r="H95" i="10"/>
  <c r="H96" i="10" s="1"/>
  <c r="H166" i="7"/>
  <c r="H167" i="7" s="1"/>
  <c r="H114" i="10"/>
  <c r="H115" i="10" s="1"/>
  <c r="H116" i="10" s="1"/>
  <c r="I99" i="10" s="1"/>
  <c r="E167" i="27" s="1"/>
  <c r="H270" i="10"/>
  <c r="H271" i="10" s="1"/>
  <c r="H19" i="13"/>
  <c r="E260" i="27" s="1"/>
  <c r="H230" i="10"/>
  <c r="H231" i="10" s="1"/>
  <c r="H232" i="10" s="1"/>
  <c r="I214" i="10" s="1"/>
  <c r="E173" i="27" s="1"/>
  <c r="H369" i="2"/>
  <c r="H370" i="2" s="1"/>
  <c r="H371" i="2" s="1"/>
  <c r="H372" i="2" s="1"/>
  <c r="I353" i="2" s="1"/>
  <c r="E28" i="27" s="1"/>
  <c r="H570" i="14"/>
  <c r="H571" i="14" s="1"/>
  <c r="H192" i="14"/>
  <c r="H193" i="14" s="1"/>
  <c r="H410" i="14"/>
  <c r="H1699" i="14"/>
  <c r="H1700" i="14" s="1"/>
  <c r="H18" i="7"/>
  <c r="H19" i="7" s="1"/>
  <c r="H20" i="7" s="1"/>
  <c r="I4" i="7" s="1"/>
  <c r="E62" i="27" s="1"/>
  <c r="H804" i="8"/>
  <c r="H805" i="8" s="1"/>
  <c r="I793" i="8" s="1"/>
  <c r="E137" i="27" s="1"/>
  <c r="H743" i="11"/>
  <c r="H744" i="11" s="1"/>
  <c r="H745" i="11" s="1"/>
  <c r="I729" i="11" s="1"/>
  <c r="E228" i="27" s="1"/>
  <c r="H977" i="11"/>
  <c r="H978" i="11" s="1"/>
  <c r="H979" i="11" s="1"/>
  <c r="I963" i="11" s="1"/>
  <c r="E241" i="27" s="1"/>
  <c r="H135" i="5"/>
  <c r="I122" i="5" s="1"/>
  <c r="E60" i="27" s="1"/>
  <c r="H459" i="10"/>
  <c r="H460" i="10" s="1"/>
  <c r="H461" i="10" s="1"/>
  <c r="I444" i="10" s="1"/>
  <c r="E185" i="27" s="1"/>
  <c r="H819" i="8"/>
  <c r="I807" i="8" s="1"/>
  <c r="E138" i="27" s="1"/>
  <c r="H995" i="11"/>
  <c r="H996" i="11" s="1"/>
  <c r="H171" i="10"/>
  <c r="H172" i="10" s="1"/>
  <c r="H173" i="10" s="1"/>
  <c r="I156" i="10" s="1"/>
  <c r="E170" i="27" s="1"/>
  <c r="H196" i="12"/>
  <c r="H197" i="12" s="1"/>
  <c r="H198" i="12" s="1"/>
  <c r="I182" i="12" s="1"/>
  <c r="E254" i="27" s="1"/>
  <c r="H550" i="14"/>
  <c r="H551" i="14" s="1"/>
  <c r="H435" i="11"/>
  <c r="H436" i="11" s="1"/>
  <c r="H437" i="11" s="1"/>
  <c r="I421" i="11" s="1"/>
  <c r="E211" i="27" s="1"/>
  <c r="H507" i="11"/>
  <c r="H508" i="11" s="1"/>
  <c r="H509" i="11" s="1"/>
  <c r="I493" i="11" s="1"/>
  <c r="E215" i="27" s="1"/>
  <c r="H152" i="10"/>
  <c r="H153" i="10" s="1"/>
  <c r="H154" i="10" s="1"/>
  <c r="I137" i="10" s="1"/>
  <c r="E169" i="27" s="1"/>
  <c r="H125" i="13"/>
  <c r="H126" i="13" s="1"/>
  <c r="H127" i="13" s="1"/>
  <c r="I111" i="13" s="1"/>
  <c r="E266" i="27" s="1"/>
  <c r="H1659" i="14"/>
  <c r="H1660" i="14" s="1"/>
  <c r="H291" i="11"/>
  <c r="H292" i="11" s="1"/>
  <c r="H143" i="15"/>
  <c r="H144" i="15" s="1"/>
  <c r="H1112" i="14"/>
  <c r="I1094" i="14" s="1"/>
  <c r="E329" i="27" s="1"/>
  <c r="H863" i="8"/>
  <c r="H864" i="8" s="1"/>
  <c r="I851" i="8" s="1"/>
  <c r="E141" i="27" s="1"/>
  <c r="H1757" i="14"/>
  <c r="H1758" i="14" s="1"/>
  <c r="H92" i="7"/>
  <c r="H93" i="7" s="1"/>
  <c r="H348" i="10"/>
  <c r="H349" i="10" s="1"/>
  <c r="H350" i="10" s="1"/>
  <c r="I333" i="10" s="1"/>
  <c r="E179" i="27" s="1"/>
  <c r="H129" i="7"/>
  <c r="H130" i="7" s="1"/>
  <c r="H131" i="7" s="1"/>
  <c r="I114" i="7" s="1"/>
  <c r="E68" i="27" s="1"/>
  <c r="H169" i="3"/>
  <c r="H170" i="3" s="1"/>
  <c r="I158" i="3" s="1"/>
  <c r="E42" i="27" s="1"/>
  <c r="H1090" i="14"/>
  <c r="H1349" i="14"/>
  <c r="H1350" i="14" s="1"/>
  <c r="H441" i="15"/>
  <c r="H365" i="15"/>
  <c r="H90" i="12"/>
  <c r="H161" i="15"/>
  <c r="H162" i="15" s="1"/>
  <c r="H495" i="15"/>
  <c r="I480" i="15" s="1"/>
  <c r="E391" i="27" s="1"/>
  <c r="H327" i="15"/>
  <c r="H328" i="15" s="1"/>
  <c r="H384" i="15"/>
  <c r="H422" i="15"/>
  <c r="H751" i="15"/>
  <c r="H787" i="15"/>
  <c r="I772" i="15" s="1"/>
  <c r="E408" i="27" s="1"/>
  <c r="H273" i="15"/>
  <c r="H274" i="15" s="1"/>
  <c r="H107" i="15"/>
  <c r="H108" i="15" s="1"/>
  <c r="H217" i="15"/>
  <c r="H580" i="15"/>
  <c r="I565" i="15" s="1"/>
  <c r="E396" i="27" s="1"/>
  <c r="H804" i="15"/>
  <c r="I789" i="15" s="1"/>
  <c r="E409" i="27" s="1"/>
  <c r="H665" i="15"/>
  <c r="I650" i="15" s="1"/>
  <c r="E401" i="27" s="1"/>
  <c r="H512" i="15"/>
  <c r="I497" i="15" s="1"/>
  <c r="E392" i="27" s="1"/>
  <c r="H648" i="15"/>
  <c r="I633" i="15" s="1"/>
  <c r="E400" i="27" s="1"/>
  <c r="H770" i="15"/>
  <c r="I755" i="15" s="1"/>
  <c r="E407" i="27" s="1"/>
  <c r="H478" i="15"/>
  <c r="I463" i="15" s="1"/>
  <c r="E390" i="27" s="1"/>
  <c r="H36" i="15"/>
  <c r="I21" i="15" s="1"/>
  <c r="E366" i="27" s="1"/>
  <c r="H53" i="15"/>
  <c r="I38" i="15" s="1"/>
  <c r="E367" i="27" s="1"/>
  <c r="H127" i="15"/>
  <c r="I111" i="15" s="1"/>
  <c r="E371" i="27" s="1"/>
  <c r="H614" i="15"/>
  <c r="I599" i="15" s="1"/>
  <c r="E398" i="27" s="1"/>
  <c r="H716" i="15"/>
  <c r="I701" i="15" s="1"/>
  <c r="E404" i="27" s="1"/>
  <c r="H529" i="15"/>
  <c r="I514" i="15" s="1"/>
  <c r="E393" i="27" s="1"/>
  <c r="H256" i="15"/>
  <c r="I241" i="15" s="1"/>
  <c r="E378" i="27" s="1"/>
  <c r="H699" i="15"/>
  <c r="I684" i="15" s="1"/>
  <c r="E403" i="27" s="1"/>
  <c r="H19" i="15"/>
  <c r="I4" i="15" s="1"/>
  <c r="E365" i="27" s="1"/>
  <c r="H682" i="15"/>
  <c r="I667" i="15" s="1"/>
  <c r="E402" i="27" s="1"/>
  <c r="H292" i="15"/>
  <c r="I277" i="15" s="1"/>
  <c r="E380" i="27" s="1"/>
  <c r="H821" i="15"/>
  <c r="I806" i="15" s="1"/>
  <c r="E410" i="27" s="1"/>
  <c r="H631" i="15"/>
  <c r="I616" i="15" s="1"/>
  <c r="E399" i="27" s="1"/>
  <c r="H546" i="15"/>
  <c r="I531" i="15" s="1"/>
  <c r="E394" i="27" s="1"/>
  <c r="H830" i="14"/>
  <c r="H72" i="9"/>
  <c r="H73" i="9" s="1"/>
  <c r="H1034" i="8"/>
  <c r="H1035" i="8" s="1"/>
  <c r="H1036" i="8" s="1"/>
  <c r="H1037" i="8" s="1"/>
  <c r="I1024" i="8" s="1"/>
  <c r="E151" i="27" s="1"/>
  <c r="H707" i="8"/>
  <c r="H708" i="8" s="1"/>
  <c r="H709" i="8" s="1"/>
  <c r="I690" i="8" s="1"/>
  <c r="E132" i="27" s="1"/>
  <c r="H1546" i="14"/>
  <c r="H95" i="14"/>
  <c r="H96" i="14" s="1"/>
  <c r="H97" i="14" s="1"/>
  <c r="I80" i="14" s="1"/>
  <c r="E278" i="27" s="1"/>
  <c r="H287" i="8"/>
  <c r="H288" i="8" s="1"/>
  <c r="H441" i="7"/>
  <c r="H442" i="7" s="1"/>
  <c r="H443" i="7" s="1"/>
  <c r="I429" i="7" s="1"/>
  <c r="E85" i="27" s="1"/>
  <c r="H36" i="7"/>
  <c r="H37" i="7" s="1"/>
  <c r="H332" i="14"/>
  <c r="H250" i="10"/>
  <c r="H251" i="10" s="1"/>
  <c r="H728" i="8"/>
  <c r="H729" i="8" s="1"/>
  <c r="H816" i="11"/>
  <c r="H817" i="11" s="1"/>
  <c r="H818" i="11" s="1"/>
  <c r="I802" i="11" s="1"/>
  <c r="E232" i="27" s="1"/>
  <c r="H88" i="5"/>
  <c r="I75" i="5" s="1"/>
  <c r="E57" i="27" s="1"/>
  <c r="H560" i="8"/>
  <c r="H561" i="8" s="1"/>
  <c r="H421" i="8"/>
  <c r="I409" i="8" s="1"/>
  <c r="E118" i="27" s="1"/>
  <c r="H1329" i="14"/>
  <c r="H1447" i="14"/>
  <c r="H272" i="14"/>
  <c r="H273" i="14" s="1"/>
  <c r="H274" i="14" s="1"/>
  <c r="I256" i="14" s="1"/>
  <c r="E287" i="27" s="1"/>
  <c r="H976" i="8"/>
  <c r="H977" i="8" s="1"/>
  <c r="H978" i="8" s="1"/>
  <c r="I955" i="8" s="1"/>
  <c r="E148" i="27" s="1"/>
  <c r="H623" i="8"/>
  <c r="H624" i="8" s="1"/>
  <c r="H625" i="8" s="1"/>
  <c r="I606" i="8" s="1"/>
  <c r="E128" i="27" s="1"/>
  <c r="H407" i="8"/>
  <c r="I395" i="8" s="1"/>
  <c r="E117" i="27" s="1"/>
  <c r="H108" i="12"/>
  <c r="H114" i="3"/>
  <c r="I102" i="3" s="1"/>
  <c r="E38" i="27" s="1"/>
  <c r="H589" i="7"/>
  <c r="H590" i="7" s="1"/>
  <c r="H591" i="7" s="1"/>
  <c r="I577" i="7" s="1"/>
  <c r="E94" i="27" s="1"/>
  <c r="H1526" i="14"/>
  <c r="H375" i="7"/>
  <c r="H376" i="7" s="1"/>
  <c r="H377" i="7" s="1"/>
  <c r="I363" i="7" s="1"/>
  <c r="E81" i="27" s="1"/>
  <c r="H345" i="11"/>
  <c r="H346" i="11" s="1"/>
  <c r="H347" i="11" s="1"/>
  <c r="I331" i="11" s="1"/>
  <c r="E206" i="27" s="1"/>
  <c r="H490" i="14"/>
  <c r="H491" i="14" s="1"/>
  <c r="H152" i="14"/>
  <c r="H153" i="14" s="1"/>
  <c r="H154" i="14" s="1"/>
  <c r="I137" i="14" s="1"/>
  <c r="E281" i="27" s="1"/>
  <c r="H38" i="8"/>
  <c r="H38" i="10"/>
  <c r="H39" i="10" s="1"/>
  <c r="H40" i="10" s="1"/>
  <c r="I23" i="10" s="1"/>
  <c r="E163" i="27" s="1"/>
  <c r="H110" i="9"/>
  <c r="H111" i="9" s="1"/>
  <c r="H112" i="9" s="1"/>
  <c r="I95" i="9" s="1"/>
  <c r="E158" i="27" s="1"/>
  <c r="H770" i="14"/>
  <c r="H290" i="10"/>
  <c r="H291" i="10" s="1"/>
  <c r="H292" i="10" s="1"/>
  <c r="I274" i="10" s="1"/>
  <c r="E176" i="27" s="1"/>
  <c r="H113" i="8"/>
  <c r="H114" i="8" s="1"/>
  <c r="H201" i="2"/>
  <c r="I188" i="2" s="1"/>
  <c r="E17" i="27" s="1"/>
  <c r="H35" i="11"/>
  <c r="H36" i="11" s="1"/>
  <c r="I21" i="11" s="1"/>
  <c r="E189" i="27" s="1"/>
  <c r="H439" i="8"/>
  <c r="H440" i="8" s="1"/>
  <c r="H441" i="8" s="1"/>
  <c r="I423" i="8" s="1"/>
  <c r="E119" i="27" s="1"/>
  <c r="H310" i="10"/>
  <c r="H311" i="10" s="1"/>
  <c r="H312" i="10" s="1"/>
  <c r="I294" i="10" s="1"/>
  <c r="E177" i="27" s="1"/>
  <c r="H58" i="3"/>
  <c r="I46" i="3" s="1"/>
  <c r="E34" i="27" s="1"/>
  <c r="H1389" i="14"/>
  <c r="H1390" i="14" s="1"/>
  <c r="H523" i="7"/>
  <c r="H524" i="7" s="1"/>
  <c r="H142" i="2"/>
  <c r="H143" i="2" s="1"/>
  <c r="H144" i="2" s="1"/>
  <c r="I115" i="2" s="1"/>
  <c r="E13" i="27" s="1"/>
  <c r="H363" i="11"/>
  <c r="H364" i="11" s="1"/>
  <c r="H365" i="11" s="1"/>
  <c r="I349" i="11" s="1"/>
  <c r="E207" i="27" s="1"/>
  <c r="H73" i="7"/>
  <c r="H74" i="7" s="1"/>
  <c r="H75" i="7" s="1"/>
  <c r="I59" i="7" s="1"/>
  <c r="E65" i="27" s="1"/>
  <c r="H89" i="13"/>
  <c r="H90" i="13" s="1"/>
  <c r="H107" i="13"/>
  <c r="H108" i="13" s="1"/>
  <c r="H430" i="14"/>
  <c r="H1565" i="14"/>
  <c r="H890" i="14"/>
  <c r="H730" i="14"/>
  <c r="H731" i="14" s="1"/>
  <c r="H390" i="14"/>
  <c r="H292" i="14"/>
  <c r="H293" i="14" s="1"/>
  <c r="H294" i="14" s="1"/>
  <c r="I276" i="14" s="1"/>
  <c r="E288" i="27" s="1"/>
  <c r="H232" i="14"/>
  <c r="H233" i="14" s="1"/>
  <c r="H234" i="14" s="1"/>
  <c r="I216" i="14" s="1"/>
  <c r="E285" i="27" s="1"/>
  <c r="H1222" i="14"/>
  <c r="H1258" i="14"/>
  <c r="H312" i="14"/>
  <c r="H313" i="14" s="1"/>
  <c r="H314" i="14" s="1"/>
  <c r="I296" i="14" s="1"/>
  <c r="E289" i="27" s="1"/>
  <c r="H450" i="14"/>
  <c r="H451" i="14" s="1"/>
  <c r="H710" i="14"/>
  <c r="H790" i="14"/>
  <c r="H791" i="14" s="1"/>
  <c r="H1070" i="14"/>
  <c r="H1071" i="14" s="1"/>
  <c r="H212" i="14"/>
  <c r="H213" i="14" s="1"/>
  <c r="H214" i="14" s="1"/>
  <c r="I196" i="14" s="1"/>
  <c r="E284" i="27" s="1"/>
  <c r="H57" i="14"/>
  <c r="H58" i="14" s="1"/>
  <c r="H59" i="14" s="1"/>
  <c r="I42" i="14" s="1"/>
  <c r="E276" i="27" s="1"/>
  <c r="H1622" i="14"/>
  <c r="H1466" i="14"/>
  <c r="H630" i="14"/>
  <c r="H970" i="14"/>
  <c r="H510" i="14"/>
  <c r="H1428" i="14"/>
  <c r="H1584" i="14"/>
  <c r="H172" i="14"/>
  <c r="H173" i="14" s="1"/>
  <c r="H174" i="14" s="1"/>
  <c r="I156" i="14" s="1"/>
  <c r="E282" i="27" s="1"/>
  <c r="H1050" i="14"/>
  <c r="H1051" i="14" s="1"/>
  <c r="H1010" i="14"/>
  <c r="H530" i="14"/>
  <c r="H990" i="14"/>
  <c r="H650" i="14"/>
  <c r="H651" i="14" s="1"/>
  <c r="H870" i="14"/>
  <c r="H1720" i="14"/>
  <c r="H1369" i="14"/>
  <c r="H750" i="14"/>
  <c r="H751" i="14" s="1"/>
  <c r="H1130" i="14"/>
  <c r="H1679" i="14"/>
  <c r="H1409" i="14"/>
  <c r="H1410" i="14" s="1"/>
  <c r="H810" i="14"/>
  <c r="H1739" i="14"/>
  <c r="H1740" i="14" s="1"/>
  <c r="H370" i="14"/>
  <c r="H371" i="14" s="1"/>
  <c r="H1168" i="14"/>
  <c r="H1169" i="14" s="1"/>
  <c r="H352" i="14"/>
  <c r="H353" i="14" s="1"/>
  <c r="H354" i="14" s="1"/>
  <c r="I336" i="14" s="1"/>
  <c r="E291" i="27" s="1"/>
  <c r="H1240" i="14"/>
  <c r="H76" i="14"/>
  <c r="H77" i="14" s="1"/>
  <c r="H78" i="14" s="1"/>
  <c r="I61" i="14" s="1"/>
  <c r="E277" i="27" s="1"/>
  <c r="H1150" i="14"/>
  <c r="H1030" i="14"/>
  <c r="H1031" i="14" s="1"/>
  <c r="H1312" i="14"/>
  <c r="I1297" i="14" s="1"/>
  <c r="E340" i="27" s="1"/>
  <c r="H1604" i="14"/>
  <c r="I1588" i="14" s="1"/>
  <c r="E355" i="27" s="1"/>
  <c r="H910" i="14"/>
  <c r="H911" i="14" s="1"/>
  <c r="H1506" i="14"/>
  <c r="H1507" i="14" s="1"/>
  <c r="H1295" i="14"/>
  <c r="I1280" i="14" s="1"/>
  <c r="E339" i="27" s="1"/>
  <c r="H1641" i="14"/>
  <c r="H1642" i="14" s="1"/>
  <c r="H1486" i="14"/>
  <c r="H1487" i="14" s="1"/>
  <c r="H562" i="11"/>
  <c r="H563" i="11" s="1"/>
  <c r="I547" i="11" s="1"/>
  <c r="E218" i="27" s="1"/>
  <c r="H922" i="8"/>
  <c r="H923" i="8" s="1"/>
  <c r="I910" i="8" s="1"/>
  <c r="E145" i="27" s="1"/>
  <c r="H250" i="12"/>
  <c r="H251" i="12" s="1"/>
  <c r="I236" i="12" s="1"/>
  <c r="E257" i="27" s="1"/>
  <c r="H76" i="4"/>
  <c r="I64" i="4" s="1"/>
  <c r="E50" i="27" s="1"/>
  <c r="H327" i="11"/>
  <c r="H381" i="11"/>
  <c r="H382" i="11" s="1"/>
  <c r="H383" i="11" s="1"/>
  <c r="I367" i="11" s="1"/>
  <c r="E208" i="27" s="1"/>
  <c r="H686" i="8"/>
  <c r="H111" i="2"/>
  <c r="H112" i="2" s="1"/>
  <c r="H214" i="12"/>
  <c r="H644" i="8"/>
  <c r="H645" i="8" s="1"/>
  <c r="H646" i="8" s="1"/>
  <c r="I627" i="8" s="1"/>
  <c r="E129" i="27" s="1"/>
  <c r="H399" i="11"/>
  <c r="H772" i="8"/>
  <c r="H773" i="8" s="1"/>
  <c r="H774" i="8" s="1"/>
  <c r="I754" i="8" s="1"/>
  <c r="E135" i="27" s="1"/>
  <c r="H51" i="5"/>
  <c r="H52" i="5" s="1"/>
  <c r="H557" i="7"/>
  <c r="H110" i="7"/>
  <c r="H111" i="7" s="1"/>
  <c r="H112" i="7" s="1"/>
  <c r="I96" i="7" s="1"/>
  <c r="E67" i="27" s="1"/>
  <c r="H31" i="4"/>
  <c r="I18" i="4" s="1"/>
  <c r="E47" i="27" s="1"/>
  <c r="H76" i="10"/>
  <c r="H77" i="10" s="1"/>
  <c r="H78" i="10" s="1"/>
  <c r="I61" i="10" s="1"/>
  <c r="E165" i="27" s="1"/>
  <c r="H223" i="7"/>
  <c r="H224" i="7" s="1"/>
  <c r="H92" i="2"/>
  <c r="I77" i="2" s="1"/>
  <c r="E11" i="27" s="1"/>
  <c r="H18" i="12"/>
  <c r="H19" i="12" s="1"/>
  <c r="H20" i="12" s="1"/>
  <c r="I4" i="12" s="1"/>
  <c r="E244" i="27" s="1"/>
  <c r="H342" i="7"/>
  <c r="H343" i="7" s="1"/>
  <c r="H16" i="3"/>
  <c r="I4" i="3" s="1"/>
  <c r="E31" i="27" s="1"/>
  <c r="H203" i="7"/>
  <c r="H204" i="7" s="1"/>
  <c r="H205" i="7" s="1"/>
  <c r="I188" i="7" s="1"/>
  <c r="E72" i="27" s="1"/>
  <c r="H665" i="8"/>
  <c r="H666" i="8" s="1"/>
  <c r="H667" i="8" s="1"/>
  <c r="I648" i="8" s="1"/>
  <c r="E130" i="27" s="1"/>
  <c r="H267" i="12"/>
  <c r="H268" i="12" s="1"/>
  <c r="I253" i="12" s="1"/>
  <c r="E258" i="27" s="1"/>
  <c r="H71" i="13"/>
  <c r="H157" i="8"/>
  <c r="H192" i="8"/>
  <c r="H193" i="8" s="1"/>
  <c r="I178" i="8" s="1"/>
  <c r="E106" i="27" s="1"/>
  <c r="H886" i="11"/>
  <c r="H887" i="11" s="1"/>
  <c r="I872" i="11" s="1"/>
  <c r="E236" i="27" s="1"/>
  <c r="H45" i="4"/>
  <c r="H46" i="4" s="1"/>
  <c r="I33" i="4" s="1"/>
  <c r="E48" i="27" s="1"/>
  <c r="H18" i="11"/>
  <c r="H19" i="11" s="1"/>
  <c r="I4" i="11" s="1"/>
  <c r="E188" i="27" s="1"/>
  <c r="H305" i="2"/>
  <c r="H306" i="2" s="1"/>
  <c r="I293" i="2" s="1"/>
  <c r="E24" i="27" s="1"/>
  <c r="H117" i="5"/>
  <c r="H118" i="5" s="1"/>
  <c r="H834" i="11"/>
  <c r="H835" i="11" s="1"/>
  <c r="I820" i="11" s="1"/>
  <c r="E233" i="27" s="1"/>
  <c r="H260" i="2"/>
  <c r="H261" i="2" s="1"/>
  <c r="I248" i="2" s="1"/>
  <c r="E21" i="27" s="1"/>
  <c r="H175" i="8"/>
  <c r="H176" i="8" s="1"/>
  <c r="I161" i="8" s="1"/>
  <c r="E105" i="27" s="1"/>
  <c r="H790" i="8"/>
  <c r="H791" i="8" s="1"/>
  <c r="I776" i="8" s="1"/>
  <c r="E136" i="27" s="1"/>
  <c r="H602" i="8"/>
  <c r="H126" i="12"/>
  <c r="H127" i="12" s="1"/>
  <c r="I112" i="12" s="1"/>
  <c r="E250" i="27" s="1"/>
  <c r="H472" i="11"/>
  <c r="H473" i="11" s="1"/>
  <c r="I457" i="11" s="1"/>
  <c r="E213" i="27" s="1"/>
  <c r="H408" i="7"/>
  <c r="H409" i="7" s="1"/>
  <c r="H907" i="8"/>
  <c r="H908" i="8" s="1"/>
  <c r="I895" i="8" s="1"/>
  <c r="E144" i="27" s="1"/>
  <c r="H155" i="3"/>
  <c r="H156" i="3" s="1"/>
  <c r="I144" i="3" s="1"/>
  <c r="E41" i="27" s="1"/>
  <c r="H275" i="2"/>
  <c r="H276" i="2" s="1"/>
  <c r="I263" i="2" s="1"/>
  <c r="E22" i="27" s="1"/>
  <c r="H35" i="13"/>
  <c r="H36" i="13" s="1"/>
  <c r="I21" i="13" s="1"/>
  <c r="E261" i="27" s="1"/>
  <c r="H35" i="9"/>
  <c r="H36" i="9" s="1"/>
  <c r="I21" i="9" s="1"/>
  <c r="E154" i="27" s="1"/>
  <c r="H350" i="2"/>
  <c r="H351" i="2" s="1"/>
  <c r="I338" i="2" s="1"/>
  <c r="E27" i="27" s="1"/>
  <c r="H180" i="13"/>
  <c r="H181" i="13" s="1"/>
  <c r="I165" i="13" s="1"/>
  <c r="E269" i="27" s="1"/>
  <c r="H52" i="11"/>
  <c r="H53" i="11" s="1"/>
  <c r="I38" i="11" s="1"/>
  <c r="E190" i="27" s="1"/>
  <c r="H581" i="8"/>
  <c r="H52" i="13"/>
  <c r="H53" i="13" s="1"/>
  <c r="I38" i="13" s="1"/>
  <c r="E262" i="27" s="1"/>
  <c r="H16" i="5"/>
  <c r="H17" i="5" s="1"/>
  <c r="H833" i="8"/>
  <c r="H834" i="8" s="1"/>
  <c r="I821" i="8" s="1"/>
  <c r="E139" i="27" s="1"/>
  <c r="H848" i="8"/>
  <c r="H849" i="8" s="1"/>
  <c r="I836" i="8" s="1"/>
  <c r="E140" i="27" s="1"/>
  <c r="H70" i="5"/>
  <c r="H71" i="5" s="1"/>
  <c r="H143" i="12"/>
  <c r="H144" i="12" s="1"/>
  <c r="I129" i="12" s="1"/>
  <c r="E251" i="27" s="1"/>
  <c r="H38" i="21" l="1"/>
  <c r="I22" i="21" s="1"/>
  <c r="E467" i="27" s="1"/>
  <c r="H411" i="19"/>
  <c r="I395" i="19" s="1"/>
  <c r="E458" i="27" s="1"/>
  <c r="H163" i="19"/>
  <c r="I146" i="19" s="1"/>
  <c r="E445" i="27" s="1"/>
  <c r="H1188" i="14"/>
  <c r="I1172" i="14" s="1"/>
  <c r="E333" i="27" s="1"/>
  <c r="H672" i="14"/>
  <c r="I654" i="14" s="1"/>
  <c r="E307" i="27" s="1"/>
  <c r="H178" i="16"/>
  <c r="I162" i="16" s="1"/>
  <c r="E421" i="27" s="1"/>
  <c r="H405" i="15"/>
  <c r="I388" i="15" s="1"/>
  <c r="E386" i="27" s="1"/>
  <c r="H353" i="19"/>
  <c r="I335" i="19" s="1"/>
  <c r="E455" i="27" s="1"/>
  <c r="H1022" i="8"/>
  <c r="I1006" i="8" s="1"/>
  <c r="E150" i="27" s="1"/>
  <c r="H320" i="21"/>
  <c r="I304" i="21" s="1"/>
  <c r="E482" i="27" s="1"/>
  <c r="H592" i="14"/>
  <c r="I574" i="14" s="1"/>
  <c r="E303" i="27" s="1"/>
  <c r="H69" i="26"/>
  <c r="H70" i="26" s="1"/>
  <c r="I55" i="26" s="1"/>
  <c r="E570" i="27" s="1"/>
  <c r="H96" i="17"/>
  <c r="I78" i="17" s="1"/>
  <c r="E431" i="27" s="1"/>
  <c r="H229" i="21"/>
  <c r="I212" i="21" s="1"/>
  <c r="E477" i="27" s="1"/>
  <c r="H93" i="21"/>
  <c r="I77" i="21" s="1"/>
  <c r="E470" i="27" s="1"/>
  <c r="H163" i="13"/>
  <c r="I147" i="13" s="1"/>
  <c r="E268" i="27" s="1"/>
  <c r="H852" i="14"/>
  <c r="I834" i="14" s="1"/>
  <c r="E316" i="27" s="1"/>
  <c r="H961" i="11"/>
  <c r="I945" i="11" s="1"/>
  <c r="E240" i="27" s="1"/>
  <c r="H286" i="7"/>
  <c r="I268" i="7" s="1"/>
  <c r="E76" i="27" s="1"/>
  <c r="H199" i="15"/>
  <c r="I183" i="15" s="1"/>
  <c r="E375" i="27" s="1"/>
  <c r="D93" i="26"/>
  <c r="H76" i="26"/>
  <c r="H79" i="26" s="1"/>
  <c r="H85" i="26" s="1"/>
  <c r="H86" i="26" s="1"/>
  <c r="H353" i="8"/>
  <c r="I333" i="8" s="1"/>
  <c r="E114" i="27" s="1"/>
  <c r="H442" i="10"/>
  <c r="I426" i="10" s="1"/>
  <c r="E184" i="27" s="1"/>
  <c r="H734" i="15"/>
  <c r="I718" i="15" s="1"/>
  <c r="E405" i="27" s="1"/>
  <c r="H333" i="19"/>
  <c r="I315" i="19" s="1"/>
  <c r="E454" i="27" s="1"/>
  <c r="H130" i="21"/>
  <c r="I114" i="21" s="1"/>
  <c r="E472" i="27" s="1"/>
  <c r="H311" i="15"/>
  <c r="I294" i="15" s="1"/>
  <c r="E381" i="27" s="1"/>
  <c r="H24" i="20"/>
  <c r="I4" i="20" s="1"/>
  <c r="E462" i="27" s="1"/>
  <c r="H21" i="10"/>
  <c r="I4" i="10" s="1"/>
  <c r="E162" i="27" s="1"/>
  <c r="H1741" i="14"/>
  <c r="I1724" i="14" s="1"/>
  <c r="E362" i="27" s="1"/>
  <c r="F104" i="25"/>
  <c r="H86" i="25"/>
  <c r="H87" i="25" s="1"/>
  <c r="H90" i="25" s="1"/>
  <c r="H91" i="25" s="1"/>
  <c r="H121" i="25"/>
  <c r="F139" i="25"/>
  <c r="H74" i="25"/>
  <c r="I58" i="25" s="1"/>
  <c r="E540" i="27" s="1"/>
  <c r="H98" i="25"/>
  <c r="H101" i="25" s="1"/>
  <c r="D116" i="25"/>
  <c r="D94" i="23"/>
  <c r="H77" i="23"/>
  <c r="H80" i="23" s="1"/>
  <c r="H86" i="23" s="1"/>
  <c r="H87" i="23" s="1"/>
  <c r="H71" i="23"/>
  <c r="I56" i="23" s="1"/>
  <c r="E526" i="27" s="1"/>
  <c r="H301" i="21"/>
  <c r="H302" i="21" s="1"/>
  <c r="I286" i="21" s="1"/>
  <c r="E481" i="27" s="1"/>
  <c r="H169" i="21"/>
  <c r="I152" i="21" s="1"/>
  <c r="E474" i="27" s="1"/>
  <c r="H187" i="21"/>
  <c r="H188" i="21" s="1"/>
  <c r="I171" i="21" s="1"/>
  <c r="E475" i="27" s="1"/>
  <c r="H254" i="16"/>
  <c r="I236" i="16" s="1"/>
  <c r="E425" i="27" s="1"/>
  <c r="H267" i="21"/>
  <c r="I249" i="21" s="1"/>
  <c r="E479" i="27" s="1"/>
  <c r="H111" i="21"/>
  <c r="H112" i="21" s="1"/>
  <c r="I95" i="21" s="1"/>
  <c r="E471" i="27" s="1"/>
  <c r="H218" i="19"/>
  <c r="I202" i="19" s="1"/>
  <c r="E448" i="27" s="1"/>
  <c r="H247" i="21"/>
  <c r="I231" i="21" s="1"/>
  <c r="E478" i="27" s="1"/>
  <c r="H211" i="8"/>
  <c r="I195" i="8" s="1"/>
  <c r="E107" i="27" s="1"/>
  <c r="H149" i="21"/>
  <c r="H150" i="21" s="1"/>
  <c r="I132" i="21" s="1"/>
  <c r="E473" i="27" s="1"/>
  <c r="H93" i="19"/>
  <c r="I72" i="19" s="1"/>
  <c r="E441" i="27" s="1"/>
  <c r="H74" i="21"/>
  <c r="H75" i="21" s="1"/>
  <c r="I58" i="21" s="1"/>
  <c r="E469" i="27" s="1"/>
  <c r="H55" i="21"/>
  <c r="H56" i="21" s="1"/>
  <c r="I40" i="21" s="1"/>
  <c r="E468" i="27" s="1"/>
  <c r="H209" i="21"/>
  <c r="H210" i="21" s="1"/>
  <c r="I190" i="21" s="1"/>
  <c r="E476" i="27" s="1"/>
  <c r="H55" i="16"/>
  <c r="I39" i="16" s="1"/>
  <c r="E414" i="27" s="1"/>
  <c r="H932" i="14"/>
  <c r="I914" i="14" s="1"/>
  <c r="E320" i="27" s="1"/>
  <c r="H43" i="18"/>
  <c r="I24" i="18" s="1"/>
  <c r="E435" i="27" s="1"/>
  <c r="H374" i="19"/>
  <c r="I355" i="19" s="1"/>
  <c r="E456" i="27" s="1"/>
  <c r="H73" i="16"/>
  <c r="I57" i="16" s="1"/>
  <c r="E415" i="27" s="1"/>
  <c r="H109" i="16"/>
  <c r="I93" i="16" s="1"/>
  <c r="E417" i="27" s="1"/>
  <c r="H217" i="13"/>
  <c r="I201" i="13" s="1"/>
  <c r="E271" i="27" s="1"/>
  <c r="H38" i="17"/>
  <c r="I22" i="17" s="1"/>
  <c r="E428" i="27" s="1"/>
  <c r="H501" i="8"/>
  <c r="I483" i="8" s="1"/>
  <c r="E122" i="27" s="1"/>
  <c r="H181" i="15"/>
  <c r="I165" i="15" s="1"/>
  <c r="E374" i="27" s="1"/>
  <c r="H612" i="14"/>
  <c r="I594" i="14" s="1"/>
  <c r="E304" i="27" s="1"/>
  <c r="H216" i="16"/>
  <c r="I198" i="16" s="1"/>
  <c r="E423" i="27" s="1"/>
  <c r="H392" i="2"/>
  <c r="I374" i="2" s="1"/>
  <c r="E29" i="27" s="1"/>
  <c r="H37" i="16"/>
  <c r="I21" i="16" s="1"/>
  <c r="E413" i="27" s="1"/>
  <c r="H292" i="19"/>
  <c r="I276" i="19" s="1"/>
  <c r="E452" i="27" s="1"/>
  <c r="H43" i="20"/>
  <c r="I26" i="20" s="1"/>
  <c r="E463" i="27" s="1"/>
  <c r="H58" i="17"/>
  <c r="I40" i="17" s="1"/>
  <c r="E429" i="27" s="1"/>
  <c r="H331" i="8"/>
  <c r="I312" i="8" s="1"/>
  <c r="E113" i="27" s="1"/>
  <c r="H117" i="17"/>
  <c r="I98" i="17" s="1"/>
  <c r="E432" i="27" s="1"/>
  <c r="H763" i="11"/>
  <c r="I747" i="11" s="1"/>
  <c r="E229" i="27" s="1"/>
  <c r="H906" i="11"/>
  <c r="I889" i="11" s="1"/>
  <c r="E237" i="27" s="1"/>
  <c r="H458" i="7"/>
  <c r="H459" i="7" s="1"/>
  <c r="I445" i="7" s="1"/>
  <c r="E86" i="27" s="1"/>
  <c r="H181" i="19"/>
  <c r="H182" i="19" s="1"/>
  <c r="I165" i="19" s="1"/>
  <c r="E446" i="27" s="1"/>
  <c r="H275" i="11"/>
  <c r="I259" i="11" s="1"/>
  <c r="E202" i="27" s="1"/>
  <c r="H21" i="18"/>
  <c r="H22" i="18" s="1"/>
  <c r="I4" i="18" s="1"/>
  <c r="E434" i="27" s="1"/>
  <c r="H254" i="19"/>
  <c r="H255" i="19" s="1"/>
  <c r="I238" i="19" s="1"/>
  <c r="E450" i="27" s="1"/>
  <c r="H273" i="19"/>
  <c r="H274" i="19" s="1"/>
  <c r="I257" i="19" s="1"/>
  <c r="E451" i="27" s="1"/>
  <c r="H366" i="15"/>
  <c r="H367" i="15" s="1"/>
  <c r="I350" i="15" s="1"/>
  <c r="E384" i="27" s="1"/>
  <c r="H442" i="15"/>
  <c r="H443" i="15" s="1"/>
  <c r="I426" i="15" s="1"/>
  <c r="E388" i="27" s="1"/>
  <c r="H1278" i="14"/>
  <c r="I1262" i="14" s="1"/>
  <c r="E338" i="27" s="1"/>
  <c r="H348" i="15"/>
  <c r="I331" i="15" s="1"/>
  <c r="E383" i="27" s="1"/>
  <c r="H218" i="15"/>
  <c r="H219" i="15" s="1"/>
  <c r="I201" i="15" s="1"/>
  <c r="E376" i="27" s="1"/>
  <c r="H89" i="15"/>
  <c r="H90" i="15" s="1"/>
  <c r="I73" i="15" s="1"/>
  <c r="E369" i="27" s="1"/>
  <c r="H392" i="19"/>
  <c r="H393" i="19" s="1"/>
  <c r="I376" i="19" s="1"/>
  <c r="E457" i="27" s="1"/>
  <c r="H238" i="15"/>
  <c r="H239" i="15" s="1"/>
  <c r="I221" i="15" s="1"/>
  <c r="E377" i="27" s="1"/>
  <c r="H19" i="17"/>
  <c r="H20" i="17" s="1"/>
  <c r="I4" i="17" s="1"/>
  <c r="E427" i="27" s="1"/>
  <c r="H145" i="15"/>
  <c r="I129" i="15" s="1"/>
  <c r="E372" i="27" s="1"/>
  <c r="H853" i="11"/>
  <c r="I837" i="11" s="1"/>
  <c r="E234" i="27" s="1"/>
  <c r="H27" i="2"/>
  <c r="H450" i="19"/>
  <c r="I430" i="19" s="1"/>
  <c r="E460" i="27" s="1"/>
  <c r="H461" i="15"/>
  <c r="I445" i="15" s="1"/>
  <c r="E389" i="27" s="1"/>
  <c r="H481" i="8"/>
  <c r="I463" i="8" s="1"/>
  <c r="E121" i="27" s="1"/>
  <c r="H481" i="10"/>
  <c r="I463" i="10" s="1"/>
  <c r="E186" i="27" s="1"/>
  <c r="H752" i="15"/>
  <c r="H753" i="15" s="1"/>
  <c r="I736" i="15" s="1"/>
  <c r="E406" i="27" s="1"/>
  <c r="H234" i="16"/>
  <c r="I218" i="16" s="1"/>
  <c r="E424" i="27" s="1"/>
  <c r="H385" i="15"/>
  <c r="H386" i="15" s="1"/>
  <c r="I369" i="15" s="1"/>
  <c r="E385" i="27" s="1"/>
  <c r="H199" i="19"/>
  <c r="H200" i="19" s="1"/>
  <c r="I184" i="19" s="1"/>
  <c r="E447" i="27" s="1"/>
  <c r="H423" i="15"/>
  <c r="H424" i="15" s="1"/>
  <c r="I407" i="15" s="1"/>
  <c r="E387" i="27" s="1"/>
  <c r="H167" i="11"/>
  <c r="I151" i="11" s="1"/>
  <c r="E196" i="27" s="1"/>
  <c r="H235" i="19"/>
  <c r="H236" i="19" s="1"/>
  <c r="I220" i="19" s="1"/>
  <c r="E449" i="27" s="1"/>
  <c r="H86" i="22"/>
  <c r="H87" i="22" s="1"/>
  <c r="I72" i="22" s="1"/>
  <c r="E494" i="27" s="1"/>
  <c r="F523" i="22"/>
  <c r="H506" i="22"/>
  <c r="H507" i="22" s="1"/>
  <c r="H93" i="22"/>
  <c r="H96" i="22" s="1"/>
  <c r="H102" i="22" s="1"/>
  <c r="D110" i="22"/>
  <c r="H348" i="22"/>
  <c r="H351" i="22" s="1"/>
  <c r="H357" i="22" s="1"/>
  <c r="D365" i="22"/>
  <c r="H341" i="22"/>
  <c r="H342" i="22" s="1"/>
  <c r="I327" i="22" s="1"/>
  <c r="E509" i="27" s="1"/>
  <c r="H70" i="19"/>
  <c r="I49" i="19" s="1"/>
  <c r="E440" i="27" s="1"/>
  <c r="I128" i="16"/>
  <c r="E419" i="27" s="1"/>
  <c r="I145" i="16"/>
  <c r="E420" i="27" s="1"/>
  <c r="I111" i="16"/>
  <c r="E418" i="27" s="1"/>
  <c r="H418" i="11"/>
  <c r="H419" i="11" s="1"/>
  <c r="I403" i="11" s="1"/>
  <c r="E210" i="27" s="1"/>
  <c r="H730" i="8"/>
  <c r="I711" i="8" s="1"/>
  <c r="E133" i="27" s="1"/>
  <c r="H272" i="10"/>
  <c r="I254" i="10" s="1"/>
  <c r="E175" i="27" s="1"/>
  <c r="H97" i="10"/>
  <c r="I80" i="10" s="1"/>
  <c r="E166" i="27" s="1"/>
  <c r="H168" i="7"/>
  <c r="I151" i="7" s="1"/>
  <c r="E70" i="27" s="1"/>
  <c r="H131" i="9"/>
  <c r="I114" i="9" s="1"/>
  <c r="E159" i="27" s="1"/>
  <c r="H427" i="7"/>
  <c r="I413" i="7" s="1"/>
  <c r="E84" i="27" s="1"/>
  <c r="H257" i="11"/>
  <c r="I241" i="11" s="1"/>
  <c r="E201" i="27" s="1"/>
  <c r="H424" i="10"/>
  <c r="I408" i="10" s="1"/>
  <c r="E183" i="27" s="1"/>
  <c r="H952" i="14"/>
  <c r="I934" i="14" s="1"/>
  <c r="E321" i="27" s="1"/>
  <c r="H235" i="13"/>
  <c r="I219" i="13" s="1"/>
  <c r="E272" i="27" s="1"/>
  <c r="H558" i="7"/>
  <c r="H559" i="7" s="1"/>
  <c r="I545" i="7" s="1"/>
  <c r="E92" i="27" s="1"/>
  <c r="H38" i="7"/>
  <c r="I22" i="7" s="1"/>
  <c r="E63" i="27" s="1"/>
  <c r="H521" i="8"/>
  <c r="I503" i="8" s="1"/>
  <c r="E123" i="27" s="1"/>
  <c r="H1206" i="14"/>
  <c r="I1190" i="14" s="1"/>
  <c r="E334" i="27" s="1"/>
  <c r="H75" i="2"/>
  <c r="I53" i="2" s="1"/>
  <c r="E10" i="27" s="1"/>
  <c r="H91" i="13"/>
  <c r="I75" i="13" s="1"/>
  <c r="E264" i="27" s="1"/>
  <c r="H472" i="14"/>
  <c r="I454" i="14" s="1"/>
  <c r="E297" i="27" s="1"/>
  <c r="H653" i="11"/>
  <c r="I637" i="11" s="1"/>
  <c r="E223" i="27" s="1"/>
  <c r="H392" i="8"/>
  <c r="H393" i="8" s="1"/>
  <c r="I376" i="8" s="1"/>
  <c r="E116" i="27" s="1"/>
  <c r="H692" i="14"/>
  <c r="I674" i="14" s="1"/>
  <c r="E308" i="27" s="1"/>
  <c r="H109" i="13"/>
  <c r="I93" i="13" s="1"/>
  <c r="E265" i="27" s="1"/>
  <c r="H194" i="14"/>
  <c r="I176" i="14" s="1"/>
  <c r="E283" i="27" s="1"/>
  <c r="H163" i="15"/>
  <c r="I147" i="15" s="1"/>
  <c r="E373" i="27" s="1"/>
  <c r="H39" i="8"/>
  <c r="H40" i="8" s="1"/>
  <c r="I22" i="8" s="1"/>
  <c r="E97" i="27" s="1"/>
  <c r="H1351" i="14"/>
  <c r="I1333" i="14" s="1"/>
  <c r="E342" i="27" s="1"/>
  <c r="H572" i="14"/>
  <c r="I554" i="14" s="1"/>
  <c r="E302" i="27" s="1"/>
  <c r="H1701" i="14"/>
  <c r="I1683" i="14" s="1"/>
  <c r="E360" i="27" s="1"/>
  <c r="H552" i="14"/>
  <c r="I534" i="14" s="1"/>
  <c r="E301" i="27" s="1"/>
  <c r="H1011" i="14"/>
  <c r="H1012" i="14" s="1"/>
  <c r="I994" i="14" s="1"/>
  <c r="E324" i="27" s="1"/>
  <c r="H811" i="14"/>
  <c r="H812" i="14" s="1"/>
  <c r="I794" i="14" s="1"/>
  <c r="E314" i="27" s="1"/>
  <c r="H1259" i="14"/>
  <c r="H1260" i="14" s="1"/>
  <c r="I1244" i="14" s="1"/>
  <c r="E337" i="27" s="1"/>
  <c r="H1527" i="14"/>
  <c r="H1528" i="14" s="1"/>
  <c r="I1510" i="14" s="1"/>
  <c r="E351" i="27" s="1"/>
  <c r="H94" i="7"/>
  <c r="I77" i="7" s="1"/>
  <c r="E66" i="27" s="1"/>
  <c r="H997" i="11"/>
  <c r="I981" i="11" s="1"/>
  <c r="E242" i="27" s="1"/>
  <c r="H293" i="11"/>
  <c r="I277" i="11" s="1"/>
  <c r="E203" i="27" s="1"/>
  <c r="H1370" i="14"/>
  <c r="H1371" i="14" s="1"/>
  <c r="I1353" i="14" s="1"/>
  <c r="E343" i="27" s="1"/>
  <c r="H1721" i="14"/>
  <c r="H1722" i="14" s="1"/>
  <c r="I1703" i="14" s="1"/>
  <c r="E361" i="27" s="1"/>
  <c r="H1566" i="14"/>
  <c r="H1567" i="14" s="1"/>
  <c r="I1550" i="14" s="1"/>
  <c r="E353" i="27" s="1"/>
  <c r="H771" i="14"/>
  <c r="H772" i="14" s="1"/>
  <c r="I754" i="14" s="1"/>
  <c r="E312" i="27" s="1"/>
  <c r="H74" i="9"/>
  <c r="I57" i="9" s="1"/>
  <c r="E156" i="27" s="1"/>
  <c r="H871" i="14"/>
  <c r="H872" i="14" s="1"/>
  <c r="I854" i="14" s="1"/>
  <c r="E317" i="27" s="1"/>
  <c r="H1623" i="14"/>
  <c r="H1624" i="14" s="1"/>
  <c r="I1606" i="14" s="1"/>
  <c r="E356" i="27" s="1"/>
  <c r="H431" i="14"/>
  <c r="H432" i="14" s="1"/>
  <c r="I414" i="14" s="1"/>
  <c r="E295" i="27" s="1"/>
  <c r="H411" i="14"/>
  <c r="H412" i="14" s="1"/>
  <c r="I394" i="14" s="1"/>
  <c r="E294" i="27" s="1"/>
  <c r="H831" i="14"/>
  <c r="H832" i="14" s="1"/>
  <c r="I814" i="14" s="1"/>
  <c r="E315" i="27" s="1"/>
  <c r="H1759" i="14"/>
  <c r="I1743" i="14" s="1"/>
  <c r="E363" i="27" s="1"/>
  <c r="H1223" i="14"/>
  <c r="H1224" i="14" s="1"/>
  <c r="I1208" i="14" s="1"/>
  <c r="E335" i="27" s="1"/>
  <c r="H252" i="10"/>
  <c r="I234" i="10" s="1"/>
  <c r="E174" i="27" s="1"/>
  <c r="H1680" i="14"/>
  <c r="H1681" i="14" s="1"/>
  <c r="I1663" i="14" s="1"/>
  <c r="E359" i="27" s="1"/>
  <c r="H1131" i="14"/>
  <c r="H1132" i="14" s="1"/>
  <c r="I1114" i="14" s="1"/>
  <c r="E330" i="27" s="1"/>
  <c r="H333" i="14"/>
  <c r="H334" i="14" s="1"/>
  <c r="I316" i="14" s="1"/>
  <c r="E290" i="27" s="1"/>
  <c r="H511" i="14"/>
  <c r="H512" i="14" s="1"/>
  <c r="I494" i="14" s="1"/>
  <c r="E299" i="27" s="1"/>
  <c r="H391" i="14"/>
  <c r="H392" i="14" s="1"/>
  <c r="I374" i="14" s="1"/>
  <c r="E293" i="27" s="1"/>
  <c r="H971" i="14"/>
  <c r="H972" i="14" s="1"/>
  <c r="I954" i="14" s="1"/>
  <c r="E322" i="27" s="1"/>
  <c r="H91" i="12"/>
  <c r="H92" i="12" s="1"/>
  <c r="I76" i="12" s="1"/>
  <c r="E248" i="27" s="1"/>
  <c r="H1391" i="14"/>
  <c r="I1373" i="14" s="1"/>
  <c r="E344" i="27" s="1"/>
  <c r="H631" i="14"/>
  <c r="H632" i="14" s="1"/>
  <c r="I614" i="14" s="1"/>
  <c r="E305" i="27" s="1"/>
  <c r="H891" i="14"/>
  <c r="H892" i="14" s="1"/>
  <c r="I874" i="14" s="1"/>
  <c r="E318" i="27" s="1"/>
  <c r="H1467" i="14"/>
  <c r="H1468" i="14" s="1"/>
  <c r="I1451" i="14" s="1"/>
  <c r="E348" i="27" s="1"/>
  <c r="H525" i="7"/>
  <c r="I511" i="7" s="1"/>
  <c r="E90" i="27" s="1"/>
  <c r="H1151" i="14"/>
  <c r="H1152" i="14" s="1"/>
  <c r="I1134" i="14" s="1"/>
  <c r="E331" i="27" s="1"/>
  <c r="H1547" i="14"/>
  <c r="H1548" i="14" s="1"/>
  <c r="I1530" i="14" s="1"/>
  <c r="E352" i="27" s="1"/>
  <c r="H1091" i="14"/>
  <c r="H1092" i="14" s="1"/>
  <c r="I1074" i="14" s="1"/>
  <c r="E328" i="27" s="1"/>
  <c r="H372" i="14"/>
  <c r="I356" i="14" s="1"/>
  <c r="E292" i="27" s="1"/>
  <c r="H1585" i="14"/>
  <c r="H1586" i="14" s="1"/>
  <c r="I1569" i="14" s="1"/>
  <c r="E354" i="27" s="1"/>
  <c r="H1429" i="14"/>
  <c r="H1430" i="14" s="1"/>
  <c r="I1413" i="14" s="1"/>
  <c r="E346" i="27" s="1"/>
  <c r="H1661" i="14"/>
  <c r="I1645" i="14" s="1"/>
  <c r="E358" i="27" s="1"/>
  <c r="H991" i="14"/>
  <c r="H992" i="14" s="1"/>
  <c r="I974" i="14" s="1"/>
  <c r="E323" i="27" s="1"/>
  <c r="H1448" i="14"/>
  <c r="H1449" i="14" s="1"/>
  <c r="I1432" i="14" s="1"/>
  <c r="E347" i="27" s="1"/>
  <c r="H711" i="14"/>
  <c r="H712" i="14" s="1"/>
  <c r="I694" i="14" s="1"/>
  <c r="E309" i="27" s="1"/>
  <c r="H492" i="14"/>
  <c r="I474" i="14" s="1"/>
  <c r="E298" i="27" s="1"/>
  <c r="H1241" i="14"/>
  <c r="H1242" i="14" s="1"/>
  <c r="I1226" i="14" s="1"/>
  <c r="E336" i="27" s="1"/>
  <c r="H531" i="14"/>
  <c r="H532" i="14" s="1"/>
  <c r="I514" i="14" s="1"/>
  <c r="E300" i="27" s="1"/>
  <c r="H1330" i="14"/>
  <c r="H1331" i="14" s="1"/>
  <c r="I1314" i="14" s="1"/>
  <c r="E341" i="27" s="1"/>
  <c r="H329" i="15"/>
  <c r="I313" i="15" s="1"/>
  <c r="E382" i="27" s="1"/>
  <c r="H109" i="15"/>
  <c r="I92" i="15" s="1"/>
  <c r="E370" i="27" s="1"/>
  <c r="H275" i="15"/>
  <c r="I258" i="15" s="1"/>
  <c r="E379" i="27" s="1"/>
  <c r="H109" i="12"/>
  <c r="H110" i="12" s="1"/>
  <c r="I94" i="12" s="1"/>
  <c r="E249" i="27" s="1"/>
  <c r="H225" i="7"/>
  <c r="I207" i="7" s="1"/>
  <c r="E73" i="27" s="1"/>
  <c r="H792" i="14"/>
  <c r="I774" i="14" s="1"/>
  <c r="E313" i="27" s="1"/>
  <c r="H113" i="2"/>
  <c r="I94" i="2" s="1"/>
  <c r="E12" i="27" s="1"/>
  <c r="H732" i="14"/>
  <c r="I714" i="14" s="1"/>
  <c r="E310" i="27" s="1"/>
  <c r="H289" i="8"/>
  <c r="I270" i="8" s="1"/>
  <c r="E111" i="27" s="1"/>
  <c r="H115" i="8"/>
  <c r="I98" i="8" s="1"/>
  <c r="E101" i="27" s="1"/>
  <c r="H562" i="8"/>
  <c r="I543" i="8" s="1"/>
  <c r="E125" i="27" s="1"/>
  <c r="H1170" i="14"/>
  <c r="I1154" i="14" s="1"/>
  <c r="E332" i="27" s="1"/>
  <c r="H1052" i="14"/>
  <c r="I1034" i="14" s="1"/>
  <c r="E326" i="27" s="1"/>
  <c r="H452" i="14"/>
  <c r="I434" i="14" s="1"/>
  <c r="E296" i="27" s="1"/>
  <c r="H1072" i="14"/>
  <c r="I1054" i="14" s="1"/>
  <c r="E327" i="27" s="1"/>
  <c r="H1032" i="14"/>
  <c r="I1014" i="14" s="1"/>
  <c r="E325" i="27" s="1"/>
  <c r="H1411" i="14"/>
  <c r="I1393" i="14" s="1"/>
  <c r="E345" i="27" s="1"/>
  <c r="H652" i="14"/>
  <c r="I634" i="14" s="1"/>
  <c r="E306" i="27" s="1"/>
  <c r="H752" i="14"/>
  <c r="I734" i="14" s="1"/>
  <c r="E311" i="27" s="1"/>
  <c r="H1508" i="14"/>
  <c r="I1490" i="14" s="1"/>
  <c r="E350" i="27" s="1"/>
  <c r="H912" i="14"/>
  <c r="I894" i="14" s="1"/>
  <c r="E319" i="27" s="1"/>
  <c r="H1488" i="14"/>
  <c r="I1470" i="14" s="1"/>
  <c r="E349" i="27" s="1"/>
  <c r="H1643" i="14"/>
  <c r="I1626" i="14" s="1"/>
  <c r="E357" i="27" s="1"/>
  <c r="H53" i="5"/>
  <c r="H54" i="5" s="1"/>
  <c r="I37" i="5" s="1"/>
  <c r="E55" i="27" s="1"/>
  <c r="H215" i="12"/>
  <c r="H216" i="12" s="1"/>
  <c r="I200" i="12" s="1"/>
  <c r="E255" i="27" s="1"/>
  <c r="H158" i="8"/>
  <c r="H159" i="8" s="1"/>
  <c r="I145" i="8" s="1"/>
  <c r="E104" i="27" s="1"/>
  <c r="H72" i="13"/>
  <c r="H73" i="13" s="1"/>
  <c r="I55" i="13" s="1"/>
  <c r="E263" i="27" s="1"/>
  <c r="H328" i="11"/>
  <c r="H329" i="11" s="1"/>
  <c r="I313" i="11" s="1"/>
  <c r="E205" i="27" s="1"/>
  <c r="H687" i="8"/>
  <c r="H688" i="8" s="1"/>
  <c r="I669" i="8" s="1"/>
  <c r="E131" i="27" s="1"/>
  <c r="H344" i="7"/>
  <c r="H345" i="7" s="1"/>
  <c r="I329" i="7" s="1"/>
  <c r="E79" i="27" s="1"/>
  <c r="H400" i="11"/>
  <c r="H401" i="11" s="1"/>
  <c r="I385" i="11" s="1"/>
  <c r="E209" i="27" s="1"/>
  <c r="H72" i="5"/>
  <c r="H73" i="5" s="1"/>
  <c r="I56" i="5" s="1"/>
  <c r="E56" i="27" s="1"/>
  <c r="H410" i="7"/>
  <c r="H411" i="7" s="1"/>
  <c r="I395" i="7" s="1"/>
  <c r="E83" i="27" s="1"/>
  <c r="H603" i="8"/>
  <c r="H604" i="8" s="1"/>
  <c r="I585" i="8" s="1"/>
  <c r="E127" i="27" s="1"/>
  <c r="H119" i="5"/>
  <c r="H120" i="5" s="1"/>
  <c r="I105" i="5" s="1"/>
  <c r="E59" i="27" s="1"/>
  <c r="H582" i="8"/>
  <c r="H583" i="8" s="1"/>
  <c r="I564" i="8" s="1"/>
  <c r="E126" i="27" s="1"/>
  <c r="H18" i="5"/>
  <c r="H19" i="5" s="1"/>
  <c r="I4" i="5" s="1"/>
  <c r="E53" i="27" s="1"/>
  <c r="I4" i="2" l="1"/>
  <c r="E8" i="27" s="1"/>
  <c r="H87" i="26"/>
  <c r="I72" i="26" s="1"/>
  <c r="E571" i="27" s="1"/>
  <c r="H93" i="26"/>
  <c r="H96" i="26" s="1"/>
  <c r="H102" i="26" s="1"/>
  <c r="H103" i="26" s="1"/>
  <c r="D110" i="26"/>
  <c r="D134" i="25"/>
  <c r="H116" i="25"/>
  <c r="H119" i="25" s="1"/>
  <c r="H139" i="25"/>
  <c r="F157" i="25"/>
  <c r="H92" i="25"/>
  <c r="I76" i="25" s="1"/>
  <c r="E541" i="27" s="1"/>
  <c r="F122" i="25"/>
  <c r="H104" i="25"/>
  <c r="H105" i="25" s="1"/>
  <c r="H108" i="25" s="1"/>
  <c r="H109" i="25" s="1"/>
  <c r="H88" i="23"/>
  <c r="I73" i="23" s="1"/>
  <c r="E527" i="27" s="1"/>
  <c r="D111" i="23"/>
  <c r="H94" i="23"/>
  <c r="H97" i="23" s="1"/>
  <c r="H103" i="23" s="1"/>
  <c r="H104" i="23" s="1"/>
  <c r="D382" i="22"/>
  <c r="H365" i="22"/>
  <c r="H368" i="22" s="1"/>
  <c r="H374" i="22" s="1"/>
  <c r="H358" i="22"/>
  <c r="H359" i="22" s="1"/>
  <c r="I344" i="22" s="1"/>
  <c r="E510" i="27" s="1"/>
  <c r="D127" i="22"/>
  <c r="H110" i="22"/>
  <c r="H113" i="22" s="1"/>
  <c r="H119" i="22" s="1"/>
  <c r="H103" i="22"/>
  <c r="H104" i="22" s="1"/>
  <c r="I89" i="22" s="1"/>
  <c r="E495" i="27" s="1"/>
  <c r="F540" i="22"/>
  <c r="H540" i="22" s="1"/>
  <c r="H541" i="22" s="1"/>
  <c r="H523" i="22"/>
  <c r="H524" i="22" s="1"/>
  <c r="H110" i="26" l="1"/>
  <c r="H113" i="26" s="1"/>
  <c r="H119" i="26" s="1"/>
  <c r="H120" i="26" s="1"/>
  <c r="D127" i="26"/>
  <c r="H104" i="26"/>
  <c r="I89" i="26" s="1"/>
  <c r="E572" i="27" s="1"/>
  <c r="H157" i="25"/>
  <c r="F175" i="25"/>
  <c r="H134" i="25"/>
  <c r="H137" i="25" s="1"/>
  <c r="D152" i="25"/>
  <c r="H110" i="25"/>
  <c r="I94" i="25" s="1"/>
  <c r="E542" i="27" s="1"/>
  <c r="H122" i="25"/>
  <c r="H123" i="25" s="1"/>
  <c r="H126" i="25" s="1"/>
  <c r="H127" i="25" s="1"/>
  <c r="F140" i="25"/>
  <c r="H105" i="23"/>
  <c r="I90" i="23" s="1"/>
  <c r="E528" i="27" s="1"/>
  <c r="D128" i="23"/>
  <c r="H111" i="23"/>
  <c r="H114" i="23" s="1"/>
  <c r="H120" i="23" s="1"/>
  <c r="H121" i="23" s="1"/>
  <c r="H120" i="22"/>
  <c r="H121" i="22" s="1"/>
  <c r="I106" i="22" s="1"/>
  <c r="E496" i="27" s="1"/>
  <c r="H127" i="22"/>
  <c r="H130" i="22" s="1"/>
  <c r="H136" i="22" s="1"/>
  <c r="D144" i="22"/>
  <c r="H375" i="22"/>
  <c r="H376" i="22" s="1"/>
  <c r="I361" i="22" s="1"/>
  <c r="E511" i="27" s="1"/>
  <c r="D399" i="22"/>
  <c r="H382" i="22"/>
  <c r="H385" i="22" s="1"/>
  <c r="H391" i="22" s="1"/>
  <c r="D144" i="26" l="1"/>
  <c r="H127" i="26"/>
  <c r="H130" i="26" s="1"/>
  <c r="H136" i="26" s="1"/>
  <c r="H137" i="26" s="1"/>
  <c r="H121" i="26"/>
  <c r="I106" i="26" s="1"/>
  <c r="E573" i="27" s="1"/>
  <c r="H140" i="25"/>
  <c r="H141" i="25" s="1"/>
  <c r="H144" i="25" s="1"/>
  <c r="H145" i="25" s="1"/>
  <c r="F158" i="25"/>
  <c r="H128" i="25"/>
  <c r="I112" i="25" s="1"/>
  <c r="E543" i="27" s="1"/>
  <c r="D170" i="25"/>
  <c r="H152" i="25"/>
  <c r="H155" i="25" s="1"/>
  <c r="F193" i="25"/>
  <c r="H175" i="25"/>
  <c r="H122" i="23"/>
  <c r="I107" i="23" s="1"/>
  <c r="E529" i="27" s="1"/>
  <c r="H128" i="23"/>
  <c r="H131" i="23" s="1"/>
  <c r="H137" i="23" s="1"/>
  <c r="H138" i="23" s="1"/>
  <c r="D145" i="23"/>
  <c r="H145" i="23" s="1"/>
  <c r="H148" i="23" s="1"/>
  <c r="H154" i="23" s="1"/>
  <c r="H155" i="23" s="1"/>
  <c r="H399" i="22"/>
  <c r="H402" i="22" s="1"/>
  <c r="H408" i="22" s="1"/>
  <c r="D416" i="22"/>
  <c r="H392" i="22"/>
  <c r="H393" i="22" s="1"/>
  <c r="I378" i="22" s="1"/>
  <c r="E512" i="27" s="1"/>
  <c r="H144" i="22"/>
  <c r="H147" i="22" s="1"/>
  <c r="H153" i="22" s="1"/>
  <c r="D161" i="22"/>
  <c r="H137" i="22"/>
  <c r="H138" i="22" s="1"/>
  <c r="I123" i="22" s="1"/>
  <c r="E497" i="27" s="1"/>
  <c r="H138" i="26" l="1"/>
  <c r="I123" i="26" s="1"/>
  <c r="E574" i="27" s="1"/>
  <c r="H144" i="26"/>
  <c r="H147" i="26" s="1"/>
  <c r="H153" i="26" s="1"/>
  <c r="D161" i="26"/>
  <c r="H170" i="25"/>
  <c r="H173" i="25" s="1"/>
  <c r="D188" i="25"/>
  <c r="F176" i="25"/>
  <c r="H158" i="25"/>
  <c r="H159" i="25" s="1"/>
  <c r="H162" i="25" s="1"/>
  <c r="H163" i="25" s="1"/>
  <c r="H146" i="25"/>
  <c r="I130" i="25" s="1"/>
  <c r="E544" i="27" s="1"/>
  <c r="H193" i="25"/>
  <c r="F211" i="25"/>
  <c r="H156" i="23"/>
  <c r="I141" i="23" s="1"/>
  <c r="E531" i="27" s="1"/>
  <c r="H139" i="23"/>
  <c r="I124" i="23" s="1"/>
  <c r="E530" i="27" s="1"/>
  <c r="H154" i="22"/>
  <c r="H155" i="22" s="1"/>
  <c r="I140" i="22" s="1"/>
  <c r="E498" i="27" s="1"/>
  <c r="H416" i="22"/>
  <c r="H419" i="22" s="1"/>
  <c r="H425" i="22" s="1"/>
  <c r="D433" i="22"/>
  <c r="D178" i="22"/>
  <c r="H161" i="22"/>
  <c r="H164" i="22" s="1"/>
  <c r="H170" i="22" s="1"/>
  <c r="H409" i="22"/>
  <c r="H410" i="22" s="1"/>
  <c r="I395" i="22" s="1"/>
  <c r="E513" i="27" s="1"/>
  <c r="H154" i="26" l="1"/>
  <c r="H155" i="26" s="1"/>
  <c r="I140" i="26" s="1"/>
  <c r="E575" i="27" s="1"/>
  <c r="H161" i="26"/>
  <c r="H164" i="26" s="1"/>
  <c r="H170" i="26" s="1"/>
  <c r="H171" i="26" s="1"/>
  <c r="D178" i="26"/>
  <c r="H211" i="25"/>
  <c r="F229" i="25"/>
  <c r="H164" i="25"/>
  <c r="I148" i="25" s="1"/>
  <c r="E545" i="27" s="1"/>
  <c r="H176" i="25"/>
  <c r="H177" i="25" s="1"/>
  <c r="H180" i="25" s="1"/>
  <c r="H181" i="25" s="1"/>
  <c r="F194" i="25"/>
  <c r="D206" i="25"/>
  <c r="H188" i="25"/>
  <c r="H191" i="25" s="1"/>
  <c r="H426" i="22"/>
  <c r="H427" i="22" s="1"/>
  <c r="I412" i="22" s="1"/>
  <c r="E514" i="27" s="1"/>
  <c r="H171" i="22"/>
  <c r="H172" i="22" s="1"/>
  <c r="I157" i="22" s="1"/>
  <c r="E499" i="27" s="1"/>
  <c r="D195" i="22"/>
  <c r="H178" i="22"/>
  <c r="H181" i="22" s="1"/>
  <c r="H187" i="22" s="1"/>
  <c r="H433" i="22"/>
  <c r="H436" i="22" s="1"/>
  <c r="H442" i="22" s="1"/>
  <c r="D450" i="22"/>
  <c r="H178" i="26" l="1"/>
  <c r="H181" i="26" s="1"/>
  <c r="H187" i="26" s="1"/>
  <c r="H188" i="26" s="1"/>
  <c r="D195" i="26"/>
  <c r="H172" i="26"/>
  <c r="I157" i="26" s="1"/>
  <c r="E576" i="27" s="1"/>
  <c r="D224" i="25"/>
  <c r="H206" i="25"/>
  <c r="H209" i="25" s="1"/>
  <c r="H194" i="25"/>
  <c r="H195" i="25" s="1"/>
  <c r="H198" i="25" s="1"/>
  <c r="H199" i="25" s="1"/>
  <c r="F212" i="25"/>
  <c r="H182" i="25"/>
  <c r="I166" i="25" s="1"/>
  <c r="E546" i="27" s="1"/>
  <c r="F247" i="25"/>
  <c r="H229" i="25"/>
  <c r="D467" i="22"/>
  <c r="H450" i="22"/>
  <c r="H453" i="22" s="1"/>
  <c r="H459" i="22" s="1"/>
  <c r="H443" i="22"/>
  <c r="H444" i="22" s="1"/>
  <c r="I429" i="22" s="1"/>
  <c r="E515" i="27" s="1"/>
  <c r="H188" i="22"/>
  <c r="H189" i="22" s="1"/>
  <c r="I174" i="22" s="1"/>
  <c r="E500" i="27" s="1"/>
  <c r="D212" i="22"/>
  <c r="H195" i="22"/>
  <c r="H198" i="22" s="1"/>
  <c r="H204" i="22" s="1"/>
  <c r="D212" i="26" l="1"/>
  <c r="H195" i="26"/>
  <c r="H198" i="26" s="1"/>
  <c r="H204" i="26" s="1"/>
  <c r="H189" i="26"/>
  <c r="I174" i="26" s="1"/>
  <c r="E577" i="27" s="1"/>
  <c r="F230" i="25"/>
  <c r="H212" i="25"/>
  <c r="H213" i="25" s="1"/>
  <c r="H216" i="25" s="1"/>
  <c r="H217" i="25" s="1"/>
  <c r="H200" i="25"/>
  <c r="I184" i="25" s="1"/>
  <c r="E547" i="27" s="1"/>
  <c r="H224" i="25"/>
  <c r="H227" i="25" s="1"/>
  <c r="D242" i="25"/>
  <c r="H247" i="25"/>
  <c r="F265" i="25"/>
  <c r="H460" i="22"/>
  <c r="H461" i="22" s="1"/>
  <c r="I446" i="22" s="1"/>
  <c r="E516" i="27" s="1"/>
  <c r="D484" i="22"/>
  <c r="H467" i="22"/>
  <c r="H470" i="22" s="1"/>
  <c r="H476" i="22" s="1"/>
  <c r="H205" i="22"/>
  <c r="H206" i="22" s="1"/>
  <c r="I191" i="22" s="1"/>
  <c r="E501" i="27" s="1"/>
  <c r="H212" i="22"/>
  <c r="H215" i="22" s="1"/>
  <c r="H221" i="22" s="1"/>
  <c r="D229" i="22"/>
  <c r="H229" i="22" s="1"/>
  <c r="H232" i="22" s="1"/>
  <c r="H238" i="22" s="1"/>
  <c r="H205" i="26" l="1"/>
  <c r="H206" i="26" s="1"/>
  <c r="I191" i="26" s="1"/>
  <c r="E578" i="27" s="1"/>
  <c r="D229" i="26"/>
  <c r="H212" i="26"/>
  <c r="H215" i="26" s="1"/>
  <c r="H221" i="26" s="1"/>
  <c r="H222" i="26" s="1"/>
  <c r="H265" i="25"/>
  <c r="F283" i="25"/>
  <c r="H242" i="25"/>
  <c r="H245" i="25" s="1"/>
  <c r="D260" i="25"/>
  <c r="H218" i="25"/>
  <c r="I202" i="25" s="1"/>
  <c r="E548" i="27" s="1"/>
  <c r="F248" i="25"/>
  <c r="H230" i="25"/>
  <c r="H231" i="25" s="1"/>
  <c r="H234" i="25" s="1"/>
  <c r="H235" i="25" s="1"/>
  <c r="H239" i="22"/>
  <c r="H240" i="22" s="1"/>
  <c r="I225" i="22" s="1"/>
  <c r="E503" i="27" s="1"/>
  <c r="H222" i="22"/>
  <c r="H223" i="22" s="1"/>
  <c r="I208" i="22" s="1"/>
  <c r="E502" i="27" s="1"/>
  <c r="H477" i="22"/>
  <c r="H478" i="22" s="1"/>
  <c r="I463" i="22" s="1"/>
  <c r="E517" i="27" s="1"/>
  <c r="H484" i="22"/>
  <c r="H487" i="22" s="1"/>
  <c r="H493" i="22" s="1"/>
  <c r="D501" i="22"/>
  <c r="H223" i="26" l="1"/>
  <c r="I208" i="26" s="1"/>
  <c r="E579" i="27" s="1"/>
  <c r="H229" i="26"/>
  <c r="H232" i="26" s="1"/>
  <c r="H238" i="26" s="1"/>
  <c r="D246" i="26"/>
  <c r="H236" i="25"/>
  <c r="I220" i="25" s="1"/>
  <c r="E549" i="27" s="1"/>
  <c r="F266" i="25"/>
  <c r="H248" i="25"/>
  <c r="H249" i="25" s="1"/>
  <c r="H252" i="25" s="1"/>
  <c r="H253" i="25" s="1"/>
  <c r="D278" i="25"/>
  <c r="H260" i="25"/>
  <c r="H263" i="25" s="1"/>
  <c r="H283" i="25"/>
  <c r="F301" i="25"/>
  <c r="H501" i="22"/>
  <c r="H504" i="22" s="1"/>
  <c r="H510" i="22" s="1"/>
  <c r="D518" i="22"/>
  <c r="H494" i="22"/>
  <c r="H495" i="22" s="1"/>
  <c r="I480" i="22" s="1"/>
  <c r="E518" i="27" s="1"/>
  <c r="H239" i="26" l="1"/>
  <c r="H240" i="26" s="1"/>
  <c r="I225" i="26" s="1"/>
  <c r="E580" i="27" s="1"/>
  <c r="D263" i="26"/>
  <c r="H246" i="26"/>
  <c r="H249" i="26" s="1"/>
  <c r="H255" i="26" s="1"/>
  <c r="F319" i="25"/>
  <c r="H301" i="25"/>
  <c r="H278" i="25"/>
  <c r="H281" i="25" s="1"/>
  <c r="D296" i="25"/>
  <c r="H254" i="25"/>
  <c r="I238" i="25" s="1"/>
  <c r="E550" i="27" s="1"/>
  <c r="F284" i="25"/>
  <c r="H266" i="25"/>
  <c r="H267" i="25" s="1"/>
  <c r="H270" i="25" s="1"/>
  <c r="H271" i="25" s="1"/>
  <c r="H518" i="22"/>
  <c r="H521" i="22" s="1"/>
  <c r="H527" i="22" s="1"/>
  <c r="D535" i="22"/>
  <c r="H535" i="22" s="1"/>
  <c r="H538" i="22" s="1"/>
  <c r="H544" i="22" s="1"/>
  <c r="H511" i="22"/>
  <c r="H512" i="22" s="1"/>
  <c r="I497" i="22" s="1"/>
  <c r="E519" i="27" s="1"/>
  <c r="H256" i="26" l="1"/>
  <c r="H257" i="26" s="1"/>
  <c r="I242" i="26" s="1"/>
  <c r="E581" i="27" s="1"/>
  <c r="H263" i="26"/>
  <c r="H266" i="26" s="1"/>
  <c r="H272" i="26" s="1"/>
  <c r="D280" i="26"/>
  <c r="H272" i="25"/>
  <c r="I256" i="25" s="1"/>
  <c r="E551" i="27" s="1"/>
  <c r="F302" i="25"/>
  <c r="H284" i="25"/>
  <c r="H285" i="25" s="1"/>
  <c r="H288" i="25" s="1"/>
  <c r="H289" i="25" s="1"/>
  <c r="H296" i="25"/>
  <c r="H299" i="25" s="1"/>
  <c r="D314" i="25"/>
  <c r="H319" i="25"/>
  <c r="F337" i="25"/>
  <c r="H545" i="22"/>
  <c r="H546" i="22" s="1"/>
  <c r="I531" i="22" s="1"/>
  <c r="E521" i="27" s="1"/>
  <c r="H528" i="22"/>
  <c r="H529" i="22" s="1"/>
  <c r="I514" i="22" s="1"/>
  <c r="E520" i="27" s="1"/>
  <c r="H273" i="26" l="1"/>
  <c r="H274" i="26" s="1"/>
  <c r="I259" i="26" s="1"/>
  <c r="E582" i="27" s="1"/>
  <c r="D297" i="26"/>
  <c r="H280" i="26"/>
  <c r="H283" i="26" s="1"/>
  <c r="H289" i="26" s="1"/>
  <c r="H290" i="26" s="1"/>
  <c r="H337" i="25"/>
  <c r="F355" i="25"/>
  <c r="D332" i="25"/>
  <c r="H314" i="25"/>
  <c r="H317" i="25" s="1"/>
  <c r="H290" i="25"/>
  <c r="I274" i="25" s="1"/>
  <c r="E552" i="27" s="1"/>
  <c r="H302" i="25"/>
  <c r="H303" i="25" s="1"/>
  <c r="H306" i="25" s="1"/>
  <c r="H307" i="25" s="1"/>
  <c r="F320" i="25"/>
  <c r="H291" i="26" l="1"/>
  <c r="I276" i="26" s="1"/>
  <c r="E583" i="27" s="1"/>
  <c r="H297" i="26"/>
  <c r="H300" i="26" s="1"/>
  <c r="H306" i="26" s="1"/>
  <c r="D314" i="26"/>
  <c r="F338" i="25"/>
  <c r="H320" i="25"/>
  <c r="H321" i="25" s="1"/>
  <c r="H324" i="25" s="1"/>
  <c r="H325" i="25" s="1"/>
  <c r="H308" i="25"/>
  <c r="I292" i="25" s="1"/>
  <c r="E553" i="27" s="1"/>
  <c r="H332" i="25"/>
  <c r="H335" i="25" s="1"/>
  <c r="D350" i="25"/>
  <c r="H355" i="25"/>
  <c r="F373" i="25"/>
  <c r="H307" i="26" l="1"/>
  <c r="H308" i="26" s="1"/>
  <c r="I293" i="26" s="1"/>
  <c r="E584" i="27" s="1"/>
  <c r="H314" i="26"/>
  <c r="H317" i="26" s="1"/>
  <c r="H323" i="26" s="1"/>
  <c r="D331" i="26"/>
  <c r="H373" i="25"/>
  <c r="F391" i="25"/>
  <c r="D368" i="25"/>
  <c r="H350" i="25"/>
  <c r="H353" i="25" s="1"/>
  <c r="H326" i="25"/>
  <c r="I310" i="25" s="1"/>
  <c r="E554" i="27" s="1"/>
  <c r="F356" i="25"/>
  <c r="H338" i="25"/>
  <c r="H339" i="25" s="1"/>
  <c r="H342" i="25" s="1"/>
  <c r="H343" i="25" s="1"/>
  <c r="H324" i="26" l="1"/>
  <c r="H325" i="26" s="1"/>
  <c r="I310" i="26" s="1"/>
  <c r="E585" i="27" s="1"/>
  <c r="H331" i="26"/>
  <c r="H334" i="26" s="1"/>
  <c r="H340" i="26" s="1"/>
  <c r="D348" i="26"/>
  <c r="H344" i="25"/>
  <c r="I328" i="25" s="1"/>
  <c r="E555" i="27" s="1"/>
  <c r="H356" i="25"/>
  <c r="H357" i="25" s="1"/>
  <c r="H360" i="25" s="1"/>
  <c r="H361" i="25" s="1"/>
  <c r="F374" i="25"/>
  <c r="D386" i="25"/>
  <c r="H368" i="25"/>
  <c r="H371" i="25" s="1"/>
  <c r="H391" i="25"/>
  <c r="F409" i="25"/>
  <c r="H341" i="26" l="1"/>
  <c r="H342" i="26" s="1"/>
  <c r="I327" i="26" s="1"/>
  <c r="E586" i="27" s="1"/>
  <c r="D365" i="26"/>
  <c r="H348" i="26"/>
  <c r="H351" i="26" s="1"/>
  <c r="H357" i="26" s="1"/>
  <c r="H362" i="25"/>
  <c r="I346" i="25" s="1"/>
  <c r="E556" i="27" s="1"/>
  <c r="F427" i="25"/>
  <c r="H409" i="25"/>
  <c r="H386" i="25"/>
  <c r="H389" i="25" s="1"/>
  <c r="D404" i="25"/>
  <c r="H374" i="25"/>
  <c r="H375" i="25" s="1"/>
  <c r="H378" i="25" s="1"/>
  <c r="H379" i="25" s="1"/>
  <c r="F392" i="25"/>
  <c r="H358" i="26" l="1"/>
  <c r="H359" i="26" s="1"/>
  <c r="I344" i="26" s="1"/>
  <c r="E587" i="27" s="1"/>
  <c r="D382" i="26"/>
  <c r="H365" i="26"/>
  <c r="H368" i="26" s="1"/>
  <c r="H374" i="26" s="1"/>
  <c r="D422" i="25"/>
  <c r="H404" i="25"/>
  <c r="H407" i="25" s="1"/>
  <c r="F410" i="25"/>
  <c r="H392" i="25"/>
  <c r="H393" i="25" s="1"/>
  <c r="H396" i="25" s="1"/>
  <c r="H397" i="25" s="1"/>
  <c r="H380" i="25"/>
  <c r="I364" i="25" s="1"/>
  <c r="E557" i="27" s="1"/>
  <c r="H427" i="25"/>
  <c r="F445" i="25"/>
  <c r="H375" i="26" l="1"/>
  <c r="H376" i="26" s="1"/>
  <c r="I361" i="26" s="1"/>
  <c r="E588" i="27" s="1"/>
  <c r="D399" i="26"/>
  <c r="H382" i="26"/>
  <c r="H385" i="26" s="1"/>
  <c r="H391" i="26" s="1"/>
  <c r="H392" i="26" s="1"/>
  <c r="F463" i="25"/>
  <c r="H445" i="25"/>
  <c r="H398" i="25"/>
  <c r="I382" i="25" s="1"/>
  <c r="E558" i="27" s="1"/>
  <c r="H410" i="25"/>
  <c r="H411" i="25" s="1"/>
  <c r="H414" i="25" s="1"/>
  <c r="H415" i="25" s="1"/>
  <c r="F428" i="25"/>
  <c r="D440" i="25"/>
  <c r="H422" i="25"/>
  <c r="H425" i="25" s="1"/>
  <c r="H393" i="26" l="1"/>
  <c r="I378" i="26" s="1"/>
  <c r="E589" i="27" s="1"/>
  <c r="D416" i="26"/>
  <c r="H399" i="26"/>
  <c r="H402" i="26" s="1"/>
  <c r="H408" i="26" s="1"/>
  <c r="F481" i="25"/>
  <c r="H463" i="25"/>
  <c r="D458" i="25"/>
  <c r="H440" i="25"/>
  <c r="H443" i="25" s="1"/>
  <c r="F446" i="25"/>
  <c r="H428" i="25"/>
  <c r="H429" i="25" s="1"/>
  <c r="H432" i="25" s="1"/>
  <c r="H433" i="25" s="1"/>
  <c r="H416" i="25"/>
  <c r="I400" i="25" s="1"/>
  <c r="E559" i="27" s="1"/>
  <c r="H409" i="26" l="1"/>
  <c r="H410" i="26" s="1"/>
  <c r="I395" i="26" s="1"/>
  <c r="E590" i="27" s="1"/>
  <c r="H416" i="26"/>
  <c r="H419" i="26" s="1"/>
  <c r="H425" i="26" s="1"/>
  <c r="H426" i="26" s="1"/>
  <c r="D433" i="26"/>
  <c r="F464" i="25"/>
  <c r="H446" i="25"/>
  <c r="H447" i="25" s="1"/>
  <c r="H450" i="25" s="1"/>
  <c r="H451" i="25" s="1"/>
  <c r="H458" i="25"/>
  <c r="H461" i="25" s="1"/>
  <c r="D476" i="25"/>
  <c r="H481" i="25"/>
  <c r="F499" i="25"/>
  <c r="H434" i="25"/>
  <c r="I418" i="25" s="1"/>
  <c r="E560" i="27" s="1"/>
  <c r="D450" i="26" l="1"/>
  <c r="H433" i="26"/>
  <c r="H436" i="26" s="1"/>
  <c r="H442" i="26" s="1"/>
  <c r="H443" i="26" s="1"/>
  <c r="H427" i="26"/>
  <c r="I412" i="26" s="1"/>
  <c r="E591" i="27" s="1"/>
  <c r="H499" i="25"/>
  <c r="F517" i="25"/>
  <c r="H517" i="25" s="1"/>
  <c r="H476" i="25"/>
  <c r="H479" i="25" s="1"/>
  <c r="D494" i="25"/>
  <c r="H452" i="25"/>
  <c r="I436" i="25" s="1"/>
  <c r="E561" i="27" s="1"/>
  <c r="H464" i="25"/>
  <c r="H465" i="25" s="1"/>
  <c r="H468" i="25" s="1"/>
  <c r="H469" i="25" s="1"/>
  <c r="F482" i="25"/>
  <c r="H444" i="26" l="1"/>
  <c r="I429" i="26" s="1"/>
  <c r="E592" i="27" s="1"/>
  <c r="D467" i="26"/>
  <c r="H450" i="26"/>
  <c r="H453" i="26" s="1"/>
  <c r="H459" i="26" s="1"/>
  <c r="H460" i="26" s="1"/>
  <c r="H482" i="25"/>
  <c r="H483" i="25" s="1"/>
  <c r="H486" i="25" s="1"/>
  <c r="H487" i="25" s="1"/>
  <c r="F500" i="25"/>
  <c r="H470" i="25"/>
  <c r="I454" i="25" s="1"/>
  <c r="E562" i="27" s="1"/>
  <c r="H494" i="25"/>
  <c r="H497" i="25" s="1"/>
  <c r="D512" i="25"/>
  <c r="H512" i="25" s="1"/>
  <c r="H515" i="25" s="1"/>
  <c r="H467" i="26" l="1"/>
  <c r="H470" i="26" s="1"/>
  <c r="H476" i="26" s="1"/>
  <c r="D484" i="26"/>
  <c r="H461" i="26"/>
  <c r="I446" i="26" s="1"/>
  <c r="E593" i="27" s="1"/>
  <c r="F518" i="25"/>
  <c r="H518" i="25" s="1"/>
  <c r="H519" i="25" s="1"/>
  <c r="H522" i="25" s="1"/>
  <c r="H523" i="25" s="1"/>
  <c r="H500" i="25"/>
  <c r="H501" i="25" s="1"/>
  <c r="H504" i="25" s="1"/>
  <c r="H505" i="25" s="1"/>
  <c r="H488" i="25"/>
  <c r="I472" i="25" s="1"/>
  <c r="E563" i="27" s="1"/>
  <c r="H477" i="26" l="1"/>
  <c r="H478" i="26" s="1"/>
  <c r="I463" i="26" s="1"/>
  <c r="E594" i="27" s="1"/>
  <c r="D501" i="26"/>
  <c r="H484" i="26"/>
  <c r="H487" i="26" s="1"/>
  <c r="H493" i="26" s="1"/>
  <c r="H506" i="25"/>
  <c r="I490" i="25" s="1"/>
  <c r="E564" i="27" s="1"/>
  <c r="H524" i="25"/>
  <c r="I508" i="25" s="1"/>
  <c r="E565" i="27" s="1"/>
  <c r="H494" i="26" l="1"/>
  <c r="H495" i="26" s="1"/>
  <c r="I480" i="26" s="1"/>
  <c r="E595" i="27" s="1"/>
  <c r="H501" i="26"/>
  <c r="H504" i="26" s="1"/>
  <c r="H510" i="26" s="1"/>
  <c r="H511" i="26" s="1"/>
  <c r="D518" i="26"/>
  <c r="H518" i="26" l="1"/>
  <c r="H521" i="26" s="1"/>
  <c r="H527" i="26" s="1"/>
  <c r="D535" i="26"/>
  <c r="H512" i="26"/>
  <c r="I497" i="26" s="1"/>
  <c r="E596" i="27" s="1"/>
  <c r="H528" i="26" l="1"/>
  <c r="H529" i="26" s="1"/>
  <c r="I514" i="26" s="1"/>
  <c r="E597" i="27" s="1"/>
  <c r="H535" i="26"/>
  <c r="H538" i="26" s="1"/>
  <c r="H544" i="26" s="1"/>
  <c r="H545" i="26" s="1"/>
  <c r="D552" i="26"/>
  <c r="H552" i="26" l="1"/>
  <c r="H555" i="26" s="1"/>
  <c r="H561" i="26" s="1"/>
  <c r="H562" i="26" s="1"/>
  <c r="D569" i="26"/>
  <c r="H546" i="26"/>
  <c r="I531" i="26" s="1"/>
  <c r="E598" i="27" s="1"/>
  <c r="D586" i="26" l="1"/>
  <c r="H569" i="26"/>
  <c r="H572" i="26" s="1"/>
  <c r="H578" i="26" s="1"/>
  <c r="H563" i="26"/>
  <c r="I548" i="26" s="1"/>
  <c r="E599" i="27" s="1"/>
  <c r="H579" i="26" l="1"/>
  <c r="H580" i="26" s="1"/>
  <c r="I565" i="26" s="1"/>
  <c r="E600" i="27" s="1"/>
  <c r="D603" i="26"/>
  <c r="H586" i="26"/>
  <c r="H589" i="26" s="1"/>
  <c r="H595" i="26" s="1"/>
  <c r="H596" i="26" s="1"/>
  <c r="H597" i="26" l="1"/>
  <c r="I582" i="26" s="1"/>
  <c r="E601" i="27" s="1"/>
  <c r="D620" i="26"/>
  <c r="H603" i="26"/>
  <c r="H606" i="26" s="1"/>
  <c r="H612" i="26" s="1"/>
  <c r="H613" i="26" l="1"/>
  <c r="H614" i="26" s="1"/>
  <c r="I599" i="26" s="1"/>
  <c r="E602" i="27" s="1"/>
  <c r="D637" i="26"/>
  <c r="H620" i="26"/>
  <c r="H623" i="26" s="1"/>
  <c r="H629" i="26" s="1"/>
  <c r="H630" i="26" l="1"/>
  <c r="H631" i="26" s="1"/>
  <c r="I616" i="26" s="1"/>
  <c r="E603" i="27" s="1"/>
  <c r="H637" i="26"/>
  <c r="H640" i="26" s="1"/>
  <c r="H646" i="26" s="1"/>
  <c r="H647" i="26" s="1"/>
  <c r="D654" i="26"/>
  <c r="D671" i="26" l="1"/>
  <c r="H654" i="26"/>
  <c r="H657" i="26" s="1"/>
  <c r="H663" i="26" s="1"/>
  <c r="H648" i="26"/>
  <c r="I633" i="26" s="1"/>
  <c r="E604" i="27" s="1"/>
  <c r="H664" i="26" l="1"/>
  <c r="H665" i="26" s="1"/>
  <c r="I650" i="26" s="1"/>
  <c r="E605" i="27" s="1"/>
  <c r="D688" i="26"/>
  <c r="H671" i="26"/>
  <c r="H674" i="26" s="1"/>
  <c r="H680" i="26" s="1"/>
  <c r="H681" i="26" s="1"/>
  <c r="H682" i="26" l="1"/>
  <c r="I667" i="26" s="1"/>
  <c r="E606" i="27" s="1"/>
  <c r="D705" i="26"/>
  <c r="H688" i="26"/>
  <c r="H691" i="26" s="1"/>
  <c r="H697" i="26" s="1"/>
  <c r="H698" i="26" s="1"/>
  <c r="D722" i="26" l="1"/>
  <c r="H705" i="26"/>
  <c r="H708" i="26" s="1"/>
  <c r="H714" i="26" s="1"/>
  <c r="H699" i="26"/>
  <c r="I684" i="26" s="1"/>
  <c r="E607" i="27" s="1"/>
  <c r="H715" i="26" l="1"/>
  <c r="H716" i="26" s="1"/>
  <c r="I701" i="26" s="1"/>
  <c r="E608" i="27" s="1"/>
  <c r="H722" i="26"/>
  <c r="H725" i="26" s="1"/>
  <c r="H731" i="26" s="1"/>
  <c r="D739" i="26"/>
  <c r="H732" i="26" l="1"/>
  <c r="H733" i="26" s="1"/>
  <c r="I718" i="26" s="1"/>
  <c r="E609" i="27" s="1"/>
  <c r="D756" i="26"/>
  <c r="H739" i="26"/>
  <c r="H742" i="26" s="1"/>
  <c r="H748" i="26" s="1"/>
  <c r="H749" i="26" l="1"/>
  <c r="H750" i="26" s="1"/>
  <c r="I735" i="26" s="1"/>
  <c r="E610" i="27" s="1"/>
  <c r="D773" i="26"/>
  <c r="H756" i="26"/>
  <c r="H759" i="26" s="1"/>
  <c r="H765" i="26" s="1"/>
  <c r="H766" i="26" s="1"/>
  <c r="H773" i="26" l="1"/>
  <c r="H776" i="26" s="1"/>
  <c r="H782" i="26" s="1"/>
  <c r="D790" i="26"/>
  <c r="H767" i="26"/>
  <c r="I752" i="26" s="1"/>
  <c r="E611" i="27" s="1"/>
  <c r="H783" i="26" l="1"/>
  <c r="H784" i="26" s="1"/>
  <c r="I769" i="26" s="1"/>
  <c r="E612" i="27" s="1"/>
  <c r="D807" i="26"/>
  <c r="H790" i="26"/>
  <c r="H793" i="26" s="1"/>
  <c r="H799" i="26" s="1"/>
  <c r="H800" i="26" s="1"/>
  <c r="H801" i="26" l="1"/>
  <c r="I786" i="26" s="1"/>
  <c r="E613" i="27" s="1"/>
  <c r="H807" i="26"/>
  <c r="H810" i="26" s="1"/>
  <c r="H816" i="26" s="1"/>
  <c r="D824" i="26"/>
  <c r="H817" i="26" l="1"/>
  <c r="H818" i="26" s="1"/>
  <c r="I803" i="26" s="1"/>
  <c r="E614" i="27" s="1"/>
  <c r="D841" i="26"/>
  <c r="H824" i="26"/>
  <c r="H827" i="26" s="1"/>
  <c r="H833" i="26" s="1"/>
  <c r="H834" i="26" l="1"/>
  <c r="H835" i="26" s="1"/>
  <c r="I820" i="26" s="1"/>
  <c r="E615" i="27" s="1"/>
  <c r="H841" i="26"/>
  <c r="H844" i="26" s="1"/>
  <c r="H850" i="26" s="1"/>
  <c r="D858" i="26"/>
  <c r="H851" i="26" l="1"/>
  <c r="H852" i="26" s="1"/>
  <c r="I837" i="26" s="1"/>
  <c r="E616" i="27" s="1"/>
  <c r="D875" i="26"/>
  <c r="H858" i="26"/>
  <c r="H861" i="26" s="1"/>
  <c r="H867" i="26" s="1"/>
  <c r="H868" i="26" l="1"/>
  <c r="H869" i="26" s="1"/>
  <c r="I854" i="26" s="1"/>
  <c r="E617" i="27" s="1"/>
  <c r="D892" i="26"/>
  <c r="H875" i="26"/>
  <c r="H878" i="26" s="1"/>
  <c r="H884" i="26" s="1"/>
  <c r="H885" i="26" l="1"/>
  <c r="H886" i="26" s="1"/>
  <c r="I871" i="26" s="1"/>
  <c r="E618" i="27" s="1"/>
  <c r="D909" i="26"/>
  <c r="H892" i="26"/>
  <c r="H895" i="26" s="1"/>
  <c r="H901" i="26" s="1"/>
  <c r="H902" i="26" l="1"/>
  <c r="H903" i="26" s="1"/>
  <c r="I888" i="26" s="1"/>
  <c r="E619" i="27" s="1"/>
  <c r="D926" i="26"/>
  <c r="H909" i="26"/>
  <c r="H912" i="26" s="1"/>
  <c r="H918" i="26" s="1"/>
  <c r="H919" i="26" s="1"/>
  <c r="H920" i="26" l="1"/>
  <c r="I905" i="26" s="1"/>
  <c r="E620" i="27" s="1"/>
  <c r="H926" i="26"/>
  <c r="H929" i="26" s="1"/>
  <c r="H936" i="26" s="1"/>
  <c r="D944" i="26"/>
  <c r="H937" i="26" l="1"/>
  <c r="H938" i="26" s="1"/>
  <c r="I922" i="26" s="1"/>
  <c r="E621" i="27" s="1"/>
  <c r="H944" i="26"/>
  <c r="H947" i="26" s="1"/>
  <c r="H954" i="26" s="1"/>
  <c r="D962" i="26"/>
  <c r="H955" i="26" l="1"/>
  <c r="H956" i="26" s="1"/>
  <c r="I940" i="26" s="1"/>
  <c r="E622" i="27" s="1"/>
  <c r="H962" i="26"/>
  <c r="H965" i="26" s="1"/>
  <c r="H971" i="26" s="1"/>
  <c r="H972" i="26" s="1"/>
  <c r="D979" i="26"/>
  <c r="D996" i="26" l="1"/>
  <c r="H979" i="26"/>
  <c r="H982" i="26" s="1"/>
  <c r="H988" i="26" s="1"/>
  <c r="H973" i="26"/>
  <c r="I958" i="26" s="1"/>
  <c r="E623" i="27" s="1"/>
  <c r="H989" i="26" l="1"/>
  <c r="H990" i="26" s="1"/>
  <c r="I975" i="26" s="1"/>
  <c r="E624" i="27" s="1"/>
  <c r="D1013" i="26"/>
  <c r="H996" i="26"/>
  <c r="H999" i="26" s="1"/>
  <c r="H1005" i="26" s="1"/>
  <c r="H1006" i="26" l="1"/>
  <c r="H1007" i="26" s="1"/>
  <c r="I992" i="26" s="1"/>
  <c r="E625" i="27" s="1"/>
  <c r="H1013" i="26"/>
  <c r="H1016" i="26" s="1"/>
  <c r="H1022" i="26" s="1"/>
  <c r="D1030" i="26"/>
  <c r="H1023" i="26" l="1"/>
  <c r="H1024" i="26" s="1"/>
  <c r="I1009" i="26" s="1"/>
  <c r="E626" i="27" s="1"/>
  <c r="D1047" i="26"/>
  <c r="H1030" i="26"/>
  <c r="H1033" i="26" s="1"/>
  <c r="H1039" i="26" s="1"/>
  <c r="H1040" i="26" s="1"/>
  <c r="H1041" i="26" l="1"/>
  <c r="I1026" i="26" s="1"/>
  <c r="E627" i="27" s="1"/>
  <c r="D1064" i="26"/>
  <c r="H1047" i="26"/>
  <c r="H1050" i="26" s="1"/>
  <c r="H1056" i="26" s="1"/>
  <c r="H1057" i="26" s="1"/>
  <c r="H1058" i="26" l="1"/>
  <c r="I1043" i="26" s="1"/>
  <c r="E628" i="27" s="1"/>
  <c r="H1064" i="26"/>
  <c r="H1067" i="26" s="1"/>
  <c r="H1073" i="26" s="1"/>
  <c r="D1081" i="26"/>
  <c r="H1074" i="26" l="1"/>
  <c r="H1075" i="26" s="1"/>
  <c r="I1060" i="26" s="1"/>
  <c r="E629" i="27" s="1"/>
  <c r="D1098" i="26"/>
  <c r="H1081" i="26"/>
  <c r="H1084" i="26" s="1"/>
  <c r="H1090" i="26" s="1"/>
  <c r="H1091" i="26" l="1"/>
  <c r="H1092" i="26" s="1"/>
  <c r="I1077" i="26" s="1"/>
  <c r="E630" i="27" s="1"/>
  <c r="H1098" i="26"/>
  <c r="H1101" i="26" s="1"/>
  <c r="H1107" i="26" s="1"/>
  <c r="H1108" i="26" s="1"/>
  <c r="D1115" i="26"/>
  <c r="H1115" i="26" l="1"/>
  <c r="H1118" i="26" s="1"/>
  <c r="H1124" i="26" s="1"/>
  <c r="D1132" i="26"/>
  <c r="H1109" i="26"/>
  <c r="I1094" i="26" s="1"/>
  <c r="E631" i="27" s="1"/>
  <c r="H1125" i="26" l="1"/>
  <c r="H1126" i="26" s="1"/>
  <c r="I1111" i="26" s="1"/>
  <c r="E632" i="27" s="1"/>
  <c r="D1149" i="26"/>
  <c r="H1132" i="26"/>
  <c r="H1135" i="26" s="1"/>
  <c r="H1141" i="26" s="1"/>
  <c r="H1142" i="26" s="1"/>
  <c r="H1143" i="26" l="1"/>
  <c r="I1128" i="26" s="1"/>
  <c r="E633" i="27" s="1"/>
  <c r="D1166" i="26"/>
  <c r="H1149" i="26"/>
  <c r="H1152" i="26" s="1"/>
  <c r="H1158" i="26" s="1"/>
  <c r="H1159" i="26" s="1"/>
  <c r="H1160" i="26" l="1"/>
  <c r="I1145" i="26" s="1"/>
  <c r="E634" i="27" s="1"/>
  <c r="D1183" i="26"/>
  <c r="H1166" i="26"/>
  <c r="H1169" i="26" s="1"/>
  <c r="H1175" i="26" s="1"/>
  <c r="H1176" i="26" s="1"/>
  <c r="D1200" i="26" l="1"/>
  <c r="H1183" i="26"/>
  <c r="H1186" i="26" s="1"/>
  <c r="H1192" i="26" s="1"/>
  <c r="H1177" i="26"/>
  <c r="I1162" i="26" s="1"/>
  <c r="E635" i="27" s="1"/>
  <c r="H1193" i="26" l="1"/>
  <c r="H1194" i="26" s="1"/>
  <c r="I1179" i="26" s="1"/>
  <c r="E636" i="27" s="1"/>
  <c r="D1217" i="26"/>
  <c r="H1200" i="26"/>
  <c r="H1203" i="26" s="1"/>
  <c r="H1209" i="26" s="1"/>
  <c r="H1210" i="26" l="1"/>
  <c r="H1211" i="26" s="1"/>
  <c r="I1196" i="26" s="1"/>
  <c r="E637" i="27" s="1"/>
  <c r="D1234" i="26"/>
  <c r="H1217" i="26"/>
  <c r="H1220" i="26" s="1"/>
  <c r="H1226" i="26" s="1"/>
  <c r="H1227" i="26" l="1"/>
  <c r="H1228" i="26" s="1"/>
  <c r="I1213" i="26" s="1"/>
  <c r="E638" i="27" s="1"/>
  <c r="D1251" i="26"/>
  <c r="H1234" i="26"/>
  <c r="H1237" i="26" s="1"/>
  <c r="H1243" i="26" s="1"/>
  <c r="H1244" i="26" s="1"/>
  <c r="H1245" i="26" l="1"/>
  <c r="I1230" i="26" s="1"/>
  <c r="E639" i="27" s="1"/>
  <c r="D1268" i="26"/>
  <c r="H1251" i="26"/>
  <c r="H1254" i="26" s="1"/>
  <c r="H1260" i="26" s="1"/>
  <c r="H1261" i="26" l="1"/>
  <c r="H1262" i="26" s="1"/>
  <c r="I1247" i="26" s="1"/>
  <c r="E640" i="27" s="1"/>
  <c r="D1285" i="26"/>
  <c r="H1268" i="26"/>
  <c r="H1271" i="26" s="1"/>
  <c r="H1277" i="26" s="1"/>
  <c r="H1278" i="26" l="1"/>
  <c r="H1279" i="26" s="1"/>
  <c r="I1264" i="26" s="1"/>
  <c r="E641" i="27" s="1"/>
  <c r="D1302" i="26"/>
  <c r="H1285" i="26"/>
  <c r="H1288" i="26" s="1"/>
  <c r="H1294" i="26" s="1"/>
  <c r="H1295" i="26" l="1"/>
  <c r="H1296" i="26" s="1"/>
  <c r="I1281" i="26" s="1"/>
  <c r="E642" i="27" s="1"/>
  <c r="D1319" i="26"/>
  <c r="H1302" i="26"/>
  <c r="H1305" i="26" s="1"/>
  <c r="H1311" i="26" s="1"/>
  <c r="H1312" i="26" l="1"/>
  <c r="H1313" i="26" s="1"/>
  <c r="I1298" i="26" s="1"/>
  <c r="E643" i="27" s="1"/>
  <c r="H1319" i="26"/>
  <c r="H1322" i="26" s="1"/>
  <c r="H1329" i="26" s="1"/>
  <c r="H1330" i="26" s="1"/>
  <c r="D1337" i="26"/>
  <c r="D1355" i="26" l="1"/>
  <c r="H1337" i="26"/>
  <c r="H1340" i="26" s="1"/>
  <c r="H1347" i="26" s="1"/>
  <c r="H1348" i="26" s="1"/>
  <c r="H1331" i="26"/>
  <c r="I1315" i="26" s="1"/>
  <c r="E644" i="27" s="1"/>
  <c r="H1349" i="26" l="1"/>
  <c r="I1333" i="26" s="1"/>
  <c r="E645" i="27" s="1"/>
  <c r="H1355" i="26"/>
  <c r="H1358" i="26" s="1"/>
  <c r="H1364" i="26" s="1"/>
  <c r="H1365" i="26" s="1"/>
  <c r="D1372" i="26"/>
  <c r="H1372" i="26" l="1"/>
  <c r="H1375" i="26" s="1"/>
  <c r="H1381" i="26" s="1"/>
  <c r="H1382" i="26" s="1"/>
  <c r="D1389" i="26"/>
  <c r="H1366" i="26"/>
  <c r="I1351" i="26" s="1"/>
  <c r="E646" i="27" s="1"/>
  <c r="H1383" i="26" l="1"/>
  <c r="I1368" i="26" s="1"/>
  <c r="E647" i="27" s="1"/>
  <c r="D1406" i="26"/>
  <c r="H1389" i="26"/>
  <c r="H1392" i="26" s="1"/>
  <c r="H1398" i="26" s="1"/>
  <c r="H1399" i="26" l="1"/>
  <c r="H1400" i="26" s="1"/>
  <c r="I1385" i="26" s="1"/>
  <c r="E648" i="27" s="1"/>
  <c r="H1406" i="26"/>
  <c r="H1409" i="26" s="1"/>
  <c r="H1415" i="26" s="1"/>
  <c r="H1416" i="26" s="1"/>
  <c r="D1423" i="26"/>
  <c r="H1423" i="26" l="1"/>
  <c r="H1426" i="26" s="1"/>
  <c r="H1432" i="26" s="1"/>
  <c r="H1433" i="26" s="1"/>
  <c r="D1440" i="26"/>
  <c r="H1417" i="26"/>
  <c r="I1402" i="26" s="1"/>
  <c r="E649" i="27" s="1"/>
  <c r="D1457" i="26" l="1"/>
  <c r="H1440" i="26"/>
  <c r="H1443" i="26" s="1"/>
  <c r="H1449" i="26" s="1"/>
  <c r="H1450" i="26" s="1"/>
  <c r="H1434" i="26"/>
  <c r="I1419" i="26" s="1"/>
  <c r="E650" i="27" s="1"/>
  <c r="H1451" i="26" l="1"/>
  <c r="I1436" i="26" s="1"/>
  <c r="E651" i="27" s="1"/>
  <c r="H1457" i="26"/>
  <c r="H1460" i="26" s="1"/>
  <c r="H1466" i="26" s="1"/>
  <c r="H1467" i="26" s="1"/>
  <c r="D1474" i="26"/>
  <c r="H1474" i="26" l="1"/>
  <c r="H1477" i="26" s="1"/>
  <c r="H1483" i="26" s="1"/>
  <c r="D1491" i="26"/>
  <c r="H1468" i="26"/>
  <c r="I1453" i="26" s="1"/>
  <c r="E652" i="27" s="1"/>
  <c r="H1484" i="26" l="1"/>
  <c r="H1485" i="26" s="1"/>
  <c r="I1470" i="26" s="1"/>
  <c r="E653" i="27" s="1"/>
  <c r="H1491" i="26"/>
  <c r="H1494" i="26" s="1"/>
  <c r="H1500" i="26" s="1"/>
  <c r="D1508" i="26"/>
  <c r="H1501" i="26" l="1"/>
  <c r="H1502" i="26" s="1"/>
  <c r="I1487" i="26" s="1"/>
  <c r="E654" i="27" s="1"/>
  <c r="D1525" i="26"/>
  <c r="H1508" i="26"/>
  <c r="H1511" i="26" s="1"/>
  <c r="H1517" i="26" s="1"/>
  <c r="H1518" i="26" l="1"/>
  <c r="H1519" i="26" s="1"/>
  <c r="I1504" i="26" s="1"/>
  <c r="E655" i="27" s="1"/>
  <c r="H1525" i="26"/>
  <c r="H1528" i="26" s="1"/>
  <c r="H1534" i="26" s="1"/>
  <c r="D1542" i="26"/>
  <c r="H1535" i="26" l="1"/>
  <c r="H1536" i="26" s="1"/>
  <c r="I1521" i="26" s="1"/>
  <c r="E656" i="27" s="1"/>
  <c r="H1542" i="26"/>
  <c r="H1545" i="26" s="1"/>
  <c r="H1551" i="26" s="1"/>
  <c r="D1559" i="26"/>
  <c r="H1552" i="26" l="1"/>
  <c r="H1553" i="26" s="1"/>
  <c r="I1538" i="26" s="1"/>
  <c r="E657" i="27" s="1"/>
  <c r="D1576" i="26"/>
  <c r="H1559" i="26"/>
  <c r="H1562" i="26" s="1"/>
  <c r="H1568" i="26" s="1"/>
  <c r="H1569" i="26" l="1"/>
  <c r="H1570" i="26" s="1"/>
  <c r="I1555" i="26" s="1"/>
  <c r="E658" i="27" s="1"/>
  <c r="D1593" i="26"/>
  <c r="H1576" i="26"/>
  <c r="H1579" i="26" s="1"/>
  <c r="H1585" i="26" s="1"/>
  <c r="H1586" i="26" s="1"/>
  <c r="H1587" i="26" l="1"/>
  <c r="I1572" i="26" s="1"/>
  <c r="E659" i="27" s="1"/>
  <c r="D1610" i="26"/>
  <c r="H1593" i="26"/>
  <c r="H1596" i="26" s="1"/>
  <c r="H1602" i="26" s="1"/>
  <c r="H1603" i="26" s="1"/>
  <c r="H1604" i="26" l="1"/>
  <c r="I1589" i="26" s="1"/>
  <c r="E660" i="27" s="1"/>
  <c r="H1610" i="26"/>
  <c r="H1613" i="26" s="1"/>
  <c r="H1619" i="26" s="1"/>
  <c r="D1627" i="26"/>
  <c r="H1620" i="26" l="1"/>
  <c r="H1621" i="26" s="1"/>
  <c r="I1606" i="26" s="1"/>
  <c r="E661" i="27" s="1"/>
  <c r="D1644" i="26"/>
  <c r="H1627" i="26"/>
  <c r="H1630" i="26" s="1"/>
  <c r="H1636" i="26" s="1"/>
  <c r="H1637" i="26" s="1"/>
  <c r="H1638" i="26" l="1"/>
  <c r="I1623" i="26" s="1"/>
  <c r="E662" i="27" s="1"/>
  <c r="D1661" i="26"/>
  <c r="H1644" i="26"/>
  <c r="H1647" i="26" s="1"/>
  <c r="H1653" i="26" s="1"/>
  <c r="H1654" i="26" l="1"/>
  <c r="H1655" i="26" s="1"/>
  <c r="I1640" i="26" s="1"/>
  <c r="E663" i="27" s="1"/>
  <c r="D1678" i="26"/>
  <c r="H1661" i="26"/>
  <c r="H1664" i="26" s="1"/>
  <c r="H1670" i="26" s="1"/>
  <c r="H1671" i="26" l="1"/>
  <c r="H1672" i="26" s="1"/>
  <c r="I1657" i="26" s="1"/>
  <c r="E664" i="27" s="1"/>
  <c r="D1695" i="26"/>
  <c r="H1678" i="26"/>
  <c r="H1681" i="26" s="1"/>
  <c r="H1687" i="26" s="1"/>
  <c r="H1688" i="26" l="1"/>
  <c r="H1689" i="26" s="1"/>
  <c r="I1674" i="26" s="1"/>
  <c r="E665" i="27" s="1"/>
  <c r="H1695" i="26"/>
  <c r="H1698" i="26" s="1"/>
  <c r="H1704" i="26" s="1"/>
  <c r="D1712" i="26"/>
  <c r="H1705" i="26" l="1"/>
  <c r="H1706" i="26" s="1"/>
  <c r="I1691" i="26" s="1"/>
  <c r="E666" i="27" s="1"/>
  <c r="H1712" i="26"/>
  <c r="H1715" i="26" s="1"/>
  <c r="H1721" i="26" s="1"/>
  <c r="D1729" i="26"/>
  <c r="H1722" i="26" l="1"/>
  <c r="H1723" i="26" s="1"/>
  <c r="I1708" i="26" s="1"/>
  <c r="E667" i="27" s="1"/>
  <c r="H1729" i="26"/>
  <c r="H1732" i="26" s="1"/>
  <c r="H1738" i="26" s="1"/>
  <c r="H1739" i="26" s="1"/>
  <c r="D1746" i="26"/>
  <c r="H1746" i="26" l="1"/>
  <c r="H1749" i="26" s="1"/>
  <c r="H1755" i="26" s="1"/>
  <c r="H1756" i="26" s="1"/>
  <c r="D1763" i="26"/>
  <c r="H1740" i="26"/>
  <c r="I1725" i="26" s="1"/>
  <c r="E668" i="27" s="1"/>
  <c r="H1763" i="26" l="1"/>
  <c r="H1766" i="26" s="1"/>
  <c r="H1772" i="26" s="1"/>
  <c r="H1773" i="26" s="1"/>
  <c r="D1780" i="26"/>
  <c r="H1757" i="26"/>
  <c r="I1742" i="26" s="1"/>
  <c r="E669" i="27" s="1"/>
  <c r="H1780" i="26" l="1"/>
  <c r="H1783" i="26" s="1"/>
  <c r="H1789" i="26" s="1"/>
  <c r="D1797" i="26"/>
  <c r="H1774" i="26"/>
  <c r="I1759" i="26" s="1"/>
  <c r="E670" i="27" s="1"/>
  <c r="H1790" i="26" l="1"/>
  <c r="H1791" i="26" s="1"/>
  <c r="I1776" i="26" s="1"/>
  <c r="E671" i="27" s="1"/>
  <c r="D1814" i="26"/>
  <c r="H1797" i="26"/>
  <c r="H1800" i="26" s="1"/>
  <c r="H1806" i="26" s="1"/>
  <c r="H1807" i="26" l="1"/>
  <c r="H1808" i="26" s="1"/>
  <c r="I1793" i="26" s="1"/>
  <c r="E672" i="27" s="1"/>
  <c r="D1831" i="26"/>
  <c r="H1814" i="26"/>
  <c r="H1817" i="26" s="1"/>
  <c r="H1823" i="26" s="1"/>
  <c r="H1824" i="26" l="1"/>
  <c r="H1825" i="26" s="1"/>
  <c r="I1810" i="26" s="1"/>
  <c r="E673" i="27" s="1"/>
  <c r="H1831" i="26"/>
  <c r="H1834" i="26" s="1"/>
  <c r="H1840" i="26" s="1"/>
  <c r="D1848" i="26"/>
  <c r="H1841" i="26" l="1"/>
  <c r="H1842" i="26" s="1"/>
  <c r="I1827" i="26" s="1"/>
  <c r="E674" i="27" s="1"/>
  <c r="H1848" i="26"/>
  <c r="H1851" i="26" s="1"/>
  <c r="H1857" i="26" s="1"/>
  <c r="D1865" i="26"/>
  <c r="H1858" i="26" l="1"/>
  <c r="H1859" i="26" s="1"/>
  <c r="I1844" i="26" s="1"/>
  <c r="E675" i="27" s="1"/>
  <c r="H1865" i="26"/>
  <c r="H1868" i="26" s="1"/>
  <c r="H1874" i="26" s="1"/>
  <c r="H1875" i="26" s="1"/>
  <c r="D1882" i="26"/>
  <c r="H1882" i="26" l="1"/>
  <c r="H1885" i="26" s="1"/>
  <c r="H1891" i="26" s="1"/>
  <c r="D1899" i="26"/>
  <c r="H1876" i="26"/>
  <c r="I1861" i="26" s="1"/>
  <c r="E676" i="27" s="1"/>
  <c r="H1892" i="26" l="1"/>
  <c r="H1893" i="26" s="1"/>
  <c r="I1878" i="26" s="1"/>
  <c r="E677" i="27" s="1"/>
  <c r="D1916" i="26"/>
  <c r="H1899" i="26"/>
  <c r="H1902" i="26" s="1"/>
  <c r="H1908" i="26" s="1"/>
  <c r="H1909" i="26" l="1"/>
  <c r="H1910" i="26" s="1"/>
  <c r="I1895" i="26" s="1"/>
  <c r="E678" i="27" s="1"/>
  <c r="D1934" i="26"/>
  <c r="H1916" i="26"/>
  <c r="H1919" i="26" s="1"/>
  <c r="H1926" i="26" s="1"/>
  <c r="H1927" i="26" l="1"/>
  <c r="H1928" i="26" s="1"/>
  <c r="I1912" i="26" s="1"/>
  <c r="E679" i="27" s="1"/>
  <c r="H1934" i="26"/>
  <c r="H1937" i="26" s="1"/>
  <c r="H1944" i="26" s="1"/>
  <c r="D1952" i="26"/>
  <c r="H1945" i="26" l="1"/>
  <c r="H1946" i="26" s="1"/>
  <c r="I1930" i="26" s="1"/>
  <c r="E680" i="27" s="1"/>
  <c r="H1952" i="26"/>
  <c r="H1955" i="26" s="1"/>
  <c r="H1961" i="26" s="1"/>
  <c r="D1969" i="26"/>
  <c r="H1962" i="26" l="1"/>
  <c r="H1963" i="26" s="1"/>
  <c r="I1948" i="26" s="1"/>
  <c r="E681" i="27" s="1"/>
  <c r="D1986" i="26"/>
  <c r="H1969" i="26"/>
  <c r="H1972" i="26" s="1"/>
  <c r="H1978" i="26" s="1"/>
  <c r="H1979" i="26" l="1"/>
  <c r="H1980" i="26" s="1"/>
  <c r="I1965" i="26" s="1"/>
  <c r="E682" i="27" s="1"/>
  <c r="D2003" i="26"/>
  <c r="H1986" i="26"/>
  <c r="H1989" i="26" s="1"/>
  <c r="H1995" i="26" s="1"/>
  <c r="H1996" i="26" l="1"/>
  <c r="H1997" i="26" s="1"/>
  <c r="I1982" i="26" s="1"/>
  <c r="E683" i="27" s="1"/>
  <c r="H2003" i="26"/>
  <c r="H2006" i="26" s="1"/>
  <c r="H2012" i="26" s="1"/>
  <c r="D2020" i="26"/>
  <c r="H2013" i="26" l="1"/>
  <c r="H2014" i="26" s="1"/>
  <c r="I1999" i="26" s="1"/>
  <c r="E684" i="27" s="1"/>
  <c r="D2037" i="26"/>
  <c r="H2020" i="26"/>
  <c r="H2023" i="26" s="1"/>
  <c r="H2029" i="26" s="1"/>
  <c r="H2030" i="26" l="1"/>
  <c r="H2031" i="26" s="1"/>
  <c r="I2016" i="26" s="1"/>
  <c r="E685" i="27" s="1"/>
  <c r="D2054" i="26"/>
  <c r="H2037" i="26"/>
  <c r="H2040" i="26" s="1"/>
  <c r="H2046" i="26" s="1"/>
  <c r="H2047" i="26" l="1"/>
  <c r="H2048" i="26" s="1"/>
  <c r="I2033" i="26" s="1"/>
  <c r="E686" i="27" s="1"/>
  <c r="H2054" i="26"/>
  <c r="H2057" i="26" s="1"/>
  <c r="H2063" i="26" s="1"/>
  <c r="H2064" i="26" s="1"/>
  <c r="D2071" i="26"/>
  <c r="H2071" i="26" l="1"/>
  <c r="H2074" i="26" s="1"/>
  <c r="H2080" i="26" s="1"/>
  <c r="H2081" i="26" s="1"/>
  <c r="H2082" i="26" s="1"/>
  <c r="I2067" i="26" s="1"/>
  <c r="E688" i="27" s="1"/>
  <c r="D2088" i="26"/>
  <c r="H2065" i="26"/>
  <c r="I2050" i="26" s="1"/>
  <c r="E687" i="27" s="1"/>
  <c r="H2088" i="26" l="1"/>
  <c r="H2091" i="26" s="1"/>
  <c r="H2097" i="26" s="1"/>
  <c r="H2098" i="26" s="1"/>
  <c r="D2105" i="26"/>
  <c r="D2122" i="26" l="1"/>
  <c r="H2105" i="26"/>
  <c r="H2108" i="26" s="1"/>
  <c r="H2114" i="26" s="1"/>
  <c r="H2115" i="26" s="1"/>
  <c r="H2099" i="26"/>
  <c r="I2084" i="26" s="1"/>
  <c r="E689" i="27" s="1"/>
  <c r="H2116" i="26" l="1"/>
  <c r="I2101" i="26" s="1"/>
  <c r="E690" i="27" s="1"/>
  <c r="D2139" i="26"/>
  <c r="H2122" i="26"/>
  <c r="H2125" i="26" s="1"/>
  <c r="H2131" i="26" s="1"/>
  <c r="H2132" i="26" l="1"/>
  <c r="H2133" i="26" s="1"/>
  <c r="I2118" i="26" s="1"/>
  <c r="E691" i="27" s="1"/>
  <c r="D2190" i="26"/>
  <c r="H2139" i="26"/>
  <c r="H2142" i="26" s="1"/>
  <c r="H2148" i="26" s="1"/>
  <c r="H2149" i="26" s="1"/>
  <c r="D2156" i="26"/>
  <c r="D2207" i="26" l="1"/>
  <c r="D2173" i="26"/>
  <c r="H2156" i="26"/>
  <c r="H2159" i="26" s="1"/>
  <c r="H2165" i="26" s="1"/>
  <c r="H2190" i="26"/>
  <c r="H2193" i="26" s="1"/>
  <c r="H2199" i="26" s="1"/>
  <c r="D2241" i="26"/>
  <c r="H2241" i="26" s="1"/>
  <c r="H2244" i="26" s="1"/>
  <c r="H2250" i="26" s="1"/>
  <c r="H2150" i="26"/>
  <c r="I2135" i="26" s="1"/>
  <c r="E692" i="27" s="1"/>
  <c r="H2251" i="26" l="1"/>
  <c r="H2252" i="26" s="1"/>
  <c r="I2237" i="26" s="1"/>
  <c r="E698" i="27" s="1"/>
  <c r="H2200" i="26"/>
  <c r="H2201" i="26" s="1"/>
  <c r="I2186" i="26" s="1"/>
  <c r="E695" i="27" s="1"/>
  <c r="H2166" i="26"/>
  <c r="H2167" i="26" s="1"/>
  <c r="I2152" i="26" s="1"/>
  <c r="E693" i="27" s="1"/>
  <c r="H2207" i="26"/>
  <c r="H2210" i="26" s="1"/>
  <c r="H2216" i="26" s="1"/>
  <c r="D2258" i="26"/>
  <c r="H2258" i="26" s="1"/>
  <c r="H2261" i="26" s="1"/>
  <c r="H2267" i="26" s="1"/>
  <c r="H2173" i="26"/>
  <c r="H2176" i="26" s="1"/>
  <c r="H2182" i="26" s="1"/>
  <c r="D2224" i="26"/>
  <c r="H2268" i="26" l="1"/>
  <c r="H2269" i="26" s="1"/>
  <c r="I2254" i="26" s="1"/>
  <c r="E699" i="27" s="1"/>
  <c r="H2183" i="26"/>
  <c r="H2184" i="26" s="1"/>
  <c r="I2169" i="26" s="1"/>
  <c r="E694" i="27" s="1"/>
  <c r="H2217" i="26"/>
  <c r="H2218" i="26" s="1"/>
  <c r="I2203" i="26" s="1"/>
  <c r="E696" i="27" s="1"/>
  <c r="H2224" i="26"/>
  <c r="H2227" i="26" s="1"/>
  <c r="H2233" i="26" s="1"/>
  <c r="H2234" i="26" s="1"/>
  <c r="D2275" i="26"/>
  <c r="H2275" i="26" s="1"/>
  <c r="H2278" i="26" s="1"/>
  <c r="H2287" i="26" s="1"/>
  <c r="H2288" i="26" l="1"/>
  <c r="H2289" i="26" s="1"/>
  <c r="I2271" i="26" s="1"/>
  <c r="E700" i="27" s="1"/>
  <c r="H2235" i="26"/>
  <c r="I2220" i="26" s="1"/>
  <c r="E697" i="27" s="1"/>
</calcChain>
</file>

<file path=xl/sharedStrings.xml><?xml version="1.0" encoding="utf-8"?>
<sst xmlns="http://schemas.openxmlformats.org/spreadsheetml/2006/main" count="28210" uniqueCount="2421">
  <si>
    <t>NO</t>
  </si>
  <si>
    <t>HARGA SATUAN</t>
  </si>
  <si>
    <t>KETERANGAN</t>
  </si>
  <si>
    <t>I.</t>
  </si>
  <si>
    <t>UPAH</t>
  </si>
  <si>
    <t>Pekerja</t>
  </si>
  <si>
    <t>OH</t>
  </si>
  <si>
    <t>Tukang batu</t>
  </si>
  <si>
    <t>Tukang kayu</t>
  </si>
  <si>
    <t>Tukang besi</t>
  </si>
  <si>
    <t>Tukang pipa</t>
  </si>
  <si>
    <t>Tukang las</t>
  </si>
  <si>
    <t>Tukang cat</t>
  </si>
  <si>
    <t>Tukang erection</t>
  </si>
  <si>
    <t>Tukang alumunium</t>
  </si>
  <si>
    <t>Tukang gali</t>
  </si>
  <si>
    <t>Tukang aspal</t>
  </si>
  <si>
    <t>Tukang listrik</t>
  </si>
  <si>
    <t>Kepala tukang</t>
  </si>
  <si>
    <t>Mandor</t>
  </si>
  <si>
    <t>Administrasi bor</t>
  </si>
  <si>
    <t>Ahli geologist</t>
  </si>
  <si>
    <t>Ahli topografi</t>
  </si>
  <si>
    <t>Crew driller</t>
  </si>
  <si>
    <t>Driller</t>
  </si>
  <si>
    <t>Juru gambar</t>
  </si>
  <si>
    <t>Juru ukur</t>
  </si>
  <si>
    <t>Kenek</t>
  </si>
  <si>
    <t>Koordinator driller</t>
  </si>
  <si>
    <t>Mekanik alat berat</t>
  </si>
  <si>
    <t>Operator alat berat</t>
  </si>
  <si>
    <t>Operator pompa</t>
  </si>
  <si>
    <t>Pembantu driller</t>
  </si>
  <si>
    <t>Pembantu juru ukur</t>
  </si>
  <si>
    <t>Pembantu mekanik alat berat</t>
  </si>
  <si>
    <t>Pembantu operator alat berat</t>
  </si>
  <si>
    <t>Sopir</t>
  </si>
  <si>
    <t>Supir kendaraan &lt;  2 ton (termasuk sedan)</t>
  </si>
  <si>
    <t>II.</t>
  </si>
  <si>
    <t>MATERIAL</t>
  </si>
  <si>
    <t>MATERIAL  TANAH DAN  BATUAN</t>
  </si>
  <si>
    <t>Agregat kasar</t>
  </si>
  <si>
    <t>m3</t>
  </si>
  <si>
    <t>Bata merah</t>
  </si>
  <si>
    <t>buah</t>
  </si>
  <si>
    <t>Bata merah 5 x  11 x  22 cm (per m3)</t>
  </si>
  <si>
    <t>Bata ringan</t>
  </si>
  <si>
    <t>Bata ringan t=10 cm</t>
  </si>
  <si>
    <t>Bata ringan tebal 10 cm</t>
  </si>
  <si>
    <t>Bata ringan tebal 20 cm</t>
  </si>
  <si>
    <t>Bata ringan tebal 7,5 cm</t>
  </si>
  <si>
    <t>Bata rooster</t>
  </si>
  <si>
    <t>Batu alam andesit  bakar</t>
  </si>
  <si>
    <t>m²</t>
  </si>
  <si>
    <t>Batu alam andesit  non bakar</t>
  </si>
  <si>
    <t>Batu belah (base camp - lokasi pekerjaan)</t>
  </si>
  <si>
    <t>Batu belah (quarry - base camp)</t>
  </si>
  <si>
    <t>Batu belah (quarry - lokasi pekerjaan)</t>
  </si>
  <si>
    <t>Batu belah (quarry)</t>
  </si>
  <si>
    <t>Batu candi</t>
  </si>
  <si>
    <t>Batu kali (quarry - base camp)</t>
  </si>
  <si>
    <t>Batu kali (quarry)</t>
  </si>
  <si>
    <t>Batu Muka ukuran 12x18 cm</t>
  </si>
  <si>
    <t>m2</t>
  </si>
  <si>
    <t>Batu paras</t>
  </si>
  <si>
    <t>Batu pecah</t>
  </si>
  <si>
    <t>kg</t>
  </si>
  <si>
    <t>Batu pecah 3/5</t>
  </si>
  <si>
    <t>Batu pecah 5/7</t>
  </si>
  <si>
    <t>Batu putih</t>
  </si>
  <si>
    <t>Batu putih breksi</t>
  </si>
  <si>
    <t>Batu sikat</t>
  </si>
  <si>
    <t>Batu split 1/2</t>
  </si>
  <si>
    <t>Batu split 2/3</t>
  </si>
  <si>
    <t>Batu tempel hitam</t>
  </si>
  <si>
    <t>Fly ash</t>
  </si>
  <si>
    <t>HB-10</t>
  </si>
  <si>
    <t>HB-15</t>
  </si>
  <si>
    <t>HB-20</t>
  </si>
  <si>
    <t>Koral bulat</t>
  </si>
  <si>
    <t>Pasir beton</t>
  </si>
  <si>
    <t>Pasir beton (Base camp - lokasi pekerjaan)</t>
  </si>
  <si>
    <t>Pasir beton (quarry - Base camp)</t>
  </si>
  <si>
    <t>Pasir beton (quarry - lokasi pekerjaan)</t>
  </si>
  <si>
    <t>Pasir beton (quarry)</t>
  </si>
  <si>
    <t>Pasir pasang (quarry - base camp)</t>
  </si>
  <si>
    <t>Pasir pasang (quarry - lokasi pekerjaan)</t>
  </si>
  <si>
    <t>Pasir pasang (quarry)</t>
  </si>
  <si>
    <t>Pasir urug (quarry - base camp)</t>
  </si>
  <si>
    <t>Pasir urug (quarry - lokasi pekerjaan)</t>
  </si>
  <si>
    <t>Pasir Urug (quarry)</t>
  </si>
  <si>
    <t>Serbuk batu granit</t>
  </si>
  <si>
    <t>Serbuk batu traso</t>
  </si>
  <si>
    <t>Sirtu (base camp - lokasi pekerjaan)</t>
  </si>
  <si>
    <t>Sirtu (quarry - base camp)</t>
  </si>
  <si>
    <t>Sirtu (quarry - lokasi pekerjaan)</t>
  </si>
  <si>
    <t>Sirtu (quarry)</t>
  </si>
  <si>
    <t>Tanah biasa (quarry - lokasi pekerjaan)</t>
  </si>
  <si>
    <t>Tanah biasa (quarry)</t>
  </si>
  <si>
    <t>Tanah liat  (quarry)</t>
  </si>
  <si>
    <t>Tanah liat (quarry-lokasi pekerjaan)</t>
  </si>
  <si>
    <t>Tanah padas  (quarry - lokasi pekerjaan)</t>
  </si>
  <si>
    <t>Tanah padas  (quarry)</t>
  </si>
  <si>
    <t>Tanah Pilihan (quarry - lokasi pekerjaan)</t>
  </si>
  <si>
    <t>Tanah Pilihan (quarry)</t>
  </si>
  <si>
    <t>MATERIAL KAYU DAN BAMBU</t>
  </si>
  <si>
    <t>Bambu cerucuk Ø 10 cm panjang 600 cm</t>
  </si>
  <si>
    <t>batang</t>
  </si>
  <si>
    <t>Bambu cerucuk Ø 15 cm panjang 600 cm</t>
  </si>
  <si>
    <t>Bambu Ø 10 cm panjang 600 cm</t>
  </si>
  <si>
    <t>Bambu Ø 6 - 8 cm, pjg 6m</t>
  </si>
  <si>
    <t>Bilik bambu</t>
  </si>
  <si>
    <t>Blockboard tebal 18 mm</t>
  </si>
  <si>
    <t>Dolken kayu φ 8-10 panjang 400 cm</t>
  </si>
  <si>
    <t>m'</t>
  </si>
  <si>
    <t>Kayu balok 6/12 kelas I</t>
  </si>
  <si>
    <t>Kayu balok 6/12 kelas II</t>
  </si>
  <si>
    <t>Kayu balok 6/15 kelas I</t>
  </si>
  <si>
    <t>Kayu balok 6/15 kelas II</t>
  </si>
  <si>
    <t>Kayu kaso 5/7 kelas II</t>
  </si>
  <si>
    <t>Kayu kaso 5/7 kelas III</t>
  </si>
  <si>
    <t>Kayu Meranti (papan)</t>
  </si>
  <si>
    <t>m³</t>
  </si>
  <si>
    <t>Kayu papan 2/20 cm</t>
  </si>
  <si>
    <t>Kayu papan 3/20 cm</t>
  </si>
  <si>
    <t>Kayu papan kelas I</t>
  </si>
  <si>
    <t>Kayu papan kelas II</t>
  </si>
  <si>
    <t>Kayu papan kelas III</t>
  </si>
  <si>
    <t>Kayu sengon (balok)</t>
  </si>
  <si>
    <t>Kayu Sengon (papan)</t>
  </si>
  <si>
    <t>List kayu 2x4 cm</t>
  </si>
  <si>
    <t>List kayu profil</t>
  </si>
  <si>
    <t>Multiplek tebal 0,9 cm</t>
  </si>
  <si>
    <t>lembar</t>
  </si>
  <si>
    <t>Multiplek tebal 12 mm</t>
  </si>
  <si>
    <t>Multiplek tebal 18 mm</t>
  </si>
  <si>
    <t>Perancah kayu</t>
  </si>
  <si>
    <t>Phenol film 12mm</t>
  </si>
  <si>
    <t>Pintu panel kayu lapis timbal uk. 1x2 m</t>
  </si>
  <si>
    <t>unit</t>
  </si>
  <si>
    <t>Plywood 12 mm</t>
  </si>
  <si>
    <t>Plywood 6 mm</t>
  </si>
  <si>
    <t>Plywood 9 mm (120x240)</t>
  </si>
  <si>
    <t>Reng 2x3 cm</t>
  </si>
  <si>
    <t>Reng 3x4 cm</t>
  </si>
  <si>
    <t>Teakwood 4 mm (120x240)</t>
  </si>
  <si>
    <t>Teakwood 4 mm (90x210)</t>
  </si>
  <si>
    <t>Teakwood 9 mm (90x210)</t>
  </si>
  <si>
    <t>Tripleks  t=9mm</t>
  </si>
  <si>
    <t>Veeneer tebal 2 mm</t>
  </si>
  <si>
    <t>MATERIAL PIPA PVC DAN HDPE</t>
  </si>
  <si>
    <t>Assesoris  PVC</t>
  </si>
  <si>
    <t>Pipa HDPE 40/33 mm</t>
  </si>
  <si>
    <t>Pipa PVC  tipe D Ø 2"</t>
  </si>
  <si>
    <t>Pipa PVC AW Ø 1"</t>
  </si>
  <si>
    <t>Pipa PVC AW Ø 1/2"</t>
  </si>
  <si>
    <t>Pipa PVC AW Ø 10"</t>
  </si>
  <si>
    <t>Pipa PVC AW Ø 1-1/2"</t>
  </si>
  <si>
    <t>Pipa PVC AW Ø 1-1/4"</t>
  </si>
  <si>
    <t>Pipa PVC AW Ø 12"</t>
  </si>
  <si>
    <t>Pipa PVC AW Ø 14"</t>
  </si>
  <si>
    <t>Pipa PVC AW Ø 16"</t>
  </si>
  <si>
    <t>Pipa PVC AW Ø 2"</t>
  </si>
  <si>
    <t>Pipa PVC AW Ø 2-1/2"</t>
  </si>
  <si>
    <t>Pipa PVC AW Ø 3"</t>
  </si>
  <si>
    <t>Pipa PVC AW Ø 3/4"</t>
  </si>
  <si>
    <t>Pipa PVC AW Ø 4"</t>
  </si>
  <si>
    <t>Pipa PVC AW Ø 5"</t>
  </si>
  <si>
    <t>Pipa PVC AW Ø 6"</t>
  </si>
  <si>
    <t>Pipa PVC AW Ø 8"</t>
  </si>
  <si>
    <t>Pipa PVC D Ø 10"</t>
  </si>
  <si>
    <t>Pipa PVC D Ø 1-1/2"</t>
  </si>
  <si>
    <t>Pipa PVC D Ø 1-1/4"</t>
  </si>
  <si>
    <t>Pipa PVC D Ø 12"</t>
  </si>
  <si>
    <t>Pipa PVC D Ø 14"</t>
  </si>
  <si>
    <t>Pipa PVC D Ø 16"</t>
  </si>
  <si>
    <t>Pipa PVC D Ø 2"</t>
  </si>
  <si>
    <t>Pipa PVC D Ø 2-1/2"</t>
  </si>
  <si>
    <t>Pipa PVC D Ø 3"</t>
  </si>
  <si>
    <t>Pipa PVC D Ø 4"</t>
  </si>
  <si>
    <t>Pipa PVC D Ø 5"</t>
  </si>
  <si>
    <t>Pipa PVC D Ø 6"</t>
  </si>
  <si>
    <t>Pipa PVC D Ø 8"</t>
  </si>
  <si>
    <t>PVC  Ø 1 1/4"  s  10 tekanan nominal 10 bar (1,0 mpa) 4m</t>
  </si>
  <si>
    <t>PVC  Ø 1 1/5"  s  10 tekanan nominal 10 bar (1,0 mpa) 6m</t>
  </si>
  <si>
    <t>PVC  Ø 1"  s  10 tekanan nominal 10 bar (1,0 mpa) 4m</t>
  </si>
  <si>
    <t>PVC  Ø 1/2"  s  10 tekanan nominal 10 bar (1,0 mpa) 4m</t>
  </si>
  <si>
    <t>PVC  Ø 2"  s  12,5 tekanan nominal 10 bar (1,0 mpa) 6m</t>
  </si>
  <si>
    <t>PVC  Ø 3"  s  12,5 tekanan nominal 10 bar (1,0 mpa) 6m</t>
  </si>
  <si>
    <t>PVC  Ø 3/4"  s  10 tekanan nominal 10 bar (1,0 mpa) 4m</t>
  </si>
  <si>
    <t>PVC  Ø 4"  s  12,5 tekanan nominal 10 bar (1,0 mpa) 6m</t>
  </si>
  <si>
    <t>PVC  Ø 6"  s  12,5 tekanan nominal 10 bar (1,0 mpa) 6m</t>
  </si>
  <si>
    <t>PVC  Ø 8"  s  12,5 tekanan nominal 10 bar (1,0 mpa) 6m</t>
  </si>
  <si>
    <t>MATERIAL PIPA GALVANIS</t>
  </si>
  <si>
    <t>Assesoris  galvanis</t>
  </si>
  <si>
    <t>Pipa  galvanis medium B Ø  1  1/2" panjang  6  m</t>
  </si>
  <si>
    <t>Pipa  galvanis medium B Ø  1" panjang  6  m</t>
  </si>
  <si>
    <t>Pipa  galvanis medium B Ø  1/2" panjang  6  m</t>
  </si>
  <si>
    <t>Pipa  galvanis medium B Ø  2  1/2" panjang  6  m</t>
  </si>
  <si>
    <t>Pipa  galvanis medium B Ø  3" panjang  6  m</t>
  </si>
  <si>
    <t>Pipa  galvanis medium B Ø  3/4" panjang  6  m</t>
  </si>
  <si>
    <t>Pipa  galvanis medium B Ø  4" panjang  6  m</t>
  </si>
  <si>
    <t>Pipa besi stainless  steel Ø1"  t=1.5 mm</t>
  </si>
  <si>
    <t>Pipa besi stainless  steel Ø2"  t=1.5 mm</t>
  </si>
  <si>
    <t>Pipa galvanis  medium A Ø 1 1/2"  panjang 6 m</t>
  </si>
  <si>
    <t>Pipa galvanis  medium A Ø 1"  panjang 6 m</t>
  </si>
  <si>
    <t>Pipa galvanis  medium A Ø 1/2"  panjang 6 m</t>
  </si>
  <si>
    <t>Pipa galvanis  medium A Ø 2"  panjang 6 m</t>
  </si>
  <si>
    <t>Pipa galvanis  medium A Ø 3"  panjang 6 m</t>
  </si>
  <si>
    <t>Pipa galvanis  medium A Ø 3/4"  panjang 6 m</t>
  </si>
  <si>
    <t>Pipa galvanis  medium A Ø 4"  panjang 6 m</t>
  </si>
  <si>
    <t>Pipa galvanis  medium A Ø 5"  panjang 6 m</t>
  </si>
  <si>
    <t>Pipa galvanis  medium A Ø 6"  panjang 6 m</t>
  </si>
  <si>
    <t>Pipa galvanis  medium A Ø 8"  panjang 6 m</t>
  </si>
  <si>
    <t>Pipa galvanis  medium B  Ø 2"  panjang 6 m</t>
  </si>
  <si>
    <t>Pipa galvanis  medium B  Ø 5"  panjang 6 m</t>
  </si>
  <si>
    <t>Pipa galvanis  medium B  Ø 6"  panjang 6 m</t>
  </si>
  <si>
    <t>Pipa galvanis  medium B  Ø 8"  panjang 6 m</t>
  </si>
  <si>
    <t>MATERIAL BESI DAN BAJA</t>
  </si>
  <si>
    <t>Baja (ulir) U-39</t>
  </si>
  <si>
    <t>Baja (ulir) U-48</t>
  </si>
  <si>
    <t>Baja Tahan Karat  ( Stainless  Steel )</t>
  </si>
  <si>
    <t>Besi angkur diameter 8</t>
  </si>
  <si>
    <t>Besi angkur/mur/baut</t>
  </si>
  <si>
    <t>Besi hollow  38.38.2</t>
  </si>
  <si>
    <t>Besi hollow  50.50.3</t>
  </si>
  <si>
    <t>Besi hollow galvanis 40.40</t>
  </si>
  <si>
    <t>Besi lis  kaca (1 x  1) cm</t>
  </si>
  <si>
    <t>Besi plat baja tebal 2 mm</t>
  </si>
  <si>
    <t>Besi profil</t>
  </si>
  <si>
    <t>Besi siku</t>
  </si>
  <si>
    <t>Besi siku 30x30x3 mm</t>
  </si>
  <si>
    <t>Besi siku 40x40x4 mm</t>
  </si>
  <si>
    <t>Besi strip (0,2x2) cm</t>
  </si>
  <si>
    <t>Besi strip (20x3) mm</t>
  </si>
  <si>
    <t>Besi strip tebal 5 mm</t>
  </si>
  <si>
    <t>BjTP</t>
  </si>
  <si>
    <t>BjTS</t>
  </si>
  <si>
    <t>Bronjong kawat  pabrikan Uk.2x1x0,5 ø  3mm mesh 8x10</t>
  </si>
  <si>
    <t>Unit</t>
  </si>
  <si>
    <t>Bronjong kawat  pabrikan Uk.3x1,5x0,5 ø  3mm mesh 8x10</t>
  </si>
  <si>
    <t>Bronjong kawat  pabrikan Uk.3x1x0,5 ø  3mm mesh 8x10</t>
  </si>
  <si>
    <t>Bronjong kawat  pabrikan Uk.4x1x0,5 ø  3mm mesh 8x10</t>
  </si>
  <si>
    <t>Dinabolt dia. 12mm (10-15 cm)</t>
  </si>
  <si>
    <t>Jaring Kawat Baja dilas</t>
  </si>
  <si>
    <t>Kawat  bronjong</t>
  </si>
  <si>
    <t>Kawat  duri</t>
  </si>
  <si>
    <t>roll</t>
  </si>
  <si>
    <t>Kawat  galvanis  Ø 3 mm</t>
  </si>
  <si>
    <t>Kawat  galvanis  Ø 4 mm</t>
  </si>
  <si>
    <t>Kawat  galvanis  Ø 5 mm</t>
  </si>
  <si>
    <t>Kawat  harmonika 12 x  24 mm</t>
  </si>
  <si>
    <t>Kawat  harmonika 14 x  30 mm</t>
  </si>
  <si>
    <t>Kawat  harmonika 14 x  35 mm</t>
  </si>
  <si>
    <t>Kawat  kasa</t>
  </si>
  <si>
    <t>Kawat beton</t>
  </si>
  <si>
    <t>Kawat duri</t>
  </si>
  <si>
    <t>Kawat harmonika</t>
  </si>
  <si>
    <t>Kawat las</t>
  </si>
  <si>
    <t>Kawat nyamuk</t>
  </si>
  <si>
    <t>Kawat nyamuk nylon</t>
  </si>
  <si>
    <t>Kawat Ø 4 mm</t>
  </si>
  <si>
    <t>Lapisan hot  deep galvanis</t>
  </si>
  <si>
    <t>Paku 1 inch</t>
  </si>
  <si>
    <t>Paku 12 cm</t>
  </si>
  <si>
    <t>Paku 2 inch</t>
  </si>
  <si>
    <t>Paku 4 inch</t>
  </si>
  <si>
    <t>Paku 5 inch</t>
  </si>
  <si>
    <t>Paku beton</t>
  </si>
  <si>
    <t>Paku hak panj 15cm</t>
  </si>
  <si>
    <t>Paku pancing 6x23</t>
  </si>
  <si>
    <t>Paku payung</t>
  </si>
  <si>
    <t>Paku rivet</t>
  </si>
  <si>
    <t>Paku sekrup</t>
  </si>
  <si>
    <t>Pintu tahan api</t>
  </si>
  <si>
    <t>Pipa baja dia. 30 cm</t>
  </si>
  <si>
    <t>Pipa baja dia. 40 cm</t>
  </si>
  <si>
    <t>Pipa baja dia. 50 cm</t>
  </si>
  <si>
    <t>Pipa besi hitam 1 inch</t>
  </si>
  <si>
    <t>Pipa besi hitam 1,5 inch</t>
  </si>
  <si>
    <t>Pipa besi hitam 2 inch</t>
  </si>
  <si>
    <t>Pipa besi hitam 3 inch</t>
  </si>
  <si>
    <t>Saringan pasir</t>
  </si>
  <si>
    <t>Sekrup kait</t>
  </si>
  <si>
    <t>Wiremesh M10</t>
  </si>
  <si>
    <t>96,54 kg/lembar</t>
  </si>
  <si>
    <t>Wiremesh M12</t>
  </si>
  <si>
    <t>139,02 kg/lembar</t>
  </si>
  <si>
    <t>Wiremesh M6</t>
  </si>
  <si>
    <t>34,76 kg/lembar</t>
  </si>
  <si>
    <t>Wiremesh M7</t>
  </si>
  <si>
    <t>47,31 kg/lembar</t>
  </si>
  <si>
    <t>Wiremesh M8</t>
  </si>
  <si>
    <t>61,79 kg/lembar</t>
  </si>
  <si>
    <t>Wiremesh M9</t>
  </si>
  <si>
    <t>8,20 kg/lembar</t>
  </si>
  <si>
    <t>MATERIAL PENUTUP ATAP</t>
  </si>
  <si>
    <t>Aluminium gelombang 95x180 cm</t>
  </si>
  <si>
    <t>Asbes  gelombang kecil 4mm (150x105)</t>
  </si>
  <si>
    <t>Asbes  gelombang kecil 4mm (180x105)</t>
  </si>
  <si>
    <t>Asbes  gelombang kecil 4mm (210x105)</t>
  </si>
  <si>
    <t>Asbes  gelombang kecil 4mm (240x105)</t>
  </si>
  <si>
    <t>Asbes gelombang besar 5 mm, 150x105 cm</t>
  </si>
  <si>
    <t>Asbes gelombang besar 5 mm, 180x92 cm</t>
  </si>
  <si>
    <t>Asbes gelombang besar 5 mm, 200x92 cm</t>
  </si>
  <si>
    <t>Asbes gelombang besar 5 mm, 210x105 cm</t>
  </si>
  <si>
    <t>Asbes gelombang besar 5 mm, 225x92 cm</t>
  </si>
  <si>
    <t>Asbes gelombang besar 5 mm, 240x105 cm</t>
  </si>
  <si>
    <t>Asbes gelombang besar 5 mm, 250x92 cm</t>
  </si>
  <si>
    <t>Asbes gelombang besar 5 mm, 300x105 cm</t>
  </si>
  <si>
    <t>Asbes gelombang besar 6 mm, 180x108 cm</t>
  </si>
  <si>
    <t>Asbes gelombang besar 6 mm, 210x108 cm</t>
  </si>
  <si>
    <t>Asbes gelombang besar 6 mm, 240x108 cm</t>
  </si>
  <si>
    <t>Asbes gelombang besar 6 mm, 270x108 cm</t>
  </si>
  <si>
    <t>Asbes gelombang besar 6 mm, 300x108 cm</t>
  </si>
  <si>
    <t>Asbes gelombang kecil 4 mm, 270x105 cm</t>
  </si>
  <si>
    <t>Asbes gelombang kecil 4 mm, 300x105 cm</t>
  </si>
  <si>
    <t>Atap metal berpasir</t>
  </si>
  <si>
    <t>Atap metal menerus</t>
  </si>
  <si>
    <t>Atap Rumbia /  Atap Saung 150cmx50cm</t>
  </si>
  <si>
    <t>Atap UPVC uk. 86x119 cm</t>
  </si>
  <si>
    <t>Bitumen tekstur genting</t>
  </si>
  <si>
    <t>Bubung genteng kodok</t>
  </si>
  <si>
    <t>Bubung genteng palentong</t>
  </si>
  <si>
    <t>Bubungan asbes  besar</t>
  </si>
  <si>
    <t>Bubungan asbes  kecil</t>
  </si>
  <si>
    <t>Bubungan beton press</t>
  </si>
  <si>
    <t>Fibre glass  (jabes) 180x105 cm</t>
  </si>
  <si>
    <t>Fibre glass  (jabes) 200x92 cm</t>
  </si>
  <si>
    <t>Fibre glass  (jabes) 210x105 cm</t>
  </si>
  <si>
    <t>Fibre glass  (jabes) 250x105 cm</t>
  </si>
  <si>
    <t>Fibre glass  (jabes) 250x92 cm</t>
  </si>
  <si>
    <t>Fibreglass 180x90 cm</t>
  </si>
  <si>
    <t>Frame 'S' 85.50 tinggi profil 85 dan tebal 0,75  mm</t>
  </si>
  <si>
    <t>Galvalum Gelombang Lapis  Pasir</t>
  </si>
  <si>
    <t>Genteng aspal 80x100 cm</t>
  </si>
  <si>
    <t>Genteng beton</t>
  </si>
  <si>
    <t>Genteng decra bond</t>
  </si>
  <si>
    <t>Genteng kodok</t>
  </si>
  <si>
    <t>Genteng kodok glazuur</t>
  </si>
  <si>
    <t>Genteng metal</t>
  </si>
  <si>
    <t>Genteng metal berpasir</t>
  </si>
  <si>
    <t>Genteng palentong</t>
  </si>
  <si>
    <t>Genteng palentong super</t>
  </si>
  <si>
    <t>setara morando</t>
  </si>
  <si>
    <t>Listplang papan kalsiboard</t>
  </si>
  <si>
    <t>Listplang tekstur kayu</t>
  </si>
  <si>
    <t>Nok genteng aspal</t>
  </si>
  <si>
    <t>Nok genteng beton</t>
  </si>
  <si>
    <t>Nok genteng metal</t>
  </si>
  <si>
    <t>Nok paten 105 cm</t>
  </si>
  <si>
    <t>Nok paten 108 cm</t>
  </si>
  <si>
    <t>Nok paten 92 cm</t>
  </si>
  <si>
    <t>Nok setel rata 105 cm</t>
  </si>
  <si>
    <t>Nok setel rata 108 cm</t>
  </si>
  <si>
    <t>Nok setel rata 92 cm</t>
  </si>
  <si>
    <t>Nok standar</t>
  </si>
  <si>
    <t>Nok stel gelombang 105 cm</t>
  </si>
  <si>
    <t>Nok stel gelombang 108 cm</t>
  </si>
  <si>
    <t>Nok stel gelombang 92 cm</t>
  </si>
  <si>
    <t>Reng  batten  0,5</t>
  </si>
  <si>
    <t>Roof light fiberglass</t>
  </si>
  <si>
    <t>Seng gelombang 3x6 inch</t>
  </si>
  <si>
    <t>Seng gelombang bjls  0.18 panjang 180 cm</t>
  </si>
  <si>
    <t>Seng gelombang bjls  0.20 panjang 180 cm</t>
  </si>
  <si>
    <t>Seng gelombang bjls  0.30 panjang 180 cm</t>
  </si>
  <si>
    <t>Seng gelombang bjls  0.40 panjang 180 cm</t>
  </si>
  <si>
    <t>Seng gelombang bjls  28</t>
  </si>
  <si>
    <t>Seng gelombang bljs 30</t>
  </si>
  <si>
    <t>Seng gelombang panjang 200 cm</t>
  </si>
  <si>
    <t>Seng plat  BJLS 0.18 lebar 55 cm</t>
  </si>
  <si>
    <t>Seng plat  BJLS 0.20 lebar 55 cm</t>
  </si>
  <si>
    <t>Seng plat  BJLS 0.28 lebar 55 cm</t>
  </si>
  <si>
    <t>Seng plat  BJLS 0.30 lebar 55 cm</t>
  </si>
  <si>
    <t>Seng plat 3x6 inch</t>
  </si>
  <si>
    <t>Seng plat 3x6 inch bjls 28</t>
  </si>
  <si>
    <t>Seng plat bjls 28</t>
  </si>
  <si>
    <t>Seng plat bjls 30</t>
  </si>
  <si>
    <t>Sirap (100 lbr)</t>
  </si>
  <si>
    <t>pak</t>
  </si>
  <si>
    <t>Sirap kayu</t>
  </si>
  <si>
    <t>Wab  capsule 62.27  tinggi 62  mm dan  tebal 0,4mm</t>
  </si>
  <si>
    <t>MATERIAL PLAFON</t>
  </si>
  <si>
    <t>Asbes 1,00  x 1,00  m</t>
  </si>
  <si>
    <t>Compon Flafond</t>
  </si>
  <si>
    <t>cross tee</t>
  </si>
  <si>
    <t>GRCboard (120 cm x  240 cm x  5 mm)</t>
  </si>
  <si>
    <t>GRCboard (120 cm x  240 cm x  6 mm)</t>
  </si>
  <si>
    <t>Gypsum Board (120 cm x  240 cm x  12 mm)</t>
  </si>
  <si>
    <t>Gypsum board (120 cm x 240 cm x 9 mm)</t>
  </si>
  <si>
    <t>Lambersening plafon ˂3</t>
  </si>
  <si>
    <t>Lambersening plafon ˃3</t>
  </si>
  <si>
    <t>List gypsum profil</t>
  </si>
  <si>
    <t>Listplank GRC lebar 20 cm</t>
  </si>
  <si>
    <t>Listplank GRC lebar 30 cm</t>
  </si>
  <si>
    <t>Main tee</t>
  </si>
  <si>
    <t>Papan semen</t>
  </si>
  <si>
    <t>Pelat  asbes  tebal 3,5 mm</t>
  </si>
  <si>
    <t>Pelat  asbes  tebal 4 mm</t>
  </si>
  <si>
    <t>Plafon akustik 30x30 cm</t>
  </si>
  <si>
    <t>Plafon akustik 30x60 cm</t>
  </si>
  <si>
    <t>Plafon akustik 60x120 cm</t>
  </si>
  <si>
    <t>MATERIAL PENUTUP LANTAI DAN DINDING</t>
  </si>
  <si>
    <t>Bata Ekspose Tempel warna natural 8x24x2 cm</t>
  </si>
  <si>
    <t>Bata tempel</t>
  </si>
  <si>
    <t>Batako 20x40x10 cm</t>
  </si>
  <si>
    <t>Batu andesit  30x30 t=3cm</t>
  </si>
  <si>
    <t>Batu andesit  30x30 t=5cm</t>
  </si>
  <si>
    <t>Batu paros</t>
  </si>
  <si>
    <t>Floor hardener</t>
  </si>
  <si>
    <t>Flooring Kayu Kruing   1,5x13,5x60 cm</t>
  </si>
  <si>
    <t>Flooring Kayu Merbau 1,5x9x30cm</t>
  </si>
  <si>
    <t>Flooring Kayu Sonokeling Grade B  1,5x9x30cm</t>
  </si>
  <si>
    <t>Granit  bakar 10x10, t=2cm</t>
  </si>
  <si>
    <t>Granit  bakar 30x30, t=2cm</t>
  </si>
  <si>
    <t>Granit  tile unpolish /  anti skid</t>
  </si>
  <si>
    <t>Granit tile 30x30 cm (double loading)</t>
  </si>
  <si>
    <t>Granit tile 40x40 cm (double loading)</t>
  </si>
  <si>
    <t>Granit tile 60x60 cm (double loading)</t>
  </si>
  <si>
    <t>Granito  30 x  30 cm</t>
  </si>
  <si>
    <t>Granito  40 x  40 cm</t>
  </si>
  <si>
    <t>Guiding Block Warna t  =  6 cm</t>
  </si>
  <si>
    <t>Homogenous tile 30x30 cm</t>
  </si>
  <si>
    <t>Homogenous tile 40x40 cm</t>
  </si>
  <si>
    <t>Homogenous tile 60x60 cm</t>
  </si>
  <si>
    <t>Homogenous tile dinding 30x30 cm</t>
  </si>
  <si>
    <t>Homogenous tile dinding 40x40 cm</t>
  </si>
  <si>
    <t>Homogenous tile dinding 60x60 cm</t>
  </si>
  <si>
    <t>Karpet</t>
  </si>
  <si>
    <t>Keramik  20  x 25  cm</t>
  </si>
  <si>
    <t>Keramik 10 x  20 cm</t>
  </si>
  <si>
    <t>Keramik 20x20 cm</t>
  </si>
  <si>
    <t>Keramik 25 x  25 cm</t>
  </si>
  <si>
    <t>Keramik 30x30 cm</t>
  </si>
  <si>
    <t>Keramik 40x40 cm</t>
  </si>
  <si>
    <t>Keramik 60x60 cm</t>
  </si>
  <si>
    <t>Keramik artistik 10x10 cm</t>
  </si>
  <si>
    <t>Keramik artistik 20x20 cm</t>
  </si>
  <si>
    <t>Keramik artistik 30x30 cm</t>
  </si>
  <si>
    <t>Keramik artistik 40x40 cm</t>
  </si>
  <si>
    <t>Keramik artistik 8x8 cm</t>
  </si>
  <si>
    <t>Keramik cuting 50x50</t>
  </si>
  <si>
    <t>Keramik dinding 10x20 cm</t>
  </si>
  <si>
    <t>Keramik dinding 20x20 cm</t>
  </si>
  <si>
    <t>Keramik dinding artistik 10x20 cm</t>
  </si>
  <si>
    <t>Keramik dinding artistik 5x20 cm</t>
  </si>
  <si>
    <t>Lamparquet  Kayu Merbau 1x6x20cm</t>
  </si>
  <si>
    <t>Lamparquet  Kayu Merbau 1x9x20cm</t>
  </si>
  <si>
    <t>Lantai engineering wood</t>
  </si>
  <si>
    <t>Lantai Parket  Jati grade A   1,2x5x17 cm</t>
  </si>
  <si>
    <t>Lantai Parket  Jati grade A   1,2x5x20cm</t>
  </si>
  <si>
    <t>Lantai Parket  Jati grade A   1,2x5x25 cm</t>
  </si>
  <si>
    <t>Lantai Parket  Jati grade A   1,2x5x30 cm</t>
  </si>
  <si>
    <t>Lantai Parket  Jati grade B   1,2x5x17 cm</t>
  </si>
  <si>
    <t>Lantai Parket  Jati grade B   1,2x5x20cm</t>
  </si>
  <si>
    <t>Lantai Parket  Jati grade B   1,2x5x25 cm</t>
  </si>
  <si>
    <t>Lantai Parket  Jati grade B   1,2x5x30 cm</t>
  </si>
  <si>
    <t>Lantai Parket  Jati grade C   1,2x5x20cm</t>
  </si>
  <si>
    <t>Lantai Parket  Jati grade C   1,2x5x25 cm</t>
  </si>
  <si>
    <t>Lantai Parket  Jati grade C   1,2x5x30 cm</t>
  </si>
  <si>
    <t>Lem</t>
  </si>
  <si>
    <t>Marmer</t>
  </si>
  <si>
    <t>Mozaik porselen 10 x  20 cm</t>
  </si>
  <si>
    <t>Mozaik porselen 15 x  15 cm</t>
  </si>
  <si>
    <t>Mozaik porselen 20 x  20 cm</t>
  </si>
  <si>
    <t>Mozaik porselen 20 x  25 cm</t>
  </si>
  <si>
    <t>Parquet kayu solid</t>
  </si>
  <si>
    <t>Plint  Kayu 10 cm</t>
  </si>
  <si>
    <t>Plint  keramik 10 x  20 cm</t>
  </si>
  <si>
    <t>Plint  keramik 5 x  20 cm</t>
  </si>
  <si>
    <t>Plint granit 10 cm x 40 cm</t>
  </si>
  <si>
    <t>Plint granit 10cm x 30cm</t>
  </si>
  <si>
    <t>Plint homogenous tile uk. 10-15x30 cm</t>
  </si>
  <si>
    <t>Plint homogenous tile uk. 10-15x40 cm</t>
  </si>
  <si>
    <t>Plint homogenous tile uk. 10-15x60 cm</t>
  </si>
  <si>
    <t>Plint internal cove uk. 5x5x20 cm</t>
  </si>
  <si>
    <t>Plint keramik  10  x 30  cm</t>
  </si>
  <si>
    <t>Plint keramik uk. 10-15x20 cm</t>
  </si>
  <si>
    <t>Plint keramik uk. 10-15x30 cm</t>
  </si>
  <si>
    <t>Plint keramik uk. 10-15x40 cm</t>
  </si>
  <si>
    <t>Plint keramik uk. 10-15x60 cm</t>
  </si>
  <si>
    <t>Plint teralux kerang uk. 10-15x30 cm</t>
  </si>
  <si>
    <t>Plint teralux kerang uk. 10-15x40 cm</t>
  </si>
  <si>
    <t>Plint teralux kerang uk. 10-15x60 cm</t>
  </si>
  <si>
    <t>Plint teralux marmer uk. 10-15x30 cm</t>
  </si>
  <si>
    <t>Plint teralux marmer uk. 10-15x40 cm</t>
  </si>
  <si>
    <t>Plint teralux marmer uk. 10-15x60 cm</t>
  </si>
  <si>
    <t>Plint ubin granit uk. 10-15x30 cm</t>
  </si>
  <si>
    <t>Plint ubin granit uk. 10-15x40 cm</t>
  </si>
  <si>
    <t>Plint ubin granit uk. 10-15x60 cm</t>
  </si>
  <si>
    <t>Plint ubin PC abu-abu uk. 10-15x20 cm</t>
  </si>
  <si>
    <t>Plint ubin PC abu-abu uk. 10-15x30 cm</t>
  </si>
  <si>
    <t>Plint ubin PC abu-abu uk. 10-15x40 cm</t>
  </si>
  <si>
    <t>Plint ubin PC abu-abu uk. 10-15x60 cm</t>
  </si>
  <si>
    <t>Plint ubin teraso uk. 10-15x30 cm</t>
  </si>
  <si>
    <t>Plint ubin teraso uk. 10-15x40 cm</t>
  </si>
  <si>
    <t>Plint ubin warna uk. 10-15x20 cm</t>
  </si>
  <si>
    <t>Plint ubin warna uk. 10-15x30 cm</t>
  </si>
  <si>
    <t>Plint ubin warna uk. 10-15x40 cm</t>
  </si>
  <si>
    <t>Plint ubin warna uk. 10-15x60 cm</t>
  </si>
  <si>
    <t>Porselen 10x20 cm</t>
  </si>
  <si>
    <t>Porselen 11x11 cm</t>
  </si>
  <si>
    <t>dus</t>
  </si>
  <si>
    <t>Porselen 20x20 cm</t>
  </si>
  <si>
    <t>Tangga Papan</t>
  </si>
  <si>
    <t>Tangga Parquet  /  Flooring</t>
  </si>
  <si>
    <t>Tegel plint, PC  abu-abu 15 x  20 cm</t>
  </si>
  <si>
    <t>Tegel plint, PC  warna 10 x  20 cm</t>
  </si>
  <si>
    <t>Teraso cor</t>
  </si>
  <si>
    <t>Ubin granit 30x30 cm</t>
  </si>
  <si>
    <t>Ubin granit 40x40 cm</t>
  </si>
  <si>
    <t>Ubin granit 60x60 cm</t>
  </si>
  <si>
    <t>Ubin PC abu-abu 20x20 cm</t>
  </si>
  <si>
    <t>Ubin PC abu-abu 30x30 cm</t>
  </si>
  <si>
    <t>Ubin PC abu-abu 40x40 cm</t>
  </si>
  <si>
    <t>Ubin PC abu-abu 60x60 cm</t>
  </si>
  <si>
    <t>Ubin porselen lokal 11 x  11 putih</t>
  </si>
  <si>
    <t>dos</t>
  </si>
  <si>
    <t>Ubin porselen lokal 11 x  11 warna</t>
  </si>
  <si>
    <t>Ubin porselen lokal 15 x  15 putih</t>
  </si>
  <si>
    <t>Ubin porselen lokal 15 x  15 warna</t>
  </si>
  <si>
    <t>Ubin teralux marmer 30x30 cm</t>
  </si>
  <si>
    <t>Ubin teralux marmer 40x40 cm</t>
  </si>
  <si>
    <t>Ubin teralux marmer 60x60 cm</t>
  </si>
  <si>
    <t>Ubin teraso 30x30 cm</t>
  </si>
  <si>
    <t>Ubin teraso 40x40 cm</t>
  </si>
  <si>
    <t>Ubin warna 20x20 cm</t>
  </si>
  <si>
    <t>Ubin warna 30x30 cm</t>
  </si>
  <si>
    <t>Ubin warna 40x40 cm</t>
  </si>
  <si>
    <t>Ubin warna 60x60 cm</t>
  </si>
  <si>
    <t>Underlayer karpet</t>
  </si>
  <si>
    <t>UPVC decking</t>
  </si>
  <si>
    <t>Vinyl</t>
  </si>
  <si>
    <t>MATERIAL BETON DAN ADUKAN PASANGAN</t>
  </si>
  <si>
    <t>Additive</t>
  </si>
  <si>
    <t>liter</t>
  </si>
  <si>
    <t>Adukan beton berpori (Aggregat  10/20mm) ready mix</t>
  </si>
  <si>
    <t>Adukan beton K-100 ready mix</t>
  </si>
  <si>
    <t>Adukan beton K-125 ready mix</t>
  </si>
  <si>
    <t>Adukan beton K-175 ready mix</t>
  </si>
  <si>
    <t>Adukan beton K-200 ready mix</t>
  </si>
  <si>
    <t>Adukan beton K-225 ready mix</t>
  </si>
  <si>
    <t>Adukan beton K-250 ready mix</t>
  </si>
  <si>
    <t>Adukan beton K-275 ready mix</t>
  </si>
  <si>
    <t>Adukan beton K-300 ready mix</t>
  </si>
  <si>
    <t>Adukan beton K-350 ready mix</t>
  </si>
  <si>
    <t>Adukan beton K-400 ready mix</t>
  </si>
  <si>
    <t>Adukan beton K-500 ready mix</t>
  </si>
  <si>
    <t>Compound gypsum</t>
  </si>
  <si>
    <t>Compound hardboard</t>
  </si>
  <si>
    <t>Curing compound</t>
  </si>
  <si>
    <t>Flexible waterproofing</t>
  </si>
  <si>
    <t>Formtie/penjaga jarak bekesting/spacer</t>
  </si>
  <si>
    <t>Kassa</t>
  </si>
  <si>
    <t>Kolom beton pracetak panjang 220 cm</t>
  </si>
  <si>
    <t>Panel beton pracetak 240x40x5 cm</t>
  </si>
  <si>
    <t>Paper tape hardboard</t>
  </si>
  <si>
    <t>Pengisi khusus  rongga nat</t>
  </si>
  <si>
    <t>Perekat  khusus  penutup dinding</t>
  </si>
  <si>
    <t>Perekat  khusus  penutup lantai</t>
  </si>
  <si>
    <t>Semen 40 Kg</t>
  </si>
  <si>
    <t>zak</t>
  </si>
  <si>
    <t>Semen 50 Kg</t>
  </si>
  <si>
    <t>Semen grout</t>
  </si>
  <si>
    <t>Semen merah</t>
  </si>
  <si>
    <t>Semen Merk II 40 Kg</t>
  </si>
  <si>
    <t>Semen Merk II 50 Kg</t>
  </si>
  <si>
    <t>Semen nat</t>
  </si>
  <si>
    <t>Semen portland</t>
  </si>
  <si>
    <t>Semen putih 40 Kg</t>
  </si>
  <si>
    <t>Semen putih 50 Kg</t>
  </si>
  <si>
    <t>Semen warna</t>
  </si>
  <si>
    <t>Waterproofing</t>
  </si>
  <si>
    <t>MATERIAL CAT</t>
  </si>
  <si>
    <t>Cat  anti karat</t>
  </si>
  <si>
    <t>Cat  besi</t>
  </si>
  <si>
    <t>Cat  coating</t>
  </si>
  <si>
    <t>Cat  genteng</t>
  </si>
  <si>
    <t>Cat  tembok per 20 kg</t>
  </si>
  <si>
    <t>Cat antara (cat besi)</t>
  </si>
  <si>
    <t>Cat dasar (cat besi)</t>
  </si>
  <si>
    <t>Cat dasar (cat kayu)</t>
  </si>
  <si>
    <t>Cat dasar (cat tembok eksterior)</t>
  </si>
  <si>
    <t>Cat dasar (cat tembok interior)</t>
  </si>
  <si>
    <t>Cat epoxy</t>
  </si>
  <si>
    <t>Cat kedap  air  ( water  base)</t>
  </si>
  <si>
    <t>Cat penutup (cat besi)</t>
  </si>
  <si>
    <t>Cat penutup (cat kayu)</t>
  </si>
  <si>
    <t>Cat penutup (cat tembok eksterior)</t>
  </si>
  <si>
    <t>Cat penutup (cat tembok interior)</t>
  </si>
  <si>
    <t>Cat zyncromate</t>
  </si>
  <si>
    <t>Dempul</t>
  </si>
  <si>
    <t>Dempul jadi</t>
  </si>
  <si>
    <t>Kuas  1"</t>
  </si>
  <si>
    <t>Kuas  2"</t>
  </si>
  <si>
    <t>Kuas  4"</t>
  </si>
  <si>
    <t>Kuas 3 inch</t>
  </si>
  <si>
    <t>Melamic</t>
  </si>
  <si>
    <t>Meni besi</t>
  </si>
  <si>
    <t>Meni kayu</t>
  </si>
  <si>
    <t>Pelitur</t>
  </si>
  <si>
    <t>Pelitur jadi</t>
  </si>
  <si>
    <t>Pengencer cat kayu/besi</t>
  </si>
  <si>
    <t>Pewarna Beton</t>
  </si>
  <si>
    <t>Plamir kayu</t>
  </si>
  <si>
    <t>Plamir tembok</t>
  </si>
  <si>
    <t>Sanding</t>
  </si>
  <si>
    <t>Vernis</t>
  </si>
  <si>
    <t>Wood filler</t>
  </si>
  <si>
    <t>Woodstain</t>
  </si>
  <si>
    <t>MATERIAL KUNCI DAN ENGSEL</t>
  </si>
  <si>
    <t>1 set  kunci pintu (kw  1)</t>
  </si>
  <si>
    <t>1 set  kunci pintu (kw  2)</t>
  </si>
  <si>
    <t>1 set handle+kunci</t>
  </si>
  <si>
    <t>Door closer</t>
  </si>
  <si>
    <t>Door holder</t>
  </si>
  <si>
    <t>Door stop</t>
  </si>
  <si>
    <t>Engsel angin</t>
  </si>
  <si>
    <t>Engsel jendela</t>
  </si>
  <si>
    <t>Engsel kupu-kupu</t>
  </si>
  <si>
    <t>Engsel lengan jendela</t>
  </si>
  <si>
    <t>Engsel pintu (kw 1)</t>
  </si>
  <si>
    <t>Engsel pintu (kw 2)</t>
  </si>
  <si>
    <t>Floor hinge</t>
  </si>
  <si>
    <t>Gerendel Biasa</t>
  </si>
  <si>
    <t>Grendel</t>
  </si>
  <si>
    <t>Grendel tanam</t>
  </si>
  <si>
    <t>Handle pintu (kw  1)</t>
  </si>
  <si>
    <t>Kait angin</t>
  </si>
  <si>
    <t>Kunci lemari</t>
  </si>
  <si>
    <t>Kunci silinder</t>
  </si>
  <si>
    <t>Kunci slot</t>
  </si>
  <si>
    <t>Kunci tanam antik</t>
  </si>
  <si>
    <t>Kunci tanam biasa</t>
  </si>
  <si>
    <t>Kunci Tanam ex  lokal 2x  slag</t>
  </si>
  <si>
    <t>Kunci tanam kamar mandi</t>
  </si>
  <si>
    <t>Pull handle (kw  1)</t>
  </si>
  <si>
    <t>Pull handle stainless  jumbo  (kw  1)</t>
  </si>
  <si>
    <t>Rel pintu dorong</t>
  </si>
  <si>
    <t>set</t>
  </si>
  <si>
    <t>Spring knip</t>
  </si>
  <si>
    <t>Tarikan Pintu Stainless</t>
  </si>
  <si>
    <t>Venetions blinds dan vertical blinds</t>
  </si>
  <si>
    <t>MATERIAL KACA</t>
  </si>
  <si>
    <t>Glass block 20x20 cm</t>
  </si>
  <si>
    <t>Jendela nako</t>
  </si>
  <si>
    <t>Jendela nako (rangka+kaca 5 mm)</t>
  </si>
  <si>
    <t>Kaca buram 12mm</t>
  </si>
  <si>
    <t>Kaca cermin 5 mm</t>
  </si>
  <si>
    <t>Kaca cermin 6mm</t>
  </si>
  <si>
    <t>Kaca cermin 8 mm</t>
  </si>
  <si>
    <t>Kaca es  kabur 3 mm</t>
  </si>
  <si>
    <t>Kaca es  kabur 5 mm</t>
  </si>
  <si>
    <t>Kaca gravire 5mm</t>
  </si>
  <si>
    <t>Kaca gravire putih 5mm</t>
  </si>
  <si>
    <t>Kaca laminated 12 mm</t>
  </si>
  <si>
    <t>Kaca laminated 8 mm</t>
  </si>
  <si>
    <t>Kaca lukis  alur 5mm</t>
  </si>
  <si>
    <t>Kaca patri 5 mm</t>
  </si>
  <si>
    <t>Kaca polos 3 mm</t>
  </si>
  <si>
    <t>Kaca polos 5 mm</t>
  </si>
  <si>
    <t>Kaca polos 6 mm</t>
  </si>
  <si>
    <t>Kaca polos 8 mm</t>
  </si>
  <si>
    <t>Kaca tanpa tripel 5mm</t>
  </si>
  <si>
    <t>Kaca tempered 12 mm</t>
  </si>
  <si>
    <t>Kaca triple 5mm</t>
  </si>
  <si>
    <t>Kaca triple platinum 5mm</t>
  </si>
  <si>
    <t>Kaca wireglass 5 mm</t>
  </si>
  <si>
    <t>Profil kaca</t>
  </si>
  <si>
    <t>m¹</t>
  </si>
  <si>
    <t>Ray Band 3mm</t>
  </si>
  <si>
    <t>Ray Band 5mm</t>
  </si>
  <si>
    <t>MATERIAL SANITAIR</t>
  </si>
  <si>
    <t>Bak  reservoir  fibreglass (kapasitas 1050  liter)</t>
  </si>
  <si>
    <t>Bak  reservoir  fibreglass (kapasitas 1200  liter)</t>
  </si>
  <si>
    <t>Bak  reservoir  fibreglass (kapasitas 1550  liter)</t>
  </si>
  <si>
    <t>Bak  reservoir  fibreglass (kapasitas 2000  liter)</t>
  </si>
  <si>
    <t>Bak  reservoir  fibreglass (kapasitas 650  liter)</t>
  </si>
  <si>
    <t>Bak cuci stainlesteel</t>
  </si>
  <si>
    <t>Bak cuci teraso</t>
  </si>
  <si>
    <t>Bak fiberglass 1 m3</t>
  </si>
  <si>
    <t>Bak fiberglass 70x70x66 cm</t>
  </si>
  <si>
    <t>Bak teraso</t>
  </si>
  <si>
    <t>Bathup</t>
  </si>
  <si>
    <t>Carbon filter kap. 0,1 m3/hari</t>
  </si>
  <si>
    <t>Carbon filter kap. 0,6 m3/hari</t>
  </si>
  <si>
    <t>Clean out</t>
  </si>
  <si>
    <t>Flexible hose</t>
  </si>
  <si>
    <t>Floor drain stainles steel</t>
  </si>
  <si>
    <t>Grab bar</t>
  </si>
  <si>
    <t>Grease trap central fiberglass, kap. 5 m3</t>
  </si>
  <si>
    <t>Grease trap portable fiberglass, kap. 30 Liter</t>
  </si>
  <si>
    <t>Grease trap portable stainless, kap. 30 Liter</t>
  </si>
  <si>
    <t>Jet washer</t>
  </si>
  <si>
    <t>Kloset duduk/monoblok</t>
  </si>
  <si>
    <t>Kloset jongkok</t>
  </si>
  <si>
    <t>Komunal 10</t>
  </si>
  <si>
    <t>Komunal 100</t>
  </si>
  <si>
    <t>Komunal 125</t>
  </si>
  <si>
    <t>Komunal 150</t>
  </si>
  <si>
    <t>Komunal 25</t>
  </si>
  <si>
    <t>Komunal 50</t>
  </si>
  <si>
    <t>Komunal 75</t>
  </si>
  <si>
    <t>Kran air</t>
  </si>
  <si>
    <t>Partisi urinoir</t>
  </si>
  <si>
    <t>Pintu kubikel</t>
  </si>
  <si>
    <t>Pompa booster 150 lpm (vertical in line-packaged)</t>
  </si>
  <si>
    <t>Pompa booster 450 lpm (centrifugal end suction)</t>
  </si>
  <si>
    <t>Pompa jet 100 lpm</t>
  </si>
  <si>
    <t>Pompa jet 27 lpm</t>
  </si>
  <si>
    <t>Pompa jet 34 lpm</t>
  </si>
  <si>
    <t>Pompa lift 250 lpm</t>
  </si>
  <si>
    <t>Pompa lift 80 lpm</t>
  </si>
  <si>
    <t>Pompa transfer 150 lpm (centrifugal end suction)</t>
  </si>
  <si>
    <t>Pressure tank 1.000 liter</t>
  </si>
  <si>
    <t>Priming tank fiber 1.000 liter</t>
  </si>
  <si>
    <t>Priming tank fiber 2.000 liter</t>
  </si>
  <si>
    <t>Priming tank fiber 500 liter</t>
  </si>
  <si>
    <t>Priming tank fiber 800 liter</t>
  </si>
  <si>
    <t>Robe hook</t>
  </si>
  <si>
    <t>Roof tank fiberglass kap. 12 m3</t>
  </si>
  <si>
    <t>Roof tank fiberglass kap. 2 m3</t>
  </si>
  <si>
    <t>Roof tank fiberglass kap. 4 m3</t>
  </si>
  <si>
    <t>Roof tank stainless kap. 12 m3</t>
  </si>
  <si>
    <t>Roof tank stainless kap. 2 m3</t>
  </si>
  <si>
    <t>Roof tank stainless kap. 4 m3</t>
  </si>
  <si>
    <t>Sand filter kap. 0,1 m3/hari</t>
  </si>
  <si>
    <t>Sand filter kap. 14 m3/hari</t>
  </si>
  <si>
    <t>Sekat kubikel</t>
  </si>
  <si>
    <t>Septic  0,6</t>
  </si>
  <si>
    <t>Septic  0,8</t>
  </si>
  <si>
    <t>Septic  1</t>
  </si>
  <si>
    <t>Septic  2</t>
  </si>
  <si>
    <t>Septic  5</t>
  </si>
  <si>
    <t>Sewage Treatment Plant (STP) fiberglass kap. 10 m3</t>
  </si>
  <si>
    <t>Sewage Treatment Plant (STP) fiberglass kap. 2 m3</t>
  </si>
  <si>
    <t>Sewage Treatment Plant (STP) fiberglass kap. 30 m3</t>
  </si>
  <si>
    <t>Sewage Treatment Plant (STP) fiberglass kap. 5 m3</t>
  </si>
  <si>
    <t>Sewage Treatment Plant (STP) precast kap. 30 m3</t>
  </si>
  <si>
    <t>Silika filter kap. 0,1 m3/hari</t>
  </si>
  <si>
    <t>Soap holder</t>
  </si>
  <si>
    <t>Stop kran PVC 1/2"</t>
  </si>
  <si>
    <t>Stop kran PVC 3/4"</t>
  </si>
  <si>
    <t>Submersible cutter pump kap. 100 lpm</t>
  </si>
  <si>
    <t>Tangki toren kap. 0,7 m3</t>
  </si>
  <si>
    <t>Tangki toren kap. 1,5 m3</t>
  </si>
  <si>
    <t>Tangki toren kap. 2,5 m3</t>
  </si>
  <si>
    <t>Tangki toren kap. 3 m3</t>
  </si>
  <si>
    <t>Tangki toren kap. 4 m3</t>
  </si>
  <si>
    <t>Tangki toren kap. 5 m3</t>
  </si>
  <si>
    <t>Tangki toren kap. 5,5 m3</t>
  </si>
  <si>
    <t>Tangki toren kap. 6 m3</t>
  </si>
  <si>
    <t>Tempat  sabun gantung</t>
  </si>
  <si>
    <t>Tempat  sabun tanam</t>
  </si>
  <si>
    <t>Tissue holder</t>
  </si>
  <si>
    <t>Towel bar</t>
  </si>
  <si>
    <t>Urinoir</t>
  </si>
  <si>
    <t>Wastafel</t>
  </si>
  <si>
    <t>Water drain</t>
  </si>
  <si>
    <t>MATERIAL MINYAK</t>
  </si>
  <si>
    <t>Bensin</t>
  </si>
  <si>
    <t>Bensin (industri)</t>
  </si>
  <si>
    <t>Bentonite</t>
  </si>
  <si>
    <t>Cairan perontok karat</t>
  </si>
  <si>
    <t>Cuka bibit</t>
  </si>
  <si>
    <t>Minyak bekisting</t>
  </si>
  <si>
    <t>Minyak cat</t>
  </si>
  <si>
    <t>Minyak pelumas</t>
  </si>
  <si>
    <t>Minyak tanah</t>
  </si>
  <si>
    <t>Oli hidrolis</t>
  </si>
  <si>
    <t>Oli mesin</t>
  </si>
  <si>
    <t>Premium (industri)</t>
  </si>
  <si>
    <t>Residu</t>
  </si>
  <si>
    <t>Solar</t>
  </si>
  <si>
    <t>Solar (industri)</t>
  </si>
  <si>
    <t>Steamvet</t>
  </si>
  <si>
    <t>Teak oil</t>
  </si>
  <si>
    <t>Thinner</t>
  </si>
  <si>
    <t>Thinner A</t>
  </si>
  <si>
    <t>MATERIAL ALUMINIUM DAN BESI</t>
  </si>
  <si>
    <t>Aluminium composite panel</t>
  </si>
  <si>
    <t>Aluminium spandrel 10x600 cm</t>
  </si>
  <si>
    <t>Aluminium strip</t>
  </si>
  <si>
    <t>Besi as  drat</t>
  </si>
  <si>
    <t>Blok besi cor type skep</t>
  </si>
  <si>
    <t>bh</t>
  </si>
  <si>
    <t>Blok besi type ronsel</t>
  </si>
  <si>
    <t>Buis  brons</t>
  </si>
  <si>
    <t>C  channel galvanis  lebar 40 mm</t>
  </si>
  <si>
    <t>C  channel galvanis  lebar 75 mm</t>
  </si>
  <si>
    <t>Cat  meni</t>
  </si>
  <si>
    <t>Daun Pintu HDF 36x720x2100</t>
  </si>
  <si>
    <t>Frame aluminium</t>
  </si>
  <si>
    <t>Gembok</t>
  </si>
  <si>
    <t>Grease</t>
  </si>
  <si>
    <t>Hollow  galvanis  20x40x0,4 mm</t>
  </si>
  <si>
    <t>Hollow galvanis 40x40x0,4 mm</t>
  </si>
  <si>
    <t>Jalusi aluminium</t>
  </si>
  <si>
    <t>Kontra mur type ronsel</t>
  </si>
  <si>
    <t>Kontra mur type skep</t>
  </si>
  <si>
    <t>kopel/universal join</t>
  </si>
  <si>
    <t>Kusen aluminium 4"  putih</t>
  </si>
  <si>
    <t>Lager type ronsel</t>
  </si>
  <si>
    <t>Lager type skep</t>
  </si>
  <si>
    <t>Mur baut  1/2"  x  4"</t>
  </si>
  <si>
    <t>Mur baut  5/8"  x  4"</t>
  </si>
  <si>
    <t>Mur baut  M8 steinless</t>
  </si>
  <si>
    <t>Mur brons  ronsel</t>
  </si>
  <si>
    <t>Mur brons  type skep</t>
  </si>
  <si>
    <t>Pen spindie type ronsel</t>
  </si>
  <si>
    <t>Penyangga roda gigi</t>
  </si>
  <si>
    <t>Pintu alluminium</t>
  </si>
  <si>
    <t>Pintu KM  aluminium</t>
  </si>
  <si>
    <t>Pintu lipat  besi</t>
  </si>
  <si>
    <t>Pintu lipat PVC</t>
  </si>
  <si>
    <t>Plat  peluncur</t>
  </si>
  <si>
    <t>Plat besi 3 mm</t>
  </si>
  <si>
    <t>Profil aluminium</t>
  </si>
  <si>
    <t>Profil Aluminium ”T”</t>
  </si>
  <si>
    <t>Profil slimar aluminium</t>
  </si>
  <si>
    <t>Rangka metal hollow 40.40.1,2 mm</t>
  </si>
  <si>
    <t>Rangka metal hollow 40.40.2 mm</t>
  </si>
  <si>
    <t>roda gigi nanas</t>
  </si>
  <si>
    <t>Roda gigi pinggiran</t>
  </si>
  <si>
    <t>Rolling door aluminium</t>
  </si>
  <si>
    <t>Rolling door besi</t>
  </si>
  <si>
    <t>Rubber seal</t>
  </si>
  <si>
    <t>Sliding pintu J4</t>
  </si>
  <si>
    <t>Stang draft  diameter 1,5"  +  mur baut</t>
  </si>
  <si>
    <t>Stang draft  diameter 1,75"  +  mur baut</t>
  </si>
  <si>
    <t>Stang draft  diameter 2"  +  mur baut</t>
  </si>
  <si>
    <t>Stang draft  diameter 2,25"  +  mur baut</t>
  </si>
  <si>
    <t>Stang gembok</t>
  </si>
  <si>
    <t>Stang pemutar type ronsel</t>
  </si>
  <si>
    <t>Stang pemutar type skep</t>
  </si>
  <si>
    <t>Sunscreen aluminium</t>
  </si>
  <si>
    <t>Talang galvalum lebar 50 cm tebal 0,4 mm</t>
  </si>
  <si>
    <t>ltr</t>
  </si>
  <si>
    <t>MATERIAL LISTRIK</t>
  </si>
  <si>
    <t>Hanger tray panjang 2,5 m</t>
  </si>
  <si>
    <t>Kabel BCC 10 mm² (0,10 kg/m)</t>
  </si>
  <si>
    <t>Kabel BCC 16 mm² (0,16 kg/m)</t>
  </si>
  <si>
    <t>Kabel BCC 25 mm² (0,25 kg/m)</t>
  </si>
  <si>
    <t>Kabel BCC 35 mm² (0,35 kg/m)</t>
  </si>
  <si>
    <t>Kabel BCC 4 mm² (0,04 kg/m)</t>
  </si>
  <si>
    <t>Kabel BCC 50 mm² (0,50 kg/m)</t>
  </si>
  <si>
    <t>Kabel BCC 6 mm² (0,06 kg/m)</t>
  </si>
  <si>
    <t>Kabel BCC 70 mm² (0,70 kg/m)</t>
  </si>
  <si>
    <t>Kabel BCC 95 mm² (0,95 kg/m)</t>
  </si>
  <si>
    <t>Kabel FRC 1 x 150 mm²</t>
  </si>
  <si>
    <t>Kabel FRC 2 x 1,5 mm²</t>
  </si>
  <si>
    <t>Kabel FRC 2 x 2,5 mm²</t>
  </si>
  <si>
    <t>Kabel FRC 3 x 2,5 mm²</t>
  </si>
  <si>
    <t>Kabel FRC 4 x 150 mm²</t>
  </si>
  <si>
    <t>Kabel FRC 4 x 4 mm²</t>
  </si>
  <si>
    <t>Kabel FRC 4 x 6 mm²</t>
  </si>
  <si>
    <t>Kabel NYA 1 x 1,5 mm²</t>
  </si>
  <si>
    <t>Kabel NYA 1 x 10 mm²</t>
  </si>
  <si>
    <t>Kabel NYA 1 x 16 mm²</t>
  </si>
  <si>
    <t>Kabel NYA 1 x 2,5 mm²</t>
  </si>
  <si>
    <t>Kabel NYA 1 x 4 mm²</t>
  </si>
  <si>
    <t>Kabel NYA 1 x 6 mm²</t>
  </si>
  <si>
    <t>Kabel NYA 2 x 1,5 mm²</t>
  </si>
  <si>
    <t>Kabel NYA 3 x 1,5 mm²</t>
  </si>
  <si>
    <t>Kabel NYFGBY 2 x 1,5 mm²</t>
  </si>
  <si>
    <t>Kabel NYFGBY 2 x 10 mm²</t>
  </si>
  <si>
    <t>Kabel NYFGBY 2 x 16 mm²</t>
  </si>
  <si>
    <t>Kabel NYFGBY 2 x 2,5 mm²</t>
  </si>
  <si>
    <t>Kabel NYFGBY 2 x 4 mm²</t>
  </si>
  <si>
    <t>Kabel NYFGBY 2 x 6 mm²</t>
  </si>
  <si>
    <t>Kabel NYFGBY 3 x 1,5 mm²</t>
  </si>
  <si>
    <t>Kabel NYFGBY 3 x 10 mm²</t>
  </si>
  <si>
    <t>Kabel NYFGBY 3 x 16 mm²</t>
  </si>
  <si>
    <t>Kabel NYFGBY 3 x 2,5 mm²</t>
  </si>
  <si>
    <t>Kabel NYFGBY 3 x 4 mm²</t>
  </si>
  <si>
    <t>Kabel NYFGBY 3 x 6 mm²</t>
  </si>
  <si>
    <t>Kabel NYFGBY 4 x 1,5 mm²</t>
  </si>
  <si>
    <t>Kabel NYFGBY 4 x 10 mm²</t>
  </si>
  <si>
    <t>Kabel NYFGBY 4 x 120 mm²</t>
  </si>
  <si>
    <t>Kabel NYFGBY 4 x 150 mm²</t>
  </si>
  <si>
    <t>Kabel NYFGBY 4 x 16 mm²</t>
  </si>
  <si>
    <t>Kabel NYFGBY 4 x 185 mm²</t>
  </si>
  <si>
    <t>Kabel NYFGBY 4 x 2,5 mm²</t>
  </si>
  <si>
    <t>Kabel NYFGBY 4 x 240 mm²</t>
  </si>
  <si>
    <t>Kabel NYFGBY 4 x 25 mm²</t>
  </si>
  <si>
    <t>Kabel NYFGBY 4 x 300 mm²</t>
  </si>
  <si>
    <t>Kabel NYFGBY 4 x 35 mm²</t>
  </si>
  <si>
    <t>Kabel NYFGBY 4 x 4 mm²</t>
  </si>
  <si>
    <t>Kabel NYFGBY 4 x 50 mm²</t>
  </si>
  <si>
    <t>Kabel NYFGBY 4 x 6 mm²</t>
  </si>
  <si>
    <t>Kabel NYFGBY 4 x 70 mm²</t>
  </si>
  <si>
    <t>Kabel NYFGBY 4 x 95 mm²</t>
  </si>
  <si>
    <t>Kabel NYM 2 x 1,5 mm²</t>
  </si>
  <si>
    <t>Kabel NYM 2 x 10 mm²</t>
  </si>
  <si>
    <t>Kabel NYM 2 x 2,5 mm²</t>
  </si>
  <si>
    <t>Kabel NYM 2 x 4 mm²</t>
  </si>
  <si>
    <t>Kabel NYM 2 x 6 mm²</t>
  </si>
  <si>
    <t>Kabel NYM 3 x 1,5 mm²</t>
  </si>
  <si>
    <t>Kabel NYM 3 x 10 mm²</t>
  </si>
  <si>
    <t>Kabel NYM 3 x 2,5 mm²</t>
  </si>
  <si>
    <t>Kabel NYM 3 x 4 mm²</t>
  </si>
  <si>
    <t>Kabel NYM 3 x 6 mm²</t>
  </si>
  <si>
    <t>Kabel NYM 4 x 1,5 mm²</t>
  </si>
  <si>
    <t>Kabel NYM 4 x 10 mm²</t>
  </si>
  <si>
    <t>Kabel NYM 4 x 16 mm²</t>
  </si>
  <si>
    <t>Kabel NYM 4 x 2,5 mm²</t>
  </si>
  <si>
    <t>Kabel NYM 4 x 4 mm²</t>
  </si>
  <si>
    <t>Kabel NYM 4 x 6 mm²</t>
  </si>
  <si>
    <t>Kabel NYMHY 2 x 1,5 mm²</t>
  </si>
  <si>
    <t>Kabel NYMHY 2 x 2,5 mm²</t>
  </si>
  <si>
    <t>Kabel NYMHY 3 x 1,5 mm²</t>
  </si>
  <si>
    <t>Kabel NYMHY 3 x 2,5 mm²</t>
  </si>
  <si>
    <t>Kabel NYMHY 4 x 2,5 mm²</t>
  </si>
  <si>
    <t>Kabel NYY 1 x 10 mm²</t>
  </si>
  <si>
    <t>Kabel NYY 1 x 120 mm²</t>
  </si>
  <si>
    <t>Kabel NYY 1 x 150 mm²</t>
  </si>
  <si>
    <t>Kabel NYY 1 x 16 mm²</t>
  </si>
  <si>
    <t>Kabel NYY 1 x 185 mm²</t>
  </si>
  <si>
    <t>Kabel NYY 1 x 25 mm²</t>
  </si>
  <si>
    <t>Kabel NYY 1 x 250 mm²</t>
  </si>
  <si>
    <t>Kabel NYY 1 x 300 mm²</t>
  </si>
  <si>
    <t>Kabel NYY 1 x 35 mm²</t>
  </si>
  <si>
    <t>Kabel NYY 1 x 4 mm²</t>
  </si>
  <si>
    <t>Kabel NYY 1 x 400 mm²</t>
  </si>
  <si>
    <t>Kabel NYY 1 x 50 mm²</t>
  </si>
  <si>
    <t>Kabel NYY 1 x 500 mm²</t>
  </si>
  <si>
    <t>Kabel NYY 1 x 6 mm²</t>
  </si>
  <si>
    <t>Kabel NYY 1 x 630 mm²</t>
  </si>
  <si>
    <t>Kabel NYY 1 x 70 mm²</t>
  </si>
  <si>
    <t>Kabel NYY 1 x 95 mm²</t>
  </si>
  <si>
    <t>Kabel NYY 2 x 1,5 mm²</t>
  </si>
  <si>
    <t>Kabel NYY 2 x 10 mm²</t>
  </si>
  <si>
    <t>Kabel NYY 2 x 16 mm²</t>
  </si>
  <si>
    <t>Kabel NYY 2 x 2,5 mm²</t>
  </si>
  <si>
    <t>Kabel NYY 2 x 4 mm²</t>
  </si>
  <si>
    <t>Kabel NYY 2 x 6 mm²</t>
  </si>
  <si>
    <t>Kabel NYY 3 x 1,5 mm²</t>
  </si>
  <si>
    <t>Kabel NYY 3 x 10 mm²</t>
  </si>
  <si>
    <t>Kabel NYY 3 x 16 mm²</t>
  </si>
  <si>
    <t>Kabel NYY 3 x 2,5 mm²</t>
  </si>
  <si>
    <t>Kabel NYY 3 x 25 mm²</t>
  </si>
  <si>
    <t>Kabel NYY 3 x 35 mm²</t>
  </si>
  <si>
    <t>Kabel NYY 3 x 4 mm²</t>
  </si>
  <si>
    <t>Kabel NYY 3 x 50 mm²</t>
  </si>
  <si>
    <t>Kabel NYY 3 x 6 mm²</t>
  </si>
  <si>
    <t>Kabel NYY 4 x 1,5 mm²</t>
  </si>
  <si>
    <t>Kabel NYY 4 x 10 mm²</t>
  </si>
  <si>
    <t>Kabel NYY 4 x 120 mm²</t>
  </si>
  <si>
    <t>Kabel NYY 4 x 150 mm²</t>
  </si>
  <si>
    <t>Kabel NYY 4 x 16 mm²</t>
  </si>
  <si>
    <t>Kabel NYY 4 x 185 mm²</t>
  </si>
  <si>
    <t>Kabel NYY 4 x 2,5 mm²</t>
  </si>
  <si>
    <t>Kabel NYY 4 x 240 mm²</t>
  </si>
  <si>
    <t>Kabel NYY 4 x 25 mm²</t>
  </si>
  <si>
    <t>Kabel NYY 4 x 300 mm²</t>
  </si>
  <si>
    <t>Kabel NYY 4 x 35 mm²</t>
  </si>
  <si>
    <t>Kabel NYY 4 x 4 mm²</t>
  </si>
  <si>
    <t>Kabel NYY 4 x 50 mm²</t>
  </si>
  <si>
    <t>Kabel NYY 4 x 6 mm²</t>
  </si>
  <si>
    <t>Kabel NYY 4 x 70 mm²</t>
  </si>
  <si>
    <t>Kabel NYY 4 x 95 mm²</t>
  </si>
  <si>
    <t>Kabel tray 200 x 100 mm</t>
  </si>
  <si>
    <t>Kabel tray 300 x 100 mm</t>
  </si>
  <si>
    <t>Kabel tray 400 x 100 mm</t>
  </si>
  <si>
    <t>Kabel tray 500 x 100 mm</t>
  </si>
  <si>
    <t>Kabel tray 600 x 100 mm</t>
  </si>
  <si>
    <t>Klem kabel tray</t>
  </si>
  <si>
    <t>Mur baut kabel tray</t>
  </si>
  <si>
    <t>PVC conduit HI 20 mm²</t>
  </si>
  <si>
    <t>MATERIAL LAIN-LAIN</t>
  </si>
  <si>
    <t>Air</t>
  </si>
  <si>
    <t>Akrilik 4 mm</t>
  </si>
  <si>
    <t>Alang-alang</t>
  </si>
  <si>
    <t>ikat</t>
  </si>
  <si>
    <t>Alat  tulis</t>
  </si>
  <si>
    <t>Aluminium foil</t>
  </si>
  <si>
    <t>Aluminium foil double side</t>
  </si>
  <si>
    <t>Amplas</t>
  </si>
  <si>
    <t>Baja ringan C75 x 0,75 mm</t>
  </si>
  <si>
    <t>Baja ringan C75 x 0,8 mm</t>
  </si>
  <si>
    <t>Baja ringan C75 x 1,00 mm</t>
  </si>
  <si>
    <t>Bata Ringan (ukuran 60x20x10 cm)</t>
  </si>
  <si>
    <t>Batu Andesit  Bakar 10x10, t=3cm</t>
  </si>
  <si>
    <t>Batu Andesit  Bakar 30x30, t=3cm</t>
  </si>
  <si>
    <t>Batu apung</t>
  </si>
  <si>
    <t>Bollard Besi Tempa (BL1)</t>
  </si>
  <si>
    <t>Bollard Besi Tempa (BL2)</t>
  </si>
  <si>
    <t>Bollard cast  iron (tinggi 1,2m ; Ø bawah 5"  ; Ø atas  4")</t>
  </si>
  <si>
    <t>Bollard stainless  steel (tinggi 1m ; Ø 4")</t>
  </si>
  <si>
    <t>Bubuk poles</t>
  </si>
  <si>
    <t>Coldmix  (Aspal Tambal Dingin) 25 kg</t>
  </si>
  <si>
    <t>Zak</t>
  </si>
  <si>
    <t>Cutting sticker</t>
  </si>
  <si>
    <t>Epoxy resin grout</t>
  </si>
  <si>
    <t>Formica</t>
  </si>
  <si>
    <t>Formika</t>
  </si>
  <si>
    <t>Gebalan Rumput  Jenis  Lamuran</t>
  </si>
  <si>
    <t>Glasswool tebal 8 cm</t>
  </si>
  <si>
    <t>Guardrail</t>
  </si>
  <si>
    <t>Hebel Block (ukuran 60x20x15 cm)</t>
  </si>
  <si>
    <t>Huruf/letter timbul stainless  steel</t>
  </si>
  <si>
    <t>Ijuk</t>
  </si>
  <si>
    <t>Insulasi foam</t>
  </si>
  <si>
    <t>Jaringan udara (LVTC  2x15 mm)</t>
  </si>
  <si>
    <t>Jendela type J1</t>
  </si>
  <si>
    <t>Jendela type J2</t>
  </si>
  <si>
    <t>Joint  Sealent</t>
  </si>
  <si>
    <t>Kapur</t>
  </si>
  <si>
    <t>Kapur padam</t>
  </si>
  <si>
    <t>Karung goni</t>
  </si>
  <si>
    <t>Karung plastik</t>
  </si>
  <si>
    <t>Kisdam (sewa sheet  pile selama 2 bulan)</t>
  </si>
  <si>
    <t>Lem Aibon</t>
  </si>
  <si>
    <t>Lem epoxy</t>
  </si>
  <si>
    <t>Lem kayu</t>
  </si>
  <si>
    <t>Lem vinyl</t>
  </si>
  <si>
    <t>Lethering akrilik tinggi 100 tebal 20 cm</t>
  </si>
  <si>
    <t>Lethering akrilik tinggi 25 tebal 5 cm</t>
  </si>
  <si>
    <t>Lethering akrilik tinggi 45 tebal 20 cm</t>
  </si>
  <si>
    <t>Lethering akrilik tinggi 70 tebal 20 cm</t>
  </si>
  <si>
    <t>Lis  profil beton (50 cm)</t>
  </si>
  <si>
    <t>Mortar Acian Bata Ringan</t>
  </si>
  <si>
    <t>Mortar Perekat  Bata Ringan</t>
  </si>
  <si>
    <t>Mortar Plesteran Bata Ringan</t>
  </si>
  <si>
    <t>Mortar siap pakai</t>
  </si>
  <si>
    <t>Nako  per daun</t>
  </si>
  <si>
    <t>Pasir Ottawa</t>
  </si>
  <si>
    <t>Pemasangan lantai tempered laminated glass  Jemabatan Kaca</t>
  </si>
  <si>
    <t>Pen akrilik</t>
  </si>
  <si>
    <t>Perekat untuk  wallpaper</t>
  </si>
  <si>
    <t>Pintu lipat  (folding door) bahan plastik/PVC</t>
  </si>
  <si>
    <t>Pintu type P1</t>
  </si>
  <si>
    <t>Pipa screen pvc  Ø 4"</t>
  </si>
  <si>
    <t>Pipa stainless  steel diameter 0,5 "  panjang 6 m</t>
  </si>
  <si>
    <t>Pipa stainless  steel diameter 0,75 "  panjang 6 m</t>
  </si>
  <si>
    <t>Pipa stainless  steel diameter 1 "  panjang 6 m</t>
  </si>
  <si>
    <t>Pipa stainless  steel diameter 1,5 "  panjang 6 m</t>
  </si>
  <si>
    <t>Pipa stainless  steel diameter 2 "  panjang 6 m</t>
  </si>
  <si>
    <t>Pipa stainless  steel diameter 2,5 "  panjang 6 m</t>
  </si>
  <si>
    <t>Pipa stainless  steel diameter 3 "  panjang 6 m</t>
  </si>
  <si>
    <t>Plastik aerator</t>
  </si>
  <si>
    <t>Prasasti marmer 20x20</t>
  </si>
  <si>
    <t>Ramset</t>
  </si>
  <si>
    <t>Recorder paper</t>
  </si>
  <si>
    <t>Reng baja ringan</t>
  </si>
  <si>
    <t>Roster 10 x  20 cm</t>
  </si>
  <si>
    <t>Roster 15 x  25 cm</t>
  </si>
  <si>
    <t>Roster 15 x  30 cm</t>
  </si>
  <si>
    <t>Roster 20 x 20 cm</t>
  </si>
  <si>
    <t>Roster 25 x  25 cm</t>
  </si>
  <si>
    <t>Roster 30 x  30 cm</t>
  </si>
  <si>
    <t>Roster/terawang</t>
  </si>
  <si>
    <t>Rumput  sintetis  uk. 1mx1m tebal 2 cm</t>
  </si>
  <si>
    <t>Sabun</t>
  </si>
  <si>
    <t>Kg</t>
  </si>
  <si>
    <t>Screen low  carbon</t>
  </si>
  <si>
    <t>Screen stainless  steel ø  4"</t>
  </si>
  <si>
    <t>Sealant</t>
  </si>
  <si>
    <t>tube</t>
  </si>
  <si>
    <t>Sealant  kaca</t>
  </si>
  <si>
    <t>Sealtape</t>
  </si>
  <si>
    <t>Semen Sika</t>
  </si>
  <si>
    <t>Septic  tank pabrikasi 1000 liter</t>
  </si>
  <si>
    <t>Septic  tank pabrikasi 1200 liter</t>
  </si>
  <si>
    <t>Septic  tank pabrikasi 2000 liter</t>
  </si>
  <si>
    <t>Septic  tank pabrikasi 800 liter</t>
  </si>
  <si>
    <t>Sesek bambu</t>
  </si>
  <si>
    <t>Signage RMJ</t>
  </si>
  <si>
    <t>Sitting Group (cast  iron, kayu)</t>
  </si>
  <si>
    <t>Skrup fixer</t>
  </si>
  <si>
    <t>Soda api</t>
  </si>
  <si>
    <t>Strorox-100</t>
  </si>
  <si>
    <t>Tali ijuk</t>
  </si>
  <si>
    <t>Terpal</t>
  </si>
  <si>
    <t>Tiang Bolard (Bollard cast  iron) tinggi 1,2 m; ø bawah 5"; ø atas  4"</t>
  </si>
  <si>
    <t>Venetions  blinds  dan vertical blinds  (tirai)</t>
  </si>
  <si>
    <t>Wallpaper</t>
  </si>
  <si>
    <t>Waterstop lebar 150 mm</t>
  </si>
  <si>
    <t>Waterstop lebar 200 mm</t>
  </si>
  <si>
    <t>Waterstop lebar 250 mm</t>
  </si>
  <si>
    <t>Wax</t>
  </si>
  <si>
    <t>III</t>
  </si>
  <si>
    <t>SEWA PERALATAN</t>
  </si>
  <si>
    <t>Alat  bantu</t>
  </si>
  <si>
    <t>Asphalt  distributor 4000 ℓ</t>
  </si>
  <si>
    <t>jam</t>
  </si>
  <si>
    <t>Asphalt  finisher</t>
  </si>
  <si>
    <t>Asphalt  liquid mixer 1000 ℓ</t>
  </si>
  <si>
    <t>Asphalt  mixing plant</t>
  </si>
  <si>
    <t>Asphalt  sprayer 850 ℓ</t>
  </si>
  <si>
    <t>Bender baja beton</t>
  </si>
  <si>
    <t>hari</t>
  </si>
  <si>
    <t>Blending equipment</t>
  </si>
  <si>
    <t>Bore pile machine</t>
  </si>
  <si>
    <t>Bulldozer 100-150 HP</t>
  </si>
  <si>
    <t>Chain saw</t>
  </si>
  <si>
    <t>Chainsaw 20”; 5,5HP</t>
  </si>
  <si>
    <t>Cold milling machine</t>
  </si>
  <si>
    <t>Compressor 4000-6500 ℓ\m</t>
  </si>
  <si>
    <t>Compressor bor</t>
  </si>
  <si>
    <t>Concrete mixer 350 ℓ</t>
  </si>
  <si>
    <t>Concrete mixer 500 ℓ</t>
  </si>
  <si>
    <t>Concrete mixer truck 5 m³</t>
  </si>
  <si>
    <t>Concrete pan mixer</t>
  </si>
  <si>
    <t>Concrete pump</t>
  </si>
  <si>
    <t>Concrete slip form paver</t>
  </si>
  <si>
    <t>Concrete vibrator</t>
  </si>
  <si>
    <t>Crane on track 35 ton</t>
  </si>
  <si>
    <t>Crane on wheel 10-15 ton</t>
  </si>
  <si>
    <t>Cutter baja beton</t>
  </si>
  <si>
    <t>Cutting machine</t>
  </si>
  <si>
    <t>Depresiasi alat  compressor</t>
  </si>
  <si>
    <t>Depresiasi mesin pompa uji</t>
  </si>
  <si>
    <t>Depresiasi peralatan pemboran</t>
  </si>
  <si>
    <t>Dump truck 20 ton</t>
  </si>
  <si>
    <t>Dump truck 3,5 ton</t>
  </si>
  <si>
    <t>Dump truck 40 ton</t>
  </si>
  <si>
    <t>Dump truck 7,5 ton</t>
  </si>
  <si>
    <t>Excavator 80-140 HP</t>
  </si>
  <si>
    <t>Flat  bed truck 3-4 m³</t>
  </si>
  <si>
    <t>Generator set  135 KVA</t>
  </si>
  <si>
    <t>Jack hammer</t>
  </si>
  <si>
    <t>Jack hammer + genset</t>
  </si>
  <si>
    <t>pekerjaan pembongkaran</t>
  </si>
  <si>
    <t>Logging</t>
  </si>
  <si>
    <t>Mata bor auger 20 cm</t>
  </si>
  <si>
    <t>Mata bor auger 30 cm</t>
  </si>
  <si>
    <t>Mata bor auger 40 cm</t>
  </si>
  <si>
    <t>Mata bor auger 50 cm</t>
  </si>
  <si>
    <t>Mesin bor</t>
  </si>
  <si>
    <t>Mesin gilas  2 roda 6 - 10 ton</t>
  </si>
  <si>
    <t>Mesin gilas  3 roda 6 - 10 ton</t>
  </si>
  <si>
    <t>Mesin gilas  roda karet  8 - 10 ton</t>
  </si>
  <si>
    <t>Mesin kerek</t>
  </si>
  <si>
    <t>Mesin poles</t>
  </si>
  <si>
    <t>Mesin trowel</t>
  </si>
  <si>
    <t>Motor grader &gt;100 HP</t>
  </si>
  <si>
    <t>Pedestrian Roller</t>
  </si>
  <si>
    <t>Pile driver +  hammer 2,5 ton</t>
  </si>
  <si>
    <t>Pneumatic  tire roller 8-10 ton</t>
  </si>
  <si>
    <t>Pompa beton ∅ 2,5", 75KW; 120 bar, T= 50 m'/H=80 m’</t>
  </si>
  <si>
    <t>Pompa beton ∅ 2,5",20 KW; 20 bar, T = 18 m'</t>
  </si>
  <si>
    <t>Pompa beton ∅ 3",140KW; 180 bar, T = 75 m' / H=150 m'</t>
  </si>
  <si>
    <t>Pompa beton φ 1,5";5 KW; 8 bar; T = 5 m'</t>
  </si>
  <si>
    <t>Pompa injeksi</t>
  </si>
  <si>
    <t>Pompa tangan</t>
  </si>
  <si>
    <t>Road Marking Machine</t>
  </si>
  <si>
    <t>Sewa alat cutting machine</t>
  </si>
  <si>
    <t>Sewa alat las</t>
  </si>
  <si>
    <t>Sewa bor horisontal</t>
  </si>
  <si>
    <t>Sewa Scaffolding :</t>
  </si>
  <si>
    <t>bulan</t>
  </si>
  <si>
    <t>- ScaffoldingPipe brancing 3 m</t>
  </si>
  <si>
    <t>- Scaffolding Pipe brancing 6 m</t>
  </si>
  <si>
    <t>Stamper</t>
  </si>
  <si>
    <t>Stang bor, batang bor dia. 1-1/4"</t>
  </si>
  <si>
    <t>Stone crusher</t>
  </si>
  <si>
    <t>Tandem roller 6-8 ton</t>
  </si>
  <si>
    <t>Theodolit</t>
  </si>
  <si>
    <t>Three wheel roller 6-8 ton</t>
  </si>
  <si>
    <t>Tower crane arm 30 m</t>
  </si>
  <si>
    <t>Transportasi peralatan drailler</t>
  </si>
  <si>
    <t>Vibratory plate tamper</t>
  </si>
  <si>
    <t>Vibratory roller 1 ton</t>
  </si>
  <si>
    <t>Vibratory roller 5-8 ton</t>
  </si>
  <si>
    <t>Water pump 70-100 mm</t>
  </si>
  <si>
    <t>Water tanker truck 3000-4000 ℓ</t>
  </si>
  <si>
    <t>Waterpass</t>
  </si>
  <si>
    <t>Wheel loader 1,0-1,6 m³</t>
  </si>
  <si>
    <t>Alat  pancang Hammer 0.5 ton</t>
  </si>
  <si>
    <t>Alat  penyambung tiang pancang dolken</t>
  </si>
  <si>
    <t>Angkur/mur/baut</t>
  </si>
  <si>
    <t>Beton Neser</t>
  </si>
  <si>
    <t>BP (Biaya Penyambungan)</t>
  </si>
  <si>
    <t>VA</t>
  </si>
  <si>
    <t>Cutting stiker +  pasang</t>
  </si>
  <si>
    <t>Gergaji besi</t>
  </si>
  <si>
    <t>GIL  (Gambar Instalasi Langganan), administrasi pemasangan</t>
  </si>
  <si>
    <t>Linggis (baja keras)</t>
  </si>
  <si>
    <t>Molen beton mixer 350 liter</t>
  </si>
  <si>
    <t>Pahat beton (baja keras)</t>
  </si>
  <si>
    <t>Palu/godam (baja keras)</t>
  </si>
  <si>
    <t>Perapian lokasi kerja</t>
  </si>
  <si>
    <t>ls</t>
  </si>
  <si>
    <t>Pisau Gerinda</t>
  </si>
  <si>
    <t>Pompa Air,   diesel 10 KW</t>
  </si>
  <si>
    <t>Pompa Air,   diesel 20 KW</t>
  </si>
  <si>
    <t>Pompa Air,   diesel 5 KW</t>
  </si>
  <si>
    <t>Pompa submesible</t>
  </si>
  <si>
    <t>Pressure grout machine 30 KW; 60 -75 bar (D)</t>
  </si>
  <si>
    <t>Sewa alat  cutting machine</t>
  </si>
  <si>
    <t>Sewa bekisting</t>
  </si>
  <si>
    <t>Sewa bekisting rigid</t>
  </si>
  <si>
    <t>Sewa mobil crane</t>
  </si>
  <si>
    <t>Sewa mobil crane kapasitas  15 Ton</t>
  </si>
  <si>
    <t>Sewa mobil crane kapasitas  25 Ton</t>
  </si>
  <si>
    <t>Sewa mobil crane kapasitas  5 Ton</t>
  </si>
  <si>
    <t>Sewa tangga 7 meter</t>
  </si>
  <si>
    <t>SLO (Sertifikat  Laik Operasi)</t>
  </si>
  <si>
    <t>Tripod tinggi 5 m</t>
  </si>
  <si>
    <t>Truck Crane 5 ton</t>
  </si>
  <si>
    <t>UJL  (Uang Jaminan Langganan)</t>
  </si>
  <si>
    <t>HARGA SATUAN UPAH - MATERIAL - ALAT</t>
  </si>
  <si>
    <t>UPAH - MATERIAL - ALAT</t>
  </si>
  <si>
    <t>SATUAN</t>
  </si>
  <si>
    <t>Kawat jaring panjang 240 cm</t>
  </si>
  <si>
    <t>Pembuatan 1 m’ pagar sementara dari kayu tinggi 2 meter</t>
  </si>
  <si>
    <t>No</t>
  </si>
  <si>
    <t>Uraian</t>
  </si>
  <si>
    <t>Sat.</t>
  </si>
  <si>
    <t>Koefisien</t>
  </si>
  <si>
    <t>Harga  Satuan (Rp)</t>
  </si>
  <si>
    <t>Jumlah Harga (Rp)</t>
  </si>
  <si>
    <t>A</t>
  </si>
  <si>
    <t>TENAGA KERJA</t>
  </si>
  <si>
    <t>1</t>
  </si>
  <si>
    <t>2</t>
  </si>
  <si>
    <t>3</t>
  </si>
  <si>
    <t>4</t>
  </si>
  <si>
    <t>5</t>
  </si>
  <si>
    <t>JUMLAH HARGA TENAGA KERJA</t>
  </si>
  <si>
    <t>B</t>
  </si>
  <si>
    <t>BAHAN</t>
  </si>
  <si>
    <t>6</t>
  </si>
  <si>
    <t>7</t>
  </si>
  <si>
    <t>8</t>
  </si>
  <si>
    <t>JUMLAH HARGA BAHAN</t>
  </si>
  <si>
    <t>C</t>
  </si>
  <si>
    <t>PERALATAN</t>
  </si>
  <si>
    <t>JUMLAH HARGA ALAT</t>
  </si>
  <si>
    <t>D</t>
  </si>
  <si>
    <t>Jumlah (A+B+C)</t>
  </si>
  <si>
    <t>E</t>
  </si>
  <si>
    <t>F</t>
  </si>
  <si>
    <t>Harga Satuan Pekerjaan (D+E)</t>
  </si>
  <si>
    <t>Pembuatan 1 m’ pagar sementara dari seng gelombang rangka kayu tinggi 2 meter</t>
  </si>
  <si>
    <t>Pembuatan 1 m’ pagar sementara dari kawat duri tinggi 2 meter</t>
  </si>
  <si>
    <t>Pembuatan 1 m2 pagar BRC Galvanis</t>
  </si>
  <si>
    <t>Pemasangan 1 m2 panel beton pracetak 240x40x5 untuk pagar</t>
  </si>
  <si>
    <t>JUMLAH  HARGA TENAGA KERJA</t>
  </si>
  <si>
    <t>JUMLAH  HARGA BAHAN</t>
  </si>
  <si>
    <t>JUMLAH  HARGA ALAT</t>
  </si>
  <si>
    <t>Pembuatan 1 m2 kantor sementara/rumah jaga/gudang semen dan peralatan lantai plesteran, dinding setengah tembok</t>
  </si>
  <si>
    <t>Semen Portland</t>
  </si>
  <si>
    <t>9</t>
  </si>
  <si>
    <t>10</t>
  </si>
  <si>
    <t>11</t>
  </si>
  <si>
    <t>12</t>
  </si>
  <si>
    <t>13</t>
  </si>
  <si>
    <t>14</t>
  </si>
  <si>
    <t>Pembersihan dan pengupasan permukaan tanah (striping) s.d. tanaman ∅ 2 cm (m2)</t>
  </si>
  <si>
    <t>Tebas tebang 1 m
2
 tanaman/tumbuhan ∅ &lt; 5 cm</t>
  </si>
  <si>
    <t>Tebas tebang 1 m
2
 tanaman/tumbuhan ∅ &gt;5 s.d. 15 cm</t>
  </si>
  <si>
    <t>Tebas tebang 1 batang pohon/tumbuhan ∅ &gt;15 s.d. 30 cm</t>
  </si>
  <si>
    <t>Tebas tebang 1 batang pohon/tumbuhan ∅ &gt; 30 s.d 50 cm</t>
  </si>
  <si>
    <t>Tebas tebang 1 batang pohon/tumbuhan ∅ &gt; 50 s.d 75 cm (diameter pohon diukur 1 m di atas permukaan tanah)</t>
  </si>
  <si>
    <t>Tebas tebang 1 batang pohon/tumbuhan ∅ &gt; 75 cm (diameter pohon diukur 1 m di atas permukaan tanah)</t>
  </si>
  <si>
    <t>Gali dan cabut 1 tunggul pohon tanaman keras ∅ &gt; 5 s.d. 15 cm (termasuk pembuangan sisa tunggul tanpa menutup kembali bekas lubang)</t>
  </si>
  <si>
    <t xml:space="preserve">Gali dan cabut 1 tunggul pohon tanaman keras ∅ &gt; 15 cm  s.d. 30 cm (termasuk pembuangan sisa tunggul tanpa menutup kembali bekas lubang) </t>
  </si>
  <si>
    <t>Gali dan cabut 1 tunggul pohon tanaman keras ∅ &gt; 30 cm  s.d. 50
cm (termasuk pembuangan sisa tunggul tanpa menutup kembali bekas lubang)</t>
  </si>
  <si>
    <t>Gali dan cabut 1 tunggul pohon tanaman keras ∅ &gt; 75 cm (termasuk pembuangan sisa tunggul tanpa menutup kembali bekas lubang)</t>
  </si>
  <si>
    <t>Gali dan cabut 1 tunggul pohon tanaman keras ∅ &gt; 5 s.d. 15 cm (termasuk pembuangan sisa tunggul dengan menutup kembali bekas lubang)</t>
  </si>
  <si>
    <t>Pengukuran ulang topografi seluas 1 Ha</t>
  </si>
  <si>
    <t>Pembuatan 1 m' bouwplank</t>
  </si>
  <si>
    <t>PEKERJAAN PERSIAPAN</t>
  </si>
  <si>
    <t>Catatan:</t>
  </si>
  <si>
    <t>Biaya Umum dan Keuntungan</t>
  </si>
  <si>
    <t>Biaya Umum dan Keuntungan 10%-15% x D</t>
  </si>
  <si>
    <t>Plywood 4 mm lembar</t>
  </si>
  <si>
    <t>Plywood 4 mm m3</t>
  </si>
  <si>
    <t>Gali dan cabut 1 tunggul pohon tanaman keras ∅ &gt; 50 cm  s.d. 75 cm (termasuk pembuangan sisa tunggul tanpa menutup kembali bekas lubang)</t>
  </si>
  <si>
    <t>Gali dan cabut 1 tunggul pohon tanaman keras ∅ &gt; 15 cm s.d. 30 cm (termasuk pembuangan sisa tunggul dengan menutup kembali bekas lubang)</t>
  </si>
  <si>
    <t>Untuk Kayu Jati</t>
  </si>
  <si>
    <t>Untuk Kayu Bengkirai</t>
  </si>
  <si>
    <t>Untuk Kayu Meranti/Kamper</t>
  </si>
  <si>
    <t>Untuk Kayu Kruing/Sengon</t>
  </si>
  <si>
    <t>Untuk Bowplank</t>
  </si>
  <si>
    <t>Untuk Pagar Sementara</t>
  </si>
  <si>
    <t>Ukuran 122 x 244 cm</t>
  </si>
  <si>
    <t>Lebar 120 cm</t>
  </si>
  <si>
    <t xml:space="preserve">Penggalian 1 m3 tanah biasa sedalam 0 s.d. 1 m untuk volume s.d. 200 m3
</t>
  </si>
  <si>
    <t>Penggalian 1 m3 tanah biasa sedalam 0 s.d. 1 m untuk volume 200 m3 s.d 2.000 m3</t>
  </si>
  <si>
    <t>Penggalian 1 m3 tanah biasa sedalam 0 s.d. 1 m untuk volume &gt; 2.000 m3</t>
  </si>
  <si>
    <t>Penggalian 1 m3 tanah biasa sedalam &gt; 1 s.d. 2 m untuk volume s.d 200 m3</t>
  </si>
  <si>
    <t xml:space="preserve">Penggalian 1 m3 tanah biasa sedalam &gt; 1 s.d. 2 m untuk volume &gt; 200 m3
</t>
  </si>
  <si>
    <t>Penggalian 1 m3 tanah biasa sedalam &gt; 2 s.d. 3 m untuk volume s.d 200 m3</t>
  </si>
  <si>
    <t>Penggalian 1 m3 tanah biasa sedalam &gt; 2 s.d. 3 m untuk volume &gt; 200 m3</t>
  </si>
  <si>
    <t>Penggalian 1 m3 tanah biasa sedalam &gt; 3 m, setiap penambahan kedalaman 1 m</t>
  </si>
  <si>
    <t>Penggalian 1 m3 cadas atau tanah keras sedalam &gt; 0 s.d. 1 m untuk volume s.d 200 m3</t>
  </si>
  <si>
    <t xml:space="preserve">Penggalian 1 m3 cadas atau tanah keras sedalam &gt; 0 s.d. 1 m untuk volume &gt; 200 m3
</t>
  </si>
  <si>
    <t xml:space="preserve">Penggalian 1 m3 cadas atau tanah keras sedalam &gt; 1 s.d. 2 m untuk volume s.d 200 m3
</t>
  </si>
  <si>
    <t>Penggalian 1 m3 cadas atau tanah keras sedalam &gt; 1 s.d. 2 m untuk volume &gt; 200 m3</t>
  </si>
  <si>
    <t xml:space="preserve">Penggalian 1 m3 cadas atau tanah keras sedalam &gt; 2 s.d 3 m untuk volume s.d 200 m3
</t>
  </si>
  <si>
    <t>Penggalian 1 m3 cadas atau tanah keras sedalam &gt; 3 m tiap tambah dalam 1 m</t>
  </si>
  <si>
    <t>1 m3 urukan kembali galian tanah tanpa pemadatan secara manual</t>
  </si>
  <si>
    <t>1 m3 urukan pasir uruk untuk volume s.d 200 m3 tanpa pemadatan secara manual</t>
  </si>
  <si>
    <t xml:space="preserve">1 m3 urukan pasir uruk untuk volume &gt; 200 m3 tanpa pemadatan secara manual </t>
  </si>
  <si>
    <t>1 m3 urukan tanah biasa tanpa pemadatan secara manual</t>
  </si>
  <si>
    <t>*</t>
  </si>
  <si>
    <t>bisa untuk urukan tanah liat berpasir, koefisien sama</t>
  </si>
  <si>
    <t>1 m3 pemadatan tanah per 20 cm menggunakan alat timbris secara manual</t>
  </si>
  <si>
    <t>1 m3 timbunan dan pemadatan sirtu</t>
  </si>
  <si>
    <t>Pembongkaran 1 m3 pasangan batu (manual) untuk bangunan gedung</t>
  </si>
  <si>
    <t xml:space="preserve">Pembongkaran 1 m3 pasangan batu dengan jack hammer untuk bangunan gedung </t>
  </si>
  <si>
    <t>Pembongkaran 1 m3 beton mutu rendah f’c &lt; 20 MPa secara manual</t>
  </si>
  <si>
    <t>Pembongkaran 1 m3 beton mutu rendah f’c ≥ 20 MPa secara manual</t>
  </si>
  <si>
    <t>Pembongkaran 1 m3 beton mutu rendah f’c &lt; 20 MPa dengan jack hammer</t>
  </si>
  <si>
    <t>Pembongkaran 1 m3 beton mutu sedang 20 MPa ≤ f’c ≤ 40 MPa dengan jack hammer</t>
  </si>
  <si>
    <t>Pembongkaran 1 m3 pasangan bata merah secara manual</t>
  </si>
  <si>
    <t>Pembongkaran 1 m3 pasangan bata merah dengan jack hammer</t>
  </si>
  <si>
    <t>NB: Jika tidak menggunakan peralatan khusus (baja keras) maka Koefien C1, C2, C3 = 0)</t>
  </si>
  <si>
    <t>Pemasangan 1 m3 batu kosong (anstamping) untuk pondasi gedung</t>
  </si>
  <si>
    <t>Pemasangan 1 m3 pondasi batu belah mortar tipe M 17,2 Mpa (setara 1SP : 2PP), cara manual</t>
  </si>
  <si>
    <t>Pemasangan 1 m3 pondasi batu belah mortar tipe M 17,2 Mpa (setara 1SP : 2PP), cara semi mekanis</t>
  </si>
  <si>
    <t>Pemasangan 1 m3 pondasi batu belah mortar tipe S 12,5 Mpa (setara 1SP : 3PP), cara manual</t>
  </si>
  <si>
    <t>Pemasangan 1 m3 pondasi batu belah mortar tipe S 12,5 Mpa (setara 1SP : 3PP), cara semi mekanis</t>
  </si>
  <si>
    <t>Pemasangan 1 m3 pondasi batu belah mortar tipe N 5,2 Mpa (setara 1SP : 4PP), cara manual</t>
  </si>
  <si>
    <t>Pemasangan 1 m3 pondasi batu belah mortar tipe N 5,2 Mpa (setara 1SP : 4PP), cara semi mekanis</t>
  </si>
  <si>
    <t>Pemasangan 1 m3 pondasi batu belah mortar tipe O 2,4 Mpa (setara 1SP : 5PP), cara manual</t>
  </si>
  <si>
    <t>Pemasangan 1 m3 pondasi batu belah mortar tipe O 2,4 Mpa (setara 1SP : 5PP), cara semi mekanis</t>
  </si>
  <si>
    <t>Pemasangan 1 m3 pondasi batu belah campuran 1SP : 6PP, cara manual</t>
  </si>
  <si>
    <t>Pemasangan 1 m3 pondasi batu belah campuran 1SP : 6PP, cara semi mekanis</t>
  </si>
  <si>
    <t>Pembuatan 1 m3 pondasi beton siklop, 60% beton fc' 15 MPa : 40% batu belah untuk vol. s.d 200 m3 secara manual</t>
  </si>
  <si>
    <t>Pembuatan 1 m3 pondasi beton siklop, 60% beton fc' 15 MPa : 40% batu belah untuk vol. &gt; 200 m3 secara manual</t>
  </si>
  <si>
    <t>Pembuatan 1 m3 pondasi beton siklop, 60% beton fc' 15 MPa : 40% batu belah untuk vol. &gt; 200 m3 secara semi mekanis</t>
  </si>
  <si>
    <t>Pembuatan 1 m3 pondasi beton siklop, 70% beton fc' 15 MPa : 30% batu belah untuk vol. &gt; 200 m3 secara manual</t>
  </si>
  <si>
    <t>Pembuatan 1 m3 pondasi beton siklop, 70% beton fc' 15 MPa : 30% batu belah untuk vol. &gt; 200 m3 secara semi mekanis</t>
  </si>
  <si>
    <t>Pembuatan 1 m3 pondasi sumuran, diameter 100 cm masif</t>
  </si>
  <si>
    <t>Pengeboran 1 m' lubang bored pile φ 20 cm pada pada tanah lunak (manual)</t>
  </si>
  <si>
    <t>Sewa casing PVC dia. 20 cm</t>
  </si>
  <si>
    <t>Pengeboran 1 m' lubang bored pile φ 20 cm pada pada tanah sedang (manual)</t>
  </si>
  <si>
    <t>Pengeboran 1 m' lubang bored pile φ 20 cm pada pada tanah keras, sangat padat, dan batuan lunak (manual)</t>
  </si>
  <si>
    <t>Pengeboran 1 m' lubang bored pile φ 20 cm pada tanah berbatu (manual)</t>
  </si>
  <si>
    <t>Pengeboran 1 m' lubang bored pile φ 30 cm pada tanah lunak (manual)</t>
  </si>
  <si>
    <t>Sewa casing pipa baja dia. 30 cm</t>
  </si>
  <si>
    <t>Pengeboran 1 m' lubang bored pile φ 30 cm pada tanah sedang (manual)</t>
  </si>
  <si>
    <t>Pengeboran 1 m' lubang bored pile φ 30 cm pada pada tanah keras, sangat padat, dan batuan lunak (manual)</t>
  </si>
  <si>
    <t>Pengeboran 1 m' lubang bored pile φ 30 cm pada tanah berbatu (manual)</t>
  </si>
  <si>
    <t>Pengeboran 1 m' lubang bored pile φ 40 cm pada tanah lunak (manual)</t>
  </si>
  <si>
    <t>Sewa casing pipa baja dia. 40 cm</t>
  </si>
  <si>
    <t>Pengeboran 1 m' lubang bored pile φ 40 cm pada tanah sedang (manual)</t>
  </si>
  <si>
    <t>Pengeboran 1 m' lubang bored pile φ 40 cm pada pada tanah keras, sangat padat, dan batuan lunak (manual)</t>
  </si>
  <si>
    <t>Pengeboran 1 m' lubang bored pile φ 40 cm pada tanah berbatu (manual)</t>
  </si>
  <si>
    <t>Pengeboran 1 m' lubang bored pile φ 50 cm pada tanah lunak (manual)</t>
  </si>
  <si>
    <t>Sewa casing pipa baja dia. 50 cm</t>
  </si>
  <si>
    <t>Pengeboran 1 m' lubang bored pile φ 50 cm pada tanah sedang (manual)</t>
  </si>
  <si>
    <t>Pengeboran 1 m' lubang bored pile φ 50 cm pada pada tanah keras, sangat padat, dan batuan lunak (manual)</t>
  </si>
  <si>
    <t>Pengeboran 1 m' lubang bored pile φ 50 cm pada tanah berbatu (manual)</t>
  </si>
  <si>
    <t>m</t>
  </si>
  <si>
    <t>Pembuatan 1 kg penulangan slab untuk BjTP atau BjTS dia. &lt; 12 mm, cara manual</t>
  </si>
  <si>
    <t>Pembuatan 1 kg penulangan slab untuk BjTP atau BjTS dia. ≥ 12 mm, cara semi mekanis</t>
  </si>
  <si>
    <t>Pembuatan 1 kg penulangan kolom, balok, ring balok, dan sloof untuk BjTP atau BjTS dia. &lt; 12 mm, cara manual</t>
  </si>
  <si>
    <t>Pembuatan 1 kg penulangan kolom, balok, ring balok, sloof, dan shearwall untuk BjTP atau BjTS dia. ≥ 12 mm, cara semi mekanis</t>
  </si>
  <si>
    <t>Pembuatan 1 kg penulangan wiremesh M6-M10 untuk slab atau dinding atau ferrocement, secara manual</t>
  </si>
  <si>
    <t>Pembuatan 1 kg penulangan wiremesh M6-M10 untuk slab atau dinding atau ferrocement, secara semi mekanis</t>
  </si>
  <si>
    <t>Menaikkan 1 kg tulangan tiap kenaikan vertikal 4 m ke tapak pemasangan secara manual</t>
  </si>
  <si>
    <t>Mengangkut 1 kg tulangan tiap tambahan jarak horizontal 25 m ke tapak pemasangan secara manual</t>
  </si>
  <si>
    <t>Mengangkut/menaikkan 1 kg tulangan tiap kenaikan vertikal 4 m atau tambahan jarak horizontal 25 m ke tapak pemasangan secara mekanis</t>
  </si>
  <si>
    <t>Pemasangan 1 m' PVC waterstop lebar 150 mm</t>
  </si>
  <si>
    <t>Pemasangan 1 m' PVC waterstop lebar 200 mm</t>
  </si>
  <si>
    <t>Pemasangan 1 m' PVC waterstop lebar 230-320 mm</t>
  </si>
  <si>
    <t>Pemasangan 1 m2 bekisting untuk pondasi telapak (3 kali pakai)</t>
  </si>
  <si>
    <t>Pemasangan 1 m2 bekisting bata merah tebal 1/2 batu, setara 1SP : 5PP</t>
  </si>
  <si>
    <t>Pemasangan 1 m2 bekisting untuk sloof (3 kali pakai)</t>
  </si>
  <si>
    <t>Pemasangan 1 m2 bekisting untuk kolom (3 kali pakai)</t>
  </si>
  <si>
    <t>Pemasangan 1 m2 bekisting untuk balok (3 kali pakai)</t>
  </si>
  <si>
    <t>Pemasangan 1 m2 bekisting untuk plat lantai (3 kali pakai)</t>
  </si>
  <si>
    <t>Pemasangan 1 m2 bekisting untuk dinding shearwall (3 kali pakai)</t>
  </si>
  <si>
    <t>Pemasangan 1 m2 bekisting untuk tangga (3 kali pakai)</t>
  </si>
  <si>
    <t>Pemasangan 1 m2 bekisting jembatan untuk pengecoran beton (3 kali pakai)</t>
  </si>
  <si>
    <t>Pembongkaran 1 m2 bekisting secara biasa (termasuk membersihkan dan membereskan puing-puing)</t>
  </si>
  <si>
    <t>Pembongkaran 1 m2 bekisting secara hati-hati (untuk beton expose dan/atau pemanfaatan kembali bekisting)</t>
  </si>
  <si>
    <t xml:space="preserve">Pembuatan 1 m3 beton mutu rendah f'c 7,5 MPa, slump (100 ± 25) mm, agregat maks 19 mm secara manual </t>
  </si>
  <si>
    <t>Kepala Tukang</t>
  </si>
  <si>
    <t>Pembuatan 1 m3 beton mutu rendah f'c 10 MPa, slump (100 ± 25) mm, agregat maks 19 mm secara manual</t>
  </si>
  <si>
    <t>Pembuatan 1 m3 beton mutu rendah f'c 15 MPa, slump (100 ± 25) mm, agregat maks 19 mm secara manual</t>
  </si>
  <si>
    <t>Pembuatan 1 m3 beton mutu rendah f'c 17 MPa, slump (100 ± 25) mm, agregat maks 19 mm secara manual</t>
  </si>
  <si>
    <t>Pembuatan 1 m3 beton mutu sedang f'c 20 MPa, slump (100 ± 25) mm, agregat maks 19 mm secara manual</t>
  </si>
  <si>
    <t>Pembuatan 1 m3 beton mutu sedang f'c 21 MPa, slump (100 ± 25) mm, agregat maks 19 mm secara manual</t>
  </si>
  <si>
    <t>Pembuatan 1 m3 beton mutu rendah f'c 10 MPa, slump (100 ± 25) mm, agregat maks 19 mm secara semi mekanis</t>
  </si>
  <si>
    <t>Pembuatan 1 m3 beton mutu rendah f'c 15 MPa, slump (100 ± 25) mm, agregat maks 19 mm secara semi mekanis</t>
  </si>
  <si>
    <t>Pembuatan 1 m3 beton mutu rendah f'c 17 MPa, slump (100 ± 25) mm, agregat maks 19 mm secara semi mekanis</t>
  </si>
  <si>
    <t>Pembuatan 1 m3 beton mutu sedang f'c 20 MPa, slump (100 ± 25) mm, agregat maks 19 mm secara semi mekanis</t>
  </si>
  <si>
    <t>Pembuatan 1 m3 beton mutu sedang f'c 21 MPa, slump (100 ± 25) mm, agregat maks 19 mm secara semi mekanis</t>
  </si>
  <si>
    <t>Pembuatan 1 m3 beton mutu sedang f'c 25 MPa, slump (100 ± 25) mm, agregat maks 19 mm secara semi mekanis</t>
  </si>
  <si>
    <t>Pembuatan 1 m3 beton mutu sedang f'c 28 MPa, slump (100 ± 25) mm, agregat maks 19 mm secara semi mekanis</t>
  </si>
  <si>
    <t>Pembuatan 1 m3 beton mutu sedang f'c 30 MPa, slump (100 ± 25) mm, agregat maks 19 mm secara semi mekanis</t>
  </si>
  <si>
    <t>Pembuatan 1 m3 beton mutu sedang f'c 31 MPa, slump (100 ± 25) mm, agregat maks 19 mm secara semi mekanis</t>
  </si>
  <si>
    <t>Pembuatan 1 m3 beton mutu sedang f'c 35 MPa, slump (100 ± 25) mm, agregat maks 19 mm secara semi mekanis</t>
  </si>
  <si>
    <t xml:space="preserve">Pembuatan 1 m3 beton kedap air dengan aditif secara semi mekanis </t>
  </si>
  <si>
    <t>Pengecoran 1 m3 ready mixed</t>
  </si>
  <si>
    <t>1 m3 beton dicorkan pada tapak setiap tambah jarak 25 m', secara manual</t>
  </si>
  <si>
    <t>1 m3 beton dicorkan pada tapak setiap kenaikan 4 m', secara manual</t>
  </si>
  <si>
    <t>Pengecoran pakai pompa beton ø 1,5"; 5 KW; 8 bar; T = 5 m'</t>
  </si>
  <si>
    <t>Pengecoran pakai pompa beton ø 2,5", 20 KW, 20 bar, T = 18m'</t>
  </si>
  <si>
    <t>0,120</t>
  </si>
  <si>
    <t>Pengecoran pakai pompa beton ∅ 2,5”, 75 KW; 120 bar, T = 50 m’/H= 80 m’</t>
  </si>
  <si>
    <t>0,100</t>
  </si>
  <si>
    <t>Pengecoran pakai pompa beton ∅ 3”,140 KW; 180 bar, T=75 m'/H=150 m'</t>
  </si>
  <si>
    <t>Pemadatan 1 m3 beton menggunakan penusuk besi beton</t>
  </si>
  <si>
    <t>Pemadatan 1 m3 beton menggunakan vibrator</t>
  </si>
  <si>
    <t>Menggenangi 1 m2 permukaan beton dengan air selama 4 hari</t>
  </si>
  <si>
    <t>Menyirami 1 m2 permukaan beton menggunakan media kain terpal selama 4 hari</t>
  </si>
  <si>
    <t>Menyirami 1 m2 permukaan beton menggunakan media karung goni selama 4 hari</t>
  </si>
  <si>
    <t>Pembuatan 1 m' kolom praktis beton bertulang (11x11)</t>
  </si>
  <si>
    <t>Pembuatan 1 m' balok praktis beton bertulang (10x15)</t>
  </si>
  <si>
    <t>1 m3 pekerjaan grouting secara manual</t>
  </si>
  <si>
    <t>1 kg pekerjaan grouting secara injeksi</t>
  </si>
  <si>
    <t>Air (m3)</t>
  </si>
  <si>
    <t>Mesin bor (jam)</t>
  </si>
  <si>
    <t>Biaya Umum dan Keuntungan 10% - 15% x D</t>
  </si>
  <si>
    <t>Pemasangan 1 m2 rangka atap pelana baja ringan (canai dingin) profil C75</t>
  </si>
  <si>
    <t>Pemasangan 1 m2 rangka atap jurai/limasan baja ringan (canai dingin) profil C75</t>
  </si>
  <si>
    <t xml:space="preserve">Pemasangan 1 m3 konstruksi kuda-kuda konvensional, kayu kelas I, II, dan III bentang s.d. 6 meter </t>
  </si>
  <si>
    <t>Pemasangan 1 m3 konstruksi kuda-kuda ekspose, kayu kelas I</t>
  </si>
  <si>
    <t>Pemasangan 1 m3 konstruksi gording, kayu kelas II</t>
  </si>
  <si>
    <t>Pemasangan 1 m2 rangka atap genteng keramik, kayu kelas II</t>
  </si>
  <si>
    <t>Pemasangan 1 m2 rangka atap genteng beton, kayu kelas II</t>
  </si>
  <si>
    <t>Pemasangan 1 m2 rangka atap sirap, kayu kelas II</t>
  </si>
  <si>
    <t>Kayu balok 6/15 kelas II (batang)</t>
  </si>
  <si>
    <t xml:space="preserve">Pemasangan 1 m2 dinding bata merah tebal 1 batu dengan mortar tipe M,fc’ 17,2 MPa (Setara Campuran 1SP : 2PP) </t>
  </si>
  <si>
    <t>JUMLAH TENAGA KERJA</t>
  </si>
  <si>
    <t>Pemasangan 1 m2 dinding bata merah tebal 1 batu dengan mortar tipe S,fc’ 12,5 MPa (Setara Campuran 1SP : 3PP)</t>
  </si>
  <si>
    <t>Pemasangan 1 m2 dinding bata merah tebal 1 batu dengan mortar tipe N,fc’ 5,2 MPa (Setara Campuran 1SP : 4PP)</t>
  </si>
  <si>
    <t>Pemasangan 1 m2 dinding bata merah tebal 1 batu dengan mortar tipe O,fc’ 2,4 MPa (Setara Campuran 1SP : 5PP)</t>
  </si>
  <si>
    <t>Pemasangan 1 m2 dinding bata merah tebal 1 batu campuran 1SP : 6PP</t>
  </si>
  <si>
    <t xml:space="preserve">Pemasangan 1 m2 dinding bata merah tebal 1/2 batu dengan mortar tipe M,fc’ 17,2 MPa (Setara Campuran 1SP : 2PP) </t>
  </si>
  <si>
    <t xml:space="preserve">Pemasangan 1 m2 dinding bata merah tebal 1/2 batu dengan mortar tipe S,fc’ 12,5 MPa (Setara Campuran 1SP : 3PP) </t>
  </si>
  <si>
    <t xml:space="preserve">Pemasangan 1 m2 dinding bata merah tebal 1/2 batu dengan mortar tipe N,fc’ 5,2 MPa (Setara Campuran 1SP : 4PP) </t>
  </si>
  <si>
    <t xml:space="preserve">Pemasangan 1 m2 dinding bata merah tebal 1/2 batu dengan mortar tipe O,fc’ 2,4 MPa (Setara Campuran 1SP : 5PP) </t>
  </si>
  <si>
    <t>Pemasangan 1 m2 dinding bata merah tebal 1/2 batu campuran 1SP : 6PP</t>
  </si>
  <si>
    <t xml:space="preserve">Pemasangan 1 m2 dinding conblock HB20 dengan mortar tipe S,fc’ 12,5 MPa (Setara Campuran 1SP : 3PP) </t>
  </si>
  <si>
    <t xml:space="preserve">Pemasangan 1 m2 dinding conblock HB20 dengan mortar tipe N,fc’ 5,2 MPa (Setara Campuran 1SP : 4PP) </t>
  </si>
  <si>
    <t xml:space="preserve">Pemasangan 1 m2 dinding conblock HB15 dengan mortar tipe S,fc’ 12,5 MPa (Setara Campuran 1SP : 3PP) </t>
  </si>
  <si>
    <t xml:space="preserve">Pemasangan 1 m2 dinding conblock HB15 dengan mortar tipe N,fc’ 5,2 MPa (Setara Campuran 1SP : 4PP) </t>
  </si>
  <si>
    <t xml:space="preserve">Pemasangan 1 m2 dinding conblock HB10 dengan mortar tipe S,fc’ 12,5 MPa (Setara Campuran 1SP : 3PP) </t>
  </si>
  <si>
    <t xml:space="preserve">Pemasangan 1 m2 dinding conblock HB10 dengan mortar tipe N,fc’ 5,2 MPa (Setara Campuran 1SP : 4PP) </t>
  </si>
  <si>
    <t>0,1667</t>
  </si>
  <si>
    <t>0,0833</t>
  </si>
  <si>
    <t>0,0083</t>
  </si>
  <si>
    <t>0,0028</t>
  </si>
  <si>
    <t>12,50</t>
  </si>
  <si>
    <t>12,13</t>
  </si>
  <si>
    <t>0,182</t>
  </si>
  <si>
    <t>0,280</t>
  </si>
  <si>
    <t>Pemasangan 1 m2 dinding kerawang (rooster) 12x11x24 dengan mortar tipe S,fc’ 12,5 MPa (Setara Campuran 1SP : 3PP)</t>
  </si>
  <si>
    <t>Pemasangan 1 m2 dinding kerawang (rooster) 12x11x24 dengan mortar tipe N,fc’ 5,2 MPa (Setara Campuran 1SP : 4PP)</t>
  </si>
  <si>
    <t>Pemasangan 1 m2 dinding bata berongga ekspose 12x11x24 dengan mortar tipe S,fc’ 12,5 MPa (Setara Campuran 1SP : 3PP)</t>
  </si>
  <si>
    <t>Pemasangan 1 m2 glass block 20x20 cm, 1PC : 3PP</t>
  </si>
  <si>
    <t>Pemasangan 1 m2 dinding bata ringan tebal 7,5 cm dengan mortar siap pakai</t>
  </si>
  <si>
    <t>Pemasangan 1 m2 dinding bata ringan tebal 10 cm dengan mortar siap pakai</t>
  </si>
  <si>
    <t>Pemasangan 1 m2 dinding bata ringan tebal 20 cm dengan mortar siap pakai</t>
  </si>
  <si>
    <t xml:space="preserve">Pemasangan 1 m2 dinding batako dengan mortar tipe S,fc’ 12,5 MPa (Setara Campuran 1SP : 3PP) </t>
  </si>
  <si>
    <t>Pemasangan 1 m2 dinding batako dengan mortar tipe N,fc’ 5,2 MPa (Setara Campuran 1SP : 4PP)</t>
  </si>
  <si>
    <t>Pemasangan 1 m2 atap genteng palentong kecil</t>
  </si>
  <si>
    <t>Pemasangan 1 m2 atap genteng kodok glazuur</t>
  </si>
  <si>
    <t>Pemasangan 1 m2 atap genteng palentong besar</t>
  </si>
  <si>
    <t>Pemasangan 1 m2 atap genteng beton</t>
  </si>
  <si>
    <t>Pemasangan 1 m' bubung genteng palentong</t>
  </si>
  <si>
    <t>Pemasangan 1 m' bubung genteng kodok glazuur</t>
  </si>
  <si>
    <t>Pemasangan 1 m' bubung genteng palentong besar</t>
  </si>
  <si>
    <t>Pemasangan 1 m' bubung genteng beton</t>
  </si>
  <si>
    <t>Pemasangan 1 m2 atap asbes gelombang 92 cm x 250 cm x 5 mm</t>
  </si>
  <si>
    <t>Pemasangan 1 m2 atap asbes gelombang 92 cm x 225 cm x 5 mm</t>
  </si>
  <si>
    <t>Pemasangan 1 m2 atap asbes gelombang 92 cm x 200 cm x 5 mm</t>
  </si>
  <si>
    <t>Pemasangan 1 m2 atap asbes gelombang 92 cm x 180 cm x 5 mm</t>
  </si>
  <si>
    <t>Pemasangan 1 m2 atap asbes gelombang 105 cm x 270 cm x 4 mm</t>
  </si>
  <si>
    <t>Pemasangan 1 m2 atap asbes gelombang 105 cm x 300 cm x 5 mm</t>
  </si>
  <si>
    <t>Pemasangan 1 m2 atap asbes gelombang 105 cm x 240 cm x 5 mm</t>
  </si>
  <si>
    <t>Pemasangan 1 m2 atap asbes gelombang 105 cm x 210 cm x 5 mm</t>
  </si>
  <si>
    <t>Pemasangan 1 m2 atap asbes gelombang 105 cm x 150 cm x 5 mm</t>
  </si>
  <si>
    <t>Pemasangan 1 m2 atap asbes gelombang 108 cm x 300 cm x 6 mm</t>
  </si>
  <si>
    <t>Pemasangan 1 m2 atap asbes gelombang 108 cm x 270 cm x 6 mm</t>
  </si>
  <si>
    <t>Pemasangan 1 m2 atap asbes gelombang 108 cm x 240 cm x 6 mm</t>
  </si>
  <si>
    <t>Pemasangan 1 m2 atap asbes gelombang 108 cm x 210 cm x 6 mm</t>
  </si>
  <si>
    <t>Pemasangan 1 m2 atap asbes gelombang 108 cm x 180 cm x 6 mm</t>
  </si>
  <si>
    <t>Pemasangan 1 m' bubung stel gelombang 92 cm</t>
  </si>
  <si>
    <t>Pemasangan 1 m' bubung stel gelombang 105 cm</t>
  </si>
  <si>
    <t>Pemasangan 1 m' bubung stel gelombang 108 cm</t>
  </si>
  <si>
    <t>Pemasangan 1 m' bubung paten 92 cm</t>
  </si>
  <si>
    <t>Pemasangan 1 m' bubung paten 105 cm</t>
  </si>
  <si>
    <t>Pemasangan 1 m' bubung paten 108 cm</t>
  </si>
  <si>
    <t>Pemasangan 1 m' bubung setel rata 92 cm</t>
  </si>
  <si>
    <t>Pemasangan 1 m' bubung setel rata 105 cm</t>
  </si>
  <si>
    <t>Pemasangan 1 m' bubung setel rata 108 cm</t>
  </si>
  <si>
    <t>Pemasangan 1 m2 atap seng gelombang 105x180 cm</t>
  </si>
  <si>
    <t>Pemasangan 1 m2 atap aluminium gelombang 95x180 cm</t>
  </si>
  <si>
    <t>Pemasangan 1 m2 atap sirap kayu</t>
  </si>
  <si>
    <t>Pemasangan 1 m2 atap fibreglass 90x180 cm</t>
  </si>
  <si>
    <t>Pemasangan 1 m2 atap UPVC</t>
  </si>
  <si>
    <t>Pemasangan 1 m2 atap aspal/bitumen</t>
  </si>
  <si>
    <t>Pemasangan 1 m2 atap metal berpasir</t>
  </si>
  <si>
    <t>Pemasangan 1 m2 atap metal menerus tebal 0,4 mm</t>
  </si>
  <si>
    <t>Pemasangan 1 m2 atap kaca ketebalan 8/10/12 mm</t>
  </si>
  <si>
    <t>Pemasangan 1 m' bubung atap seng gelombang</t>
  </si>
  <si>
    <t>Pemasangan 1 m' bubung atap aluminium gelombang</t>
  </si>
  <si>
    <t>Pemasangan 1 m' bubung atap sirap kayu</t>
  </si>
  <si>
    <t>Pemasangan 1 m' bubung atap aspal/bitumen</t>
  </si>
  <si>
    <t>Pemasangan 1 m' bubung genteng metal</t>
  </si>
  <si>
    <t>Pemasangan 1 m2 lembaran insulasi atap</t>
  </si>
  <si>
    <t>Pemasangan 1 m2 modul insulasi tebal 8 mm</t>
  </si>
  <si>
    <t>Pemasangan 1 m2 foam insulasi atap</t>
  </si>
  <si>
    <t>Pemasangan 1 m2 lapisan aluminium foil</t>
  </si>
  <si>
    <t>Pemasangan 1 m' talang datar/jurai seng BJLS 28 lebar 90 cm</t>
  </si>
  <si>
    <t>Pemasangan 1 m' talang ½ lingkaran D-15 cm seng plat BJLS 30</t>
  </si>
  <si>
    <t>Pemasangan 1 m' lisplank uk. 3x20 cm, kayu kelas I atau II</t>
  </si>
  <si>
    <t>Pemasangan 1 m' lisplank uk. 3x30 cm, kayu kelas I atau II</t>
  </si>
  <si>
    <t>Pemasangan 1 m' lisplank non kayu (GRC, serat semen) lebar 30 cm</t>
  </si>
  <si>
    <t>Pemasangan 1 m' lisplank non kayu (GRC, serat semen) lebar 20 cm</t>
  </si>
  <si>
    <t>Paku sekrup (buah)</t>
  </si>
  <si>
    <t>Pemasangan 1 m2 plesteran 1SP : 1PP tebal 15 mm</t>
  </si>
  <si>
    <t>Pemasangan 1 m2 plesteran 1SP : 2PP tebal 15 mm</t>
  </si>
  <si>
    <t>Pemasangan 1 m2 plesteran 1SP : 3PP tebal 15 mm</t>
  </si>
  <si>
    <t>Pemasangan 1 m2 plesteran 1SP : 4PP tebal 15 mm</t>
  </si>
  <si>
    <t>Pemasangan 1 m2 plesteran 1SP : 5PP tebal 15 mm</t>
  </si>
  <si>
    <t>Pemasangan 1 m2 plesteran 1SP : 6PP tebal 15 mm</t>
  </si>
  <si>
    <t>Pemasangan 1 m2 plesteran dengan semen instan tebal 10 mm</t>
  </si>
  <si>
    <t>Pemasangan 1 m2 acian</t>
  </si>
  <si>
    <t>Pemasangan 1 m2 berapen 1SP : 5PP tebal 15 mm</t>
  </si>
  <si>
    <t>Pemasangan 1 m' plesteran skoning 1SP : 3PP lebar 10 cm</t>
  </si>
  <si>
    <t>Pemasangan 1 m2 plesteran serbuk batu granit 1SP : 2 granit, tebal 10 mm</t>
  </si>
  <si>
    <t>Pemasangan 1 m2 plesteran serbuk batu traso 1SP : 2 traso, tebal 10 mm</t>
  </si>
  <si>
    <t>Pemasangan 1 m2 kamprotan untuk finishing 1SP : 2PP</t>
  </si>
  <si>
    <t>Pemasangan 1 m2 finishing siar pasangan bata merah</t>
  </si>
  <si>
    <t>Pemasangan 1 m2 finishing dinding siar pasangan conblock ekspose</t>
  </si>
  <si>
    <t>Pemasangan 1 m2 plafon akustik uk. 30x30 cm</t>
  </si>
  <si>
    <t>Pemasangan 1 m2 plafon akustik uk. 30x60 cm</t>
  </si>
  <si>
    <t>Pemasangan 1 m2 plafon akustik uk. 60x120 cm</t>
  </si>
  <si>
    <t>Pemasangan 1 m2 plafon akustik uk. 60x120 cm dengan profil aluminium T</t>
  </si>
  <si>
    <t>Pemasangan 1 m2 plafon gypsum tebal 9 mm</t>
  </si>
  <si>
    <t>Pemasangan 1 m2 plafon serat semen tebal 4 mm, 5 mm, dan 6 mm</t>
  </si>
  <si>
    <t>Pemasangan 1 m2 plafon kayu lapis tebal 3 mm, 4 mm, dan 6 mm</t>
  </si>
  <si>
    <t>Pemasangan 1 m2 plafon lambisering kayu tebal 9 mm</t>
  </si>
  <si>
    <t>Pemasangan 1 m' list plafon kayu profil</t>
  </si>
  <si>
    <t>Pemasangan 1 m' list plafon gypsum</t>
  </si>
  <si>
    <t xml:space="preserve">Pemasangan 1 m2 plafon aluminium spandrel </t>
  </si>
  <si>
    <t>Pemasangan 1 m2 rangka plafon besi hollow 40.40, modul 60x60 cm</t>
  </si>
  <si>
    <t>Pemasangan 1 m2 rangka plafon kayu kelas II atau III, modul 60x60 cm</t>
  </si>
  <si>
    <t xml:space="preserve">Pemasangan 1 m2 lantai ubin PC abu-abu uk. 20x20 cm (1SP : 2PP) </t>
  </si>
  <si>
    <t>Harga Satuan (Rp)</t>
  </si>
  <si>
    <t>Biaya Umum dan Keuntungan 10% x D</t>
  </si>
  <si>
    <t>10% x D</t>
  </si>
  <si>
    <t xml:space="preserve">Pemasangan 1 m2 lantai ubin PC abu-abu uk. 30x30 cm (1SP : 2PP) </t>
  </si>
  <si>
    <t xml:space="preserve">Pemasangan 1 m2 lantai ubin PC abu-abu uk. 40x40 cm (1SP : 2PP) </t>
  </si>
  <si>
    <t xml:space="preserve">Pemasangan 1 m2 lantai ubin PC abu-abu uk. 60x60 cm (1SP : 2PP) </t>
  </si>
  <si>
    <t>Pemasangan 1 m’ plint ubin PC abu-abu uk. 10 s.d. 15x20 cm (1SP : 2PP)</t>
  </si>
  <si>
    <t>Pemasangan 1 m’ plint ubin PC abu-abu uk. 10 s.d. 15x30 cm (1SP : 2PP)</t>
  </si>
  <si>
    <t>Pemasangan 1 m’ plint ubin PC abu-abu uk. 10 s.d. 15x40 cm (1SP : 2PP)</t>
  </si>
  <si>
    <t>Pemasangan 1 m’ plint ubin PC abu-abu uk. 10 s.d. 15x60 cm (1SP : 2PP)</t>
  </si>
  <si>
    <t>Pemasangan 1 m2 lantai ubin warna uk. 20x20 cm (1SP : 2PP)</t>
  </si>
  <si>
    <t>Pemasangan 1 m2 lantai ubin warna uk. 30x30 cm (1SP : 2PP)</t>
  </si>
  <si>
    <t>Pemasangan 1 m2 lantai ubin warna uk. 40x40 cm (1SP : 2PP)</t>
  </si>
  <si>
    <t>Pemasangan 1 m2 lantai ubin warna uk. 60x60 cm (1SP : 2PP)</t>
  </si>
  <si>
    <t>Pemasangan 1 m' plint ubin warna uk. 10 s.d. 15x20 cm (1SP : 2PP)</t>
  </si>
  <si>
    <t>Pemasangan 1 m' plint ubin warna uk. 10 s.d. 15x30 cm (1SP : 2PP)</t>
  </si>
  <si>
    <t>Pemasangan 1 m' plint ubin warna uk. 10 s.d. 15x40 cm (1SP : 2PP)</t>
  </si>
  <si>
    <t>2,625</t>
  </si>
  <si>
    <t>Pemasangan 1 m' plint ubin warna uk. 10 s.d. 15x60 cm (1SP : 2PP)</t>
  </si>
  <si>
    <t>Pemasangan 1 m2 lantai ubin teraso uk. 30x30 cm (1SP : 2PP)</t>
  </si>
  <si>
    <t>Pemasangan 1 m2 lantai ubin teraso uk. 40x40 cm (1SP : 2PP)</t>
  </si>
  <si>
    <t xml:space="preserve">Pemasangan 1 m2 lantai teraso cor di tempat, tebal 3cm  </t>
  </si>
  <si>
    <t>Pemasangan 1 m' plint ubin teraso uk. 10 s.d. 15x30 cm (1SP : 2PP)</t>
  </si>
  <si>
    <t>Pemasangan 1 m' plint ubin teraso uk. 10 s.d. 15x40 cm (1SP : 2PP)</t>
  </si>
  <si>
    <t>Pemasangan 1 m2 lantai homogenous tile uk. 30x30 cm (1SP : 2PP)</t>
  </si>
  <si>
    <t>Pemasangan 1 m2 lantai homogenous tile uk. 40x40 cm (1SP : 2PP)</t>
  </si>
  <si>
    <t>Pemasangan 1 m2 lantai homogenous tile uk. 60x60 cm (1SP : 2PP)</t>
  </si>
  <si>
    <t>Pemasangan 1 m' plint homogenous tile uk. 10 s.d. 15x30 cm (1SP : 2PP)</t>
  </si>
  <si>
    <t>Pemasangan 1 m' plint homogenous tile uk. 10 s.d. 15x40 cm (1SP : 2PP)</t>
  </si>
  <si>
    <t>Pemasangan 1 m' plint homogenous tile uk. 10 s.d. 15x60 cm (1SP : 2PP)</t>
  </si>
  <si>
    <t xml:space="preserve">Pemasangan 1 m2 lantai ubin granit uk. 30x30 cm (1SP : 2PP) </t>
  </si>
  <si>
    <t xml:space="preserve">Pemasangan 1 m2 lantai ubin granit uk. 40x40 cm (1SP : 2PP) </t>
  </si>
  <si>
    <t xml:space="preserve">Pemasangan 1 m2 lantai ubin granit uk. 60x60 cm (1SP : 2PP) </t>
  </si>
  <si>
    <t>Pemasangan 1 m' plint ubin granit uk. 10 s.d. 15x30 cm (1SP : 2PP)</t>
  </si>
  <si>
    <t>Pemasangan 1 m' plint ubin granit uk. 10 s.d. 15x40 cm (1SP : 2PP)</t>
  </si>
  <si>
    <t>Pemasangan 1 m' plint ubin granit uk. 10 s.d. 15x60 cm (1SP : 2PP)</t>
  </si>
  <si>
    <t>Pemasangan 1 m2 lantai ubin teralux marmer uk. 30x30 cm (1SP : 2PP)</t>
  </si>
  <si>
    <t>Pemasangan 1 m2 lantai ubin teralux marmer uk. 40x40 cm (1SP : 2PP)</t>
  </si>
  <si>
    <t>Pemasangan 1 m2 lantai ubin teralux marmer uk. 60x60 cm (1SP : 2PP)</t>
  </si>
  <si>
    <t>Pemasangan 1 m' plint ubin teralux kerang uk. 10 s.d. 15x30 cm (1SP : 2PP)</t>
  </si>
  <si>
    <t>Pemasangan 1 m' plint ubin teralux kerang uk. 10 s.d. 15x40 cm (1SP : 2PP)</t>
  </si>
  <si>
    <t>Pemasangan 1 m' plint ubin teralux kerang uk. 10 s.d. 15x60 cm (1SP : 2PP)</t>
  </si>
  <si>
    <t>Pemasangan 1 m' plint ubin teralux marmer uk. 10 s.d. 15x30 cm (1SP : 2PP)</t>
  </si>
  <si>
    <t>Pemasangan 1 m' plint ubin teralux marmer uk. 10 s.d. 15x40 cm (1SP : 2PP)</t>
  </si>
  <si>
    <t>Pemasangan 1 m' plint ubin teralux marmer uk. 10 s.d. 15x60 cm (1SP : 2PP)</t>
  </si>
  <si>
    <t>Pemasangan 1 m2 lantai keramik artistik uk. 8x8 cm (1SP : 2PP)</t>
  </si>
  <si>
    <t>Pemasangan 1 m2 lantai keramik artistik uk. 10x10 cm (1SP : 2PP)</t>
  </si>
  <si>
    <t>Pemasangan 1 m2 lantai keramik artistik uk. 20x20 cm (1SP : 2PP)</t>
  </si>
  <si>
    <t>Pemasangan 1 m2 lantai keramik artistik uk. 30x30 cm (1SP : 2PP)</t>
  </si>
  <si>
    <t>Pemasangan 1 m2 lantai keramik artistik uk. 40x40 cm (1SP : 2PP)</t>
  </si>
  <si>
    <t>Pemasangan 1 m' plint internal cove artistik uk. 5x5x20 cm (1SP : 2PP)</t>
  </si>
  <si>
    <t>Pemasangan 1 m2 lantai keramik uk. 20x20 cm (1SP : 2PP)</t>
  </si>
  <si>
    <t>Pemasangan 1 m2 lantai keramik uk. 30x30 cm (1SP : 2PP)</t>
  </si>
  <si>
    <t>Pemasangan 1 m2 lantai keramik uk. 40x40 cm (1SP : 2PP)</t>
  </si>
  <si>
    <t>Pemasangan 1 m2 lantai keramik uk. 60x60 cm (1SP : 2PP)</t>
  </si>
  <si>
    <t>Pemasangan 1 m2 lantai keramik uk. 30 s.d. 40 cm untuk variasi/border (1SP : 2PP)</t>
  </si>
  <si>
    <t>Pemasangan 1 m' plint keramik uk. 10 s.d. 15x20 cm (1SP : 2PP)</t>
  </si>
  <si>
    <t>Pemasangan 1 m' plint keramik uk. 10 s.d. 15x30 cm (1SP : 2PP)</t>
  </si>
  <si>
    <t>Pemasangan 1 m' plint keramik uk. 10 s.d. 15x40 cm (1SP : 2PP)</t>
  </si>
  <si>
    <t>Pemasangan 1 m' plint keramik uk. 10 s.d. 15x60 cm (1SP : 2PP)</t>
  </si>
  <si>
    <t>Pemasangan 1 m2 lantai marmer uk. 100x100 cm</t>
  </si>
  <si>
    <t>Pemasangan 1 m2 lantai karpet</t>
  </si>
  <si>
    <t>Pemasangan 1 m2 underlayer (pelapis bawah karpet)</t>
  </si>
  <si>
    <t>Pemasangan 1 m2 lantai parquet kayu solid</t>
  </si>
  <si>
    <t>Pemasangan 1 m2 lantai engineering wood</t>
  </si>
  <si>
    <t>Pemasangan 1 m' plint kayu tebal 2 cm lebar 10 cm</t>
  </si>
  <si>
    <t>Pemasangan 1 m2 lantai vinyl uk. 30x30 cm</t>
  </si>
  <si>
    <t>Pemasangan 1 m' plint vinyl uk. 15x30 cm</t>
  </si>
  <si>
    <t>Pemasangan 1 m2 floor hardener</t>
  </si>
  <si>
    <t>Pemasangan 1 m2 lantai UPVC decking</t>
  </si>
  <si>
    <t>Pemolesan 1 m2 lantai ubin teraso, granit, marmer</t>
  </si>
  <si>
    <t>Pemasangan 1 m2 dinding keramik artistik uk. 10x20 cm (1SP : 2PP)</t>
  </si>
  <si>
    <t>Pemasangan 1 m2 dinding keramik artistik uk. 5x20 cm (1SP : 2PP)</t>
  </si>
  <si>
    <t>Pemasangan 1 m2 dinding keramik uk. 10x20 cm (1SP : 2PP)</t>
  </si>
  <si>
    <t>Pemasangan 1 m2 dinding keramik uk. 20x20 cm (1SP : 2PP)</t>
  </si>
  <si>
    <t>Pemasangan 1 m2 dinding homogeneous tile uk. 30x30 cm (1SP : 2PP)</t>
  </si>
  <si>
    <t>Pemasangan 1 m2 dinding homogeneous tile uk. 40x40 cm (1SP : 2PP)</t>
  </si>
  <si>
    <t>Pemasangan 1 m2 dinding homogeneous tile uk. 60x60 cm (1SP : 2PP)</t>
  </si>
  <si>
    <t>Pemasangan 1 m2 dinding porselen uk. 11x11 cm (1SP : 2PP)</t>
  </si>
  <si>
    <t>Pemasangan 1 m2 dinding porselen uk. 10x20 cm (1SP : 2PP)</t>
  </si>
  <si>
    <t>Pemasangan 1 m2 dinding porselen uk. 20x20 cm (1SP : 2PP)</t>
  </si>
  <si>
    <t>Pemasangan 1 m2 dinding bata pelapis uk. 3x7x24 cm</t>
  </si>
  <si>
    <t>Pemasangan 1 m2 dinding batu paras</t>
  </si>
  <si>
    <t>Pemasangan 1 m2 dinding batu tempel hitam</t>
  </si>
  <si>
    <t>Pemasangan 1 m2 wallpaper lebar 50 cm</t>
  </si>
  <si>
    <t>Pemasangan 1 m2 dinding pemisah plywood rangkap, rangka kayu kelas II</t>
  </si>
  <si>
    <t>Lem Kayu</t>
  </si>
  <si>
    <t>Pemasangan 1 m2 dinding lambisering dari papan kayu kelas I</t>
  </si>
  <si>
    <t>Pemasangan 1 m2 dinding lambisering dari plywood</t>
  </si>
  <si>
    <t>Pemasangan 1 m2 dinding bilik, rangka kayu kelas III atau IV</t>
  </si>
  <si>
    <t>Bilik Bambu</t>
  </si>
  <si>
    <t>Pemasangan kering 1 m2 dinding marmer 100x100 cm tebal 2 cm</t>
  </si>
  <si>
    <t>Pemasangan basah 1 m2 dinding marmer 100x100 cm tebal 2 cm</t>
  </si>
  <si>
    <t>Pemasangan 1 m2 rangka besi hollow galvanis 40x40 mm, modul 60x120 cm, untuk partisi</t>
  </si>
  <si>
    <t>Pemasangan 1 m2 rangka dinding pemisah 60x120 cm kayu kelas II atau III</t>
  </si>
  <si>
    <t>Pemasangan 1 m2 rolling door besi</t>
  </si>
  <si>
    <t>Pemasangan 1 m2 rolling door alumunium</t>
  </si>
  <si>
    <t>Pemasangan 1 m2 pintu lipat PVC</t>
  </si>
  <si>
    <t>Pemasangan 1 m2 pintu aluminium strip lebar 8 cm</t>
  </si>
  <si>
    <t>Profil Aluminium</t>
  </si>
  <si>
    <t>Aluminium Strip</t>
  </si>
  <si>
    <t>Pemasangan 1 m2 pintu kaca rangka aluminium</t>
  </si>
  <si>
    <t>Pemasangan 1 m2 jendela kaca rangka aluminium</t>
  </si>
  <si>
    <t>Pembuatan dan pemasangan 1 m2 pintu klamp standar, kayu kelas II</t>
  </si>
  <si>
    <t>Pembuatan dan pemasangan 1 m2 pintu klamp sederhana, kayu kelas III</t>
  </si>
  <si>
    <t>Pembuatan 1 m2 pintu dan jendela kaca, kayu kelas I atau II</t>
  </si>
  <si>
    <t>Pembuatan 1 m2 pintu dan jendela jalusi, kayu kelas I atau II</t>
  </si>
  <si>
    <t>Pembuatan 1 m2 daun pintu panel, kayu kelas I atau II</t>
  </si>
  <si>
    <t>Pembuatan 1 m2 daun pintu plywood rangkap, rangka kayu kelas II tertutup (lebar s.d. 90 cm)</t>
  </si>
  <si>
    <t>Pembuatan 1 m2 daun pintu plywood rangkap, rangka expose kayu kelas I atau II</t>
  </si>
  <si>
    <t xml:space="preserve">Pembuatan dan pemasangan 1 buah pintu panel kayu lapis timbal di tengah (khusus RS/Laboratorium/R.Radiologi) </t>
  </si>
  <si>
    <t xml:space="preserve">Pembuatan dan pemasangan 1 m2 pintu besi pelat baja tebal 2 mm rangkap, rangka baja siku </t>
  </si>
  <si>
    <t>Kawat Las</t>
  </si>
  <si>
    <t>Pemasangan 1 buah pintu besi tahan api</t>
  </si>
  <si>
    <t>Pemasangan 1 m2 pintu engineering wood</t>
  </si>
  <si>
    <t>Pemasangan 1 m2 jendela nako aluminium</t>
  </si>
  <si>
    <t>Pemasangan 1 m2 jendela nako dan tralis</t>
  </si>
  <si>
    <t>Pemasangan 1 m' kusen aluminium</t>
  </si>
  <si>
    <t>Pembuatan dan pemasangan 1 m’ kusen pintu dan kusen jendela, kayu kelas I uk. 6x12 cm</t>
  </si>
  <si>
    <t>Pembuatan dan pemasangan 1 m’ kusen pintu dan kusen jendela, kayu kelas I uk. 6x15 cm</t>
  </si>
  <si>
    <t>Pembuatan dan pemasangan 1 m’ kusen pintu dan kusen jendela, kayu kelas II atau III uk. 6x12 cm</t>
  </si>
  <si>
    <t>Pembuatan dan pemasangan 1 m’ kusen pintu dan kusen jendela, kayu kelas II atau III uk. 6x15 cm</t>
  </si>
  <si>
    <t>Pembuatan dan pemasangan 1 m2 jalusi kusen, kayu kelas I atau II</t>
  </si>
  <si>
    <t>Pemasangan 1 buah kunci tanam antik</t>
  </si>
  <si>
    <t>Pemasangan 1 buah kunci tanam biasa</t>
  </si>
  <si>
    <t>Pemasangan 1 buah kunci tanam kamar mandi</t>
  </si>
  <si>
    <t>Pemasangan 1 buah kunci tanam silinder</t>
  </si>
  <si>
    <t>Pemasangan 1 buah engsel pintu</t>
  </si>
  <si>
    <t>Pemasangan 1 buah engsel tanam (floor hinge)</t>
  </si>
  <si>
    <t>Pemasangan 1 buah engsel jendela kupu-kupu</t>
  </si>
  <si>
    <t>Pemasangan 1 buah engsel angin</t>
  </si>
  <si>
    <t>Pemasangan 1 buah spring knip untuk jendela</t>
  </si>
  <si>
    <t>Pemasangan 1 buah kait angin</t>
  </si>
  <si>
    <t>Pemasangan 1 buah door closer</t>
  </si>
  <si>
    <t>Pemasangan 1 buah door holder</t>
  </si>
  <si>
    <t>Pemasangan 1 buah door stop</t>
  </si>
  <si>
    <t>Pemasangan 1 buah rel pintu dorong</t>
  </si>
  <si>
    <t>Pemasangan 1 buah venetions blinds dan vertical blinds</t>
  </si>
  <si>
    <t>Pemasangan 1 m2 teralis besi strip (20x3) mm</t>
  </si>
  <si>
    <t>Pengelasan</t>
  </si>
  <si>
    <t>cm</t>
  </si>
  <si>
    <t>Pemasangan 1 m2 kawat nyamuk</t>
  </si>
  <si>
    <t>Pemasangan 1 buah kunci slot (grendel) untuk jendela</t>
  </si>
  <si>
    <t>Pemasangan 1 buah kunci lemari</t>
  </si>
  <si>
    <t>Pemasangan 1 buah grendel</t>
  </si>
  <si>
    <t>Pemasangan 1 buah grendel tanam</t>
  </si>
  <si>
    <t>Pemasangan 1 m2 sunscreen alumunium</t>
  </si>
  <si>
    <t>Pemasangan 1 m2 kaca polos tebal 3 mm</t>
  </si>
  <si>
    <t>Pemasangan 1 m2 kaca polos tebal 5 mm</t>
  </si>
  <si>
    <t>Pemasangan 1 m2 kaca polos tebal 6 mm</t>
  </si>
  <si>
    <t>Pemasangan 1 m2 kaca polos tebal 8 mm</t>
  </si>
  <si>
    <t>Pemasangan 1 m2 kaca buram tebal 12 mm</t>
  </si>
  <si>
    <t>Pemasangan 1 m2 kaca cermin tebal 5 mm</t>
  </si>
  <si>
    <t>Pemasangan 1 m2 kaca cermin tebal 8 mm</t>
  </si>
  <si>
    <t>Pemasangan 1 m2 kaca wireglass tebal 5 mm</t>
  </si>
  <si>
    <t>Pemasangan 1 m2 kaca patri tebal 5 mm</t>
  </si>
  <si>
    <t>Pemasangan 1 m2 kaca laminated tebal 16 mm (8 mm double)</t>
  </si>
  <si>
    <t>Pemasangan 1 m2 kaca laminated tebal 16 mm (8 mm double) dengan aluminium frame</t>
  </si>
  <si>
    <t>Pemasangan 1 m2 kaca tempered tebal 12 mm</t>
  </si>
  <si>
    <t>Pemasangan 1 m2 kaca laminated tebal 12 mm dengan aluminium frame</t>
  </si>
  <si>
    <t>Pemasangan 1 m' slimar aluminium</t>
  </si>
  <si>
    <t>Pemasangan 1 m2 profil jalusi aluminium</t>
  </si>
  <si>
    <t>Pemasangan 1 m2 Aluminium Composite Panel rangka besi hollow 40.40.1,2 mm</t>
  </si>
  <si>
    <t>Asesoris rangka</t>
  </si>
  <si>
    <t>Asesoris ACP</t>
  </si>
  <si>
    <t xml:space="preserve">Pengelasan 1 m’ dengan las listrik </t>
  </si>
  <si>
    <t>Jumlah  (A+B+C)</t>
  </si>
  <si>
    <t>Pembuatan dan pemasangan 1 m' railing besi pengaman tinggi 1.2 m</t>
  </si>
  <si>
    <t>Pembuatan dan pemasangan 1 m' railing tangga/ramp dan hand rail tinggi 0.85 m dan 0.65 m</t>
  </si>
  <si>
    <t>Pembuatan 1 m2 plywood rangkap, rangka expose kayu kelas I</t>
  </si>
  <si>
    <t>Pembuatan 1 m2 plywood rangkap lapis formika, rangka expose kayu kelas II</t>
  </si>
  <si>
    <t>Pengikisan/pengerokan 1 m2 permukaan cat lama (cat minyak)</t>
  </si>
  <si>
    <t>Pencucian 1 m2 permukaan tembok yang pernah dicat</t>
  </si>
  <si>
    <t>Pengerokan 1 m2 karat pada permukaan baja cara manual</t>
  </si>
  <si>
    <t>Pengecatan 1 m2 bidang kayu baru (1 lapis plamir, 1 lapis cat dasar, 2 lapis cat penutup)</t>
  </si>
  <si>
    <t>Pengecatan 1 m2 bidang kayu baru (1 lapis plamir, 1 lapis cat dasar, 3 lapis cat penutup)</t>
  </si>
  <si>
    <t>Pelaburan 1 m2 bidang kayu dengan teak oil</t>
  </si>
  <si>
    <t>Pelaburan 1 m2 bidang kayu dengan pelitur</t>
  </si>
  <si>
    <t>Pelaburan 1 m2 bidang kayu dengan residu</t>
  </si>
  <si>
    <t>Pelaburan 1 m2 bidang kayu dengan vernis</t>
  </si>
  <si>
    <t>Pengecatan 1 m2 tembok baru (1 lapis plamir, 1 lapis cat dasar, 2 lapis cat penutup), interior</t>
  </si>
  <si>
    <t>Pengecatan 1 m2 tembok baru (1 lapis cat dasar, 2 lapis cat penutup), eksterior</t>
  </si>
  <si>
    <t>Pengecatan 1 m2 tembok lama (1 lapis cat dasar, 2 lapis cat penutup), interior</t>
  </si>
  <si>
    <t>Pengecatan 1 m2 tembok lama (1 lapis cat dasar, 2 lapis cat penutup), eksterior</t>
  </si>
  <si>
    <t>Pelaburan 1 m2 tembok baru dengan kapur padam (kapur pemutih)</t>
  </si>
  <si>
    <t>Pelaburan 1 m2 tembok lama dengan kapur padam (kapur pemutih)</t>
  </si>
  <si>
    <t>Pengecatan 1 m2 permukaan baja galvanis 3 lapis cat terakhir secara semprot</t>
  </si>
  <si>
    <t>Pengecatan 1 m2 permukaan baja galvanis secara manual sistem 3 lapis</t>
  </si>
  <si>
    <t>Pengecatan 1 m2 permukaan baja dengan menie besi</t>
  </si>
  <si>
    <t>Pengecatan 1 m2 permukaan baja dengan menie besi dengan perancah</t>
  </si>
  <si>
    <t>Pengecatan 1 m2 permukaan baja galvanis secara manual sistem 4 lapis</t>
  </si>
  <si>
    <t>Pengecatan 1 m2 permukaan baja galvanis secara manual sistem 1 lapis cat penutup</t>
  </si>
  <si>
    <t>Pengecatan 1 m2 plafon (1 lapis cat dasar dan 2 lapis cat penutup)</t>
  </si>
  <si>
    <t xml:space="preserve">Pengecatan 1 m2 cat epoxy tebal 2 mm </t>
  </si>
  <si>
    <t>Pelituran 1 m2 dengan pelitur melamic</t>
  </si>
  <si>
    <t>Pemasangan 1 buah Logo PU plat besi finish cat uk. 80x80 cm</t>
  </si>
  <si>
    <t>Sewa alat pasang</t>
  </si>
  <si>
    <t>Pemasangan 1 m2 signage akrilik</t>
  </si>
  <si>
    <t>Pemasangan 1 m2 signage cutting sticker</t>
  </si>
  <si>
    <t>Pemasangan 1 buah closet duduk/monoblock</t>
  </si>
  <si>
    <t>Pemasangan 1 buah closet jongkok</t>
  </si>
  <si>
    <t>Pasangan bata 1:3</t>
  </si>
  <si>
    <t>Pemasangan 1 m2 kubikel toilet</t>
  </si>
  <si>
    <t>Pemasangan 1 buah urinoir</t>
  </si>
  <si>
    <t>Pemasangan 1 buah partisi urinoir</t>
  </si>
  <si>
    <t>Pemasangan 1 buah wastafel</t>
  </si>
  <si>
    <t>Beton 1:2:3</t>
  </si>
  <si>
    <t>Pemasangan 1 buah bathup</t>
  </si>
  <si>
    <t>Pemasangan 1 buah bak cuci piring stainles steel</t>
  </si>
  <si>
    <t>Pemasangan 1 buah bak cuci piring teraso</t>
  </si>
  <si>
    <t>Pemasangan 1 buah floor drain stainless steel</t>
  </si>
  <si>
    <t>Pemasangan 1 buah kran diameter ½" atau 3/4"</t>
  </si>
  <si>
    <t>Pemasangan 1 buah jet washer</t>
  </si>
  <si>
    <t>Pemasangan 1 buah gantungan baju (robe hook)</t>
  </si>
  <si>
    <t>Pemasangan 1 buah towel bar</t>
  </si>
  <si>
    <t>Pemasangan 1 buah grab bar</t>
  </si>
  <si>
    <t>Pemasangan 1 buah clean out</t>
  </si>
  <si>
    <t>Pemasangan 1 buah soap holder</t>
  </si>
  <si>
    <t>Pemasangan 1 buah tissue holder</t>
  </si>
  <si>
    <t>Pemasangan 1 unit roof tank fiberglass kap. 2 m3</t>
  </si>
  <si>
    <t>Pemasangan 1 unit roof tank fiberglass kap. 4 m3</t>
  </si>
  <si>
    <t>Pemasangan 1 unit roof tank fiberglass kap. 12 m3</t>
  </si>
  <si>
    <t>Pemasangan 1 unit roof tank stainless kap. 2 m3</t>
  </si>
  <si>
    <t>Pemasangan 1 unit roof tank stainless kap. 4 m3</t>
  </si>
  <si>
    <t>Pemasangan 1 unit roof tank stainless kap. 12 m3</t>
  </si>
  <si>
    <t>Pemasangan 1 unit tangki toren kap. 0,7 m3</t>
  </si>
  <si>
    <t>Pemasangan 1 unit tangki toren kap. 1,5 m3</t>
  </si>
  <si>
    <t>Pemasangan 1 unit tangki toren kap. 2,5 m3</t>
  </si>
  <si>
    <t>Pemasangan 1 unit tangki toren kap. 3 m3</t>
  </si>
  <si>
    <t>Pemasangan 1 unit tangki toren kap. 4 m3</t>
  </si>
  <si>
    <t>Pemasangan 1 unit tangki toren kap. 5 m3</t>
  </si>
  <si>
    <t>Pemasangan 1 unit tangki toren kap. 5,5 m3</t>
  </si>
  <si>
    <t>Pemasangan 1 unit tangki toren kap. 6 m3</t>
  </si>
  <si>
    <t>Pemasangan 1 unit pompa transfer 150 lpm; centrifugal end suction</t>
  </si>
  <si>
    <t>Pemasangan 1 unit pompa booster 450 lpm; centrifugal end suction</t>
  </si>
  <si>
    <t>Pemasangan 1 unit pompa booster 150 lpm; vertical in line-packaged</t>
  </si>
  <si>
    <t>Pemasangan 1 unit pompa jet 27 lpm</t>
  </si>
  <si>
    <t>Pemasangan 1 unit pompa jet 34 lpm</t>
  </si>
  <si>
    <t>Pemasangan 1 unit pompa jet 100 lpm</t>
  </si>
  <si>
    <t>Pemasangan 1 unit pompa lift 80 lpm</t>
  </si>
  <si>
    <t>Pemasangan 1 unit pompa lift 250 lpm</t>
  </si>
  <si>
    <t xml:space="preserve">Pemasangan 1 unit sand filter kap. 0,1 m3 / hari </t>
  </si>
  <si>
    <t xml:space="preserve">Pemasangan 1 unit sand filter kap. 14 m3 / hari </t>
  </si>
  <si>
    <t xml:space="preserve">Pemasangan 1 unit carbon filter kap. 0,1 m3 / hari </t>
  </si>
  <si>
    <t xml:space="preserve">Pemasangan 1 unit carbon filter kap. 0,6 m3 / hari </t>
  </si>
  <si>
    <t xml:space="preserve">Pemasangan 1 unit silika filter kap. 0,1 m3 / hari </t>
  </si>
  <si>
    <t>Pemasangan 1 set priming tank 500 liter</t>
  </si>
  <si>
    <t>Pemasangan 1 set priming tank 800 liter</t>
  </si>
  <si>
    <t>Pemasangan 1 set priming tank 1.000 liter</t>
  </si>
  <si>
    <t>Pemasangan 1 set priming tank 2.000 liter</t>
  </si>
  <si>
    <t>Pemasangan 1 set pressure tank 1.000 liter</t>
  </si>
  <si>
    <r>
      <t>Pemasangan 1 buah bak mandi teraso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</si>
  <si>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mandi pasangan bata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</si>
  <si>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</si>
  <si>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1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</si>
  <si>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beton vol. 1 m</t>
    </r>
    <r>
      <rPr>
        <b/>
        <vertAlign val="superscript"/>
        <sz val="11"/>
        <rFont val="Arial"/>
        <family val="2"/>
      </rPr>
      <t>3</t>
    </r>
  </si>
  <si>
    <t>Pipa PVC AW Ø 3/4" (m)</t>
  </si>
  <si>
    <t>Kayu papan kelas III (m2)</t>
  </si>
  <si>
    <t>Pemasangan 1 set Sewage Treatment Plant (STP) fiberglass kap. 2 m3</t>
  </si>
  <si>
    <t>Pemasangan 1 set Sewage Treatment Plant (STP) fiberglass kap. 5 m3</t>
  </si>
  <si>
    <t>Pemasangan 1 set Sewage Treatment Plant (STP) fiberglass kap. 10 m3</t>
  </si>
  <si>
    <t>Pemasangan 1 set Sewage Treatment Plant (STP) fiberglass kap. 30 m3</t>
  </si>
  <si>
    <t>Pemasangan 1 set Sewage Treatment Plant (STP) precast kap. 30 m3</t>
  </si>
  <si>
    <t xml:space="preserve">Pemasangan 1 unit pompa sump pit air kotor 100 m3/jam, submersible cutter pump </t>
  </si>
  <si>
    <t>Pemasangan 1 unit grease trap portable fiberglass, kap. 30 Liter</t>
  </si>
  <si>
    <t>Pemasangan 1 unit grease trap portable stainless, kap. 30 Liter</t>
  </si>
  <si>
    <t>Pemasangan 1 unit grease trap central fiberglass, kap. 5 m3</t>
  </si>
  <si>
    <t>NB: Sewage Treatment Plant (SPT) sudah termasuk asesoris</t>
  </si>
  <si>
    <t>Pemasangan 1 buah bak kontrol pas. bata 30x30 cm tinggi 35 cm dengan tutup beton</t>
  </si>
  <si>
    <t>Pemasangan 1 buah bak kontrol pas. bata 45x45 cm tinggi 50 cm dengan tutup beton</t>
  </si>
  <si>
    <t>Pemasangan 1 buah bak kontrol pas. bata 60x60 cm tinggi 65 cm dengan tutup beton</t>
  </si>
  <si>
    <t>Pemasangan 1 m' pipa PVC AW, dia. 1/2" (15 mm)</t>
  </si>
  <si>
    <t>Asesoris</t>
  </si>
  <si>
    <t>Pemasangan 1 m' pipa PVC AW, dia. 3/4" (20 mm)</t>
  </si>
  <si>
    <t>Perlengkapan</t>
  </si>
  <si>
    <t>Pemasangan 1 m' pipa PVC AW, dia. 1" (25 mm)</t>
  </si>
  <si>
    <t>Pemasangan 1 m' pipa PVC AW, dia. 1-1/4" (32 mm)</t>
  </si>
  <si>
    <t>Pemasangan 1 m' pipa PVC AW, dia. 1-1/2" (40 mm)</t>
  </si>
  <si>
    <t>Pemasangan 1 m' pipa PVC AW, dia. 2" (50 mm)</t>
  </si>
  <si>
    <t>Pemasangan 1 m' pipa PVC AW, dia. 2-1/2" (65 mm)</t>
  </si>
  <si>
    <t>Pemasangan 1 m' pipa PVC AW, dia. 3" (80 mm)</t>
  </si>
  <si>
    <t>Pemasangan 1 m' pipa PVC AW, dia. 4" (100 mm)</t>
  </si>
  <si>
    <t>Pemasangan 1 m' pipa PVC AW, dia. 5" (125 mm)</t>
  </si>
  <si>
    <t>Pemasangan 1 m' pipa PVC AW, dia. 6" (150 mm)</t>
  </si>
  <si>
    <t>Pemasangan 1 m' pipa PVC AW, dia. 8" (200 mm)</t>
  </si>
  <si>
    <t>Pemasangan 1 m' pipa PVC AW, dia. 10" (250 mm)</t>
  </si>
  <si>
    <t>Pemasangan 1 m' pipa PVC AW, dia. 12" (300 mm)</t>
  </si>
  <si>
    <t>Pemasangan 1 m' pipa PVC AW, dia. 14" (350 mm)</t>
  </si>
  <si>
    <t>Pemasangan 1 m' pipa PVC AW, dia. 16" (400 mm)</t>
  </si>
  <si>
    <t>Pemasangan 1 m' pipa PVC D, dia. 1-1/4" (32 mm)</t>
  </si>
  <si>
    <t>Pemasangan 1 m' pipa PVC D, dia. 1-1/2" (40 mm)</t>
  </si>
  <si>
    <t>Pemasangan 1 m' pipa PVC D, dia. 2" (50 mm)</t>
  </si>
  <si>
    <t>Pemasangan 1 m' pipa PVC D, dia. 2-1/2" (65 mm)</t>
  </si>
  <si>
    <t>Pemasangan 1 m' pipa PVC D, dia. 3" (80 mm)</t>
  </si>
  <si>
    <t>Pemasangan 1 m' pipa PVC D, dia. 4" (100 mm)</t>
  </si>
  <si>
    <t>Pemasangan 1 m' pipa PVC D, dia. 5" (125 mm)</t>
  </si>
  <si>
    <t>Pemasangan 1 m' pipa PVC D, dia. 6" (150 mm)</t>
  </si>
  <si>
    <t>Pemasangan 1 m' pipa PVC D, dia. 8" (200 mm)</t>
  </si>
  <si>
    <t>Pemasangan 1 m' pipa PVC D, dia. 10" (250 mm)</t>
  </si>
  <si>
    <t>Pemasangan 1 m' pipa PVC D, dia. 12" (300 mm)</t>
  </si>
  <si>
    <t>Pemasangan 1 m' pipa PVC D, dia. 14" (350 mm)</t>
  </si>
  <si>
    <t>Pemasangan 1 m' pipa PVC D, dia. 16" (400 mm)</t>
  </si>
  <si>
    <t>Pipa PVC AW Ø 1/2" (m)</t>
  </si>
  <si>
    <t xml:space="preserve">Pemasangan 1 m' kabel NYY 1 x 4 mm² </t>
  </si>
  <si>
    <t xml:space="preserve">Pemasangan 1 m' kabel NYY 1 x 6 mm² </t>
  </si>
  <si>
    <t xml:space="preserve">Pemasangan 1 m' kabel NYY 1 x 10 mm² </t>
  </si>
  <si>
    <t xml:space="preserve">Pemasangan 1 m' kabel NYY 1 x 16 mm² </t>
  </si>
  <si>
    <t xml:space="preserve">Pemasangan 1 m' kabel NYY 1 x 25 mm² </t>
  </si>
  <si>
    <t xml:space="preserve">Pemasangan 1 m' kabel NYY 1 x 35 mm² </t>
  </si>
  <si>
    <t xml:space="preserve">Pemasangan 1 m' kabel NYY 1 x 50 mm² </t>
  </si>
  <si>
    <t xml:space="preserve">Pemasangan 1 m' kabel NYY 1 x 70 mm² </t>
  </si>
  <si>
    <t xml:space="preserve">Pemasangan 1 m' kabel NYY 1 x 95 mm² </t>
  </si>
  <si>
    <t xml:space="preserve">Pemasangan 1 m' kabel NYY 1 x 120 mm² </t>
  </si>
  <si>
    <t xml:space="preserve">Pemasangan 1 m' kabel NYY 1 x 150 mm² </t>
  </si>
  <si>
    <t xml:space="preserve">Pemasangan 1 m' kabel NYY 1 x 185 mm² </t>
  </si>
  <si>
    <t xml:space="preserve">Pemasangan 1 m' kabel NYY 1 x 250 mm² </t>
  </si>
  <si>
    <t xml:space="preserve">Pemasangan 1 m' kabel NYY 1 x 300 mm² </t>
  </si>
  <si>
    <t xml:space="preserve">Pemasangan 1 m' kabel NYY 1 x 400 mm² </t>
  </si>
  <si>
    <t xml:space="preserve">Pemasangan 1 m' kabel NYY 1 x 500 mm² </t>
  </si>
  <si>
    <t xml:space="preserve">Pemasangan 1 m' kabel NYY 1 x 630 mm² </t>
  </si>
  <si>
    <t xml:space="preserve">Pemasangan 1 m' kabel NYY 2 x 1,5 mm² </t>
  </si>
  <si>
    <t xml:space="preserve">Pemasangan 1 m' kabel NYY 2 x 2,5 mm² </t>
  </si>
  <si>
    <t xml:space="preserve">Pemasangan 1 m' kabel NYY 2 x 4 mm² </t>
  </si>
  <si>
    <t xml:space="preserve">Pemasangan 1 m' kabel NYY 2 x 6 mm² </t>
  </si>
  <si>
    <t xml:space="preserve">Pemasangan 1 m' kabel NYY 2 x 10 mm² </t>
  </si>
  <si>
    <t xml:space="preserve">Pemasangan 1 m' kabel NYY 2 x 16 mm² </t>
  </si>
  <si>
    <t xml:space="preserve">Pemasangan 1 m' kabel NYY 3 x 1,5 mm² </t>
  </si>
  <si>
    <t xml:space="preserve">Pemasangan 1 m' kabel NYY 3 x 2,5 mm² </t>
  </si>
  <si>
    <t xml:space="preserve">Pemasangan 1 m' kabel NYY 3 x 4 mm² </t>
  </si>
  <si>
    <t xml:space="preserve">Pemasangan 1 m' kabel NYY 3 x 6 mm² </t>
  </si>
  <si>
    <t xml:space="preserve">Pemasangan 1 m' kabel NYY 3 x 10 mm² </t>
  </si>
  <si>
    <t xml:space="preserve">Pemasangan 1 m' kabel NYY 3 x 16 mm² </t>
  </si>
  <si>
    <t xml:space="preserve">Pemasangan 1 m' kabel NYY 3 x 25 mm² </t>
  </si>
  <si>
    <t xml:space="preserve">Pemasangan 1 m' kabel NYY 3 x 35 mm² </t>
  </si>
  <si>
    <t xml:space="preserve">Pemasangan 1 m' kabel NYY 3 x 50 mm² </t>
  </si>
  <si>
    <t xml:space="preserve">Pemasangan 1 m' kabel NYY 4 x 1,5 mm² </t>
  </si>
  <si>
    <t xml:space="preserve">Pemasangan 1 m' kabel NYY 4 x 2,5 mm² </t>
  </si>
  <si>
    <t xml:space="preserve">Pemasangan 1 m' kabel NYY 4 x 4 mm² </t>
  </si>
  <si>
    <t xml:space="preserve">Pemasangan 1 m' kabel NYY 4 x 6 mm² </t>
  </si>
  <si>
    <t xml:space="preserve">Pemasangan 1 m' kabel NYY 4 x 10 mm² </t>
  </si>
  <si>
    <t xml:space="preserve">Pemasangan 1 m' kabel NYY 4 x 16 mm² </t>
  </si>
  <si>
    <t xml:space="preserve">Pemasangan 1 m' kabel NYY 4 x 25 mm² </t>
  </si>
  <si>
    <t xml:space="preserve">Pemasangan 1 m' kabel NYY 4 x 35 mm² </t>
  </si>
  <si>
    <t xml:space="preserve">Pemasangan 1 m' kabel NYY 4 x 50 mm² </t>
  </si>
  <si>
    <t xml:space="preserve">Pemasangan 1 m' kabel NYY 4 x 70 mm² </t>
  </si>
  <si>
    <t xml:space="preserve">Pemasangan 1 m' kabel NYY 4 x 95 mm² </t>
  </si>
  <si>
    <t xml:space="preserve">Pemasangan 1 m' kabel NYY 4 x 120 mm² </t>
  </si>
  <si>
    <t xml:space="preserve">Pemasangan 1 m' kabel NYY 4 x 150 mm² </t>
  </si>
  <si>
    <t xml:space="preserve">Pemasangan 1 m' kabel NYY 4 x 185 mm² </t>
  </si>
  <si>
    <t xml:space="preserve">Pemasangan 1 m' kabel NYY 4 x 240 mm² </t>
  </si>
  <si>
    <t xml:space="preserve">Pemasangan 1 m' kabel NYY 4 x 300 mm² </t>
  </si>
  <si>
    <t xml:space="preserve">Pemasangan 1 m' kabel NYA 1 x 1,5 mm² </t>
  </si>
  <si>
    <t xml:space="preserve">Pemasangan 1 m' kabel NYA 1 x 2,5 mm² </t>
  </si>
  <si>
    <t xml:space="preserve">Pemasangan 1 m' kabel NYA 1 x 4 mm² </t>
  </si>
  <si>
    <t xml:space="preserve">Pemasangan 1 m' kabel NYA 1 x 6 mm² </t>
  </si>
  <si>
    <t xml:space="preserve">Pemasangan 1 m' kabel NYA 1 x 10 mm² </t>
  </si>
  <si>
    <t xml:space="preserve">Pemasangan 1 m' kabel NYA 1 x 16 mm² </t>
  </si>
  <si>
    <t xml:space="preserve">Pemasangan 1 m' kabel NYA 2 x 1,5 mm² + PVC conduit HI 20 mm²
</t>
  </si>
  <si>
    <t xml:space="preserve">Pemasangan 1 m' kabel NYA 3 x 1,5 mm² + PVC conduit HI 20 mm²
</t>
  </si>
  <si>
    <t xml:space="preserve">Pemasangan 1 m' kabel NYM 2 x 1,5 mm²
</t>
  </si>
  <si>
    <t xml:space="preserve">Pemasangan 1 m' kabel NYM 2 x 2,5 mm²
</t>
  </si>
  <si>
    <t xml:space="preserve">Pemasangan 1 m' kabel NYM 2 x 4 mm²
</t>
  </si>
  <si>
    <t xml:space="preserve">Pemasangan 1 m' kabel NYM 2 x 6 mm²
</t>
  </si>
  <si>
    <t xml:space="preserve">Pemasangan 1 m' kabel NYM 2 x 10 mm²
</t>
  </si>
  <si>
    <t xml:space="preserve">Pemasangan 1 m' kabel NYM 3 x 1,5 mm²
</t>
  </si>
  <si>
    <t xml:space="preserve">Pemasangan 1 m' kabel NYM 3 x 2,5 mm²
</t>
  </si>
  <si>
    <t xml:space="preserve">Pemasangan 1 m' kabel NYM 3 x 4 mm²
</t>
  </si>
  <si>
    <t xml:space="preserve">Pemasangan 1 m' kabel NYM 3 x 6 mm²
</t>
  </si>
  <si>
    <t xml:space="preserve">Pemasangan 1 m' kabel NYM 3 x 10 mm²
</t>
  </si>
  <si>
    <t xml:space="preserve">Pemasangan 1 m' kabel NYM 4 x 1,5 mm²
</t>
  </si>
  <si>
    <t xml:space="preserve">Pemasangan 1 m' kabel NYM 4 x 2,5 mm²
</t>
  </si>
  <si>
    <t xml:space="preserve">Pemasangan 1 m' kabel NYM 4 x 4 mm²
</t>
  </si>
  <si>
    <t xml:space="preserve">Pemasangan 1 m' kabel NYM 4 x 6 mm²
</t>
  </si>
  <si>
    <t xml:space="preserve">Pemasangan 1 m' kabel NYM 4 x 10 mm²
</t>
  </si>
  <si>
    <t xml:space="preserve">Pemasangan 1 m' kabel NYM 4 x 16 mm²
</t>
  </si>
  <si>
    <t xml:space="preserve">Pemasangan 1 m' kabel NYMHY 2 x 1,5 mm²
</t>
  </si>
  <si>
    <t xml:space="preserve">Pemasangan 1 m' kabel NYMHY 2 x 2,5 mm²
</t>
  </si>
  <si>
    <t xml:space="preserve">Pemasangan 1 m' kabel NYMHY 3 x 1,5 mm²
</t>
  </si>
  <si>
    <t xml:space="preserve">Pemasangan 1 m' kabel NYMHY 3 x 2,5 mm²
</t>
  </si>
  <si>
    <t xml:space="preserve">Pemasangan 1 m' kabel NYMHY 4 x 2,5 mm²
</t>
  </si>
  <si>
    <t xml:space="preserve">Pemasangan 1 m' kabel NYMHY 3 x 1,5 mm² + PVC conduit HI 20 mm²
</t>
  </si>
  <si>
    <t xml:space="preserve">Pemasangan 1 m' kabel NYMHY 2 (3 x 1,5 mm²) + PVC conduit HI 20 mm²
</t>
  </si>
  <si>
    <t xml:space="preserve">Pemasangan 1 m' kabel NYFGBY 2 x 1,5 mm²
</t>
  </si>
  <si>
    <t xml:space="preserve">Pemasangan 1 m' kabel NYFGBY 2 x 2,5 mm²
</t>
  </si>
  <si>
    <t xml:space="preserve">Pemasangan 1 m' kabel NYFGBY 2 x 4 mm²
</t>
  </si>
  <si>
    <t xml:space="preserve">Pemasangan 1 m' kabel NYFGBY 2 x 6 mm²
</t>
  </si>
  <si>
    <t xml:space="preserve">Pemasangan 1 m' kabel NYFGBY 2 x 10 mm²
</t>
  </si>
  <si>
    <t xml:space="preserve">Pemasangan 1 m' kabel NYFGBY 2 x 16 mm²
</t>
  </si>
  <si>
    <t xml:space="preserve">Pemasangan 1 m' kabel NYFGBY 3 x 1,5 mm²
</t>
  </si>
  <si>
    <t xml:space="preserve">Pemasangan 1 m' kabel NYFGBY 3 x 2,5 mm²
</t>
  </si>
  <si>
    <t xml:space="preserve">Pemasangan 1 m' kabel NYFGBY 3 x 4 mm²
</t>
  </si>
  <si>
    <t xml:space="preserve">Pemasangan 1 m' kabel NYFGBY 3 x 6 mm²
</t>
  </si>
  <si>
    <t xml:space="preserve">Pemasangan 1 m' kabel NYFGBY 3 x 10 mm²
</t>
  </si>
  <si>
    <t xml:space="preserve">Pemasangan 1 m' kabel NYFGBY 3 x 16 mm²
</t>
  </si>
  <si>
    <t xml:space="preserve">Pemasangan 1 m' kabel NYFGBY 4 x 1,5 mm²
</t>
  </si>
  <si>
    <t xml:space="preserve">Pemasangan 1 m' kabel NYFGBY 4 x 2,5 mm²
</t>
  </si>
  <si>
    <t xml:space="preserve">Pemasangan 1 m' kabel NYFGBY 4 x 4 mm²
</t>
  </si>
  <si>
    <t xml:space="preserve">Pemasangan 1 m' kabel NYFGBY 4 x 6 mm²
</t>
  </si>
  <si>
    <t xml:space="preserve">Pemasangan 1 m' kabel NYFGBY 4 x 10 mm²
</t>
  </si>
  <si>
    <t xml:space="preserve">Pemasangan 1 m' kabel NYFGBY 4 x 16 mm²
</t>
  </si>
  <si>
    <t xml:space="preserve">Pemasangan 1 m' kabel NYFGBY 4 x 25 mm²
</t>
  </si>
  <si>
    <t xml:space="preserve">Pemasangan 1 m' kabel NYFGBY 4 x 35 mm²
</t>
  </si>
  <si>
    <t xml:space="preserve">Pemasangan 1 m' kabel NYFGBY 4 x 50 mm²
</t>
  </si>
  <si>
    <t xml:space="preserve">Pemasangan 1 m' kabel NYFGBY 4 x 70 mm²
</t>
  </si>
  <si>
    <t xml:space="preserve">Pemasangan 1 m' kabel NYFGBY 4 x 95 mm²
</t>
  </si>
  <si>
    <t xml:space="preserve">Pemasangan 1 m' kabel NYFGBY 4 x 120 mm²
</t>
  </si>
  <si>
    <t xml:space="preserve">Pemasangan 1 m' kabel NYFGBY 4 x 150 mm²
</t>
  </si>
  <si>
    <t xml:space="preserve">Pemasangan 1 m' kabel NYFGBY 4 x 185 mm²
</t>
  </si>
  <si>
    <t xml:space="preserve">Pemasangan 1 m' kabel NYFGBY 4 x 240 mm²
</t>
  </si>
  <si>
    <t xml:space="preserve">Pemasangan 1 m' kabel NYFGBY 4 x 300 mm²
</t>
  </si>
  <si>
    <t xml:space="preserve">Pemasangan 1 m' kabel FRC 3 x 2,5 mm²
</t>
  </si>
  <si>
    <t xml:space="preserve">Pemasangan 1 m' kabel FRC 4 x 4 mm²
</t>
  </si>
  <si>
    <t xml:space="preserve">Pemasangan 1 m' kabel FRC 4 x 6 mm²
</t>
  </si>
  <si>
    <t xml:space="preserve">Pemasangan 1 m' kabel FRC 4 x 150 mm²
</t>
  </si>
  <si>
    <t xml:space="preserve">Pemasangan 1 m' kabel FRC 1 x 150 mm²
</t>
  </si>
  <si>
    <t xml:space="preserve">Pemasangan 1 m' kabel BCC 4 mm² (0,04 kg/m)
</t>
  </si>
  <si>
    <t xml:space="preserve">Pemasangan 1 m' kabel BCC 6 mm² (0,06 kg/m)
</t>
  </si>
  <si>
    <t xml:space="preserve">Pemasangan 1 m' kabel BCC 10 mm² (0,10 kg/m)
</t>
  </si>
  <si>
    <t xml:space="preserve">Pemasangan 1 m' kabel BCC 16 mm² (0,16 kg/m)
</t>
  </si>
  <si>
    <t xml:space="preserve">Pemasangan 1 m' kabel BCC 25 mm² (0,25 kg/m)
</t>
  </si>
  <si>
    <t xml:space="preserve">Pemasangan 1 m' kabel BCC 35 mm² (0,35 kg/m)
</t>
  </si>
  <si>
    <t xml:space="preserve">Pemasangan 1 m' kabel BCC 50 mm² (0,50 kg/m)
</t>
  </si>
  <si>
    <t xml:space="preserve">Pemasangan 1 m' kabel BCC 70 mm² (0,70 kg/m)
</t>
  </si>
  <si>
    <t xml:space="preserve">Pemasangan 1 m' kabel BCC 95 mm² (0,95 kg/m)
</t>
  </si>
  <si>
    <t xml:space="preserve">Pemasangan 1 unit kabel tray (horizontal) 600 x 100 mm
</t>
  </si>
  <si>
    <t xml:space="preserve">Pemasangan 1 unit kabel tray (horizontal) 500 x 100 mm
</t>
  </si>
  <si>
    <t xml:space="preserve">Pemasangan 1 unit kabel tray (horizontal) 400 x 100 mm
</t>
  </si>
  <si>
    <t xml:space="preserve">Pemasangan 1 unit kabel tray (horizontal) 300 x 100 mm
</t>
  </si>
  <si>
    <t xml:space="preserve">Pemasangan 1 unit kabel tray (horizontal) 200 x 100 mm
</t>
  </si>
  <si>
    <t xml:space="preserve">Pemasangan 1 unit kabel tray (vertikal) 600 x 100 mm
</t>
  </si>
  <si>
    <t xml:space="preserve">Pemasangan 1 unit kabel tray (vertikal) 500 x 100 mm
</t>
  </si>
  <si>
    <t xml:space="preserve">Pemasangan 1 unit kabel tray (vertikal) 400 x 100 mm
</t>
  </si>
  <si>
    <t xml:space="preserve">Pemasangan 1 unit kabel tray (vertikal) 300 x 100 mm
</t>
  </si>
  <si>
    <t xml:space="preserve">Pemasangan 1 unit kabel tray (vertikal) 200 x 100 mm
</t>
  </si>
  <si>
    <t xml:space="preserve">Pemasangan 1 unit pasang baja ringan 75 x 35 mm + Hanger
</t>
  </si>
  <si>
    <r>
      <t>Pemasangan 1 m' kabel FRC 2 x 1,5 mm² + PVC Conduit HI 20 mm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
</t>
    </r>
  </si>
  <si>
    <r>
      <t>Pemasangan 1 m' kabel FRC 2 x 2,5 mm² + PVC Conduit HI 20 mm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
</t>
    </r>
  </si>
  <si>
    <t>Baja ringan C75 x 1,00 mm (m)</t>
  </si>
  <si>
    <t>URAIAN PEKERJAAN</t>
  </si>
  <si>
    <t>btg</t>
  </si>
  <si>
    <t>tgl</t>
  </si>
  <si>
    <t>15</t>
  </si>
  <si>
    <t>16</t>
  </si>
  <si>
    <t>17</t>
  </si>
  <si>
    <t>18</t>
  </si>
  <si>
    <t>19</t>
  </si>
  <si>
    <t>20</t>
  </si>
  <si>
    <t>21</t>
  </si>
  <si>
    <t>Ha</t>
  </si>
  <si>
    <t>22</t>
  </si>
  <si>
    <t>PEKERJAAN GALIAN TANAH</t>
  </si>
  <si>
    <t>PEKERJAAN TIMBUNAN DAN PEMADATAN</t>
  </si>
  <si>
    <t>PEKERJAAN PEMBONGKARAN</t>
  </si>
  <si>
    <t>PEKERJAAN PONDASI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</si>
  <si>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</si>
  <si>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</si>
  <si>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</si>
  <si>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</si>
  <si>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</si>
  <si>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</si>
  <si>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</si>
  <si>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</si>
  <si>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</si>
  <si>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</si>
  <si>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</si>
  <si>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PEKERJAAN BETON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</si>
  <si>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</si>
  <si>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</si>
  <si>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</si>
  <si>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</si>
  <si>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</si>
  <si>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</si>
  <si>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</si>
  <si>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</si>
  <si>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</si>
  <si>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</si>
  <si>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</si>
  <si>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</si>
  <si>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</si>
  <si>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</si>
  <si>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</si>
  <si>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</si>
  <si>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</si>
  <si>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</si>
  <si>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</si>
  <si>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</si>
  <si>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</si>
  <si>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</si>
  <si>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</si>
  <si>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G</t>
  </si>
  <si>
    <t>PEKERJAAN RANGKA ATAP</t>
  </si>
  <si>
    <t>H</t>
  </si>
  <si>
    <t>PEKERJAAN PASANGAN DINDING</t>
  </si>
  <si>
    <t>I</t>
  </si>
  <si>
    <t>PEKERJAAN PENUTUP ATAP</t>
  </si>
  <si>
    <t>J</t>
  </si>
  <si>
    <t>PEKERJAAN PLESTERAN DAN ACIAN</t>
  </si>
  <si>
    <t>K</t>
  </si>
  <si>
    <t>PEKERJAAN PLAFON</t>
  </si>
  <si>
    <t>L</t>
  </si>
  <si>
    <t>PEKERJAAN PENUTUP LANTAI DAN DINDING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</si>
  <si>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</si>
  <si>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</si>
  <si>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</si>
  <si>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</si>
  <si>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</si>
  <si>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</si>
  <si>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</si>
  <si>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</si>
  <si>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</si>
  <si>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</si>
  <si>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</si>
  <si>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</si>
  <si>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</si>
  <si>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</si>
  <si>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</si>
  <si>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</si>
  <si>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</si>
  <si>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</si>
  <si>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</si>
  <si>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</si>
  <si>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</si>
  <si>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</si>
  <si>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</si>
  <si>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</si>
  <si>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</si>
  <si>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</si>
  <si>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</si>
  <si>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</si>
  <si>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</si>
  <si>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</si>
  <si>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</si>
  <si>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</si>
  <si>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</si>
  <si>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</si>
  <si>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M</t>
  </si>
  <si>
    <t>PEKERJAAN PINTU DAN JENDELA</t>
  </si>
  <si>
    <t>N</t>
  </si>
  <si>
    <t>PEKERJAAN KACA</t>
  </si>
  <si>
    <t>O</t>
  </si>
  <si>
    <t>PEKERJAAN BESI DAN ALUMINIUM</t>
  </si>
  <si>
    <t>P</t>
  </si>
  <si>
    <t>PEKERJAAN KAYU</t>
  </si>
  <si>
    <t>Q</t>
  </si>
  <si>
    <t>PEKERJAAN PENGECATAN DAN PELITURAN</t>
  </si>
  <si>
    <t>R</t>
  </si>
  <si>
    <t>PEKERJAAN SIGNAGE</t>
  </si>
  <si>
    <t>S</t>
  </si>
  <si>
    <t>PEKERJAAN SANITAIR</t>
  </si>
  <si>
    <t>T</t>
  </si>
  <si>
    <t>PEKERJAAN SISTEM AIR MINUM</t>
  </si>
  <si>
    <t>U</t>
  </si>
  <si>
    <t>PEKERJAAN SISTEM AIR LIMBAH</t>
  </si>
  <si>
    <t>V</t>
  </si>
  <si>
    <t>PEKERJAAN BAK KONTROL</t>
  </si>
  <si>
    <t>W</t>
  </si>
  <si>
    <t>PEKERJAAN PERPIPAAN GEDUNG</t>
  </si>
  <si>
    <t>X</t>
  </si>
  <si>
    <t>PEKERJAAN JARINGAN LISTRIK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</si>
  <si>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</si>
  <si>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</si>
  <si>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</si>
  <si>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</si>
  <si>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</si>
  <si>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</si>
  <si>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</si>
  <si>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</si>
  <si>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</si>
  <si>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</si>
  <si>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</si>
  <si>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</si>
  <si>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</si>
  <si>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</si>
  <si>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</si>
  <si>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</si>
  <si>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</si>
  <si>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</si>
  <si>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</si>
  <si>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</si>
  <si>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</si>
  <si>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</si>
  <si>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</si>
  <si>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</si>
  <si>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</si>
  <si>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</si>
  <si>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</si>
  <si>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</si>
  <si>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</si>
  <si>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</si>
  <si>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</si>
  <si>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</si>
  <si>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</si>
  <si>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</si>
  <si>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</si>
  <si>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</si>
  <si>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</si>
  <si>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</si>
  <si>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</si>
  <si>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</si>
  <si>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</si>
  <si>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</si>
  <si>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</si>
  <si>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</si>
  <si>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Pemasangan 1 buah bak mandi teraso vol. 0,3 m3</t>
  </si>
  <si>
    <t>Pemasangan 1 buah bak mandi pasangan bata vol. 0,3 m3</t>
  </si>
  <si>
    <t>Pemasangan 1 buah bak fiberglass vol. 0,3 m3</t>
  </si>
  <si>
    <t>Pemasangan 1 buah bak fiberglass vol. 1 m3</t>
  </si>
  <si>
    <t>Pemasangan 1 buah bak beton vol. 1 m3</t>
  </si>
  <si>
    <t xml:space="preserve">Pemasangan 1 m' kabel FRC 2 x 1,5 mm² + PVC Conduit HI 20 mm2
</t>
  </si>
  <si>
    <t xml:space="preserve">Pemasangan 1 m' kabel FRC 2 x 2,5 mm² + PVC Conduit HI 20 mm2
</t>
  </si>
  <si>
    <t>Porselen 11x11 cm (dus)</t>
  </si>
  <si>
    <t>Berdasarkan Permen PUPR No.8 Tahun 2023</t>
  </si>
  <si>
    <t>DAFTAR HARGA SATUAN PEKERJAAN (DHSP)</t>
  </si>
  <si>
    <t>BIDANG CIPTA KARYA</t>
  </si>
  <si>
    <t>DAFTAR HARGA SATUAN PEKERJAAN</t>
  </si>
  <si>
    <t>URAIAN</t>
  </si>
  <si>
    <t>SAT MATRIAL  (Rp.)</t>
  </si>
  <si>
    <t>SAT UPAH  (Rp.)</t>
  </si>
  <si>
    <t>MATRIAL &amp; UPAH  (Rp.)</t>
  </si>
  <si>
    <t>II.  PEKERJAAN TANAH</t>
  </si>
  <si>
    <t>III. PEKERJAAN PONDASI</t>
  </si>
  <si>
    <t>IV. PEKERJAAN BETON NON STRUKUR DAN BETON STRUKTUR</t>
  </si>
  <si>
    <t xml:space="preserve">PEKERJAAN  BETON </t>
  </si>
  <si>
    <t>Membuat Beton Non Struktur, 1 Pc : 3 Psr : 5 Splt</t>
  </si>
  <si>
    <t>Membuat Beton Struktur, 1 Pc : 2 Psr : 4 Splt</t>
  </si>
  <si>
    <t>Membuat Beton Struktur 1 Pc : 2 Psr : 3 Splt</t>
  </si>
  <si>
    <t>Membuat Betn Struktur dengan mutu K 225</t>
  </si>
  <si>
    <t>Membuat Betn Struktur dengan mutu K 275</t>
  </si>
  <si>
    <t>PEKERJAAN  PEMBESIAN</t>
  </si>
  <si>
    <t>Besi Beton ulir d.16</t>
  </si>
  <si>
    <t>Besi Beton ulir d.13</t>
  </si>
  <si>
    <t>Besi Beton Polos d.12</t>
  </si>
  <si>
    <t>Besi Beton Polos d.10</t>
  </si>
  <si>
    <t>Besi Beton Polos d.8</t>
  </si>
  <si>
    <t>Kawat Bendrat</t>
  </si>
  <si>
    <t xml:space="preserve">Bondeck 0.75 </t>
  </si>
  <si>
    <t>Wiermesh m-6</t>
  </si>
  <si>
    <t>Wiermesh m-8</t>
  </si>
  <si>
    <t>Penulangan Beton/Besi Beton Polos</t>
  </si>
  <si>
    <t>Penulangan Beton/Besi Beton Ulir</t>
  </si>
  <si>
    <t>PEKERJAAN  BEKISTING</t>
  </si>
  <si>
    <t>Pasang Bekisting Untuk Sloof</t>
  </si>
  <si>
    <t>Pasang Bekisting Untuk Kolom</t>
  </si>
  <si>
    <t>Pasang Bekisting Untuk Balok</t>
  </si>
  <si>
    <t>Pasang Bekisting Untuk Lantai</t>
  </si>
  <si>
    <t>Pasang Bekisting Untuk Tangga</t>
  </si>
  <si>
    <t>PEKERJAAN  BETON BERTULANG</t>
  </si>
  <si>
    <t>Membuat Sloof Beton Bertulang ( 200 Kg Besi + Bekisting )</t>
  </si>
  <si>
    <t>Membuat Kolom Beton Bertulang ( 125 Kg Besi + Bekisting )</t>
  </si>
  <si>
    <t>Membuat Kolom Beton Bertulang  ( 150 Kg Besi + Bekisting )</t>
  </si>
  <si>
    <t>Membuat Kolom Beton Bertulang ( 160 Kg Besi + Bekisting )</t>
  </si>
  <si>
    <t>Membuat Kolom Beton Bertulang ( 175 Kg Besi + Bekisting )</t>
  </si>
  <si>
    <t>Membuat Kolom Beton Bertulang ( 200 Kg Besi + Bekisting )</t>
  </si>
  <si>
    <t>Membuat Kolom Beton Bertulang ( 250 Kg Besi + Bekisting )</t>
  </si>
  <si>
    <t>Membuat Kolom Beton Bertulang ( 300 Kg Besi + Bekisting )</t>
  </si>
  <si>
    <t>Membuat Balok Beton Bertulang ( 125 Kg Besi + Bekisting )</t>
  </si>
  <si>
    <t>Membuat Balok Beton Bertulang ( 150 Kg Besi + Bekisting )</t>
  </si>
  <si>
    <t>Membuat Balok Beton Bertulang ( 200 Kg Besi + Bekisting )</t>
  </si>
  <si>
    <t>Membuat Balok Beton Bertulang ( 225 Kg Besi + Bekisting )</t>
  </si>
  <si>
    <t>Membuat Balok Beton Bertulang ( 250 Kg Besi + Bekisting )</t>
  </si>
  <si>
    <t>Membuat Tangga Beton Bertulang ( 200 Kg Besi + Bekisting )</t>
  </si>
  <si>
    <t>Membuat Plat Lantai tebal 10 Cm Beton Bertulang ( 100 Kg Besi + Bekisting )</t>
  </si>
  <si>
    <t>Membuat Plat Lantai tebal 12 Cm Beton Bertulang ( 115 Kg Besi + Bekisting )</t>
  </si>
  <si>
    <t>Membuat Plat Lantai tebal 12 Cm Beton Bertulang ( 125 Kg Besi + Bekisting )</t>
  </si>
  <si>
    <t>Membuat Plat Lantai tebal 15 Cm Beton Bertulang ( 100 Kg Besi + Bekisting )</t>
  </si>
  <si>
    <t>Membuat Plat Lantai tebal 20 Cm Beton Bertulang ( 115 Kg Besi + Bekisting )</t>
  </si>
  <si>
    <t>Membuat Ring Balk Beton Bertulang ( 175 Kg Besi + Bekisting )</t>
  </si>
  <si>
    <t>V. PEKERJAAN DINDING</t>
  </si>
  <si>
    <t>Pasangan Bata Merah Tebal 1 Bata, Campuran 1 Pc : 3 Psr</t>
  </si>
  <si>
    <t>Pasangan Bata Merah Tebal 1 Bata, Campuran 1 Pc : 4 Psr</t>
  </si>
  <si>
    <t>Pasangan Bata Merah Tebal 1 Bata, Campuran 1 Pc : 5 Psr</t>
  </si>
  <si>
    <t>Pasangan Bata Merah Tebal ½ Bata, Campuran 1 Pc : 3 Psr</t>
  </si>
  <si>
    <t>Pasangan Bata Merah Tebal ½ Bata, Campuran 1 Pc : 4 Psr</t>
  </si>
  <si>
    <t>Pasangan Bata Merah Tebal ½ Bata, Campuran 1 Pc : 5 Psr</t>
  </si>
  <si>
    <t>Pasang Dinding Rooster / Terawang ( 12x11x24 )</t>
  </si>
  <si>
    <t>Pasang Dinding Glassblock</t>
  </si>
  <si>
    <t>Pasangan Bataco Putih, Campuran 1 Pc : 5 Psr</t>
  </si>
  <si>
    <t>Pasangan Bataco Press Semen, Campuran 1 Pc : 5 Psr</t>
  </si>
  <si>
    <t>Pasangan Bata Ringan (Hebel/Celcon)</t>
  </si>
  <si>
    <t>VI. PEKERJAAN PLESTERAN/ACCI</t>
  </si>
  <si>
    <t>Plesteran Campuran  1 Pc : 2 Psr Tebal 1,5 Cm</t>
  </si>
  <si>
    <t>Plesteran Campuran  1 Pc : 3 Psr Tebal 1,5 Cm</t>
  </si>
  <si>
    <t>Plesteran Campuran  1 Pc : 4 Psr Tebal 1,5 Cm</t>
  </si>
  <si>
    <t>Plesteran Campuran  1 Pc : 5 Psr Tebal 1,5 Cm</t>
  </si>
  <si>
    <t>Plesteran Campuran  1 Pc :  4 Psr Tebal 2 Cm</t>
  </si>
  <si>
    <t>Plesteran Campuran  1 Pc :  5 Psr Tebal 2 Cm</t>
  </si>
  <si>
    <t>Berapen  Campuran 1 Pc : 5 Psr Tebal 1,5 Cm</t>
  </si>
  <si>
    <t>Plesteran Beton Campuran  1 Pc : 2 Psr Tebal 1,5 Cm</t>
  </si>
  <si>
    <t>Plesteran Beton Campuran  1 Pc : 3 Psr Tebal 1,5 Cm</t>
  </si>
  <si>
    <t xml:space="preserve">Plesteran Ban/Skoneng Campuran  1 Pc : 2 Psr </t>
  </si>
  <si>
    <t>'m'</t>
  </si>
  <si>
    <t>Accian Plesteran</t>
  </si>
  <si>
    <t xml:space="preserve">Plesteran Siar  Camuran  1 Pc : 2 Psr </t>
  </si>
  <si>
    <t>VII. PEKERJAAN PELAPIS LANTAI</t>
  </si>
  <si>
    <t>Pasang Lantai keramik ukuran 40 x 40 cm Polish</t>
  </si>
  <si>
    <t>Pasang Lantai keramik ukuran 40 x 40 cm Unpolish</t>
  </si>
  <si>
    <t>Pasang Lantai keramik Teras Unpolish</t>
  </si>
  <si>
    <t>Pasang Lantai keramik ukuran 60 x 60 cm</t>
  </si>
  <si>
    <t>Pasang Lantai keramik ukuran 60 x 90 cm</t>
  </si>
  <si>
    <t>Pasang Lantai Keramik  10 x 20 cm</t>
  </si>
  <si>
    <t>Pasang Lantai Keramik polos 20 x 20 cm</t>
  </si>
  <si>
    <t>Pasang Lantai Keramik motif 20 x 20 cm</t>
  </si>
  <si>
    <t>Pasang Lantai Keramik polos 30 x 30 cm</t>
  </si>
  <si>
    <t xml:space="preserve">Pasang Lantai Keramik motif 30 x 30 cm </t>
  </si>
  <si>
    <t>Pasang Lantai Marmer</t>
  </si>
  <si>
    <t>Pasang Lantai Parquet Jati</t>
  </si>
  <si>
    <t>Pasang Lantai Granit</t>
  </si>
  <si>
    <t>Pasang keramik ukuran 50 x 50 cm</t>
  </si>
  <si>
    <t>Pasang keramik teras Unpolish</t>
  </si>
  <si>
    <t>VIII. PEKERJAAN PELAPIS DINDING</t>
  </si>
  <si>
    <t>Pasang Dinding Keramik Motif 10 x 20 cm</t>
  </si>
  <si>
    <t>Pasang Dinding Keramik polos 10 x 20 cm</t>
  </si>
  <si>
    <t>Pasang Dinding Keramik Motif 20 x 20 cm</t>
  </si>
  <si>
    <t>Pasang Dinding Keramik polos 20 x 20 cm</t>
  </si>
  <si>
    <t>Pasang Dinding Keramik polos 20 x 25 cm</t>
  </si>
  <si>
    <t>Pasang Dinding Keramik Motif 20 x 25 cm</t>
  </si>
  <si>
    <t>Pasang Dinding Marmer</t>
  </si>
  <si>
    <t>Pasang Dinding Granit standart</t>
  </si>
  <si>
    <t>Pasang Dinding Batu Tempel Hitam</t>
  </si>
  <si>
    <t>Pasang Dinding Batu Alam</t>
  </si>
  <si>
    <t>Pasang Plint Keramik Ukuran 10 x 40 Cm</t>
  </si>
  <si>
    <t>Pasang Plint Keramik Ukuran 10 x 30 Cm</t>
  </si>
  <si>
    <t>IX. PEKERJAAN KUSEN, PINTU, JENDELA, PARTISI</t>
  </si>
  <si>
    <t>Pasang Kusen Pintu &amp; Jendela Kayu Kamper Samarinda</t>
  </si>
  <si>
    <t>Pasang Kusen Pintu &amp; Jendela Kayu Kamper Medan / Kruing</t>
  </si>
  <si>
    <t>Pasang Kusen Pintu &amp; Jendela Kayu Borneo Super</t>
  </si>
  <si>
    <t>Pasang Pintu Panel Kayu Kamper Samarinda</t>
  </si>
  <si>
    <t>Pasang Pintu Panel Kayu Kamper Medan / Kruing</t>
  </si>
  <si>
    <t>Pasang Pintu dan Jendela Kaca Kayu Kamper Medan</t>
  </si>
  <si>
    <t>Pasang Pintu dan Jendela Kaca Kayu Borneo</t>
  </si>
  <si>
    <t>Pasang Pintu dan Jendela Jalusi Kayu Kamper Medan</t>
  </si>
  <si>
    <t>Pasang Pintu Triplek Rangkap , Rangka Kayu Kamper Medan</t>
  </si>
  <si>
    <t>Pasang Jalusi Mati Kusen Kayu Kamper Medan</t>
  </si>
  <si>
    <t>Pasang Pintu Triplek Rangkap , Rangka Kayu Borneo Super</t>
  </si>
  <si>
    <t>Pasang Pintu Teakwood Rangkap , Rangka Kayu Kamper Medan</t>
  </si>
  <si>
    <t>Pasang Pintu Triplek &amp; Formika Rangka Kayu Kamper Medan</t>
  </si>
  <si>
    <t>Pasang Pintu Teakwood &amp; Formika Rangka Kayu Kamper Medan</t>
  </si>
  <si>
    <t>Pasang Dinding Pemisah Double Teakwood, Rangka Kayu Kamper Medan</t>
  </si>
  <si>
    <t>Pasang Dinding Pemisah Double GRC, Rangka Kayu Kamper Medan</t>
  </si>
  <si>
    <t>Pasang Pintu Aluminium / pintu PVC</t>
  </si>
  <si>
    <t>Pasang Kusen Partisi Double Triplek</t>
  </si>
  <si>
    <t>Pasang Kusen Partisi Double Gypsum + Rangka Kayu</t>
  </si>
  <si>
    <t>Pasang Dinding Partisi Gysum Board + Rangka Besi Hollow</t>
  </si>
  <si>
    <t>Pasang Dinding Partisi GRC + Rangka Besi Hollow</t>
  </si>
  <si>
    <t>Pasang Dinding Partisi seng Gelombang+ Rangka Besi Hollow</t>
  </si>
  <si>
    <t>Pasang Kusen Partisi Doble Triplek</t>
  </si>
  <si>
    <t>X. PEKERJAAN RANGKA ATAP DAN PENUTUP ATAP</t>
  </si>
  <si>
    <t>Pekerjaan Konstruksi Kuda-kuda Kayu Kamper Medan</t>
  </si>
  <si>
    <t>Pekerjaan Konstruksi Kuda-kuda Kayu Borneo Super</t>
  </si>
  <si>
    <t>Pasang Kaso + Reng Genteng Plentong Kayu Borneo Super</t>
  </si>
  <si>
    <t>Pasang Kaso + Reng Genteng Beton Kayu Borneo Super</t>
  </si>
  <si>
    <t>Pasang Lisplang Kayu Kamper Medan Ukuran 3 x 20 Cm</t>
  </si>
  <si>
    <t>Pasang Lisplang Kayu Kamper Medan Ukuran 3 x 30 Cm</t>
  </si>
  <si>
    <t xml:space="preserve">Pekerjaan Nok/gording/juray kayu Borneo super </t>
  </si>
  <si>
    <t>Pasang Atap Genteng Plentong</t>
  </si>
  <si>
    <t>Pasang Nok/Bubungan Genteng keramik glazur</t>
  </si>
  <si>
    <t>Pasang Atap Fibreglass Ukuran 180 x 90 cm</t>
  </si>
  <si>
    <t>Pasang Atap Asbes Gelombang Ukuran  2,70 x 1,05 m  Tebal 4 mm</t>
  </si>
  <si>
    <t>Pasang Atap Asbes Gelombang Ukuran  2,40 x 1,05 m  Tebal 4 mm</t>
  </si>
  <si>
    <t>Pasang Atap Asbes Gelombang Ukuran  2,70 x 1,02 m  Tebal 4 mm</t>
  </si>
  <si>
    <t>Pasang Atap Asbes Gelombang Ukuran  2,40 x 1,02 m  Tebal 4 mm</t>
  </si>
  <si>
    <t>Pasang Atap Asbes Gelombang Ukuran  1,50 x 1,02 m  Tebal 4 mm</t>
  </si>
  <si>
    <t>Pasang Atap Genteng Sirap</t>
  </si>
  <si>
    <t>Pasang Atap Genteng Beton</t>
  </si>
  <si>
    <t xml:space="preserve">Pasang Atap Genteng Metal </t>
  </si>
  <si>
    <t>Pasang Nok Genteng Beton</t>
  </si>
  <si>
    <t>Pasang Nok Genteng Metal</t>
  </si>
  <si>
    <t>Pasang Atap Seng Gelombang</t>
  </si>
  <si>
    <t>Pasang Nok Seng untuk Atap Seng Gelombang</t>
  </si>
  <si>
    <t>Pasang Atap Polycarbonate + rangka</t>
  </si>
  <si>
    <t>Pasang Alluminium Foil / Sisalation</t>
  </si>
  <si>
    <t>Pasang Rangka atap Baja ringan ( pabrikan )</t>
  </si>
  <si>
    <t>XI. PEKERJAAN PENUTUP PLAFON</t>
  </si>
  <si>
    <t>Pasang rangka Plafon ( 0,50 x 1,00 ) m, Kayu Borneo Super</t>
  </si>
  <si>
    <t>Plafon GRC ( 6,00 x 1,20 ) m, tebal 4 mm</t>
  </si>
  <si>
    <t>Plafon Asbes ( 1,00 x 1,00 ) m, tebal 5 mm</t>
  </si>
  <si>
    <t>Plafon Akustik ( 60 x 120 ) cm</t>
  </si>
  <si>
    <t>Plafon Akustik ( 60 x 120 ) cm + Rangka Alluminium</t>
  </si>
  <si>
    <t>List Plafon Profil Kayu</t>
  </si>
  <si>
    <t>Plafon Triplek 4 mm + Rangka Kayu Borneo Super</t>
  </si>
  <si>
    <t>Plafon Teakwood 4 mm + Rangka Kayu Borneo Super</t>
  </si>
  <si>
    <t>Plafon Papan 10 cm, tebal 1 cm + Rangka Kayu Borneo Super</t>
  </si>
  <si>
    <t>Plafon Gypsum Board, tebal 9 mm + rangka besi hollow</t>
  </si>
  <si>
    <t>Lis Plafon  gyipsum</t>
  </si>
  <si>
    <t>XII. PEKERJAAN SANITAIR</t>
  </si>
  <si>
    <t>Memasang Kloset Duduk / Monoblok</t>
  </si>
  <si>
    <t>Memasang Kloset Jongkok porselen</t>
  </si>
  <si>
    <t>Memasang Urinoir</t>
  </si>
  <si>
    <t>Memasang Wastafel Dinding</t>
  </si>
  <si>
    <t>Memasang Wastafel kaki</t>
  </si>
  <si>
    <t>Memasang Shower dinding</t>
  </si>
  <si>
    <t>Memasang Bak mandi Fibreglass ukuran sedang</t>
  </si>
  <si>
    <t>Memasang Bak kontrol pasangan batu bata ukuran ( 30 x 30 ) cm, tinggi 35 cm</t>
  </si>
  <si>
    <t>Memasang Kitchen Zink / bak cuci piring stailess steel</t>
  </si>
  <si>
    <t>Memasang Kran diameter 3/4 " atau 1/2 "</t>
  </si>
  <si>
    <t>Memasang Kran angsa</t>
  </si>
  <si>
    <t>Memasang Floor drain</t>
  </si>
  <si>
    <t>Memasang Tempat Sabun</t>
  </si>
  <si>
    <t>Septictank Jadi 1,5 m3 ( fiber semen )</t>
  </si>
  <si>
    <t xml:space="preserve">Membuat Septictank pasangan bata dan rembesan </t>
  </si>
  <si>
    <t>XIII. PEKERJAAN PERPIPAAN DAN POMPA</t>
  </si>
  <si>
    <t>Memasang pipa galvanis diameter 1/2" ( GIP )</t>
  </si>
  <si>
    <t>Memasang pipa galvanis diameter 3/4" (GIP )</t>
  </si>
  <si>
    <t>Memasang pipa galvanis diameter 1" ( GIP )</t>
  </si>
  <si>
    <t>Memasang pipa galvanis diameter 1,5" (GIP )</t>
  </si>
  <si>
    <t>Memasang pipa PVC type D diameter 3"</t>
  </si>
  <si>
    <t>Memasang pipa PVC type D diameter 4"</t>
  </si>
  <si>
    <t>Memasang pipa PVC type AW diameter 1/2"</t>
  </si>
  <si>
    <t>Memasang pipa PVC type AW diameter 3/4"</t>
  </si>
  <si>
    <t>Memasang pipa PVC type AW diameter 1"</t>
  </si>
  <si>
    <t>Memasang pipa PVC type AW diameter 2"</t>
  </si>
  <si>
    <t>Memasang pipa PVC type AW diameter 4"</t>
  </si>
  <si>
    <t>Memasang Pompa Air</t>
  </si>
  <si>
    <t>Penyambungan pipa PAM</t>
  </si>
  <si>
    <t>1LS</t>
  </si>
  <si>
    <t>XIV. PEKERJAAN PENUTUP BESI DAN BAJA</t>
  </si>
  <si>
    <t>Pasang Rangka Atap Baja</t>
  </si>
  <si>
    <t>Pasang Rangka Atap Besi Siku</t>
  </si>
  <si>
    <t>-</t>
  </si>
  <si>
    <t>Pasang Gording Besi C</t>
  </si>
  <si>
    <t>Pasang Pintu Rolling Door Besi</t>
  </si>
  <si>
    <t>Pasang Pintu Besi ukuran 0,8 x 2 m</t>
  </si>
  <si>
    <t>Pasang Teralis Besi</t>
  </si>
  <si>
    <t>Pasang Kawat Harmonika</t>
  </si>
  <si>
    <t>Pasang Talang Datar, Seng BJLS</t>
  </si>
  <si>
    <t>Pasang Talang Miring, Seng plat BJLS</t>
  </si>
  <si>
    <t>XV. PEKERJAAN ALUMINIUM</t>
  </si>
  <si>
    <t>Pasang Pintu Roling door Aluminium</t>
  </si>
  <si>
    <t>Pasang Pintu  Aluminium Pabrikan ( pintu jadi )</t>
  </si>
  <si>
    <t>Kusen jendela Aluminium 2 lubang dgn 2 daun jendela</t>
  </si>
  <si>
    <t>Kusen jendela Aluminium 3 lubang dgn 2 daun jendela dan 1 kaca mati</t>
  </si>
  <si>
    <t>Kusen gendong dgn jendela Aluminium 2 lubang dan 1 pintu teakwood</t>
  </si>
  <si>
    <t>Kusen Pintu Aluminium ukr 0.9 x 2,7 m</t>
  </si>
  <si>
    <t>Bovenlight Aluminium 0,5 x 1 m dengan kisi-kisi aluminium plat</t>
  </si>
  <si>
    <t>Bovenlight Aluminium 0,5 x 1 m dengan bagian dalam kaca</t>
  </si>
  <si>
    <t>XVI. PEKERJAAN KACA DAN PENGGANTUNG</t>
  </si>
  <si>
    <t>Pasang Kunci Tanam Besar</t>
  </si>
  <si>
    <t>Pasang Kunci Tanam Sedang</t>
  </si>
  <si>
    <t>Pasang Kunci bulat putar Kamar Mandi</t>
  </si>
  <si>
    <t>Pasang Engsel Pintu</t>
  </si>
  <si>
    <t xml:space="preserve">Pasang Engsel Jendela </t>
  </si>
  <si>
    <t>Pasang Kait Angin</t>
  </si>
  <si>
    <t>Pasang Door Closer</t>
  </si>
  <si>
    <t>Pasang Pegangan Pintu / Door Holder</t>
  </si>
  <si>
    <t>Pasang Penahan Pintu / Door Stoper</t>
  </si>
  <si>
    <t>Pasang Grendel / sloot pintu</t>
  </si>
  <si>
    <t>Pasang Grendel / sloot jendela</t>
  </si>
  <si>
    <t>Pasang Tarikan jendela</t>
  </si>
  <si>
    <t>Pasang Kaca polos, tebal 3 mm</t>
  </si>
  <si>
    <t>Pasang Kaca polos, tebal 5 mm</t>
  </si>
  <si>
    <t>Pasang Kaca Ray band, tebal 5 mm</t>
  </si>
  <si>
    <t>XVII. PEKERJAAN PENGECATAN</t>
  </si>
  <si>
    <t>Mengikis / Mengerok / mengelupas Permukaan Cat Tembok Lama</t>
  </si>
  <si>
    <t>Mendempul Dan Menggosok Kayu</t>
  </si>
  <si>
    <t>Pengecatan Kayu Lama</t>
  </si>
  <si>
    <t>Pengecatan Kayu Baru</t>
  </si>
  <si>
    <t>Pengecatan  Kayu dengan Politur</t>
  </si>
  <si>
    <t>Pengecatan  Kayu dengan Melamik</t>
  </si>
  <si>
    <t>Pengecatan  Kayu dengan Cat Residu/Ter</t>
  </si>
  <si>
    <t>Pengecatan Tembok/Plafond Baru Kwalitas Sedang</t>
  </si>
  <si>
    <t>Pengecatan Tembok/Plafond Baru Kwalitas Baik</t>
  </si>
  <si>
    <t>Pengecatan Tembok Lama</t>
  </si>
  <si>
    <t>Pengecatan exterior</t>
  </si>
  <si>
    <t>Memasang Wallpaper</t>
  </si>
  <si>
    <t>Pengecatan Permukaan Baja dengan Meni Besi</t>
  </si>
  <si>
    <t>Pengecatan Permukaan Baja dengan Meni Besi dan cat</t>
  </si>
  <si>
    <t>XVIII. PEKERJAAN LISTRIK</t>
  </si>
  <si>
    <t>Pasang titik Stop kontak</t>
  </si>
  <si>
    <t>Pasang titik Lampu</t>
  </si>
  <si>
    <t>Pasang Lampu SL</t>
  </si>
  <si>
    <t>Pasang Lampu TL</t>
  </si>
  <si>
    <t>Pasang Lampu Baret</t>
  </si>
  <si>
    <t>Pasang Lampu Pijar</t>
  </si>
  <si>
    <t>Pasang Taman</t>
  </si>
  <si>
    <t>Pasang Panel Listrik</t>
  </si>
  <si>
    <t>Penyambungan daya Listrik</t>
  </si>
  <si>
    <t>XIX. PEKERJAAN WATERPROOFING</t>
  </si>
  <si>
    <t>Pasang titik Water Proofing membran</t>
  </si>
  <si>
    <t>Pasang Water Proofing Coating</t>
  </si>
  <si>
    <t>Pasang Floor Harderner</t>
  </si>
  <si>
    <t>A. PEKERJAAN PERSIAPAN</t>
  </si>
  <si>
    <t>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</si>
</sst>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&quot;Rp&quot;* #,##0.00_-;\-&quot;Rp&quot;* #,##0.00_-;_-&quot;Rp&quot;* &quot;-&quot;??_-;_-@_-"/>
    <numFmt numFmtId="165" formatCode="_-* #,##0.00_-;\-* #,##0.00_-;_-* &quot;-&quot;??_-;_-@_-"/>
    <numFmt numFmtId="166" formatCode="_ * #,##0.00_ ;_ * \-#,##0.00_ ;_ * &quot;-&quot;??_ ;_ @_ "/>
    <numFmt numFmtId="167" formatCode="0.000"/>
    <numFmt numFmtId="168" formatCode="0.00000"/>
    <numFmt numFmtId="169" formatCode="0.0000"/>
    <numFmt numFmtId="170" formatCode="0.000000"/>
    <numFmt numFmtId="171" formatCode="_(&quot;Rp&quot;* #,##0_);_(&quot;Rp&quot;* \(#,##0\);_(&quot;Rp&quot;* &quot;-&quot;_);_(@_)"/>
    <numFmt numFmtId="172" formatCode="0."/>
    <numFmt numFmtId="173" formatCode="0.0"/>
    <numFmt numFmtId="174" formatCode="_(&quot;Rp&quot;* #,##0.00_);_(&quot;Rp&quot;* \(#,##0.00\);_(&quot;Rp&quot;* &quot;-&quot;_);_(@_)"/>
    <numFmt numFmtId="175" formatCode="0_)"/>
  </numFmts>
  <fonts count="33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NewsGoth Cn BT"/>
    </font>
    <font>
      <sz val="11"/>
      <name val="NewsGoth Cn BT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NewsGoth Cn BT"/>
    </font>
    <font>
      <b/>
      <sz val="11"/>
      <color rgb="FF000000"/>
      <name val="NewsGoth Cn BT"/>
    </font>
    <font>
      <b/>
      <sz val="11"/>
      <color rgb="FF000000"/>
      <name val="Times New Roman"/>
      <family val="1"/>
    </font>
    <font>
      <sz val="11"/>
      <color rgb="FFFF0000"/>
      <name val="Arial"/>
      <family val="2"/>
    </font>
    <font>
      <b/>
      <vertAlign val="superscript"/>
      <sz val="11"/>
      <color rgb="FF000000"/>
      <name val="Arial"/>
      <family val="2"/>
    </font>
    <font>
      <b/>
      <vertAlign val="superscript"/>
      <sz val="11"/>
      <name val="Arial"/>
      <family val="2"/>
    </font>
    <font>
      <sz val="10"/>
      <color indexed="8"/>
      <name val="Swis721 LtCn BT"/>
      <family val="2"/>
    </font>
    <font>
      <b/>
      <sz val="14"/>
      <color indexed="8"/>
      <name val="Swis721 LtCn BT"/>
      <family val="2"/>
    </font>
    <font>
      <sz val="12"/>
      <color indexed="8"/>
      <name val="Swis721 LtCn BT"/>
      <family val="2"/>
    </font>
    <font>
      <sz val="11"/>
      <color indexed="8"/>
      <name val="Swis721 LtCn BT"/>
      <family val="2"/>
    </font>
    <font>
      <b/>
      <sz val="11"/>
      <color indexed="8"/>
      <name val="Swis721 LtCn BT"/>
      <family val="2"/>
    </font>
    <font>
      <sz val="11"/>
      <name val="Swis721 LtCn BT"/>
      <family val="2"/>
    </font>
    <font>
      <sz val="11"/>
      <color rgb="FF000000"/>
      <name val="Swis721 LtCn BT"/>
      <family val="2"/>
    </font>
    <font>
      <sz val="11"/>
      <color indexed="12"/>
      <name val="Swis721 LtCn BT"/>
      <family val="2"/>
    </font>
    <font>
      <sz val="10"/>
      <name val="Swis721 LtCn BT"/>
      <family val="2"/>
    </font>
    <font>
      <sz val="10"/>
      <color rgb="FFFF0000"/>
      <name val="Swis721 LtCn BT"/>
      <family val="2"/>
    </font>
    <font>
      <sz val="11"/>
      <color rgb="FFFF0000"/>
      <name val="Swis721 LtCn BT"/>
      <family val="2"/>
    </font>
    <font>
      <sz val="12"/>
      <color rgb="FFFF0000"/>
      <name val="Swis721 LtCn BT"/>
      <family val="2"/>
    </font>
    <font>
      <sz val="12"/>
      <name val="Swis721 LtCn BT"/>
      <family val="2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8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66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5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1" xfId="0" applyNumberFormat="1" applyBorder="1">
      <alignment vertical="center"/>
    </xf>
    <xf numFmtId="164" fontId="0" fillId="0" borderId="7" xfId="0" applyNumberFormat="1" applyBorder="1">
      <alignment vertical="center"/>
    </xf>
    <xf numFmtId="164" fontId="0" fillId="0" borderId="5" xfId="0" applyNumberFormat="1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5" xfId="0" applyBorder="1">
      <alignment vertical="center"/>
    </xf>
    <xf numFmtId="0" fontId="2" fillId="2" borderId="16" xfId="0" applyFont="1" applyFill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7" xfId="0" applyFill="1" applyBorder="1" applyAlignment="1">
      <alignment horizontal="center" vertical="center"/>
    </xf>
    <xf numFmtId="164" fontId="0" fillId="2" borderId="17" xfId="0" applyNumberForma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19" xfId="0" applyBorder="1">
      <alignment vertical="center"/>
    </xf>
    <xf numFmtId="0" fontId="2" fillId="0" borderId="3" xfId="0" applyFont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>
      <alignment vertical="center"/>
    </xf>
    <xf numFmtId="0" fontId="0" fillId="3" borderId="2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0" fillId="3" borderId="20" xfId="0" applyFill="1" applyBorder="1">
      <alignment vertical="center"/>
    </xf>
    <xf numFmtId="0" fontId="0" fillId="3" borderId="20" xfId="0" applyFill="1" applyBorder="1" applyAlignment="1">
      <alignment horizontal="center" vertical="center"/>
    </xf>
    <xf numFmtId="164" fontId="0" fillId="3" borderId="20" xfId="0" applyNumberFormat="1" applyFill="1" applyBorder="1">
      <alignment vertical="center"/>
    </xf>
    <xf numFmtId="0" fontId="0" fillId="3" borderId="21" xfId="0" applyFill="1" applyBorder="1">
      <alignment vertical="center"/>
    </xf>
    <xf numFmtId="0" fontId="2" fillId="2" borderId="22" xfId="0" applyFont="1" applyFill="1" applyBorder="1">
      <alignment vertical="center"/>
    </xf>
    <xf numFmtId="0" fontId="2" fillId="2" borderId="23" xfId="0" applyFont="1" applyFill="1" applyBorder="1">
      <alignment vertical="center"/>
    </xf>
    <xf numFmtId="0" fontId="0" fillId="2" borderId="23" xfId="0" applyFill="1" applyBorder="1" applyAlignment="1">
      <alignment horizontal="center" vertical="center"/>
    </xf>
    <xf numFmtId="164" fontId="0" fillId="2" borderId="23" xfId="0" applyNumberFormat="1" applyFill="1" applyBorder="1">
      <alignment vertical="center"/>
    </xf>
    <xf numFmtId="0" fontId="0" fillId="2" borderId="24" xfId="0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0" applyFont="1" applyAlignment="1">
      <alignment horizontal="left" vertical="top"/>
    </xf>
    <xf numFmtId="0" fontId="6" fillId="0" borderId="0" xfId="0" applyFont="1">
      <alignment vertical="center"/>
    </xf>
    <xf numFmtId="4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0" fillId="0" borderId="26" xfId="0" applyFont="1" applyBorder="1" applyAlignment="1">
      <alignment horizontal="center" vertical="top"/>
    </xf>
    <xf numFmtId="0" fontId="6" fillId="0" borderId="26" xfId="0" applyFont="1" applyBorder="1" applyAlignment="1">
      <alignment horizontal="left" vertical="top" wrapText="1"/>
    </xf>
    <xf numFmtId="0" fontId="10" fillId="0" borderId="26" xfId="0" applyFont="1" applyBorder="1" applyAlignment="1">
      <alignment horizontal="left" vertical="top"/>
    </xf>
    <xf numFmtId="0" fontId="10" fillId="0" borderId="2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167" fontId="10" fillId="0" borderId="26" xfId="0" applyNumberFormat="1" applyFont="1" applyBorder="1" applyAlignment="1">
      <alignment horizontal="right" vertical="top"/>
    </xf>
    <xf numFmtId="4" fontId="10" fillId="0" borderId="26" xfId="0" applyNumberFormat="1" applyFont="1" applyBorder="1" applyAlignment="1">
      <alignment horizontal="right" vertical="top" shrinkToFit="1"/>
    </xf>
    <xf numFmtId="9" fontId="6" fillId="4" borderId="0" xfId="0" applyNumberFormat="1" applyFont="1" applyFill="1">
      <alignment vertical="center"/>
    </xf>
    <xf numFmtId="0" fontId="10" fillId="0" borderId="27" xfId="0" applyFont="1" applyBorder="1" applyAlignment="1">
      <alignment horizontal="centerContinuous" vertical="center"/>
    </xf>
    <xf numFmtId="0" fontId="10" fillId="0" borderId="26" xfId="0" applyFont="1" applyBorder="1" applyAlignment="1">
      <alignment horizontal="right" vertical="top"/>
    </xf>
    <xf numFmtId="0" fontId="6" fillId="0" borderId="26" xfId="0" applyFont="1" applyBorder="1" applyAlignment="1">
      <alignment horizontal="center" vertical="top"/>
    </xf>
    <xf numFmtId="0" fontId="10" fillId="0" borderId="28" xfId="0" applyFont="1" applyBorder="1" applyAlignment="1">
      <alignment vertical="top"/>
    </xf>
    <xf numFmtId="0" fontId="10" fillId="0" borderId="29" xfId="0" applyFont="1" applyBorder="1" applyAlignment="1">
      <alignment vertical="top"/>
    </xf>
    <xf numFmtId="0" fontId="10" fillId="0" borderId="30" xfId="0" applyFont="1" applyBorder="1" applyAlignment="1">
      <alignment vertical="top"/>
    </xf>
    <xf numFmtId="0" fontId="6" fillId="0" borderId="26" xfId="0" applyFont="1" applyBorder="1" applyAlignment="1">
      <alignment horizontal="center" vertical="top" wrapText="1"/>
    </xf>
    <xf numFmtId="0" fontId="10" fillId="0" borderId="26" xfId="0" applyFont="1" applyBorder="1" applyAlignment="1">
      <alignment horizontal="left" wrapText="1"/>
    </xf>
    <xf numFmtId="167" fontId="10" fillId="0" borderId="26" xfId="0" applyNumberFormat="1" applyFont="1" applyBorder="1" applyAlignment="1">
      <alignment horizontal="right" vertical="top" shrinkToFit="1"/>
    </xf>
    <xf numFmtId="0" fontId="6" fillId="0" borderId="29" xfId="0" applyFont="1" applyBorder="1" applyAlignment="1">
      <alignment horizontal="centerContinuous" vertical="center" wrapText="1"/>
    </xf>
    <xf numFmtId="0" fontId="10" fillId="0" borderId="26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top"/>
    </xf>
    <xf numFmtId="0" fontId="10" fillId="0" borderId="26" xfId="0" applyFont="1" applyBorder="1" applyAlignment="1">
      <alignment horizontal="center" vertical="center" wrapText="1"/>
    </xf>
    <xf numFmtId="168" fontId="10" fillId="0" borderId="26" xfId="0" applyNumberFormat="1" applyFont="1" applyBorder="1" applyAlignment="1">
      <alignment horizontal="right" vertical="center" wrapText="1"/>
    </xf>
    <xf numFmtId="0" fontId="6" fillId="0" borderId="29" xfId="0" applyFont="1" applyBorder="1" applyAlignment="1">
      <alignment horizontal="centerContinuous" vertical="center"/>
    </xf>
    <xf numFmtId="0" fontId="10" fillId="0" borderId="0" xfId="0" applyFont="1" applyAlignment="1">
      <alignment vertical="top"/>
    </xf>
    <xf numFmtId="4" fontId="9" fillId="0" borderId="0" xfId="0" applyNumberFormat="1" applyFont="1" applyAlignment="1">
      <alignment vertical="top"/>
    </xf>
    <xf numFmtId="0" fontId="6" fillId="0" borderId="28" xfId="0" applyFont="1" applyBorder="1" applyAlignment="1">
      <alignment horizontal="centerContinuous" vertical="center"/>
    </xf>
    <xf numFmtId="0" fontId="10" fillId="0" borderId="26" xfId="0" applyFont="1" applyBorder="1" applyAlignment="1">
      <alignment horizontal="right" vertical="center" wrapText="1"/>
    </xf>
    <xf numFmtId="167" fontId="10" fillId="0" borderId="26" xfId="0" applyNumberFormat="1" applyFont="1" applyBorder="1" applyAlignment="1">
      <alignment horizontal="right" vertical="center" wrapText="1"/>
    </xf>
    <xf numFmtId="167" fontId="6" fillId="0" borderId="26" xfId="0" applyNumberFormat="1" applyFont="1" applyBorder="1" applyAlignment="1">
      <alignment horizontal="right" vertical="top" wrapText="1"/>
    </xf>
    <xf numFmtId="0" fontId="10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4" fontId="9" fillId="0" borderId="0" xfId="0" applyNumberFormat="1" applyFont="1" applyAlignment="1">
      <alignment horizontal="right" vertical="top" shrinkToFit="1"/>
    </xf>
    <xf numFmtId="0" fontId="10" fillId="0" borderId="0" xfId="0" applyFont="1" applyAlignment="1">
      <alignment horizontal="center" vertical="top" wrapText="1"/>
    </xf>
    <xf numFmtId="169" fontId="10" fillId="0" borderId="26" xfId="0" applyNumberFormat="1" applyFont="1" applyBorder="1" applyAlignment="1">
      <alignment horizontal="right" vertical="top" shrinkToFit="1"/>
    </xf>
    <xf numFmtId="169" fontId="10" fillId="0" borderId="26" xfId="0" applyNumberFormat="1" applyFont="1" applyBorder="1" applyAlignment="1">
      <alignment horizontal="right" vertical="top"/>
    </xf>
    <xf numFmtId="9" fontId="10" fillId="0" borderId="26" xfId="0" applyNumberFormat="1" applyFont="1" applyBorder="1" applyAlignment="1">
      <alignment vertical="top"/>
    </xf>
    <xf numFmtId="0" fontId="4" fillId="0" borderId="1" xfId="0" applyFont="1" applyBorder="1">
      <alignment vertical="center"/>
    </xf>
    <xf numFmtId="3" fontId="10" fillId="0" borderId="27" xfId="0" applyNumberFormat="1" applyFont="1" applyBorder="1" applyAlignment="1">
      <alignment horizontal="centerContinuous" vertical="center"/>
    </xf>
    <xf numFmtId="3" fontId="10" fillId="0" borderId="26" xfId="0" applyNumberFormat="1" applyFont="1" applyBorder="1" applyAlignment="1">
      <alignment vertical="top"/>
    </xf>
    <xf numFmtId="3" fontId="10" fillId="0" borderId="30" xfId="0" applyNumberFormat="1" applyFont="1" applyBorder="1" applyAlignment="1">
      <alignment vertical="top"/>
    </xf>
    <xf numFmtId="3" fontId="5" fillId="0" borderId="0" xfId="0" applyNumberFormat="1" applyFont="1">
      <alignment vertical="center"/>
    </xf>
    <xf numFmtId="3" fontId="10" fillId="0" borderId="26" xfId="0" applyNumberFormat="1" applyFont="1" applyBorder="1" applyAlignment="1">
      <alignment horizontal="left" wrapText="1"/>
    </xf>
    <xf numFmtId="3" fontId="10" fillId="0" borderId="0" xfId="0" applyNumberFormat="1" applyFont="1" applyAlignment="1">
      <alignment vertical="top"/>
    </xf>
    <xf numFmtId="3" fontId="6" fillId="0" borderId="0" xfId="0" applyNumberFormat="1" applyFont="1" applyAlignment="1">
      <alignment horizontal="left" vertical="top" wrapText="1"/>
    </xf>
    <xf numFmtId="4" fontId="6" fillId="0" borderId="28" xfId="0" applyNumberFormat="1" applyFont="1" applyBorder="1" applyAlignment="1">
      <alignment horizontal="centerContinuous" vertical="center"/>
    </xf>
    <xf numFmtId="4" fontId="10" fillId="0" borderId="26" xfId="0" applyNumberFormat="1" applyFont="1" applyBorder="1" applyAlignment="1">
      <alignment horizontal="left" wrapText="1"/>
    </xf>
    <xf numFmtId="4" fontId="10" fillId="0" borderId="26" xfId="0" applyNumberFormat="1" applyFont="1" applyBorder="1" applyAlignment="1">
      <alignment horizontal="left" vertical="center" wrapText="1"/>
    </xf>
    <xf numFmtId="4" fontId="10" fillId="0" borderId="30" xfId="0" applyNumberFormat="1" applyFont="1" applyBorder="1" applyAlignment="1">
      <alignment vertical="top"/>
    </xf>
    <xf numFmtId="4" fontId="10" fillId="0" borderId="26" xfId="0" applyNumberFormat="1" applyFont="1" applyBorder="1" applyAlignment="1">
      <alignment vertical="top"/>
    </xf>
    <xf numFmtId="4" fontId="6" fillId="0" borderId="30" xfId="0" applyNumberFormat="1" applyFont="1" applyBorder="1" applyAlignment="1">
      <alignment horizontal="centerContinuous" vertical="center"/>
    </xf>
    <xf numFmtId="4" fontId="6" fillId="0" borderId="30" xfId="0" applyNumberFormat="1" applyFont="1" applyBorder="1" applyAlignment="1">
      <alignment horizontal="centerContinuous" vertical="center" wrapText="1"/>
    </xf>
    <xf numFmtId="166" fontId="10" fillId="0" borderId="26" xfId="1" applyFont="1" applyBorder="1" applyAlignment="1">
      <alignment horizontal="right" vertical="top" shrinkToFit="1"/>
    </xf>
    <xf numFmtId="166" fontId="6" fillId="0" borderId="30" xfId="1" applyFont="1" applyBorder="1" applyAlignment="1">
      <alignment horizontal="centerContinuous" vertical="center" wrapText="1"/>
    </xf>
    <xf numFmtId="166" fontId="10" fillId="0" borderId="26" xfId="0" applyNumberFormat="1" applyFont="1" applyBorder="1" applyAlignment="1">
      <alignment horizontal="right" vertical="top" shrinkToFit="1"/>
    </xf>
    <xf numFmtId="166" fontId="6" fillId="0" borderId="30" xfId="0" applyNumberFormat="1" applyFont="1" applyBorder="1" applyAlignment="1">
      <alignment horizontal="centerContinuous" vertical="center"/>
    </xf>
    <xf numFmtId="166" fontId="10" fillId="0" borderId="26" xfId="0" applyNumberFormat="1" applyFont="1" applyBorder="1" applyAlignment="1">
      <alignment horizontal="left" vertical="center" wrapText="1"/>
    </xf>
    <xf numFmtId="166" fontId="10" fillId="0" borderId="30" xfId="0" applyNumberFormat="1" applyFont="1" applyBorder="1" applyAlignment="1">
      <alignment vertical="top"/>
    </xf>
    <xf numFmtId="4" fontId="10" fillId="0" borderId="27" xfId="0" applyNumberFormat="1" applyFont="1" applyBorder="1" applyAlignment="1">
      <alignment horizontal="centerContinuous" vertical="center"/>
    </xf>
    <xf numFmtId="0" fontId="9" fillId="0" borderId="0" xfId="0" applyFont="1" applyAlignment="1">
      <alignment horizontal="left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top"/>
    </xf>
    <xf numFmtId="2" fontId="10" fillId="0" borderId="34" xfId="0" applyNumberFormat="1" applyFont="1" applyBorder="1" applyAlignment="1">
      <alignment horizontal="center" vertical="top"/>
    </xf>
    <xf numFmtId="4" fontId="10" fillId="0" borderId="35" xfId="0" applyNumberFormat="1" applyFont="1" applyBorder="1" applyAlignment="1">
      <alignment horizontal="right" vertical="top" shrinkToFit="1"/>
    </xf>
    <xf numFmtId="0" fontId="10" fillId="0" borderId="36" xfId="0" applyFont="1" applyBorder="1" applyAlignment="1">
      <alignment horizontal="centerContinuous" vertical="center"/>
    </xf>
    <xf numFmtId="4" fontId="10" fillId="0" borderId="37" xfId="0" applyNumberFormat="1" applyFont="1" applyBorder="1" applyAlignment="1">
      <alignment vertical="top"/>
    </xf>
    <xf numFmtId="4" fontId="10" fillId="0" borderId="35" xfId="0" applyNumberFormat="1" applyFont="1" applyBorder="1" applyAlignment="1">
      <alignment horizontal="left" vertical="top"/>
    </xf>
    <xf numFmtId="0" fontId="10" fillId="0" borderId="34" xfId="0" quotePrefix="1" applyFont="1" applyBorder="1" applyAlignment="1">
      <alignment horizontal="center" vertical="top"/>
    </xf>
    <xf numFmtId="4" fontId="6" fillId="0" borderId="35" xfId="0" applyNumberFormat="1" applyFont="1" applyBorder="1" applyAlignment="1">
      <alignment horizontal="right" vertical="top" wrapText="1" indent="1"/>
    </xf>
    <xf numFmtId="0" fontId="10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vertical="top"/>
    </xf>
    <xf numFmtId="0" fontId="10" fillId="0" borderId="40" xfId="0" applyFont="1" applyBorder="1" applyAlignment="1">
      <alignment vertical="top"/>
    </xf>
    <xf numFmtId="4" fontId="10" fillId="0" borderId="41" xfId="0" applyNumberFormat="1" applyFont="1" applyBorder="1" applyAlignment="1">
      <alignment vertical="top"/>
    </xf>
    <xf numFmtId="4" fontId="9" fillId="0" borderId="42" xfId="0" applyNumberFormat="1" applyFont="1" applyBorder="1" applyAlignment="1">
      <alignment vertical="top"/>
    </xf>
    <xf numFmtId="0" fontId="5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left" wrapText="1"/>
    </xf>
    <xf numFmtId="3" fontId="6" fillId="0" borderId="32" xfId="0" applyNumberFormat="1" applyFont="1" applyBorder="1" applyAlignment="1">
      <alignment horizontal="center" vertical="center" wrapText="1"/>
    </xf>
    <xf numFmtId="3" fontId="10" fillId="0" borderId="41" xfId="0" applyNumberFormat="1" applyFont="1" applyBorder="1" applyAlignment="1">
      <alignment vertical="top"/>
    </xf>
    <xf numFmtId="0" fontId="9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left" vertical="center" wrapText="1"/>
    </xf>
    <xf numFmtId="0" fontId="6" fillId="0" borderId="34" xfId="0" applyFont="1" applyBorder="1" applyAlignment="1">
      <alignment horizontal="center" vertical="top" wrapText="1"/>
    </xf>
    <xf numFmtId="1" fontId="10" fillId="0" borderId="34" xfId="0" applyNumberFormat="1" applyFont="1" applyBorder="1" applyAlignment="1">
      <alignment horizontal="center" vertical="top" shrinkToFit="1"/>
    </xf>
    <xf numFmtId="4" fontId="10" fillId="0" borderId="35" xfId="0" applyNumberFormat="1" applyFont="1" applyBorder="1" applyAlignment="1">
      <alignment horizontal="left" vertical="center" wrapText="1"/>
    </xf>
    <xf numFmtId="0" fontId="6" fillId="0" borderId="43" xfId="0" applyFont="1" applyBorder="1" applyAlignment="1">
      <alignment horizontal="centerContinuous" vertical="center"/>
    </xf>
    <xf numFmtId="0" fontId="6" fillId="0" borderId="34" xfId="0" quotePrefix="1" applyFont="1" applyBorder="1" applyAlignment="1">
      <alignment horizontal="center" vertical="top" wrapText="1"/>
    </xf>
    <xf numFmtId="0" fontId="10" fillId="0" borderId="35" xfId="0" applyFont="1" applyBorder="1" applyAlignment="1">
      <alignment horizontal="left" wrapText="1"/>
    </xf>
    <xf numFmtId="166" fontId="10" fillId="0" borderId="41" xfId="0" applyNumberFormat="1" applyFont="1" applyBorder="1" applyAlignment="1">
      <alignment vertical="top"/>
    </xf>
    <xf numFmtId="1" fontId="9" fillId="0" borderId="0" xfId="0" applyNumberFormat="1" applyFont="1" applyAlignment="1">
      <alignment vertical="center" shrinkToFit="1"/>
    </xf>
    <xf numFmtId="3" fontId="9" fillId="0" borderId="0" xfId="0" applyNumberFormat="1" applyFont="1" applyAlignment="1">
      <alignment vertical="center" shrinkToFit="1"/>
    </xf>
    <xf numFmtId="0" fontId="6" fillId="0" borderId="34" xfId="0" applyFont="1" applyBorder="1" applyAlignment="1">
      <alignment horizontal="left" vertical="top" indent="1"/>
    </xf>
    <xf numFmtId="4" fontId="10" fillId="0" borderId="35" xfId="0" applyNumberFormat="1" applyFont="1" applyBorder="1" applyAlignment="1">
      <alignment horizontal="left" wrapText="1"/>
    </xf>
    <xf numFmtId="0" fontId="6" fillId="0" borderId="34" xfId="0" applyFont="1" applyBorder="1" applyAlignment="1">
      <alignment horizontal="left" vertical="top" wrapText="1" indent="1"/>
    </xf>
    <xf numFmtId="41" fontId="6" fillId="0" borderId="35" xfId="0" applyNumberFormat="1" applyFont="1" applyBorder="1" applyAlignment="1">
      <alignment horizontal="right" vertical="top" wrapText="1" indent="1"/>
    </xf>
    <xf numFmtId="0" fontId="10" fillId="0" borderId="35" xfId="0" applyFont="1" applyBorder="1" applyAlignment="1">
      <alignment horizontal="left" vertical="center" wrapText="1"/>
    </xf>
    <xf numFmtId="0" fontId="10" fillId="0" borderId="41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10" fillId="0" borderId="43" xfId="0" applyFont="1" applyBorder="1" applyAlignment="1">
      <alignment horizontal="center" vertical="top"/>
    </xf>
    <xf numFmtId="0" fontId="6" fillId="0" borderId="44" xfId="0" applyFont="1" applyBorder="1" applyAlignment="1">
      <alignment horizontal="centerContinuous" vertical="center"/>
    </xf>
    <xf numFmtId="166" fontId="6" fillId="0" borderId="0" xfId="1" applyFont="1">
      <alignment vertical="center"/>
    </xf>
    <xf numFmtId="0" fontId="9" fillId="0" borderId="0" xfId="0" applyFont="1" applyAlignment="1">
      <alignment horizontal="center" vertical="top"/>
    </xf>
    <xf numFmtId="0" fontId="6" fillId="0" borderId="30" xfId="0" applyFont="1" applyBorder="1" applyAlignment="1">
      <alignment horizontal="centerContinuous" vertical="center" wrapText="1"/>
    </xf>
    <xf numFmtId="0" fontId="6" fillId="0" borderId="30" xfId="0" applyFont="1" applyBorder="1" applyAlignment="1">
      <alignment horizontal="centerContinuous" vertical="center"/>
    </xf>
    <xf numFmtId="0" fontId="10" fillId="0" borderId="0" xfId="0" applyFont="1" applyAlignment="1"/>
    <xf numFmtId="0" fontId="9" fillId="0" borderId="0" xfId="0" applyFont="1" applyAlignment="1">
      <alignment horizontal="center" vertical="top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3" fontId="6" fillId="0" borderId="46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0" fontId="10" fillId="0" borderId="26" xfId="0" applyFont="1" applyBorder="1" applyAlignment="1">
      <alignment horizontal="center" wrapText="1"/>
    </xf>
    <xf numFmtId="167" fontId="10" fillId="0" borderId="26" xfId="0" applyNumberFormat="1" applyFont="1" applyBorder="1" applyAlignment="1">
      <alignment horizontal="right" wrapText="1"/>
    </xf>
    <xf numFmtId="0" fontId="11" fillId="0" borderId="0" xfId="0" quotePrefix="1" applyFont="1" applyAlignment="1">
      <alignment horizontal="right" vertical="top"/>
    </xf>
    <xf numFmtId="0" fontId="11" fillId="0" borderId="0" xfId="0" applyFont="1" applyAlignment="1">
      <alignment vertical="top"/>
    </xf>
    <xf numFmtId="4" fontId="12" fillId="0" borderId="0" xfId="0" applyNumberFormat="1" applyFont="1" applyAlignment="1">
      <alignment vertical="top"/>
    </xf>
    <xf numFmtId="0" fontId="12" fillId="0" borderId="0" xfId="0" applyFont="1" applyAlignment="1">
      <alignment horizontal="left" vertical="top"/>
    </xf>
    <xf numFmtId="0" fontId="11" fillId="0" borderId="0" xfId="0" applyFont="1" applyAlignment="1"/>
    <xf numFmtId="1" fontId="5" fillId="0" borderId="0" xfId="0" applyNumberFormat="1" applyFont="1" applyAlignment="1">
      <alignment horizontal="left" vertical="top"/>
    </xf>
    <xf numFmtId="1" fontId="9" fillId="0" borderId="0" xfId="0" applyNumberFormat="1" applyFont="1" applyAlignment="1">
      <alignment horizontal="center" vertical="center" shrinkToFit="1"/>
    </xf>
    <xf numFmtId="1" fontId="5" fillId="0" borderId="0" xfId="0" applyNumberFormat="1" applyFont="1">
      <alignment vertical="center"/>
    </xf>
    <xf numFmtId="0" fontId="10" fillId="0" borderId="26" xfId="0" applyFont="1" applyBorder="1" applyAlignment="1">
      <alignment horizontal="center"/>
    </xf>
    <xf numFmtId="167" fontId="10" fillId="0" borderId="26" xfId="0" applyNumberFormat="1" applyFont="1" applyBorder="1" applyAlignment="1">
      <alignment horizontal="right"/>
    </xf>
    <xf numFmtId="0" fontId="6" fillId="0" borderId="0" xfId="0" applyFont="1" applyAlignment="1">
      <alignment horizontal="left" vertical="top"/>
    </xf>
    <xf numFmtId="0" fontId="10" fillId="0" borderId="26" xfId="0" applyFont="1" applyBorder="1" applyAlignment="1">
      <alignment horizontal="right" vertical="top" shrinkToFit="1"/>
    </xf>
    <xf numFmtId="41" fontId="10" fillId="0" borderId="35" xfId="0" applyNumberFormat="1" applyFont="1" applyBorder="1" applyAlignment="1">
      <alignment horizontal="right" vertical="top" shrinkToFit="1"/>
    </xf>
    <xf numFmtId="0" fontId="10" fillId="0" borderId="26" xfId="0" applyFont="1" applyBorder="1" applyAlignment="1">
      <alignment horizontal="right"/>
    </xf>
    <xf numFmtId="0" fontId="10" fillId="0" borderId="47" xfId="0" applyFont="1" applyBorder="1" applyAlignment="1">
      <alignment horizontal="center" vertical="top"/>
    </xf>
    <xf numFmtId="0" fontId="10" fillId="0" borderId="47" xfId="0" applyFont="1" applyBorder="1" applyAlignment="1">
      <alignment vertical="top"/>
    </xf>
    <xf numFmtId="4" fontId="9" fillId="0" borderId="47" xfId="0" applyNumberFormat="1" applyFont="1" applyBorder="1" applyAlignment="1">
      <alignment vertical="top"/>
    </xf>
    <xf numFmtId="167" fontId="6" fillId="0" borderId="29" xfId="0" applyNumberFormat="1" applyFont="1" applyBorder="1" applyAlignment="1">
      <alignment horizontal="centerContinuous" vertical="center"/>
    </xf>
    <xf numFmtId="0" fontId="10" fillId="0" borderId="26" xfId="0" applyFont="1" applyBorder="1" applyAlignment="1">
      <alignment horizontal="right" wrapText="1"/>
    </xf>
    <xf numFmtId="169" fontId="10" fillId="0" borderId="26" xfId="0" applyNumberFormat="1" applyFont="1" applyBorder="1" applyAlignment="1">
      <alignment horizontal="right" wrapText="1"/>
    </xf>
    <xf numFmtId="2" fontId="10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 vertical="top"/>
    </xf>
    <xf numFmtId="166" fontId="10" fillId="0" borderId="0" xfId="1" applyFont="1" applyAlignment="1">
      <alignment horizontal="left" vertical="top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4" fontId="10" fillId="0" borderId="0" xfId="0" applyNumberFormat="1" applyFont="1" applyAlignment="1">
      <alignment horizontal="right" vertical="top" shrinkToFit="1"/>
    </xf>
    <xf numFmtId="1" fontId="10" fillId="0" borderId="34" xfId="0" quotePrefix="1" applyNumberFormat="1" applyFont="1" applyBorder="1" applyAlignment="1">
      <alignment horizontal="center" vertical="top" shrinkToFit="1"/>
    </xf>
    <xf numFmtId="168" fontId="10" fillId="0" borderId="26" xfId="0" applyNumberFormat="1" applyFont="1" applyBorder="1" applyAlignment="1">
      <alignment horizontal="right" vertical="top" shrinkToFit="1"/>
    </xf>
    <xf numFmtId="170" fontId="10" fillId="0" borderId="26" xfId="0" applyNumberFormat="1" applyFont="1" applyBorder="1" applyAlignment="1">
      <alignment horizontal="right" vertical="top" shrinkToFit="1"/>
    </xf>
    <xf numFmtId="171" fontId="10" fillId="0" borderId="0" xfId="0" applyNumberFormat="1" applyFont="1" applyAlignment="1">
      <alignment horizontal="left" vertical="top"/>
    </xf>
    <xf numFmtId="0" fontId="10" fillId="0" borderId="0" xfId="0" quotePrefix="1" applyFont="1" applyAlignment="1">
      <alignment horizontal="left" vertical="top"/>
    </xf>
    <xf numFmtId="1" fontId="10" fillId="0" borderId="26" xfId="0" applyNumberFormat="1" applyFont="1" applyBorder="1" applyAlignment="1">
      <alignment horizontal="right" wrapText="1"/>
    </xf>
    <xf numFmtId="167" fontId="10" fillId="0" borderId="26" xfId="0" applyNumberFormat="1" applyFont="1" applyBorder="1" applyAlignment="1">
      <alignment horizontal="right" vertical="top" wrapText="1"/>
    </xf>
    <xf numFmtId="167" fontId="10" fillId="0" borderId="26" xfId="0" applyNumberFormat="1" applyFont="1" applyBorder="1" applyAlignment="1">
      <alignment horizontal="left" wrapText="1"/>
    </xf>
    <xf numFmtId="4" fontId="5" fillId="0" borderId="0" xfId="0" applyNumberFormat="1" applyFont="1">
      <alignment vertical="center"/>
    </xf>
    <xf numFmtId="4" fontId="9" fillId="0" borderId="0" xfId="0" applyNumberFormat="1" applyFont="1" applyAlignment="1">
      <alignment horizontal="left" wrapText="1"/>
    </xf>
    <xf numFmtId="4" fontId="6" fillId="0" borderId="33" xfId="0" applyNumberFormat="1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left" vertical="center" wrapText="1"/>
    </xf>
    <xf numFmtId="4" fontId="10" fillId="0" borderId="35" xfId="1" applyNumberFormat="1" applyFont="1" applyBorder="1" applyAlignment="1">
      <alignment horizontal="right" vertical="top" shrinkToFit="1"/>
    </xf>
    <xf numFmtId="4" fontId="9" fillId="0" borderId="0" xfId="0" applyNumberFormat="1" applyFont="1" applyAlignment="1">
      <alignment vertical="center" shrinkToFit="1"/>
    </xf>
    <xf numFmtId="4" fontId="6" fillId="0" borderId="48" xfId="0" applyNumberFormat="1" applyFont="1" applyBorder="1" applyAlignment="1">
      <alignment horizontal="center" vertical="center" wrapText="1"/>
    </xf>
    <xf numFmtId="4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169" fontId="6" fillId="0" borderId="29" xfId="0" applyNumberFormat="1" applyFont="1" applyBorder="1" applyAlignment="1">
      <alignment horizontal="centerContinuous" vertical="center"/>
    </xf>
    <xf numFmtId="169" fontId="6" fillId="0" borderId="30" xfId="0" applyNumberFormat="1" applyFont="1" applyBorder="1" applyAlignment="1">
      <alignment horizontal="centerContinuous" vertical="center"/>
    </xf>
    <xf numFmtId="169" fontId="9" fillId="0" borderId="0" xfId="0" applyNumberFormat="1" applyFont="1" applyAlignment="1">
      <alignment horizontal="left" vertical="top"/>
    </xf>
    <xf numFmtId="169" fontId="10" fillId="0" borderId="0" xfId="0" applyNumberFormat="1" applyFont="1" applyAlignment="1">
      <alignment horizontal="left" vertical="top"/>
    </xf>
    <xf numFmtId="1" fontId="9" fillId="0" borderId="0" xfId="0" applyNumberFormat="1" applyFont="1" applyAlignment="1">
      <alignment vertical="top"/>
    </xf>
    <xf numFmtId="172" fontId="9" fillId="0" borderId="0" xfId="0" applyNumberFormat="1" applyFont="1" applyAlignment="1">
      <alignment vertical="top" shrinkToFit="1"/>
    </xf>
    <xf numFmtId="172" fontId="9" fillId="0" borderId="0" xfId="0" applyNumberFormat="1" applyFont="1" applyAlignment="1">
      <alignment vertical="center" shrinkToFit="1"/>
    </xf>
    <xf numFmtId="1" fontId="9" fillId="0" borderId="0" xfId="0" applyNumberFormat="1" applyFo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2" fontId="10" fillId="0" borderId="26" xfId="0" applyNumberFormat="1" applyFont="1" applyBorder="1" applyAlignment="1">
      <alignment horizontal="right" vertical="top" shrinkToFit="1"/>
    </xf>
    <xf numFmtId="172" fontId="9" fillId="0" borderId="0" xfId="0" applyNumberFormat="1" applyFont="1" applyAlignment="1">
      <alignment horizontal="center" vertical="top" shrinkToFit="1"/>
    </xf>
    <xf numFmtId="167" fontId="6" fillId="0" borderId="30" xfId="0" applyNumberFormat="1" applyFont="1" applyBorder="1" applyAlignment="1">
      <alignment horizontal="centerContinuous" vertical="center"/>
    </xf>
    <xf numFmtId="0" fontId="10" fillId="0" borderId="26" xfId="0" applyFont="1" applyBorder="1" applyAlignment="1">
      <alignment horizontal="centerContinuous" vertical="center" wrapText="1"/>
    </xf>
    <xf numFmtId="169" fontId="10" fillId="0" borderId="26" xfId="0" applyNumberFormat="1" applyFont="1" applyBorder="1" applyAlignment="1">
      <alignment horizontal="left" wrapText="1"/>
    </xf>
    <xf numFmtId="1" fontId="9" fillId="0" borderId="0" xfId="0" applyNumberFormat="1" applyFont="1" applyAlignment="1">
      <alignment horizontal="left"/>
    </xf>
    <xf numFmtId="172" fontId="9" fillId="0" borderId="0" xfId="0" applyNumberFormat="1" applyFont="1" applyAlignment="1">
      <alignment vertical="top" wrapText="1" shrinkToFit="1"/>
    </xf>
    <xf numFmtId="1" fontId="9" fillId="0" borderId="0" xfId="0" applyNumberFormat="1" applyFont="1" applyAlignment="1">
      <alignment horizontal="left" vertical="top"/>
    </xf>
    <xf numFmtId="1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/>
    </xf>
    <xf numFmtId="172" fontId="10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4" fontId="14" fillId="0" borderId="0" xfId="0" applyNumberFormat="1" applyFont="1" applyAlignment="1">
      <alignment horizontal="left" vertical="top"/>
    </xf>
    <xf numFmtId="0" fontId="8" fillId="0" borderId="26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wrapText="1"/>
    </xf>
    <xf numFmtId="169" fontId="13" fillId="0" borderId="26" xfId="0" applyNumberFormat="1" applyFont="1" applyBorder="1" applyAlignment="1">
      <alignment horizontal="right" vertical="top" shrinkToFit="1"/>
    </xf>
    <xf numFmtId="0" fontId="8" fillId="0" borderId="29" xfId="0" applyFont="1" applyBorder="1" applyAlignment="1">
      <alignment horizontal="centerContinuous" vertical="center"/>
    </xf>
    <xf numFmtId="169" fontId="8" fillId="0" borderId="29" xfId="0" applyNumberFormat="1" applyFont="1" applyBorder="1" applyAlignment="1">
      <alignment horizontal="centerContinuous" vertical="center"/>
    </xf>
    <xf numFmtId="169" fontId="8" fillId="0" borderId="30" xfId="0" applyNumberFormat="1" applyFont="1" applyBorder="1" applyAlignment="1">
      <alignment horizontal="centerContinuous" vertical="center"/>
    </xf>
    <xf numFmtId="169" fontId="14" fillId="0" borderId="0" xfId="0" applyNumberFormat="1" applyFont="1" applyAlignment="1">
      <alignment horizontal="left" vertical="top"/>
    </xf>
    <xf numFmtId="2" fontId="13" fillId="0" borderId="26" xfId="0" applyNumberFormat="1" applyFont="1" applyBorder="1" applyAlignment="1">
      <alignment horizontal="right" vertical="top" shrinkToFit="1"/>
    </xf>
    <xf numFmtId="0" fontId="8" fillId="0" borderId="30" xfId="0" applyFont="1" applyBorder="1" applyAlignment="1">
      <alignment horizontal="centerContinuous" vertical="center"/>
    </xf>
    <xf numFmtId="0" fontId="13" fillId="0" borderId="28" xfId="0" applyFont="1" applyBorder="1" applyAlignment="1">
      <alignment vertical="top"/>
    </xf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0" fontId="1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left" vertical="top" wrapText="1"/>
    </xf>
    <xf numFmtId="167" fontId="13" fillId="0" borderId="26" xfId="0" applyNumberFormat="1" applyFont="1" applyBorder="1" applyAlignment="1">
      <alignment horizontal="right" vertical="top" shrinkToFit="1"/>
    </xf>
    <xf numFmtId="0" fontId="15" fillId="0" borderId="25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/>
    </xf>
    <xf numFmtId="0" fontId="8" fillId="0" borderId="26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4" fontId="14" fillId="0" borderId="0" xfId="0" applyNumberFormat="1" applyFont="1" applyAlignment="1">
      <alignment vertical="top"/>
    </xf>
    <xf numFmtId="167" fontId="13" fillId="0" borderId="26" xfId="0" applyNumberFormat="1" applyFont="1" applyBorder="1" applyAlignment="1">
      <alignment horizontal="right" vertical="top" wrapText="1" shrinkToFit="1"/>
    </xf>
    <xf numFmtId="0" fontId="14" fillId="0" borderId="0" xfId="0" applyFont="1" applyAlignment="1">
      <alignment horizontal="left" vertical="top" wrapText="1"/>
    </xf>
    <xf numFmtId="167" fontId="13" fillId="0" borderId="26" xfId="0" applyNumberFormat="1" applyFont="1" applyBorder="1" applyAlignment="1">
      <alignment vertical="center" shrinkToFit="1"/>
    </xf>
    <xf numFmtId="0" fontId="13" fillId="0" borderId="26" xfId="0" applyFont="1" applyBorder="1" applyAlignment="1">
      <alignment horizontal="center" wrapText="1"/>
    </xf>
    <xf numFmtId="2" fontId="13" fillId="0" borderId="26" xfId="0" applyNumberFormat="1" applyFont="1" applyBorder="1" applyAlignment="1">
      <alignment horizontal="right" vertical="top"/>
    </xf>
    <xf numFmtId="2" fontId="13" fillId="0" borderId="26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/>
    </xf>
    <xf numFmtId="1" fontId="14" fillId="0" borderId="0" xfId="0" applyNumberFormat="1" applyFont="1" applyAlignment="1">
      <alignment vertical="top"/>
    </xf>
    <xf numFmtId="172" fontId="14" fillId="0" borderId="0" xfId="0" applyNumberFormat="1" applyFont="1" applyAlignment="1">
      <alignment vertical="top" shrinkToFit="1"/>
    </xf>
    <xf numFmtId="172" fontId="14" fillId="0" borderId="0" xfId="0" applyNumberFormat="1" applyFont="1" applyAlignment="1">
      <alignment vertical="center" shrinkToFit="1"/>
    </xf>
    <xf numFmtId="4" fontId="14" fillId="0" borderId="0" xfId="0" applyNumberFormat="1" applyFont="1" applyAlignment="1">
      <alignment horizontal="right" vertical="top" shrinkToFi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top" wrapText="1"/>
    </xf>
    <xf numFmtId="0" fontId="13" fillId="0" borderId="35" xfId="0" applyFont="1" applyBorder="1" applyAlignment="1">
      <alignment horizontal="left" wrapText="1"/>
    </xf>
    <xf numFmtId="1" fontId="13" fillId="0" borderId="34" xfId="0" applyNumberFormat="1" applyFont="1" applyBorder="1" applyAlignment="1">
      <alignment horizontal="center" vertical="top" shrinkToFit="1"/>
    </xf>
    <xf numFmtId="4" fontId="13" fillId="0" borderId="35" xfId="0" applyNumberFormat="1" applyFont="1" applyBorder="1" applyAlignment="1">
      <alignment horizontal="right" vertical="top" shrinkToFit="1"/>
    </xf>
    <xf numFmtId="0" fontId="8" fillId="0" borderId="43" xfId="0" applyFont="1" applyBorder="1" applyAlignment="1">
      <alignment horizontal="centerContinuous" vertical="center"/>
    </xf>
    <xf numFmtId="0" fontId="8" fillId="0" borderId="34" xfId="0" applyFont="1" applyBorder="1" applyAlignment="1">
      <alignment horizontal="left" vertical="top" wrapText="1" indent="1"/>
    </xf>
    <xf numFmtId="41" fontId="8" fillId="0" borderId="35" xfId="0" applyNumberFormat="1" applyFont="1" applyBorder="1" applyAlignment="1">
      <alignment horizontal="right" vertical="top" wrapText="1" indent="1"/>
    </xf>
    <xf numFmtId="0" fontId="13" fillId="0" borderId="34" xfId="0" applyFont="1" applyBorder="1" applyAlignment="1">
      <alignment horizontal="center" vertical="top"/>
    </xf>
    <xf numFmtId="0" fontId="13" fillId="0" borderId="38" xfId="0" applyFont="1" applyBorder="1" applyAlignment="1">
      <alignment horizontal="center" vertical="top"/>
    </xf>
    <xf numFmtId="0" fontId="13" fillId="0" borderId="39" xfId="0" applyFont="1" applyBorder="1" applyAlignment="1">
      <alignment vertical="top"/>
    </xf>
    <xf numFmtId="0" fontId="13" fillId="0" borderId="40" xfId="0" applyFont="1" applyBorder="1" applyAlignment="1">
      <alignment vertical="top"/>
    </xf>
    <xf numFmtId="0" fontId="13" fillId="0" borderId="41" xfId="0" applyFont="1" applyBorder="1" applyAlignment="1">
      <alignment vertical="top"/>
    </xf>
    <xf numFmtId="4" fontId="14" fillId="0" borderId="42" xfId="0" applyNumberFormat="1" applyFont="1" applyBorder="1" applyAlignment="1">
      <alignment vertical="top"/>
    </xf>
    <xf numFmtId="0" fontId="7" fillId="0" borderId="0" xfId="0" applyFont="1">
      <alignment vertical="center"/>
    </xf>
    <xf numFmtId="1" fontId="13" fillId="0" borderId="34" xfId="0" applyNumberFormat="1" applyFont="1" applyBorder="1" applyAlignment="1">
      <alignment horizontal="center" vertical="top" wrapText="1" shrinkToFit="1"/>
    </xf>
    <xf numFmtId="1" fontId="13" fillId="0" borderId="34" xfId="0" quotePrefix="1" applyNumberFormat="1" applyFont="1" applyBorder="1" applyAlignment="1">
      <alignment horizontal="center" vertical="top" shrinkToFit="1"/>
    </xf>
    <xf numFmtId="172" fontId="14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top" shrinkToFit="1"/>
    </xf>
    <xf numFmtId="0" fontId="5" fillId="0" borderId="0" xfId="0" applyFont="1" applyAlignment="1">
      <alignment horizontal="center" wrapText="1"/>
    </xf>
    <xf numFmtId="0" fontId="6" fillId="0" borderId="49" xfId="0" applyFont="1" applyBorder="1" applyAlignment="1">
      <alignment horizontal="center" vertical="center" wrapText="1"/>
    </xf>
    <xf numFmtId="1" fontId="10" fillId="0" borderId="26" xfId="0" applyNumberFormat="1" applyFont="1" applyBorder="1" applyAlignment="1">
      <alignment horizontal="center" vertical="top" shrinkToFit="1"/>
    </xf>
    <xf numFmtId="0" fontId="6" fillId="0" borderId="26" xfId="0" applyFont="1" applyBorder="1" applyAlignment="1">
      <alignment horizontal="left" vertical="top" wrapText="1" indent="1"/>
    </xf>
    <xf numFmtId="41" fontId="6" fillId="0" borderId="26" xfId="0" applyNumberFormat="1" applyFont="1" applyBorder="1" applyAlignment="1">
      <alignment horizontal="right" vertical="top" wrapText="1" indent="1"/>
    </xf>
    <xf numFmtId="4" fontId="10" fillId="0" borderId="28" xfId="0" applyNumberFormat="1" applyFont="1" applyBorder="1" applyAlignment="1">
      <alignment horizontal="right" vertical="top" shrinkToFit="1"/>
    </xf>
    <xf numFmtId="4" fontId="9" fillId="0" borderId="28" xfId="0" applyNumberFormat="1" applyFont="1" applyBorder="1" applyAlignment="1">
      <alignment vertical="top"/>
    </xf>
    <xf numFmtId="4" fontId="9" fillId="0" borderId="50" xfId="0" applyNumberFormat="1" applyFont="1" applyBorder="1" applyAlignment="1">
      <alignment horizontal="right" vertical="top" shrinkToFit="1"/>
    </xf>
    <xf numFmtId="172" fontId="9" fillId="0" borderId="51" xfId="0" applyNumberFormat="1" applyFont="1" applyBorder="1" applyAlignment="1">
      <alignment vertical="center" shrinkToFit="1"/>
    </xf>
    <xf numFmtId="0" fontId="10" fillId="0" borderId="5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172" fontId="10" fillId="0" borderId="0" xfId="0" applyNumberFormat="1" applyFont="1" applyAlignment="1">
      <alignment horizontal="left" vertical="center" indent="1" shrinkToFit="1"/>
    </xf>
    <xf numFmtId="0" fontId="10" fillId="0" borderId="53" xfId="0" applyFont="1" applyBorder="1" applyAlignment="1">
      <alignment horizontal="left" wrapText="1"/>
    </xf>
    <xf numFmtId="169" fontId="10" fillId="0" borderId="35" xfId="0" applyNumberFormat="1" applyFont="1" applyBorder="1" applyAlignment="1">
      <alignment horizontal="left" wrapText="1"/>
    </xf>
    <xf numFmtId="1" fontId="9" fillId="0" borderId="51" xfId="0" applyNumberFormat="1" applyFont="1" applyBorder="1" applyAlignment="1">
      <alignment vertical="top"/>
    </xf>
    <xf numFmtId="4" fontId="9" fillId="5" borderId="0" xfId="0" applyNumberFormat="1" applyFont="1" applyFill="1" applyAlignment="1">
      <alignment horizontal="left" vertical="top"/>
    </xf>
    <xf numFmtId="172" fontId="9" fillId="0" borderId="51" xfId="0" applyNumberFormat="1" applyFont="1" applyBorder="1" applyAlignment="1">
      <alignment vertical="top" shrinkToFit="1"/>
    </xf>
    <xf numFmtId="172" fontId="9" fillId="0" borderId="0" xfId="0" applyNumberFormat="1" applyFont="1" applyAlignment="1">
      <alignment horizontal="left" vertical="center" shrinkToFit="1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/>
    <xf numFmtId="0" fontId="9" fillId="0" borderId="25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/>
    </xf>
    <xf numFmtId="173" fontId="10" fillId="0" borderId="26" xfId="0" applyNumberFormat="1" applyFont="1" applyBorder="1" applyAlignment="1">
      <alignment horizontal="right" vertical="top" shrinkToFit="1"/>
    </xf>
    <xf numFmtId="4" fontId="16" fillId="0" borderId="26" xfId="0" applyNumberFormat="1" applyFont="1" applyBorder="1" applyAlignment="1">
      <alignment horizontal="right" vertical="top" shrinkToFit="1"/>
    </xf>
    <xf numFmtId="166" fontId="9" fillId="0" borderId="0" xfId="1" applyFont="1" applyAlignment="1">
      <alignment horizontal="left" vertical="top"/>
    </xf>
    <xf numFmtId="165" fontId="6" fillId="0" borderId="0" xfId="0" applyNumberFormat="1" applyFont="1">
      <alignment vertical="center"/>
    </xf>
    <xf numFmtId="0" fontId="9" fillId="0" borderId="0" xfId="0" applyFont="1" applyAlignment="1">
      <alignment vertical="top" shrinkToFit="1"/>
    </xf>
    <xf numFmtId="172" fontId="9" fillId="0" borderId="0" xfId="0" applyNumberFormat="1" applyFont="1" applyAlignment="1">
      <alignment shrinkToFit="1"/>
    </xf>
    <xf numFmtId="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0" borderId="26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" fontId="10" fillId="0" borderId="34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6" fillId="0" borderId="49" xfId="0" applyFont="1" applyBorder="1" applyAlignment="1">
      <alignment horizontal="left" vertical="top" wrapText="1"/>
    </xf>
    <xf numFmtId="167" fontId="10" fillId="0" borderId="49" xfId="0" applyNumberFormat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 wrapText="1"/>
    </xf>
    <xf numFmtId="167" fontId="10" fillId="0" borderId="49" xfId="0" applyNumberFormat="1" applyFont="1" applyBorder="1" applyAlignment="1">
      <alignment horizontal="right" vertical="top"/>
    </xf>
    <xf numFmtId="0" fontId="6" fillId="0" borderId="50" xfId="0" applyFont="1" applyBorder="1" applyAlignment="1">
      <alignment horizontal="centerContinuous" vertical="center"/>
    </xf>
    <xf numFmtId="0" fontId="6" fillId="0" borderId="54" xfId="0" applyFont="1" applyBorder="1" applyAlignment="1">
      <alignment horizontal="centerContinuous" vertical="center"/>
    </xf>
    <xf numFmtId="0" fontId="6" fillId="0" borderId="55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wrapText="1"/>
    </xf>
    <xf numFmtId="0" fontId="10" fillId="0" borderId="56" xfId="0" applyFont="1" applyBorder="1" applyAlignment="1">
      <alignment horizontal="left" wrapText="1"/>
    </xf>
    <xf numFmtId="0" fontId="9" fillId="0" borderId="0" xfId="0" applyFont="1" applyAlignment="1">
      <alignment horizontal="left" vertical="center" shrinkToFit="1"/>
    </xf>
    <xf numFmtId="0" fontId="6" fillId="0" borderId="57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top"/>
    </xf>
    <xf numFmtId="0" fontId="6" fillId="0" borderId="57" xfId="0" quotePrefix="1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Continuous" vertical="center"/>
    </xf>
    <xf numFmtId="0" fontId="6" fillId="0" borderId="59" xfId="0" applyFont="1" applyBorder="1" applyAlignment="1">
      <alignment horizontal="center" vertical="center" wrapText="1"/>
    </xf>
    <xf numFmtId="4" fontId="10" fillId="0" borderId="60" xfId="0" applyNumberFormat="1" applyFont="1" applyBorder="1" applyAlignment="1">
      <alignment horizontal="right" vertical="top" shrinkToFit="1"/>
    </xf>
    <xf numFmtId="0" fontId="6" fillId="0" borderId="34" xfId="0" quotePrefix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167" fontId="10" fillId="0" borderId="26" xfId="0" applyNumberFormat="1" applyFont="1" applyBorder="1" applyAlignment="1">
      <alignment horizontal="right" vertical="top" wrapText="1" shrinkToFit="1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vertical="top" wrapText="1"/>
    </xf>
    <xf numFmtId="0" fontId="6" fillId="0" borderId="26" xfId="0" applyFont="1" applyBorder="1" applyAlignment="1">
      <alignment horizontal="center" wrapText="1"/>
    </xf>
    <xf numFmtId="167" fontId="6" fillId="0" borderId="26" xfId="0" applyNumberFormat="1" applyFont="1" applyBorder="1" applyAlignment="1">
      <alignment horizontal="right" wrapText="1"/>
    </xf>
    <xf numFmtId="1" fontId="10" fillId="0" borderId="34" xfId="0" quotePrefix="1" applyNumberFormat="1" applyFont="1" applyBorder="1" applyAlignment="1">
      <alignment horizontal="center" vertical="center" shrinkToFit="1"/>
    </xf>
    <xf numFmtId="0" fontId="6" fillId="0" borderId="26" xfId="0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left" vertical="top" indent="1" shrinkToFit="1"/>
    </xf>
    <xf numFmtId="2" fontId="6" fillId="0" borderId="26" xfId="0" applyNumberFormat="1" applyFont="1" applyBorder="1" applyAlignment="1">
      <alignment horizontal="right" vertical="top"/>
    </xf>
    <xf numFmtId="4" fontId="16" fillId="0" borderId="26" xfId="0" applyNumberFormat="1" applyFont="1" applyBorder="1" applyAlignment="1">
      <alignment horizontal="left" vertical="top" wrapText="1"/>
    </xf>
    <xf numFmtId="4" fontId="6" fillId="0" borderId="26" xfId="0" applyNumberFormat="1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indent="1"/>
    </xf>
    <xf numFmtId="1" fontId="10" fillId="0" borderId="26" xfId="0" quotePrefix="1" applyNumberFormat="1" applyFont="1" applyBorder="1" applyAlignment="1">
      <alignment horizontal="center" vertical="top" shrinkToFit="1"/>
    </xf>
    <xf numFmtId="167" fontId="6" fillId="0" borderId="26" xfId="0" applyNumberFormat="1" applyFont="1" applyBorder="1" applyAlignment="1">
      <alignment horizontal="right" vertical="top"/>
    </xf>
    <xf numFmtId="4" fontId="9" fillId="0" borderId="26" xfId="0" applyNumberFormat="1" applyFont="1" applyBorder="1" applyAlignment="1">
      <alignment vertical="top"/>
    </xf>
    <xf numFmtId="1" fontId="9" fillId="0" borderId="51" xfId="0" applyNumberFormat="1" applyFont="1" applyBorder="1">
      <alignment vertical="center"/>
    </xf>
    <xf numFmtId="174" fontId="6" fillId="0" borderId="26" xfId="0" applyNumberFormat="1" applyFont="1" applyBorder="1" applyAlignment="1">
      <alignment horizontal="left" vertical="center"/>
    </xf>
    <xf numFmtId="1" fontId="6" fillId="0" borderId="26" xfId="0" applyNumberFormat="1" applyFont="1" applyBorder="1" applyAlignment="1">
      <alignment horizontal="left" vertical="top"/>
    </xf>
    <xf numFmtId="1" fontId="6" fillId="0" borderId="26" xfId="0" applyNumberFormat="1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/>
    </xf>
    <xf numFmtId="1" fontId="6" fillId="0" borderId="26" xfId="0" applyNumberFormat="1" applyFont="1" applyBorder="1" applyAlignment="1">
      <alignment horizontal="left" vertical="center" wrapText="1"/>
    </xf>
    <xf numFmtId="1" fontId="10" fillId="0" borderId="26" xfId="0" applyNumberFormat="1" applyFont="1" applyBorder="1" applyAlignment="1">
      <alignment horizontal="left" vertical="top"/>
    </xf>
    <xf numFmtId="1" fontId="10" fillId="0" borderId="49" xfId="0" applyNumberFormat="1" applyFont="1" applyBorder="1" applyAlignment="1">
      <alignment horizontal="left" vertical="top"/>
    </xf>
    <xf numFmtId="1" fontId="10" fillId="0" borderId="61" xfId="0" applyNumberFormat="1" applyFont="1" applyBorder="1" applyAlignment="1">
      <alignment horizontal="left" vertical="top"/>
    </xf>
    <xf numFmtId="1" fontId="10" fillId="0" borderId="62" xfId="0" applyNumberFormat="1" applyFont="1" applyBorder="1" applyAlignment="1">
      <alignment horizontal="left" vertical="top"/>
    </xf>
    <xf numFmtId="0" fontId="10" fillId="0" borderId="61" xfId="0" applyFont="1" applyBorder="1" applyAlignment="1">
      <alignment horizontal="center" vertical="top"/>
    </xf>
    <xf numFmtId="17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4" fontId="6" fillId="0" borderId="0" xfId="0" applyNumberFormat="1" applyFont="1" applyAlignment="1">
      <alignment horizontal="left" vertical="center" wrapText="1"/>
    </xf>
    <xf numFmtId="164" fontId="6" fillId="0" borderId="0" xfId="0" applyNumberFormat="1" applyFont="1">
      <alignment vertical="center"/>
    </xf>
    <xf numFmtId="0" fontId="5" fillId="7" borderId="26" xfId="0" applyFont="1" applyFill="1" applyBorder="1" applyAlignment="1">
      <alignment horizontal="center" vertical="top" wrapText="1"/>
    </xf>
    <xf numFmtId="0" fontId="5" fillId="7" borderId="26" xfId="0" applyFont="1" applyFill="1" applyBorder="1" applyAlignment="1">
      <alignment horizontal="left" vertical="top" wrapText="1"/>
    </xf>
    <xf numFmtId="0" fontId="9" fillId="7" borderId="26" xfId="0" applyFont="1" applyFill="1" applyBorder="1" applyAlignment="1">
      <alignment horizontal="left" wrapText="1"/>
    </xf>
    <xf numFmtId="0" fontId="9" fillId="7" borderId="26" xfId="0" applyFont="1" applyFill="1" applyBorder="1" applyAlignment="1">
      <alignment horizontal="left" vertical="center" wrapText="1"/>
    </xf>
    <xf numFmtId="4" fontId="9" fillId="7" borderId="26" xfId="0" applyNumberFormat="1" applyFont="1" applyFill="1" applyBorder="1" applyAlignment="1">
      <alignment horizontal="right" vertical="center" shrinkToFit="1"/>
    </xf>
    <xf numFmtId="0" fontId="5" fillId="7" borderId="26" xfId="0" applyFont="1" applyFill="1" applyBorder="1" applyAlignment="1">
      <alignment horizontal="left" vertical="center" wrapText="1"/>
    </xf>
    <xf numFmtId="0" fontId="5" fillId="7" borderId="26" xfId="0" applyFont="1" applyFill="1" applyBorder="1" applyAlignment="1">
      <alignment horizontal="left" vertical="top"/>
    </xf>
    <xf numFmtId="1" fontId="5" fillId="7" borderId="26" xfId="0" applyNumberFormat="1" applyFont="1" applyFill="1" applyBorder="1" applyAlignment="1">
      <alignment horizontal="left" vertical="top" wrapText="1"/>
    </xf>
    <xf numFmtId="174" fontId="6" fillId="7" borderId="26" xfId="0" applyNumberFormat="1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top" wrapText="1"/>
    </xf>
    <xf numFmtId="4" fontId="10" fillId="7" borderId="26" xfId="0" applyNumberFormat="1" applyFont="1" applyFill="1" applyBorder="1" applyAlignment="1">
      <alignment horizontal="right" vertical="center" shrinkToFit="1"/>
    </xf>
    <xf numFmtId="4" fontId="10" fillId="7" borderId="26" xfId="0" applyNumberFormat="1" applyFont="1" applyFill="1" applyBorder="1" applyAlignment="1">
      <alignment horizontal="left" vertical="center" shrinkToFit="1"/>
    </xf>
    <xf numFmtId="4" fontId="9" fillId="7" borderId="26" xfId="0" applyNumberFormat="1" applyFont="1" applyFill="1" applyBorder="1" applyAlignment="1">
      <alignment horizontal="left" vertical="center" shrinkToFit="1"/>
    </xf>
    <xf numFmtId="174" fontId="5" fillId="7" borderId="26" xfId="0" applyNumberFormat="1" applyFont="1" applyFill="1" applyBorder="1" applyAlignment="1">
      <alignment horizontal="left" vertical="center" wrapText="1"/>
    </xf>
    <xf numFmtId="174" fontId="6" fillId="7" borderId="26" xfId="0" applyNumberFormat="1" applyFont="1" applyFill="1" applyBorder="1" applyAlignment="1">
      <alignment horizontal="left" vertical="center" wrapText="1"/>
    </xf>
    <xf numFmtId="0" fontId="5" fillId="7" borderId="34" xfId="0" applyFont="1" applyFill="1" applyBorder="1" applyAlignment="1">
      <alignment horizontal="center" vertical="top" wrapText="1"/>
    </xf>
    <xf numFmtId="0" fontId="9" fillId="7" borderId="35" xfId="0" applyFont="1" applyFill="1" applyBorder="1" applyAlignment="1">
      <alignment horizontal="left" wrapText="1"/>
    </xf>
    <xf numFmtId="0" fontId="6" fillId="0" borderId="34" xfId="0" quotePrefix="1" applyFont="1" applyBorder="1" applyAlignment="1">
      <alignment horizontal="center" vertical="top"/>
    </xf>
    <xf numFmtId="0" fontId="9" fillId="0" borderId="35" xfId="0" applyFont="1" applyBorder="1" applyAlignment="1">
      <alignment horizontal="left" wrapText="1"/>
    </xf>
    <xf numFmtId="1" fontId="9" fillId="7" borderId="34" xfId="0" quotePrefix="1" applyNumberFormat="1" applyFont="1" applyFill="1" applyBorder="1" applyAlignment="1">
      <alignment horizontal="center" vertical="top" shrinkToFit="1"/>
    </xf>
    <xf numFmtId="0" fontId="5" fillId="7" borderId="34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/>
    </xf>
    <xf numFmtId="1" fontId="9" fillId="7" borderId="34" xfId="0" applyNumberFormat="1" applyFont="1" applyFill="1" applyBorder="1" applyAlignment="1">
      <alignment horizontal="center" vertical="top" shrinkToFit="1"/>
    </xf>
    <xf numFmtId="0" fontId="10" fillId="0" borderId="35" xfId="0" applyFont="1" applyBorder="1" applyAlignment="1">
      <alignment horizontal="left"/>
    </xf>
    <xf numFmtId="0" fontId="6" fillId="0" borderId="35" xfId="0" applyFont="1" applyBorder="1" applyAlignment="1">
      <alignment horizontal="left" vertical="top" wrapText="1"/>
    </xf>
    <xf numFmtId="0" fontId="5" fillId="7" borderId="35" xfId="0" applyFont="1" applyFill="1" applyBorder="1" applyAlignment="1">
      <alignment horizontal="left" vertical="top" wrapText="1"/>
    </xf>
    <xf numFmtId="0" fontId="6" fillId="7" borderId="35" xfId="0" applyFont="1" applyFill="1" applyBorder="1" applyAlignment="1">
      <alignment horizontal="left" vertical="top" wrapText="1"/>
    </xf>
    <xf numFmtId="0" fontId="10" fillId="7" borderId="35" xfId="0" applyFont="1" applyFill="1" applyBorder="1" applyAlignment="1">
      <alignment horizontal="left" wrapText="1"/>
    </xf>
    <xf numFmtId="0" fontId="10" fillId="0" borderId="63" xfId="0" applyFont="1" applyBorder="1" applyAlignment="1">
      <alignment horizontal="left" vertical="top"/>
    </xf>
    <xf numFmtId="0" fontId="10" fillId="0" borderId="64" xfId="0" applyFont="1" applyBorder="1" applyAlignment="1">
      <alignment horizontal="left" vertical="top"/>
    </xf>
    <xf numFmtId="0" fontId="10" fillId="0" borderId="65" xfId="0" applyFont="1" applyBorder="1" applyAlignment="1">
      <alignment horizontal="left" vertical="top"/>
    </xf>
    <xf numFmtId="0" fontId="6" fillId="0" borderId="38" xfId="0" quotePrefix="1" applyFont="1" applyBorder="1" applyAlignment="1">
      <alignment horizontal="center" vertical="top" wrapText="1"/>
    </xf>
    <xf numFmtId="1" fontId="10" fillId="0" borderId="66" xfId="0" applyNumberFormat="1" applyFont="1" applyBorder="1" applyAlignment="1">
      <alignment horizontal="left" vertical="top"/>
    </xf>
    <xf numFmtId="0" fontId="10" fillId="0" borderId="66" xfId="0" applyFont="1" applyBorder="1" applyAlignment="1">
      <alignment horizontal="center" vertical="top"/>
    </xf>
    <xf numFmtId="174" fontId="6" fillId="0" borderId="67" xfId="0" applyNumberFormat="1" applyFont="1" applyBorder="1" applyAlignment="1">
      <alignment horizontal="left" vertical="center"/>
    </xf>
    <xf numFmtId="0" fontId="10" fillId="0" borderId="68" xfId="0" applyFont="1" applyBorder="1" applyAlignment="1">
      <alignment horizontal="left" vertical="top"/>
    </xf>
    <xf numFmtId="0" fontId="5" fillId="7" borderId="69" xfId="0" applyFont="1" applyFill="1" applyBorder="1" applyAlignment="1">
      <alignment horizontal="center" vertical="top" wrapText="1"/>
    </xf>
    <xf numFmtId="0" fontId="5" fillId="7" borderId="52" xfId="0" applyFont="1" applyFill="1" applyBorder="1" applyAlignment="1">
      <alignment horizontal="left" vertical="top" wrapText="1"/>
    </xf>
    <xf numFmtId="0" fontId="9" fillId="7" borderId="52" xfId="0" applyFont="1" applyFill="1" applyBorder="1" applyAlignment="1">
      <alignment horizontal="left" wrapText="1"/>
    </xf>
    <xf numFmtId="0" fontId="9" fillId="7" borderId="52" xfId="0" applyFont="1" applyFill="1" applyBorder="1" applyAlignment="1">
      <alignment horizontal="left" vertical="center" wrapText="1"/>
    </xf>
    <xf numFmtId="0" fontId="9" fillId="7" borderId="53" xfId="0" applyFont="1" applyFill="1" applyBorder="1" applyAlignment="1">
      <alignment horizontal="left" wrapText="1"/>
    </xf>
    <xf numFmtId="0" fontId="5" fillId="6" borderId="70" xfId="0" applyFont="1" applyFill="1" applyBorder="1" applyAlignment="1">
      <alignment horizontal="center" vertical="center" wrapText="1"/>
    </xf>
    <xf numFmtId="0" fontId="5" fillId="6" borderId="71" xfId="0" applyFont="1" applyFill="1" applyBorder="1" applyAlignment="1">
      <alignment horizontal="center" vertical="center" wrapText="1"/>
    </xf>
    <xf numFmtId="0" fontId="5" fillId="6" borderId="72" xfId="0" applyFont="1" applyFill="1" applyBorder="1" applyAlignment="1">
      <alignment horizontal="center" vertical="center" wrapText="1"/>
    </xf>
    <xf numFmtId="0" fontId="19" fillId="0" borderId="0" xfId="0" applyFont="1" applyAlignment="1"/>
    <xf numFmtId="43" fontId="21" fillId="0" borderId="0" xfId="2" applyFont="1"/>
    <xf numFmtId="0" fontId="22" fillId="0" borderId="0" xfId="0" applyFont="1">
      <alignment vertical="center"/>
    </xf>
    <xf numFmtId="0" fontId="23" fillId="8" borderId="55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3" fillId="8" borderId="56" xfId="0" applyFont="1" applyFill="1" applyBorder="1">
      <alignment vertical="center"/>
    </xf>
    <xf numFmtId="43" fontId="21" fillId="0" borderId="0" xfId="2" applyFont="1" applyAlignment="1">
      <alignment vertical="center"/>
    </xf>
    <xf numFmtId="0" fontId="19" fillId="0" borderId="0" xfId="0" applyFont="1">
      <alignment vertical="center"/>
    </xf>
    <xf numFmtId="0" fontId="23" fillId="6" borderId="73" xfId="0" applyFont="1" applyFill="1" applyBorder="1">
      <alignment vertical="center"/>
    </xf>
    <xf numFmtId="0" fontId="23" fillId="6" borderId="73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 wrapText="1"/>
    </xf>
    <xf numFmtId="0" fontId="23" fillId="6" borderId="61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2" fillId="0" borderId="61" xfId="0" applyFont="1" applyBorder="1">
      <alignment vertical="center"/>
    </xf>
    <xf numFmtId="0" fontId="22" fillId="0" borderId="56" xfId="0" quotePrefix="1" applyFont="1" applyBorder="1" applyAlignment="1">
      <alignment horizontal="center" vertical="center"/>
    </xf>
    <xf numFmtId="43" fontId="22" fillId="0" borderId="56" xfId="0" quotePrefix="1" applyNumberFormat="1" applyFont="1" applyBorder="1" applyAlignment="1">
      <alignment horizontal="center" vertical="center"/>
    </xf>
    <xf numFmtId="39" fontId="22" fillId="0" borderId="61" xfId="0" applyNumberFormat="1" applyFont="1" applyBorder="1" applyAlignment="1">
      <alignment horizontal="right" vertical="center"/>
    </xf>
    <xf numFmtId="39" fontId="22" fillId="0" borderId="61" xfId="0" applyNumberFormat="1" applyFont="1" applyBorder="1" applyAlignment="1">
      <alignment horizontal="center" vertical="center"/>
    </xf>
    <xf numFmtId="43" fontId="19" fillId="0" borderId="0" xfId="0" applyNumberFormat="1" applyFont="1" applyAlignment="1"/>
    <xf numFmtId="175" fontId="22" fillId="0" borderId="61" xfId="0" applyNumberFormat="1" applyFont="1" applyBorder="1">
      <alignment vertical="center"/>
    </xf>
    <xf numFmtId="175" fontId="22" fillId="0" borderId="61" xfId="0" applyNumberFormat="1" applyFont="1" applyBorder="1" applyAlignment="1">
      <alignment horizontal="center" vertical="center"/>
    </xf>
    <xf numFmtId="0" fontId="24" fillId="0" borderId="61" xfId="0" applyFont="1" applyBorder="1">
      <alignment vertical="center"/>
    </xf>
    <xf numFmtId="0" fontId="22" fillId="0" borderId="20" xfId="0" applyFont="1" applyBorder="1" applyAlignment="1">
      <alignment horizontal="center" vertical="center"/>
    </xf>
    <xf numFmtId="0" fontId="22" fillId="0" borderId="0" xfId="0" applyFont="1" applyAlignment="1"/>
    <xf numFmtId="0" fontId="22" fillId="0" borderId="61" xfId="0" quotePrefix="1" applyFont="1" applyBorder="1" applyAlignment="1">
      <alignment horizontal="center" vertical="center"/>
    </xf>
    <xf numFmtId="43" fontId="22" fillId="0" borderId="61" xfId="0" quotePrefix="1" applyNumberFormat="1" applyFont="1" applyBorder="1" applyAlignment="1">
      <alignment horizontal="center" vertical="center"/>
    </xf>
    <xf numFmtId="0" fontId="23" fillId="8" borderId="74" xfId="0" applyFont="1" applyFill="1" applyBorder="1">
      <alignment vertical="center"/>
    </xf>
    <xf numFmtId="0" fontId="23" fillId="8" borderId="75" xfId="0" applyFont="1" applyFill="1" applyBorder="1">
      <alignment vertical="center"/>
    </xf>
    <xf numFmtId="0" fontId="23" fillId="8" borderId="76" xfId="0" applyFont="1" applyFill="1" applyBorder="1">
      <alignment vertical="center"/>
    </xf>
    <xf numFmtId="43" fontId="22" fillId="0" borderId="61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77" xfId="0" applyFont="1" applyBorder="1" applyAlignment="1">
      <alignment horizontal="center" vertical="center"/>
    </xf>
    <xf numFmtId="0" fontId="23" fillId="0" borderId="78" xfId="0" applyFont="1" applyBorder="1">
      <alignment vertical="center"/>
    </xf>
    <xf numFmtId="0" fontId="23" fillId="0" borderId="79" xfId="0" applyFont="1" applyBorder="1" applyAlignment="1">
      <alignment horizontal="center" vertical="center"/>
    </xf>
    <xf numFmtId="0" fontId="25" fillId="0" borderId="61" xfId="0" applyFont="1" applyBorder="1" applyAlignment="1">
      <alignment horizontal="left"/>
    </xf>
    <xf numFmtId="0" fontId="21" fillId="0" borderId="0" xfId="0" applyFont="1">
      <alignment vertical="center"/>
    </xf>
    <xf numFmtId="0" fontId="22" fillId="0" borderId="55" xfId="0" applyFont="1" applyBorder="1">
      <alignment vertical="center"/>
    </xf>
    <xf numFmtId="0" fontId="21" fillId="0" borderId="25" xfId="0" applyFont="1" applyBorder="1">
      <alignment vertical="center"/>
    </xf>
    <xf numFmtId="0" fontId="26" fillId="0" borderId="61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1" xfId="0" applyFont="1" applyBorder="1">
      <alignment vertical="center"/>
    </xf>
    <xf numFmtId="0" fontId="24" fillId="0" borderId="56" xfId="0" applyFont="1" applyBorder="1" applyAlignment="1">
      <alignment horizontal="left"/>
    </xf>
    <xf numFmtId="175" fontId="22" fillId="0" borderId="62" xfId="0" applyNumberFormat="1" applyFont="1" applyBorder="1" applyAlignment="1">
      <alignment horizontal="center" vertical="center"/>
    </xf>
    <xf numFmtId="0" fontId="24" fillId="0" borderId="80" xfId="0" applyFont="1" applyBorder="1" applyAlignment="1">
      <alignment horizontal="left"/>
    </xf>
    <xf numFmtId="0" fontId="22" fillId="0" borderId="62" xfId="0" applyFont="1" applyBorder="1">
      <alignment vertical="center"/>
    </xf>
    <xf numFmtId="43" fontId="19" fillId="0" borderId="0" xfId="2" applyFont="1"/>
    <xf numFmtId="0" fontId="27" fillId="8" borderId="20" xfId="0" applyFont="1" applyFill="1" applyBorder="1" applyAlignment="1"/>
    <xf numFmtId="0" fontId="27" fillId="8" borderId="56" xfId="0" applyFont="1" applyFill="1" applyBorder="1" applyAlignment="1"/>
    <xf numFmtId="43" fontId="21" fillId="0" borderId="25" xfId="2" applyFont="1" applyBorder="1"/>
    <xf numFmtId="0" fontId="27" fillId="0" borderId="25" xfId="0" applyFont="1" applyBorder="1">
      <alignment vertical="center"/>
    </xf>
    <xf numFmtId="0" fontId="22" fillId="0" borderId="20" xfId="0" applyFont="1" applyBorder="1">
      <alignment vertical="center"/>
    </xf>
    <xf numFmtId="0" fontId="22" fillId="0" borderId="20" xfId="0" quotePrefix="1" applyFont="1" applyBorder="1" applyAlignment="1">
      <alignment horizontal="center" vertical="center"/>
    </xf>
    <xf numFmtId="39" fontId="22" fillId="0" borderId="20" xfId="0" applyNumberFormat="1" applyFont="1" applyBorder="1" applyAlignment="1">
      <alignment horizontal="right" vertical="center"/>
    </xf>
    <xf numFmtId="39" fontId="22" fillId="0" borderId="56" xfId="0" applyNumberFormat="1" applyFont="1" applyBorder="1" applyAlignment="1">
      <alignment horizontal="center" vertical="center"/>
    </xf>
    <xf numFmtId="0" fontId="28" fillId="0" borderId="0" xfId="0" applyFont="1" applyAlignment="1"/>
    <xf numFmtId="0" fontId="29" fillId="0" borderId="61" xfId="0" applyFont="1" applyBorder="1" applyAlignment="1">
      <alignment horizontal="center" vertical="center"/>
    </xf>
    <xf numFmtId="0" fontId="29" fillId="0" borderId="61" xfId="0" applyFont="1" applyBorder="1">
      <alignment vertical="center"/>
    </xf>
    <xf numFmtId="0" fontId="29" fillId="0" borderId="61" xfId="0" quotePrefix="1" applyFont="1" applyBorder="1" applyAlignment="1">
      <alignment horizontal="center" vertical="center"/>
    </xf>
    <xf numFmtId="39" fontId="29" fillId="0" borderId="61" xfId="0" applyNumberFormat="1" applyFont="1" applyBorder="1" applyAlignment="1">
      <alignment horizontal="right" vertical="center"/>
    </xf>
    <xf numFmtId="39" fontId="29" fillId="0" borderId="61" xfId="0" applyNumberFormat="1" applyFont="1" applyBorder="1" applyAlignment="1">
      <alignment horizontal="center" vertical="center"/>
    </xf>
    <xf numFmtId="43" fontId="30" fillId="0" borderId="0" xfId="2" applyFont="1"/>
    <xf numFmtId="0" fontId="24" fillId="0" borderId="61" xfId="0" applyFont="1" applyBorder="1" applyAlignment="1">
      <alignment horizontal="center" vertical="center"/>
    </xf>
    <xf numFmtId="0" fontId="24" fillId="0" borderId="61" xfId="0" quotePrefix="1" applyFont="1" applyBorder="1" applyAlignment="1">
      <alignment horizontal="center" vertical="center"/>
    </xf>
    <xf numFmtId="39" fontId="24" fillId="0" borderId="61" xfId="0" applyNumberFormat="1" applyFont="1" applyBorder="1" applyAlignment="1">
      <alignment horizontal="right" vertical="center"/>
    </xf>
    <xf numFmtId="39" fontId="24" fillId="0" borderId="61" xfId="0" applyNumberFormat="1" applyFont="1" applyBorder="1" applyAlignment="1">
      <alignment horizontal="center" vertical="center"/>
    </xf>
    <xf numFmtId="43" fontId="31" fillId="0" borderId="0" xfId="2" applyFont="1"/>
    <xf numFmtId="0" fontId="27" fillId="0" borderId="0" xfId="0" applyFont="1" applyAlignment="1"/>
    <xf numFmtId="43" fontId="24" fillId="0" borderId="61" xfId="0" applyNumberFormat="1" applyFont="1" applyBorder="1" applyAlignment="1">
      <alignment horizontal="center" vertical="center"/>
    </xf>
    <xf numFmtId="0" fontId="22" fillId="0" borderId="61" xfId="0" applyFont="1" applyBorder="1" applyAlignment="1"/>
    <xf numFmtId="0" fontId="24" fillId="0" borderId="61" xfId="0" applyFont="1" applyBorder="1" applyAlignment="1"/>
    <xf numFmtId="43" fontId="21" fillId="0" borderId="0" xfId="2" applyFont="1" applyBorder="1"/>
    <xf numFmtId="0" fontId="16" fillId="0" borderId="27" xfId="0" applyFont="1" applyBorder="1" applyAlignment="1">
      <alignment horizontal="centerContinuous" vertical="center"/>
    </xf>
    <xf numFmtId="4" fontId="16" fillId="0" borderId="27" xfId="0" applyNumberFormat="1" applyFont="1" applyBorder="1" applyAlignment="1">
      <alignment horizontal="centerContinuous" vertical="center"/>
    </xf>
    <xf numFmtId="4" fontId="16" fillId="0" borderId="37" xfId="0" applyNumberFormat="1" applyFont="1" applyBorder="1" applyAlignment="1">
      <alignment vertical="top"/>
    </xf>
    <xf numFmtId="0" fontId="16" fillId="0" borderId="38" xfId="0" applyFont="1" applyBorder="1" applyAlignment="1">
      <alignment horizontal="center" vertical="top"/>
    </xf>
    <xf numFmtId="0" fontId="16" fillId="0" borderId="39" xfId="0" applyFont="1" applyBorder="1" applyAlignment="1">
      <alignment vertical="top"/>
    </xf>
    <xf numFmtId="0" fontId="16" fillId="0" borderId="40" xfId="0" applyFont="1" applyBorder="1" applyAlignment="1">
      <alignment vertical="top"/>
    </xf>
    <xf numFmtId="4" fontId="16" fillId="0" borderId="41" xfId="0" applyNumberFormat="1" applyFont="1" applyBorder="1" applyAlignment="1">
      <alignment vertical="top"/>
    </xf>
    <xf numFmtId="4" fontId="32" fillId="0" borderId="42" xfId="0" applyNumberFormat="1" applyFont="1" applyBorder="1" applyAlignment="1">
      <alignment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left" vertical="center" wrapText="1"/>
    </xf>
    <xf numFmtId="1" fontId="9" fillId="0" borderId="0" xfId="0" applyNumberFormat="1" applyFont="1" applyAlignment="1">
      <alignment horizontal="left" vertical="center" wrapText="1"/>
    </xf>
    <xf numFmtId="1" fontId="9" fillId="0" borderId="0" xfId="0" applyNumberFormat="1" applyFont="1" applyAlignment="1">
      <alignment horizontal="left" vertical="top" wrapText="1"/>
    </xf>
    <xf numFmtId="172" fontId="9" fillId="0" borderId="0" xfId="0" applyNumberFormat="1" applyFont="1" applyAlignment="1">
      <alignment horizontal="left" vertical="top" wrapText="1" shrinkToFit="1"/>
    </xf>
    <xf numFmtId="1" fontId="9" fillId="0" borderId="0" xfId="0" applyNumberFormat="1" applyFont="1" applyAlignment="1">
      <alignment horizontal="left" wrapText="1"/>
    </xf>
    <xf numFmtId="1" fontId="5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172" fontId="9" fillId="0" borderId="0" xfId="0" applyNumberFormat="1" applyFont="1" applyAlignment="1">
      <alignment horizontal="left" vertical="center" wrapText="1" shrinkToFit="1"/>
    </xf>
    <xf numFmtId="172" fontId="9" fillId="0" borderId="0" xfId="0" applyNumberFormat="1" applyFont="1" applyAlignment="1">
      <alignment horizontal="left" vertical="center" shrinkToFit="1"/>
    </xf>
    <xf numFmtId="0" fontId="6" fillId="0" borderId="50" xfId="0" applyFont="1" applyBorder="1" applyAlignment="1">
      <alignment vertical="top" wrapText="1"/>
    </xf>
    <xf numFmtId="0" fontId="29" fillId="0" borderId="61" xfId="0" applyFont="1" applyBorder="1" applyAlignment="1">
      <alignment horizontal="left" vertical="center" wrapText="1"/>
    </xf>
    <xf numFmtId="0" fontId="22" fillId="0" borderId="55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61" xfId="0" applyFont="1" applyBorder="1" applyAlignment="1">
      <alignment horizontal="left" vertical="center" wrapText="1"/>
    </xf>
    <xf numFmtId="0" fontId="22" fillId="0" borderId="55" xfId="0" quotePrefix="1" applyFont="1" applyBorder="1" applyAlignment="1">
      <alignment horizontal="center" vertical="center"/>
    </xf>
    <xf numFmtId="0" fontId="22" fillId="0" borderId="20" xfId="0" quotePrefix="1" applyFont="1" applyBorder="1" applyAlignment="1">
      <alignment horizontal="center" vertical="center"/>
    </xf>
    <xf numFmtId="0" fontId="22" fillId="0" borderId="56" xfId="0" quotePrefix="1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</cellXfs>
  <cellStyles count="3">
    <cellStyle name="Comma" xfId="1" builtinId="3"/>
    <cellStyle name="Comma 3" xfId="2" xr:uid="{FFE042AC-9294-4D30-8AD2-DB32A6E0A7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oto\TEKNIK%20SIPIL\!%20AHSP%202023\AHSP%20CIPTA%20KARYA%202023.xlsx" TargetMode="External"/><Relationship Id="rId1" Type="http://schemas.openxmlformats.org/officeDocument/2006/relationships/externalLinkPath" Target="file:///D:\Noto\TEKNIK%20SIPIL\!%20AHSP%202023\AHSP%20CIPTA%20KARYA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@BUILDING\@2024\09.IBU%20LELY\03.RAB\02.RAB%20(12-MEI-2024)\RAB%20IBU%20LELY.xlsx" TargetMode="External"/><Relationship Id="rId1" Type="http://schemas.openxmlformats.org/officeDocument/2006/relationships/externalLinkPath" Target="file:///D:\@BUILDING\@2024\09.IBU%20LELY\03.RAB\02.RAB%20(12-MEI-2024)\RAB%20IBU%20LE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ftar HSP"/>
      <sheetName val="UPAH BAHAN"/>
      <sheetName val="Pek. Persiapan"/>
      <sheetName val="Pek. Galian Tanah"/>
      <sheetName val="Pek. Timbunan dan Pemadatan"/>
      <sheetName val="Pek. Pembongkaran"/>
      <sheetName val="Pek. Pondasi"/>
      <sheetName val="Pek. Beton"/>
      <sheetName val="Pek. Rangka Atap"/>
      <sheetName val="Pek. Pasangan Dinding"/>
      <sheetName val="Pek. Penutup Atap"/>
      <sheetName val="Pek. Plesteran dan Acian"/>
      <sheetName val="Pek. Plafon"/>
      <sheetName val="Pek. Penutup Lantai dan Dinding"/>
      <sheetName val="Pek. Pintu dan Jendela"/>
      <sheetName val="Pek. Kaca"/>
      <sheetName val="Pek. Besi dan Aluminium"/>
      <sheetName val="Pek. Kayu"/>
      <sheetName val="Pek. Pengecatan dan Pelituran"/>
      <sheetName val="Pek. Signage"/>
      <sheetName val="Pek. Sanitair"/>
      <sheetName val="Pek. Sistem Air Minum"/>
      <sheetName val="Pek. Sistem Air Limbah"/>
      <sheetName val="Pek. Bak Kontrol"/>
      <sheetName val="Pek. Perpipaan Gedung"/>
      <sheetName val="Pek. Jaringan Listrik"/>
    </sheetNames>
    <sheetDataSet>
      <sheetData sheetId="0">
        <row r="29">
          <cell r="B29" t="str">
            <v>PEKERJAAN GALIAN TANAH</v>
          </cell>
        </row>
        <row r="44">
          <cell r="A44" t="str">
            <v>C</v>
          </cell>
          <cell r="B44" t="str">
            <v>PEKERJAAN TIMBUNAN DAN PEMADATAN</v>
          </cell>
        </row>
        <row r="51">
          <cell r="B51" t="str">
            <v>PEKERJAAN PEMBONGKARAN</v>
          </cell>
        </row>
        <row r="60">
          <cell r="A60" t="str">
            <v>E</v>
          </cell>
          <cell r="B60" t="str">
            <v>PEKERJAAN PONDASI</v>
          </cell>
        </row>
        <row r="94">
          <cell r="A94" t="str">
            <v>F</v>
          </cell>
          <cell r="B94" t="str">
            <v>PEKERJAAN BETON</v>
          </cell>
        </row>
        <row r="120">
          <cell r="D120">
            <v>1239751.7407407407</v>
          </cell>
        </row>
        <row r="151">
          <cell r="A151" t="str">
            <v>G</v>
          </cell>
          <cell r="B151" t="str">
            <v>PEKERJAAN RANGKA ATAP</v>
          </cell>
        </row>
        <row r="160">
          <cell r="A160" t="str">
            <v>H</v>
          </cell>
          <cell r="B160" t="str">
            <v>PEKERJAAN PASANGAN DINDING</v>
          </cell>
        </row>
        <row r="186">
          <cell r="A186" t="str">
            <v>I</v>
          </cell>
          <cell r="B186" t="str">
            <v>PEKERJAAN PENUTUP ATAP</v>
          </cell>
        </row>
        <row r="242">
          <cell r="A242" t="str">
            <v>J</v>
          </cell>
          <cell r="B242" t="str">
            <v>PEKERJAAN PLESTERAN DAN ACIAN</v>
          </cell>
        </row>
        <row r="258">
          <cell r="A258" t="str">
            <v>K</v>
          </cell>
          <cell r="B258" t="str">
            <v>PEKERJAAN PLAFON</v>
          </cell>
        </row>
        <row r="272">
          <cell r="A272" t="str">
            <v>L</v>
          </cell>
          <cell r="B272" t="str">
            <v>PEKERJAAN PENUTUP LANTAI DAN DINDING</v>
          </cell>
        </row>
        <row r="363">
          <cell r="A363" t="str">
            <v>M</v>
          </cell>
          <cell r="B363" t="str">
            <v>PEKERJAAN PINTU DAN JENDELA</v>
          </cell>
        </row>
        <row r="410">
          <cell r="A410" t="str">
            <v>N</v>
          </cell>
          <cell r="B410" t="str">
            <v>PEKERJAAN KACA</v>
          </cell>
        </row>
        <row r="425">
          <cell r="A425" t="str">
            <v>O</v>
          </cell>
          <cell r="B425" t="str">
            <v>PEKERJAAN BESI DAN ALUMINIUM</v>
          </cell>
        </row>
        <row r="432">
          <cell r="A432" t="str">
            <v>P</v>
          </cell>
          <cell r="B432" t="str">
            <v>PEKERJAAN KAYU</v>
          </cell>
        </row>
        <row r="435">
          <cell r="A435" t="str">
            <v>Q</v>
          </cell>
          <cell r="B435" t="str">
            <v>PEKERJAAN PENGECATAN DAN PELITURAN</v>
          </cell>
        </row>
        <row r="460">
          <cell r="A460" t="str">
            <v>R</v>
          </cell>
          <cell r="B460" t="str">
            <v>PEKERJAAN SIGNAGE</v>
          </cell>
        </row>
        <row r="464">
          <cell r="A464" t="str">
            <v>S</v>
          </cell>
          <cell r="B464" t="str">
            <v>PEKERJAAN SANITAIR</v>
          </cell>
        </row>
        <row r="488">
          <cell r="A488" t="str">
            <v>T</v>
          </cell>
          <cell r="B488" t="str">
            <v>PEKERJAAN SISTEM AIR MINUM</v>
          </cell>
        </row>
        <row r="521">
          <cell r="A521" t="str">
            <v>U</v>
          </cell>
          <cell r="B521" t="str">
            <v>PEKERJAAN SISTEM AIR LIMBAH</v>
          </cell>
        </row>
        <row r="531">
          <cell r="A531" t="str">
            <v>V</v>
          </cell>
          <cell r="B531" t="str">
            <v>PEKERJAAN BAK KONTROL</v>
          </cell>
        </row>
        <row r="535">
          <cell r="A535" t="str">
            <v>W</v>
          </cell>
          <cell r="B535" t="str">
            <v>PEKERJAAN PERPIPAAN GEDUNG</v>
          </cell>
        </row>
        <row r="565">
          <cell r="A565" t="str">
            <v>X</v>
          </cell>
          <cell r="B565" t="str">
            <v>PEKERJAAN JARINGAN LISTRIK</v>
          </cell>
        </row>
      </sheetData>
      <sheetData sheetId="1">
        <row r="6">
          <cell r="C6" t="str">
            <v>Pekerja</v>
          </cell>
        </row>
        <row r="7">
          <cell r="C7" t="str">
            <v>Tukang batu</v>
          </cell>
        </row>
        <row r="8">
          <cell r="C8" t="str">
            <v>Tukang kayu</v>
          </cell>
        </row>
        <row r="9">
          <cell r="C9" t="str">
            <v>Tukang besi</v>
          </cell>
        </row>
        <row r="10">
          <cell r="C10" t="str">
            <v>Tukang pipa</v>
          </cell>
        </row>
        <row r="11">
          <cell r="C11" t="str">
            <v>Tukang las</v>
          </cell>
        </row>
        <row r="12">
          <cell r="C12" t="str">
            <v>Tukang cat</v>
          </cell>
        </row>
        <row r="13">
          <cell r="C13" t="str">
            <v>Tukang erection</v>
          </cell>
        </row>
        <row r="14">
          <cell r="C14" t="str">
            <v>Tukang alumunium</v>
          </cell>
        </row>
        <row r="15">
          <cell r="C15" t="str">
            <v>Tukang gali</v>
          </cell>
        </row>
        <row r="16">
          <cell r="C16" t="str">
            <v>Tukang aspal</v>
          </cell>
        </row>
        <row r="17">
          <cell r="C17" t="str">
            <v>Tukang listrik</v>
          </cell>
        </row>
        <row r="18">
          <cell r="C18" t="str">
            <v>Kepala tukang</v>
          </cell>
        </row>
        <row r="19">
          <cell r="C19" t="str">
            <v>Mandor</v>
          </cell>
        </row>
        <row r="40">
          <cell r="C40" t="str">
            <v>Agregat kasar</v>
          </cell>
          <cell r="D40" t="str">
            <v>m3</v>
          </cell>
          <cell r="E40">
            <v>385000</v>
          </cell>
        </row>
        <row r="41">
          <cell r="C41" t="str">
            <v>Bata merah</v>
          </cell>
          <cell r="D41" t="str">
            <v>buah</v>
          </cell>
          <cell r="E41">
            <v>700</v>
          </cell>
        </row>
        <row r="42">
          <cell r="C42" t="str">
            <v>Bata merah 5 x  11 x  22 cm (per m3)</v>
          </cell>
          <cell r="D42" t="str">
            <v>m3</v>
          </cell>
          <cell r="E42">
            <v>590000</v>
          </cell>
        </row>
        <row r="43">
          <cell r="C43" t="str">
            <v>Bata ringan</v>
          </cell>
          <cell r="D43" t="str">
            <v>m3</v>
          </cell>
          <cell r="E43">
            <v>703500</v>
          </cell>
        </row>
        <row r="44">
          <cell r="C44" t="str">
            <v>Bata ringan t=10 cm</v>
          </cell>
          <cell r="D44" t="str">
            <v>m3</v>
          </cell>
          <cell r="E44">
            <v>685800</v>
          </cell>
        </row>
        <row r="45">
          <cell r="C45" t="str">
            <v>Bata ringan tebal 10 cm</v>
          </cell>
          <cell r="D45" t="str">
            <v>buah</v>
          </cell>
          <cell r="E45">
            <v>11000</v>
          </cell>
        </row>
        <row r="46">
          <cell r="C46" t="str">
            <v>Bata ringan tebal 20 cm</v>
          </cell>
          <cell r="D46" t="str">
            <v>buah</v>
          </cell>
          <cell r="E46">
            <v>20000</v>
          </cell>
        </row>
        <row r="47">
          <cell r="C47" t="str">
            <v>Bata ringan tebal 7,5 cm</v>
          </cell>
          <cell r="D47" t="str">
            <v>buah</v>
          </cell>
          <cell r="E47">
            <v>8500</v>
          </cell>
        </row>
        <row r="48">
          <cell r="C48" t="str">
            <v>Bata rooster</v>
          </cell>
          <cell r="D48" t="str">
            <v>buah</v>
          </cell>
          <cell r="E48">
            <v>15000</v>
          </cell>
        </row>
        <row r="49">
          <cell r="C49" t="str">
            <v>Batu alam andesit  bakar</v>
          </cell>
          <cell r="D49" t="str">
            <v>m²</v>
          </cell>
          <cell r="E49">
            <v>179300</v>
          </cell>
        </row>
        <row r="50">
          <cell r="C50" t="str">
            <v>Batu alam andesit  non bakar</v>
          </cell>
          <cell r="D50" t="str">
            <v>m²</v>
          </cell>
          <cell r="E50">
            <v>177500</v>
          </cell>
        </row>
        <row r="51">
          <cell r="C51" t="str">
            <v>Batu belah (base camp - lokasi pekerjaan)</v>
          </cell>
          <cell r="D51" t="str">
            <v>m3</v>
          </cell>
          <cell r="E51">
            <v>339861.3</v>
          </cell>
        </row>
        <row r="52">
          <cell r="C52" t="str">
            <v>Batu belah (quarry - base camp)</v>
          </cell>
          <cell r="D52" t="str">
            <v>m3</v>
          </cell>
          <cell r="E52">
            <v>235000</v>
          </cell>
        </row>
        <row r="53">
          <cell r="C53" t="str">
            <v>Batu belah (quarry - lokasi pekerjaan)</v>
          </cell>
          <cell r="D53" t="str">
            <v>m3</v>
          </cell>
          <cell r="E53">
            <v>286500</v>
          </cell>
        </row>
        <row r="54">
          <cell r="C54" t="str">
            <v>Batu belah (quarry)</v>
          </cell>
          <cell r="D54" t="str">
            <v>m3</v>
          </cell>
          <cell r="E54">
            <v>127500</v>
          </cell>
        </row>
        <row r="55">
          <cell r="C55" t="str">
            <v>Batu candi</v>
          </cell>
          <cell r="D55" t="str">
            <v>m²</v>
          </cell>
          <cell r="E55">
            <v>152000</v>
          </cell>
        </row>
        <row r="56">
          <cell r="C56" t="str">
            <v>Batu kali (quarry - base camp)</v>
          </cell>
          <cell r="D56" t="str">
            <v>m3</v>
          </cell>
          <cell r="E56">
            <v>187400</v>
          </cell>
        </row>
        <row r="57">
          <cell r="C57" t="str">
            <v>Batu kali (quarry)</v>
          </cell>
          <cell r="D57" t="str">
            <v>m3</v>
          </cell>
          <cell r="E57">
            <v>142500</v>
          </cell>
        </row>
        <row r="58">
          <cell r="C58" t="str">
            <v>Batu Muka ukuran 12x18 cm</v>
          </cell>
          <cell r="D58" t="str">
            <v>m2</v>
          </cell>
          <cell r="E58">
            <v>97500</v>
          </cell>
        </row>
        <row r="59">
          <cell r="C59" t="str">
            <v>Batu paras</v>
          </cell>
          <cell r="D59" t="str">
            <v>m3</v>
          </cell>
          <cell r="E59">
            <v>138700</v>
          </cell>
        </row>
        <row r="60">
          <cell r="C60" t="str">
            <v>Batu pecah</v>
          </cell>
          <cell r="D60" t="str">
            <v>kg</v>
          </cell>
          <cell r="E60">
            <v>210</v>
          </cell>
        </row>
        <row r="61">
          <cell r="C61" t="str">
            <v>Batu pecah 3/5</v>
          </cell>
          <cell r="D61" t="str">
            <v>m3</v>
          </cell>
          <cell r="E61">
            <v>363800</v>
          </cell>
        </row>
        <row r="62">
          <cell r="C62" t="str">
            <v>Batu pecah 5/7</v>
          </cell>
          <cell r="D62" t="str">
            <v>m3</v>
          </cell>
          <cell r="E62">
            <v>351800</v>
          </cell>
        </row>
        <row r="63">
          <cell r="C63" t="str">
            <v>Batu putih</v>
          </cell>
          <cell r="D63" t="str">
            <v>m²</v>
          </cell>
          <cell r="E63">
            <v>123000</v>
          </cell>
        </row>
        <row r="64">
          <cell r="C64" t="str">
            <v>Batu putih breksi</v>
          </cell>
          <cell r="D64" t="str">
            <v>m²</v>
          </cell>
          <cell r="E64">
            <v>117700</v>
          </cell>
        </row>
        <row r="65">
          <cell r="C65" t="str">
            <v>Batu sikat</v>
          </cell>
          <cell r="D65" t="str">
            <v>kg</v>
          </cell>
          <cell r="E65">
            <v>6000</v>
          </cell>
        </row>
        <row r="66">
          <cell r="C66" t="str">
            <v>Batu split 1/2</v>
          </cell>
          <cell r="D66" t="str">
            <v>m3</v>
          </cell>
          <cell r="E66">
            <v>370200</v>
          </cell>
        </row>
        <row r="67">
          <cell r="C67" t="str">
            <v>Batu split 2/3</v>
          </cell>
          <cell r="D67" t="str">
            <v>m3</v>
          </cell>
          <cell r="E67">
            <v>352300</v>
          </cell>
        </row>
        <row r="68">
          <cell r="C68" t="str">
            <v>Batu tempel hitam</v>
          </cell>
          <cell r="D68" t="str">
            <v>m3</v>
          </cell>
          <cell r="E68">
            <v>121600</v>
          </cell>
        </row>
        <row r="69">
          <cell r="C69" t="str">
            <v>Fly ash</v>
          </cell>
          <cell r="D69" t="str">
            <v>kg</v>
          </cell>
          <cell r="E69">
            <v>600</v>
          </cell>
        </row>
        <row r="70">
          <cell r="C70" t="str">
            <v>HB-10</v>
          </cell>
          <cell r="D70" t="str">
            <v>buah</v>
          </cell>
          <cell r="E70">
            <v>12000</v>
          </cell>
        </row>
        <row r="71">
          <cell r="C71" t="str">
            <v>HB-15</v>
          </cell>
          <cell r="D71" t="str">
            <v>buah</v>
          </cell>
          <cell r="E71">
            <v>12000</v>
          </cell>
        </row>
        <row r="72">
          <cell r="C72" t="str">
            <v>HB-20</v>
          </cell>
          <cell r="D72" t="str">
            <v>buah</v>
          </cell>
          <cell r="E72">
            <v>13000</v>
          </cell>
        </row>
        <row r="73">
          <cell r="C73" t="str">
            <v>Koral bulat</v>
          </cell>
          <cell r="D73" t="str">
            <v>m3</v>
          </cell>
          <cell r="E73">
            <v>225000</v>
          </cell>
        </row>
        <row r="74">
          <cell r="C74" t="str">
            <v>Pasir beton</v>
          </cell>
          <cell r="D74" t="str">
            <v>kg</v>
          </cell>
          <cell r="E74">
            <v>300</v>
          </cell>
        </row>
        <row r="75">
          <cell r="C75" t="str">
            <v>Pasir beton (Base camp - lokasi pekerjaan)</v>
          </cell>
          <cell r="D75" t="str">
            <v>m3</v>
          </cell>
          <cell r="E75">
            <v>422600</v>
          </cell>
        </row>
        <row r="76">
          <cell r="C76" t="str">
            <v>Pasir beton (quarry - Base camp)</v>
          </cell>
          <cell r="D76" t="str">
            <v>m3</v>
          </cell>
          <cell r="E76">
            <v>325200</v>
          </cell>
        </row>
        <row r="77">
          <cell r="C77" t="str">
            <v>Pasir beton (quarry - lokasi pekerjaan)</v>
          </cell>
          <cell r="D77" t="str">
            <v>m3</v>
          </cell>
          <cell r="E77">
            <v>370200</v>
          </cell>
        </row>
        <row r="78">
          <cell r="C78" t="str">
            <v>Pasir beton (quarry)</v>
          </cell>
          <cell r="D78" t="str">
            <v>m3</v>
          </cell>
          <cell r="E78">
            <v>170000</v>
          </cell>
        </row>
        <row r="79">
          <cell r="C79" t="str">
            <v>Pasir pasang (quarry - base camp)</v>
          </cell>
          <cell r="D79" t="str">
            <v>m3</v>
          </cell>
          <cell r="E79">
            <v>200000</v>
          </cell>
        </row>
        <row r="80">
          <cell r="C80" t="str">
            <v>Pasir pasang (quarry - lokasi pekerjaan)</v>
          </cell>
          <cell r="D80" t="str">
            <v>m3</v>
          </cell>
          <cell r="E80">
            <v>275000</v>
          </cell>
        </row>
        <row r="81">
          <cell r="C81" t="str">
            <v>Pasir pasang (quarry)</v>
          </cell>
          <cell r="D81" t="str">
            <v>m3</v>
          </cell>
          <cell r="E81">
            <v>150000</v>
          </cell>
        </row>
        <row r="82">
          <cell r="C82" t="str">
            <v>Pasir urug (quarry - base camp)</v>
          </cell>
          <cell r="D82" t="str">
            <v>m3</v>
          </cell>
          <cell r="E82">
            <v>165500</v>
          </cell>
        </row>
        <row r="83">
          <cell r="C83" t="str">
            <v>Pasir urug (quarry - lokasi pekerjaan)</v>
          </cell>
          <cell r="D83" t="str">
            <v>m3</v>
          </cell>
          <cell r="E83">
            <v>254700</v>
          </cell>
        </row>
        <row r="84">
          <cell r="C84" t="str">
            <v>Pasir Urug (quarry)</v>
          </cell>
          <cell r="D84" t="str">
            <v>m3</v>
          </cell>
          <cell r="E84">
            <v>120000</v>
          </cell>
        </row>
        <row r="85">
          <cell r="C85" t="str">
            <v>Serbuk batu granit</v>
          </cell>
          <cell r="D85" t="str">
            <v>kg</v>
          </cell>
          <cell r="E85">
            <v>12000</v>
          </cell>
        </row>
        <row r="86">
          <cell r="C86" t="str">
            <v>Serbuk batu traso</v>
          </cell>
          <cell r="D86" t="str">
            <v>kg</v>
          </cell>
          <cell r="E86">
            <v>13000</v>
          </cell>
        </row>
        <row r="87">
          <cell r="C87" t="str">
            <v>Sirtu (base camp - lokasi pekerjaan)</v>
          </cell>
          <cell r="D87" t="str">
            <v>m3</v>
          </cell>
          <cell r="E87">
            <v>288700</v>
          </cell>
        </row>
        <row r="88">
          <cell r="C88" t="str">
            <v>Sirtu (quarry - base camp)</v>
          </cell>
          <cell r="D88" t="str">
            <v>m3</v>
          </cell>
          <cell r="E88">
            <v>184400</v>
          </cell>
        </row>
        <row r="89">
          <cell r="C89" t="str">
            <v>Sirtu (quarry - lokasi pekerjaan)</v>
          </cell>
          <cell r="D89" t="str">
            <v>m3</v>
          </cell>
          <cell r="E89">
            <v>261800</v>
          </cell>
        </row>
        <row r="90">
          <cell r="C90" t="str">
            <v>Sirtu (quarry)</v>
          </cell>
          <cell r="D90" t="str">
            <v>m3</v>
          </cell>
          <cell r="E90">
            <v>120000</v>
          </cell>
        </row>
        <row r="91">
          <cell r="C91" t="str">
            <v>Tanah biasa (quarry - lokasi pekerjaan)</v>
          </cell>
          <cell r="D91" t="str">
            <v>m3</v>
          </cell>
          <cell r="E91">
            <v>146900</v>
          </cell>
        </row>
        <row r="92">
          <cell r="C92" t="str">
            <v>Tanah biasa (quarry)</v>
          </cell>
          <cell r="D92" t="str">
            <v>m3</v>
          </cell>
          <cell r="E92">
            <v>44000</v>
          </cell>
        </row>
        <row r="93">
          <cell r="C93" t="str">
            <v>Tanah liat  (quarry)</v>
          </cell>
          <cell r="D93" t="str">
            <v>m3</v>
          </cell>
          <cell r="E93">
            <v>64500</v>
          </cell>
        </row>
        <row r="94">
          <cell r="C94" t="str">
            <v>Tanah liat (quarry-lokasi pekerjaan)</v>
          </cell>
          <cell r="D94" t="str">
            <v>m3</v>
          </cell>
          <cell r="E94">
            <v>160000</v>
          </cell>
        </row>
        <row r="95">
          <cell r="C95" t="str">
            <v>Tanah padas  (quarry - lokasi pekerjaan)</v>
          </cell>
          <cell r="D95" t="str">
            <v>m3</v>
          </cell>
          <cell r="E95">
            <v>163600</v>
          </cell>
        </row>
        <row r="96">
          <cell r="C96" t="str">
            <v>Tanah padas  (quarry)</v>
          </cell>
          <cell r="D96" t="str">
            <v>m3</v>
          </cell>
          <cell r="E96">
            <v>47500</v>
          </cell>
        </row>
        <row r="97">
          <cell r="C97" t="str">
            <v>Tanah Pilihan (quarry - lokasi pekerjaan)</v>
          </cell>
          <cell r="D97" t="str">
            <v>m3</v>
          </cell>
          <cell r="E97">
            <v>146900</v>
          </cell>
        </row>
        <row r="98">
          <cell r="C98" t="str">
            <v>Tanah Pilihan (quarry)</v>
          </cell>
          <cell r="D98" t="str">
            <v>m3</v>
          </cell>
          <cell r="E98">
            <v>48000</v>
          </cell>
        </row>
        <row r="99">
          <cell r="C99" t="str">
            <v>MATERIAL KAYU DAN BAMBU</v>
          </cell>
        </row>
        <row r="100">
          <cell r="C100" t="str">
            <v>Bambu cerucuk Ø 10 cm panjang 600 cm</v>
          </cell>
          <cell r="D100" t="str">
            <v>batang</v>
          </cell>
          <cell r="E100">
            <v>17800</v>
          </cell>
        </row>
        <row r="101">
          <cell r="C101" t="str">
            <v>Bambu cerucuk Ø 15 cm panjang 600 cm</v>
          </cell>
          <cell r="D101" t="str">
            <v>batang</v>
          </cell>
          <cell r="E101">
            <v>22600</v>
          </cell>
        </row>
        <row r="102">
          <cell r="C102" t="str">
            <v>Bambu Ø 10 cm panjang 600 cm</v>
          </cell>
          <cell r="D102" t="str">
            <v>batang</v>
          </cell>
          <cell r="E102">
            <v>14800</v>
          </cell>
        </row>
        <row r="103">
          <cell r="C103" t="str">
            <v>Bambu Ø 6 - 8 cm, pjg 6m</v>
          </cell>
          <cell r="D103" t="str">
            <v>batang</v>
          </cell>
          <cell r="E103">
            <v>12900</v>
          </cell>
        </row>
        <row r="104">
          <cell r="C104" t="str">
            <v>Bilik bambu</v>
          </cell>
          <cell r="D104" t="str">
            <v>m2</v>
          </cell>
          <cell r="E104">
            <v>21000</v>
          </cell>
        </row>
        <row r="105">
          <cell r="C105" t="str">
            <v>Blockboard tebal 18 mm</v>
          </cell>
          <cell r="D105" t="str">
            <v>m2</v>
          </cell>
          <cell r="E105">
            <v>410600</v>
          </cell>
        </row>
        <row r="106">
          <cell r="C106" t="str">
            <v>Dolken kayu φ 8-10 panjang 400 cm</v>
          </cell>
          <cell r="D106" t="str">
            <v>m'</v>
          </cell>
          <cell r="E106">
            <v>5000</v>
          </cell>
        </row>
        <row r="107">
          <cell r="C107" t="str">
            <v>Dolken kayu φ 8-10 panjang 400 cm</v>
          </cell>
          <cell r="D107" t="str">
            <v>batang</v>
          </cell>
          <cell r="E107">
            <v>20000</v>
          </cell>
        </row>
        <row r="108">
          <cell r="C108" t="str">
            <v>Kayu balok 6/12 kelas I</v>
          </cell>
          <cell r="D108" t="str">
            <v>m3</v>
          </cell>
          <cell r="E108">
            <v>25000000</v>
          </cell>
        </row>
        <row r="109">
          <cell r="C109" t="str">
            <v>Kayu balok 6/12 kelas II</v>
          </cell>
          <cell r="D109" t="str">
            <v>m3</v>
          </cell>
          <cell r="E109">
            <v>11950000</v>
          </cell>
        </row>
        <row r="110">
          <cell r="C110" t="str">
            <v>Kayu balok 6/15 kelas I</v>
          </cell>
          <cell r="D110" t="str">
            <v>m3</v>
          </cell>
          <cell r="E110">
            <v>25000000</v>
          </cell>
        </row>
        <row r="111">
          <cell r="C111" t="str">
            <v>Kayu balok 6/15 kelas II</v>
          </cell>
          <cell r="D111" t="str">
            <v>m3</v>
          </cell>
          <cell r="E111">
            <v>11950000</v>
          </cell>
        </row>
        <row r="112">
          <cell r="C112" t="str">
            <v>Kayu balok 6/15 kelas II</v>
          </cell>
          <cell r="D112" t="str">
            <v>batang</v>
          </cell>
          <cell r="E112">
            <v>414000</v>
          </cell>
        </row>
        <row r="113">
          <cell r="C113" t="str">
            <v>Kayu kaso 5/7 kelas II</v>
          </cell>
          <cell r="D113" t="str">
            <v>m3</v>
          </cell>
          <cell r="E113">
            <v>10214200</v>
          </cell>
        </row>
        <row r="114">
          <cell r="C114" t="str">
            <v>Kayu kaso 5/7 kelas III</v>
          </cell>
          <cell r="D114" t="str">
            <v>m3</v>
          </cell>
          <cell r="E114">
            <v>3500000</v>
          </cell>
        </row>
        <row r="115">
          <cell r="C115" t="str">
            <v>Kayu Meranti (papan)</v>
          </cell>
          <cell r="D115" t="str">
            <v>m³</v>
          </cell>
          <cell r="E115">
            <v>6966600</v>
          </cell>
        </row>
        <row r="116">
          <cell r="C116" t="str">
            <v>Kayu papan 2/20 cm</v>
          </cell>
          <cell r="D116" t="str">
            <v>m3</v>
          </cell>
          <cell r="E116">
            <v>2500000</v>
          </cell>
        </row>
        <row r="117">
          <cell r="C117" t="str">
            <v>Kayu papan 3/20 cm</v>
          </cell>
          <cell r="D117" t="str">
            <v>m3</v>
          </cell>
          <cell r="E117">
            <v>2825000</v>
          </cell>
        </row>
        <row r="118">
          <cell r="C118" t="str">
            <v>Kayu papan kelas I</v>
          </cell>
          <cell r="D118" t="str">
            <v>m3</v>
          </cell>
          <cell r="E118">
            <v>26000000</v>
          </cell>
        </row>
        <row r="119">
          <cell r="C119" t="str">
            <v>Kayu papan kelas II</v>
          </cell>
          <cell r="D119" t="str">
            <v>m3</v>
          </cell>
          <cell r="E119">
            <v>14000000</v>
          </cell>
        </row>
        <row r="120">
          <cell r="C120" t="str">
            <v>Kayu papan kelas III</v>
          </cell>
          <cell r="D120" t="str">
            <v>m3</v>
          </cell>
          <cell r="E120">
            <v>8000000</v>
          </cell>
        </row>
        <row r="121">
          <cell r="C121" t="str">
            <v>Kayu papan kelas III</v>
          </cell>
          <cell r="D121" t="str">
            <v>m2</v>
          </cell>
          <cell r="E121">
            <v>160000</v>
          </cell>
        </row>
        <row r="122">
          <cell r="C122" t="str">
            <v>Kayu sengon (balok)</v>
          </cell>
          <cell r="D122" t="str">
            <v>m3</v>
          </cell>
          <cell r="E122">
            <v>4000000</v>
          </cell>
        </row>
        <row r="123">
          <cell r="C123" t="str">
            <v>Kayu Sengon (papan)</v>
          </cell>
          <cell r="D123" t="str">
            <v>m³</v>
          </cell>
          <cell r="E123">
            <v>3573600</v>
          </cell>
        </row>
        <row r="124">
          <cell r="C124" t="str">
            <v>List kayu 2x4 cm</v>
          </cell>
          <cell r="D124" t="str">
            <v>m3</v>
          </cell>
          <cell r="E124">
            <v>6000000</v>
          </cell>
        </row>
        <row r="125">
          <cell r="C125" t="str">
            <v>List kayu profil</v>
          </cell>
          <cell r="D125" t="str">
            <v>m'</v>
          </cell>
          <cell r="E125">
            <v>5000</v>
          </cell>
        </row>
        <row r="126">
          <cell r="C126" t="str">
            <v>Multiplek tebal 0,9 cm</v>
          </cell>
          <cell r="D126" t="str">
            <v>lembar</v>
          </cell>
          <cell r="E126">
            <v>116700</v>
          </cell>
        </row>
        <row r="127">
          <cell r="C127" t="str">
            <v>Multiplek tebal 12 mm</v>
          </cell>
          <cell r="D127" t="str">
            <v>lembar</v>
          </cell>
          <cell r="E127">
            <v>152600</v>
          </cell>
        </row>
        <row r="128">
          <cell r="C128" t="str">
            <v>Multiplek tebal 18 mm</v>
          </cell>
          <cell r="D128" t="str">
            <v>lembar</v>
          </cell>
          <cell r="E128">
            <v>226600</v>
          </cell>
        </row>
        <row r="129">
          <cell r="C129" t="str">
            <v>Perancah kayu</v>
          </cell>
          <cell r="D129" t="str">
            <v>m3</v>
          </cell>
          <cell r="E129">
            <v>2500000</v>
          </cell>
        </row>
        <row r="130">
          <cell r="C130" t="str">
            <v>Phenol film 12mm</v>
          </cell>
          <cell r="D130" t="str">
            <v>lembar</v>
          </cell>
          <cell r="E130">
            <v>230000</v>
          </cell>
        </row>
        <row r="131">
          <cell r="C131" t="str">
            <v>Pintu panel kayu lapis timbal uk. 1x2 m</v>
          </cell>
          <cell r="D131" t="str">
            <v>unit</v>
          </cell>
          <cell r="E131">
            <v>10000000</v>
          </cell>
        </row>
        <row r="132">
          <cell r="C132" t="str">
            <v>Plywood 12 mm</v>
          </cell>
          <cell r="D132" t="str">
            <v>lembar</v>
          </cell>
          <cell r="E132">
            <v>167300</v>
          </cell>
        </row>
        <row r="133">
          <cell r="C133" t="str">
            <v>Plywood 4 mm</v>
          </cell>
          <cell r="D133" t="str">
            <v>m3</v>
          </cell>
          <cell r="E133">
            <v>6298700</v>
          </cell>
        </row>
        <row r="134">
          <cell r="C134" t="str">
            <v>Plywood 4 mm</v>
          </cell>
          <cell r="D134" t="str">
            <v>lembar</v>
          </cell>
          <cell r="E134">
            <v>75000</v>
          </cell>
        </row>
        <row r="135">
          <cell r="C135" t="str">
            <v>Plywood 6 mm</v>
          </cell>
          <cell r="D135" t="str">
            <v>lembar</v>
          </cell>
          <cell r="E135">
            <v>84200</v>
          </cell>
        </row>
        <row r="136">
          <cell r="C136" t="str">
            <v>Plywood 9 mm (120x240)</v>
          </cell>
          <cell r="D136" t="str">
            <v>lembar</v>
          </cell>
          <cell r="E136">
            <v>127000</v>
          </cell>
        </row>
        <row r="137">
          <cell r="C137" t="str">
            <v>Reng 2x3 cm</v>
          </cell>
          <cell r="D137" t="str">
            <v>m3</v>
          </cell>
          <cell r="E137">
            <v>8750000</v>
          </cell>
        </row>
        <row r="138">
          <cell r="C138" t="str">
            <v>Reng 3x4 cm</v>
          </cell>
          <cell r="D138" t="str">
            <v>m3</v>
          </cell>
          <cell r="E138">
            <v>9302000</v>
          </cell>
        </row>
        <row r="139">
          <cell r="C139" t="str">
            <v>Teakwood 4 mm (120x240)</v>
          </cell>
          <cell r="D139" t="str">
            <v>lembar</v>
          </cell>
          <cell r="E139">
            <v>76300</v>
          </cell>
        </row>
        <row r="140">
          <cell r="C140" t="str">
            <v>Teakwood 4 mm (90x210)</v>
          </cell>
          <cell r="D140" t="str">
            <v>lembar</v>
          </cell>
          <cell r="E140">
            <v>65600</v>
          </cell>
        </row>
        <row r="141">
          <cell r="C141" t="str">
            <v>Teakwood 9 mm (90x210)</v>
          </cell>
          <cell r="D141" t="str">
            <v>lembar</v>
          </cell>
          <cell r="E141">
            <v>114000</v>
          </cell>
        </row>
        <row r="142">
          <cell r="C142" t="str">
            <v>Tripleks  t=9mm</v>
          </cell>
          <cell r="D142" t="str">
            <v>lembar</v>
          </cell>
          <cell r="E142">
            <v>101200</v>
          </cell>
        </row>
        <row r="143">
          <cell r="C143" t="str">
            <v>Veeneer tebal 2 mm</v>
          </cell>
          <cell r="D143" t="str">
            <v>m2</v>
          </cell>
          <cell r="E143">
            <v>150000</v>
          </cell>
        </row>
        <row r="144">
          <cell r="C144" t="str">
            <v>MATERIAL PIPA PVC DAN HDPE</v>
          </cell>
        </row>
        <row r="145">
          <cell r="C145" t="str">
            <v>Assesoris  PVC</v>
          </cell>
          <cell r="D145" t="str">
            <v>m'</v>
          </cell>
          <cell r="E145">
            <v>5700</v>
          </cell>
        </row>
        <row r="146">
          <cell r="C146" t="str">
            <v>Pipa HDPE 40/33 mm</v>
          </cell>
          <cell r="D146" t="str">
            <v>m'</v>
          </cell>
          <cell r="E146">
            <v>13300</v>
          </cell>
        </row>
        <row r="147">
          <cell r="C147" t="str">
            <v>Pipa PVC  tipe D Ø 2"</v>
          </cell>
          <cell r="D147" t="str">
            <v>m'</v>
          </cell>
          <cell r="E147">
            <v>23500</v>
          </cell>
        </row>
        <row r="148">
          <cell r="C148" t="str">
            <v>Pipa PVC AW Ø 1"</v>
          </cell>
          <cell r="D148" t="str">
            <v>m'</v>
          </cell>
          <cell r="E148">
            <v>11250</v>
          </cell>
        </row>
        <row r="149">
          <cell r="C149" t="str">
            <v>Pipa PVC AW Ø 1/2"</v>
          </cell>
          <cell r="D149" t="str">
            <v>batang</v>
          </cell>
          <cell r="E149">
            <v>27500</v>
          </cell>
        </row>
        <row r="150">
          <cell r="C150" t="str">
            <v>Pipa PVC AW Ø 1/2"</v>
          </cell>
          <cell r="D150" t="str">
            <v>m'</v>
          </cell>
          <cell r="E150">
            <v>6875</v>
          </cell>
        </row>
        <row r="151">
          <cell r="C151" t="str">
            <v>Pipa PVC AW Ø 10"</v>
          </cell>
          <cell r="D151" t="str">
            <v>m'</v>
          </cell>
          <cell r="E151">
            <v>150000</v>
          </cell>
        </row>
        <row r="152">
          <cell r="C152" t="str">
            <v>Pipa PVC AW Ø 1-1/2"</v>
          </cell>
          <cell r="D152" t="str">
            <v>m'</v>
          </cell>
          <cell r="E152">
            <v>20000</v>
          </cell>
        </row>
        <row r="153">
          <cell r="C153" t="str">
            <v>Pipa PVC AW Ø 1-1/4"</v>
          </cell>
          <cell r="D153" t="str">
            <v>m'</v>
          </cell>
          <cell r="E153">
            <v>18500</v>
          </cell>
        </row>
        <row r="154">
          <cell r="C154" t="str">
            <v>Pipa PVC AW Ø 12"</v>
          </cell>
          <cell r="D154" t="str">
            <v>m'</v>
          </cell>
          <cell r="E154">
            <v>177500</v>
          </cell>
        </row>
        <row r="155">
          <cell r="C155" t="str">
            <v>Pipa PVC AW Ø 14"</v>
          </cell>
          <cell r="D155" t="str">
            <v>m'</v>
          </cell>
          <cell r="E155">
            <v>200000</v>
          </cell>
        </row>
        <row r="156">
          <cell r="C156" t="str">
            <v>Pipa PVC AW Ø 16"</v>
          </cell>
          <cell r="D156" t="str">
            <v>m'</v>
          </cell>
          <cell r="E156">
            <v>233750</v>
          </cell>
        </row>
        <row r="157">
          <cell r="C157" t="str">
            <v>Pipa PVC AW Ø 2"</v>
          </cell>
          <cell r="D157" t="str">
            <v>m'</v>
          </cell>
          <cell r="E157">
            <v>26000</v>
          </cell>
        </row>
        <row r="158">
          <cell r="C158" t="str">
            <v>Pipa PVC AW Ø 2-1/2"</v>
          </cell>
          <cell r="D158" t="str">
            <v>m'</v>
          </cell>
          <cell r="E158">
            <v>33625</v>
          </cell>
        </row>
        <row r="159">
          <cell r="C159" t="str">
            <v>Pipa PVC AW Ø 3"</v>
          </cell>
          <cell r="D159" t="str">
            <v>m'</v>
          </cell>
          <cell r="E159">
            <v>51075</v>
          </cell>
        </row>
        <row r="160">
          <cell r="C160" t="str">
            <v>Pipa PVC AW Ø 3/4"</v>
          </cell>
          <cell r="D160" t="str">
            <v>batang</v>
          </cell>
          <cell r="E160">
            <v>35000</v>
          </cell>
        </row>
        <row r="161">
          <cell r="C161" t="str">
            <v>Pipa PVC AW Ø 3/4"</v>
          </cell>
          <cell r="D161" t="str">
            <v>m'</v>
          </cell>
          <cell r="E161">
            <v>8750</v>
          </cell>
        </row>
        <row r="162">
          <cell r="C162" t="str">
            <v>Pipa PVC AW Ø 4"</v>
          </cell>
          <cell r="D162" t="str">
            <v>m'</v>
          </cell>
          <cell r="E162">
            <v>72375</v>
          </cell>
        </row>
        <row r="163">
          <cell r="C163" t="str">
            <v>Pipa PVC AW Ø 5"</v>
          </cell>
          <cell r="D163" t="str">
            <v>m'</v>
          </cell>
          <cell r="E163">
            <v>100000</v>
          </cell>
        </row>
        <row r="164">
          <cell r="C164" t="str">
            <v>Pipa PVC AW Ø 6"</v>
          </cell>
          <cell r="D164" t="str">
            <v>m'</v>
          </cell>
          <cell r="E164">
            <v>107500</v>
          </cell>
        </row>
        <row r="165">
          <cell r="C165" t="str">
            <v>Pipa PVC AW Ø 8"</v>
          </cell>
          <cell r="D165" t="str">
            <v>m'</v>
          </cell>
          <cell r="E165">
            <v>132500</v>
          </cell>
        </row>
        <row r="166">
          <cell r="C166" t="str">
            <v>Pipa PVC D Ø 10"</v>
          </cell>
          <cell r="D166" t="str">
            <v>m'</v>
          </cell>
          <cell r="E166">
            <v>232900</v>
          </cell>
        </row>
        <row r="167">
          <cell r="C167" t="str">
            <v>Pipa PVC D Ø 1-1/2"</v>
          </cell>
          <cell r="D167" t="str">
            <v>m'</v>
          </cell>
          <cell r="E167">
            <v>11175</v>
          </cell>
        </row>
        <row r="168">
          <cell r="C168" t="str">
            <v>Pipa PVC D Ø 1-1/4"</v>
          </cell>
          <cell r="D168" t="str">
            <v>m'</v>
          </cell>
          <cell r="E168">
            <v>10000</v>
          </cell>
        </row>
        <row r="169">
          <cell r="C169" t="str">
            <v>Pipa PVC D Ø 12"</v>
          </cell>
          <cell r="D169" t="str">
            <v>m'</v>
          </cell>
          <cell r="E169">
            <v>319750</v>
          </cell>
        </row>
        <row r="170">
          <cell r="C170" t="str">
            <v>Pipa PVC D Ø 14"</v>
          </cell>
          <cell r="D170" t="str">
            <v>m'</v>
          </cell>
          <cell r="E170">
            <v>325000</v>
          </cell>
        </row>
        <row r="171">
          <cell r="C171" t="str">
            <v>Pipa PVC D Ø 16"</v>
          </cell>
          <cell r="D171" t="str">
            <v>m'</v>
          </cell>
          <cell r="E171">
            <v>362500</v>
          </cell>
        </row>
        <row r="172">
          <cell r="C172" t="str">
            <v>Pipa PVC D Ø 2"</v>
          </cell>
          <cell r="D172" t="str">
            <v>m'</v>
          </cell>
          <cell r="E172">
            <v>14750</v>
          </cell>
        </row>
        <row r="173">
          <cell r="C173" t="str">
            <v>Pipa PVC D Ø 2-1/2"</v>
          </cell>
          <cell r="D173" t="str">
            <v>m'</v>
          </cell>
          <cell r="E173">
            <v>20625</v>
          </cell>
        </row>
        <row r="174">
          <cell r="C174" t="str">
            <v>Pipa PVC D Ø 3"</v>
          </cell>
          <cell r="D174" t="str">
            <v>m'</v>
          </cell>
          <cell r="E174">
            <v>28600</v>
          </cell>
        </row>
        <row r="175">
          <cell r="C175" t="str">
            <v>Pipa PVC D Ø 4"</v>
          </cell>
          <cell r="D175" t="str">
            <v>m'</v>
          </cell>
          <cell r="E175">
            <v>39575</v>
          </cell>
        </row>
        <row r="176">
          <cell r="C176" t="str">
            <v>Pipa PVC D Ø 5"</v>
          </cell>
          <cell r="D176" t="str">
            <v>m'</v>
          </cell>
          <cell r="E176">
            <v>63200</v>
          </cell>
        </row>
        <row r="177">
          <cell r="C177" t="str">
            <v>Pipa PVC D Ø 6"</v>
          </cell>
          <cell r="D177" t="str">
            <v>m'</v>
          </cell>
          <cell r="E177">
            <v>79775</v>
          </cell>
        </row>
        <row r="178">
          <cell r="C178" t="str">
            <v>Pipa PVC D Ø 8"</v>
          </cell>
          <cell r="D178" t="str">
            <v>m'</v>
          </cell>
          <cell r="E178">
            <v>139575</v>
          </cell>
        </row>
        <row r="179">
          <cell r="C179" t="str">
            <v>PVC  Ø 1 1/4"  s  10 tekanan nominal 10 bar (1,0 mpa) 4m</v>
          </cell>
          <cell r="D179" t="str">
            <v>batang</v>
          </cell>
          <cell r="E179">
            <v>79700</v>
          </cell>
        </row>
        <row r="180">
          <cell r="C180" t="str">
            <v>PVC  Ø 1 1/5"  s  10 tekanan nominal 10 bar (1,0 mpa) 6m</v>
          </cell>
          <cell r="D180" t="str">
            <v>batang</v>
          </cell>
          <cell r="E180">
            <v>145400</v>
          </cell>
        </row>
        <row r="181">
          <cell r="C181" t="str">
            <v>PVC  Ø 1"  s  10 tekanan nominal 10 bar (1,0 mpa) 4m</v>
          </cell>
          <cell r="D181" t="str">
            <v>batang</v>
          </cell>
          <cell r="E181">
            <v>51600</v>
          </cell>
        </row>
        <row r="182">
          <cell r="C182" t="str">
            <v>PVC  Ø 1/2"  s  10 tekanan nominal 10 bar (1,0 mpa) 4m</v>
          </cell>
          <cell r="D182" t="str">
            <v>batang</v>
          </cell>
          <cell r="E182">
            <v>30700</v>
          </cell>
        </row>
        <row r="183">
          <cell r="C183" t="str">
            <v>PVC  Ø 2"  s  12,5 tekanan nominal 10 bar (1,0 mpa) 6m</v>
          </cell>
          <cell r="D183" t="str">
            <v>batang</v>
          </cell>
          <cell r="E183">
            <v>214900</v>
          </cell>
        </row>
        <row r="184">
          <cell r="C184" t="str">
            <v>PVC  Ø 3"  s  12,5 tekanan nominal 10 bar (1,0 mpa) 6m</v>
          </cell>
          <cell r="D184" t="str">
            <v>batang</v>
          </cell>
          <cell r="E184">
            <v>423300</v>
          </cell>
        </row>
        <row r="185">
          <cell r="C185" t="str">
            <v>PVC  Ø 3/4"  s  10 tekanan nominal 10 bar (1,0 mpa) 4m</v>
          </cell>
          <cell r="D185" t="str">
            <v>batang</v>
          </cell>
          <cell r="E185">
            <v>33400</v>
          </cell>
        </row>
        <row r="186">
          <cell r="C186" t="str">
            <v>PVC  Ø 4"  s  12,5 tekanan nominal 10 bar (1,0 mpa) 6m</v>
          </cell>
          <cell r="D186" t="str">
            <v>batang</v>
          </cell>
          <cell r="E186">
            <v>641300</v>
          </cell>
        </row>
        <row r="187">
          <cell r="C187" t="str">
            <v>PVC  Ø 6"  s  12,5 tekanan nominal 10 bar (1,0 mpa) 6m</v>
          </cell>
          <cell r="D187" t="str">
            <v>batang</v>
          </cell>
          <cell r="E187">
            <v>1823000</v>
          </cell>
        </row>
        <row r="188">
          <cell r="C188" t="str">
            <v>PVC  Ø 8"  s  12,5 tekanan nominal 10 bar (1,0 mpa) 6m</v>
          </cell>
          <cell r="D188" t="str">
            <v>batang</v>
          </cell>
          <cell r="E188">
            <v>2043200</v>
          </cell>
        </row>
        <row r="189">
          <cell r="C189" t="str">
            <v>MATERIAL PIPA GALVANIS</v>
          </cell>
        </row>
        <row r="190">
          <cell r="C190" t="str">
            <v>Assesoris  galvanis</v>
          </cell>
          <cell r="D190" t="str">
            <v>m'</v>
          </cell>
          <cell r="E190">
            <v>5500</v>
          </cell>
        </row>
        <row r="191">
          <cell r="C191" t="str">
            <v>Pipa  galvanis medium B Ø  1  1/2" panjang  6  m</v>
          </cell>
          <cell r="D191" t="str">
            <v>batang</v>
          </cell>
          <cell r="E191">
            <v>405700</v>
          </cell>
        </row>
        <row r="192">
          <cell r="C192" t="str">
            <v>Pipa  galvanis medium B Ø  1" panjang  6  m</v>
          </cell>
          <cell r="D192" t="str">
            <v>batang</v>
          </cell>
          <cell r="E192">
            <v>263000</v>
          </cell>
        </row>
        <row r="193">
          <cell r="C193" t="str">
            <v>Pipa  galvanis medium B Ø  1/2" panjang  6  m</v>
          </cell>
          <cell r="D193" t="str">
            <v>m'</v>
          </cell>
          <cell r="E193">
            <v>24400</v>
          </cell>
        </row>
        <row r="194">
          <cell r="C194" t="str">
            <v>Pipa  galvanis medium B Ø  2  1/2" panjang  6  m</v>
          </cell>
          <cell r="D194" t="str">
            <v>batang</v>
          </cell>
          <cell r="E194">
            <v>550000</v>
          </cell>
        </row>
        <row r="195">
          <cell r="C195" t="str">
            <v>Pipa  galvanis medium B Ø  3" panjang  6  m</v>
          </cell>
          <cell r="D195" t="str">
            <v>batang</v>
          </cell>
          <cell r="E195">
            <v>1035100</v>
          </cell>
        </row>
        <row r="196">
          <cell r="C196" t="str">
            <v>Pipa  galvanis medium B Ø  3/4" panjang  6  m</v>
          </cell>
          <cell r="D196" t="str">
            <v>batang</v>
          </cell>
          <cell r="E196">
            <v>181200</v>
          </cell>
        </row>
        <row r="197">
          <cell r="C197" t="str">
            <v>Pipa  galvanis medium B Ø  4" panjang  6  m</v>
          </cell>
          <cell r="D197" t="str">
            <v>batang</v>
          </cell>
          <cell r="E197">
            <v>1475300</v>
          </cell>
        </row>
        <row r="198">
          <cell r="C198" t="str">
            <v>Pipa besi stainless  steel Ø1"  t=1.5 mm</v>
          </cell>
          <cell r="D198" t="str">
            <v>m'</v>
          </cell>
          <cell r="E198">
            <v>44800</v>
          </cell>
        </row>
        <row r="199">
          <cell r="C199" t="str">
            <v>Pipa besi stainless  steel Ø2"  t=1.5 mm</v>
          </cell>
          <cell r="D199" t="str">
            <v>m'</v>
          </cell>
          <cell r="E199">
            <v>92400</v>
          </cell>
        </row>
        <row r="200">
          <cell r="C200" t="str">
            <v>Pipa galvanis  medium A Ø 1 1/2"  panjang 6 m</v>
          </cell>
          <cell r="D200" t="str">
            <v>batang</v>
          </cell>
          <cell r="E200">
            <v>461800</v>
          </cell>
        </row>
        <row r="201">
          <cell r="C201" t="str">
            <v>Pipa galvanis  medium A Ø 1"  panjang 6 m</v>
          </cell>
          <cell r="D201" t="str">
            <v>batang</v>
          </cell>
          <cell r="E201">
            <v>266100</v>
          </cell>
        </row>
        <row r="202">
          <cell r="C202" t="str">
            <v>Pipa galvanis  medium A Ø 1/2"  panjang 6 m</v>
          </cell>
          <cell r="D202" t="str">
            <v>batang</v>
          </cell>
          <cell r="E202">
            <v>132500</v>
          </cell>
        </row>
        <row r="203">
          <cell r="C203" t="str">
            <v>Pipa galvanis  medium A Ø 2"  panjang 6 m</v>
          </cell>
          <cell r="D203" t="str">
            <v>batang</v>
          </cell>
          <cell r="E203">
            <v>528600</v>
          </cell>
        </row>
        <row r="204">
          <cell r="C204" t="str">
            <v>Pipa galvanis  medium A Ø 3"  panjang 6 m</v>
          </cell>
          <cell r="D204" t="str">
            <v>batang</v>
          </cell>
          <cell r="E204">
            <v>1021000</v>
          </cell>
        </row>
        <row r="205">
          <cell r="C205" t="str">
            <v>Pipa galvanis  medium A Ø 3/4"  panjang 6 m</v>
          </cell>
          <cell r="D205" t="str">
            <v>batang</v>
          </cell>
          <cell r="E205">
            <v>177900</v>
          </cell>
        </row>
        <row r="206">
          <cell r="C206" t="str">
            <v>Pipa galvanis  medium A Ø 4"  panjang 6 m</v>
          </cell>
          <cell r="D206" t="str">
            <v>batang</v>
          </cell>
          <cell r="E206">
            <v>1487200</v>
          </cell>
        </row>
        <row r="207">
          <cell r="C207" t="str">
            <v>Pipa galvanis  medium A Ø 5"  panjang 6 m</v>
          </cell>
          <cell r="D207" t="str">
            <v>batang</v>
          </cell>
          <cell r="E207">
            <v>1981200</v>
          </cell>
        </row>
        <row r="208">
          <cell r="C208" t="str">
            <v>Pipa galvanis  medium A Ø 6"  panjang 6 m</v>
          </cell>
          <cell r="D208" t="str">
            <v>batang</v>
          </cell>
          <cell r="E208">
            <v>1558300</v>
          </cell>
        </row>
        <row r="209">
          <cell r="C209" t="str">
            <v>Pipa galvanis  medium A Ø 8"  panjang 6 m</v>
          </cell>
          <cell r="D209" t="str">
            <v>batang</v>
          </cell>
          <cell r="E209">
            <v>2267400</v>
          </cell>
        </row>
        <row r="210">
          <cell r="C210" t="str">
            <v>Pipa galvanis  medium B  Ø 2"  panjang 6 m</v>
          </cell>
          <cell r="D210" t="str">
            <v>batang</v>
          </cell>
          <cell r="E210">
            <v>598800</v>
          </cell>
        </row>
        <row r="211">
          <cell r="C211" t="str">
            <v>Pipa galvanis  medium B  Ø 5"  panjang 6 m</v>
          </cell>
          <cell r="D211" t="str">
            <v>batang</v>
          </cell>
          <cell r="E211">
            <v>2031000</v>
          </cell>
        </row>
        <row r="212">
          <cell r="C212" t="str">
            <v>Pipa galvanis  medium B  Ø 6"  panjang 6 m</v>
          </cell>
          <cell r="D212" t="str">
            <v>batang</v>
          </cell>
          <cell r="E212">
            <v>2451200</v>
          </cell>
        </row>
        <row r="213">
          <cell r="C213" t="str">
            <v>Pipa galvanis  medium B  Ø 8"  panjang 6 m</v>
          </cell>
          <cell r="D213" t="str">
            <v>batang</v>
          </cell>
          <cell r="E213">
            <v>3466200</v>
          </cell>
        </row>
        <row r="214">
          <cell r="C214" t="str">
            <v>MATERIAL BESI DAN BAJA</v>
          </cell>
        </row>
        <row r="215">
          <cell r="C215" t="str">
            <v>Baja (ulir) U-39</v>
          </cell>
          <cell r="D215" t="str">
            <v>kg</v>
          </cell>
          <cell r="E215">
            <v>14600</v>
          </cell>
        </row>
        <row r="216">
          <cell r="C216" t="str">
            <v>Baja (ulir) U-48</v>
          </cell>
          <cell r="D216" t="str">
            <v>kg</v>
          </cell>
          <cell r="E216">
            <v>14600</v>
          </cell>
        </row>
        <row r="217">
          <cell r="C217" t="str">
            <v>Baja Tahan Karat  ( Stainless  Steel )</v>
          </cell>
          <cell r="D217" t="str">
            <v>kg</v>
          </cell>
          <cell r="E217">
            <v>80340</v>
          </cell>
        </row>
        <row r="218">
          <cell r="C218" t="str">
            <v>Besi angkur diameter 8</v>
          </cell>
          <cell r="D218" t="str">
            <v>kg</v>
          </cell>
          <cell r="E218">
            <v>35000</v>
          </cell>
        </row>
        <row r="219">
          <cell r="C219" t="str">
            <v>Besi angkur/mur/baut</v>
          </cell>
          <cell r="D219" t="str">
            <v>kg</v>
          </cell>
          <cell r="E219">
            <v>16660</v>
          </cell>
        </row>
        <row r="220">
          <cell r="C220" t="str">
            <v>Besi hollow  38.38.2</v>
          </cell>
          <cell r="D220" t="str">
            <v>kg</v>
          </cell>
          <cell r="E220">
            <v>13700</v>
          </cell>
        </row>
        <row r="221">
          <cell r="C221" t="str">
            <v>Besi hollow  50.50.3</v>
          </cell>
          <cell r="D221" t="str">
            <v>kg</v>
          </cell>
          <cell r="E221">
            <v>13800</v>
          </cell>
        </row>
        <row r="222">
          <cell r="C222" t="str">
            <v>Besi hollow galvanis 40.40</v>
          </cell>
          <cell r="D222" t="str">
            <v>m'</v>
          </cell>
          <cell r="E222">
            <v>6250</v>
          </cell>
        </row>
        <row r="223">
          <cell r="C223" t="str">
            <v>Besi lis  kaca (1 x  1) cm</v>
          </cell>
          <cell r="D223" t="str">
            <v>m'</v>
          </cell>
          <cell r="E223">
            <v>10500</v>
          </cell>
        </row>
        <row r="224">
          <cell r="C224" t="str">
            <v>Besi plat baja tebal 2 mm</v>
          </cell>
          <cell r="D224" t="str">
            <v>kg</v>
          </cell>
          <cell r="E224">
            <v>25000</v>
          </cell>
        </row>
        <row r="225">
          <cell r="C225" t="str">
            <v>Besi profil</v>
          </cell>
          <cell r="D225" t="str">
            <v>kg</v>
          </cell>
          <cell r="E225">
            <v>14840</v>
          </cell>
        </row>
        <row r="226">
          <cell r="C226" t="str">
            <v>Besi siku</v>
          </cell>
          <cell r="D226" t="str">
            <v>kg</v>
          </cell>
          <cell r="E226">
            <v>14700</v>
          </cell>
        </row>
        <row r="227">
          <cell r="C227" t="str">
            <v>Besi siku 30x30x3 mm</v>
          </cell>
          <cell r="D227" t="str">
            <v>kg</v>
          </cell>
          <cell r="E227">
            <v>13000</v>
          </cell>
        </row>
        <row r="228">
          <cell r="C228" t="str">
            <v>Besi siku 40x40x4 mm</v>
          </cell>
          <cell r="D228" t="str">
            <v>kg</v>
          </cell>
          <cell r="E228">
            <v>15666.666666666666</v>
          </cell>
        </row>
        <row r="229">
          <cell r="C229" t="str">
            <v>Besi strip (0,2x2) cm</v>
          </cell>
          <cell r="D229" t="str">
            <v>m'</v>
          </cell>
          <cell r="E229">
            <v>5000</v>
          </cell>
        </row>
        <row r="230">
          <cell r="C230" t="str">
            <v>Besi strip (0,2x2) cm</v>
          </cell>
          <cell r="D230" t="str">
            <v>kg</v>
          </cell>
          <cell r="E230">
            <v>15000</v>
          </cell>
        </row>
        <row r="231">
          <cell r="C231" t="str">
            <v>Besi strip (20x3) mm</v>
          </cell>
          <cell r="D231" t="str">
            <v>kg</v>
          </cell>
          <cell r="E231">
            <v>17250</v>
          </cell>
        </row>
        <row r="232">
          <cell r="C232" t="str">
            <v>Besi strip tebal 5 mm</v>
          </cell>
          <cell r="D232" t="str">
            <v>kg</v>
          </cell>
          <cell r="E232">
            <v>7500</v>
          </cell>
        </row>
        <row r="233">
          <cell r="C233" t="str">
            <v>BjTP</v>
          </cell>
          <cell r="D233" t="str">
            <v>kg</v>
          </cell>
          <cell r="E233">
            <v>14250</v>
          </cell>
        </row>
        <row r="234">
          <cell r="C234" t="str">
            <v>BjTS</v>
          </cell>
          <cell r="D234" t="str">
            <v>kg</v>
          </cell>
          <cell r="E234">
            <v>14500</v>
          </cell>
        </row>
        <row r="235">
          <cell r="C235" t="str">
            <v>Bronjong kawat  pabrikan Uk.2x1x0,5 ø  3mm mesh 8x10</v>
          </cell>
          <cell r="D235" t="str">
            <v>Unit</v>
          </cell>
          <cell r="E235">
            <v>460000</v>
          </cell>
        </row>
        <row r="236">
          <cell r="C236" t="str">
            <v>Bronjong kawat  pabrikan Uk.3x1,5x0,5 ø  3mm mesh 8x10</v>
          </cell>
          <cell r="D236" t="str">
            <v>Unit</v>
          </cell>
          <cell r="E236">
            <v>891000</v>
          </cell>
        </row>
        <row r="237">
          <cell r="C237" t="str">
            <v>Bronjong kawat  pabrikan Uk.3x1x0,5 ø  3mm mesh 8x10</v>
          </cell>
          <cell r="D237" t="str">
            <v>Unit</v>
          </cell>
          <cell r="E237">
            <v>656000</v>
          </cell>
        </row>
        <row r="238">
          <cell r="C238" t="str">
            <v>Bronjong kawat  pabrikan Uk.4x1x0,5 ø  3mm mesh 8x10</v>
          </cell>
          <cell r="D238" t="str">
            <v>Unit</v>
          </cell>
          <cell r="E238">
            <v>805000</v>
          </cell>
        </row>
        <row r="239">
          <cell r="C239" t="str">
            <v>Dinabolt dia. 12mm (10-15 cm)</v>
          </cell>
          <cell r="D239" t="str">
            <v>buah</v>
          </cell>
          <cell r="E239">
            <v>4550</v>
          </cell>
        </row>
        <row r="240">
          <cell r="C240" t="str">
            <v>Jaring Kawat Baja dilas</v>
          </cell>
          <cell r="D240" t="str">
            <v>kg</v>
          </cell>
          <cell r="E240">
            <v>15150</v>
          </cell>
        </row>
        <row r="241">
          <cell r="C241" t="str">
            <v>Kawat  bronjong</v>
          </cell>
          <cell r="D241" t="str">
            <v>kg</v>
          </cell>
          <cell r="E241">
            <v>15680</v>
          </cell>
        </row>
        <row r="242">
          <cell r="C242" t="str">
            <v>Kawat  duri</v>
          </cell>
          <cell r="D242" t="str">
            <v>roll</v>
          </cell>
          <cell r="E242">
            <v>116750</v>
          </cell>
        </row>
        <row r="243">
          <cell r="C243" t="str">
            <v>Kawat  galvanis  Ø 3 mm</v>
          </cell>
          <cell r="D243" t="str">
            <v>kg</v>
          </cell>
          <cell r="E243">
            <v>26020</v>
          </cell>
        </row>
        <row r="244">
          <cell r="C244" t="str">
            <v>Kawat  galvanis  Ø 4 mm</v>
          </cell>
          <cell r="D244" t="str">
            <v>kg</v>
          </cell>
          <cell r="E244">
            <v>25400</v>
          </cell>
        </row>
        <row r="245">
          <cell r="C245" t="str">
            <v>Kawat  galvanis  Ø 5 mm</v>
          </cell>
          <cell r="D245" t="str">
            <v>kg</v>
          </cell>
          <cell r="E245">
            <v>22800</v>
          </cell>
        </row>
        <row r="246">
          <cell r="C246" t="str">
            <v>Kawat  harmonika 12 x  24 mm</v>
          </cell>
          <cell r="D246" t="str">
            <v>m2</v>
          </cell>
          <cell r="E246">
            <v>28450</v>
          </cell>
        </row>
        <row r="247">
          <cell r="C247" t="str">
            <v>Kawat  harmonika 14 x  30 mm</v>
          </cell>
          <cell r="D247" t="str">
            <v>m2</v>
          </cell>
          <cell r="E247">
            <v>28470</v>
          </cell>
        </row>
        <row r="248">
          <cell r="C248" t="str">
            <v>Kawat  harmonika 14 x  35 mm</v>
          </cell>
          <cell r="D248" t="str">
            <v>m2</v>
          </cell>
          <cell r="E248">
            <v>27900</v>
          </cell>
        </row>
        <row r="249">
          <cell r="C249" t="str">
            <v>Kawat  kasa</v>
          </cell>
          <cell r="D249" t="str">
            <v>m2</v>
          </cell>
          <cell r="E249">
            <v>26900</v>
          </cell>
        </row>
        <row r="250">
          <cell r="C250" t="str">
            <v>Kawat beton</v>
          </cell>
          <cell r="D250" t="str">
            <v>kg</v>
          </cell>
          <cell r="E250">
            <v>18800</v>
          </cell>
        </row>
        <row r="251">
          <cell r="C251" t="str">
            <v>Kawat duri</v>
          </cell>
          <cell r="D251" t="str">
            <v>m'</v>
          </cell>
          <cell r="E251">
            <v>1750</v>
          </cell>
        </row>
        <row r="252">
          <cell r="C252" t="str">
            <v>Kawat harmonika</v>
          </cell>
          <cell r="D252" t="str">
            <v>m2</v>
          </cell>
          <cell r="E252">
            <v>34620</v>
          </cell>
        </row>
        <row r="253">
          <cell r="C253" t="str">
            <v xml:space="preserve">Kawat jaring panjang 
240 cm
</v>
          </cell>
          <cell r="D253" t="str">
            <v>lembar</v>
          </cell>
          <cell r="E253">
            <v>300000</v>
          </cell>
        </row>
        <row r="254">
          <cell r="C254" t="str">
            <v>Kawat las</v>
          </cell>
          <cell r="D254" t="str">
            <v>kg</v>
          </cell>
          <cell r="E254">
            <v>45550</v>
          </cell>
        </row>
        <row r="255">
          <cell r="C255" t="str">
            <v>Kawat nyamuk</v>
          </cell>
          <cell r="D255" t="str">
            <v>m3</v>
          </cell>
          <cell r="E255">
            <v>20190</v>
          </cell>
        </row>
        <row r="256">
          <cell r="C256" t="str">
            <v>Kawat nyamuk nylon</v>
          </cell>
          <cell r="D256" t="str">
            <v>m2</v>
          </cell>
          <cell r="E256">
            <v>18000</v>
          </cell>
        </row>
        <row r="257">
          <cell r="C257" t="str">
            <v>Kawat Ø 4 mm</v>
          </cell>
          <cell r="D257" t="str">
            <v>kg</v>
          </cell>
          <cell r="E257">
            <v>35000</v>
          </cell>
        </row>
        <row r="258">
          <cell r="C258" t="str">
            <v>Lapisan hot  deep galvanis</v>
          </cell>
          <cell r="D258" t="str">
            <v>kg</v>
          </cell>
          <cell r="E258">
            <v>8400</v>
          </cell>
        </row>
        <row r="259">
          <cell r="C259" t="str">
            <v>Paku 1 inch</v>
          </cell>
          <cell r="D259" t="str">
            <v>kg</v>
          </cell>
          <cell r="E259">
            <v>15000</v>
          </cell>
        </row>
        <row r="260">
          <cell r="C260" t="str">
            <v>Paku 12 cm</v>
          </cell>
          <cell r="D260" t="str">
            <v>buah</v>
          </cell>
          <cell r="E260">
            <v>1500</v>
          </cell>
        </row>
        <row r="261">
          <cell r="C261" t="str">
            <v>Paku 2 inch</v>
          </cell>
          <cell r="D261" t="str">
            <v>kg</v>
          </cell>
          <cell r="E261">
            <v>18000</v>
          </cell>
        </row>
        <row r="262">
          <cell r="C262" t="str">
            <v>Paku 4 inch</v>
          </cell>
          <cell r="D262" t="str">
            <v>kg</v>
          </cell>
          <cell r="E262">
            <v>19000</v>
          </cell>
        </row>
        <row r="263">
          <cell r="C263" t="str">
            <v>Paku 5 inch</v>
          </cell>
          <cell r="D263" t="str">
            <v>kg</v>
          </cell>
          <cell r="E263">
            <v>20000</v>
          </cell>
        </row>
        <row r="264">
          <cell r="C264" t="str">
            <v>Paku beton</v>
          </cell>
          <cell r="D264" t="str">
            <v>kg</v>
          </cell>
          <cell r="E264">
            <v>39450</v>
          </cell>
        </row>
        <row r="265">
          <cell r="C265" t="str">
            <v>Paku hak panj 15cm</v>
          </cell>
          <cell r="D265" t="str">
            <v>kg</v>
          </cell>
          <cell r="E265">
            <v>22070</v>
          </cell>
        </row>
        <row r="266">
          <cell r="C266" t="str">
            <v>Paku pancing 6x23</v>
          </cell>
          <cell r="D266" t="str">
            <v>kg</v>
          </cell>
          <cell r="E266">
            <v>19460</v>
          </cell>
        </row>
        <row r="267">
          <cell r="C267" t="str">
            <v>Paku payung</v>
          </cell>
          <cell r="D267" t="str">
            <v>kg</v>
          </cell>
          <cell r="E267">
            <v>35590</v>
          </cell>
        </row>
        <row r="268">
          <cell r="C268" t="str">
            <v>Paku rivet</v>
          </cell>
          <cell r="D268" t="str">
            <v>buah</v>
          </cell>
          <cell r="E268">
            <v>200</v>
          </cell>
        </row>
        <row r="269">
          <cell r="C269" t="str">
            <v>Paku sekrup</v>
          </cell>
          <cell r="D269" t="str">
            <v>kg</v>
          </cell>
          <cell r="E269">
            <v>30090</v>
          </cell>
        </row>
        <row r="270">
          <cell r="C270" t="str">
            <v>Paku sekrup</v>
          </cell>
          <cell r="D270" t="str">
            <v>buah</v>
          </cell>
          <cell r="E270">
            <v>1600</v>
          </cell>
        </row>
        <row r="271">
          <cell r="C271" t="str">
            <v>Pintu tahan api</v>
          </cell>
          <cell r="D271" t="str">
            <v>unit</v>
          </cell>
          <cell r="E271">
            <v>8000000</v>
          </cell>
        </row>
        <row r="272">
          <cell r="C272" t="str">
            <v>Pipa baja dia. 30 cm</v>
          </cell>
          <cell r="D272" t="str">
            <v>m'</v>
          </cell>
          <cell r="E272">
            <v>1680000</v>
          </cell>
        </row>
        <row r="273">
          <cell r="C273" t="str">
            <v>Pipa baja dia. 40 cm</v>
          </cell>
          <cell r="D273" t="str">
            <v>m'</v>
          </cell>
          <cell r="E273">
            <v>2240000</v>
          </cell>
        </row>
        <row r="274">
          <cell r="C274" t="str">
            <v>Pipa baja dia. 50 cm</v>
          </cell>
          <cell r="D274" t="str">
            <v>m'</v>
          </cell>
          <cell r="E274">
            <v>2800000</v>
          </cell>
        </row>
        <row r="275">
          <cell r="C275" t="str">
            <v>Pipa besi hitam 1 inch</v>
          </cell>
          <cell r="D275" t="str">
            <v>m'</v>
          </cell>
          <cell r="E275">
            <v>15500</v>
          </cell>
        </row>
        <row r="276">
          <cell r="C276" t="str">
            <v>Pipa besi hitam 1,5 inch</v>
          </cell>
          <cell r="D276" t="str">
            <v>m'</v>
          </cell>
          <cell r="E276">
            <v>22000</v>
          </cell>
        </row>
        <row r="277">
          <cell r="C277" t="str">
            <v>Pipa besi hitam 2 inch</v>
          </cell>
          <cell r="D277" t="str">
            <v>m'</v>
          </cell>
          <cell r="E277">
            <v>31000</v>
          </cell>
        </row>
        <row r="278">
          <cell r="C278" t="str">
            <v>Pipa besi hitam 3 inch</v>
          </cell>
          <cell r="D278" t="str">
            <v>m'</v>
          </cell>
          <cell r="E278">
            <v>42000</v>
          </cell>
        </row>
        <row r="279">
          <cell r="C279" t="str">
            <v>Saringan pasir</v>
          </cell>
          <cell r="D279" t="str">
            <v>m'</v>
          </cell>
          <cell r="E279">
            <v>16650</v>
          </cell>
        </row>
        <row r="280">
          <cell r="C280" t="str">
            <v>Sekrup kait</v>
          </cell>
          <cell r="D280" t="str">
            <v>buah</v>
          </cell>
          <cell r="E280">
            <v>700</v>
          </cell>
        </row>
        <row r="281">
          <cell r="C281" t="str">
            <v>Wiremesh M10</v>
          </cell>
          <cell r="D281" t="str">
            <v>kg</v>
          </cell>
          <cell r="E281">
            <v>12430.080795525169</v>
          </cell>
        </row>
        <row r="282">
          <cell r="C282" t="str">
            <v>Wiremesh M12</v>
          </cell>
          <cell r="D282" t="str">
            <v>kg</v>
          </cell>
          <cell r="E282">
            <v>12660.048913825349</v>
          </cell>
        </row>
        <row r="283">
          <cell r="C283" t="str">
            <v>Wiremesh M6</v>
          </cell>
          <cell r="D283" t="str">
            <v>kg</v>
          </cell>
          <cell r="E283">
            <v>11521.864211737629</v>
          </cell>
        </row>
        <row r="284">
          <cell r="C284" t="str">
            <v>Wiremesh M7</v>
          </cell>
          <cell r="D284" t="str">
            <v>kg</v>
          </cell>
          <cell r="E284">
            <v>11815.683787782709</v>
          </cell>
        </row>
        <row r="285">
          <cell r="C285" t="str">
            <v>Wiremesh M8</v>
          </cell>
          <cell r="D285" t="str">
            <v>kg</v>
          </cell>
          <cell r="E285">
            <v>12048.875222527917</v>
          </cell>
        </row>
        <row r="286">
          <cell r="C286" t="str">
            <v>Wiremesh M9</v>
          </cell>
          <cell r="D286" t="str">
            <v>kg</v>
          </cell>
          <cell r="E286">
            <v>12276.21483375959</v>
          </cell>
        </row>
        <row r="287">
          <cell r="C287" t="str">
            <v>MATERIAL PENUTUP ATAP</v>
          </cell>
        </row>
        <row r="288">
          <cell r="C288" t="str">
            <v>Aluminium gelombang 95x180 cm</v>
          </cell>
          <cell r="D288" t="str">
            <v>lembar</v>
          </cell>
          <cell r="E288">
            <v>180400</v>
          </cell>
        </row>
        <row r="289">
          <cell r="C289" t="str">
            <v>Asbes  gelombang kecil 4mm (150x105)</v>
          </cell>
          <cell r="D289" t="str">
            <v>lembar</v>
          </cell>
          <cell r="E289">
            <v>47800</v>
          </cell>
        </row>
        <row r="290">
          <cell r="C290" t="str">
            <v>Asbes  gelombang kecil 4mm (180x105)</v>
          </cell>
          <cell r="D290" t="str">
            <v>lembar</v>
          </cell>
          <cell r="E290">
            <v>57300</v>
          </cell>
        </row>
        <row r="291">
          <cell r="C291" t="str">
            <v>Asbes  gelombang kecil 4mm (210x105)</v>
          </cell>
          <cell r="D291" t="str">
            <v>lembar</v>
          </cell>
          <cell r="E291">
            <v>65300</v>
          </cell>
        </row>
        <row r="292">
          <cell r="C292" t="str">
            <v>Asbes  gelombang kecil 4mm (240x105)</v>
          </cell>
          <cell r="D292" t="str">
            <v>lembar</v>
          </cell>
          <cell r="E292">
            <v>75500</v>
          </cell>
        </row>
        <row r="293">
          <cell r="C293" t="str">
            <v>Asbes gelombang besar 5 mm, 150x105 cm</v>
          </cell>
          <cell r="D293" t="str">
            <v>lembar</v>
          </cell>
          <cell r="E293">
            <v>120000</v>
          </cell>
        </row>
        <row r="294">
          <cell r="C294" t="str">
            <v>Asbes gelombang besar 5 mm, 180x92 cm</v>
          </cell>
          <cell r="D294" t="str">
            <v>lembar</v>
          </cell>
          <cell r="E294">
            <v>85500</v>
          </cell>
        </row>
        <row r="295">
          <cell r="C295" t="str">
            <v>Asbes gelombang besar 5 mm, 200x92 cm</v>
          </cell>
          <cell r="D295" t="str">
            <v>lembar</v>
          </cell>
          <cell r="E295">
            <v>94000</v>
          </cell>
        </row>
        <row r="296">
          <cell r="C296" t="str">
            <v>Asbes gelombang besar 5 mm, 210x105 cm</v>
          </cell>
          <cell r="D296" t="str">
            <v>lembar</v>
          </cell>
          <cell r="E296">
            <v>125000</v>
          </cell>
        </row>
        <row r="297">
          <cell r="C297" t="str">
            <v>Asbes gelombang besar 5 mm, 225x92 cm</v>
          </cell>
          <cell r="D297" t="str">
            <v>lembar</v>
          </cell>
          <cell r="E297">
            <v>104900</v>
          </cell>
        </row>
        <row r="298">
          <cell r="C298" t="str">
            <v>Asbes gelombang besar 5 mm, 240x105 cm</v>
          </cell>
          <cell r="D298" t="str">
            <v>lembar</v>
          </cell>
          <cell r="E298">
            <v>130000</v>
          </cell>
        </row>
        <row r="299">
          <cell r="C299" t="str">
            <v>Asbes gelombang besar 5 mm, 250x92 cm</v>
          </cell>
          <cell r="D299" t="str">
            <v>lembar</v>
          </cell>
          <cell r="E299">
            <v>113400</v>
          </cell>
        </row>
        <row r="300">
          <cell r="C300" t="str">
            <v>Asbes gelombang besar 5 mm, 300x105 cm</v>
          </cell>
          <cell r="D300" t="str">
            <v>lembar</v>
          </cell>
          <cell r="E300">
            <v>135000</v>
          </cell>
        </row>
        <row r="301">
          <cell r="C301" t="str">
            <v>Asbes gelombang besar 6 mm, 180x108 cm</v>
          </cell>
          <cell r="D301" t="str">
            <v>lembar</v>
          </cell>
          <cell r="E301">
            <v>93000</v>
          </cell>
        </row>
        <row r="302">
          <cell r="C302" t="str">
            <v>Asbes gelombang besar 6 mm, 210x108 cm</v>
          </cell>
          <cell r="D302" t="str">
            <v>lembar</v>
          </cell>
          <cell r="E302">
            <v>92900</v>
          </cell>
        </row>
        <row r="303">
          <cell r="C303" t="str">
            <v>Asbes gelombang besar 6 mm, 240x108 cm</v>
          </cell>
          <cell r="D303" t="str">
            <v>lembar</v>
          </cell>
          <cell r="E303">
            <v>99600</v>
          </cell>
        </row>
        <row r="304">
          <cell r="C304" t="str">
            <v>Asbes gelombang besar 6 mm, 270x108 cm</v>
          </cell>
          <cell r="D304" t="str">
            <v>lembar</v>
          </cell>
          <cell r="E304">
            <v>113400</v>
          </cell>
        </row>
        <row r="305">
          <cell r="C305" t="str">
            <v>Asbes gelombang besar 6 mm, 300x108 cm</v>
          </cell>
          <cell r="D305" t="str">
            <v>lembar</v>
          </cell>
          <cell r="E305">
            <v>131000</v>
          </cell>
        </row>
        <row r="306">
          <cell r="C306" t="str">
            <v>Asbes gelombang kecil 4 mm, 270x105 cm</v>
          </cell>
          <cell r="D306" t="str">
            <v>lembar</v>
          </cell>
          <cell r="E306">
            <v>88400</v>
          </cell>
        </row>
        <row r="307">
          <cell r="C307" t="str">
            <v>Asbes gelombang kecil 4 mm, 300x105 cm</v>
          </cell>
          <cell r="D307" t="str">
            <v>lembar</v>
          </cell>
          <cell r="E307">
            <v>100500</v>
          </cell>
        </row>
        <row r="308">
          <cell r="C308" t="str">
            <v>Atap metal berpasir</v>
          </cell>
          <cell r="D308" t="str">
            <v>m2</v>
          </cell>
          <cell r="E308">
            <v>112500</v>
          </cell>
        </row>
        <row r="309">
          <cell r="C309" t="str">
            <v>Atap metal menerus</v>
          </cell>
          <cell r="D309" t="str">
            <v>m2</v>
          </cell>
          <cell r="E309">
            <v>80000</v>
          </cell>
        </row>
        <row r="310">
          <cell r="C310" t="str">
            <v>Atap Rumbia /  Atap Saung 150cmx50cm</v>
          </cell>
          <cell r="D310" t="str">
            <v>buah</v>
          </cell>
          <cell r="E310">
            <v>20000</v>
          </cell>
        </row>
        <row r="311">
          <cell r="C311" t="str">
            <v>Atap UPVC uk. 86x119 cm</v>
          </cell>
          <cell r="D311" t="str">
            <v>m2</v>
          </cell>
          <cell r="E311">
            <v>200000</v>
          </cell>
        </row>
        <row r="312">
          <cell r="C312" t="str">
            <v>Bitumen tekstur genting</v>
          </cell>
          <cell r="D312" t="str">
            <v>lembar</v>
          </cell>
          <cell r="E312">
            <v>62700</v>
          </cell>
        </row>
        <row r="313">
          <cell r="C313" t="str">
            <v>Bubung genteng kodok</v>
          </cell>
          <cell r="D313" t="str">
            <v>buah</v>
          </cell>
          <cell r="E313">
            <v>8600</v>
          </cell>
        </row>
        <row r="314">
          <cell r="C314" t="str">
            <v>Bubung genteng palentong</v>
          </cell>
          <cell r="D314" t="str">
            <v>buah</v>
          </cell>
          <cell r="E314">
            <v>10700</v>
          </cell>
        </row>
        <row r="315">
          <cell r="C315" t="str">
            <v>Bubungan asbes  besar</v>
          </cell>
          <cell r="D315" t="str">
            <v>buah</v>
          </cell>
          <cell r="E315">
            <v>30700</v>
          </cell>
        </row>
        <row r="316">
          <cell r="C316" t="str">
            <v>Bubungan asbes  kecil</v>
          </cell>
          <cell r="D316" t="str">
            <v>buah</v>
          </cell>
          <cell r="E316">
            <v>48100</v>
          </cell>
        </row>
        <row r="317">
          <cell r="C317" t="str">
            <v>Bubungan beton press</v>
          </cell>
          <cell r="D317" t="str">
            <v>buah</v>
          </cell>
          <cell r="E317">
            <v>5300</v>
          </cell>
        </row>
        <row r="318">
          <cell r="C318" t="str">
            <v>Fibre glass  (jabes) 180x105 cm</v>
          </cell>
          <cell r="D318" t="str">
            <v>lembar</v>
          </cell>
          <cell r="E318">
            <v>78500</v>
          </cell>
        </row>
        <row r="319">
          <cell r="C319" t="str">
            <v>Fibre glass  (jabes) 200x92 cm</v>
          </cell>
          <cell r="D319" t="str">
            <v>lembar</v>
          </cell>
          <cell r="E319">
            <v>68500</v>
          </cell>
        </row>
        <row r="320">
          <cell r="C320" t="str">
            <v>Fibre glass  (jabes) 210x105 cm</v>
          </cell>
          <cell r="D320" t="str">
            <v>buah</v>
          </cell>
          <cell r="E320">
            <v>89700</v>
          </cell>
        </row>
        <row r="321">
          <cell r="C321" t="str">
            <v>Fibre glass  (jabes) 250x105 cm</v>
          </cell>
          <cell r="D321" t="str">
            <v>buah</v>
          </cell>
          <cell r="E321">
            <v>122300</v>
          </cell>
        </row>
        <row r="322">
          <cell r="C322" t="str">
            <v>Fibre glass  (jabes) 250x92 cm</v>
          </cell>
          <cell r="D322" t="str">
            <v>buah</v>
          </cell>
          <cell r="E322">
            <v>162500</v>
          </cell>
        </row>
        <row r="323">
          <cell r="C323" t="str">
            <v>Fibreglass 180x90 cm</v>
          </cell>
          <cell r="D323" t="str">
            <v>lembar</v>
          </cell>
          <cell r="E323">
            <v>59600</v>
          </cell>
        </row>
        <row r="324">
          <cell r="C324" t="str">
            <v>Frame 'S' 85.50 tinggi profil 85 dan tebal 0,75  mm</v>
          </cell>
          <cell r="D324" t="str">
            <v>batang</v>
          </cell>
          <cell r="E324">
            <v>145000</v>
          </cell>
        </row>
        <row r="325">
          <cell r="C325" t="str">
            <v>Galvalum Gelombang Lapis  Pasir</v>
          </cell>
          <cell r="D325" t="str">
            <v>lembar</v>
          </cell>
          <cell r="E325">
            <v>61200</v>
          </cell>
        </row>
        <row r="326">
          <cell r="C326" t="str">
            <v>Genteng aspal 80x100 cm</v>
          </cell>
          <cell r="D326" t="str">
            <v>buah</v>
          </cell>
          <cell r="E326">
            <v>149700</v>
          </cell>
        </row>
        <row r="327">
          <cell r="C327" t="str">
            <v>Genteng beton</v>
          </cell>
          <cell r="D327" t="str">
            <v>buah</v>
          </cell>
          <cell r="E327">
            <v>6800</v>
          </cell>
        </row>
        <row r="328">
          <cell r="C328" t="str">
            <v>Genteng decra bond</v>
          </cell>
          <cell r="D328" t="str">
            <v>buah</v>
          </cell>
          <cell r="E328">
            <v>9800</v>
          </cell>
        </row>
        <row r="329">
          <cell r="C329" t="str">
            <v>Genteng kodok</v>
          </cell>
          <cell r="D329" t="str">
            <v>buah</v>
          </cell>
          <cell r="E329">
            <v>3400</v>
          </cell>
        </row>
        <row r="330">
          <cell r="C330" t="str">
            <v>Genteng kodok glazuur</v>
          </cell>
          <cell r="D330" t="str">
            <v>buah</v>
          </cell>
          <cell r="E330">
            <v>5800</v>
          </cell>
        </row>
        <row r="331">
          <cell r="C331" t="str">
            <v>Genteng metal</v>
          </cell>
          <cell r="D331" t="str">
            <v>lembar</v>
          </cell>
          <cell r="E331">
            <v>50700</v>
          </cell>
        </row>
        <row r="332">
          <cell r="C332" t="str">
            <v>Genteng metal berpasir</v>
          </cell>
          <cell r="D332" t="str">
            <v>lembar</v>
          </cell>
          <cell r="E332">
            <v>30500</v>
          </cell>
        </row>
        <row r="333">
          <cell r="C333" t="str">
            <v>Genteng palentong</v>
          </cell>
          <cell r="D333" t="str">
            <v>buah</v>
          </cell>
          <cell r="E333">
            <v>2800</v>
          </cell>
        </row>
        <row r="334">
          <cell r="C334" t="str">
            <v>Genteng palentong super</v>
          </cell>
          <cell r="D334" t="str">
            <v>buah</v>
          </cell>
          <cell r="E334">
            <v>5300</v>
          </cell>
        </row>
        <row r="335">
          <cell r="C335" t="str">
            <v>Listplang papan kalsiboard</v>
          </cell>
          <cell r="D335" t="str">
            <v>buah</v>
          </cell>
          <cell r="E335">
            <v>56200</v>
          </cell>
        </row>
        <row r="336">
          <cell r="C336" t="str">
            <v>Listplang tekstur kayu</v>
          </cell>
          <cell r="D336" t="str">
            <v>buah</v>
          </cell>
          <cell r="E336">
            <v>54500</v>
          </cell>
        </row>
        <row r="337">
          <cell r="C337" t="str">
            <v>Nok genteng aspal</v>
          </cell>
          <cell r="D337" t="str">
            <v>buah</v>
          </cell>
          <cell r="E337">
            <v>95000</v>
          </cell>
        </row>
        <row r="338">
          <cell r="C338" t="str">
            <v>Nok genteng beton</v>
          </cell>
          <cell r="D338" t="str">
            <v>buah</v>
          </cell>
          <cell r="E338">
            <v>9600</v>
          </cell>
        </row>
        <row r="339">
          <cell r="C339" t="str">
            <v>Nok genteng metal</v>
          </cell>
          <cell r="D339" t="str">
            <v>buah</v>
          </cell>
          <cell r="E339">
            <v>25600</v>
          </cell>
        </row>
        <row r="340">
          <cell r="C340" t="str">
            <v>Nok paten 105 cm</v>
          </cell>
          <cell r="D340" t="str">
            <v>lembar</v>
          </cell>
          <cell r="E340">
            <v>70000</v>
          </cell>
        </row>
        <row r="341">
          <cell r="C341" t="str">
            <v>Nok paten 108 cm</v>
          </cell>
          <cell r="D341" t="str">
            <v>lembar</v>
          </cell>
          <cell r="E341">
            <v>75000</v>
          </cell>
        </row>
        <row r="342">
          <cell r="C342" t="str">
            <v>Nok paten 92 cm</v>
          </cell>
          <cell r="D342" t="str">
            <v>lembar</v>
          </cell>
          <cell r="E342">
            <v>65000</v>
          </cell>
        </row>
        <row r="343">
          <cell r="C343" t="str">
            <v>Nok setel rata 105 cm</v>
          </cell>
          <cell r="D343" t="str">
            <v>lembar</v>
          </cell>
          <cell r="E343">
            <v>75000</v>
          </cell>
        </row>
        <row r="344">
          <cell r="C344" t="str">
            <v>Nok setel rata 108 cm</v>
          </cell>
          <cell r="D344" t="str">
            <v>lembar</v>
          </cell>
          <cell r="E344">
            <v>80000</v>
          </cell>
        </row>
        <row r="345">
          <cell r="C345" t="str">
            <v>Nok setel rata 92 cm</v>
          </cell>
          <cell r="D345" t="str">
            <v>lembar</v>
          </cell>
          <cell r="E345">
            <v>70000</v>
          </cell>
        </row>
        <row r="346">
          <cell r="C346" t="str">
            <v>Nok standar</v>
          </cell>
          <cell r="D346" t="str">
            <v>lembar</v>
          </cell>
          <cell r="E346">
            <v>67000</v>
          </cell>
        </row>
        <row r="347">
          <cell r="C347" t="str">
            <v>Nok stel gelombang 105 cm</v>
          </cell>
          <cell r="D347" t="str">
            <v>lembar</v>
          </cell>
          <cell r="E347">
            <v>70000</v>
          </cell>
        </row>
        <row r="348">
          <cell r="C348" t="str">
            <v>Nok stel gelombang 108 cm</v>
          </cell>
          <cell r="D348" t="str">
            <v>lembar</v>
          </cell>
          <cell r="E348">
            <v>80000</v>
          </cell>
        </row>
        <row r="349">
          <cell r="C349" t="str">
            <v>Nok stel gelombang 92 cm</v>
          </cell>
          <cell r="D349" t="str">
            <v>lembar</v>
          </cell>
          <cell r="E349">
            <v>60000</v>
          </cell>
        </row>
        <row r="350">
          <cell r="C350" t="str">
            <v>Reng  batten  0,5</v>
          </cell>
          <cell r="D350" t="str">
            <v>batang</v>
          </cell>
          <cell r="E350">
            <v>35000</v>
          </cell>
        </row>
        <row r="351">
          <cell r="C351" t="str">
            <v>Roof light fiberglass</v>
          </cell>
          <cell r="D351" t="str">
            <v>lembar</v>
          </cell>
          <cell r="E351">
            <v>116300</v>
          </cell>
        </row>
        <row r="352">
          <cell r="C352" t="str">
            <v>Seng gelombang 3x6 inch</v>
          </cell>
          <cell r="D352" t="str">
            <v>lembar</v>
          </cell>
          <cell r="E352">
            <v>83100</v>
          </cell>
        </row>
        <row r="353">
          <cell r="C353" t="str">
            <v>Seng gelombang bjls  0.18 panjang 180 cm</v>
          </cell>
          <cell r="D353" t="str">
            <v>lembar</v>
          </cell>
          <cell r="E353">
            <v>55200</v>
          </cell>
        </row>
        <row r="354">
          <cell r="C354" t="str">
            <v>Seng gelombang bjls  0.20 panjang 180 cm</v>
          </cell>
          <cell r="D354" t="str">
            <v>lembar</v>
          </cell>
          <cell r="E354">
            <v>63900</v>
          </cell>
        </row>
        <row r="355">
          <cell r="C355" t="str">
            <v>Seng gelombang bjls  0.30 panjang 180 cm</v>
          </cell>
          <cell r="D355" t="str">
            <v>lembar</v>
          </cell>
          <cell r="E355">
            <v>73300</v>
          </cell>
        </row>
        <row r="356">
          <cell r="C356" t="str">
            <v>Seng gelombang bjls  0.40 panjang 180 cm</v>
          </cell>
          <cell r="D356" t="str">
            <v>lembar</v>
          </cell>
          <cell r="E356">
            <v>73000</v>
          </cell>
        </row>
        <row r="357">
          <cell r="C357" t="str">
            <v>Seng gelombang bjls  28</v>
          </cell>
          <cell r="D357" t="str">
            <v>lembar</v>
          </cell>
          <cell r="E357">
            <v>85500</v>
          </cell>
        </row>
        <row r="358">
          <cell r="C358" t="str">
            <v>Seng gelombang bljs 30</v>
          </cell>
          <cell r="D358" t="str">
            <v>lembar</v>
          </cell>
          <cell r="E358">
            <v>79000</v>
          </cell>
        </row>
        <row r="359">
          <cell r="C359" t="str">
            <v>Seng gelombang panjang 200 cm</v>
          </cell>
          <cell r="D359" t="str">
            <v>lembar</v>
          </cell>
          <cell r="E359">
            <v>85000</v>
          </cell>
        </row>
        <row r="360">
          <cell r="C360" t="str">
            <v>Seng plat  BJLS 0.18 lebar 55 cm</v>
          </cell>
          <cell r="D360" t="str">
            <v>m'</v>
          </cell>
          <cell r="E360">
            <v>24800</v>
          </cell>
        </row>
        <row r="361">
          <cell r="C361" t="str">
            <v>Seng plat  BJLS 0.20 lebar 55 cm</v>
          </cell>
          <cell r="D361" t="str">
            <v>m'</v>
          </cell>
          <cell r="E361">
            <v>28100</v>
          </cell>
        </row>
        <row r="362">
          <cell r="C362" t="str">
            <v>Seng plat  BJLS 0.28 lebar 55 cm</v>
          </cell>
          <cell r="D362" t="str">
            <v>m'</v>
          </cell>
          <cell r="E362">
            <v>30400</v>
          </cell>
        </row>
        <row r="363">
          <cell r="C363" t="str">
            <v>Seng plat  BJLS 0.30 lebar 55 cm</v>
          </cell>
          <cell r="D363" t="str">
            <v>m'</v>
          </cell>
          <cell r="E363">
            <v>34600</v>
          </cell>
        </row>
        <row r="364">
          <cell r="C364" t="str">
            <v>Seng plat 3x6 inch</v>
          </cell>
          <cell r="D364" t="str">
            <v>lembar</v>
          </cell>
          <cell r="E364">
            <v>66900</v>
          </cell>
        </row>
        <row r="365">
          <cell r="C365" t="str">
            <v>Seng plat 3x6 inch bjls 28</v>
          </cell>
          <cell r="D365" t="str">
            <v>lembar</v>
          </cell>
          <cell r="E365">
            <v>72200</v>
          </cell>
        </row>
        <row r="366">
          <cell r="C366" t="str">
            <v>Seng plat bjls 28</v>
          </cell>
          <cell r="D366" t="str">
            <v>m'</v>
          </cell>
          <cell r="E366">
            <v>70200</v>
          </cell>
        </row>
        <row r="367">
          <cell r="C367" t="str">
            <v>Seng plat bjls 30</v>
          </cell>
          <cell r="D367" t="str">
            <v>m'</v>
          </cell>
          <cell r="E367">
            <v>74400</v>
          </cell>
        </row>
        <row r="368">
          <cell r="C368" t="str">
            <v>Seng plat bjls 30</v>
          </cell>
          <cell r="D368" t="str">
            <v>lembar</v>
          </cell>
          <cell r="E368">
            <v>35000</v>
          </cell>
        </row>
        <row r="369">
          <cell r="C369" t="str">
            <v>Sirap (100 lbr)</v>
          </cell>
          <cell r="D369" t="str">
            <v>pak</v>
          </cell>
          <cell r="E369">
            <v>200000</v>
          </cell>
        </row>
        <row r="370">
          <cell r="C370" t="str">
            <v>Sirap kayu</v>
          </cell>
          <cell r="D370" t="str">
            <v>buah</v>
          </cell>
          <cell r="E370">
            <v>5000</v>
          </cell>
        </row>
        <row r="371">
          <cell r="C371" t="str">
            <v>Wab  capsule 62.27  tinggi 62  mm dan  tebal 0,4mm</v>
          </cell>
          <cell r="D371" t="str">
            <v>batang</v>
          </cell>
          <cell r="E371">
            <v>55000</v>
          </cell>
        </row>
        <row r="372">
          <cell r="C372" t="str">
            <v>MATERIAL PLAFON</v>
          </cell>
        </row>
        <row r="373">
          <cell r="C373" t="str">
            <v>Asbes 1,00  x 1,00  m</v>
          </cell>
          <cell r="D373" t="str">
            <v>lembar</v>
          </cell>
          <cell r="E373">
            <v>17400</v>
          </cell>
        </row>
        <row r="374">
          <cell r="C374" t="str">
            <v>Compon Flafond</v>
          </cell>
          <cell r="D374" t="str">
            <v>kg</v>
          </cell>
          <cell r="E374">
            <v>5000</v>
          </cell>
        </row>
        <row r="375">
          <cell r="C375" t="str">
            <v>cross tee</v>
          </cell>
          <cell r="D375" t="str">
            <v>batang</v>
          </cell>
          <cell r="E375">
            <v>18000</v>
          </cell>
        </row>
        <row r="376">
          <cell r="C376" t="str">
            <v>GRCboard (120 cm x  240 cm x  5 mm)</v>
          </cell>
          <cell r="D376" t="str">
            <v>m2</v>
          </cell>
          <cell r="E376">
            <v>80800</v>
          </cell>
        </row>
        <row r="377">
          <cell r="C377" t="str">
            <v>GRCboard (120 cm x  240 cm x  6 mm)</v>
          </cell>
          <cell r="D377" t="str">
            <v>m2</v>
          </cell>
          <cell r="E377">
            <v>99300</v>
          </cell>
        </row>
        <row r="378">
          <cell r="C378" t="str">
            <v>Gypsum Board (120 cm x  240 cm x  12 mm)</v>
          </cell>
          <cell r="D378" t="str">
            <v>lembar</v>
          </cell>
          <cell r="E378">
            <v>93000</v>
          </cell>
        </row>
        <row r="379">
          <cell r="C379" t="str">
            <v>Gypsum board (120 cm x 240 cm x 9 mm)</v>
          </cell>
          <cell r="D379" t="str">
            <v>lembar</v>
          </cell>
          <cell r="E379">
            <v>70000</v>
          </cell>
        </row>
        <row r="380">
          <cell r="C380" t="str">
            <v>Lambersening plafon ˂3</v>
          </cell>
          <cell r="D380" t="str">
            <v>m2</v>
          </cell>
          <cell r="E380">
            <v>180000</v>
          </cell>
        </row>
        <row r="381">
          <cell r="C381" t="str">
            <v>Lambersening plafon ˃3</v>
          </cell>
          <cell r="D381" t="str">
            <v>m2</v>
          </cell>
          <cell r="E381">
            <v>200000</v>
          </cell>
        </row>
        <row r="382">
          <cell r="C382" t="str">
            <v>List gypsum profil</v>
          </cell>
          <cell r="D382" t="str">
            <v>m'</v>
          </cell>
          <cell r="E382">
            <v>15800</v>
          </cell>
        </row>
        <row r="383">
          <cell r="C383" t="str">
            <v>Listplank GRC lebar 20 cm</v>
          </cell>
          <cell r="D383" t="str">
            <v>m'</v>
          </cell>
          <cell r="E383">
            <v>21000</v>
          </cell>
        </row>
        <row r="384">
          <cell r="C384" t="str">
            <v>Listplank GRC lebar 30 cm</v>
          </cell>
          <cell r="D384" t="str">
            <v>m'</v>
          </cell>
          <cell r="E384">
            <v>23000</v>
          </cell>
        </row>
        <row r="385">
          <cell r="C385" t="str">
            <v>Main tee</v>
          </cell>
          <cell r="D385" t="str">
            <v>batang</v>
          </cell>
          <cell r="E385">
            <v>34000</v>
          </cell>
        </row>
        <row r="386">
          <cell r="C386" t="str">
            <v>Papan semen</v>
          </cell>
          <cell r="D386" t="str">
            <v>m2</v>
          </cell>
          <cell r="E386">
            <v>45000</v>
          </cell>
        </row>
        <row r="387">
          <cell r="C387" t="str">
            <v>Pelat  asbes  tebal 3,5 mm</v>
          </cell>
          <cell r="D387" t="str">
            <v>lembar</v>
          </cell>
          <cell r="E387">
            <v>62400</v>
          </cell>
        </row>
        <row r="388">
          <cell r="C388" t="str">
            <v>Pelat  asbes  tebal 4 mm</v>
          </cell>
          <cell r="D388" t="str">
            <v>lembar</v>
          </cell>
          <cell r="E388">
            <v>69800</v>
          </cell>
        </row>
        <row r="389">
          <cell r="C389" t="str">
            <v>Plafon akustik 30x30 cm</v>
          </cell>
          <cell r="D389" t="str">
            <v>lembar</v>
          </cell>
          <cell r="E389">
            <v>6200</v>
          </cell>
        </row>
        <row r="390">
          <cell r="C390" t="str">
            <v>Plafon akustik 30x60 cm</v>
          </cell>
          <cell r="D390" t="str">
            <v>lembar</v>
          </cell>
          <cell r="E390">
            <v>13900</v>
          </cell>
        </row>
        <row r="391">
          <cell r="C391" t="str">
            <v>Plafon akustik 60x120 cm</v>
          </cell>
          <cell r="D391" t="str">
            <v>lembar</v>
          </cell>
          <cell r="E391">
            <v>24000</v>
          </cell>
        </row>
        <row r="392">
          <cell r="C392" t="str">
            <v>MATERIAL PENUTUP LANTAI DAN DINDING</v>
          </cell>
        </row>
        <row r="393">
          <cell r="C393" t="str">
            <v>Bata Ekspose Tempel warna natural 8x24x2 cm</v>
          </cell>
          <cell r="D393" t="str">
            <v>m'</v>
          </cell>
          <cell r="E393">
            <v>125000</v>
          </cell>
        </row>
        <row r="394">
          <cell r="C394" t="str">
            <v>Bata tempel</v>
          </cell>
          <cell r="D394" t="str">
            <v>buah</v>
          </cell>
          <cell r="E394">
            <v>2500</v>
          </cell>
        </row>
        <row r="395">
          <cell r="C395" t="str">
            <v>Batako 20x40x10 cm</v>
          </cell>
          <cell r="D395" t="str">
            <v>buah</v>
          </cell>
          <cell r="E395">
            <v>3000</v>
          </cell>
        </row>
        <row r="396">
          <cell r="C396" t="str">
            <v>Batu andesit  30x30 t=3cm</v>
          </cell>
          <cell r="D396" t="str">
            <v>m2</v>
          </cell>
          <cell r="E396">
            <v>165000</v>
          </cell>
        </row>
        <row r="397">
          <cell r="C397" t="str">
            <v>Batu andesit  30x30 t=5cm</v>
          </cell>
          <cell r="D397" t="str">
            <v>m2</v>
          </cell>
          <cell r="E397">
            <v>265000</v>
          </cell>
        </row>
        <row r="398">
          <cell r="C398" t="str">
            <v>Batu paras</v>
          </cell>
          <cell r="D398" t="str">
            <v>m2</v>
          </cell>
          <cell r="E398">
            <v>125000</v>
          </cell>
        </row>
        <row r="399">
          <cell r="C399" t="str">
            <v>Batu paros</v>
          </cell>
          <cell r="D399" t="str">
            <v>m2</v>
          </cell>
          <cell r="E399">
            <v>131600</v>
          </cell>
        </row>
        <row r="400">
          <cell r="C400" t="str">
            <v>Batu tempel hitam</v>
          </cell>
          <cell r="D400" t="str">
            <v>m2</v>
          </cell>
          <cell r="E400">
            <v>110000</v>
          </cell>
        </row>
        <row r="401">
          <cell r="C401" t="str">
            <v>Floor hardener</v>
          </cell>
          <cell r="D401" t="str">
            <v>kg</v>
          </cell>
          <cell r="E401">
            <v>5000</v>
          </cell>
        </row>
        <row r="402">
          <cell r="C402" t="str">
            <v>Flooring Kayu Kruing   1,5x13,5x60 cm</v>
          </cell>
          <cell r="D402" t="str">
            <v>m2</v>
          </cell>
          <cell r="E402">
            <v>195000</v>
          </cell>
        </row>
        <row r="403">
          <cell r="C403" t="str">
            <v>Flooring Kayu Merbau 1,5x9x30cm</v>
          </cell>
          <cell r="D403" t="str">
            <v>m2</v>
          </cell>
          <cell r="E403">
            <v>420000</v>
          </cell>
        </row>
        <row r="404">
          <cell r="C404" t="str">
            <v>Flooring Kayu Sonokeling Grade B  1,5x9x30cm</v>
          </cell>
          <cell r="D404" t="str">
            <v>m2</v>
          </cell>
          <cell r="E404">
            <v>420000</v>
          </cell>
        </row>
        <row r="405">
          <cell r="C405" t="str">
            <v>Granit  bakar 10x10, t=2cm</v>
          </cell>
          <cell r="D405" t="str">
            <v>m2</v>
          </cell>
          <cell r="E405">
            <v>275000</v>
          </cell>
        </row>
        <row r="406">
          <cell r="C406" t="str">
            <v>Granit  bakar 30x30, t=2cm</v>
          </cell>
          <cell r="D406" t="str">
            <v>m2</v>
          </cell>
          <cell r="E406">
            <v>315000</v>
          </cell>
        </row>
        <row r="407">
          <cell r="C407" t="str">
            <v>Granit  tile unpolish /  anti skid</v>
          </cell>
          <cell r="D407" t="str">
            <v>m2</v>
          </cell>
          <cell r="E407">
            <v>220100</v>
          </cell>
        </row>
        <row r="408">
          <cell r="C408" t="str">
            <v>Granit tile 30x30 cm (double loading)</v>
          </cell>
          <cell r="D408" t="str">
            <v>buah</v>
          </cell>
          <cell r="E408">
            <v>27700</v>
          </cell>
        </row>
        <row r="409">
          <cell r="C409" t="str">
            <v>Granit tile 40x40 cm (double loading)</v>
          </cell>
          <cell r="D409" t="str">
            <v>buah</v>
          </cell>
          <cell r="E409">
            <v>39200</v>
          </cell>
        </row>
        <row r="410">
          <cell r="C410" t="str">
            <v>Granit tile 60x60 cm (double loading)</v>
          </cell>
          <cell r="D410" t="str">
            <v>buah</v>
          </cell>
          <cell r="E410">
            <v>92800</v>
          </cell>
        </row>
        <row r="411">
          <cell r="C411" t="str">
            <v>Granito  30 x  30 cm</v>
          </cell>
          <cell r="D411" t="str">
            <v>m2</v>
          </cell>
          <cell r="E411">
            <v>326400</v>
          </cell>
        </row>
        <row r="412">
          <cell r="C412" t="str">
            <v>Granito  40 x  40 cm</v>
          </cell>
          <cell r="D412" t="str">
            <v>m2</v>
          </cell>
          <cell r="E412">
            <v>242500</v>
          </cell>
        </row>
        <row r="413">
          <cell r="C413" t="str">
            <v>Guiding Block Warna t  =  6 cm</v>
          </cell>
          <cell r="D413" t="str">
            <v>m2</v>
          </cell>
          <cell r="E413">
            <v>330600</v>
          </cell>
        </row>
        <row r="414">
          <cell r="C414" t="str">
            <v>Homogenous tile 30x30 cm</v>
          </cell>
          <cell r="D414" t="str">
            <v>buah</v>
          </cell>
          <cell r="E414">
            <v>20000</v>
          </cell>
        </row>
        <row r="415">
          <cell r="C415" t="str">
            <v>Homogenous tile 40x40 cm</v>
          </cell>
          <cell r="D415" t="str">
            <v>buah</v>
          </cell>
          <cell r="E415">
            <v>30000</v>
          </cell>
        </row>
        <row r="416">
          <cell r="C416" t="str">
            <v>Homogenous tile 60x60 cm</v>
          </cell>
          <cell r="D416" t="str">
            <v>buah</v>
          </cell>
          <cell r="E416">
            <v>50000</v>
          </cell>
        </row>
        <row r="417">
          <cell r="C417" t="str">
            <v>Homogenous tile dinding 30x30 cm</v>
          </cell>
          <cell r="D417" t="str">
            <v>buah</v>
          </cell>
          <cell r="E417">
            <v>22000</v>
          </cell>
        </row>
        <row r="418">
          <cell r="C418" t="str">
            <v>Homogenous tile dinding 40x40 cm</v>
          </cell>
          <cell r="D418" t="str">
            <v>buah</v>
          </cell>
          <cell r="E418">
            <v>30000</v>
          </cell>
        </row>
        <row r="419">
          <cell r="C419" t="str">
            <v>Homogenous tile dinding 60x60 cm</v>
          </cell>
          <cell r="D419" t="str">
            <v>buah</v>
          </cell>
          <cell r="E419">
            <v>35000</v>
          </cell>
        </row>
        <row r="420">
          <cell r="C420" t="str">
            <v>Karpet</v>
          </cell>
          <cell r="D420" t="str">
            <v>m2</v>
          </cell>
          <cell r="E420">
            <v>45000</v>
          </cell>
        </row>
        <row r="421">
          <cell r="C421" t="str">
            <v>Keramik  20  x 25  cm</v>
          </cell>
          <cell r="D421" t="str">
            <v>buah</v>
          </cell>
          <cell r="E421">
            <v>2400</v>
          </cell>
        </row>
        <row r="422">
          <cell r="C422" t="str">
            <v>Keramik 10 x  20 cm</v>
          </cell>
          <cell r="D422" t="str">
            <v>buah</v>
          </cell>
          <cell r="E422">
            <v>2300</v>
          </cell>
        </row>
        <row r="423">
          <cell r="C423" t="str">
            <v>Keramik 20x20 cm</v>
          </cell>
          <cell r="D423" t="str">
            <v>buah</v>
          </cell>
          <cell r="E423">
            <v>2200</v>
          </cell>
        </row>
        <row r="424">
          <cell r="C424" t="str">
            <v>Keramik 25 x  25 cm</v>
          </cell>
          <cell r="D424" t="str">
            <v>buah</v>
          </cell>
          <cell r="E424">
            <v>3100</v>
          </cell>
        </row>
        <row r="425">
          <cell r="C425" t="str">
            <v>Keramik 30x30 cm</v>
          </cell>
          <cell r="D425" t="str">
            <v>buah</v>
          </cell>
          <cell r="E425">
            <v>4000</v>
          </cell>
        </row>
        <row r="426">
          <cell r="C426" t="str">
            <v>Keramik 40x40 cm</v>
          </cell>
          <cell r="D426" t="str">
            <v>buah</v>
          </cell>
          <cell r="E426">
            <v>8100</v>
          </cell>
        </row>
        <row r="427">
          <cell r="C427" t="str">
            <v>Keramik 60x60 cm</v>
          </cell>
          <cell r="D427" t="str">
            <v>buah</v>
          </cell>
          <cell r="E427">
            <v>12000</v>
          </cell>
        </row>
        <row r="428">
          <cell r="C428" t="str">
            <v>Keramik artistik 10x10 cm</v>
          </cell>
          <cell r="D428" t="str">
            <v>buah</v>
          </cell>
          <cell r="E428">
            <v>1500</v>
          </cell>
        </row>
        <row r="429">
          <cell r="C429" t="str">
            <v>Keramik artistik 20x20 cm</v>
          </cell>
          <cell r="D429" t="str">
            <v>buah</v>
          </cell>
          <cell r="E429">
            <v>2000</v>
          </cell>
        </row>
        <row r="430">
          <cell r="C430" t="str">
            <v>Keramik artistik 30x30 cm</v>
          </cell>
          <cell r="D430" t="str">
            <v>buah</v>
          </cell>
          <cell r="E430">
            <v>3000</v>
          </cell>
        </row>
        <row r="431">
          <cell r="C431" t="str">
            <v>Keramik artistik 40x40 cm</v>
          </cell>
          <cell r="D431" t="str">
            <v>buah</v>
          </cell>
          <cell r="E431">
            <v>4000</v>
          </cell>
        </row>
        <row r="432">
          <cell r="C432" t="str">
            <v>Keramik artistik 8x8 cm</v>
          </cell>
          <cell r="D432" t="str">
            <v>buah</v>
          </cell>
          <cell r="E432">
            <v>1000</v>
          </cell>
        </row>
        <row r="433">
          <cell r="C433" t="str">
            <v>Keramik cuting 50x50</v>
          </cell>
          <cell r="D433" t="str">
            <v>buah</v>
          </cell>
          <cell r="E433">
            <v>27500</v>
          </cell>
        </row>
        <row r="434">
          <cell r="C434" t="str">
            <v>Keramik dinding 10x20 cm</v>
          </cell>
          <cell r="D434" t="str">
            <v>buah</v>
          </cell>
          <cell r="E434">
            <v>2000</v>
          </cell>
        </row>
        <row r="435">
          <cell r="C435" t="str">
            <v>Keramik dinding 20x20 cm</v>
          </cell>
          <cell r="D435" t="str">
            <v>buah</v>
          </cell>
          <cell r="E435">
            <v>3000</v>
          </cell>
        </row>
        <row r="436">
          <cell r="C436" t="str">
            <v>Keramik dinding artistik 10x20 cm</v>
          </cell>
          <cell r="D436" t="str">
            <v>buah</v>
          </cell>
          <cell r="E436">
            <v>2500</v>
          </cell>
        </row>
        <row r="437">
          <cell r="C437" t="str">
            <v>Keramik dinding artistik 5x20 cm</v>
          </cell>
          <cell r="D437" t="str">
            <v>buah</v>
          </cell>
          <cell r="E437">
            <v>2000</v>
          </cell>
        </row>
        <row r="438">
          <cell r="C438" t="str">
            <v>Lamparquet  Kayu Merbau 1x6x20cm</v>
          </cell>
          <cell r="D438" t="str">
            <v>m2</v>
          </cell>
          <cell r="E438">
            <v>190000</v>
          </cell>
        </row>
        <row r="439">
          <cell r="C439" t="str">
            <v>Lamparquet  Kayu Merbau 1x9x20cm</v>
          </cell>
          <cell r="D439" t="str">
            <v>m2</v>
          </cell>
          <cell r="E439">
            <v>200000</v>
          </cell>
        </row>
        <row r="440">
          <cell r="C440" t="str">
            <v>Lantai engineering wood</v>
          </cell>
          <cell r="D440" t="str">
            <v>m2</v>
          </cell>
          <cell r="E440">
            <v>200000</v>
          </cell>
        </row>
        <row r="441">
          <cell r="C441" t="str">
            <v>Lantai Parket  Jati grade A   1,2x5x17 cm</v>
          </cell>
          <cell r="D441" t="str">
            <v>m2</v>
          </cell>
          <cell r="E441">
            <v>175000</v>
          </cell>
        </row>
        <row r="442">
          <cell r="C442" t="str">
            <v>Lantai Parket  Jati grade A   1,2x5x20cm</v>
          </cell>
          <cell r="D442" t="str">
            <v>m2</v>
          </cell>
          <cell r="E442">
            <v>222000</v>
          </cell>
        </row>
        <row r="443">
          <cell r="C443" t="str">
            <v>Lantai Parket  Jati grade A   1,2x5x25 cm</v>
          </cell>
          <cell r="D443" t="str">
            <v>m2</v>
          </cell>
          <cell r="E443">
            <v>250000</v>
          </cell>
        </row>
        <row r="444">
          <cell r="C444" t="str">
            <v>Lantai Parket  Jati grade A   1,2x5x30 cm</v>
          </cell>
          <cell r="D444" t="str">
            <v>m2</v>
          </cell>
          <cell r="E444">
            <v>280000</v>
          </cell>
        </row>
        <row r="445">
          <cell r="C445" t="str">
            <v>Lantai Parket  Jati grade B   1,2x5x17 cm</v>
          </cell>
          <cell r="D445" t="str">
            <v>m2</v>
          </cell>
          <cell r="E445">
            <v>160000</v>
          </cell>
        </row>
        <row r="446">
          <cell r="C446" t="str">
            <v>Lantai Parket  Jati grade B   1,2x5x20cm</v>
          </cell>
          <cell r="D446" t="str">
            <v>m2</v>
          </cell>
          <cell r="E446">
            <v>195000</v>
          </cell>
        </row>
        <row r="447">
          <cell r="C447" t="str">
            <v>Lantai Parket  Jati grade B   1,2x5x25 cm</v>
          </cell>
          <cell r="D447" t="str">
            <v>m2</v>
          </cell>
          <cell r="E447">
            <v>210000</v>
          </cell>
        </row>
        <row r="448">
          <cell r="C448" t="str">
            <v>Lantai Parket  Jati grade B   1,2x5x30 cm</v>
          </cell>
          <cell r="D448" t="str">
            <v>m2</v>
          </cell>
          <cell r="E448">
            <v>250000</v>
          </cell>
        </row>
        <row r="449">
          <cell r="C449" t="str">
            <v>Lantai Parket  Jati grade C   1,2x5x20cm</v>
          </cell>
          <cell r="D449" t="str">
            <v>m2</v>
          </cell>
          <cell r="E449">
            <v>140000</v>
          </cell>
        </row>
        <row r="450">
          <cell r="C450" t="str">
            <v>Lantai Parket  Jati grade C   1,2x5x25 cm</v>
          </cell>
          <cell r="D450" t="str">
            <v>m2</v>
          </cell>
          <cell r="E450">
            <v>150000</v>
          </cell>
        </row>
        <row r="451">
          <cell r="C451" t="str">
            <v>Lantai Parket  Jati grade C   1,2x5x30 cm</v>
          </cell>
          <cell r="D451" t="str">
            <v>m2</v>
          </cell>
          <cell r="E451">
            <v>160000</v>
          </cell>
        </row>
        <row r="452">
          <cell r="C452" t="str">
            <v>Lem</v>
          </cell>
          <cell r="D452" t="str">
            <v>kg</v>
          </cell>
          <cell r="E452">
            <v>60000</v>
          </cell>
        </row>
        <row r="453">
          <cell r="C453" t="str">
            <v>Marmer</v>
          </cell>
          <cell r="D453" t="str">
            <v>buah</v>
          </cell>
          <cell r="E453">
            <v>800000</v>
          </cell>
        </row>
        <row r="454">
          <cell r="C454" t="str">
            <v>Marmer</v>
          </cell>
          <cell r="D454" t="str">
            <v>m2</v>
          </cell>
          <cell r="E454">
            <v>492600</v>
          </cell>
        </row>
        <row r="455">
          <cell r="C455" t="str">
            <v>Mozaik porselen 10 x  20 cm</v>
          </cell>
          <cell r="D455" t="str">
            <v>m2</v>
          </cell>
          <cell r="E455">
            <v>73400</v>
          </cell>
        </row>
        <row r="456">
          <cell r="C456" t="str">
            <v>Mozaik porselen 15 x  15 cm</v>
          </cell>
          <cell r="D456" t="str">
            <v>m2</v>
          </cell>
          <cell r="E456">
            <v>74400</v>
          </cell>
        </row>
        <row r="457">
          <cell r="C457" t="str">
            <v>Mozaik porselen 20 x  20 cm</v>
          </cell>
          <cell r="D457" t="str">
            <v>m2</v>
          </cell>
          <cell r="E457">
            <v>75400</v>
          </cell>
        </row>
        <row r="458">
          <cell r="C458" t="str">
            <v>Mozaik porselen 20 x  25 cm</v>
          </cell>
          <cell r="D458" t="str">
            <v>m2</v>
          </cell>
          <cell r="E458">
            <v>75400</v>
          </cell>
        </row>
        <row r="459">
          <cell r="C459" t="str">
            <v>Parquet kayu solid</v>
          </cell>
          <cell r="D459" t="str">
            <v>m2</v>
          </cell>
          <cell r="E459">
            <v>306600</v>
          </cell>
        </row>
        <row r="460">
          <cell r="C460" t="str">
            <v>Plint  Kayu 10 cm</v>
          </cell>
          <cell r="D460" t="str">
            <v>buah</v>
          </cell>
          <cell r="E460">
            <v>85000</v>
          </cell>
        </row>
        <row r="461">
          <cell r="C461" t="str">
            <v>Plint  keramik 10 x  20 cm</v>
          </cell>
          <cell r="D461" t="str">
            <v>buah</v>
          </cell>
          <cell r="E461">
            <v>8200</v>
          </cell>
        </row>
        <row r="462">
          <cell r="C462" t="str">
            <v>Plint  keramik 5 x  20 cm</v>
          </cell>
          <cell r="D462" t="str">
            <v>buah</v>
          </cell>
          <cell r="E462">
            <v>3400</v>
          </cell>
        </row>
        <row r="463">
          <cell r="C463" t="str">
            <v>Plint granit 10 cm x 40 cm</v>
          </cell>
          <cell r="D463" t="str">
            <v>buah</v>
          </cell>
          <cell r="E463">
            <v>24000</v>
          </cell>
        </row>
        <row r="464">
          <cell r="C464" t="str">
            <v>Plint granit 10cm x 30cm</v>
          </cell>
          <cell r="D464" t="str">
            <v>buah</v>
          </cell>
          <cell r="E464">
            <v>22600</v>
          </cell>
        </row>
        <row r="465">
          <cell r="C465" t="str">
            <v>Plint homogenous tile uk. 10-15x30 cm</v>
          </cell>
          <cell r="D465" t="str">
            <v>buah</v>
          </cell>
          <cell r="E465">
            <v>5000</v>
          </cell>
        </row>
        <row r="466">
          <cell r="C466" t="str">
            <v>Plint homogenous tile uk. 10-15x40 cm</v>
          </cell>
          <cell r="D466" t="str">
            <v>buah</v>
          </cell>
          <cell r="E466">
            <v>7000</v>
          </cell>
        </row>
        <row r="467">
          <cell r="C467" t="str">
            <v>Plint homogenous tile uk. 10-15x60 cm</v>
          </cell>
          <cell r="D467" t="str">
            <v>buah</v>
          </cell>
          <cell r="E467">
            <v>10000</v>
          </cell>
        </row>
        <row r="468">
          <cell r="C468" t="str">
            <v>Plint internal cove uk. 5x5x20 cm</v>
          </cell>
          <cell r="D468" t="str">
            <v>buah</v>
          </cell>
          <cell r="E468">
            <v>5000</v>
          </cell>
        </row>
        <row r="469">
          <cell r="C469" t="str">
            <v>Plint keramik  10  x 30  cm</v>
          </cell>
          <cell r="D469" t="str">
            <v>buah</v>
          </cell>
          <cell r="E469">
            <v>15300</v>
          </cell>
        </row>
        <row r="470">
          <cell r="C470" t="str">
            <v>Plint keramik uk. 10-15x20 cm</v>
          </cell>
          <cell r="D470" t="str">
            <v>buah</v>
          </cell>
          <cell r="E470">
            <v>2000</v>
          </cell>
        </row>
        <row r="471">
          <cell r="C471" t="str">
            <v>Plint keramik uk. 10-15x30 cm</v>
          </cell>
          <cell r="D471" t="str">
            <v>buah</v>
          </cell>
          <cell r="E471">
            <v>3000</v>
          </cell>
        </row>
        <row r="472">
          <cell r="C472" t="str">
            <v>Plint keramik uk. 10-15x40 cm</v>
          </cell>
          <cell r="D472" t="str">
            <v>buah</v>
          </cell>
          <cell r="E472">
            <v>4000</v>
          </cell>
        </row>
        <row r="473">
          <cell r="C473" t="str">
            <v>Plint keramik uk. 10-15x60 cm</v>
          </cell>
          <cell r="D473" t="str">
            <v>buah</v>
          </cell>
          <cell r="E473">
            <v>5000</v>
          </cell>
        </row>
        <row r="474">
          <cell r="C474" t="str">
            <v>Plint teralux kerang uk. 10-15x30 cm</v>
          </cell>
          <cell r="D474" t="str">
            <v>buah</v>
          </cell>
          <cell r="E474">
            <v>2000</v>
          </cell>
        </row>
        <row r="475">
          <cell r="C475" t="str">
            <v>Plint teralux kerang uk. 10-15x40 cm</v>
          </cell>
          <cell r="D475" t="str">
            <v>buah</v>
          </cell>
          <cell r="E475">
            <v>3000</v>
          </cell>
        </row>
        <row r="476">
          <cell r="C476" t="str">
            <v>Plint teralux kerang uk. 10-15x60 cm</v>
          </cell>
          <cell r="D476" t="str">
            <v>buah</v>
          </cell>
          <cell r="E476">
            <v>4000</v>
          </cell>
        </row>
        <row r="477">
          <cell r="C477" t="str">
            <v>Plint teralux marmer uk. 10-15x30 cm</v>
          </cell>
          <cell r="D477" t="str">
            <v>buah</v>
          </cell>
          <cell r="E477">
            <v>2500</v>
          </cell>
        </row>
        <row r="478">
          <cell r="C478" t="str">
            <v>Plint teralux marmer uk. 10-15x40 cm</v>
          </cell>
          <cell r="D478" t="str">
            <v>buah</v>
          </cell>
          <cell r="E478">
            <v>3000</v>
          </cell>
        </row>
        <row r="479">
          <cell r="C479" t="str">
            <v>Plint teralux marmer uk. 10-15x60 cm</v>
          </cell>
          <cell r="D479" t="str">
            <v>buah</v>
          </cell>
          <cell r="E479">
            <v>4000</v>
          </cell>
        </row>
        <row r="480">
          <cell r="C480" t="str">
            <v>Plint ubin granit uk. 10-15x30 cm</v>
          </cell>
          <cell r="D480" t="str">
            <v>buah</v>
          </cell>
          <cell r="E480">
            <v>6000</v>
          </cell>
        </row>
        <row r="481">
          <cell r="C481" t="str">
            <v>Plint ubin granit uk. 10-15x40 cm</v>
          </cell>
          <cell r="D481" t="str">
            <v>buah</v>
          </cell>
          <cell r="E481">
            <v>8000</v>
          </cell>
        </row>
        <row r="482">
          <cell r="C482" t="str">
            <v>Plint ubin granit uk. 10-15x60 cm</v>
          </cell>
          <cell r="D482" t="str">
            <v>buah</v>
          </cell>
          <cell r="E482">
            <v>10000</v>
          </cell>
        </row>
        <row r="483">
          <cell r="C483" t="str">
            <v>Plint ubin PC abu-abu uk. 10-15x20 cm</v>
          </cell>
          <cell r="D483" t="str">
            <v>buah</v>
          </cell>
          <cell r="E483">
            <v>1000</v>
          </cell>
        </row>
        <row r="484">
          <cell r="C484" t="str">
            <v>Plint ubin PC abu-abu uk. 10-15x30 cm</v>
          </cell>
          <cell r="D484" t="str">
            <v>buah</v>
          </cell>
          <cell r="E484">
            <v>1500</v>
          </cell>
        </row>
        <row r="485">
          <cell r="C485" t="str">
            <v>Plint ubin PC abu-abu uk. 10-15x40 cm</v>
          </cell>
          <cell r="D485" t="str">
            <v>buah</v>
          </cell>
          <cell r="E485">
            <v>2000</v>
          </cell>
        </row>
        <row r="486">
          <cell r="C486" t="str">
            <v>Plint ubin PC abu-abu uk. 10-15x60 cm</v>
          </cell>
          <cell r="D486" t="str">
            <v>buah</v>
          </cell>
          <cell r="E486">
            <v>2500</v>
          </cell>
        </row>
        <row r="487">
          <cell r="C487" t="str">
            <v>Plint ubin teraso uk. 10-15x30 cm</v>
          </cell>
          <cell r="D487" t="str">
            <v>buah</v>
          </cell>
          <cell r="E487">
            <v>4000</v>
          </cell>
        </row>
        <row r="488">
          <cell r="C488" t="str">
            <v>Plint ubin teraso uk. 10-15x40 cm</v>
          </cell>
          <cell r="D488" t="str">
            <v>buah</v>
          </cell>
          <cell r="E488">
            <v>6000</v>
          </cell>
        </row>
        <row r="489">
          <cell r="C489" t="str">
            <v>Plint ubin warna uk. 10-15x20 cm</v>
          </cell>
          <cell r="D489" t="str">
            <v>buah</v>
          </cell>
          <cell r="E489">
            <v>1500</v>
          </cell>
        </row>
        <row r="490">
          <cell r="C490" t="str">
            <v>Plint ubin warna uk. 10-15x30 cm</v>
          </cell>
          <cell r="D490" t="str">
            <v>buah</v>
          </cell>
          <cell r="E490">
            <v>2000</v>
          </cell>
        </row>
        <row r="491">
          <cell r="C491" t="str">
            <v>Plint ubin warna uk. 10-15x40 cm</v>
          </cell>
          <cell r="D491" t="str">
            <v>buah</v>
          </cell>
          <cell r="E491">
            <v>3000</v>
          </cell>
        </row>
        <row r="492">
          <cell r="C492" t="str">
            <v>Plint ubin warna uk. 10-15x60 cm</v>
          </cell>
          <cell r="D492" t="str">
            <v>buah</v>
          </cell>
          <cell r="E492">
            <v>4500</v>
          </cell>
        </row>
        <row r="493">
          <cell r="C493" t="str">
            <v>Porselen 10x20 cm</v>
          </cell>
          <cell r="D493" t="str">
            <v>buah</v>
          </cell>
          <cell r="E493">
            <v>2000</v>
          </cell>
        </row>
        <row r="494">
          <cell r="C494" t="str">
            <v>Porselen 11x11 cm</v>
          </cell>
          <cell r="D494" t="str">
            <v>buah</v>
          </cell>
          <cell r="E494">
            <v>1000</v>
          </cell>
        </row>
        <row r="495">
          <cell r="C495" t="str">
            <v>Porselen 11x11 cm</v>
          </cell>
          <cell r="D495" t="str">
            <v>dus</v>
          </cell>
          <cell r="E495">
            <v>83000</v>
          </cell>
        </row>
        <row r="496">
          <cell r="C496" t="str">
            <v>Porselen 20x20 cm</v>
          </cell>
          <cell r="D496" t="str">
            <v>buah</v>
          </cell>
          <cell r="E496">
            <v>4000</v>
          </cell>
        </row>
        <row r="497">
          <cell r="C497" t="str">
            <v>Tangga Papan</v>
          </cell>
          <cell r="D497" t="str">
            <v>m2</v>
          </cell>
          <cell r="E497">
            <v>160000</v>
          </cell>
        </row>
        <row r="498">
          <cell r="C498" t="str">
            <v>Tangga Parquet  /  Flooring</v>
          </cell>
          <cell r="D498" t="str">
            <v>m2</v>
          </cell>
          <cell r="E498">
            <v>180000</v>
          </cell>
        </row>
        <row r="499">
          <cell r="C499" t="str">
            <v>Tegel plint, PC  abu-abu 15 x  20 cm</v>
          </cell>
          <cell r="D499" t="str">
            <v>buah</v>
          </cell>
          <cell r="E499">
            <v>6100</v>
          </cell>
        </row>
        <row r="500">
          <cell r="C500" t="str">
            <v>Tegel plint, PC  warna 10 x  20 cm</v>
          </cell>
          <cell r="D500" t="str">
            <v>buah</v>
          </cell>
          <cell r="E500">
            <v>5300</v>
          </cell>
        </row>
        <row r="501">
          <cell r="C501" t="str">
            <v>Teraso cor</v>
          </cell>
          <cell r="D501" t="str">
            <v>m3</v>
          </cell>
          <cell r="E501">
            <v>3500000</v>
          </cell>
        </row>
        <row r="502">
          <cell r="C502" t="str">
            <v>Ubin granit 30x30 cm</v>
          </cell>
          <cell r="D502" t="str">
            <v>buah</v>
          </cell>
          <cell r="E502">
            <v>14200</v>
          </cell>
        </row>
        <row r="503">
          <cell r="C503" t="str">
            <v>Ubin granit 40x40 cm</v>
          </cell>
          <cell r="D503" t="str">
            <v>buah</v>
          </cell>
          <cell r="E503">
            <v>20000</v>
          </cell>
        </row>
        <row r="504">
          <cell r="C504" t="str">
            <v>Ubin granit 60x60 cm</v>
          </cell>
          <cell r="D504" t="str">
            <v>buah</v>
          </cell>
          <cell r="E504">
            <v>30000</v>
          </cell>
        </row>
        <row r="505">
          <cell r="C505" t="str">
            <v>Ubin PC abu-abu 20x20 cm</v>
          </cell>
          <cell r="D505" t="str">
            <v>buah</v>
          </cell>
          <cell r="E505">
            <v>2000</v>
          </cell>
        </row>
        <row r="506">
          <cell r="C506" t="str">
            <v>Ubin PC abu-abu 30x30 cm</v>
          </cell>
          <cell r="D506" t="str">
            <v>buah</v>
          </cell>
          <cell r="E506">
            <v>3400</v>
          </cell>
        </row>
        <row r="507">
          <cell r="C507" t="str">
            <v>Ubin PC abu-abu 40x40 cm</v>
          </cell>
          <cell r="D507" t="str">
            <v>buah</v>
          </cell>
          <cell r="E507">
            <v>4600</v>
          </cell>
        </row>
        <row r="508">
          <cell r="C508" t="str">
            <v>Ubin PC abu-abu 60x60 cm</v>
          </cell>
          <cell r="D508" t="str">
            <v>buah</v>
          </cell>
          <cell r="E508">
            <v>6000</v>
          </cell>
        </row>
        <row r="509">
          <cell r="C509" t="str">
            <v>Ubin porselen lokal 11 x  11 putih</v>
          </cell>
          <cell r="D509" t="str">
            <v>dos</v>
          </cell>
          <cell r="E509">
            <v>43800</v>
          </cell>
        </row>
        <row r="510">
          <cell r="C510" t="str">
            <v>Ubin porselen lokal 11 x  11 warna</v>
          </cell>
          <cell r="D510" t="str">
            <v>dos</v>
          </cell>
          <cell r="E510">
            <v>46900</v>
          </cell>
        </row>
        <row r="511">
          <cell r="C511" t="str">
            <v>Ubin porselen lokal 15 x  15 putih</v>
          </cell>
          <cell r="D511" t="str">
            <v>dos</v>
          </cell>
          <cell r="E511">
            <v>48400</v>
          </cell>
        </row>
        <row r="512">
          <cell r="C512" t="str">
            <v>Ubin porselen lokal 15 x  15 warna</v>
          </cell>
          <cell r="D512" t="str">
            <v>dos</v>
          </cell>
          <cell r="E512">
            <v>49900</v>
          </cell>
        </row>
        <row r="513">
          <cell r="C513" t="str">
            <v>Ubin teralux marmer 30x30 cm</v>
          </cell>
          <cell r="D513" t="str">
            <v>buah</v>
          </cell>
          <cell r="E513">
            <v>45000</v>
          </cell>
        </row>
        <row r="514">
          <cell r="C514" t="str">
            <v>Ubin teralux marmer 40x40 cm</v>
          </cell>
          <cell r="D514" t="str">
            <v>buah</v>
          </cell>
          <cell r="E514">
            <v>60000</v>
          </cell>
        </row>
        <row r="515">
          <cell r="C515" t="str">
            <v>Ubin teralux marmer 60x60 cm</v>
          </cell>
          <cell r="D515" t="str">
            <v>buah</v>
          </cell>
          <cell r="E515">
            <v>70000</v>
          </cell>
        </row>
        <row r="516">
          <cell r="C516" t="str">
            <v>Ubin teraso 30x30 cm</v>
          </cell>
          <cell r="D516" t="str">
            <v>buah</v>
          </cell>
          <cell r="E516">
            <v>24000</v>
          </cell>
        </row>
        <row r="517">
          <cell r="C517" t="str">
            <v>Ubin teraso 40x40 cm</v>
          </cell>
          <cell r="D517" t="str">
            <v>buah</v>
          </cell>
          <cell r="E517">
            <v>30000</v>
          </cell>
        </row>
        <row r="518">
          <cell r="C518" t="str">
            <v>Ubin warna 20x20 cm</v>
          </cell>
          <cell r="D518" t="str">
            <v>buah</v>
          </cell>
          <cell r="E518">
            <v>2000</v>
          </cell>
        </row>
        <row r="519">
          <cell r="C519" t="str">
            <v>Ubin warna 30x30 cm</v>
          </cell>
          <cell r="D519" t="str">
            <v>buah</v>
          </cell>
          <cell r="E519">
            <v>4500</v>
          </cell>
        </row>
        <row r="520">
          <cell r="C520" t="str">
            <v>Ubin warna 40x40 cm</v>
          </cell>
          <cell r="D520" t="str">
            <v>buah</v>
          </cell>
          <cell r="E520">
            <v>6000</v>
          </cell>
        </row>
        <row r="521">
          <cell r="C521" t="str">
            <v>Ubin warna 60x60 cm</v>
          </cell>
          <cell r="D521" t="str">
            <v>buah</v>
          </cell>
          <cell r="E521">
            <v>8000</v>
          </cell>
        </row>
        <row r="522">
          <cell r="C522" t="str">
            <v>Underlayer karpet</v>
          </cell>
          <cell r="D522" t="str">
            <v>m2</v>
          </cell>
          <cell r="E522">
            <v>10000</v>
          </cell>
        </row>
        <row r="523">
          <cell r="C523" t="str">
            <v>UPVC decking</v>
          </cell>
          <cell r="D523" t="str">
            <v>m2</v>
          </cell>
          <cell r="E523">
            <v>500000</v>
          </cell>
        </row>
        <row r="524">
          <cell r="C524" t="str">
            <v>Vinyl</v>
          </cell>
          <cell r="D524" t="str">
            <v>buah</v>
          </cell>
          <cell r="E524">
            <v>7000</v>
          </cell>
        </row>
        <row r="525">
          <cell r="C525" t="str">
            <v>MATERIAL BETON DAN ADUKAN PASANGAN</v>
          </cell>
        </row>
        <row r="526">
          <cell r="C526" t="str">
            <v>Additive</v>
          </cell>
          <cell r="D526" t="str">
            <v>liter</v>
          </cell>
          <cell r="E526">
            <v>51600</v>
          </cell>
        </row>
        <row r="527">
          <cell r="C527" t="str">
            <v>Adukan beton berpori (Aggregat  10/20mm) ready mix</v>
          </cell>
          <cell r="D527" t="str">
            <v>m3</v>
          </cell>
          <cell r="E527">
            <v>2250000</v>
          </cell>
        </row>
        <row r="528">
          <cell r="C528" t="str">
            <v>Adukan beton K-100 ready mix</v>
          </cell>
          <cell r="D528" t="str">
            <v>m3</v>
          </cell>
          <cell r="E528">
            <v>788100</v>
          </cell>
        </row>
        <row r="529">
          <cell r="C529" t="str">
            <v>Adukan beton K-125 ready mix</v>
          </cell>
          <cell r="D529" t="str">
            <v>m3</v>
          </cell>
          <cell r="E529">
            <v>805600</v>
          </cell>
        </row>
        <row r="530">
          <cell r="C530" t="str">
            <v>Adukan beton K-175 ready mix</v>
          </cell>
          <cell r="D530" t="str">
            <v>m3</v>
          </cell>
          <cell r="E530">
            <v>848100</v>
          </cell>
        </row>
        <row r="531">
          <cell r="C531" t="str">
            <v>Adukan beton K-200 ready mix</v>
          </cell>
          <cell r="D531" t="str">
            <v>m3</v>
          </cell>
          <cell r="E531">
            <v>869200</v>
          </cell>
        </row>
        <row r="532">
          <cell r="C532" t="str">
            <v>Adukan beton K-225 ready mix</v>
          </cell>
          <cell r="D532" t="str">
            <v>m3</v>
          </cell>
          <cell r="E532">
            <v>887700</v>
          </cell>
        </row>
        <row r="533">
          <cell r="C533" t="str">
            <v>Adukan beton K-250 ready mix</v>
          </cell>
          <cell r="D533" t="str">
            <v>m3</v>
          </cell>
          <cell r="E533">
            <v>911300</v>
          </cell>
        </row>
        <row r="534">
          <cell r="C534" t="str">
            <v>Adukan beton K-275 ready mix</v>
          </cell>
          <cell r="D534" t="str">
            <v>m3</v>
          </cell>
          <cell r="E534">
            <v>937100</v>
          </cell>
        </row>
        <row r="535">
          <cell r="C535" t="str">
            <v>Adukan beton K-300 ready mix</v>
          </cell>
          <cell r="D535" t="str">
            <v>m3</v>
          </cell>
          <cell r="E535">
            <v>961200</v>
          </cell>
        </row>
        <row r="536">
          <cell r="C536" t="str">
            <v>Adukan beton K-350 ready mix</v>
          </cell>
          <cell r="D536" t="str">
            <v>m3</v>
          </cell>
          <cell r="E536">
            <v>1001900</v>
          </cell>
        </row>
        <row r="537">
          <cell r="C537" t="str">
            <v>Adukan beton K-400 ready mix</v>
          </cell>
          <cell r="D537" t="str">
            <v>m3</v>
          </cell>
          <cell r="E537">
            <v>1066100</v>
          </cell>
        </row>
        <row r="538">
          <cell r="C538" t="str">
            <v>Adukan beton K-500 ready mix</v>
          </cell>
          <cell r="D538" t="str">
            <v>m3</v>
          </cell>
          <cell r="E538">
            <v>1152800</v>
          </cell>
        </row>
        <row r="539">
          <cell r="C539" t="str">
            <v>Compound gypsum</v>
          </cell>
          <cell r="D539" t="str">
            <v>kg</v>
          </cell>
          <cell r="E539">
            <v>3500</v>
          </cell>
        </row>
        <row r="540">
          <cell r="C540" t="str">
            <v>Compound hardboard</v>
          </cell>
          <cell r="D540" t="str">
            <v>kg</v>
          </cell>
          <cell r="E540">
            <v>3700</v>
          </cell>
        </row>
        <row r="541">
          <cell r="C541" t="str">
            <v>Curing compound</v>
          </cell>
          <cell r="D541" t="str">
            <v>liter</v>
          </cell>
          <cell r="E541">
            <v>44100</v>
          </cell>
        </row>
        <row r="542">
          <cell r="C542" t="str">
            <v>Flexible waterproofing</v>
          </cell>
          <cell r="D542" t="str">
            <v>kg</v>
          </cell>
          <cell r="E542">
            <v>52400</v>
          </cell>
        </row>
        <row r="543">
          <cell r="C543" t="str">
            <v>Formtie/penjaga jarak bekesting/spacer</v>
          </cell>
          <cell r="D543" t="str">
            <v>buah</v>
          </cell>
          <cell r="E543">
            <v>7000</v>
          </cell>
        </row>
        <row r="544">
          <cell r="C544" t="str">
            <v>Kassa</v>
          </cell>
          <cell r="D544" t="str">
            <v>m'</v>
          </cell>
          <cell r="E544">
            <v>8100</v>
          </cell>
        </row>
        <row r="545">
          <cell r="C545" t="str">
            <v>Kolom beton pracetak panjang 220 cm</v>
          </cell>
          <cell r="D545" t="str">
            <v>batang</v>
          </cell>
          <cell r="E545">
            <v>282000</v>
          </cell>
        </row>
        <row r="546">
          <cell r="C546" t="str">
            <v>Panel beton pracetak 240x40x5 cm</v>
          </cell>
          <cell r="D546" t="str">
            <v>lembar</v>
          </cell>
          <cell r="E546">
            <v>125000</v>
          </cell>
        </row>
        <row r="547">
          <cell r="C547" t="str">
            <v>Paper tape hardboard</v>
          </cell>
          <cell r="D547" t="str">
            <v>m'</v>
          </cell>
          <cell r="E547">
            <v>4800</v>
          </cell>
        </row>
        <row r="548">
          <cell r="C548" t="str">
            <v>Pengisi khusus  rongga nat</v>
          </cell>
          <cell r="D548" t="str">
            <v>kg</v>
          </cell>
          <cell r="E548">
            <v>15500</v>
          </cell>
        </row>
        <row r="549">
          <cell r="C549" t="str">
            <v>Perekat  khusus  penutup dinding</v>
          </cell>
          <cell r="D549" t="str">
            <v>kg</v>
          </cell>
          <cell r="E549">
            <v>21100</v>
          </cell>
        </row>
        <row r="550">
          <cell r="C550" t="str">
            <v>Perekat  khusus  penutup lantai</v>
          </cell>
          <cell r="D550" t="str">
            <v>kg</v>
          </cell>
          <cell r="E550">
            <v>17200</v>
          </cell>
        </row>
        <row r="551">
          <cell r="C551" t="str">
            <v>Semen 40 Kg</v>
          </cell>
          <cell r="D551" t="str">
            <v>zak</v>
          </cell>
          <cell r="E551">
            <v>46600</v>
          </cell>
        </row>
        <row r="552">
          <cell r="C552" t="str">
            <v>Semen 50 Kg</v>
          </cell>
          <cell r="D552" t="str">
            <v>zak</v>
          </cell>
          <cell r="E552">
            <v>58200</v>
          </cell>
        </row>
        <row r="553">
          <cell r="C553" t="str">
            <v>Semen grout</v>
          </cell>
          <cell r="D553" t="str">
            <v>kg</v>
          </cell>
          <cell r="E553">
            <v>6000</v>
          </cell>
        </row>
        <row r="554">
          <cell r="C554" t="str">
            <v>Semen merah</v>
          </cell>
          <cell r="D554" t="str">
            <v>kg</v>
          </cell>
          <cell r="E554">
            <v>15800</v>
          </cell>
        </row>
        <row r="555">
          <cell r="C555" t="str">
            <v>Semen Merk II 40 Kg</v>
          </cell>
          <cell r="D555" t="str">
            <v>zak</v>
          </cell>
          <cell r="E555">
            <v>46500</v>
          </cell>
        </row>
        <row r="556">
          <cell r="C556" t="str">
            <v>Semen Merk II 50 Kg</v>
          </cell>
          <cell r="D556" t="str">
            <v>zak</v>
          </cell>
          <cell r="E556">
            <v>57600</v>
          </cell>
        </row>
        <row r="557">
          <cell r="C557" t="str">
            <v>Semen nat</v>
          </cell>
          <cell r="D557" t="str">
            <v>kg</v>
          </cell>
          <cell r="E557">
            <v>16100</v>
          </cell>
        </row>
        <row r="558">
          <cell r="C558" t="str">
            <v>Semen portland</v>
          </cell>
          <cell r="D558" t="str">
            <v>kg</v>
          </cell>
          <cell r="E558">
            <v>1300</v>
          </cell>
        </row>
        <row r="559">
          <cell r="C559" t="str">
            <v>Semen putih 40 Kg</v>
          </cell>
          <cell r="D559" t="str">
            <v>zak</v>
          </cell>
          <cell r="E559">
            <v>89700</v>
          </cell>
        </row>
        <row r="560">
          <cell r="C560" t="str">
            <v>Semen putih 50 Kg</v>
          </cell>
          <cell r="D560" t="str">
            <v>zak</v>
          </cell>
          <cell r="E560">
            <v>97700</v>
          </cell>
        </row>
        <row r="561">
          <cell r="C561" t="str">
            <v>Semen warna</v>
          </cell>
          <cell r="D561" t="str">
            <v>kg</v>
          </cell>
          <cell r="E561">
            <v>7800</v>
          </cell>
        </row>
        <row r="562">
          <cell r="C562" t="str">
            <v>Waterproofing</v>
          </cell>
          <cell r="D562" t="str">
            <v>kg</v>
          </cell>
          <cell r="E562">
            <v>61200</v>
          </cell>
        </row>
        <row r="563">
          <cell r="C563" t="str">
            <v>MATERIAL CAT</v>
          </cell>
        </row>
        <row r="564">
          <cell r="C564" t="str">
            <v>Cat  anti karat</v>
          </cell>
          <cell r="D564" t="str">
            <v>kg</v>
          </cell>
          <cell r="E564">
            <v>58200</v>
          </cell>
        </row>
        <row r="565">
          <cell r="C565" t="str">
            <v>Cat  besi</v>
          </cell>
          <cell r="D565" t="str">
            <v>kg</v>
          </cell>
          <cell r="E565">
            <v>62800</v>
          </cell>
        </row>
        <row r="566">
          <cell r="C566" t="str">
            <v>Cat  coating</v>
          </cell>
          <cell r="D566" t="str">
            <v>liter</v>
          </cell>
          <cell r="E566">
            <v>75700</v>
          </cell>
        </row>
        <row r="567">
          <cell r="C567" t="str">
            <v>Cat  genteng</v>
          </cell>
          <cell r="D567" t="str">
            <v>kg</v>
          </cell>
          <cell r="E567">
            <v>52800</v>
          </cell>
        </row>
        <row r="568">
          <cell r="C568" t="str">
            <v>Cat  tembok per 20 kg</v>
          </cell>
          <cell r="D568" t="str">
            <v>kg</v>
          </cell>
          <cell r="E568">
            <v>528800</v>
          </cell>
        </row>
        <row r="569">
          <cell r="C569" t="str">
            <v>Cat antara (cat besi)</v>
          </cell>
          <cell r="D569" t="str">
            <v>kg</v>
          </cell>
          <cell r="E569">
            <v>49700</v>
          </cell>
        </row>
        <row r="570">
          <cell r="C570" t="str">
            <v>Cat dasar (cat besi)</v>
          </cell>
          <cell r="D570" t="str">
            <v>kg</v>
          </cell>
          <cell r="E570">
            <v>52300</v>
          </cell>
        </row>
        <row r="571">
          <cell r="C571" t="str">
            <v>Cat dasar (cat kayu)</v>
          </cell>
          <cell r="D571" t="str">
            <v>kg</v>
          </cell>
          <cell r="E571">
            <v>38200</v>
          </cell>
        </row>
        <row r="572">
          <cell r="C572" t="str">
            <v>Cat dasar (cat tembok eksterior)</v>
          </cell>
          <cell r="D572" t="str">
            <v>kg</v>
          </cell>
          <cell r="E572">
            <v>128500</v>
          </cell>
        </row>
        <row r="573">
          <cell r="C573" t="str">
            <v>Cat dasar (cat tembok interior)</v>
          </cell>
          <cell r="D573" t="str">
            <v>kg</v>
          </cell>
          <cell r="E573">
            <v>119100</v>
          </cell>
        </row>
        <row r="574">
          <cell r="C574" t="str">
            <v>Cat epoxy</v>
          </cell>
          <cell r="D574" t="str">
            <v>kg</v>
          </cell>
          <cell r="E574">
            <v>30000</v>
          </cell>
        </row>
        <row r="575">
          <cell r="C575" t="str">
            <v>Cat kedap  air  ( water  base)</v>
          </cell>
          <cell r="D575" t="str">
            <v>kg</v>
          </cell>
          <cell r="E575">
            <v>53300</v>
          </cell>
        </row>
        <row r="576">
          <cell r="C576" t="str">
            <v>Cat penutup (cat besi)</v>
          </cell>
          <cell r="D576" t="str">
            <v>kg</v>
          </cell>
          <cell r="E576">
            <v>54700</v>
          </cell>
        </row>
        <row r="577">
          <cell r="C577" t="str">
            <v>Cat penutup (cat kayu)</v>
          </cell>
          <cell r="D577" t="str">
            <v>kg</v>
          </cell>
          <cell r="E577">
            <v>58500</v>
          </cell>
        </row>
        <row r="578">
          <cell r="C578" t="str">
            <v>Cat penutup (cat tembok eksterior)</v>
          </cell>
          <cell r="D578" t="str">
            <v>kg</v>
          </cell>
          <cell r="E578">
            <v>136600</v>
          </cell>
        </row>
        <row r="579">
          <cell r="C579" t="str">
            <v>Cat penutup (cat tembok interior)</v>
          </cell>
          <cell r="D579" t="str">
            <v>kg</v>
          </cell>
          <cell r="E579">
            <v>130500</v>
          </cell>
        </row>
        <row r="580">
          <cell r="C580" t="str">
            <v>Cat zyncromate</v>
          </cell>
          <cell r="D580" t="str">
            <v>kg</v>
          </cell>
          <cell r="E580">
            <v>26000</v>
          </cell>
        </row>
        <row r="581">
          <cell r="C581" t="str">
            <v>Dempul</v>
          </cell>
          <cell r="D581" t="str">
            <v>kg</v>
          </cell>
          <cell r="E581">
            <v>33500</v>
          </cell>
        </row>
        <row r="582">
          <cell r="C582" t="str">
            <v>Dempul jadi</v>
          </cell>
          <cell r="D582" t="str">
            <v>kg</v>
          </cell>
          <cell r="E582">
            <v>35500</v>
          </cell>
        </row>
        <row r="583">
          <cell r="C583" t="str">
            <v>Kuas  1"</v>
          </cell>
          <cell r="D583" t="str">
            <v>buah</v>
          </cell>
          <cell r="E583">
            <v>7100</v>
          </cell>
        </row>
        <row r="584">
          <cell r="C584" t="str">
            <v>Kuas  2"</v>
          </cell>
          <cell r="D584" t="str">
            <v>buah</v>
          </cell>
          <cell r="E584">
            <v>9800</v>
          </cell>
        </row>
        <row r="585">
          <cell r="C585" t="str">
            <v>Kuas  4"</v>
          </cell>
          <cell r="D585" t="str">
            <v>buah</v>
          </cell>
          <cell r="E585">
            <v>14100</v>
          </cell>
        </row>
        <row r="586">
          <cell r="C586" t="str">
            <v>Kuas 3 inch</v>
          </cell>
          <cell r="D586" t="str">
            <v>buah</v>
          </cell>
          <cell r="E586">
            <v>10400</v>
          </cell>
        </row>
        <row r="587">
          <cell r="C587" t="str">
            <v>Melamic</v>
          </cell>
          <cell r="D587" t="str">
            <v>kg</v>
          </cell>
          <cell r="E587">
            <v>60000</v>
          </cell>
        </row>
        <row r="588">
          <cell r="C588" t="str">
            <v>Meni besi</v>
          </cell>
          <cell r="D588" t="str">
            <v>kg</v>
          </cell>
          <cell r="E588">
            <v>39700</v>
          </cell>
        </row>
        <row r="589">
          <cell r="C589" t="str">
            <v>Meni kayu</v>
          </cell>
          <cell r="D589" t="str">
            <v>kg</v>
          </cell>
          <cell r="E589">
            <v>34500</v>
          </cell>
        </row>
        <row r="590">
          <cell r="C590" t="str">
            <v>Pelitur</v>
          </cell>
          <cell r="D590" t="str">
            <v>liter</v>
          </cell>
          <cell r="E590">
            <v>73700</v>
          </cell>
        </row>
        <row r="591">
          <cell r="C591" t="str">
            <v>Pelitur jadi</v>
          </cell>
          <cell r="D591" t="str">
            <v>liter</v>
          </cell>
          <cell r="E591">
            <v>66200</v>
          </cell>
        </row>
        <row r="592">
          <cell r="C592" t="str">
            <v>Pengencer cat kayu/besi</v>
          </cell>
          <cell r="D592" t="str">
            <v>liter</v>
          </cell>
          <cell r="E592">
            <v>20000</v>
          </cell>
        </row>
        <row r="593">
          <cell r="C593" t="str">
            <v>Pengencer cat kayu/besi</v>
          </cell>
          <cell r="D593" t="str">
            <v>kg</v>
          </cell>
          <cell r="E593">
            <v>17400</v>
          </cell>
        </row>
        <row r="594">
          <cell r="C594" t="str">
            <v>Pewarna Beton</v>
          </cell>
          <cell r="D594" t="str">
            <v>kg</v>
          </cell>
          <cell r="E594">
            <v>75000</v>
          </cell>
        </row>
        <row r="595">
          <cell r="C595" t="str">
            <v>Plamir kayu</v>
          </cell>
          <cell r="D595" t="str">
            <v>kg</v>
          </cell>
          <cell r="E595">
            <v>30100</v>
          </cell>
        </row>
        <row r="596">
          <cell r="C596" t="str">
            <v>Plamir tembok</v>
          </cell>
          <cell r="D596" t="str">
            <v>kg</v>
          </cell>
          <cell r="E596">
            <v>26500</v>
          </cell>
        </row>
        <row r="597">
          <cell r="C597" t="str">
            <v>Sanding</v>
          </cell>
          <cell r="D597" t="str">
            <v>kg</v>
          </cell>
          <cell r="E597">
            <v>90000</v>
          </cell>
        </row>
        <row r="598">
          <cell r="C598" t="str">
            <v>Vernis</v>
          </cell>
          <cell r="D598" t="str">
            <v>liter</v>
          </cell>
          <cell r="E598">
            <v>44500</v>
          </cell>
        </row>
        <row r="599">
          <cell r="C599" t="str">
            <v>Wood filler</v>
          </cell>
          <cell r="D599" t="str">
            <v>kg</v>
          </cell>
          <cell r="E599">
            <v>53000</v>
          </cell>
        </row>
        <row r="600">
          <cell r="C600" t="str">
            <v>Woodstain</v>
          </cell>
          <cell r="D600" t="str">
            <v>kg</v>
          </cell>
          <cell r="E600">
            <v>87000</v>
          </cell>
        </row>
        <row r="601">
          <cell r="C601" t="str">
            <v>MATERIAL KUNCI DAN ENGSEL</v>
          </cell>
        </row>
        <row r="602">
          <cell r="C602" t="str">
            <v>1 set  kunci pintu (kw  1)</v>
          </cell>
          <cell r="D602" t="str">
            <v>buah</v>
          </cell>
          <cell r="E602">
            <v>180900</v>
          </cell>
        </row>
        <row r="603">
          <cell r="C603" t="str">
            <v>1 set  kunci pintu (kw  2)</v>
          </cell>
          <cell r="D603" t="str">
            <v>buah</v>
          </cell>
          <cell r="E603">
            <v>117900</v>
          </cell>
        </row>
        <row r="604">
          <cell r="C604" t="str">
            <v>1 set handle+kunci</v>
          </cell>
          <cell r="D604" t="str">
            <v>buah</v>
          </cell>
          <cell r="E604">
            <v>279000</v>
          </cell>
        </row>
        <row r="605">
          <cell r="C605" t="str">
            <v>Door closer</v>
          </cell>
          <cell r="D605" t="str">
            <v>buah</v>
          </cell>
          <cell r="E605">
            <v>167500</v>
          </cell>
        </row>
        <row r="606">
          <cell r="C606" t="str">
            <v>Door holder</v>
          </cell>
          <cell r="D606" t="str">
            <v>buah</v>
          </cell>
          <cell r="E606">
            <v>81000</v>
          </cell>
        </row>
        <row r="607">
          <cell r="C607" t="str">
            <v>Door stop</v>
          </cell>
          <cell r="D607" t="str">
            <v>buah</v>
          </cell>
          <cell r="E607">
            <v>58500</v>
          </cell>
        </row>
        <row r="608">
          <cell r="C608" t="str">
            <v>Engsel angin</v>
          </cell>
          <cell r="D608" t="str">
            <v>buah</v>
          </cell>
          <cell r="E608">
            <v>27400</v>
          </cell>
        </row>
        <row r="609">
          <cell r="C609" t="str">
            <v>Engsel jendela</v>
          </cell>
          <cell r="D609" t="str">
            <v>buah</v>
          </cell>
          <cell r="E609">
            <v>18900</v>
          </cell>
        </row>
        <row r="610">
          <cell r="C610" t="str">
            <v>Engsel kupu-kupu</v>
          </cell>
          <cell r="D610" t="str">
            <v>buah</v>
          </cell>
          <cell r="E610">
            <v>41700</v>
          </cell>
        </row>
        <row r="611">
          <cell r="C611" t="str">
            <v>Engsel lengan jendela</v>
          </cell>
          <cell r="D611" t="str">
            <v>buah</v>
          </cell>
          <cell r="E611">
            <v>26500</v>
          </cell>
        </row>
        <row r="612">
          <cell r="C612" t="str">
            <v>Engsel pintu (kw 1)</v>
          </cell>
          <cell r="D612" t="str">
            <v>buah</v>
          </cell>
          <cell r="E612">
            <v>31500</v>
          </cell>
        </row>
        <row r="613">
          <cell r="C613" t="str">
            <v>Engsel pintu (kw 2)</v>
          </cell>
          <cell r="D613" t="str">
            <v>buah</v>
          </cell>
          <cell r="E613">
            <v>23700</v>
          </cell>
        </row>
        <row r="614">
          <cell r="C614" t="str">
            <v>Floor hinge</v>
          </cell>
          <cell r="D614" t="str">
            <v>buah</v>
          </cell>
          <cell r="E614">
            <v>500000</v>
          </cell>
        </row>
        <row r="615">
          <cell r="C615" t="str">
            <v>Gerendel Biasa</v>
          </cell>
          <cell r="D615" t="str">
            <v>buah</v>
          </cell>
          <cell r="E615">
            <v>32600</v>
          </cell>
        </row>
        <row r="616">
          <cell r="C616" t="str">
            <v>Grendel</v>
          </cell>
          <cell r="D616" t="str">
            <v>buah</v>
          </cell>
          <cell r="E616">
            <v>15000</v>
          </cell>
        </row>
        <row r="617">
          <cell r="C617" t="str">
            <v>Grendel tanam</v>
          </cell>
          <cell r="D617" t="str">
            <v>buah</v>
          </cell>
          <cell r="E617">
            <v>150000</v>
          </cell>
        </row>
        <row r="618">
          <cell r="C618" t="str">
            <v>Handle pintu (kw  1)</v>
          </cell>
          <cell r="D618" t="str">
            <v>buah</v>
          </cell>
          <cell r="E618">
            <v>140800</v>
          </cell>
        </row>
        <row r="619">
          <cell r="C619" t="str">
            <v>Kait angin</v>
          </cell>
          <cell r="D619" t="str">
            <v>buah</v>
          </cell>
          <cell r="E619">
            <v>12000</v>
          </cell>
        </row>
        <row r="620">
          <cell r="C620" t="str">
            <v>Kunci lemari</v>
          </cell>
          <cell r="D620" t="str">
            <v>buah</v>
          </cell>
          <cell r="E620">
            <v>14100</v>
          </cell>
        </row>
        <row r="621">
          <cell r="C621" t="str">
            <v>Kunci silinder</v>
          </cell>
          <cell r="D621" t="str">
            <v>buah</v>
          </cell>
          <cell r="E621">
            <v>70000</v>
          </cell>
        </row>
        <row r="622">
          <cell r="C622" t="str">
            <v>Kunci slot</v>
          </cell>
          <cell r="D622" t="str">
            <v>buah</v>
          </cell>
          <cell r="E622">
            <v>101300</v>
          </cell>
        </row>
        <row r="623">
          <cell r="C623" t="str">
            <v>Kunci tanam antik</v>
          </cell>
          <cell r="D623" t="str">
            <v>buah</v>
          </cell>
          <cell r="E623">
            <v>144300</v>
          </cell>
        </row>
        <row r="624">
          <cell r="C624" t="str">
            <v>Kunci tanam biasa</v>
          </cell>
          <cell r="D624" t="str">
            <v>buah</v>
          </cell>
          <cell r="E624">
            <v>65800</v>
          </cell>
        </row>
        <row r="625">
          <cell r="C625" t="str">
            <v>Kunci Tanam ex  lokal 2x  slag</v>
          </cell>
          <cell r="D625" t="str">
            <v>buah</v>
          </cell>
          <cell r="E625">
            <v>75000</v>
          </cell>
        </row>
        <row r="626">
          <cell r="C626" t="str">
            <v>Kunci tanam kamar mandi</v>
          </cell>
          <cell r="D626" t="str">
            <v>buah</v>
          </cell>
          <cell r="E626">
            <v>46900</v>
          </cell>
        </row>
        <row r="627">
          <cell r="C627" t="str">
            <v>Pull handle (kw  1)</v>
          </cell>
          <cell r="D627" t="str">
            <v>buah</v>
          </cell>
          <cell r="E627">
            <v>290800</v>
          </cell>
        </row>
        <row r="628">
          <cell r="C628" t="str">
            <v>Pull handle stainless  jumbo  (kw  1)</v>
          </cell>
          <cell r="D628" t="str">
            <v>buah</v>
          </cell>
          <cell r="E628">
            <v>435200</v>
          </cell>
        </row>
        <row r="629">
          <cell r="C629" t="str">
            <v>Rel pintu dorong</v>
          </cell>
          <cell r="D629" t="str">
            <v>set</v>
          </cell>
          <cell r="E629">
            <v>243100</v>
          </cell>
        </row>
        <row r="630">
          <cell r="C630" t="str">
            <v>Spring knip</v>
          </cell>
          <cell r="D630" t="str">
            <v>buah</v>
          </cell>
          <cell r="E630">
            <v>21600</v>
          </cell>
        </row>
        <row r="631">
          <cell r="C631" t="str">
            <v>Tarikan Pintu Stainless</v>
          </cell>
          <cell r="D631" t="str">
            <v>buah</v>
          </cell>
          <cell r="E631">
            <v>60000</v>
          </cell>
        </row>
        <row r="632">
          <cell r="C632" t="str">
            <v>Venetions blinds dan vertical blinds</v>
          </cell>
          <cell r="D632" t="str">
            <v>m2</v>
          </cell>
          <cell r="E632">
            <v>140000</v>
          </cell>
        </row>
        <row r="633">
          <cell r="C633" t="str">
            <v>MATERIAL KACA</v>
          </cell>
        </row>
        <row r="634">
          <cell r="C634" t="str">
            <v>Glass block 20x20 cm</v>
          </cell>
          <cell r="D634" t="str">
            <v>buah</v>
          </cell>
          <cell r="E634">
            <v>2500</v>
          </cell>
        </row>
        <row r="635">
          <cell r="C635" t="str">
            <v>Jendela nako</v>
          </cell>
          <cell r="D635" t="str">
            <v>buah</v>
          </cell>
          <cell r="E635">
            <v>400000</v>
          </cell>
        </row>
        <row r="636">
          <cell r="C636" t="str">
            <v>Jendela nako (rangka+kaca 5 mm)</v>
          </cell>
          <cell r="D636" t="str">
            <v>m2</v>
          </cell>
          <cell r="E636">
            <v>242000</v>
          </cell>
        </row>
        <row r="637">
          <cell r="C637" t="str">
            <v>Kaca buram 12mm</v>
          </cell>
          <cell r="D637" t="str">
            <v>m2</v>
          </cell>
          <cell r="E637">
            <v>317000</v>
          </cell>
        </row>
        <row r="638">
          <cell r="C638" t="str">
            <v>Kaca cermin 5 mm</v>
          </cell>
          <cell r="D638" t="str">
            <v>m2</v>
          </cell>
          <cell r="E638">
            <v>221400</v>
          </cell>
        </row>
        <row r="639">
          <cell r="C639" t="str">
            <v>Kaca cermin 6mm</v>
          </cell>
          <cell r="D639" t="str">
            <v>m2</v>
          </cell>
          <cell r="E639">
            <v>270900</v>
          </cell>
        </row>
        <row r="640">
          <cell r="C640" t="str">
            <v>Kaca cermin 8 mm</v>
          </cell>
          <cell r="D640" t="str">
            <v>m2</v>
          </cell>
          <cell r="E640">
            <v>796100</v>
          </cell>
        </row>
        <row r="641">
          <cell r="C641" t="str">
            <v>Kaca es  kabur 3 mm</v>
          </cell>
          <cell r="D641" t="str">
            <v>m2</v>
          </cell>
          <cell r="E641">
            <v>85000</v>
          </cell>
        </row>
        <row r="642">
          <cell r="C642" t="str">
            <v>Kaca es  kabur 5 mm</v>
          </cell>
          <cell r="D642" t="str">
            <v>m2</v>
          </cell>
          <cell r="E642">
            <v>95000</v>
          </cell>
        </row>
        <row r="643">
          <cell r="C643" t="str">
            <v>Kaca gravire 5mm</v>
          </cell>
          <cell r="D643" t="str">
            <v>m2</v>
          </cell>
          <cell r="E643">
            <v>794400</v>
          </cell>
        </row>
        <row r="644">
          <cell r="C644" t="str">
            <v>Kaca gravire putih 5mm</v>
          </cell>
          <cell r="D644" t="str">
            <v>m2</v>
          </cell>
          <cell r="E644">
            <v>750000</v>
          </cell>
        </row>
        <row r="645">
          <cell r="C645" t="str">
            <v>Kaca laminated 12 mm</v>
          </cell>
          <cell r="D645" t="str">
            <v>m2</v>
          </cell>
          <cell r="E645">
            <v>900000</v>
          </cell>
        </row>
        <row r="646">
          <cell r="C646" t="str">
            <v>Kaca laminated 8 mm</v>
          </cell>
          <cell r="D646" t="str">
            <v>m2</v>
          </cell>
          <cell r="E646">
            <v>700000</v>
          </cell>
        </row>
        <row r="647">
          <cell r="C647" t="str">
            <v>Kaca lukis  alur 5mm</v>
          </cell>
          <cell r="D647" t="str">
            <v>m2</v>
          </cell>
          <cell r="E647">
            <v>688700</v>
          </cell>
        </row>
        <row r="648">
          <cell r="C648" t="str">
            <v>Kaca patri 5 mm</v>
          </cell>
          <cell r="D648" t="str">
            <v>m2</v>
          </cell>
          <cell r="E648">
            <v>1516300</v>
          </cell>
        </row>
        <row r="649">
          <cell r="C649" t="str">
            <v>Kaca polos 3 mm</v>
          </cell>
          <cell r="D649" t="str">
            <v>m2</v>
          </cell>
          <cell r="E649">
            <v>120000</v>
          </cell>
        </row>
        <row r="650">
          <cell r="C650" t="str">
            <v>Kaca polos 5 mm</v>
          </cell>
          <cell r="D650" t="str">
            <v>m2</v>
          </cell>
          <cell r="E650">
            <v>198000</v>
          </cell>
        </row>
        <row r="651">
          <cell r="C651" t="str">
            <v>Kaca polos 6 mm</v>
          </cell>
          <cell r="D651" t="str">
            <v>m2</v>
          </cell>
          <cell r="E651">
            <v>237000</v>
          </cell>
        </row>
        <row r="652">
          <cell r="C652" t="str">
            <v>Kaca polos 8 mm</v>
          </cell>
          <cell r="D652" t="str">
            <v>m2</v>
          </cell>
          <cell r="E652">
            <v>226400</v>
          </cell>
        </row>
        <row r="653">
          <cell r="C653" t="str">
            <v>Kaca tanpa tripel 5mm</v>
          </cell>
          <cell r="D653" t="str">
            <v>m2</v>
          </cell>
          <cell r="E653">
            <v>3447000</v>
          </cell>
        </row>
        <row r="654">
          <cell r="C654" t="str">
            <v>Kaca tempered 12 mm</v>
          </cell>
          <cell r="D654" t="str">
            <v>m2</v>
          </cell>
          <cell r="E654">
            <v>600000</v>
          </cell>
        </row>
        <row r="655">
          <cell r="C655" t="str">
            <v>Kaca triple 5mm</v>
          </cell>
          <cell r="D655" t="str">
            <v>m2</v>
          </cell>
          <cell r="E655">
            <v>3179400</v>
          </cell>
        </row>
        <row r="656">
          <cell r="C656" t="str">
            <v>Kaca triple platinum 5mm</v>
          </cell>
          <cell r="D656" t="str">
            <v>m2</v>
          </cell>
          <cell r="E656">
            <v>3702800</v>
          </cell>
        </row>
        <row r="657">
          <cell r="C657" t="str">
            <v>Kaca wireglass 5 mm</v>
          </cell>
          <cell r="D657" t="str">
            <v>m2</v>
          </cell>
          <cell r="E657">
            <v>144800</v>
          </cell>
        </row>
        <row r="658">
          <cell r="C658" t="str">
            <v>Profil kaca</v>
          </cell>
          <cell r="D658" t="str">
            <v>m¹</v>
          </cell>
          <cell r="E658">
            <v>14500</v>
          </cell>
        </row>
        <row r="659">
          <cell r="C659" t="str">
            <v>Ray Band 3mm</v>
          </cell>
          <cell r="D659" t="str">
            <v>m2</v>
          </cell>
          <cell r="E659">
            <v>85100</v>
          </cell>
        </row>
        <row r="660">
          <cell r="C660" t="str">
            <v>Ray Band 5mm</v>
          </cell>
          <cell r="D660" t="str">
            <v>m2</v>
          </cell>
          <cell r="E660">
            <v>112400</v>
          </cell>
        </row>
        <row r="661">
          <cell r="C661" t="str">
            <v>MATERIAL SANITAIR</v>
          </cell>
        </row>
        <row r="662">
          <cell r="C662" t="str">
            <v>Bak  reservoir  fibreglass (kapasitas 1050  liter)</v>
          </cell>
          <cell r="D662" t="str">
            <v>buah</v>
          </cell>
          <cell r="E662">
            <v>1793400</v>
          </cell>
        </row>
        <row r="663">
          <cell r="C663" t="str">
            <v>Bak  reservoir  fibreglass (kapasitas 1200  liter)</v>
          </cell>
          <cell r="D663" t="str">
            <v>buah</v>
          </cell>
          <cell r="E663">
            <v>1448700</v>
          </cell>
        </row>
        <row r="664">
          <cell r="C664" t="str">
            <v>Bak  reservoir  fibreglass (kapasitas 1550  liter)</v>
          </cell>
          <cell r="D664" t="str">
            <v>buah</v>
          </cell>
          <cell r="E664">
            <v>2125600</v>
          </cell>
        </row>
        <row r="665">
          <cell r="C665" t="str">
            <v>Bak  reservoir  fibreglass (kapasitas 2000  liter)</v>
          </cell>
          <cell r="D665" t="str">
            <v>buah</v>
          </cell>
          <cell r="E665">
            <v>2778200</v>
          </cell>
        </row>
        <row r="666">
          <cell r="C666" t="str">
            <v>Bak  reservoir  fibreglass (kapasitas 650  liter)</v>
          </cell>
          <cell r="D666" t="str">
            <v>buah</v>
          </cell>
          <cell r="E666">
            <v>868300</v>
          </cell>
        </row>
        <row r="667">
          <cell r="C667" t="str">
            <v>Bak cuci stainlesteel</v>
          </cell>
          <cell r="D667" t="str">
            <v>buah</v>
          </cell>
          <cell r="E667">
            <v>230600</v>
          </cell>
        </row>
        <row r="668">
          <cell r="C668" t="str">
            <v>Bak cuci teraso</v>
          </cell>
          <cell r="D668" t="str">
            <v>buah</v>
          </cell>
          <cell r="E668">
            <v>600000</v>
          </cell>
        </row>
        <row r="669">
          <cell r="C669" t="str">
            <v>Bak fiberglass 1 m3</v>
          </cell>
          <cell r="D669" t="str">
            <v>buah</v>
          </cell>
          <cell r="E669">
            <v>400000</v>
          </cell>
        </row>
        <row r="670">
          <cell r="C670" t="str">
            <v>Bak fiberglass 70x70x66 cm</v>
          </cell>
          <cell r="D670" t="str">
            <v>buah</v>
          </cell>
          <cell r="E670">
            <v>328400</v>
          </cell>
        </row>
        <row r="671">
          <cell r="C671" t="str">
            <v>Bak teraso</v>
          </cell>
          <cell r="D671" t="str">
            <v>buah</v>
          </cell>
          <cell r="E671">
            <v>450000</v>
          </cell>
        </row>
        <row r="672">
          <cell r="C672" t="str">
            <v>Bathup</v>
          </cell>
          <cell r="D672" t="str">
            <v>unit</v>
          </cell>
          <cell r="E672">
            <v>2500000</v>
          </cell>
        </row>
        <row r="673">
          <cell r="C673" t="str">
            <v>Carbon filter kap. 0,1 m3/hari</v>
          </cell>
          <cell r="D673" t="str">
            <v>unit</v>
          </cell>
          <cell r="E673">
            <v>650000</v>
          </cell>
        </row>
        <row r="674">
          <cell r="C674" t="str">
            <v>Carbon filter kap. 0,6 m3/hari</v>
          </cell>
          <cell r="D674" t="str">
            <v>unit</v>
          </cell>
          <cell r="E674">
            <v>3000000</v>
          </cell>
        </row>
        <row r="675">
          <cell r="C675" t="str">
            <v>Clean out</v>
          </cell>
          <cell r="D675" t="str">
            <v>buah</v>
          </cell>
          <cell r="E675">
            <v>70000</v>
          </cell>
        </row>
        <row r="676">
          <cell r="C676" t="str">
            <v>Flexible hose</v>
          </cell>
          <cell r="D676" t="str">
            <v>m'</v>
          </cell>
          <cell r="E676">
            <v>55000</v>
          </cell>
        </row>
        <row r="677">
          <cell r="C677" t="str">
            <v>Flexible hose</v>
          </cell>
          <cell r="D677" t="str">
            <v>buah</v>
          </cell>
          <cell r="E677">
            <v>50000</v>
          </cell>
        </row>
        <row r="678">
          <cell r="C678" t="str">
            <v>Floor drain stainles steel</v>
          </cell>
          <cell r="D678" t="str">
            <v>buah</v>
          </cell>
          <cell r="E678">
            <v>44700</v>
          </cell>
        </row>
        <row r="679">
          <cell r="C679" t="str">
            <v>Grab bar</v>
          </cell>
          <cell r="D679" t="str">
            <v>buah</v>
          </cell>
          <cell r="E679">
            <v>120000</v>
          </cell>
        </row>
        <row r="680">
          <cell r="C680" t="str">
            <v>Grease trap central fiberglass, kap. 5 m3</v>
          </cell>
          <cell r="D680" t="str">
            <v>unit</v>
          </cell>
          <cell r="E680">
            <v>20000000</v>
          </cell>
        </row>
        <row r="681">
          <cell r="C681" t="str">
            <v>Grease trap portable fiberglass, kap. 30 Liter</v>
          </cell>
          <cell r="D681" t="str">
            <v>unit</v>
          </cell>
          <cell r="E681">
            <v>1000000</v>
          </cell>
        </row>
        <row r="682">
          <cell r="C682" t="str">
            <v>Grease trap portable stainless, kap. 30 Liter</v>
          </cell>
          <cell r="D682" t="str">
            <v>unit</v>
          </cell>
          <cell r="E682">
            <v>1500000</v>
          </cell>
        </row>
        <row r="683">
          <cell r="C683" t="str">
            <v>Jet washer</v>
          </cell>
          <cell r="D683" t="str">
            <v>buah</v>
          </cell>
          <cell r="E683">
            <v>100000</v>
          </cell>
        </row>
        <row r="684">
          <cell r="C684" t="str">
            <v>Kloset duduk/monoblok</v>
          </cell>
          <cell r="D684" t="str">
            <v>buah</v>
          </cell>
          <cell r="E684">
            <v>1490000</v>
          </cell>
        </row>
        <row r="685">
          <cell r="C685" t="str">
            <v>Kloset jongkok</v>
          </cell>
          <cell r="D685" t="str">
            <v>buah</v>
          </cell>
          <cell r="E685">
            <v>250000</v>
          </cell>
        </row>
        <row r="686">
          <cell r="C686" t="str">
            <v>Komunal 10</v>
          </cell>
          <cell r="D686" t="str">
            <v>unit</v>
          </cell>
          <cell r="E686">
            <v>30000000</v>
          </cell>
        </row>
        <row r="687">
          <cell r="C687" t="str">
            <v>Komunal 100</v>
          </cell>
          <cell r="D687" t="str">
            <v>unit</v>
          </cell>
          <cell r="E687">
            <v>310000000</v>
          </cell>
        </row>
        <row r="688">
          <cell r="C688" t="str">
            <v>Komunal 125</v>
          </cell>
          <cell r="D688" t="str">
            <v>unit</v>
          </cell>
          <cell r="E688">
            <v>390000000</v>
          </cell>
        </row>
        <row r="689">
          <cell r="C689" t="str">
            <v>Komunal 150</v>
          </cell>
          <cell r="D689" t="str">
            <v>unit</v>
          </cell>
          <cell r="E689">
            <v>465000000</v>
          </cell>
        </row>
        <row r="690">
          <cell r="C690" t="str">
            <v>Komunal 25</v>
          </cell>
          <cell r="D690" t="str">
            <v>unit</v>
          </cell>
          <cell r="E690">
            <v>70000000</v>
          </cell>
        </row>
        <row r="691">
          <cell r="C691" t="str">
            <v>Komunal 50</v>
          </cell>
          <cell r="D691" t="str">
            <v>unit</v>
          </cell>
          <cell r="E691">
            <v>135000000</v>
          </cell>
        </row>
        <row r="692">
          <cell r="C692" t="str">
            <v>Komunal 75</v>
          </cell>
          <cell r="D692" t="str">
            <v>unit</v>
          </cell>
          <cell r="E692">
            <v>245000000</v>
          </cell>
        </row>
        <row r="693">
          <cell r="C693" t="str">
            <v>Kran air</v>
          </cell>
          <cell r="D693" t="str">
            <v>buah</v>
          </cell>
          <cell r="E693">
            <v>41700</v>
          </cell>
        </row>
        <row r="694">
          <cell r="C694" t="str">
            <v>Partisi urinoir</v>
          </cell>
          <cell r="D694" t="str">
            <v>buah</v>
          </cell>
          <cell r="E694">
            <v>700000</v>
          </cell>
        </row>
        <row r="695">
          <cell r="C695" t="str">
            <v>Pintu kubikel</v>
          </cell>
          <cell r="D695" t="str">
            <v>set</v>
          </cell>
          <cell r="E695">
            <v>1000000</v>
          </cell>
        </row>
        <row r="696">
          <cell r="C696" t="str">
            <v>Pompa booster 150 lpm (vertical in line-packaged)</v>
          </cell>
          <cell r="D696" t="str">
            <v>unit</v>
          </cell>
          <cell r="E696">
            <v>1200000</v>
          </cell>
        </row>
        <row r="697">
          <cell r="C697" t="str">
            <v>Pompa booster 450 lpm (centrifugal end suction)</v>
          </cell>
          <cell r="D697" t="str">
            <v>unit</v>
          </cell>
          <cell r="E697">
            <v>2970000</v>
          </cell>
        </row>
        <row r="698">
          <cell r="C698" t="str">
            <v>Pompa jet 100 lpm</v>
          </cell>
          <cell r="D698" t="str">
            <v>unit</v>
          </cell>
          <cell r="E698">
            <v>2000000</v>
          </cell>
        </row>
        <row r="699">
          <cell r="C699" t="str">
            <v>Pompa jet 27 lpm</v>
          </cell>
          <cell r="D699" t="str">
            <v>unit</v>
          </cell>
          <cell r="E699">
            <v>900000</v>
          </cell>
        </row>
        <row r="700">
          <cell r="C700" t="str">
            <v>Pompa jet 34 lpm</v>
          </cell>
          <cell r="D700" t="str">
            <v>unit</v>
          </cell>
          <cell r="E700">
            <v>1200000</v>
          </cell>
        </row>
        <row r="701">
          <cell r="C701" t="str">
            <v>Pompa lift 250 lpm</v>
          </cell>
          <cell r="D701" t="str">
            <v>unit</v>
          </cell>
          <cell r="E701">
            <v>3500000</v>
          </cell>
        </row>
        <row r="702">
          <cell r="C702" t="str">
            <v>Pompa lift 80 lpm</v>
          </cell>
          <cell r="D702" t="str">
            <v>unit</v>
          </cell>
          <cell r="E702">
            <v>1000000</v>
          </cell>
        </row>
        <row r="703">
          <cell r="C703" t="str">
            <v>Pompa transfer 150 lpm (centrifugal end suction)</v>
          </cell>
          <cell r="D703" t="str">
            <v>unit</v>
          </cell>
          <cell r="E703">
            <v>1000000</v>
          </cell>
        </row>
        <row r="704">
          <cell r="C704" t="str">
            <v>Pressure tank 1.000 liter</v>
          </cell>
          <cell r="D704" t="str">
            <v>unit</v>
          </cell>
          <cell r="E704">
            <v>17000000</v>
          </cell>
        </row>
        <row r="705">
          <cell r="C705" t="str">
            <v>Priming tank fiber 1.000 liter</v>
          </cell>
          <cell r="D705" t="str">
            <v>unit</v>
          </cell>
          <cell r="E705">
            <v>2850000</v>
          </cell>
        </row>
        <row r="706">
          <cell r="C706" t="str">
            <v>Priming tank fiber 2.000 liter</v>
          </cell>
          <cell r="D706" t="str">
            <v>unit</v>
          </cell>
          <cell r="E706">
            <v>4000000</v>
          </cell>
        </row>
        <row r="707">
          <cell r="C707" t="str">
            <v>Priming tank fiber 500 liter</v>
          </cell>
          <cell r="D707" t="str">
            <v>unit</v>
          </cell>
          <cell r="E707">
            <v>1300000</v>
          </cell>
        </row>
        <row r="708">
          <cell r="C708" t="str">
            <v>Priming tank fiber 800 liter</v>
          </cell>
          <cell r="D708" t="str">
            <v>unit</v>
          </cell>
          <cell r="E708">
            <v>2080000</v>
          </cell>
        </row>
        <row r="709">
          <cell r="C709" t="str">
            <v>Robe hook</v>
          </cell>
          <cell r="D709" t="str">
            <v>buah</v>
          </cell>
          <cell r="E709">
            <v>70000</v>
          </cell>
        </row>
        <row r="710">
          <cell r="C710" t="str">
            <v>Roof tank fiberglass kap. 12 m3</v>
          </cell>
          <cell r="D710" t="str">
            <v>unit</v>
          </cell>
          <cell r="E710">
            <v>36000000</v>
          </cell>
        </row>
        <row r="711">
          <cell r="C711" t="str">
            <v>Roof tank fiberglass kap. 2 m3</v>
          </cell>
          <cell r="D711" t="str">
            <v>unit</v>
          </cell>
          <cell r="E711">
            <v>6000000</v>
          </cell>
        </row>
        <row r="712">
          <cell r="C712" t="str">
            <v>Roof tank fiberglass kap. 4 m3</v>
          </cell>
          <cell r="D712" t="str">
            <v>unit</v>
          </cell>
          <cell r="E712">
            <v>12000000</v>
          </cell>
        </row>
        <row r="713">
          <cell r="C713" t="str">
            <v>Roof tank stainless kap. 12 m3</v>
          </cell>
          <cell r="D713" t="str">
            <v>unit</v>
          </cell>
          <cell r="E713">
            <v>48000000</v>
          </cell>
        </row>
        <row r="714">
          <cell r="C714" t="str">
            <v>Roof tank stainless kap. 2 m3</v>
          </cell>
          <cell r="D714" t="str">
            <v>unit</v>
          </cell>
          <cell r="E714">
            <v>6400000</v>
          </cell>
        </row>
        <row r="715">
          <cell r="C715" t="str">
            <v>Roof tank stainless kap. 4 m3</v>
          </cell>
          <cell r="D715" t="str">
            <v>unit</v>
          </cell>
          <cell r="E715">
            <v>15000000</v>
          </cell>
        </row>
        <row r="716">
          <cell r="C716" t="str">
            <v>Sand filter kap. 0,1 m3/hari</v>
          </cell>
          <cell r="D716" t="str">
            <v>unit</v>
          </cell>
          <cell r="E716">
            <v>2500000</v>
          </cell>
        </row>
        <row r="717">
          <cell r="C717" t="str">
            <v>Sand filter kap. 14 m3/hari</v>
          </cell>
          <cell r="D717" t="str">
            <v>unit</v>
          </cell>
          <cell r="E717">
            <v>4800000</v>
          </cell>
        </row>
        <row r="718">
          <cell r="C718" t="str">
            <v>Sekat kubikel</v>
          </cell>
          <cell r="D718" t="str">
            <v>m2</v>
          </cell>
          <cell r="E718">
            <v>1200000</v>
          </cell>
        </row>
        <row r="719">
          <cell r="C719" t="str">
            <v>Septic  0,6</v>
          </cell>
          <cell r="D719" t="str">
            <v>unit</v>
          </cell>
          <cell r="E719">
            <v>3200000</v>
          </cell>
        </row>
        <row r="720">
          <cell r="C720" t="str">
            <v>Septic  0,8</v>
          </cell>
          <cell r="D720" t="str">
            <v>unit</v>
          </cell>
          <cell r="E720">
            <v>3500000</v>
          </cell>
        </row>
        <row r="721">
          <cell r="C721" t="str">
            <v>Septic  1</v>
          </cell>
          <cell r="D721" t="str">
            <v>unit</v>
          </cell>
          <cell r="E721">
            <v>3600000</v>
          </cell>
        </row>
        <row r="722">
          <cell r="C722" t="str">
            <v>Septic  2</v>
          </cell>
          <cell r="D722" t="str">
            <v>unit</v>
          </cell>
          <cell r="E722">
            <v>4600000</v>
          </cell>
        </row>
        <row r="723">
          <cell r="C723" t="str">
            <v>Septic  5</v>
          </cell>
          <cell r="D723" t="str">
            <v>unit</v>
          </cell>
          <cell r="E723">
            <v>16000000</v>
          </cell>
        </row>
        <row r="724">
          <cell r="C724" t="str">
            <v>Sewage Treatment Plant (STP) fiberglass kap. 10 m3</v>
          </cell>
          <cell r="D724" t="str">
            <v>unit</v>
          </cell>
          <cell r="E724">
            <v>53200000</v>
          </cell>
        </row>
        <row r="725">
          <cell r="C725" t="str">
            <v>Sewage Treatment Plant (STP) fiberglass kap. 2 m3</v>
          </cell>
          <cell r="D725" t="str">
            <v>unit</v>
          </cell>
          <cell r="E725">
            <v>19500000</v>
          </cell>
        </row>
        <row r="726">
          <cell r="C726" t="str">
            <v>Sewage Treatment Plant (STP) fiberglass kap. 30 m3</v>
          </cell>
          <cell r="D726" t="str">
            <v>unit</v>
          </cell>
          <cell r="E726">
            <v>100000000</v>
          </cell>
        </row>
        <row r="727">
          <cell r="C727" t="str">
            <v>Sewage Treatment Plant (STP) fiberglass kap. 5 m3</v>
          </cell>
          <cell r="D727" t="str">
            <v>unit</v>
          </cell>
          <cell r="E727">
            <v>33000000</v>
          </cell>
        </row>
        <row r="728">
          <cell r="C728" t="str">
            <v>Sewage Treatment Plant (STP) precast kap. 30 m3</v>
          </cell>
          <cell r="D728" t="str">
            <v>unit</v>
          </cell>
          <cell r="E728">
            <v>84000000</v>
          </cell>
        </row>
        <row r="729">
          <cell r="C729" t="str">
            <v>Silika filter kap. 0,1 m3/hari</v>
          </cell>
          <cell r="D729" t="str">
            <v>unit</v>
          </cell>
          <cell r="E729">
            <v>500000</v>
          </cell>
        </row>
        <row r="730">
          <cell r="C730" t="str">
            <v>Soap holder</v>
          </cell>
          <cell r="D730" t="str">
            <v>buah</v>
          </cell>
          <cell r="E730">
            <v>150000</v>
          </cell>
        </row>
        <row r="731">
          <cell r="C731" t="str">
            <v>Stop kran PVC 1/2"</v>
          </cell>
          <cell r="D731" t="str">
            <v>buah</v>
          </cell>
          <cell r="E731">
            <v>4000</v>
          </cell>
        </row>
        <row r="732">
          <cell r="C732" t="str">
            <v>Stop kran PVC 3/4"</v>
          </cell>
          <cell r="D732" t="str">
            <v>buah</v>
          </cell>
          <cell r="E732">
            <v>6000</v>
          </cell>
        </row>
        <row r="733">
          <cell r="C733" t="str">
            <v>Submersible cutter pump kap. 100 lpm</v>
          </cell>
          <cell r="D733" t="str">
            <v>unit</v>
          </cell>
          <cell r="E733">
            <v>8500000</v>
          </cell>
        </row>
        <row r="734">
          <cell r="C734" t="str">
            <v>Tangki toren kap. 0,7 m3</v>
          </cell>
          <cell r="D734" t="str">
            <v>unit</v>
          </cell>
          <cell r="E734">
            <v>1100000</v>
          </cell>
        </row>
        <row r="735">
          <cell r="C735" t="str">
            <v>Tangki toren kap. 1,5 m3</v>
          </cell>
          <cell r="D735" t="str">
            <v>unit</v>
          </cell>
          <cell r="E735">
            <v>1700000</v>
          </cell>
        </row>
        <row r="736">
          <cell r="C736" t="str">
            <v>Tangki toren kap. 2,5 m3</v>
          </cell>
          <cell r="D736" t="str">
            <v>unit</v>
          </cell>
          <cell r="E736">
            <v>3400000</v>
          </cell>
        </row>
        <row r="737">
          <cell r="C737" t="str">
            <v>Tangki toren kap. 3 m3</v>
          </cell>
          <cell r="D737" t="str">
            <v>unit</v>
          </cell>
          <cell r="E737">
            <v>4600000</v>
          </cell>
        </row>
        <row r="738">
          <cell r="C738" t="str">
            <v>Tangki toren kap. 4 m3</v>
          </cell>
          <cell r="D738" t="str">
            <v>unit</v>
          </cell>
          <cell r="E738">
            <v>5500000</v>
          </cell>
        </row>
        <row r="739">
          <cell r="C739" t="str">
            <v>Tangki toren kap. 5 m3</v>
          </cell>
          <cell r="D739" t="str">
            <v>unit</v>
          </cell>
          <cell r="E739">
            <v>6900000</v>
          </cell>
        </row>
        <row r="740">
          <cell r="C740" t="str">
            <v>Tangki toren kap. 5,5 m3</v>
          </cell>
          <cell r="D740" t="str">
            <v>unit</v>
          </cell>
          <cell r="E740">
            <v>7100000</v>
          </cell>
        </row>
        <row r="741">
          <cell r="C741" t="str">
            <v>Tangki toren kap. 6 m3</v>
          </cell>
          <cell r="D741" t="str">
            <v>unit</v>
          </cell>
          <cell r="E741">
            <v>7850000</v>
          </cell>
        </row>
        <row r="742">
          <cell r="C742" t="str">
            <v>Tempat  sabun gantung</v>
          </cell>
          <cell r="D742" t="str">
            <v>buah</v>
          </cell>
          <cell r="E742">
            <v>70100</v>
          </cell>
        </row>
        <row r="743">
          <cell r="C743" t="str">
            <v>Tempat  sabun tanam</v>
          </cell>
          <cell r="D743" t="str">
            <v>buah</v>
          </cell>
          <cell r="E743">
            <v>53300</v>
          </cell>
        </row>
        <row r="744">
          <cell r="C744" t="str">
            <v>Tissue holder</v>
          </cell>
          <cell r="D744" t="str">
            <v>buah</v>
          </cell>
          <cell r="E744">
            <v>150000</v>
          </cell>
        </row>
        <row r="745">
          <cell r="C745" t="str">
            <v>Towel bar</v>
          </cell>
          <cell r="D745" t="str">
            <v>buah</v>
          </cell>
          <cell r="E745">
            <v>150000</v>
          </cell>
        </row>
        <row r="746">
          <cell r="C746" t="str">
            <v>Urinoir</v>
          </cell>
          <cell r="D746" t="str">
            <v>buah</v>
          </cell>
          <cell r="E746">
            <v>456800</v>
          </cell>
        </row>
        <row r="747">
          <cell r="C747" t="str">
            <v>Wastafel</v>
          </cell>
          <cell r="D747" t="str">
            <v>buah</v>
          </cell>
          <cell r="E747">
            <v>325100</v>
          </cell>
        </row>
        <row r="748">
          <cell r="C748" t="str">
            <v>Water drain</v>
          </cell>
          <cell r="D748" t="str">
            <v>set</v>
          </cell>
          <cell r="E748">
            <v>321900</v>
          </cell>
        </row>
        <row r="749">
          <cell r="C749" t="str">
            <v>MATERIAL MINYAK</v>
          </cell>
        </row>
        <row r="750">
          <cell r="C750" t="str">
            <v>Bensin</v>
          </cell>
          <cell r="D750" t="str">
            <v>liter</v>
          </cell>
          <cell r="E750">
            <v>7800</v>
          </cell>
        </row>
        <row r="751">
          <cell r="C751" t="str">
            <v>Bensin (industri)</v>
          </cell>
          <cell r="D751" t="str">
            <v>liter</v>
          </cell>
          <cell r="E751">
            <v>8100</v>
          </cell>
        </row>
        <row r="752">
          <cell r="C752" t="str">
            <v>Bentonite</v>
          </cell>
          <cell r="D752" t="str">
            <v>m3</v>
          </cell>
          <cell r="E752">
            <v>20000000</v>
          </cell>
        </row>
        <row r="753">
          <cell r="C753" t="str">
            <v>Cairan perontok karat</v>
          </cell>
          <cell r="D753" t="str">
            <v>kg</v>
          </cell>
          <cell r="E753">
            <v>20000</v>
          </cell>
        </row>
        <row r="754">
          <cell r="C754" t="str">
            <v>Cuka bibit</v>
          </cell>
          <cell r="D754" t="str">
            <v>liter</v>
          </cell>
          <cell r="E754">
            <v>50000</v>
          </cell>
        </row>
        <row r="755">
          <cell r="C755" t="str">
            <v>Minyak bekisting</v>
          </cell>
          <cell r="D755" t="str">
            <v>liter</v>
          </cell>
          <cell r="E755">
            <v>16800</v>
          </cell>
        </row>
        <row r="756">
          <cell r="C756" t="str">
            <v>Minyak cat</v>
          </cell>
          <cell r="D756" t="str">
            <v>kg</v>
          </cell>
          <cell r="E756">
            <v>24000</v>
          </cell>
        </row>
        <row r="757">
          <cell r="C757" t="str">
            <v>Minyak pelumas</v>
          </cell>
          <cell r="D757" t="str">
            <v>liter</v>
          </cell>
          <cell r="E757">
            <v>28000</v>
          </cell>
        </row>
        <row r="758">
          <cell r="C758" t="str">
            <v>Minyak tanah</v>
          </cell>
          <cell r="D758" t="str">
            <v>liter</v>
          </cell>
          <cell r="E758">
            <v>15300</v>
          </cell>
        </row>
        <row r="759">
          <cell r="C759" t="str">
            <v>Oli hidrolis</v>
          </cell>
          <cell r="D759" t="str">
            <v>liter</v>
          </cell>
          <cell r="E759">
            <v>31300</v>
          </cell>
        </row>
        <row r="760">
          <cell r="C760" t="str">
            <v>Oli mesin</v>
          </cell>
          <cell r="D760" t="str">
            <v>liter</v>
          </cell>
          <cell r="E760">
            <v>30300</v>
          </cell>
        </row>
        <row r="761">
          <cell r="C761" t="str">
            <v>Premium (industri)</v>
          </cell>
          <cell r="D761" t="str">
            <v>liter</v>
          </cell>
          <cell r="E761">
            <v>9400</v>
          </cell>
        </row>
        <row r="762">
          <cell r="C762" t="str">
            <v>Residu</v>
          </cell>
          <cell r="D762" t="str">
            <v>liter</v>
          </cell>
          <cell r="E762">
            <v>21000</v>
          </cell>
        </row>
        <row r="763">
          <cell r="C763" t="str">
            <v>Solar</v>
          </cell>
          <cell r="D763" t="str">
            <v>liter</v>
          </cell>
          <cell r="E763">
            <v>6500</v>
          </cell>
        </row>
        <row r="764">
          <cell r="C764" t="str">
            <v>Solar (industri)</v>
          </cell>
          <cell r="D764" t="str">
            <v>liter</v>
          </cell>
          <cell r="E764">
            <v>8800</v>
          </cell>
        </row>
        <row r="765">
          <cell r="C765" t="str">
            <v>Steamvet</v>
          </cell>
          <cell r="D765" t="str">
            <v>liter</v>
          </cell>
          <cell r="E765">
            <v>51000</v>
          </cell>
        </row>
        <row r="766">
          <cell r="C766" t="str">
            <v>Teak oil</v>
          </cell>
          <cell r="D766" t="str">
            <v>liter</v>
          </cell>
          <cell r="E766">
            <v>29200</v>
          </cell>
        </row>
        <row r="767">
          <cell r="C767" t="str">
            <v>Thinner</v>
          </cell>
          <cell r="D767" t="str">
            <v>liter</v>
          </cell>
          <cell r="E767">
            <v>21800</v>
          </cell>
        </row>
        <row r="768">
          <cell r="C768" t="str">
            <v>Thinner A</v>
          </cell>
          <cell r="D768" t="str">
            <v>liter</v>
          </cell>
          <cell r="E768">
            <v>18800</v>
          </cell>
        </row>
        <row r="769">
          <cell r="C769" t="str">
            <v>MATERIAL ALUMINIUM DAN BESI</v>
          </cell>
        </row>
        <row r="770">
          <cell r="C770" t="str">
            <v>Aluminium composite panel</v>
          </cell>
          <cell r="D770" t="str">
            <v>m2</v>
          </cell>
          <cell r="E770">
            <v>225800</v>
          </cell>
        </row>
        <row r="771">
          <cell r="C771" t="str">
            <v>Aluminium spandrel 10x600 cm</v>
          </cell>
          <cell r="D771" t="str">
            <v>lembar</v>
          </cell>
          <cell r="E771">
            <v>200000</v>
          </cell>
        </row>
        <row r="772">
          <cell r="C772" t="str">
            <v>Aluminium strip</v>
          </cell>
          <cell r="D772" t="str">
            <v>m'</v>
          </cell>
          <cell r="E772">
            <v>50000</v>
          </cell>
        </row>
        <row r="773">
          <cell r="C773" t="str">
            <v>Besi as  drat</v>
          </cell>
          <cell r="D773" t="str">
            <v>kg</v>
          </cell>
          <cell r="E773">
            <v>40200</v>
          </cell>
        </row>
        <row r="774">
          <cell r="C774" t="str">
            <v>Besi profil</v>
          </cell>
          <cell r="D774" t="str">
            <v>kg</v>
          </cell>
          <cell r="E774">
            <v>34500</v>
          </cell>
        </row>
        <row r="775">
          <cell r="C775" t="str">
            <v>Blok besi cor type skep</v>
          </cell>
          <cell r="D775" t="str">
            <v>bh</v>
          </cell>
          <cell r="E775">
            <v>1055700</v>
          </cell>
        </row>
        <row r="776">
          <cell r="C776" t="str">
            <v>Blok besi type ronsel</v>
          </cell>
          <cell r="D776" t="str">
            <v>bh</v>
          </cell>
          <cell r="E776">
            <v>1508800</v>
          </cell>
        </row>
        <row r="777">
          <cell r="C777" t="str">
            <v>Buis  brons</v>
          </cell>
          <cell r="D777" t="str">
            <v>bh</v>
          </cell>
          <cell r="E777">
            <v>422000</v>
          </cell>
        </row>
        <row r="778">
          <cell r="C778" t="str">
            <v>C  channel galvanis  lebar 40 mm</v>
          </cell>
          <cell r="D778" t="str">
            <v>m'</v>
          </cell>
          <cell r="E778">
            <v>10700</v>
          </cell>
        </row>
        <row r="779">
          <cell r="C779" t="str">
            <v>C  channel galvanis  lebar 75 mm</v>
          </cell>
          <cell r="D779" t="str">
            <v>m'</v>
          </cell>
          <cell r="E779">
            <v>13600</v>
          </cell>
        </row>
        <row r="780">
          <cell r="C780" t="str">
            <v>Cat  meni</v>
          </cell>
          <cell r="D780" t="str">
            <v>kg</v>
          </cell>
          <cell r="E780">
            <v>50600</v>
          </cell>
        </row>
        <row r="781">
          <cell r="C781" t="str">
            <v>Daun Pintu HDF 36x720x2100</v>
          </cell>
          <cell r="D781" t="str">
            <v>unit</v>
          </cell>
          <cell r="E781">
            <v>475000</v>
          </cell>
        </row>
        <row r="782">
          <cell r="C782" t="str">
            <v>Frame aluminium</v>
          </cell>
          <cell r="D782" t="str">
            <v>m'</v>
          </cell>
          <cell r="E782">
            <v>38333.333333333336</v>
          </cell>
        </row>
        <row r="783">
          <cell r="C783" t="str">
            <v>Gembok</v>
          </cell>
          <cell r="D783" t="str">
            <v>bh</v>
          </cell>
          <cell r="E783">
            <v>102300</v>
          </cell>
        </row>
        <row r="784">
          <cell r="C784" t="str">
            <v>Grease</v>
          </cell>
          <cell r="D784" t="str">
            <v>kg</v>
          </cell>
          <cell r="E784">
            <v>67800</v>
          </cell>
        </row>
        <row r="785">
          <cell r="C785" t="str">
            <v>Hollow  galvanis  20x40x0,4 mm</v>
          </cell>
          <cell r="D785" t="str">
            <v>m'</v>
          </cell>
          <cell r="E785">
            <v>7500</v>
          </cell>
        </row>
        <row r="786">
          <cell r="C786" t="str">
            <v>Hollow galvanis 40x40x0,4 mm</v>
          </cell>
          <cell r="D786" t="str">
            <v>m'</v>
          </cell>
          <cell r="E786">
            <v>10700</v>
          </cell>
        </row>
        <row r="787">
          <cell r="C787" t="str">
            <v>Jalusi aluminium</v>
          </cell>
          <cell r="D787" t="str">
            <v>m2</v>
          </cell>
          <cell r="E787">
            <v>600000</v>
          </cell>
        </row>
        <row r="788">
          <cell r="C788" t="str">
            <v>Kontra mur type ronsel</v>
          </cell>
          <cell r="D788" t="str">
            <v>bh</v>
          </cell>
          <cell r="E788">
            <v>343800</v>
          </cell>
        </row>
        <row r="789">
          <cell r="C789" t="str">
            <v>Kontra mur type skep</v>
          </cell>
          <cell r="D789" t="str">
            <v>bh</v>
          </cell>
          <cell r="E789">
            <v>301300</v>
          </cell>
        </row>
        <row r="790">
          <cell r="C790" t="str">
            <v>kopel/universal join</v>
          </cell>
          <cell r="D790" t="str">
            <v>bh</v>
          </cell>
          <cell r="E790">
            <v>542800</v>
          </cell>
        </row>
        <row r="791">
          <cell r="C791" t="str">
            <v>Kusen aluminium 4"  putih</v>
          </cell>
          <cell r="D791" t="str">
            <v>m'</v>
          </cell>
          <cell r="E791">
            <v>107000</v>
          </cell>
        </row>
        <row r="792">
          <cell r="C792" t="str">
            <v>Lager type ronsel</v>
          </cell>
          <cell r="D792" t="str">
            <v>bh</v>
          </cell>
          <cell r="E792">
            <v>905000</v>
          </cell>
        </row>
        <row r="793">
          <cell r="C793" t="str">
            <v>Lager type skep</v>
          </cell>
          <cell r="D793" t="str">
            <v>bh</v>
          </cell>
          <cell r="E793">
            <v>693400</v>
          </cell>
        </row>
        <row r="794">
          <cell r="C794" t="str">
            <v>Mur baut  1/2"  x  4"</v>
          </cell>
          <cell r="D794" t="str">
            <v>bh</v>
          </cell>
          <cell r="E794">
            <v>16100</v>
          </cell>
        </row>
        <row r="795">
          <cell r="C795" t="str">
            <v>Mur baut  5/8"  x  4"</v>
          </cell>
          <cell r="D795" t="str">
            <v>bh</v>
          </cell>
          <cell r="E795">
            <v>19500</v>
          </cell>
        </row>
        <row r="796">
          <cell r="C796" t="str">
            <v>Mur baut  M8 steinless</v>
          </cell>
          <cell r="D796" t="str">
            <v>bh</v>
          </cell>
          <cell r="E796">
            <v>19500</v>
          </cell>
        </row>
        <row r="797">
          <cell r="C797" t="str">
            <v>Mur brons  ronsel</v>
          </cell>
          <cell r="D797" t="str">
            <v>kg</v>
          </cell>
          <cell r="E797">
            <v>210400</v>
          </cell>
        </row>
        <row r="798">
          <cell r="C798" t="str">
            <v>Mur brons  type skep</v>
          </cell>
          <cell r="D798" t="str">
            <v>kg</v>
          </cell>
          <cell r="E798">
            <v>210400</v>
          </cell>
        </row>
        <row r="799">
          <cell r="C799" t="str">
            <v>Pen spindie type ronsel</v>
          </cell>
          <cell r="D799" t="str">
            <v>bh</v>
          </cell>
          <cell r="E799">
            <v>102300</v>
          </cell>
        </row>
        <row r="800">
          <cell r="C800" t="str">
            <v>Penyangga roda gigi</v>
          </cell>
          <cell r="D800" t="str">
            <v>bh</v>
          </cell>
          <cell r="E800">
            <v>542800</v>
          </cell>
        </row>
        <row r="801">
          <cell r="C801" t="str">
            <v>Pintu alluminium</v>
          </cell>
          <cell r="D801" t="str">
            <v>m'</v>
          </cell>
          <cell r="E801">
            <v>73600</v>
          </cell>
        </row>
        <row r="802">
          <cell r="C802" t="str">
            <v>Pintu KM  aluminium</v>
          </cell>
          <cell r="D802" t="str">
            <v>unit</v>
          </cell>
          <cell r="E802">
            <v>1500000</v>
          </cell>
        </row>
        <row r="803">
          <cell r="C803" t="str">
            <v>Pintu lipat  besi</v>
          </cell>
          <cell r="D803" t="str">
            <v>m2</v>
          </cell>
          <cell r="E803">
            <v>494200</v>
          </cell>
        </row>
        <row r="804">
          <cell r="C804" t="str">
            <v>Pintu lipat PVC</v>
          </cell>
          <cell r="D804" t="str">
            <v>m2</v>
          </cell>
          <cell r="E804">
            <v>750000</v>
          </cell>
        </row>
        <row r="805">
          <cell r="C805" t="str">
            <v>Plat  peluncur</v>
          </cell>
          <cell r="D805" t="str">
            <v>kg</v>
          </cell>
          <cell r="E805">
            <v>210400</v>
          </cell>
        </row>
        <row r="806">
          <cell r="C806" t="str">
            <v>Plat besi 3 mm</v>
          </cell>
          <cell r="D806" t="str">
            <v>kg</v>
          </cell>
          <cell r="E806">
            <v>34500</v>
          </cell>
        </row>
        <row r="807">
          <cell r="C807" t="str">
            <v>Profil aluminium</v>
          </cell>
          <cell r="D807" t="str">
            <v>m'</v>
          </cell>
          <cell r="E807">
            <v>130000</v>
          </cell>
        </row>
        <row r="808">
          <cell r="C808" t="str">
            <v>Profil Aluminium ”T”</v>
          </cell>
          <cell r="D808" t="str">
            <v>m'</v>
          </cell>
          <cell r="E808">
            <v>15000</v>
          </cell>
        </row>
        <row r="809">
          <cell r="C809" t="str">
            <v>Profil slimar aluminium</v>
          </cell>
          <cell r="D809" t="str">
            <v>m'</v>
          </cell>
          <cell r="E809">
            <v>60000</v>
          </cell>
        </row>
        <row r="810">
          <cell r="C810" t="str">
            <v>Rangka metal hollow 40.40.1,2 mm</v>
          </cell>
          <cell r="D810" t="str">
            <v>m'</v>
          </cell>
          <cell r="E810">
            <v>16200</v>
          </cell>
        </row>
        <row r="811">
          <cell r="C811" t="str">
            <v>Rangka metal hollow 40.40.2 mm</v>
          </cell>
          <cell r="D811" t="str">
            <v>m'</v>
          </cell>
          <cell r="E811">
            <v>19000</v>
          </cell>
        </row>
        <row r="812">
          <cell r="C812" t="str">
            <v>roda gigi nanas</v>
          </cell>
          <cell r="D812" t="str">
            <v>bh</v>
          </cell>
          <cell r="E812">
            <v>1025800</v>
          </cell>
        </row>
        <row r="813">
          <cell r="C813" t="str">
            <v>Roda gigi pinggiran</v>
          </cell>
          <cell r="D813" t="str">
            <v>bh</v>
          </cell>
          <cell r="E813">
            <v>1750300</v>
          </cell>
        </row>
        <row r="814">
          <cell r="C814" t="str">
            <v>Rolling door aluminium</v>
          </cell>
          <cell r="D814" t="str">
            <v>m2</v>
          </cell>
          <cell r="E814">
            <v>600600</v>
          </cell>
        </row>
        <row r="815">
          <cell r="C815" t="str">
            <v>Rolling door besi</v>
          </cell>
          <cell r="D815" t="str">
            <v>m2</v>
          </cell>
          <cell r="E815">
            <v>509100</v>
          </cell>
        </row>
        <row r="816">
          <cell r="C816" t="str">
            <v>Rubber seal</v>
          </cell>
          <cell r="D816" t="str">
            <v>m'</v>
          </cell>
          <cell r="E816">
            <v>1811200</v>
          </cell>
        </row>
        <row r="817">
          <cell r="C817" t="str">
            <v>Sliding pintu J4</v>
          </cell>
          <cell r="D817" t="str">
            <v>buah</v>
          </cell>
          <cell r="E817">
            <v>456000</v>
          </cell>
        </row>
        <row r="818">
          <cell r="C818" t="str">
            <v>Stang draft  diameter 1,5"  +  mur baut</v>
          </cell>
          <cell r="D818" t="str">
            <v>m'</v>
          </cell>
          <cell r="E818">
            <v>2750000</v>
          </cell>
        </row>
        <row r="819">
          <cell r="C819" t="str">
            <v>Stang draft  diameter 1,75"  +  mur baut</v>
          </cell>
          <cell r="D819" t="str">
            <v>m'</v>
          </cell>
          <cell r="E819">
            <v>3150000</v>
          </cell>
        </row>
        <row r="820">
          <cell r="C820" t="str">
            <v>Stang draft  diameter 2"  +  mur baut</v>
          </cell>
          <cell r="D820" t="str">
            <v>m'</v>
          </cell>
          <cell r="E820">
            <v>3500000</v>
          </cell>
        </row>
        <row r="821">
          <cell r="C821" t="str">
            <v>Stang draft  diameter 2,25"  +  mur baut</v>
          </cell>
          <cell r="D821" t="str">
            <v>m'</v>
          </cell>
          <cell r="E821">
            <v>3800000</v>
          </cell>
        </row>
        <row r="822">
          <cell r="C822" t="str">
            <v>Stang gembok</v>
          </cell>
          <cell r="D822" t="str">
            <v>bh</v>
          </cell>
          <cell r="E822">
            <v>78200</v>
          </cell>
        </row>
        <row r="823">
          <cell r="C823" t="str">
            <v>Stang pemutar type ronsel</v>
          </cell>
          <cell r="D823" t="str">
            <v>bh</v>
          </cell>
          <cell r="E823">
            <v>1146500</v>
          </cell>
        </row>
        <row r="824">
          <cell r="C824" t="str">
            <v>Stang pemutar type skep</v>
          </cell>
          <cell r="D824" t="str">
            <v>bh</v>
          </cell>
          <cell r="E824">
            <v>633600</v>
          </cell>
        </row>
        <row r="825">
          <cell r="C825" t="str">
            <v>Sunscreen aluminium</v>
          </cell>
          <cell r="D825" t="str">
            <v>m2</v>
          </cell>
          <cell r="E825">
            <v>381900</v>
          </cell>
        </row>
        <row r="826">
          <cell r="C826" t="str">
            <v>Talang galvalum lebar 50 cm tebal 0,4 mm</v>
          </cell>
          <cell r="D826" t="str">
            <v>m'</v>
          </cell>
          <cell r="E826">
            <v>53300</v>
          </cell>
        </row>
        <row r="827">
          <cell r="C827" t="str">
            <v>Thinner</v>
          </cell>
          <cell r="D827" t="str">
            <v>ltr</v>
          </cell>
          <cell r="E827">
            <v>35600</v>
          </cell>
        </row>
        <row r="828">
          <cell r="C828" t="str">
            <v>MATERIAL LISTRIK</v>
          </cell>
        </row>
        <row r="829">
          <cell r="C829" t="str">
            <v>Hanger tray panjang 2,5 m</v>
          </cell>
          <cell r="D829" t="str">
            <v>buah</v>
          </cell>
          <cell r="E829">
            <v>300000</v>
          </cell>
        </row>
        <row r="830">
          <cell r="C830" t="str">
            <v>Kabel BCC 10 mm² (0,10 kg/m)</v>
          </cell>
          <cell r="D830" t="str">
            <v>m'</v>
          </cell>
          <cell r="E830">
            <v>29000</v>
          </cell>
        </row>
        <row r="831">
          <cell r="C831" t="str">
            <v>Kabel BCC 16 mm² (0,16 kg/m)</v>
          </cell>
          <cell r="D831" t="str">
            <v>m'</v>
          </cell>
          <cell r="E831">
            <v>33000</v>
          </cell>
        </row>
        <row r="832">
          <cell r="C832" t="str">
            <v>Kabel BCC 25 mm² (0,25 kg/m)</v>
          </cell>
          <cell r="D832" t="str">
            <v>m'</v>
          </cell>
          <cell r="E832">
            <v>53000</v>
          </cell>
        </row>
        <row r="833">
          <cell r="C833" t="str">
            <v>Kabel BCC 35 mm² (0,35 kg/m)</v>
          </cell>
          <cell r="D833" t="str">
            <v>m'</v>
          </cell>
          <cell r="E833">
            <v>72000</v>
          </cell>
        </row>
        <row r="834">
          <cell r="C834" t="str">
            <v>Kabel BCC 4 mm² (0,04 kg/m)</v>
          </cell>
          <cell r="D834" t="str">
            <v>m'</v>
          </cell>
          <cell r="E834">
            <v>12000</v>
          </cell>
        </row>
        <row r="835">
          <cell r="C835" t="str">
            <v>Kabel BCC 50 mm² (0,50 kg/m)</v>
          </cell>
          <cell r="D835" t="str">
            <v>m'</v>
          </cell>
          <cell r="E835">
            <v>95500</v>
          </cell>
        </row>
        <row r="836">
          <cell r="C836" t="str">
            <v>Kabel BCC 6 mm² (0,06 kg/m)</v>
          </cell>
          <cell r="D836" t="str">
            <v>m'</v>
          </cell>
          <cell r="E836">
            <v>13200</v>
          </cell>
        </row>
        <row r="837">
          <cell r="C837" t="str">
            <v>Kabel BCC 70 mm² (0,70 kg/m)</v>
          </cell>
          <cell r="D837" t="str">
            <v>m'</v>
          </cell>
          <cell r="E837">
            <v>136000</v>
          </cell>
        </row>
        <row r="838">
          <cell r="C838" t="str">
            <v>Kabel BCC 95 mm² (0,95 kg/m)</v>
          </cell>
          <cell r="D838" t="str">
            <v>m'</v>
          </cell>
          <cell r="E838">
            <v>185000</v>
          </cell>
        </row>
        <row r="839">
          <cell r="C839" t="str">
            <v>Kabel FRC 1 x 150 mm²</v>
          </cell>
          <cell r="D839" t="str">
            <v>m'</v>
          </cell>
          <cell r="E839">
            <v>275000</v>
          </cell>
        </row>
        <row r="840">
          <cell r="C840" t="str">
            <v>Kabel FRC 2 x 1,5 mm²</v>
          </cell>
          <cell r="D840" t="str">
            <v>m'</v>
          </cell>
          <cell r="E840">
            <v>23000</v>
          </cell>
        </row>
        <row r="841">
          <cell r="C841" t="str">
            <v>Kabel FRC 2 x 2,5 mm²</v>
          </cell>
          <cell r="D841" t="str">
            <v>m'</v>
          </cell>
          <cell r="E841">
            <v>33500</v>
          </cell>
        </row>
        <row r="842">
          <cell r="C842" t="str">
            <v>Kabel FRC 3 x 2,5 mm²</v>
          </cell>
          <cell r="D842" t="str">
            <v>m'</v>
          </cell>
          <cell r="E842">
            <v>40000</v>
          </cell>
        </row>
        <row r="843">
          <cell r="C843" t="str">
            <v>Kabel FRC 4 x 150 mm²</v>
          </cell>
          <cell r="D843" t="str">
            <v>m'</v>
          </cell>
          <cell r="E843">
            <v>1607400</v>
          </cell>
        </row>
        <row r="844">
          <cell r="C844" t="str">
            <v>Kabel FRC 4 x 4 mm²</v>
          </cell>
          <cell r="D844" t="str">
            <v>m'</v>
          </cell>
          <cell r="E844">
            <v>90000</v>
          </cell>
        </row>
        <row r="845">
          <cell r="C845" t="str">
            <v>Kabel FRC 4 x 6 mm²</v>
          </cell>
          <cell r="D845" t="str">
            <v>m'</v>
          </cell>
          <cell r="E845">
            <v>110000</v>
          </cell>
        </row>
        <row r="846">
          <cell r="C846" t="str">
            <v>Kabel NYA 1 x 1,5 mm²</v>
          </cell>
          <cell r="D846" t="str">
            <v>m'</v>
          </cell>
          <cell r="E846">
            <v>3200</v>
          </cell>
        </row>
        <row r="847">
          <cell r="C847" t="str">
            <v>Kabel NYA 1 x 10 mm²</v>
          </cell>
          <cell r="D847" t="str">
            <v>m'</v>
          </cell>
          <cell r="E847">
            <v>20000</v>
          </cell>
        </row>
        <row r="848">
          <cell r="C848" t="str">
            <v>Kabel NYA 1 x 16 mm²</v>
          </cell>
          <cell r="D848" t="str">
            <v>m'</v>
          </cell>
          <cell r="E848">
            <v>33000</v>
          </cell>
        </row>
        <row r="849">
          <cell r="C849" t="str">
            <v>Kabel NYA 1 x 2,5 mm²</v>
          </cell>
          <cell r="D849" t="str">
            <v>m'</v>
          </cell>
          <cell r="E849">
            <v>5300</v>
          </cell>
        </row>
        <row r="850">
          <cell r="C850" t="str">
            <v>Kabel NYA 1 x 4 mm²</v>
          </cell>
          <cell r="D850" t="str">
            <v>m'</v>
          </cell>
          <cell r="E850">
            <v>8300</v>
          </cell>
        </row>
        <row r="851">
          <cell r="C851" t="str">
            <v>Kabel NYA 1 x 6 mm²</v>
          </cell>
          <cell r="D851" t="str">
            <v>m'</v>
          </cell>
          <cell r="E851">
            <v>12200</v>
          </cell>
        </row>
        <row r="852">
          <cell r="C852" t="str">
            <v>Kabel NYA 2 x 1,5 mm²</v>
          </cell>
          <cell r="D852" t="str">
            <v>m'</v>
          </cell>
          <cell r="E852">
            <v>9200</v>
          </cell>
        </row>
        <row r="853">
          <cell r="C853" t="str">
            <v>Kabel NYA 3 x 1,5 mm²</v>
          </cell>
          <cell r="D853" t="str">
            <v>m'</v>
          </cell>
          <cell r="E853">
            <v>14000</v>
          </cell>
        </row>
        <row r="854">
          <cell r="C854" t="str">
            <v>Kabel NYFGBY 2 x 1,5 mm²</v>
          </cell>
          <cell r="D854" t="str">
            <v>m'</v>
          </cell>
          <cell r="E854">
            <v>22750</v>
          </cell>
        </row>
        <row r="855">
          <cell r="C855" t="str">
            <v>Kabel NYFGBY 2 x 10 mm²</v>
          </cell>
          <cell r="D855" t="str">
            <v>m'</v>
          </cell>
          <cell r="E855">
            <v>60750</v>
          </cell>
        </row>
        <row r="856">
          <cell r="C856" t="str">
            <v>Kabel NYFGBY 2 x 16 mm²</v>
          </cell>
          <cell r="D856" t="str">
            <v>m'</v>
          </cell>
          <cell r="E856">
            <v>82000</v>
          </cell>
        </row>
        <row r="857">
          <cell r="C857" t="str">
            <v>Kabel NYFGBY 2 x 2,5 mm²</v>
          </cell>
          <cell r="D857" t="str">
            <v>m'</v>
          </cell>
          <cell r="E857">
            <v>30500</v>
          </cell>
        </row>
        <row r="858">
          <cell r="C858" t="str">
            <v>Kabel NYFGBY 2 x 4 mm²</v>
          </cell>
          <cell r="D858" t="str">
            <v>m'</v>
          </cell>
          <cell r="E858">
            <v>35200</v>
          </cell>
        </row>
        <row r="859">
          <cell r="C859" t="str">
            <v>Kabel NYFGBY 2 x 6 mm²</v>
          </cell>
          <cell r="D859" t="str">
            <v>m'</v>
          </cell>
          <cell r="E859">
            <v>43350</v>
          </cell>
        </row>
        <row r="860">
          <cell r="C860" t="str">
            <v>Kabel NYFGBY 3 x 1,5 mm²</v>
          </cell>
          <cell r="D860" t="str">
            <v>m'</v>
          </cell>
          <cell r="E860">
            <v>28500</v>
          </cell>
        </row>
        <row r="861">
          <cell r="C861" t="str">
            <v>Kabel NYFGBY 3 x 10 mm²</v>
          </cell>
          <cell r="D861" t="str">
            <v>m'</v>
          </cell>
          <cell r="E861">
            <v>79600</v>
          </cell>
        </row>
        <row r="862">
          <cell r="C862" t="str">
            <v>Kabel NYFGBY 3 x 16 mm²</v>
          </cell>
          <cell r="D862" t="str">
            <v>m'</v>
          </cell>
          <cell r="E862">
            <v>128900</v>
          </cell>
        </row>
        <row r="863">
          <cell r="C863" t="str">
            <v>Kabel NYFGBY 3 x 2,5 mm²</v>
          </cell>
          <cell r="D863" t="str">
            <v>m'</v>
          </cell>
          <cell r="E863">
            <v>32900</v>
          </cell>
        </row>
        <row r="864">
          <cell r="C864" t="str">
            <v>Kabel NYFGBY 3 x 4 mm²</v>
          </cell>
          <cell r="D864" t="str">
            <v>m'</v>
          </cell>
          <cell r="E864">
            <v>49000</v>
          </cell>
        </row>
        <row r="865">
          <cell r="C865" t="str">
            <v>Kabel NYFGBY 3 x 6 mm²</v>
          </cell>
          <cell r="D865" t="str">
            <v>m'</v>
          </cell>
          <cell r="E865">
            <v>63500</v>
          </cell>
        </row>
        <row r="866">
          <cell r="C866" t="str">
            <v>Kabel NYFGBY 4 x 1,5 mm²</v>
          </cell>
          <cell r="D866" t="str">
            <v>m'</v>
          </cell>
          <cell r="E866">
            <v>29400</v>
          </cell>
        </row>
        <row r="867">
          <cell r="C867" t="str">
            <v>Kabel NYFGBY 4 x 10 mm²</v>
          </cell>
          <cell r="D867" t="str">
            <v>m'</v>
          </cell>
          <cell r="E867">
            <v>100600</v>
          </cell>
        </row>
        <row r="868">
          <cell r="C868" t="str">
            <v>Kabel NYFGBY 4 x 120 mm²</v>
          </cell>
          <cell r="D868" t="str">
            <v>m'</v>
          </cell>
          <cell r="E868">
            <v>969500</v>
          </cell>
        </row>
        <row r="869">
          <cell r="C869" t="str">
            <v>Kabel NYFGBY 4 x 150 mm²</v>
          </cell>
          <cell r="D869" t="str">
            <v>m'</v>
          </cell>
          <cell r="E869">
            <v>1187650</v>
          </cell>
        </row>
        <row r="870">
          <cell r="C870" t="str">
            <v>Kabel NYFGBY 4 x 16 mm²</v>
          </cell>
          <cell r="D870" t="str">
            <v>m'</v>
          </cell>
          <cell r="E870">
            <v>159300</v>
          </cell>
        </row>
        <row r="871">
          <cell r="C871" t="str">
            <v>Kabel NYFGBY 4 x 185 mm²</v>
          </cell>
          <cell r="D871" t="str">
            <v>m'</v>
          </cell>
          <cell r="E871">
            <v>1470650</v>
          </cell>
        </row>
        <row r="872">
          <cell r="C872" t="str">
            <v>Kabel NYFGBY 4 x 2,5 mm²</v>
          </cell>
          <cell r="D872" t="str">
            <v>m'</v>
          </cell>
          <cell r="E872">
            <v>38600</v>
          </cell>
        </row>
        <row r="873">
          <cell r="C873" t="str">
            <v>Kabel NYFGBY 4 x 240 mm²</v>
          </cell>
          <cell r="D873" t="str">
            <v>m'</v>
          </cell>
          <cell r="E873">
            <v>1921500</v>
          </cell>
        </row>
        <row r="874">
          <cell r="C874" t="str">
            <v>Kabel NYFGBY 4 x 25 mm²</v>
          </cell>
          <cell r="D874" t="str">
            <v>m'</v>
          </cell>
          <cell r="E874">
            <v>247200</v>
          </cell>
        </row>
        <row r="875">
          <cell r="C875" t="str">
            <v>Kabel NYFGBY 4 x 300 mm²</v>
          </cell>
          <cell r="D875" t="str">
            <v>m'</v>
          </cell>
          <cell r="E875">
            <v>2392250</v>
          </cell>
        </row>
        <row r="876">
          <cell r="C876" t="str">
            <v>Kabel NYFGBY 4 x 35 mm²</v>
          </cell>
          <cell r="D876" t="str">
            <v>m'</v>
          </cell>
          <cell r="E876">
            <v>314750</v>
          </cell>
        </row>
        <row r="877">
          <cell r="C877" t="str">
            <v>Kabel NYFGBY 4 x 4 mm²</v>
          </cell>
          <cell r="D877" t="str">
            <v>m'</v>
          </cell>
          <cell r="E877">
            <v>66000</v>
          </cell>
        </row>
        <row r="878">
          <cell r="C878" t="str">
            <v>Kabel NYFGBY 4 x 50 mm²</v>
          </cell>
          <cell r="D878" t="str">
            <v>m'</v>
          </cell>
          <cell r="E878">
            <v>411600</v>
          </cell>
        </row>
        <row r="879">
          <cell r="C879" t="str">
            <v>Kabel NYFGBY 4 x 6 mm²</v>
          </cell>
          <cell r="D879" t="str">
            <v>m'</v>
          </cell>
          <cell r="E879">
            <v>70200</v>
          </cell>
        </row>
        <row r="880">
          <cell r="C880" t="str">
            <v>Kabel NYFGBY 4 x 70 mm²</v>
          </cell>
          <cell r="D880" t="str">
            <v>m'</v>
          </cell>
          <cell r="E880">
            <v>575250</v>
          </cell>
        </row>
        <row r="881">
          <cell r="C881" t="str">
            <v>Kabel NYFGBY 4 x 95 mm²</v>
          </cell>
          <cell r="D881" t="str">
            <v>m'</v>
          </cell>
          <cell r="E881">
            <v>743750</v>
          </cell>
        </row>
        <row r="882">
          <cell r="C882" t="str">
            <v>Kabel NYM 2 x 1,5 mm²</v>
          </cell>
          <cell r="D882" t="str">
            <v>m'</v>
          </cell>
          <cell r="E882">
            <v>8880</v>
          </cell>
        </row>
        <row r="883">
          <cell r="C883" t="str">
            <v>Kabel NYM 2 x 10 mm²</v>
          </cell>
          <cell r="D883" t="str">
            <v>m'</v>
          </cell>
          <cell r="E883">
            <v>49000</v>
          </cell>
        </row>
        <row r="884">
          <cell r="C884" t="str">
            <v>Kabel NYM 2 x 2,5 mm²</v>
          </cell>
          <cell r="D884" t="str">
            <v>m'</v>
          </cell>
          <cell r="E884">
            <v>13250</v>
          </cell>
        </row>
        <row r="885">
          <cell r="C885" t="str">
            <v>Kabel NYM 2 x 4 mm²</v>
          </cell>
          <cell r="D885" t="str">
            <v>m'</v>
          </cell>
          <cell r="E885">
            <v>19950</v>
          </cell>
        </row>
        <row r="886">
          <cell r="C886" t="str">
            <v>Kabel NYM 2 x 6 mm²</v>
          </cell>
          <cell r="D886" t="str">
            <v>m'</v>
          </cell>
          <cell r="E886">
            <v>29000</v>
          </cell>
        </row>
        <row r="887">
          <cell r="C887" t="str">
            <v>Kabel NYM 3 x 1,5 mm²</v>
          </cell>
          <cell r="D887" t="str">
            <v>m'</v>
          </cell>
          <cell r="E887">
            <v>11400</v>
          </cell>
        </row>
        <row r="888">
          <cell r="C888" t="str">
            <v>Kabel NYM 3 x 10 mm²</v>
          </cell>
          <cell r="D888" t="str">
            <v>m'</v>
          </cell>
          <cell r="E888">
            <v>69200</v>
          </cell>
        </row>
        <row r="889">
          <cell r="C889" t="str">
            <v>Kabel NYM 3 x 2,5 mm²</v>
          </cell>
          <cell r="D889" t="str">
            <v>m'</v>
          </cell>
          <cell r="E889">
            <v>21300</v>
          </cell>
        </row>
        <row r="890">
          <cell r="C890" t="str">
            <v>Kabel NYM 3 x 4 mm²</v>
          </cell>
          <cell r="D890" t="str">
            <v>m'</v>
          </cell>
          <cell r="E890">
            <v>27000</v>
          </cell>
        </row>
        <row r="891">
          <cell r="C891" t="str">
            <v>Kabel NYM 3 x 6 mm²</v>
          </cell>
          <cell r="D891" t="str">
            <v>m'</v>
          </cell>
          <cell r="E891">
            <v>43100</v>
          </cell>
        </row>
        <row r="892">
          <cell r="C892" t="str">
            <v>Kabel NYM 4 x 1,5 mm²</v>
          </cell>
          <cell r="D892" t="str">
            <v>m'</v>
          </cell>
          <cell r="E892">
            <v>14400</v>
          </cell>
        </row>
        <row r="893">
          <cell r="C893" t="str">
            <v>Kabel NYM 4 x 10 mm²</v>
          </cell>
          <cell r="D893" t="str">
            <v>m'</v>
          </cell>
          <cell r="E893">
            <v>92900</v>
          </cell>
        </row>
        <row r="894">
          <cell r="C894" t="str">
            <v>Kabel NYM 4 x 16 mm²</v>
          </cell>
          <cell r="D894" t="str">
            <v>m'</v>
          </cell>
          <cell r="E894">
            <v>150000</v>
          </cell>
        </row>
        <row r="895">
          <cell r="C895" t="str">
            <v>Kabel NYM 4 x 2,5 mm²</v>
          </cell>
          <cell r="D895" t="str">
            <v>m'</v>
          </cell>
          <cell r="E895">
            <v>22700</v>
          </cell>
        </row>
        <row r="896">
          <cell r="C896" t="str">
            <v>Kabel NYM 4 x 4 mm²</v>
          </cell>
          <cell r="D896" t="str">
            <v>m'</v>
          </cell>
          <cell r="E896">
            <v>37000</v>
          </cell>
        </row>
        <row r="897">
          <cell r="C897" t="str">
            <v>Kabel NYM 4 x 6 mm²</v>
          </cell>
          <cell r="D897" t="str">
            <v>m'</v>
          </cell>
          <cell r="E897">
            <v>54400</v>
          </cell>
        </row>
        <row r="898">
          <cell r="C898" t="str">
            <v>Kabel NYMHY 2 x 1,5 mm²</v>
          </cell>
          <cell r="D898" t="str">
            <v>m'</v>
          </cell>
          <cell r="E898">
            <v>9300</v>
          </cell>
        </row>
        <row r="899">
          <cell r="C899" t="str">
            <v>Kabel NYMHY 2 x 2,5 mm²</v>
          </cell>
          <cell r="D899" t="str">
            <v>m'</v>
          </cell>
          <cell r="E899">
            <v>13900</v>
          </cell>
        </row>
        <row r="900">
          <cell r="C900" t="str">
            <v>Kabel NYMHY 3 x 1,5 mm²</v>
          </cell>
          <cell r="D900" t="str">
            <v>m'</v>
          </cell>
          <cell r="E900">
            <v>13400</v>
          </cell>
        </row>
        <row r="901">
          <cell r="C901" t="str">
            <v>Kabel NYMHY 3 x 2,5 mm²</v>
          </cell>
          <cell r="D901" t="str">
            <v>m'</v>
          </cell>
          <cell r="E901">
            <v>21300</v>
          </cell>
        </row>
        <row r="902">
          <cell r="C902" t="str">
            <v>Kabel NYMHY 4 x 2,5 mm²</v>
          </cell>
          <cell r="D902" t="str">
            <v>m'</v>
          </cell>
          <cell r="E902">
            <v>28700</v>
          </cell>
        </row>
        <row r="903">
          <cell r="C903" t="str">
            <v>Kabel NYY 1 x 10 mm²</v>
          </cell>
          <cell r="D903" t="str">
            <v>m'</v>
          </cell>
          <cell r="E903">
            <v>18000</v>
          </cell>
        </row>
        <row r="904">
          <cell r="C904" t="str">
            <v>Kabel NYY 1 x 120 mm²</v>
          </cell>
          <cell r="D904" t="str">
            <v>m'</v>
          </cell>
          <cell r="E904">
            <v>246500</v>
          </cell>
        </row>
        <row r="905">
          <cell r="C905" t="str">
            <v>Kabel NYY 1 x 150 mm²</v>
          </cell>
          <cell r="D905" t="str">
            <v>m'</v>
          </cell>
          <cell r="E905">
            <v>303000</v>
          </cell>
        </row>
        <row r="906">
          <cell r="C906" t="str">
            <v>Kabel NYY 1 x 16 mm²</v>
          </cell>
          <cell r="D906" t="str">
            <v>m'</v>
          </cell>
          <cell r="E906">
            <v>36000</v>
          </cell>
        </row>
        <row r="907">
          <cell r="C907" t="str">
            <v>Kabel NYY 1 x 185 mm²</v>
          </cell>
          <cell r="D907" t="str">
            <v>m'</v>
          </cell>
          <cell r="E907">
            <v>377000</v>
          </cell>
        </row>
        <row r="908">
          <cell r="C908" t="str">
            <v>Kabel NYY 1 x 25 mm²</v>
          </cell>
          <cell r="D908" t="str">
            <v>m'</v>
          </cell>
          <cell r="E908">
            <v>56000</v>
          </cell>
        </row>
        <row r="909">
          <cell r="C909" t="str">
            <v>Kabel NYY 1 x 250 mm²</v>
          </cell>
          <cell r="D909" t="str">
            <v>m'</v>
          </cell>
          <cell r="E909">
            <v>496000</v>
          </cell>
        </row>
        <row r="910">
          <cell r="C910" t="str">
            <v>Kabel NYY 1 x 300 mm²</v>
          </cell>
          <cell r="D910" t="str">
            <v>m'</v>
          </cell>
          <cell r="E910">
            <v>619000</v>
          </cell>
        </row>
        <row r="911">
          <cell r="C911" t="str">
            <v>Kabel NYY 1 x 35 mm²</v>
          </cell>
          <cell r="D911" t="str">
            <v>m'</v>
          </cell>
          <cell r="E911">
            <v>75000</v>
          </cell>
        </row>
        <row r="912">
          <cell r="C912" t="str">
            <v>Kabel NYY 1 x 4 mm²</v>
          </cell>
          <cell r="D912" t="str">
            <v>m'</v>
          </cell>
          <cell r="E912">
            <v>7500</v>
          </cell>
        </row>
        <row r="913">
          <cell r="C913" t="str">
            <v>Kabel NYY 1 x 400 mm²</v>
          </cell>
          <cell r="D913" t="str">
            <v>m'</v>
          </cell>
          <cell r="E913">
            <v>786000</v>
          </cell>
        </row>
        <row r="914">
          <cell r="C914" t="str">
            <v>Kabel NYY 1 x 50 mm²</v>
          </cell>
          <cell r="D914" t="str">
            <v>m'</v>
          </cell>
          <cell r="E914">
            <v>99600</v>
          </cell>
        </row>
        <row r="915">
          <cell r="C915" t="str">
            <v>Kabel NYY 1 x 500 mm²</v>
          </cell>
          <cell r="D915" t="str">
            <v>m'</v>
          </cell>
          <cell r="E915">
            <v>1004400</v>
          </cell>
        </row>
        <row r="916">
          <cell r="C916" t="str">
            <v>Kabel NYY 1 x 6 mm²</v>
          </cell>
          <cell r="D916" t="str">
            <v>m'</v>
          </cell>
          <cell r="E916">
            <v>12000</v>
          </cell>
        </row>
        <row r="917">
          <cell r="C917" t="str">
            <v>Kabel NYY 1 x 630 mm²</v>
          </cell>
          <cell r="D917" t="str">
            <v>m'</v>
          </cell>
          <cell r="E917">
            <v>1245000</v>
          </cell>
        </row>
        <row r="918">
          <cell r="C918" t="str">
            <v>Kabel NYY 1 x 70 mm²</v>
          </cell>
          <cell r="D918" t="str">
            <v>m'</v>
          </cell>
          <cell r="E918">
            <v>142000</v>
          </cell>
        </row>
        <row r="919">
          <cell r="C919" t="str">
            <v>Kabel NYY 1 x 95 mm²</v>
          </cell>
          <cell r="D919" t="str">
            <v>m'</v>
          </cell>
          <cell r="E919">
            <v>196500</v>
          </cell>
        </row>
        <row r="920">
          <cell r="C920" t="str">
            <v>Kabel NYY 2 x 1,5 mm²</v>
          </cell>
          <cell r="D920" t="str">
            <v>m'</v>
          </cell>
          <cell r="E920">
            <v>12000</v>
          </cell>
        </row>
        <row r="921">
          <cell r="C921" t="str">
            <v>Kabel NYY 2 x 10 mm²</v>
          </cell>
          <cell r="D921" t="str">
            <v>m'</v>
          </cell>
          <cell r="E921">
            <v>57500</v>
          </cell>
        </row>
        <row r="922">
          <cell r="C922" t="str">
            <v>Kabel NYY 2 x 16 mm²</v>
          </cell>
          <cell r="D922" t="str">
            <v>m'</v>
          </cell>
          <cell r="E922">
            <v>92000</v>
          </cell>
        </row>
        <row r="923">
          <cell r="C923" t="str">
            <v>Kabel NYY 2 x 2,5 mm²</v>
          </cell>
          <cell r="D923" t="str">
            <v>m'</v>
          </cell>
          <cell r="E923">
            <v>16560</v>
          </cell>
        </row>
        <row r="924">
          <cell r="C924" t="str">
            <v>Kabel NYY 2 x 4 mm²</v>
          </cell>
          <cell r="D924" t="str">
            <v>m'</v>
          </cell>
          <cell r="E924">
            <v>23000</v>
          </cell>
        </row>
        <row r="925">
          <cell r="C925" t="str">
            <v>Kabel NYY 2 x 6 mm²</v>
          </cell>
          <cell r="D925" t="str">
            <v>m'</v>
          </cell>
          <cell r="E925">
            <v>35000</v>
          </cell>
        </row>
        <row r="926">
          <cell r="C926" t="str">
            <v>Kabel NYY 3 x 1,5 mm²</v>
          </cell>
          <cell r="D926" t="str">
            <v>m'</v>
          </cell>
          <cell r="E926">
            <v>15000</v>
          </cell>
        </row>
        <row r="927">
          <cell r="C927" t="str">
            <v>Kabel NYY 3 x 10 mm²</v>
          </cell>
          <cell r="D927" t="str">
            <v>m'</v>
          </cell>
          <cell r="E927">
            <v>74600</v>
          </cell>
        </row>
        <row r="928">
          <cell r="C928" t="str">
            <v>Kabel NYY 3 x 16 mm²</v>
          </cell>
          <cell r="D928" t="str">
            <v>m'</v>
          </cell>
          <cell r="E928">
            <v>114000</v>
          </cell>
        </row>
        <row r="929">
          <cell r="C929" t="str">
            <v>Kabel NYY 3 x 2,5 mm²</v>
          </cell>
          <cell r="D929" t="str">
            <v>m'</v>
          </cell>
          <cell r="E929">
            <v>21500</v>
          </cell>
        </row>
        <row r="930">
          <cell r="C930" t="str">
            <v>Kabel NYY 3 x 25 mm²</v>
          </cell>
          <cell r="D930" t="str">
            <v>m'</v>
          </cell>
          <cell r="E930">
            <v>174900</v>
          </cell>
        </row>
        <row r="931">
          <cell r="C931" t="str">
            <v>Kabel NYY 3 x 35 mm²</v>
          </cell>
          <cell r="D931" t="str">
            <v>m'</v>
          </cell>
          <cell r="E931">
            <v>235500</v>
          </cell>
        </row>
        <row r="932">
          <cell r="C932" t="str">
            <v>Kabel NYY 3 x 4 mm²</v>
          </cell>
          <cell r="D932" t="str">
            <v>m'</v>
          </cell>
          <cell r="E932">
            <v>33000</v>
          </cell>
        </row>
        <row r="933">
          <cell r="C933" t="str">
            <v>Kabel NYY 3 x 50 mm²</v>
          </cell>
          <cell r="D933" t="str">
            <v>m'</v>
          </cell>
          <cell r="E933">
            <v>305700</v>
          </cell>
        </row>
        <row r="934">
          <cell r="C934" t="str">
            <v>Kabel NYY 3 x 6 mm²</v>
          </cell>
          <cell r="D934" t="str">
            <v>m'</v>
          </cell>
          <cell r="E934">
            <v>46000</v>
          </cell>
        </row>
        <row r="935">
          <cell r="C935" t="str">
            <v>Kabel NYY 4 x 1,5 mm²</v>
          </cell>
          <cell r="D935" t="str">
            <v>m'</v>
          </cell>
          <cell r="E935">
            <v>18600</v>
          </cell>
        </row>
        <row r="936">
          <cell r="C936" t="str">
            <v>Kabel NYY 4 x 10 mm²</v>
          </cell>
          <cell r="D936" t="str">
            <v>m'</v>
          </cell>
          <cell r="E936">
            <v>96000</v>
          </cell>
        </row>
        <row r="937">
          <cell r="C937" t="str">
            <v>Kabel NYY 4 x 120 mm²</v>
          </cell>
          <cell r="D937" t="str">
            <v>m'</v>
          </cell>
          <cell r="E937">
            <v>1011900</v>
          </cell>
        </row>
        <row r="938">
          <cell r="C938" t="str">
            <v>Kabel NYY 4 x 150 mm²</v>
          </cell>
          <cell r="D938" t="str">
            <v>m'</v>
          </cell>
          <cell r="E938">
            <v>1245000</v>
          </cell>
        </row>
        <row r="939">
          <cell r="C939" t="str">
            <v>Kabel NYY 4 x 16 mm²</v>
          </cell>
          <cell r="D939" t="str">
            <v>m'</v>
          </cell>
          <cell r="E939">
            <v>148500</v>
          </cell>
        </row>
        <row r="940">
          <cell r="C940" t="str">
            <v>Kabel NYY 4 x 185 mm²</v>
          </cell>
          <cell r="D940" t="str">
            <v>m'</v>
          </cell>
          <cell r="E940">
            <v>1552800</v>
          </cell>
        </row>
        <row r="941">
          <cell r="C941" t="str">
            <v>Kabel NYY 4 x 2,5 mm²</v>
          </cell>
          <cell r="D941" t="str">
            <v>m'</v>
          </cell>
          <cell r="E941">
            <v>28620</v>
          </cell>
        </row>
        <row r="942">
          <cell r="C942" t="str">
            <v>Kabel NYY 4 x 240 mm²</v>
          </cell>
          <cell r="D942" t="str">
            <v>m'</v>
          </cell>
          <cell r="E942">
            <v>2044800</v>
          </cell>
        </row>
        <row r="943">
          <cell r="C943" t="str">
            <v>Kabel NYY 4 x 25 mm²</v>
          </cell>
          <cell r="D943" t="str">
            <v>m'</v>
          </cell>
          <cell r="E943">
            <v>228000</v>
          </cell>
        </row>
        <row r="944">
          <cell r="C944" t="str">
            <v>Kabel NYY 4 x 300 mm²</v>
          </cell>
          <cell r="D944" t="str">
            <v>m'</v>
          </cell>
          <cell r="E944">
            <v>2550900</v>
          </cell>
        </row>
        <row r="945">
          <cell r="C945" t="str">
            <v>Kabel NYY 4 x 35 mm²</v>
          </cell>
          <cell r="D945" t="str">
            <v>m'</v>
          </cell>
          <cell r="E945">
            <v>310500</v>
          </cell>
        </row>
        <row r="946">
          <cell r="C946" t="str">
            <v>Kabel NYY 4 x 4 mm²</v>
          </cell>
          <cell r="D946" t="str">
            <v>m'</v>
          </cell>
          <cell r="E946">
            <v>43000</v>
          </cell>
        </row>
        <row r="947">
          <cell r="C947" t="str">
            <v>Kabel NYY 4 x 50 mm²</v>
          </cell>
          <cell r="D947" t="str">
            <v>m'</v>
          </cell>
          <cell r="E947">
            <v>412200</v>
          </cell>
        </row>
        <row r="948">
          <cell r="C948" t="str">
            <v>Kabel NYY 4 x 6 mm²</v>
          </cell>
          <cell r="D948" t="str">
            <v>m'</v>
          </cell>
          <cell r="E948">
            <v>61000</v>
          </cell>
        </row>
        <row r="949">
          <cell r="C949" t="str">
            <v>Kabel NYY 4 x 70 mm²</v>
          </cell>
          <cell r="D949" t="str">
            <v>m'</v>
          </cell>
          <cell r="E949">
            <v>584700</v>
          </cell>
        </row>
        <row r="950">
          <cell r="C950" t="str">
            <v>Kabel NYY 4 x 95 mm²</v>
          </cell>
          <cell r="D950" t="str">
            <v>m'</v>
          </cell>
          <cell r="E950">
            <v>805200</v>
          </cell>
        </row>
        <row r="951">
          <cell r="C951" t="str">
            <v>Kabel tray 200 x 100 mm</v>
          </cell>
          <cell r="D951" t="str">
            <v>m'</v>
          </cell>
          <cell r="E951">
            <v>175000</v>
          </cell>
        </row>
        <row r="952">
          <cell r="C952" t="str">
            <v>Kabel tray 300 x 100 mm</v>
          </cell>
          <cell r="D952" t="str">
            <v>m'</v>
          </cell>
          <cell r="E952">
            <v>219000</v>
          </cell>
        </row>
        <row r="953">
          <cell r="C953" t="str">
            <v>Kabel tray 400 x 100 mm</v>
          </cell>
          <cell r="D953" t="str">
            <v>m'</v>
          </cell>
          <cell r="E953">
            <v>265000</v>
          </cell>
        </row>
        <row r="954">
          <cell r="C954" t="str">
            <v>Kabel tray 500 x 100 mm</v>
          </cell>
          <cell r="D954" t="str">
            <v>m'</v>
          </cell>
          <cell r="E954">
            <v>309000</v>
          </cell>
        </row>
        <row r="955">
          <cell r="C955" t="str">
            <v>Kabel tray 600 x 100 mm</v>
          </cell>
          <cell r="D955" t="str">
            <v>m'</v>
          </cell>
          <cell r="E955">
            <v>352000</v>
          </cell>
        </row>
        <row r="956">
          <cell r="C956" t="str">
            <v>Klem kabel tray</v>
          </cell>
          <cell r="D956" t="str">
            <v>buah</v>
          </cell>
          <cell r="E956">
            <v>6000</v>
          </cell>
        </row>
        <row r="957">
          <cell r="C957" t="str">
            <v>Mur baut kabel tray</v>
          </cell>
          <cell r="D957" t="str">
            <v>buah</v>
          </cell>
          <cell r="E957">
            <v>1000</v>
          </cell>
        </row>
        <row r="958">
          <cell r="C958" t="str">
            <v>PVC conduit HI 20 mm²</v>
          </cell>
          <cell r="D958" t="str">
            <v>m'</v>
          </cell>
          <cell r="E958">
            <v>4100</v>
          </cell>
        </row>
        <row r="959">
          <cell r="C959" t="str">
            <v>MATERIAL LAIN-LAIN</v>
          </cell>
        </row>
        <row r="960">
          <cell r="C960" t="str">
            <v>Air</v>
          </cell>
          <cell r="D960" t="str">
            <v>liter</v>
          </cell>
          <cell r="E960">
            <v>200</v>
          </cell>
        </row>
        <row r="961">
          <cell r="C961" t="str">
            <v>Air</v>
          </cell>
          <cell r="D961" t="str">
            <v>m3</v>
          </cell>
          <cell r="E961">
            <v>200000</v>
          </cell>
        </row>
        <row r="962">
          <cell r="C962" t="str">
            <v>Akrilik 4 mm</v>
          </cell>
          <cell r="D962" t="str">
            <v>m2</v>
          </cell>
          <cell r="E962">
            <v>179000</v>
          </cell>
        </row>
        <row r="963">
          <cell r="C963" t="str">
            <v>Alang-alang</v>
          </cell>
          <cell r="D963" t="str">
            <v>ikat</v>
          </cell>
          <cell r="E963">
            <v>30000</v>
          </cell>
        </row>
        <row r="964">
          <cell r="C964" t="str">
            <v>Alat  tulis</v>
          </cell>
          <cell r="D964" t="str">
            <v>buah</v>
          </cell>
          <cell r="E964">
            <v>68600</v>
          </cell>
        </row>
        <row r="965">
          <cell r="C965" t="str">
            <v>Aluminium foil</v>
          </cell>
          <cell r="D965" t="str">
            <v>m2</v>
          </cell>
          <cell r="E965">
            <v>10000</v>
          </cell>
        </row>
        <row r="966">
          <cell r="C966" t="str">
            <v>Aluminium foil double side</v>
          </cell>
          <cell r="D966" t="str">
            <v>m2</v>
          </cell>
          <cell r="E966">
            <v>11000</v>
          </cell>
        </row>
        <row r="967">
          <cell r="C967" t="str">
            <v>Amplas</v>
          </cell>
          <cell r="D967" t="str">
            <v>lembar</v>
          </cell>
          <cell r="E967">
            <v>3900</v>
          </cell>
        </row>
        <row r="968">
          <cell r="C968" t="str">
            <v>Baja ringan C75 x 0,75 mm</v>
          </cell>
          <cell r="D968" t="str">
            <v>batang</v>
          </cell>
          <cell r="E968">
            <v>77200</v>
          </cell>
        </row>
        <row r="969">
          <cell r="C969" t="str">
            <v>Baja ringan C75 x 0,8 mm</v>
          </cell>
          <cell r="D969" t="str">
            <v>batang</v>
          </cell>
          <cell r="E969">
            <v>82400</v>
          </cell>
        </row>
        <row r="970">
          <cell r="C970" t="str">
            <v>Baja ringan C75 x 1,00 mm</v>
          </cell>
          <cell r="D970" t="str">
            <v>batang</v>
          </cell>
          <cell r="E970">
            <v>106000</v>
          </cell>
        </row>
        <row r="971">
          <cell r="C971" t="str">
            <v>Baja ringan C75 x 1,00 mm</v>
          </cell>
          <cell r="D971" t="str">
            <v>m'</v>
          </cell>
          <cell r="E971">
            <v>17666.666666666668</v>
          </cell>
        </row>
        <row r="972">
          <cell r="C972" t="str">
            <v>Bata Ringan (ukuran 60x20x10 cm)</v>
          </cell>
          <cell r="D972" t="str">
            <v>m3</v>
          </cell>
          <cell r="E972">
            <v>755000</v>
          </cell>
        </row>
        <row r="973">
          <cell r="C973" t="str">
            <v>Batu Andesit  Bakar 10x10, t=3cm</v>
          </cell>
          <cell r="D973" t="str">
            <v>Unit</v>
          </cell>
          <cell r="E973">
            <v>145000</v>
          </cell>
        </row>
        <row r="974">
          <cell r="C974" t="str">
            <v>Batu Andesit  Bakar 30x30, t=3cm</v>
          </cell>
          <cell r="D974" t="str">
            <v>Unit</v>
          </cell>
          <cell r="E974">
            <v>170000</v>
          </cell>
        </row>
        <row r="975">
          <cell r="C975" t="str">
            <v>Batu apung</v>
          </cell>
          <cell r="D975" t="str">
            <v>kg</v>
          </cell>
          <cell r="E975">
            <v>6100</v>
          </cell>
        </row>
        <row r="976">
          <cell r="C976" t="str">
            <v>Bollard Besi Tempa (BL1)</v>
          </cell>
          <cell r="D976" t="str">
            <v>unit</v>
          </cell>
          <cell r="E976">
            <v>1262500</v>
          </cell>
        </row>
        <row r="977">
          <cell r="C977" t="str">
            <v>Bollard Besi Tempa (BL2)</v>
          </cell>
          <cell r="D977" t="str">
            <v>unit</v>
          </cell>
          <cell r="E977">
            <v>1040000</v>
          </cell>
        </row>
        <row r="978">
          <cell r="C978" t="str">
            <v>Bollard cast  iron (tinggi 1,2m ; Ø bawah 5"  ; Ø atas  4")</v>
          </cell>
          <cell r="D978" t="str">
            <v>buah</v>
          </cell>
          <cell r="E978">
            <v>2626500</v>
          </cell>
        </row>
        <row r="979">
          <cell r="C979" t="str">
            <v>Bollard stainless  steel (tinggi 1m ; Ø 4")</v>
          </cell>
          <cell r="D979" t="str">
            <v>buah</v>
          </cell>
          <cell r="E979">
            <v>555600</v>
          </cell>
        </row>
        <row r="980">
          <cell r="C980" t="str">
            <v>Bubuk poles</v>
          </cell>
          <cell r="D980" t="str">
            <v>kg</v>
          </cell>
          <cell r="E980">
            <v>180000</v>
          </cell>
        </row>
        <row r="981">
          <cell r="C981" t="str">
            <v>Coldmix  (Aspal Tambal Dingin) 25 kg</v>
          </cell>
          <cell r="D981" t="str">
            <v>Zak</v>
          </cell>
          <cell r="E981">
            <v>225000</v>
          </cell>
        </row>
        <row r="982">
          <cell r="C982" t="str">
            <v>Cutting sticker</v>
          </cell>
          <cell r="D982" t="str">
            <v>m2</v>
          </cell>
          <cell r="E982">
            <v>100000</v>
          </cell>
        </row>
        <row r="983">
          <cell r="C983" t="str">
            <v>Epoxy resin grout</v>
          </cell>
          <cell r="D983" t="str">
            <v>kg</v>
          </cell>
          <cell r="E983">
            <v>216700</v>
          </cell>
        </row>
        <row r="984">
          <cell r="C984" t="str">
            <v>Formica</v>
          </cell>
          <cell r="D984" t="str">
            <v>lembar</v>
          </cell>
          <cell r="E984">
            <v>51400</v>
          </cell>
        </row>
        <row r="985">
          <cell r="C985" t="str">
            <v>Formika</v>
          </cell>
          <cell r="D985" t="str">
            <v>lembar</v>
          </cell>
          <cell r="E985">
            <v>170000</v>
          </cell>
        </row>
        <row r="986">
          <cell r="C986" t="str">
            <v>Gebalan Rumput  Jenis  Lamuran</v>
          </cell>
          <cell r="D986" t="str">
            <v>m²</v>
          </cell>
          <cell r="E986">
            <v>10600</v>
          </cell>
        </row>
        <row r="987">
          <cell r="C987" t="str">
            <v>Glasswool tebal 8 cm</v>
          </cell>
          <cell r="D987" t="str">
            <v>m2</v>
          </cell>
          <cell r="E987">
            <v>29166.666666666668</v>
          </cell>
        </row>
        <row r="988">
          <cell r="C988" t="str">
            <v>Guardrail</v>
          </cell>
          <cell r="D988" t="str">
            <v>m'</v>
          </cell>
          <cell r="E988">
            <v>761200</v>
          </cell>
        </row>
        <row r="989">
          <cell r="C989" t="str">
            <v>Hebel Block (ukuran 60x20x15 cm)</v>
          </cell>
          <cell r="D989" t="str">
            <v>buah</v>
          </cell>
          <cell r="E989">
            <v>20200</v>
          </cell>
        </row>
        <row r="990">
          <cell r="C990" t="str">
            <v>Huruf/letter timbul stainless  steel</v>
          </cell>
          <cell r="D990" t="str">
            <v>buah</v>
          </cell>
          <cell r="E990">
            <v>9200</v>
          </cell>
        </row>
        <row r="991">
          <cell r="C991" t="str">
            <v>Ijuk</v>
          </cell>
          <cell r="D991" t="str">
            <v>m3</v>
          </cell>
          <cell r="E991">
            <v>39700</v>
          </cell>
        </row>
        <row r="992">
          <cell r="C992" t="str">
            <v>Insulasi foam</v>
          </cell>
          <cell r="D992" t="str">
            <v>m2</v>
          </cell>
          <cell r="E992">
            <v>70000</v>
          </cell>
        </row>
        <row r="993">
          <cell r="C993" t="str">
            <v>Jaringan udara (LVTC  2x15 mm)</v>
          </cell>
          <cell r="D993" t="str">
            <v>unit</v>
          </cell>
          <cell r="E993">
            <v>2156800</v>
          </cell>
        </row>
        <row r="994">
          <cell r="C994" t="str">
            <v>Jendela type J1</v>
          </cell>
          <cell r="D994" t="str">
            <v>unit</v>
          </cell>
          <cell r="E994">
            <v>2740500</v>
          </cell>
        </row>
        <row r="995">
          <cell r="C995" t="str">
            <v>Jendela type J2</v>
          </cell>
          <cell r="D995" t="str">
            <v>unit</v>
          </cell>
          <cell r="E995">
            <v>5481000</v>
          </cell>
        </row>
        <row r="996">
          <cell r="C996" t="str">
            <v>Joint  Sealent</v>
          </cell>
          <cell r="D996" t="str">
            <v>kg</v>
          </cell>
          <cell r="E996">
            <v>37300</v>
          </cell>
        </row>
        <row r="997">
          <cell r="C997" t="str">
            <v>Kapur</v>
          </cell>
          <cell r="D997" t="str">
            <v>m3</v>
          </cell>
          <cell r="E997">
            <v>263700</v>
          </cell>
        </row>
        <row r="998">
          <cell r="C998" t="str">
            <v>Kapur padam</v>
          </cell>
          <cell r="D998" t="str">
            <v>kg</v>
          </cell>
          <cell r="E998">
            <v>7000</v>
          </cell>
        </row>
        <row r="999">
          <cell r="C999" t="str">
            <v>Karung goni</v>
          </cell>
          <cell r="D999" t="str">
            <v>m2</v>
          </cell>
          <cell r="E999">
            <v>14500</v>
          </cell>
        </row>
        <row r="1000">
          <cell r="C1000" t="str">
            <v>Karung plastik</v>
          </cell>
          <cell r="D1000" t="str">
            <v>buah</v>
          </cell>
          <cell r="E1000">
            <v>3900</v>
          </cell>
        </row>
        <row r="1001">
          <cell r="C1001" t="str">
            <v>Kisdam (sewa sheet  pile selama 2 bulan)</v>
          </cell>
          <cell r="D1001" t="str">
            <v>batang</v>
          </cell>
          <cell r="E1001">
            <v>710500</v>
          </cell>
        </row>
        <row r="1002">
          <cell r="C1002" t="str">
            <v>Lem Aibon</v>
          </cell>
          <cell r="D1002" t="str">
            <v>kg</v>
          </cell>
          <cell r="E1002">
            <v>42500</v>
          </cell>
        </row>
        <row r="1003">
          <cell r="C1003" t="str">
            <v>Lem epoxy</v>
          </cell>
          <cell r="D1003" t="str">
            <v>kg</v>
          </cell>
          <cell r="E1003">
            <v>145000</v>
          </cell>
        </row>
        <row r="1004">
          <cell r="C1004" t="str">
            <v>Lem kayu</v>
          </cell>
          <cell r="D1004" t="str">
            <v>kg</v>
          </cell>
          <cell r="E1004">
            <v>16400</v>
          </cell>
        </row>
        <row r="1005">
          <cell r="C1005" t="str">
            <v>Lem vinyl</v>
          </cell>
          <cell r="D1005" t="str">
            <v>kg</v>
          </cell>
          <cell r="E1005">
            <v>36900</v>
          </cell>
        </row>
        <row r="1006">
          <cell r="C1006" t="str">
            <v>Lethering akrilik tinggi 100 tebal 20 cm</v>
          </cell>
          <cell r="D1006" t="str">
            <v>buah</v>
          </cell>
          <cell r="E1006">
            <v>1167200</v>
          </cell>
        </row>
        <row r="1007">
          <cell r="C1007" t="str">
            <v>Lethering akrilik tinggi 25 tebal 5 cm</v>
          </cell>
          <cell r="D1007" t="str">
            <v>buah</v>
          </cell>
          <cell r="E1007">
            <v>140000</v>
          </cell>
        </row>
        <row r="1008">
          <cell r="C1008" t="str">
            <v>Lethering akrilik tinggi 45 tebal 20 cm</v>
          </cell>
          <cell r="D1008" t="str">
            <v>buah</v>
          </cell>
          <cell r="E1008">
            <v>525200</v>
          </cell>
        </row>
        <row r="1009">
          <cell r="C1009" t="str">
            <v>Lethering akrilik tinggi 70 tebal 20 cm</v>
          </cell>
          <cell r="D1009" t="str">
            <v>buah</v>
          </cell>
          <cell r="E1009">
            <v>817000</v>
          </cell>
        </row>
        <row r="1010">
          <cell r="C1010" t="str">
            <v>Lis  profil beton (50 cm)</v>
          </cell>
          <cell r="D1010" t="str">
            <v>buah</v>
          </cell>
          <cell r="E1010">
            <v>8000</v>
          </cell>
        </row>
        <row r="1011">
          <cell r="C1011" t="str">
            <v>Mortar Acian Bata Ringan</v>
          </cell>
          <cell r="D1011" t="str">
            <v>zak</v>
          </cell>
          <cell r="E1011">
            <v>99600</v>
          </cell>
        </row>
        <row r="1012">
          <cell r="C1012" t="str">
            <v>Mortar Perekat  Bata Ringan</v>
          </cell>
          <cell r="D1012" t="str">
            <v>zak</v>
          </cell>
          <cell r="E1012">
            <v>85600</v>
          </cell>
        </row>
        <row r="1013">
          <cell r="C1013" t="str">
            <v>Mortar Plesteran Bata Ringan</v>
          </cell>
          <cell r="D1013" t="str">
            <v>zak</v>
          </cell>
          <cell r="E1013">
            <v>82600</v>
          </cell>
        </row>
        <row r="1014">
          <cell r="C1014" t="str">
            <v>Mortar siap pakai</v>
          </cell>
          <cell r="D1014" t="str">
            <v>kg</v>
          </cell>
          <cell r="E1014">
            <v>1850</v>
          </cell>
        </row>
        <row r="1015">
          <cell r="C1015" t="str">
            <v>Nako  per daun</v>
          </cell>
          <cell r="D1015" t="str">
            <v>buah</v>
          </cell>
          <cell r="E1015">
            <v>8700</v>
          </cell>
        </row>
        <row r="1016">
          <cell r="C1016" t="str">
            <v>Pasir Ottawa</v>
          </cell>
          <cell r="D1016" t="str">
            <v>Zak</v>
          </cell>
          <cell r="E1016">
            <v>515000</v>
          </cell>
        </row>
        <row r="1017">
          <cell r="C1017" t="str">
            <v>Pemasangan lantai tempered laminated glass  Jemabatan Kaca</v>
          </cell>
          <cell r="D1017" t="str">
            <v>Unit</v>
          </cell>
          <cell r="E1017">
            <v>107070707</v>
          </cell>
        </row>
        <row r="1018">
          <cell r="C1018" t="str">
            <v>Pen akrilik</v>
          </cell>
          <cell r="D1018" t="str">
            <v>buah</v>
          </cell>
          <cell r="E1018">
            <v>7000</v>
          </cell>
        </row>
        <row r="1019">
          <cell r="C1019" t="str">
            <v>Perekat untuk  wallpaper</v>
          </cell>
          <cell r="D1019" t="str">
            <v>kg</v>
          </cell>
          <cell r="E1019">
            <v>36800</v>
          </cell>
        </row>
        <row r="1020">
          <cell r="C1020" t="str">
            <v>Pintu lipat  (folding door) bahan plastik/PVC</v>
          </cell>
          <cell r="D1020" t="str">
            <v>m2</v>
          </cell>
          <cell r="E1020">
            <v>215000</v>
          </cell>
        </row>
        <row r="1021">
          <cell r="C1021" t="str">
            <v>Pintu type P1</v>
          </cell>
          <cell r="D1021" t="str">
            <v>unit</v>
          </cell>
          <cell r="E1021">
            <v>4689300</v>
          </cell>
        </row>
        <row r="1022">
          <cell r="C1022" t="str">
            <v>Pipa screen pvc  Ø 4"</v>
          </cell>
          <cell r="D1022" t="str">
            <v>m¹</v>
          </cell>
          <cell r="E1022">
            <v>94600</v>
          </cell>
        </row>
        <row r="1023">
          <cell r="C1023" t="str">
            <v>Pipa stainless  steel diameter 0,5 "  panjang 6 m</v>
          </cell>
          <cell r="D1023" t="str">
            <v>batang</v>
          </cell>
          <cell r="E1023">
            <v>1152000</v>
          </cell>
        </row>
        <row r="1024">
          <cell r="C1024" t="str">
            <v>Pipa stainless  steel diameter 0,75 "  panjang 6 m</v>
          </cell>
          <cell r="D1024" t="str">
            <v>batang</v>
          </cell>
          <cell r="E1024">
            <v>1253500</v>
          </cell>
        </row>
        <row r="1025">
          <cell r="C1025" t="str">
            <v>Pipa stainless  steel diameter 1 "  panjang 6 m</v>
          </cell>
          <cell r="D1025" t="str">
            <v>batang</v>
          </cell>
          <cell r="E1025">
            <v>1598600</v>
          </cell>
        </row>
        <row r="1026">
          <cell r="C1026" t="str">
            <v>Pipa stainless  steel diameter 1,5 "  panjang 6 m</v>
          </cell>
          <cell r="D1026" t="str">
            <v>batang</v>
          </cell>
          <cell r="E1026">
            <v>1877700</v>
          </cell>
        </row>
        <row r="1027">
          <cell r="C1027" t="str">
            <v>Pipa stainless  steel diameter 2 "  panjang 6 m</v>
          </cell>
          <cell r="D1027" t="str">
            <v>batang</v>
          </cell>
          <cell r="E1027">
            <v>2461300</v>
          </cell>
        </row>
        <row r="1028">
          <cell r="C1028" t="str">
            <v>Pipa stainless  steel diameter 2,5 "  panjang 6 m</v>
          </cell>
          <cell r="D1028" t="str">
            <v>batang</v>
          </cell>
          <cell r="E1028">
            <v>3045000</v>
          </cell>
        </row>
        <row r="1029">
          <cell r="C1029" t="str">
            <v>Pipa stainless  steel diameter 3 "  panjang 6 m</v>
          </cell>
          <cell r="D1029" t="str">
            <v>batang</v>
          </cell>
          <cell r="E1029">
            <v>4403200</v>
          </cell>
        </row>
        <row r="1030">
          <cell r="C1030" t="str">
            <v>Plastik aerator</v>
          </cell>
          <cell r="D1030" t="str">
            <v>buah</v>
          </cell>
          <cell r="E1030">
            <v>15900</v>
          </cell>
        </row>
        <row r="1031">
          <cell r="C1031" t="str">
            <v>Prasasti marmer 20x20</v>
          </cell>
          <cell r="D1031" t="str">
            <v>Unit</v>
          </cell>
          <cell r="E1031">
            <v>120000</v>
          </cell>
        </row>
        <row r="1032">
          <cell r="C1032" t="str">
            <v>Ramset</v>
          </cell>
          <cell r="D1032" t="str">
            <v>buah</v>
          </cell>
          <cell r="E1032">
            <v>3200</v>
          </cell>
        </row>
        <row r="1033">
          <cell r="C1033" t="str">
            <v>Recorder paper</v>
          </cell>
          <cell r="D1033" t="str">
            <v>set</v>
          </cell>
          <cell r="E1033">
            <v>174100</v>
          </cell>
        </row>
        <row r="1034">
          <cell r="C1034" t="str">
            <v>Rel pintu dorong</v>
          </cell>
          <cell r="D1034" t="str">
            <v>buah</v>
          </cell>
          <cell r="E1034">
            <v>243700</v>
          </cell>
        </row>
        <row r="1035">
          <cell r="C1035" t="str">
            <v>Reng baja ringan</v>
          </cell>
          <cell r="D1035" t="str">
            <v>batang</v>
          </cell>
          <cell r="E1035">
            <v>33900</v>
          </cell>
        </row>
        <row r="1036">
          <cell r="C1036" t="str">
            <v>Roster 10 x  20 cm</v>
          </cell>
          <cell r="D1036" t="str">
            <v>buah</v>
          </cell>
          <cell r="E1036">
            <v>11300</v>
          </cell>
        </row>
        <row r="1037">
          <cell r="C1037" t="str">
            <v>Roster 15 x  25 cm</v>
          </cell>
          <cell r="D1037" t="str">
            <v>buah</v>
          </cell>
          <cell r="E1037">
            <v>19300</v>
          </cell>
        </row>
        <row r="1038">
          <cell r="C1038" t="str">
            <v>Roster 15 x  30 cm</v>
          </cell>
          <cell r="D1038" t="str">
            <v>buah</v>
          </cell>
          <cell r="E1038">
            <v>19800</v>
          </cell>
        </row>
        <row r="1039">
          <cell r="C1039" t="str">
            <v>Roster 20 x 20 cm</v>
          </cell>
          <cell r="D1039" t="str">
            <v>buah</v>
          </cell>
          <cell r="E1039">
            <v>13100</v>
          </cell>
        </row>
        <row r="1040">
          <cell r="C1040" t="str">
            <v>Roster 25 x  25 cm</v>
          </cell>
          <cell r="D1040" t="str">
            <v>buah</v>
          </cell>
          <cell r="E1040">
            <v>16500</v>
          </cell>
        </row>
        <row r="1041">
          <cell r="C1041" t="str">
            <v>Roster 30 x  30 cm</v>
          </cell>
          <cell r="D1041" t="str">
            <v>buah</v>
          </cell>
          <cell r="E1041">
            <v>20500</v>
          </cell>
        </row>
        <row r="1042">
          <cell r="C1042" t="str">
            <v>Roster/terawang</v>
          </cell>
          <cell r="D1042" t="str">
            <v>buah</v>
          </cell>
          <cell r="E1042">
            <v>21500</v>
          </cell>
        </row>
        <row r="1043">
          <cell r="C1043" t="str">
            <v>Rumput  sintetis  uk. 1mx1m tebal 2 cm</v>
          </cell>
          <cell r="D1043" t="str">
            <v>buah</v>
          </cell>
          <cell r="E1043">
            <v>149300</v>
          </cell>
        </row>
        <row r="1044">
          <cell r="C1044" t="str">
            <v>Sabun</v>
          </cell>
          <cell r="D1044" t="str">
            <v>Kg</v>
          </cell>
          <cell r="E1044">
            <v>19400</v>
          </cell>
        </row>
        <row r="1045">
          <cell r="C1045" t="str">
            <v>Screen low  carbon</v>
          </cell>
          <cell r="D1045" t="str">
            <v>m¹</v>
          </cell>
          <cell r="E1045">
            <v>549300</v>
          </cell>
        </row>
        <row r="1046">
          <cell r="C1046" t="str">
            <v>Screen stainless  steel ø  4"</v>
          </cell>
          <cell r="D1046" t="str">
            <v>m¹</v>
          </cell>
          <cell r="E1046">
            <v>1137800</v>
          </cell>
        </row>
        <row r="1047">
          <cell r="C1047" t="str">
            <v>Sealant</v>
          </cell>
          <cell r="D1047" t="str">
            <v>tube</v>
          </cell>
          <cell r="E1047">
            <v>33100</v>
          </cell>
        </row>
        <row r="1048">
          <cell r="C1048" t="str">
            <v>Sealant</v>
          </cell>
          <cell r="D1048" t="str">
            <v>tube</v>
          </cell>
          <cell r="E1048">
            <v>33500</v>
          </cell>
        </row>
        <row r="1049">
          <cell r="C1049" t="str">
            <v>Sealant  kaca</v>
          </cell>
          <cell r="D1049" t="str">
            <v>kg</v>
          </cell>
          <cell r="E1049">
            <v>32100</v>
          </cell>
        </row>
        <row r="1050">
          <cell r="C1050" t="str">
            <v>Sealtape</v>
          </cell>
          <cell r="D1050" t="str">
            <v>buah</v>
          </cell>
          <cell r="E1050">
            <v>5700</v>
          </cell>
        </row>
        <row r="1051">
          <cell r="C1051" t="str">
            <v>Semen Sika</v>
          </cell>
          <cell r="D1051" t="str">
            <v>Zak</v>
          </cell>
          <cell r="E1051">
            <v>163900</v>
          </cell>
        </row>
        <row r="1052">
          <cell r="C1052" t="str">
            <v>Septic  tank pabrikasi 1000 liter</v>
          </cell>
          <cell r="D1052" t="str">
            <v>buah</v>
          </cell>
          <cell r="E1052">
            <v>3605000</v>
          </cell>
        </row>
        <row r="1053">
          <cell r="C1053" t="str">
            <v>Septic  tank pabrikasi 1200 liter</v>
          </cell>
          <cell r="D1053" t="str">
            <v>buah</v>
          </cell>
          <cell r="E1053">
            <v>5150000</v>
          </cell>
        </row>
        <row r="1054">
          <cell r="C1054" t="str">
            <v>Septic  tank pabrikasi 2000 liter</v>
          </cell>
          <cell r="D1054" t="str">
            <v>buah</v>
          </cell>
          <cell r="E1054">
            <v>9785000</v>
          </cell>
        </row>
        <row r="1055">
          <cell r="C1055" t="str">
            <v>Septic  tank pabrikasi 800 liter</v>
          </cell>
          <cell r="D1055" t="str">
            <v>buah</v>
          </cell>
          <cell r="E1055">
            <v>2629500</v>
          </cell>
        </row>
        <row r="1056">
          <cell r="C1056" t="str">
            <v>Sesek bambu</v>
          </cell>
          <cell r="D1056" t="str">
            <v>lembar</v>
          </cell>
          <cell r="E1056">
            <v>19100</v>
          </cell>
        </row>
        <row r="1057">
          <cell r="C1057" t="str">
            <v>Signage RMJ</v>
          </cell>
          <cell r="D1057" t="str">
            <v>unit</v>
          </cell>
          <cell r="E1057">
            <v>1987300</v>
          </cell>
        </row>
        <row r="1058">
          <cell r="C1058" t="str">
            <v>Sitting Group (cast  iron, kayu)</v>
          </cell>
          <cell r="D1058" t="str">
            <v>unit</v>
          </cell>
          <cell r="E1058">
            <v>2389300</v>
          </cell>
        </row>
        <row r="1059">
          <cell r="C1059" t="str">
            <v>Skrup fixer</v>
          </cell>
          <cell r="D1059" t="str">
            <v>buah</v>
          </cell>
          <cell r="E1059">
            <v>1600</v>
          </cell>
        </row>
        <row r="1060">
          <cell r="C1060" t="str">
            <v>Soda api</v>
          </cell>
          <cell r="D1060" t="str">
            <v>kg</v>
          </cell>
          <cell r="E1060">
            <v>17900</v>
          </cell>
        </row>
        <row r="1061">
          <cell r="C1061" t="str">
            <v>Strorox-100</v>
          </cell>
          <cell r="D1061" t="str">
            <v>kg</v>
          </cell>
          <cell r="E1061">
            <v>40000</v>
          </cell>
        </row>
        <row r="1062">
          <cell r="C1062" t="str">
            <v>Tali ijuk</v>
          </cell>
          <cell r="D1062" t="str">
            <v>kg</v>
          </cell>
          <cell r="E1062">
            <v>8200</v>
          </cell>
        </row>
        <row r="1063">
          <cell r="C1063" t="str">
            <v>Terpal</v>
          </cell>
          <cell r="D1063" t="str">
            <v>m2</v>
          </cell>
          <cell r="E1063">
            <v>12000</v>
          </cell>
        </row>
        <row r="1064">
          <cell r="C1064" t="str">
            <v>Tiang Bolard (Bollard cast  iron) tinggi 1,2 m; ø bawah 5"; ø atas  4"</v>
          </cell>
          <cell r="D1064" t="str">
            <v>buah</v>
          </cell>
          <cell r="E1064">
            <v>1429100</v>
          </cell>
        </row>
        <row r="1065">
          <cell r="C1065" t="str">
            <v>Venetions  blinds  dan vertical blinds  (tirai)</v>
          </cell>
          <cell r="D1065" t="str">
            <v>m2</v>
          </cell>
          <cell r="E1065">
            <v>7400</v>
          </cell>
        </row>
        <row r="1066">
          <cell r="C1066" t="str">
            <v>Wallpaper</v>
          </cell>
          <cell r="D1066" t="str">
            <v>m'</v>
          </cell>
          <cell r="E1066">
            <v>13500</v>
          </cell>
        </row>
        <row r="1067">
          <cell r="C1067" t="str">
            <v>Waterstop lebar 150 mm</v>
          </cell>
          <cell r="D1067" t="str">
            <v>m'</v>
          </cell>
          <cell r="E1067">
            <v>75000</v>
          </cell>
        </row>
        <row r="1068">
          <cell r="C1068" t="str">
            <v>Waterstop lebar 200 mm</v>
          </cell>
          <cell r="D1068" t="str">
            <v>m'</v>
          </cell>
          <cell r="E1068">
            <v>94000</v>
          </cell>
        </row>
        <row r="1069">
          <cell r="C1069" t="str">
            <v>Waterstop lebar 250 mm</v>
          </cell>
          <cell r="D1069" t="str">
            <v>m'</v>
          </cell>
          <cell r="E1069">
            <v>136000</v>
          </cell>
        </row>
        <row r="1070">
          <cell r="C1070" t="str">
            <v>Wax</v>
          </cell>
          <cell r="D1070" t="str">
            <v>kg</v>
          </cell>
          <cell r="E1070">
            <v>130000</v>
          </cell>
        </row>
        <row r="1071">
          <cell r="C1071" t="str">
            <v>SEWA PERALATAN</v>
          </cell>
        </row>
        <row r="1072">
          <cell r="C1072" t="str">
            <v>Alat  bantu</v>
          </cell>
          <cell r="D1072" t="str">
            <v>set</v>
          </cell>
          <cell r="E1072">
            <v>50000</v>
          </cell>
        </row>
        <row r="1073">
          <cell r="C1073" t="str">
            <v>Asphalt  distributor 4000 ℓ</v>
          </cell>
          <cell r="D1073" t="str">
            <v>jam</v>
          </cell>
          <cell r="E1073">
            <v>307300</v>
          </cell>
        </row>
        <row r="1074">
          <cell r="C1074" t="str">
            <v>Asphalt  finisher</v>
          </cell>
          <cell r="D1074" t="str">
            <v>jam</v>
          </cell>
          <cell r="E1074">
            <v>602500</v>
          </cell>
        </row>
        <row r="1075">
          <cell r="C1075" t="str">
            <v>Asphalt  liquid mixer 1000 ℓ</v>
          </cell>
          <cell r="D1075" t="str">
            <v>jam</v>
          </cell>
          <cell r="E1075">
            <v>61100</v>
          </cell>
        </row>
        <row r="1076">
          <cell r="C1076" t="str">
            <v>Asphalt  mixing plant</v>
          </cell>
          <cell r="D1076" t="str">
            <v>jam</v>
          </cell>
          <cell r="E1076">
            <v>6253800</v>
          </cell>
        </row>
        <row r="1077">
          <cell r="C1077" t="str">
            <v>Asphalt  sprayer 850 ℓ</v>
          </cell>
          <cell r="D1077" t="str">
            <v>jam</v>
          </cell>
          <cell r="E1077">
            <v>74900</v>
          </cell>
        </row>
        <row r="1078">
          <cell r="C1078" t="str">
            <v>Bender baja beton</v>
          </cell>
          <cell r="D1078" t="str">
            <v>hari</v>
          </cell>
          <cell r="E1078">
            <v>850000</v>
          </cell>
        </row>
        <row r="1079">
          <cell r="C1079" t="str">
            <v>Blending equipment</v>
          </cell>
          <cell r="D1079" t="str">
            <v>jam</v>
          </cell>
          <cell r="E1079">
            <v>235000</v>
          </cell>
        </row>
        <row r="1080">
          <cell r="C1080" t="str">
            <v>Bore pile machine</v>
          </cell>
          <cell r="D1080" t="str">
            <v>jam</v>
          </cell>
          <cell r="E1080">
            <v>476900</v>
          </cell>
        </row>
        <row r="1081">
          <cell r="C1081" t="str">
            <v>Bulldozer 100-150 HP</v>
          </cell>
          <cell r="D1081" t="str">
            <v>jam</v>
          </cell>
          <cell r="E1081">
            <v>912500</v>
          </cell>
        </row>
        <row r="1082">
          <cell r="C1082" t="str">
            <v>Chain saw</v>
          </cell>
          <cell r="D1082" t="str">
            <v>jam</v>
          </cell>
          <cell r="E1082">
            <v>60200</v>
          </cell>
        </row>
        <row r="1083">
          <cell r="C1083" t="str">
            <v>Chainsaw 20”; 5,5HP</v>
          </cell>
          <cell r="D1083" t="str">
            <v>hari</v>
          </cell>
          <cell r="E1083">
            <v>300000</v>
          </cell>
        </row>
        <row r="1084">
          <cell r="C1084" t="str">
            <v>Cold milling machine</v>
          </cell>
          <cell r="D1084" t="str">
            <v>jam</v>
          </cell>
          <cell r="E1084">
            <v>648500</v>
          </cell>
        </row>
        <row r="1085">
          <cell r="C1085" t="str">
            <v>Compressor 4000-6500 ℓ\m</v>
          </cell>
          <cell r="D1085" t="str">
            <v>jam</v>
          </cell>
          <cell r="E1085">
            <v>185500</v>
          </cell>
        </row>
        <row r="1086">
          <cell r="C1086" t="str">
            <v>Compressor bor</v>
          </cell>
          <cell r="D1086" t="str">
            <v>unit</v>
          </cell>
          <cell r="E1086">
            <v>700000</v>
          </cell>
        </row>
        <row r="1087">
          <cell r="C1087" t="str">
            <v>Concrete mixer 350 ℓ</v>
          </cell>
          <cell r="D1087" t="str">
            <v>jam</v>
          </cell>
          <cell r="E1087">
            <v>94600</v>
          </cell>
        </row>
        <row r="1088">
          <cell r="C1088" t="str">
            <v>Concrete mixer 500 ℓ</v>
          </cell>
          <cell r="D1088" t="str">
            <v>jam</v>
          </cell>
          <cell r="E1088">
            <v>103400</v>
          </cell>
        </row>
        <row r="1089">
          <cell r="C1089" t="str">
            <v>Concrete mixer truck 5 m³</v>
          </cell>
          <cell r="D1089" t="str">
            <v>jam</v>
          </cell>
          <cell r="E1089">
            <v>576100</v>
          </cell>
        </row>
        <row r="1090">
          <cell r="C1090" t="str">
            <v>Concrete pan mixer</v>
          </cell>
          <cell r="D1090" t="str">
            <v>jam</v>
          </cell>
          <cell r="E1090">
            <v>800700</v>
          </cell>
        </row>
        <row r="1091">
          <cell r="C1091" t="str">
            <v>Concrete pump</v>
          </cell>
          <cell r="D1091" t="str">
            <v>jam</v>
          </cell>
          <cell r="E1091">
            <v>296800</v>
          </cell>
        </row>
        <row r="1092">
          <cell r="C1092" t="str">
            <v>Concrete slip form paver</v>
          </cell>
          <cell r="D1092" t="str">
            <v>jam</v>
          </cell>
          <cell r="E1092">
            <v>582400</v>
          </cell>
        </row>
        <row r="1093">
          <cell r="C1093" t="str">
            <v>Concrete vibrator</v>
          </cell>
          <cell r="D1093" t="str">
            <v>hari</v>
          </cell>
          <cell r="E1093">
            <v>800000</v>
          </cell>
        </row>
        <row r="1094">
          <cell r="C1094" t="str">
            <v>Crane on track 35 ton</v>
          </cell>
          <cell r="D1094" t="str">
            <v>jam</v>
          </cell>
          <cell r="E1094">
            <v>440800</v>
          </cell>
        </row>
        <row r="1095">
          <cell r="C1095" t="str">
            <v>Crane on wheel 10-15 ton</v>
          </cell>
          <cell r="D1095" t="str">
            <v>jam</v>
          </cell>
          <cell r="E1095">
            <v>359800</v>
          </cell>
        </row>
        <row r="1096">
          <cell r="C1096" t="str">
            <v>Cutter baja beton</v>
          </cell>
          <cell r="D1096" t="str">
            <v>hari</v>
          </cell>
          <cell r="E1096">
            <v>800000</v>
          </cell>
        </row>
        <row r="1097">
          <cell r="C1097" t="str">
            <v>Cutting machine</v>
          </cell>
          <cell r="D1097" t="str">
            <v>jam</v>
          </cell>
          <cell r="E1097">
            <v>55100</v>
          </cell>
        </row>
        <row r="1098">
          <cell r="C1098" t="str">
            <v>Depresiasi alat  compressor</v>
          </cell>
          <cell r="D1098" t="str">
            <v>hari</v>
          </cell>
          <cell r="E1098">
            <v>425000</v>
          </cell>
        </row>
        <row r="1099">
          <cell r="C1099" t="str">
            <v>Depresiasi mesin pompa uji</v>
          </cell>
          <cell r="D1099" t="str">
            <v>hari</v>
          </cell>
          <cell r="E1099">
            <v>42000</v>
          </cell>
        </row>
        <row r="1100">
          <cell r="C1100" t="str">
            <v>Depresiasi peralatan pemboran</v>
          </cell>
          <cell r="D1100" t="str">
            <v>hari</v>
          </cell>
          <cell r="E1100">
            <v>265000</v>
          </cell>
        </row>
        <row r="1101">
          <cell r="C1101" t="str">
            <v>Dump truck 20 ton</v>
          </cell>
          <cell r="D1101" t="str">
            <v>jam</v>
          </cell>
          <cell r="E1101">
            <v>556100</v>
          </cell>
        </row>
        <row r="1102">
          <cell r="C1102" t="str">
            <v>Dump truck 3,5 ton</v>
          </cell>
          <cell r="D1102" t="str">
            <v>jam</v>
          </cell>
          <cell r="E1102">
            <v>304800</v>
          </cell>
        </row>
        <row r="1103">
          <cell r="C1103" t="str">
            <v>Dump truck 40 ton</v>
          </cell>
          <cell r="D1103" t="str">
            <v>jam</v>
          </cell>
          <cell r="E1103">
            <v>676500</v>
          </cell>
        </row>
        <row r="1104">
          <cell r="C1104" t="str">
            <v>Dump truck 7,5 ton</v>
          </cell>
          <cell r="D1104" t="str">
            <v>jam</v>
          </cell>
          <cell r="E1104">
            <v>344400</v>
          </cell>
        </row>
        <row r="1105">
          <cell r="C1105" t="str">
            <v>Excavator 80-140 HP</v>
          </cell>
          <cell r="D1105" t="str">
            <v>jam</v>
          </cell>
          <cell r="E1105">
            <v>668200</v>
          </cell>
        </row>
        <row r="1106">
          <cell r="C1106" t="str">
            <v>Flat  bed truck 3-4 m³</v>
          </cell>
          <cell r="D1106" t="str">
            <v>jam</v>
          </cell>
          <cell r="E1106">
            <v>465100</v>
          </cell>
        </row>
        <row r="1107">
          <cell r="C1107" t="str">
            <v>Generator set  135 KVA</v>
          </cell>
          <cell r="D1107" t="str">
            <v>jam</v>
          </cell>
          <cell r="E1107">
            <v>410200</v>
          </cell>
        </row>
        <row r="1108">
          <cell r="C1108" t="str">
            <v>Jack hammer</v>
          </cell>
          <cell r="D1108" t="str">
            <v>hari</v>
          </cell>
          <cell r="E1108">
            <v>350000</v>
          </cell>
        </row>
        <row r="1109">
          <cell r="C1109" t="str">
            <v>Jack hammer + genset</v>
          </cell>
          <cell r="D1109" t="str">
            <v>hari</v>
          </cell>
          <cell r="E1109">
            <v>2300000</v>
          </cell>
        </row>
        <row r="1110">
          <cell r="C1110" t="str">
            <v>Logging</v>
          </cell>
          <cell r="D1110" t="str">
            <v>unit</v>
          </cell>
          <cell r="E1110">
            <v>280000</v>
          </cell>
        </row>
        <row r="1111">
          <cell r="C1111" t="str">
            <v>Mata bor auger 20 cm</v>
          </cell>
          <cell r="D1111" t="str">
            <v>hari</v>
          </cell>
          <cell r="E1111">
            <v>100000</v>
          </cell>
        </row>
        <row r="1112">
          <cell r="C1112" t="str">
            <v>Mata bor auger 30 cm</v>
          </cell>
          <cell r="D1112" t="str">
            <v>hari</v>
          </cell>
          <cell r="E1112">
            <v>170000</v>
          </cell>
        </row>
        <row r="1113">
          <cell r="C1113" t="str">
            <v>Mata bor auger 40 cm</v>
          </cell>
          <cell r="D1113" t="str">
            <v>hari</v>
          </cell>
          <cell r="E1113">
            <v>250000</v>
          </cell>
        </row>
        <row r="1114">
          <cell r="C1114" t="str">
            <v>Mata bor auger 50 cm</v>
          </cell>
          <cell r="D1114" t="str">
            <v>hari</v>
          </cell>
          <cell r="E1114">
            <v>340000</v>
          </cell>
        </row>
        <row r="1115">
          <cell r="C1115" t="str">
            <v>Mesin bor</v>
          </cell>
          <cell r="D1115" t="str">
            <v>unit</v>
          </cell>
          <cell r="E1115">
            <v>450000</v>
          </cell>
        </row>
        <row r="1116">
          <cell r="C1116" t="str">
            <v>Mesin gilas  2 roda 6 - 10 ton</v>
          </cell>
          <cell r="D1116" t="str">
            <v>jam</v>
          </cell>
          <cell r="E1116">
            <v>325000</v>
          </cell>
        </row>
        <row r="1117">
          <cell r="C1117" t="str">
            <v>Mesin gilas  3 roda 6 - 10 ton</v>
          </cell>
          <cell r="D1117" t="str">
            <v>jam</v>
          </cell>
          <cell r="E1117">
            <v>350000</v>
          </cell>
        </row>
        <row r="1118">
          <cell r="C1118" t="str">
            <v>Mesin gilas  roda karet  8 - 10 ton</v>
          </cell>
          <cell r="D1118" t="str">
            <v>jam</v>
          </cell>
          <cell r="E1118">
            <v>415000</v>
          </cell>
        </row>
        <row r="1119">
          <cell r="C1119" t="str">
            <v>Mesin kerek</v>
          </cell>
          <cell r="D1119" t="str">
            <v>unit</v>
          </cell>
          <cell r="E1119">
            <v>50000</v>
          </cell>
        </row>
        <row r="1120">
          <cell r="C1120" t="str">
            <v>Mesin poles</v>
          </cell>
          <cell r="D1120" t="str">
            <v>hari</v>
          </cell>
          <cell r="E1120">
            <v>150000</v>
          </cell>
        </row>
        <row r="1121">
          <cell r="C1121" t="str">
            <v>Mesin trowel</v>
          </cell>
          <cell r="D1121" t="str">
            <v>jam</v>
          </cell>
          <cell r="E1121">
            <v>45000</v>
          </cell>
        </row>
        <row r="1122">
          <cell r="C1122" t="str">
            <v>Motor grader &gt;100 HP</v>
          </cell>
          <cell r="D1122" t="str">
            <v>jam</v>
          </cell>
          <cell r="E1122">
            <v>548600</v>
          </cell>
        </row>
        <row r="1123">
          <cell r="C1123" t="str">
            <v>Pedestrian Roller</v>
          </cell>
          <cell r="D1123" t="str">
            <v>jam</v>
          </cell>
          <cell r="E1123">
            <v>99800</v>
          </cell>
        </row>
        <row r="1124">
          <cell r="C1124" t="str">
            <v>Pile driver +  hammer 2,5 ton</v>
          </cell>
          <cell r="D1124" t="str">
            <v>jam</v>
          </cell>
          <cell r="E1124">
            <v>153400</v>
          </cell>
        </row>
        <row r="1125">
          <cell r="C1125" t="str">
            <v>Pneumatic  tire roller 8-10 ton</v>
          </cell>
          <cell r="D1125" t="str">
            <v>jam</v>
          </cell>
          <cell r="E1125">
            <v>491000</v>
          </cell>
        </row>
        <row r="1126">
          <cell r="C1126" t="str">
            <v>Pompa beton ∅ 2,5", 75KW; 120 bar, T= 50 m'/H=80 m’</v>
          </cell>
          <cell r="D1126" t="str">
            <v>hari</v>
          </cell>
          <cell r="E1126">
            <v>6600000</v>
          </cell>
        </row>
        <row r="1127">
          <cell r="C1127" t="str">
            <v>Pompa beton ∅ 2,5",20 KW; 20 bar, T = 18 m'</v>
          </cell>
          <cell r="D1127" t="str">
            <v>hari</v>
          </cell>
          <cell r="E1127">
            <v>6300000</v>
          </cell>
        </row>
        <row r="1128">
          <cell r="C1128" t="str">
            <v>Pompa beton ∅ 3",140KW; 180 bar, T = 75 m' / H=150 m'</v>
          </cell>
          <cell r="D1128" t="str">
            <v>hari</v>
          </cell>
          <cell r="E1128">
            <v>8000000</v>
          </cell>
        </row>
        <row r="1129">
          <cell r="C1129" t="str">
            <v>Pompa beton φ 1,5";5 KW; 8 bar; T = 5 m'</v>
          </cell>
          <cell r="D1129" t="str">
            <v>hari</v>
          </cell>
          <cell r="E1129">
            <v>6000000</v>
          </cell>
        </row>
        <row r="1130">
          <cell r="C1130" t="str">
            <v>Pompa injeksi</v>
          </cell>
          <cell r="D1130" t="str">
            <v>unit</v>
          </cell>
          <cell r="E1130">
            <v>300000</v>
          </cell>
        </row>
        <row r="1131">
          <cell r="C1131" t="str">
            <v>Pompa tangan</v>
          </cell>
          <cell r="D1131" t="str">
            <v>unit</v>
          </cell>
          <cell r="E1131">
            <v>160000</v>
          </cell>
        </row>
        <row r="1132">
          <cell r="C1132" t="str">
            <v>Road Marking Machine</v>
          </cell>
          <cell r="D1132" t="str">
            <v>jam</v>
          </cell>
          <cell r="E1132">
            <v>491000</v>
          </cell>
        </row>
        <row r="1133">
          <cell r="C1133" t="str">
            <v>Sewa alat cutting machine</v>
          </cell>
          <cell r="D1133" t="str">
            <v>hari</v>
          </cell>
          <cell r="E1133">
            <v>25000</v>
          </cell>
        </row>
        <row r="1134">
          <cell r="C1134" t="str">
            <v>Sewa alat las</v>
          </cell>
          <cell r="D1134" t="str">
            <v>hari</v>
          </cell>
          <cell r="E1134">
            <v>25000</v>
          </cell>
        </row>
        <row r="1135">
          <cell r="C1135" t="str">
            <v>Sewa bor horisontal</v>
          </cell>
          <cell r="D1135" t="str">
            <v>hari</v>
          </cell>
          <cell r="E1135">
            <v>150000</v>
          </cell>
        </row>
        <row r="1136">
          <cell r="C1136" t="str">
            <v>Sewa Scaffolding :</v>
          </cell>
        </row>
        <row r="1137">
          <cell r="C1137" t="str">
            <v>- Scaffolding Main frame T-190</v>
          </cell>
          <cell r="D1137" t="str">
            <v>bulan</v>
          </cell>
          <cell r="E1137">
            <v>8800</v>
          </cell>
        </row>
        <row r="1138">
          <cell r="C1138" t="str">
            <v>- Scaffolding Main frame T-170</v>
          </cell>
          <cell r="D1138" t="str">
            <v>bulan</v>
          </cell>
          <cell r="E1138">
            <v>8300</v>
          </cell>
        </row>
        <row r="1139">
          <cell r="C1139" t="str">
            <v>- Scaffolding Leader frame T-90</v>
          </cell>
          <cell r="D1139" t="str">
            <v>bulan</v>
          </cell>
          <cell r="E1139">
            <v>5400</v>
          </cell>
        </row>
        <row r="1140">
          <cell r="C1140" t="str">
            <v>- Scaffolding Cross  brass  T-220</v>
          </cell>
          <cell r="D1140" t="str">
            <v>bulan</v>
          </cell>
          <cell r="E1140">
            <v>4100</v>
          </cell>
        </row>
        <row r="1141">
          <cell r="C1141" t="str">
            <v>- Scaffolding Cross  brass  T-193</v>
          </cell>
          <cell r="D1141" t="str">
            <v>bulan</v>
          </cell>
          <cell r="E1141">
            <v>3800</v>
          </cell>
        </row>
        <row r="1142">
          <cell r="C1142" t="str">
            <v>- Scaffolding Joint  pin</v>
          </cell>
          <cell r="D1142" t="str">
            <v>bulan</v>
          </cell>
          <cell r="E1142">
            <v>1500</v>
          </cell>
        </row>
        <row r="1143">
          <cell r="C1143" t="str">
            <v>- Scaffolding Jack base T-40</v>
          </cell>
          <cell r="D1143" t="str">
            <v>bulan</v>
          </cell>
          <cell r="E1143">
            <v>4100</v>
          </cell>
        </row>
        <row r="1144">
          <cell r="C1144" t="str">
            <v>- Scaffolding Jack base T-60</v>
          </cell>
          <cell r="D1144" t="str">
            <v>bulan</v>
          </cell>
          <cell r="E1144">
            <v>4300</v>
          </cell>
        </row>
        <row r="1145">
          <cell r="C1145" t="str">
            <v>- Scaffolding U  head jack   T-40</v>
          </cell>
          <cell r="D1145" t="str">
            <v>bulan</v>
          </cell>
          <cell r="E1145">
            <v>4100</v>
          </cell>
        </row>
        <row r="1146">
          <cell r="C1146" t="str">
            <v>- Scaffolding U  head jack   T-60</v>
          </cell>
          <cell r="D1146" t="str">
            <v>bulan</v>
          </cell>
          <cell r="E1146">
            <v>4300</v>
          </cell>
        </row>
        <row r="1147">
          <cell r="C1147" t="str">
            <v>- Scaffolding Pipe support</v>
          </cell>
          <cell r="D1147" t="str">
            <v>bulan</v>
          </cell>
          <cell r="E1147">
            <v>8500</v>
          </cell>
        </row>
        <row r="1148">
          <cell r="C1148" t="str">
            <v>- Scaffolding Horizontal frame</v>
          </cell>
          <cell r="D1148" t="str">
            <v>bulan</v>
          </cell>
          <cell r="E1148">
            <v>7700</v>
          </cell>
        </row>
        <row r="1149">
          <cell r="C1149" t="str">
            <v>- Scaffolding Cat  walk</v>
          </cell>
          <cell r="D1149" t="str">
            <v>bulan</v>
          </cell>
          <cell r="E1149">
            <v>26900</v>
          </cell>
        </row>
        <row r="1150">
          <cell r="C1150" t="str">
            <v>- ScaffoldingPipe brancing 3 m</v>
          </cell>
          <cell r="D1150" t="str">
            <v>bulan</v>
          </cell>
          <cell r="E1150">
            <v>8800</v>
          </cell>
        </row>
        <row r="1151">
          <cell r="C1151" t="str">
            <v>- Scaffolding Pipe brancing 6 m</v>
          </cell>
          <cell r="D1151" t="str">
            <v>bulan</v>
          </cell>
          <cell r="E1151">
            <v>17600</v>
          </cell>
        </row>
        <row r="1152">
          <cell r="C1152" t="str">
            <v>- Scaffolding Swipel clamb</v>
          </cell>
          <cell r="D1152" t="str">
            <v>bulan</v>
          </cell>
          <cell r="E1152">
            <v>5100</v>
          </cell>
        </row>
        <row r="1153">
          <cell r="C1153" t="str">
            <v>- Scaffolding Roda custer (satu set)</v>
          </cell>
          <cell r="D1153" t="str">
            <v>bulan</v>
          </cell>
          <cell r="E1153">
            <v>64300</v>
          </cell>
        </row>
        <row r="1154">
          <cell r="C1154" t="str">
            <v>Stamper</v>
          </cell>
          <cell r="D1154" t="str">
            <v>jam</v>
          </cell>
          <cell r="E1154">
            <v>35000</v>
          </cell>
        </row>
        <row r="1155">
          <cell r="C1155" t="str">
            <v>Stang bor, batang bor dia. 1-1/4"</v>
          </cell>
          <cell r="D1155" t="str">
            <v>hari</v>
          </cell>
          <cell r="E1155">
            <v>95000</v>
          </cell>
        </row>
        <row r="1156">
          <cell r="C1156" t="str">
            <v>Stone crusher</v>
          </cell>
          <cell r="D1156" t="str">
            <v>jam</v>
          </cell>
          <cell r="E1156">
            <v>799500</v>
          </cell>
        </row>
        <row r="1157">
          <cell r="C1157" t="str">
            <v>Tandem roller 6-8 ton</v>
          </cell>
          <cell r="D1157" t="str">
            <v>jam</v>
          </cell>
          <cell r="E1157">
            <v>469500</v>
          </cell>
        </row>
        <row r="1158">
          <cell r="C1158" t="str">
            <v>Theodolit</v>
          </cell>
          <cell r="D1158" t="str">
            <v>hari</v>
          </cell>
          <cell r="E1158">
            <v>150000</v>
          </cell>
        </row>
        <row r="1159">
          <cell r="C1159" t="str">
            <v>Three wheel roller 6-8 ton</v>
          </cell>
          <cell r="D1159" t="str">
            <v>jam</v>
          </cell>
          <cell r="E1159">
            <v>262300</v>
          </cell>
        </row>
        <row r="1160">
          <cell r="C1160" t="str">
            <v>Tower crane arm 30 m</v>
          </cell>
          <cell r="D1160" t="str">
            <v>hari</v>
          </cell>
          <cell r="E1160">
            <v>3442900</v>
          </cell>
        </row>
        <row r="1161">
          <cell r="C1161" t="str">
            <v>Transportasi peralatan drailler</v>
          </cell>
          <cell r="D1161" t="str">
            <v>unit</v>
          </cell>
          <cell r="E1161">
            <v>500000</v>
          </cell>
        </row>
        <row r="1162">
          <cell r="C1162" t="str">
            <v>Vibratory plate tamper</v>
          </cell>
          <cell r="D1162" t="str">
            <v>jam</v>
          </cell>
          <cell r="E1162">
            <v>58800</v>
          </cell>
        </row>
        <row r="1163">
          <cell r="C1163" t="str">
            <v>Vibratory roller 1 ton</v>
          </cell>
          <cell r="D1163" t="str">
            <v>jam</v>
          </cell>
          <cell r="E1163">
            <v>95000</v>
          </cell>
        </row>
        <row r="1164">
          <cell r="C1164" t="str">
            <v>Vibratory roller 5-8 ton</v>
          </cell>
          <cell r="D1164" t="str">
            <v>jam</v>
          </cell>
          <cell r="E1164">
            <v>392200</v>
          </cell>
        </row>
        <row r="1165">
          <cell r="C1165" t="str">
            <v>Water pump 70-100 mm</v>
          </cell>
          <cell r="D1165" t="str">
            <v>jam</v>
          </cell>
          <cell r="E1165">
            <v>71700</v>
          </cell>
        </row>
        <row r="1166">
          <cell r="C1166" t="str">
            <v>Water tanker truck 3000-4000 ℓ</v>
          </cell>
          <cell r="D1166" t="str">
            <v>jam</v>
          </cell>
          <cell r="E1166">
            <v>255200</v>
          </cell>
        </row>
        <row r="1167">
          <cell r="C1167" t="str">
            <v>Waterpass</v>
          </cell>
          <cell r="D1167" t="str">
            <v>hari</v>
          </cell>
          <cell r="E1167">
            <v>75000</v>
          </cell>
        </row>
        <row r="1168">
          <cell r="C1168" t="str">
            <v>Wheel loader 1,0-1,6 m³</v>
          </cell>
          <cell r="D1168" t="str">
            <v>jam</v>
          </cell>
          <cell r="E1168">
            <v>472400</v>
          </cell>
        </row>
        <row r="1169">
          <cell r="C1169" t="str">
            <v>Alat  pancang Hammer 0.5 ton</v>
          </cell>
          <cell r="D1169" t="str">
            <v>hari</v>
          </cell>
          <cell r="E1169">
            <v>350000</v>
          </cell>
        </row>
        <row r="1170">
          <cell r="C1170" t="str">
            <v>Alat  penyambung tiang pancang dolken</v>
          </cell>
          <cell r="D1170" t="str">
            <v>hari</v>
          </cell>
          <cell r="E1170">
            <v>350000</v>
          </cell>
        </row>
        <row r="1171">
          <cell r="C1171" t="str">
            <v>Angkur/mur/baut</v>
          </cell>
          <cell r="D1171" t="str">
            <v>set</v>
          </cell>
          <cell r="E1171">
            <v>45000</v>
          </cell>
        </row>
        <row r="1172">
          <cell r="C1172" t="str">
            <v>Beton Neser</v>
          </cell>
          <cell r="D1172" t="str">
            <v>batang</v>
          </cell>
          <cell r="E1172">
            <v>52000</v>
          </cell>
        </row>
        <row r="1173">
          <cell r="C1173" t="str">
            <v>BP (Biaya Penyambungan)</v>
          </cell>
          <cell r="D1173" t="str">
            <v>VA</v>
          </cell>
          <cell r="E1173">
            <v>969</v>
          </cell>
        </row>
        <row r="1174">
          <cell r="C1174" t="str">
            <v>Cutting stiker +  pasang</v>
          </cell>
          <cell r="D1174" t="str">
            <v>buah</v>
          </cell>
          <cell r="E1174">
            <v>15000</v>
          </cell>
        </row>
        <row r="1175">
          <cell r="C1175" t="str">
            <v>Gergaji besi</v>
          </cell>
          <cell r="D1175" t="str">
            <v>buah</v>
          </cell>
          <cell r="E1175">
            <v>3500</v>
          </cell>
        </row>
        <row r="1176">
          <cell r="C1176" t="str">
            <v>GIL  (Gambar Instalasi Langganan), administrasi pemasangan</v>
          </cell>
          <cell r="D1176" t="str">
            <v>VA</v>
          </cell>
          <cell r="E1176">
            <v>850</v>
          </cell>
        </row>
        <row r="1177">
          <cell r="C1177" t="str">
            <v>Linggis (baja keras)</v>
          </cell>
          <cell r="D1177" t="str">
            <v>buah</v>
          </cell>
          <cell r="E1177">
            <v>30000</v>
          </cell>
        </row>
        <row r="1178">
          <cell r="C1178" t="str">
            <v>Mesin bor</v>
          </cell>
          <cell r="D1178" t="str">
            <v>jam</v>
          </cell>
          <cell r="E1178">
            <v>85000</v>
          </cell>
        </row>
        <row r="1179">
          <cell r="C1179" t="str">
            <v>Molen beton mixer 350 liter</v>
          </cell>
          <cell r="D1179" t="str">
            <v>hari</v>
          </cell>
          <cell r="E1179">
            <v>300000</v>
          </cell>
        </row>
        <row r="1180">
          <cell r="C1180" t="str">
            <v>Pahat beton (baja keras)</v>
          </cell>
          <cell r="D1180" t="str">
            <v>buah</v>
          </cell>
          <cell r="E1180">
            <v>15000</v>
          </cell>
        </row>
        <row r="1181">
          <cell r="C1181" t="str">
            <v>Palu/godam (baja keras)</v>
          </cell>
          <cell r="D1181" t="str">
            <v>buah</v>
          </cell>
          <cell r="E1181">
            <v>25000</v>
          </cell>
        </row>
        <row r="1182">
          <cell r="C1182" t="str">
            <v>Perapian lokasi kerja</v>
          </cell>
          <cell r="D1182" t="str">
            <v>ls</v>
          </cell>
          <cell r="E1182">
            <v>20000</v>
          </cell>
        </row>
        <row r="1183">
          <cell r="C1183" t="str">
            <v>Pisau Gerinda</v>
          </cell>
          <cell r="D1183" t="str">
            <v>buah</v>
          </cell>
          <cell r="E1183">
            <v>52000</v>
          </cell>
        </row>
        <row r="1184">
          <cell r="C1184" t="str">
            <v>Pompa Air,   diesel 10 KW</v>
          </cell>
          <cell r="D1184" t="str">
            <v>hari</v>
          </cell>
          <cell r="E1184">
            <v>500000</v>
          </cell>
        </row>
        <row r="1185">
          <cell r="C1185" t="str">
            <v>Pompa Air,   diesel 20 KW</v>
          </cell>
          <cell r="D1185" t="str">
            <v>hari</v>
          </cell>
          <cell r="E1185">
            <v>1000000</v>
          </cell>
        </row>
        <row r="1186">
          <cell r="C1186" t="str">
            <v>Pompa Air,   diesel 5 KW</v>
          </cell>
          <cell r="D1186" t="str">
            <v>hari</v>
          </cell>
          <cell r="E1186">
            <v>250000</v>
          </cell>
        </row>
        <row r="1187">
          <cell r="C1187" t="str">
            <v>Pompa submesible</v>
          </cell>
          <cell r="D1187" t="str">
            <v>unit</v>
          </cell>
          <cell r="E1187">
            <v>1920000</v>
          </cell>
        </row>
        <row r="1188">
          <cell r="C1188" t="str">
            <v>Pressure grout machine 30 KW; 60 -75 bar (D)</v>
          </cell>
          <cell r="D1188" t="str">
            <v>jam</v>
          </cell>
          <cell r="E1188">
            <v>42000</v>
          </cell>
        </row>
        <row r="1189">
          <cell r="C1189" t="str">
            <v>Sewa alat  cutting machine</v>
          </cell>
          <cell r="D1189" t="str">
            <v>hari</v>
          </cell>
          <cell r="E1189">
            <v>44000</v>
          </cell>
        </row>
        <row r="1190">
          <cell r="C1190" t="str">
            <v>Sewa bekisting</v>
          </cell>
          <cell r="D1190" t="str">
            <v>hari</v>
          </cell>
          <cell r="E1190">
            <v>7500</v>
          </cell>
        </row>
        <row r="1191">
          <cell r="C1191" t="str">
            <v>Sewa bekisting rigid</v>
          </cell>
          <cell r="D1191" t="str">
            <v>hari</v>
          </cell>
          <cell r="E1191">
            <v>7500</v>
          </cell>
        </row>
        <row r="1192">
          <cell r="C1192" t="str">
            <v>Sewa bor horisontal</v>
          </cell>
          <cell r="D1192" t="str">
            <v>hari</v>
          </cell>
          <cell r="E1192">
            <v>150000</v>
          </cell>
        </row>
        <row r="1193">
          <cell r="C1193" t="str">
            <v>Sewa mobil crane</v>
          </cell>
          <cell r="D1193" t="str">
            <v>hari</v>
          </cell>
          <cell r="E1193">
            <v>1450000</v>
          </cell>
        </row>
        <row r="1194">
          <cell r="C1194" t="str">
            <v>Sewa mobil crane kapasitas  15 Ton</v>
          </cell>
          <cell r="D1194" t="str">
            <v>hari</v>
          </cell>
          <cell r="E1194">
            <v>3400000</v>
          </cell>
        </row>
        <row r="1195">
          <cell r="C1195" t="str">
            <v>Sewa mobil crane kapasitas  25 Ton</v>
          </cell>
          <cell r="D1195" t="str">
            <v>hari</v>
          </cell>
          <cell r="E1195">
            <v>6250000</v>
          </cell>
        </row>
        <row r="1196">
          <cell r="C1196" t="str">
            <v>Sewa mobil crane kapasitas  5 Ton</v>
          </cell>
          <cell r="D1196" t="str">
            <v>hari</v>
          </cell>
          <cell r="E1196">
            <v>1450000</v>
          </cell>
        </row>
        <row r="1197">
          <cell r="C1197" t="str">
            <v>Sewa tangga 7 meter</v>
          </cell>
          <cell r="D1197" t="str">
            <v>buah</v>
          </cell>
          <cell r="E1197">
            <v>50000</v>
          </cell>
        </row>
        <row r="1198">
          <cell r="C1198" t="str">
            <v>Sewa tangga 7 meter</v>
          </cell>
          <cell r="D1198" t="str">
            <v>hari</v>
          </cell>
          <cell r="E1198">
            <v>50000</v>
          </cell>
        </row>
        <row r="1199">
          <cell r="C1199" t="str">
            <v>SLO (Sertifikat  Laik Operasi)</v>
          </cell>
          <cell r="D1199" t="str">
            <v>VA</v>
          </cell>
          <cell r="E1199">
            <v>30</v>
          </cell>
        </row>
        <row r="1200">
          <cell r="C1200" t="str">
            <v>Tripod tinggi 5 m</v>
          </cell>
          <cell r="D1200" t="str">
            <v>hari</v>
          </cell>
          <cell r="E1200">
            <v>250000</v>
          </cell>
        </row>
        <row r="1201">
          <cell r="C1201" t="str">
            <v>Truck Crane 5 ton</v>
          </cell>
          <cell r="D1201" t="str">
            <v>jam</v>
          </cell>
          <cell r="E1201">
            <v>525000</v>
          </cell>
        </row>
        <row r="1202">
          <cell r="C1202" t="str">
            <v>UJL  (Uang Jaminan Langganan)</v>
          </cell>
          <cell r="D1202" t="str">
            <v>VA</v>
          </cell>
          <cell r="E1202">
            <v>165</v>
          </cell>
        </row>
      </sheetData>
      <sheetData sheetId="2"/>
      <sheetData sheetId="3"/>
      <sheetData sheetId="4"/>
      <sheetData sheetId="5"/>
      <sheetData sheetId="6">
        <row r="261">
          <cell r="C261" t="str">
            <v>Molen beton mixer 350 liter</v>
          </cell>
          <cell r="D261" t="str">
            <v>hari</v>
          </cell>
        </row>
        <row r="302">
          <cell r="C302" t="str">
            <v>Molen beton mixer 350 liter</v>
          </cell>
          <cell r="D302" t="str">
            <v>hari</v>
          </cell>
        </row>
      </sheetData>
      <sheetData sheetId="7">
        <row r="110">
          <cell r="C110" t="str">
            <v>Cutter baja beton</v>
          </cell>
          <cell r="D110" t="str">
            <v>hari</v>
          </cell>
        </row>
      </sheetData>
      <sheetData sheetId="8"/>
      <sheetData sheetId="9">
        <row r="134">
          <cell r="G134">
            <v>130878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ga satuan SNI"/>
      <sheetName val="Analisa Kusen Rumah Standar"/>
      <sheetName val="Analisis Pekerjaan SNI"/>
      <sheetName val=" SNI"/>
      <sheetName val=" KURVA S PROYEK (2)"/>
      <sheetName val="LAP KE-2"/>
      <sheetName val="LAP KE-1"/>
      <sheetName val="REKAP TOTAL PEMBAYARAAN (2)"/>
      <sheetName val="PENGURANGAN"/>
      <sheetName val="PENAMBAHAN"/>
      <sheetName val="REKAP TOTAL GEDUNG"/>
      <sheetName val="REKAP STR"/>
      <sheetName val="STR"/>
      <sheetName val="REKAP TOTAL ARS"/>
      <sheetName val="REKAP ARS"/>
      <sheetName val="ARS"/>
      <sheetName val="REKAP MEP"/>
      <sheetName val="MEP"/>
      <sheetName val="KOLOM"/>
      <sheetName val="BALOK"/>
      <sheetName val="SLOOF"/>
      <sheetName val="Volume"/>
      <sheetName val="Detail"/>
      <sheetName val="tangga"/>
    </sheetNames>
    <sheetDataSet>
      <sheetData sheetId="0" refreshError="1"/>
      <sheetData sheetId="1" refreshError="1"/>
      <sheetData sheetId="2">
        <row r="424">
          <cell r="H424">
            <v>798900</v>
          </cell>
        </row>
        <row r="428">
          <cell r="H428">
            <v>269000</v>
          </cell>
        </row>
        <row r="434">
          <cell r="H434">
            <v>789800</v>
          </cell>
        </row>
        <row r="438">
          <cell r="H438">
            <v>269000</v>
          </cell>
        </row>
        <row r="444">
          <cell r="H444">
            <v>972300</v>
          </cell>
        </row>
        <row r="448">
          <cell r="H448">
            <v>269000</v>
          </cell>
        </row>
        <row r="454">
          <cell r="H454">
            <v>1030300</v>
          </cell>
        </row>
        <row r="458">
          <cell r="H458">
            <v>269000</v>
          </cell>
        </row>
        <row r="464">
          <cell r="H464">
            <v>1039000</v>
          </cell>
        </row>
        <row r="468">
          <cell r="H468">
            <v>278200</v>
          </cell>
        </row>
        <row r="474">
          <cell r="H474">
            <v>11360</v>
          </cell>
        </row>
        <row r="478">
          <cell r="H478">
            <v>2500</v>
          </cell>
        </row>
        <row r="483">
          <cell r="H483">
            <v>12010</v>
          </cell>
        </row>
        <row r="487">
          <cell r="H487">
            <v>3900</v>
          </cell>
        </row>
        <row r="494">
          <cell r="H494">
            <v>76980</v>
          </cell>
        </row>
        <row r="498">
          <cell r="H498">
            <v>69400</v>
          </cell>
        </row>
        <row r="503">
          <cell r="H503">
            <v>70800</v>
          </cell>
        </row>
        <row r="507">
          <cell r="H507">
            <v>79200</v>
          </cell>
        </row>
        <row r="515">
          <cell r="H515">
            <v>145820</v>
          </cell>
        </row>
        <row r="519">
          <cell r="H519">
            <v>81400</v>
          </cell>
        </row>
        <row r="527">
          <cell r="H527">
            <v>175820</v>
          </cell>
        </row>
        <row r="531">
          <cell r="H531">
            <v>81400</v>
          </cell>
        </row>
        <row r="539">
          <cell r="H539">
            <v>115130</v>
          </cell>
        </row>
        <row r="543">
          <cell r="H543">
            <v>81400</v>
          </cell>
        </row>
        <row r="555">
          <cell r="H555">
            <v>3670880</v>
          </cell>
        </row>
        <row r="561">
          <cell r="H561">
            <v>958400</v>
          </cell>
        </row>
        <row r="574">
          <cell r="H574">
            <v>3724070</v>
          </cell>
        </row>
        <row r="580">
          <cell r="H580">
            <v>1608000</v>
          </cell>
        </row>
        <row r="593">
          <cell r="H593">
            <v>3982820</v>
          </cell>
        </row>
        <row r="599">
          <cell r="H599">
            <v>1608000</v>
          </cell>
        </row>
        <row r="612">
          <cell r="H612">
            <v>4086320</v>
          </cell>
        </row>
        <row r="618">
          <cell r="H618">
            <v>1608000</v>
          </cell>
        </row>
        <row r="631">
          <cell r="H631">
            <v>4241570</v>
          </cell>
        </row>
        <row r="637">
          <cell r="H637">
            <v>1608000</v>
          </cell>
        </row>
        <row r="650">
          <cell r="H650">
            <v>4500320</v>
          </cell>
        </row>
        <row r="656">
          <cell r="H656">
            <v>1608000</v>
          </cell>
        </row>
        <row r="669">
          <cell r="H669">
            <v>5017820</v>
          </cell>
        </row>
        <row r="675">
          <cell r="H675">
            <v>1608000</v>
          </cell>
        </row>
        <row r="688">
          <cell r="H688">
            <v>5535320</v>
          </cell>
        </row>
        <row r="694">
          <cell r="H694">
            <v>1608000</v>
          </cell>
        </row>
        <row r="708">
          <cell r="H708">
            <v>4331580</v>
          </cell>
        </row>
        <row r="714">
          <cell r="H714">
            <v>1226000</v>
          </cell>
        </row>
        <row r="728">
          <cell r="H728">
            <v>4590330</v>
          </cell>
        </row>
        <row r="734">
          <cell r="H734">
            <v>1226000</v>
          </cell>
        </row>
        <row r="748">
          <cell r="H748">
            <v>4626380</v>
          </cell>
        </row>
        <row r="754">
          <cell r="H754">
            <v>1292600</v>
          </cell>
        </row>
        <row r="768">
          <cell r="H768">
            <v>4910130</v>
          </cell>
        </row>
        <row r="774">
          <cell r="H774">
            <v>1292600</v>
          </cell>
        </row>
        <row r="788">
          <cell r="H788">
            <v>5218880</v>
          </cell>
        </row>
        <row r="794">
          <cell r="H794">
            <v>1292600</v>
          </cell>
        </row>
        <row r="807">
          <cell r="H807">
            <v>4079030</v>
          </cell>
        </row>
        <row r="813">
          <cell r="H813">
            <v>1183000</v>
          </cell>
        </row>
        <row r="819">
          <cell r="H819">
            <v>2118000</v>
          </cell>
        </row>
        <row r="825">
          <cell r="H825">
            <v>1234560</v>
          </cell>
        </row>
        <row r="831">
          <cell r="H831">
            <v>1259560</v>
          </cell>
        </row>
        <row r="837">
          <cell r="H837">
            <v>1061930</v>
          </cell>
        </row>
        <row r="843">
          <cell r="H843">
            <v>1167000</v>
          </cell>
        </row>
        <row r="855">
          <cell r="H855">
            <v>3945630</v>
          </cell>
        </row>
        <row r="860">
          <cell r="H860">
            <v>504000</v>
          </cell>
        </row>
        <row r="870">
          <cell r="H870">
            <v>165500</v>
          </cell>
        </row>
        <row r="874">
          <cell r="H874">
            <v>99500</v>
          </cell>
        </row>
        <row r="880">
          <cell r="H880">
            <v>157500</v>
          </cell>
        </row>
        <row r="884">
          <cell r="H884">
            <v>99500</v>
          </cell>
        </row>
        <row r="890">
          <cell r="H890">
            <v>152000</v>
          </cell>
        </row>
        <row r="894">
          <cell r="H894">
            <v>99500</v>
          </cell>
        </row>
        <row r="900">
          <cell r="H900">
            <v>78700</v>
          </cell>
        </row>
        <row r="904">
          <cell r="H904">
            <v>49200</v>
          </cell>
        </row>
        <row r="910">
          <cell r="H910">
            <v>78000</v>
          </cell>
        </row>
        <row r="914">
          <cell r="H914">
            <v>49200</v>
          </cell>
        </row>
        <row r="920">
          <cell r="H920">
            <v>75600</v>
          </cell>
        </row>
        <row r="924">
          <cell r="H924">
            <v>49200</v>
          </cell>
        </row>
        <row r="930">
          <cell r="H930">
            <v>180520</v>
          </cell>
        </row>
        <row r="934">
          <cell r="H934">
            <v>47000</v>
          </cell>
        </row>
        <row r="939">
          <cell r="H939">
            <v>605050</v>
          </cell>
        </row>
        <row r="943">
          <cell r="H943">
            <v>47000</v>
          </cell>
        </row>
        <row r="949">
          <cell r="H949">
            <v>65450</v>
          </cell>
        </row>
        <row r="953">
          <cell r="H953">
            <v>54000</v>
          </cell>
        </row>
        <row r="959">
          <cell r="H959">
            <v>64120</v>
          </cell>
        </row>
        <row r="963">
          <cell r="H963">
            <v>54000</v>
          </cell>
        </row>
        <row r="968">
          <cell r="H968">
            <v>99400</v>
          </cell>
        </row>
        <row r="972">
          <cell r="H972">
            <v>61000</v>
          </cell>
        </row>
        <row r="977">
          <cell r="C977" t="str">
            <v>1 m2 PLESTERAN  Mortar Plester dan aci</v>
          </cell>
        </row>
        <row r="980">
          <cell r="H980">
            <v>10500</v>
          </cell>
        </row>
        <row r="984">
          <cell r="H984">
            <v>43000</v>
          </cell>
        </row>
        <row r="989">
          <cell r="H989">
            <v>16200</v>
          </cell>
        </row>
        <row r="993">
          <cell r="H993">
            <v>43000</v>
          </cell>
        </row>
        <row r="998">
          <cell r="H998">
            <v>15400</v>
          </cell>
        </row>
        <row r="1002">
          <cell r="H1002">
            <v>43000</v>
          </cell>
        </row>
        <row r="1007">
          <cell r="H1007">
            <v>13000</v>
          </cell>
        </row>
        <row r="1011">
          <cell r="H1011">
            <v>43000</v>
          </cell>
        </row>
        <row r="1016">
          <cell r="H1016">
            <v>12200</v>
          </cell>
        </row>
        <row r="1020">
          <cell r="H1020">
            <v>43000</v>
          </cell>
        </row>
        <row r="1025">
          <cell r="H1025">
            <v>21100</v>
          </cell>
        </row>
        <row r="1029">
          <cell r="H1029">
            <v>46600</v>
          </cell>
        </row>
        <row r="1034">
          <cell r="H1034">
            <v>19500</v>
          </cell>
        </row>
        <row r="1038">
          <cell r="H1038">
            <v>55500</v>
          </cell>
        </row>
        <row r="1043">
          <cell r="H1043">
            <v>15050</v>
          </cell>
        </row>
        <row r="1047">
          <cell r="H1047">
            <v>26300</v>
          </cell>
        </row>
        <row r="1052">
          <cell r="H1052">
            <v>20200</v>
          </cell>
        </row>
        <row r="1056">
          <cell r="H1056">
            <v>56600</v>
          </cell>
        </row>
        <row r="1061">
          <cell r="H1061">
            <v>17000</v>
          </cell>
        </row>
        <row r="1065">
          <cell r="H1065">
            <v>56600</v>
          </cell>
        </row>
        <row r="1070">
          <cell r="H1070">
            <v>3300</v>
          </cell>
        </row>
        <row r="1074">
          <cell r="H1074">
            <v>12200</v>
          </cell>
        </row>
        <row r="1078">
          <cell r="H1078">
            <v>6400</v>
          </cell>
        </row>
        <row r="1082">
          <cell r="H1082">
            <v>30800</v>
          </cell>
        </row>
        <row r="1083">
          <cell r="C1083" t="str">
            <v>1 m2 ACIAN Mortar Plester dan aci</v>
          </cell>
        </row>
        <row r="1086">
          <cell r="H1086">
            <v>6000</v>
          </cell>
        </row>
        <row r="1090">
          <cell r="H1090">
            <v>30800</v>
          </cell>
        </row>
        <row r="1095">
          <cell r="H1095">
            <v>12200</v>
          </cell>
        </row>
        <row r="1099">
          <cell r="H1099">
            <v>26300</v>
          </cell>
        </row>
        <row r="1110">
          <cell r="H1110">
            <v>148270</v>
          </cell>
        </row>
        <row r="1114">
          <cell r="H1114">
            <v>44300</v>
          </cell>
        </row>
        <row r="1121">
          <cell r="H1121">
            <v>147890</v>
          </cell>
        </row>
        <row r="1125">
          <cell r="H1125">
            <v>46100</v>
          </cell>
        </row>
        <row r="1132">
          <cell r="H1132">
            <v>179830</v>
          </cell>
        </row>
        <row r="1136">
          <cell r="H1136">
            <v>44300</v>
          </cell>
        </row>
        <row r="1143">
          <cell r="H1143">
            <v>354870</v>
          </cell>
        </row>
        <row r="1147">
          <cell r="H1147">
            <v>48200</v>
          </cell>
        </row>
        <row r="1154">
          <cell r="H1154">
            <v>59740</v>
          </cell>
        </row>
        <row r="1158">
          <cell r="H1158">
            <v>80200</v>
          </cell>
        </row>
        <row r="1165">
          <cell r="H1165">
            <v>67370</v>
          </cell>
        </row>
        <row r="1169">
          <cell r="H1169">
            <v>54000</v>
          </cell>
        </row>
        <row r="1176">
          <cell r="H1176">
            <v>69670</v>
          </cell>
        </row>
        <row r="1180">
          <cell r="H1180">
            <v>54000</v>
          </cell>
        </row>
        <row r="1187">
          <cell r="H1187">
            <v>152890</v>
          </cell>
        </row>
        <row r="1191">
          <cell r="H1191">
            <v>44300</v>
          </cell>
        </row>
        <row r="1198">
          <cell r="H1198">
            <v>152890</v>
          </cell>
        </row>
        <row r="1202">
          <cell r="H1202">
            <v>44300</v>
          </cell>
        </row>
        <row r="1209">
          <cell r="H1209">
            <v>225360</v>
          </cell>
        </row>
        <row r="1213">
          <cell r="H1213">
            <v>117200</v>
          </cell>
        </row>
        <row r="1218">
          <cell r="H1218">
            <v>18021250</v>
          </cell>
        </row>
        <row r="1222">
          <cell r="H1222">
            <v>120500</v>
          </cell>
        </row>
        <row r="1229">
          <cell r="H1229">
            <v>748880</v>
          </cell>
        </row>
        <row r="1233">
          <cell r="H1233">
            <v>133200</v>
          </cell>
        </row>
        <row r="1240">
          <cell r="H1240">
            <v>299830</v>
          </cell>
        </row>
        <row r="1244">
          <cell r="H1244">
            <v>44300</v>
          </cell>
        </row>
        <row r="1251">
          <cell r="H1251">
            <v>73090</v>
          </cell>
        </row>
        <row r="1255">
          <cell r="H1255">
            <v>46100</v>
          </cell>
        </row>
        <row r="1354">
          <cell r="H1354">
            <v>64340</v>
          </cell>
        </row>
        <row r="1358">
          <cell r="H1358">
            <v>80200</v>
          </cell>
        </row>
        <row r="1365">
          <cell r="H1365">
            <v>63190</v>
          </cell>
        </row>
        <row r="1369">
          <cell r="H1369">
            <v>80200</v>
          </cell>
        </row>
        <row r="1376">
          <cell r="H1376">
            <v>69290</v>
          </cell>
        </row>
        <row r="1380">
          <cell r="H1380">
            <v>76600</v>
          </cell>
        </row>
        <row r="1387">
          <cell r="H1387">
            <v>66990</v>
          </cell>
        </row>
        <row r="1391">
          <cell r="H1391">
            <v>76600</v>
          </cell>
        </row>
        <row r="1398">
          <cell r="H1398">
            <v>74860</v>
          </cell>
        </row>
        <row r="1402">
          <cell r="H1402">
            <v>73120</v>
          </cell>
        </row>
        <row r="1409">
          <cell r="H1409">
            <v>73130</v>
          </cell>
        </row>
        <row r="1413">
          <cell r="H1413">
            <v>73120</v>
          </cell>
        </row>
        <row r="1423">
          <cell r="H1423">
            <v>198550</v>
          </cell>
        </row>
        <row r="1427">
          <cell r="H1427">
            <v>170200</v>
          </cell>
        </row>
        <row r="1437">
          <cell r="H1437">
            <v>726170</v>
          </cell>
        </row>
        <row r="1441">
          <cell r="H1441">
            <v>170200</v>
          </cell>
        </row>
        <row r="1447">
          <cell r="H1447">
            <v>131450</v>
          </cell>
        </row>
        <row r="1451">
          <cell r="H1451">
            <v>70200</v>
          </cell>
        </row>
        <row r="1457">
          <cell r="H1457">
            <v>126500</v>
          </cell>
        </row>
        <row r="1461">
          <cell r="H1461">
            <v>70200</v>
          </cell>
        </row>
        <row r="1468">
          <cell r="H1468">
            <v>27430</v>
          </cell>
        </row>
        <row r="1472">
          <cell r="H1472">
            <v>10800</v>
          </cell>
        </row>
        <row r="1479">
          <cell r="H1479">
            <v>42620</v>
          </cell>
        </row>
        <row r="1483">
          <cell r="H1483">
            <v>10800</v>
          </cell>
        </row>
        <row r="1491">
          <cell r="H1491">
            <v>7176000</v>
          </cell>
        </row>
        <row r="1495">
          <cell r="H1495">
            <v>2760000</v>
          </cell>
        </row>
        <row r="1499">
          <cell r="H1499">
            <v>5934000</v>
          </cell>
        </row>
        <row r="1503">
          <cell r="H1503">
            <v>2760000</v>
          </cell>
        </row>
        <row r="1507">
          <cell r="H1507">
            <v>900000</v>
          </cell>
        </row>
        <row r="1511">
          <cell r="H1511">
            <v>2760000</v>
          </cell>
        </row>
        <row r="1515">
          <cell r="H1515">
            <v>248400</v>
          </cell>
        </row>
        <row r="1519">
          <cell r="H1519">
            <v>460000</v>
          </cell>
        </row>
        <row r="1523">
          <cell r="H1523">
            <v>197800</v>
          </cell>
        </row>
        <row r="1527">
          <cell r="H1527">
            <v>460000</v>
          </cell>
        </row>
        <row r="1531">
          <cell r="H1531">
            <v>173070</v>
          </cell>
        </row>
        <row r="1535">
          <cell r="H1535">
            <v>368000</v>
          </cell>
        </row>
        <row r="1539">
          <cell r="H1539">
            <v>56000</v>
          </cell>
        </row>
        <row r="1543">
          <cell r="H1543">
            <v>368000</v>
          </cell>
        </row>
        <row r="1547">
          <cell r="H1547">
            <v>316480</v>
          </cell>
        </row>
        <row r="1551">
          <cell r="H1551">
            <v>530000</v>
          </cell>
        </row>
        <row r="1558">
          <cell r="H1558">
            <v>181310</v>
          </cell>
        </row>
        <row r="1562">
          <cell r="H1562">
            <v>346000</v>
          </cell>
        </row>
        <row r="1567">
          <cell r="H1567">
            <v>300750</v>
          </cell>
        </row>
        <row r="1571">
          <cell r="H1571">
            <v>335000</v>
          </cell>
        </row>
        <row r="1578">
          <cell r="H1578">
            <v>115750</v>
          </cell>
        </row>
        <row r="1582">
          <cell r="H1582">
            <v>346000</v>
          </cell>
        </row>
        <row r="1589">
          <cell r="H1589">
            <v>221950</v>
          </cell>
        </row>
        <row r="1593">
          <cell r="H1593">
            <v>346000</v>
          </cell>
        </row>
        <row r="1601">
          <cell r="H1601">
            <v>275190</v>
          </cell>
        </row>
        <row r="1605">
          <cell r="H1605">
            <v>438000</v>
          </cell>
        </row>
        <row r="1614">
          <cell r="H1614">
            <v>309490</v>
          </cell>
        </row>
        <row r="1618">
          <cell r="H1618">
            <v>438000</v>
          </cell>
        </row>
        <row r="1626">
          <cell r="H1626">
            <v>258320</v>
          </cell>
        </row>
        <row r="1630">
          <cell r="H1630">
            <v>79500</v>
          </cell>
        </row>
        <row r="1638">
          <cell r="H1638">
            <v>224970</v>
          </cell>
        </row>
        <row r="1642">
          <cell r="H1642">
            <v>106000</v>
          </cell>
        </row>
        <row r="1647">
          <cell r="H1647">
            <v>506000</v>
          </cell>
        </row>
        <row r="1650">
          <cell r="H1650">
            <v>2940</v>
          </cell>
        </row>
        <row r="1659">
          <cell r="H1659">
            <v>785950</v>
          </cell>
        </row>
        <row r="1663">
          <cell r="H1663">
            <v>215000</v>
          </cell>
        </row>
        <row r="1672">
          <cell r="H1672">
            <v>462600</v>
          </cell>
        </row>
        <row r="1676">
          <cell r="H1676">
            <v>215000</v>
          </cell>
        </row>
        <row r="1686">
          <cell r="H1686">
            <v>101530</v>
          </cell>
        </row>
        <row r="1690">
          <cell r="H1690">
            <v>18000</v>
          </cell>
        </row>
        <row r="1700">
          <cell r="H1700">
            <v>132280</v>
          </cell>
        </row>
        <row r="1704">
          <cell r="H1704">
            <v>18000</v>
          </cell>
        </row>
        <row r="1714">
          <cell r="H1714">
            <v>86740</v>
          </cell>
        </row>
        <row r="1718">
          <cell r="H1718">
            <v>18000</v>
          </cell>
        </row>
        <row r="1727">
          <cell r="H1727">
            <v>785950</v>
          </cell>
        </row>
        <row r="1728">
          <cell r="H1728">
            <v>33000</v>
          </cell>
        </row>
        <row r="1731">
          <cell r="H1731">
            <v>215000</v>
          </cell>
        </row>
        <row r="1860">
          <cell r="H1860">
            <v>5657750</v>
          </cell>
        </row>
        <row r="1864">
          <cell r="H1864">
            <v>2120000</v>
          </cell>
        </row>
        <row r="1871">
          <cell r="H1871">
            <v>1043250</v>
          </cell>
        </row>
        <row r="1875">
          <cell r="H1875">
            <v>2120000</v>
          </cell>
        </row>
        <row r="1880">
          <cell r="H1880">
            <v>13050</v>
          </cell>
        </row>
        <row r="1884">
          <cell r="H1884">
            <v>64100</v>
          </cell>
        </row>
        <row r="1889">
          <cell r="H1889">
            <v>14550</v>
          </cell>
        </row>
        <row r="1893">
          <cell r="H1893">
            <v>25000</v>
          </cell>
        </row>
        <row r="1898">
          <cell r="H1898">
            <v>36950</v>
          </cell>
        </row>
        <row r="1902">
          <cell r="H1902">
            <v>149800</v>
          </cell>
        </row>
        <row r="1907">
          <cell r="H1907">
            <v>55740</v>
          </cell>
        </row>
        <row r="1911">
          <cell r="H1911">
            <v>42900</v>
          </cell>
        </row>
        <row r="1916">
          <cell r="H1916">
            <v>792900</v>
          </cell>
        </row>
        <row r="1920">
          <cell r="H1920">
            <v>500000</v>
          </cell>
        </row>
        <row r="1925">
          <cell r="H1925">
            <v>43120</v>
          </cell>
        </row>
        <row r="1929">
          <cell r="H1929">
            <v>27000</v>
          </cell>
        </row>
        <row r="1935">
          <cell r="H1935">
            <v>147300</v>
          </cell>
        </row>
        <row r="1939">
          <cell r="H1939">
            <v>61000</v>
          </cell>
        </row>
        <row r="1944">
          <cell r="H1944">
            <v>44130</v>
          </cell>
        </row>
        <row r="1948">
          <cell r="H1948">
            <v>24700</v>
          </cell>
        </row>
        <row r="1953">
          <cell r="H1953">
            <v>30810</v>
          </cell>
        </row>
        <row r="1957">
          <cell r="H1957">
            <v>117630</v>
          </cell>
        </row>
        <row r="1962">
          <cell r="H1962">
            <v>32220</v>
          </cell>
        </row>
        <row r="1966">
          <cell r="H1966">
            <v>25200</v>
          </cell>
        </row>
        <row r="1971">
          <cell r="H1971">
            <v>47510</v>
          </cell>
        </row>
        <row r="1975">
          <cell r="H1975">
            <v>24700</v>
          </cell>
        </row>
        <row r="1980">
          <cell r="H1980">
            <v>49100</v>
          </cell>
        </row>
        <row r="1984">
          <cell r="H1984">
            <v>24700</v>
          </cell>
        </row>
        <row r="1989">
          <cell r="H1989">
            <v>45560</v>
          </cell>
        </row>
        <row r="1993">
          <cell r="H1993">
            <v>25200</v>
          </cell>
        </row>
        <row r="1998">
          <cell r="H1998">
            <v>115800</v>
          </cell>
        </row>
        <row r="2002">
          <cell r="H2002">
            <v>39000</v>
          </cell>
        </row>
        <row r="2007">
          <cell r="H2007">
            <v>897810</v>
          </cell>
        </row>
        <row r="2011">
          <cell r="H2011">
            <v>36000</v>
          </cell>
        </row>
        <row r="2016">
          <cell r="H2016">
            <v>160230</v>
          </cell>
        </row>
        <row r="2020">
          <cell r="H2020">
            <v>36000</v>
          </cell>
        </row>
        <row r="2028">
          <cell r="H2028">
            <v>83960</v>
          </cell>
        </row>
        <row r="2032">
          <cell r="H2032">
            <v>72000</v>
          </cell>
        </row>
        <row r="2037">
          <cell r="H2037">
            <v>68390</v>
          </cell>
        </row>
        <row r="2041">
          <cell r="H2041">
            <v>48500</v>
          </cell>
        </row>
        <row r="2046">
          <cell r="H2046">
            <v>35150</v>
          </cell>
        </row>
        <row r="2050">
          <cell r="H2050">
            <v>21600</v>
          </cell>
        </row>
        <row r="2055">
          <cell r="H2055">
            <v>38510</v>
          </cell>
        </row>
        <row r="2059">
          <cell r="H2059">
            <v>26300</v>
          </cell>
        </row>
        <row r="2065">
          <cell r="H2065">
            <v>339400</v>
          </cell>
        </row>
        <row r="2069">
          <cell r="H2069">
            <v>23500</v>
          </cell>
        </row>
        <row r="2074">
          <cell r="H2074">
            <v>6080</v>
          </cell>
        </row>
        <row r="2078">
          <cell r="H2078">
            <v>23500</v>
          </cell>
        </row>
        <row r="2087">
          <cell r="H2087">
            <v>11700</v>
          </cell>
        </row>
        <row r="2091">
          <cell r="H2091">
            <v>51500</v>
          </cell>
        </row>
        <row r="2096">
          <cell r="H2096">
            <v>124240</v>
          </cell>
        </row>
        <row r="2100">
          <cell r="H2100">
            <v>13100</v>
          </cell>
        </row>
        <row r="2105">
          <cell r="H2105">
            <v>18610</v>
          </cell>
        </row>
        <row r="2109">
          <cell r="H2109">
            <v>13100</v>
          </cell>
        </row>
        <row r="2114">
          <cell r="H2114">
            <v>87600</v>
          </cell>
        </row>
        <row r="2118">
          <cell r="H2118">
            <v>20600</v>
          </cell>
        </row>
        <row r="2125">
          <cell r="H2125">
            <v>217070</v>
          </cell>
        </row>
        <row r="2129">
          <cell r="H2129">
            <v>44500</v>
          </cell>
        </row>
        <row r="2134">
          <cell r="H2134">
            <v>17340</v>
          </cell>
        </row>
        <row r="2138">
          <cell r="H2138">
            <v>12500</v>
          </cell>
        </row>
        <row r="2153">
          <cell r="H2153">
            <v>48020</v>
          </cell>
        </row>
        <row r="2157">
          <cell r="H2157">
            <v>85700</v>
          </cell>
        </row>
        <row r="2163">
          <cell r="H2163">
            <v>61020</v>
          </cell>
        </row>
        <row r="2167">
          <cell r="H2167">
            <v>85700</v>
          </cell>
        </row>
        <row r="2173">
          <cell r="H2173">
            <v>146850</v>
          </cell>
        </row>
        <row r="2177">
          <cell r="H2177">
            <v>108500</v>
          </cell>
        </row>
        <row r="2187">
          <cell r="H2187">
            <v>76140</v>
          </cell>
        </row>
        <row r="2191">
          <cell r="H2191">
            <v>18000</v>
          </cell>
        </row>
        <row r="2200">
          <cell r="H2200">
            <v>3162500</v>
          </cell>
        </row>
        <row r="2204">
          <cell r="H2204">
            <v>517000</v>
          </cell>
        </row>
        <row r="2210">
          <cell r="H2210">
            <v>357100</v>
          </cell>
        </row>
        <row r="2214">
          <cell r="H2214">
            <v>320000</v>
          </cell>
        </row>
        <row r="2221">
          <cell r="H2221">
            <v>1133350</v>
          </cell>
        </row>
        <row r="2225">
          <cell r="H2225">
            <v>250000</v>
          </cell>
        </row>
        <row r="2232">
          <cell r="H2232">
            <v>462900</v>
          </cell>
        </row>
        <row r="2236">
          <cell r="H2236">
            <v>335000</v>
          </cell>
        </row>
        <row r="2243">
          <cell r="H2243">
            <v>978100</v>
          </cell>
        </row>
        <row r="2247">
          <cell r="H2247">
            <v>335000</v>
          </cell>
        </row>
        <row r="2251">
          <cell r="H2251">
            <v>172500</v>
          </cell>
        </row>
        <row r="2255">
          <cell r="H2255">
            <v>15100</v>
          </cell>
        </row>
        <row r="2260">
          <cell r="H2260">
            <v>271400</v>
          </cell>
        </row>
        <row r="2264">
          <cell r="H2264">
            <v>576000</v>
          </cell>
        </row>
        <row r="2273">
          <cell r="H2273">
            <v>128560</v>
          </cell>
        </row>
        <row r="2277">
          <cell r="H2277">
            <v>494800</v>
          </cell>
        </row>
        <row r="2282">
          <cell r="H2282">
            <v>125920</v>
          </cell>
        </row>
        <row r="2286">
          <cell r="H2286">
            <v>45300</v>
          </cell>
        </row>
        <row r="2291">
          <cell r="H2291">
            <v>64390</v>
          </cell>
        </row>
        <row r="2295">
          <cell r="H2295">
            <v>15100</v>
          </cell>
        </row>
        <row r="2300">
          <cell r="H2300">
            <v>181810</v>
          </cell>
        </row>
        <row r="2304">
          <cell r="H2304">
            <v>15100</v>
          </cell>
        </row>
        <row r="2308">
          <cell r="H2308">
            <v>120000</v>
          </cell>
        </row>
        <row r="2312">
          <cell r="H2312">
            <v>15100</v>
          </cell>
        </row>
        <row r="2316">
          <cell r="H2316">
            <v>34500</v>
          </cell>
        </row>
        <row r="2320">
          <cell r="H2320">
            <v>15100</v>
          </cell>
        </row>
        <row r="2329">
          <cell r="H2329">
            <v>19320</v>
          </cell>
        </row>
        <row r="2333">
          <cell r="H2333">
            <v>18500</v>
          </cell>
        </row>
        <row r="2338">
          <cell r="H2338">
            <v>28170</v>
          </cell>
        </row>
        <row r="2342">
          <cell r="H2342">
            <v>18500</v>
          </cell>
        </row>
        <row r="2347">
          <cell r="H2347">
            <v>40250</v>
          </cell>
        </row>
        <row r="2351">
          <cell r="H2351">
            <v>18500</v>
          </cell>
        </row>
        <row r="2356">
          <cell r="H2356">
            <v>48300</v>
          </cell>
        </row>
        <row r="2360">
          <cell r="H2360">
            <v>37000</v>
          </cell>
        </row>
        <row r="2365">
          <cell r="H2365">
            <v>19320</v>
          </cell>
        </row>
        <row r="2369">
          <cell r="H2369">
            <v>36200</v>
          </cell>
        </row>
        <row r="2374">
          <cell r="H2374">
            <v>24150</v>
          </cell>
        </row>
        <row r="2378">
          <cell r="H2378">
            <v>45100</v>
          </cell>
        </row>
        <row r="2383">
          <cell r="H2383">
            <v>6760</v>
          </cell>
        </row>
        <row r="2387">
          <cell r="H2387">
            <v>12300</v>
          </cell>
        </row>
        <row r="2392">
          <cell r="H2392">
            <v>8050</v>
          </cell>
        </row>
        <row r="2396">
          <cell r="H2396">
            <v>11700</v>
          </cell>
        </row>
        <row r="2401">
          <cell r="H2401">
            <v>10460</v>
          </cell>
        </row>
        <row r="2405">
          <cell r="H2405">
            <v>12300</v>
          </cell>
        </row>
        <row r="2410">
          <cell r="H2410">
            <v>14280</v>
          </cell>
        </row>
        <row r="2414">
          <cell r="H2414">
            <v>18500</v>
          </cell>
        </row>
        <row r="2419">
          <cell r="H2419">
            <v>44380</v>
          </cell>
        </row>
        <row r="2423">
          <cell r="H2423">
            <v>27800</v>
          </cell>
        </row>
        <row r="2437">
          <cell r="H2437">
            <v>7968140</v>
          </cell>
        </row>
        <row r="2441">
          <cell r="H2441">
            <v>860000</v>
          </cell>
        </row>
        <row r="2446">
          <cell r="H2446">
            <v>1617180</v>
          </cell>
        </row>
        <row r="2450">
          <cell r="H2450">
            <v>27800</v>
          </cell>
        </row>
        <row r="2460">
          <cell r="H2460">
            <v>24010</v>
          </cell>
        </row>
        <row r="2464">
          <cell r="H2464">
            <v>12200</v>
          </cell>
        </row>
        <row r="2474">
          <cell r="H2474">
            <v>12200</v>
          </cell>
        </row>
        <row r="2482">
          <cell r="H2482">
            <v>24980</v>
          </cell>
        </row>
        <row r="2486">
          <cell r="H2486">
            <v>12200</v>
          </cell>
        </row>
        <row r="2490">
          <cell r="H2490">
            <v>189750</v>
          </cell>
        </row>
        <row r="2494">
          <cell r="H2494">
            <v>325500</v>
          </cell>
        </row>
        <row r="2498">
          <cell r="H2498">
            <v>460000</v>
          </cell>
        </row>
        <row r="2502">
          <cell r="H2502">
            <v>262500</v>
          </cell>
        </row>
        <row r="2506">
          <cell r="H2506">
            <v>145470</v>
          </cell>
        </row>
        <row r="2510">
          <cell r="H2510">
            <v>300000</v>
          </cell>
        </row>
        <row r="2516">
          <cell r="H2516">
            <v>29680</v>
          </cell>
        </row>
        <row r="2520">
          <cell r="H2520">
            <v>25000</v>
          </cell>
        </row>
        <row r="2527">
          <cell r="H2527">
            <v>55580</v>
          </cell>
        </row>
        <row r="2531">
          <cell r="H2531">
            <v>72500</v>
          </cell>
        </row>
        <row r="2538">
          <cell r="H2538">
            <v>53630</v>
          </cell>
        </row>
        <row r="2542">
          <cell r="H2542">
            <v>60400</v>
          </cell>
        </row>
        <row r="2548">
          <cell r="G2548">
            <v>189749.99999999997</v>
          </cell>
        </row>
        <row r="2554">
          <cell r="H2554">
            <v>325500</v>
          </cell>
        </row>
        <row r="2558">
          <cell r="H2558">
            <v>460000</v>
          </cell>
        </row>
        <row r="2562">
          <cell r="H2562">
            <v>262500</v>
          </cell>
        </row>
        <row r="2572">
          <cell r="H2572">
            <v>2624590</v>
          </cell>
        </row>
        <row r="2576">
          <cell r="H2576">
            <v>424100</v>
          </cell>
        </row>
        <row r="2586">
          <cell r="H2586">
            <v>3002580</v>
          </cell>
        </row>
        <row r="2590">
          <cell r="H2590">
            <v>486300</v>
          </cell>
        </row>
        <row r="2604">
          <cell r="H2604">
            <v>4853050</v>
          </cell>
        </row>
        <row r="2608">
          <cell r="H2608">
            <v>31700</v>
          </cell>
        </row>
        <row r="2618">
          <cell r="H2618">
            <v>1682760</v>
          </cell>
        </row>
        <row r="2621">
          <cell r="H2621">
            <v>170400</v>
          </cell>
        </row>
        <row r="2627">
          <cell r="H2627">
            <v>381630</v>
          </cell>
        </row>
        <row r="2630">
          <cell r="H2630">
            <v>34000</v>
          </cell>
        </row>
        <row r="2636">
          <cell r="H2636">
            <v>468010</v>
          </cell>
        </row>
        <row r="2639">
          <cell r="H2639">
            <v>6800</v>
          </cell>
        </row>
        <row r="2647">
          <cell r="H2647">
            <v>248100</v>
          </cell>
        </row>
        <row r="2650">
          <cell r="H2650">
            <v>84000</v>
          </cell>
        </row>
        <row r="2655">
          <cell r="H2655">
            <v>87350</v>
          </cell>
        </row>
        <row r="2658">
          <cell r="H2658">
            <v>70000</v>
          </cell>
        </row>
        <row r="2662">
          <cell r="H2662">
            <v>63250</v>
          </cell>
        </row>
        <row r="2665">
          <cell r="H2665">
            <v>500</v>
          </cell>
        </row>
        <row r="2673">
          <cell r="H2673">
            <v>36150</v>
          </cell>
        </row>
        <row r="2676">
          <cell r="H2676">
            <v>21000</v>
          </cell>
        </row>
        <row r="2681">
          <cell r="H2681">
            <v>29850</v>
          </cell>
        </row>
        <row r="2684">
          <cell r="H2684">
            <v>14000</v>
          </cell>
        </row>
        <row r="2689">
          <cell r="H2689">
            <v>14180</v>
          </cell>
        </row>
        <row r="2692">
          <cell r="H2692">
            <v>21000</v>
          </cell>
        </row>
        <row r="2696">
          <cell r="H2696">
            <v>414000</v>
          </cell>
        </row>
        <row r="2700">
          <cell r="H2700">
            <v>70000</v>
          </cell>
        </row>
        <row r="2704">
          <cell r="H2704">
            <v>51750</v>
          </cell>
        </row>
        <row r="2708">
          <cell r="H2708">
            <v>75500</v>
          </cell>
        </row>
        <row r="2712">
          <cell r="H2712">
            <v>63250</v>
          </cell>
        </row>
        <row r="2716">
          <cell r="H2716">
            <v>75500</v>
          </cell>
        </row>
        <row r="2720">
          <cell r="H2720">
            <v>33350</v>
          </cell>
        </row>
        <row r="2724">
          <cell r="H2724">
            <v>75500</v>
          </cell>
        </row>
        <row r="2728">
          <cell r="H2728">
            <v>21850</v>
          </cell>
        </row>
        <row r="2732">
          <cell r="H2732">
            <v>75500</v>
          </cell>
        </row>
        <row r="2736">
          <cell r="H2736">
            <v>23000</v>
          </cell>
        </row>
        <row r="2740">
          <cell r="H2740">
            <v>75500</v>
          </cell>
        </row>
        <row r="2744">
          <cell r="H2744">
            <v>83490</v>
          </cell>
        </row>
        <row r="2748">
          <cell r="H2748">
            <v>22600</v>
          </cell>
        </row>
        <row r="2752">
          <cell r="H2752">
            <v>111320</v>
          </cell>
        </row>
        <row r="2756">
          <cell r="H2756">
            <v>22600</v>
          </cell>
        </row>
        <row r="2760">
          <cell r="H2760">
            <v>16440</v>
          </cell>
        </row>
        <row r="2764">
          <cell r="H2764">
            <v>22600</v>
          </cell>
        </row>
        <row r="2772">
          <cell r="H2772">
            <v>2350</v>
          </cell>
        </row>
        <row r="2776">
          <cell r="H2776">
            <v>8300</v>
          </cell>
        </row>
        <row r="2782">
          <cell r="H2782">
            <v>5410</v>
          </cell>
        </row>
        <row r="2786">
          <cell r="H2786">
            <v>11400</v>
          </cell>
        </row>
        <row r="2794">
          <cell r="H2794">
            <v>94200</v>
          </cell>
        </row>
        <row r="2798">
          <cell r="H2798">
            <v>26500</v>
          </cell>
        </row>
        <row r="2806">
          <cell r="H2806">
            <v>80450</v>
          </cell>
        </row>
        <row r="2810">
          <cell r="H2810">
            <v>26500</v>
          </cell>
        </row>
        <row r="2816">
          <cell r="H2816">
            <v>20490</v>
          </cell>
        </row>
        <row r="2820">
          <cell r="H2820">
            <v>26500</v>
          </cell>
        </row>
        <row r="2826">
          <cell r="H2826">
            <v>19890</v>
          </cell>
        </row>
        <row r="2830">
          <cell r="H2830">
            <v>26500</v>
          </cell>
        </row>
        <row r="2834">
          <cell r="H2834">
            <v>1240</v>
          </cell>
        </row>
        <row r="2838">
          <cell r="H2838">
            <v>19300</v>
          </cell>
        </row>
        <row r="2846">
          <cell r="H2846">
            <v>56300</v>
          </cell>
        </row>
        <row r="2850">
          <cell r="H2850">
            <v>34600</v>
          </cell>
        </row>
        <row r="2862">
          <cell r="H2862">
            <v>34600</v>
          </cell>
        </row>
        <row r="2869">
          <cell r="H2869">
            <v>48610</v>
          </cell>
        </row>
        <row r="2873">
          <cell r="H2873">
            <v>34600</v>
          </cell>
        </row>
        <row r="2881">
          <cell r="H2881">
            <v>80110</v>
          </cell>
        </row>
        <row r="2885">
          <cell r="H2885">
            <v>64000</v>
          </cell>
        </row>
        <row r="2890">
          <cell r="H2890">
            <v>38820</v>
          </cell>
        </row>
        <row r="2894">
          <cell r="H2894">
            <v>23200</v>
          </cell>
        </row>
        <row r="2899">
          <cell r="H2899">
            <v>5650</v>
          </cell>
        </row>
        <row r="2903">
          <cell r="H2903">
            <v>30200</v>
          </cell>
        </row>
        <row r="2911">
          <cell r="H2911">
            <v>17760</v>
          </cell>
        </row>
        <row r="2915">
          <cell r="H2915">
            <v>50000</v>
          </cell>
        </row>
        <row r="2925">
          <cell r="H2925">
            <v>162070</v>
          </cell>
        </row>
        <row r="2929">
          <cell r="H2929">
            <v>106000</v>
          </cell>
        </row>
        <row r="2935">
          <cell r="H2935">
            <v>141370</v>
          </cell>
        </row>
        <row r="2939">
          <cell r="H2939">
            <v>106000</v>
          </cell>
        </row>
        <row r="2944">
          <cell r="H2944">
            <v>63880</v>
          </cell>
        </row>
        <row r="2947">
          <cell r="H2947">
            <v>14000</v>
          </cell>
        </row>
        <row r="2952">
          <cell r="H2952">
            <v>63880</v>
          </cell>
        </row>
        <row r="2955">
          <cell r="H2955">
            <v>16800</v>
          </cell>
        </row>
        <row r="2960">
          <cell r="H2960">
            <v>98720</v>
          </cell>
        </row>
        <row r="2963">
          <cell r="H2963">
            <v>21000</v>
          </cell>
        </row>
        <row r="2968">
          <cell r="H2968">
            <v>8130</v>
          </cell>
        </row>
        <row r="2971">
          <cell r="H2971">
            <v>14000</v>
          </cell>
        </row>
        <row r="2976">
          <cell r="H2976">
            <v>301990</v>
          </cell>
        </row>
        <row r="2979">
          <cell r="H2979">
            <v>49000</v>
          </cell>
        </row>
        <row r="2984">
          <cell r="H2984">
            <v>316250</v>
          </cell>
        </row>
        <row r="2987">
          <cell r="H2987">
            <v>140000</v>
          </cell>
        </row>
        <row r="2997">
          <cell r="H2997">
            <v>288920</v>
          </cell>
        </row>
        <row r="3001">
          <cell r="H3001">
            <v>106000</v>
          </cell>
        </row>
        <row r="3007">
          <cell r="H3007">
            <v>55760</v>
          </cell>
        </row>
        <row r="3011">
          <cell r="H3011">
            <v>106000</v>
          </cell>
        </row>
        <row r="3016">
          <cell r="H3016">
            <v>52380</v>
          </cell>
        </row>
        <row r="3020">
          <cell r="H3020">
            <v>106000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1C1C-E54A-4AD7-B4B6-9601E7997D44}">
  <dimension ref="B2:I704"/>
  <sheetViews>
    <sheetView zoomScale="55" zoomScaleNormal="55" workbookViewId="0">
      <selection activeCell="C42" sqref="C42"/>
    </sheetView>
    <sheetView workbookViewId="1"/>
  </sheetViews>
  <sheetFormatPr defaultColWidth="8.85546875" defaultRowHeight="14.25"/>
  <cols>
    <col min="1" max="1" width="5" style="56" customWidth="1"/>
    <col min="2" max="2" width="6.7109375" style="63" customWidth="1"/>
    <col min="3" max="3" width="133.42578125" style="63" bestFit="1" customWidth="1"/>
    <col min="4" max="4" width="11" style="63" customWidth="1"/>
    <col min="5" max="5" width="22.140625" style="384" customWidth="1"/>
    <col min="6" max="6" width="18" style="63" customWidth="1"/>
    <col min="7" max="7" width="2.85546875" style="56" customWidth="1"/>
    <col min="8" max="8" width="17.42578125" style="56" customWidth="1"/>
    <col min="9" max="9" width="18.28515625" style="56" customWidth="1"/>
    <col min="10" max="16384" width="8.85546875" style="56"/>
  </cols>
  <sheetData>
    <row r="2" spans="2:9" ht="15">
      <c r="B2" s="512" t="s">
        <v>2151</v>
      </c>
      <c r="C2" s="512"/>
      <c r="D2" s="512"/>
      <c r="E2" s="512"/>
      <c r="F2" s="512"/>
    </row>
    <row r="3" spans="2:9" ht="15">
      <c r="B3" s="513" t="s">
        <v>2152</v>
      </c>
      <c r="C3" s="513"/>
      <c r="D3" s="513"/>
      <c r="E3" s="513"/>
      <c r="F3" s="513"/>
    </row>
    <row r="4" spans="2:9" ht="15">
      <c r="B4" s="513" t="s">
        <v>2150</v>
      </c>
      <c r="C4" s="513"/>
      <c r="D4" s="513"/>
      <c r="E4" s="513"/>
      <c r="F4" s="513"/>
    </row>
    <row r="5" spans="2:9" ht="15" thickBot="1">
      <c r="B5" s="199"/>
      <c r="C5" s="199"/>
      <c r="D5" s="199"/>
      <c r="E5" s="339"/>
      <c r="F5" s="199"/>
    </row>
    <row r="6" spans="2:9" ht="25.9" customHeight="1" thickTop="1" thickBot="1">
      <c r="B6" s="429" t="s">
        <v>0</v>
      </c>
      <c r="C6" s="430" t="s">
        <v>1977</v>
      </c>
      <c r="D6" s="430" t="s">
        <v>1204</v>
      </c>
      <c r="E6" s="430" t="s">
        <v>1</v>
      </c>
      <c r="F6" s="431" t="s">
        <v>2</v>
      </c>
    </row>
    <row r="7" spans="2:9" ht="15.75" thickTop="1">
      <c r="B7" s="424" t="s">
        <v>1213</v>
      </c>
      <c r="C7" s="425" t="s">
        <v>1264</v>
      </c>
      <c r="D7" s="426"/>
      <c r="E7" s="427"/>
      <c r="F7" s="428"/>
    </row>
    <row r="8" spans="2:9" ht="15">
      <c r="B8" s="404">
        <v>1</v>
      </c>
      <c r="C8" s="78" t="s">
        <v>1206</v>
      </c>
      <c r="D8" s="69" t="s">
        <v>114</v>
      </c>
      <c r="E8" s="372">
        <f t="shared" ref="E8:E29" si="0">VLOOKUP(C8,persiapan,7,FALSE)</f>
        <v>792200</v>
      </c>
      <c r="F8" s="405"/>
      <c r="H8" s="160"/>
      <c r="I8" s="386"/>
    </row>
    <row r="9" spans="2:9" ht="15">
      <c r="B9" s="404">
        <v>2</v>
      </c>
      <c r="C9" s="78" t="s">
        <v>1235</v>
      </c>
      <c r="D9" s="69" t="s">
        <v>114</v>
      </c>
      <c r="E9" s="372">
        <f t="shared" si="0"/>
        <v>636600</v>
      </c>
      <c r="F9" s="405"/>
      <c r="H9" s="160"/>
      <c r="I9" s="386"/>
    </row>
    <row r="10" spans="2:9" ht="15">
      <c r="B10" s="404">
        <v>3</v>
      </c>
      <c r="C10" s="78" t="s">
        <v>1236</v>
      </c>
      <c r="D10" s="69" t="s">
        <v>114</v>
      </c>
      <c r="E10" s="372">
        <f t="shared" si="0"/>
        <v>380100</v>
      </c>
      <c r="F10" s="405"/>
      <c r="H10" s="160"/>
      <c r="I10" s="386"/>
    </row>
    <row r="11" spans="2:9" ht="15">
      <c r="B11" s="404">
        <v>4</v>
      </c>
      <c r="C11" s="78" t="s">
        <v>1237</v>
      </c>
      <c r="D11" s="73" t="s">
        <v>63</v>
      </c>
      <c r="E11" s="372">
        <f t="shared" si="0"/>
        <v>17200</v>
      </c>
      <c r="F11" s="405"/>
      <c r="H11" s="160"/>
      <c r="I11" s="386"/>
    </row>
    <row r="12" spans="2:9" ht="15">
      <c r="B12" s="404">
        <v>5</v>
      </c>
      <c r="C12" s="78" t="s">
        <v>1238</v>
      </c>
      <c r="D12" s="73" t="s">
        <v>63</v>
      </c>
      <c r="E12" s="372">
        <f t="shared" si="0"/>
        <v>463200</v>
      </c>
      <c r="F12" s="405"/>
      <c r="H12" s="160"/>
      <c r="I12" s="386"/>
    </row>
    <row r="13" spans="2:9" ht="15">
      <c r="B13" s="404">
        <v>6</v>
      </c>
      <c r="C13" s="78" t="s">
        <v>1242</v>
      </c>
      <c r="D13" s="73" t="s">
        <v>63</v>
      </c>
      <c r="E13" s="372">
        <f t="shared" si="0"/>
        <v>1928800</v>
      </c>
      <c r="F13" s="405"/>
      <c r="H13" s="160"/>
      <c r="I13" s="386"/>
    </row>
    <row r="14" spans="2:9">
      <c r="B14" s="404">
        <v>7</v>
      </c>
      <c r="C14" s="78" t="s">
        <v>1250</v>
      </c>
      <c r="D14" s="73" t="s">
        <v>63</v>
      </c>
      <c r="E14" s="372">
        <f t="shared" si="0"/>
        <v>11700</v>
      </c>
      <c r="F14" s="147"/>
      <c r="H14" s="160"/>
      <c r="I14" s="386"/>
    </row>
    <row r="15" spans="2:9">
      <c r="B15" s="404">
        <v>8</v>
      </c>
      <c r="C15" s="78" t="s">
        <v>1251</v>
      </c>
      <c r="D15" s="73" t="s">
        <v>63</v>
      </c>
      <c r="E15" s="372">
        <f t="shared" si="0"/>
        <v>3700</v>
      </c>
      <c r="F15" s="147"/>
      <c r="H15" s="160"/>
      <c r="I15" s="386"/>
    </row>
    <row r="16" spans="2:9">
      <c r="B16" s="404">
        <v>9</v>
      </c>
      <c r="C16" s="78" t="s">
        <v>1252</v>
      </c>
      <c r="D16" s="73" t="s">
        <v>63</v>
      </c>
      <c r="E16" s="372">
        <f t="shared" si="0"/>
        <v>6200</v>
      </c>
      <c r="F16" s="147"/>
      <c r="H16" s="160"/>
      <c r="I16" s="386"/>
    </row>
    <row r="17" spans="2:9">
      <c r="B17" s="404">
        <v>10</v>
      </c>
      <c r="C17" s="78" t="s">
        <v>1253</v>
      </c>
      <c r="D17" s="73" t="s">
        <v>1978</v>
      </c>
      <c r="E17" s="372">
        <f t="shared" si="0"/>
        <v>21800</v>
      </c>
      <c r="F17" s="147"/>
      <c r="H17" s="160"/>
      <c r="I17" s="386"/>
    </row>
    <row r="18" spans="2:9">
      <c r="B18" s="404">
        <v>11</v>
      </c>
      <c r="C18" s="78" t="s">
        <v>1254</v>
      </c>
      <c r="D18" s="73" t="s">
        <v>1978</v>
      </c>
      <c r="E18" s="372">
        <f t="shared" si="0"/>
        <v>22100</v>
      </c>
      <c r="F18" s="147"/>
      <c r="H18" s="160"/>
      <c r="I18" s="386"/>
    </row>
    <row r="19" spans="2:9">
      <c r="B19" s="404">
        <v>12</v>
      </c>
      <c r="C19" s="78" t="s">
        <v>1255</v>
      </c>
      <c r="D19" s="73" t="s">
        <v>1978</v>
      </c>
      <c r="E19" s="372">
        <f t="shared" si="0"/>
        <v>47800</v>
      </c>
      <c r="F19" s="147"/>
      <c r="H19" s="160"/>
      <c r="I19" s="386"/>
    </row>
    <row r="20" spans="2:9">
      <c r="B20" s="404">
        <v>13</v>
      </c>
      <c r="C20" s="78" t="s">
        <v>1256</v>
      </c>
      <c r="D20" s="73" t="s">
        <v>1978</v>
      </c>
      <c r="E20" s="372">
        <f t="shared" si="0"/>
        <v>61100</v>
      </c>
      <c r="F20" s="147"/>
      <c r="H20" s="160"/>
      <c r="I20" s="386"/>
    </row>
    <row r="21" spans="2:9">
      <c r="B21" s="404">
        <v>14</v>
      </c>
      <c r="C21" s="78" t="s">
        <v>1257</v>
      </c>
      <c r="D21" s="73" t="s">
        <v>1979</v>
      </c>
      <c r="E21" s="372">
        <f t="shared" si="0"/>
        <v>47600</v>
      </c>
      <c r="F21" s="147"/>
      <c r="H21" s="160"/>
      <c r="I21" s="386"/>
    </row>
    <row r="22" spans="2:9">
      <c r="B22" s="404">
        <v>15</v>
      </c>
      <c r="C22" s="78" t="s">
        <v>1258</v>
      </c>
      <c r="D22" s="73" t="s">
        <v>1979</v>
      </c>
      <c r="E22" s="372">
        <f t="shared" si="0"/>
        <v>67300</v>
      </c>
      <c r="F22" s="147"/>
      <c r="H22" s="160"/>
      <c r="I22" s="386"/>
    </row>
    <row r="23" spans="2:9">
      <c r="B23" s="404">
        <v>16</v>
      </c>
      <c r="C23" s="78" t="s">
        <v>1259</v>
      </c>
      <c r="D23" s="73" t="s">
        <v>1979</v>
      </c>
      <c r="E23" s="372">
        <f t="shared" si="0"/>
        <v>95500</v>
      </c>
      <c r="F23" s="147"/>
      <c r="H23" s="160"/>
      <c r="I23" s="386"/>
    </row>
    <row r="24" spans="2:9" ht="28.5">
      <c r="B24" s="404">
        <v>17</v>
      </c>
      <c r="C24" s="60" t="s">
        <v>1270</v>
      </c>
      <c r="D24" s="73" t="s">
        <v>1979</v>
      </c>
      <c r="E24" s="372">
        <f t="shared" si="0"/>
        <v>148400</v>
      </c>
      <c r="F24" s="147"/>
      <c r="H24" s="160"/>
      <c r="I24" s="386"/>
    </row>
    <row r="25" spans="2:9">
      <c r="B25" s="404">
        <v>18</v>
      </c>
      <c r="C25" s="78" t="s">
        <v>1260</v>
      </c>
      <c r="D25" s="73" t="s">
        <v>1979</v>
      </c>
      <c r="E25" s="372">
        <f t="shared" si="0"/>
        <v>216100</v>
      </c>
      <c r="F25" s="147"/>
      <c r="H25" s="160"/>
      <c r="I25" s="386"/>
    </row>
    <row r="26" spans="2:9">
      <c r="B26" s="404">
        <v>19</v>
      </c>
      <c r="C26" s="78" t="s">
        <v>1261</v>
      </c>
      <c r="D26" s="73" t="s">
        <v>1979</v>
      </c>
      <c r="E26" s="372">
        <f t="shared" si="0"/>
        <v>48600</v>
      </c>
      <c r="F26" s="147"/>
      <c r="H26" s="160"/>
      <c r="I26" s="386"/>
    </row>
    <row r="27" spans="2:9" ht="14.45" customHeight="1">
      <c r="B27" s="404">
        <v>20</v>
      </c>
      <c r="C27" s="60" t="s">
        <v>1271</v>
      </c>
      <c r="D27" s="73" t="s">
        <v>1979</v>
      </c>
      <c r="E27" s="372">
        <f t="shared" si="0"/>
        <v>77600</v>
      </c>
      <c r="F27" s="147"/>
      <c r="H27" s="160"/>
      <c r="I27" s="386"/>
    </row>
    <row r="28" spans="2:9">
      <c r="B28" s="404">
        <v>21</v>
      </c>
      <c r="C28" s="78" t="s">
        <v>1262</v>
      </c>
      <c r="D28" s="73" t="s">
        <v>1987</v>
      </c>
      <c r="E28" s="372">
        <f t="shared" si="0"/>
        <v>3277000</v>
      </c>
      <c r="F28" s="147"/>
      <c r="H28" s="160"/>
      <c r="I28" s="386"/>
    </row>
    <row r="29" spans="2:9">
      <c r="B29" s="404">
        <v>22</v>
      </c>
      <c r="C29" s="60" t="s">
        <v>1263</v>
      </c>
      <c r="D29" s="73" t="s">
        <v>114</v>
      </c>
      <c r="E29" s="372">
        <f t="shared" si="0"/>
        <v>171400</v>
      </c>
      <c r="F29" s="147"/>
      <c r="H29" s="160"/>
      <c r="I29" s="386"/>
    </row>
    <row r="30" spans="2:9" ht="15">
      <c r="B30" s="402" t="s">
        <v>1221</v>
      </c>
      <c r="C30" s="388" t="s">
        <v>1989</v>
      </c>
      <c r="D30" s="389"/>
      <c r="E30" s="390"/>
      <c r="F30" s="403"/>
      <c r="H30" s="160"/>
      <c r="I30" s="386"/>
    </row>
    <row r="31" spans="2:9">
      <c r="B31" s="201">
        <v>1</v>
      </c>
      <c r="C31" s="373" t="s">
        <v>1280</v>
      </c>
      <c r="D31" s="73" t="s">
        <v>42</v>
      </c>
      <c r="E31" s="372">
        <f t="shared" ref="E31:E44" si="1">VLOOKUP(C31,galiantanah,7,FALSE)</f>
        <v>88500</v>
      </c>
      <c r="F31" s="147"/>
      <c r="H31" s="160"/>
      <c r="I31" s="386"/>
    </row>
    <row r="32" spans="2:9">
      <c r="B32" s="201">
        <v>2</v>
      </c>
      <c r="C32" s="373" t="s">
        <v>1281</v>
      </c>
      <c r="D32" s="73" t="s">
        <v>42</v>
      </c>
      <c r="E32" s="372">
        <f t="shared" si="1"/>
        <v>70900</v>
      </c>
      <c r="F32" s="147"/>
      <c r="H32" s="160"/>
      <c r="I32" s="386"/>
    </row>
    <row r="33" spans="2:9">
      <c r="B33" s="201">
        <v>3</v>
      </c>
      <c r="C33" s="373" t="s">
        <v>1282</v>
      </c>
      <c r="D33" s="73" t="s">
        <v>42</v>
      </c>
      <c r="E33" s="372">
        <f t="shared" si="1"/>
        <v>50300</v>
      </c>
      <c r="F33" s="147"/>
      <c r="H33" s="160"/>
      <c r="I33" s="386"/>
    </row>
    <row r="34" spans="2:9">
      <c r="B34" s="201">
        <v>4</v>
      </c>
      <c r="C34" s="373" t="s">
        <v>1283</v>
      </c>
      <c r="D34" s="73" t="s">
        <v>42</v>
      </c>
      <c r="E34" s="372">
        <f t="shared" si="1"/>
        <v>106100</v>
      </c>
      <c r="F34" s="147"/>
      <c r="H34" s="160"/>
      <c r="I34" s="386"/>
    </row>
    <row r="35" spans="2:9">
      <c r="B35" s="201">
        <v>5</v>
      </c>
      <c r="C35" s="373" t="s">
        <v>1284</v>
      </c>
      <c r="D35" s="73" t="s">
        <v>42</v>
      </c>
      <c r="E35" s="372">
        <f t="shared" si="1"/>
        <v>85000</v>
      </c>
      <c r="F35" s="147"/>
      <c r="H35" s="160"/>
      <c r="I35" s="386"/>
    </row>
    <row r="36" spans="2:9">
      <c r="B36" s="201">
        <v>6</v>
      </c>
      <c r="C36" s="373" t="s">
        <v>1285</v>
      </c>
      <c r="D36" s="73" t="s">
        <v>42</v>
      </c>
      <c r="E36" s="372">
        <f t="shared" si="1"/>
        <v>126100</v>
      </c>
      <c r="F36" s="147"/>
      <c r="H36" s="160"/>
      <c r="I36" s="386"/>
    </row>
    <row r="37" spans="2:9">
      <c r="B37" s="201">
        <v>7</v>
      </c>
      <c r="C37" s="373" t="s">
        <v>1286</v>
      </c>
      <c r="D37" s="73" t="s">
        <v>42</v>
      </c>
      <c r="E37" s="372">
        <f t="shared" si="1"/>
        <v>95700</v>
      </c>
      <c r="F37" s="147"/>
      <c r="H37" s="160"/>
      <c r="I37" s="386"/>
    </row>
    <row r="38" spans="2:9">
      <c r="B38" s="201">
        <v>8</v>
      </c>
      <c r="C38" s="373" t="s">
        <v>1287</v>
      </c>
      <c r="D38" s="73" t="s">
        <v>42</v>
      </c>
      <c r="E38" s="372">
        <f t="shared" si="1"/>
        <v>9400</v>
      </c>
      <c r="F38" s="147"/>
      <c r="H38" s="160"/>
      <c r="I38" s="386"/>
    </row>
    <row r="39" spans="2:9">
      <c r="B39" s="201">
        <v>9</v>
      </c>
      <c r="C39" s="373" t="s">
        <v>1288</v>
      </c>
      <c r="D39" s="73" t="s">
        <v>42</v>
      </c>
      <c r="E39" s="372">
        <f t="shared" si="1"/>
        <v>176900</v>
      </c>
      <c r="F39" s="147"/>
      <c r="H39" s="160"/>
      <c r="I39" s="386"/>
    </row>
    <row r="40" spans="2:9">
      <c r="B40" s="201">
        <v>10</v>
      </c>
      <c r="C40" s="373" t="s">
        <v>1289</v>
      </c>
      <c r="D40" s="73" t="s">
        <v>42</v>
      </c>
      <c r="E40" s="372">
        <f t="shared" si="1"/>
        <v>157400</v>
      </c>
      <c r="F40" s="147"/>
      <c r="H40" s="160"/>
      <c r="I40" s="386"/>
    </row>
    <row r="41" spans="2:9">
      <c r="B41" s="201">
        <v>11</v>
      </c>
      <c r="C41" s="373" t="s">
        <v>1290</v>
      </c>
      <c r="D41" s="73" t="s">
        <v>42</v>
      </c>
      <c r="E41" s="372">
        <f t="shared" si="1"/>
        <v>174500</v>
      </c>
      <c r="F41" s="147"/>
      <c r="H41" s="160"/>
      <c r="I41" s="386"/>
    </row>
    <row r="42" spans="2:9">
      <c r="B42" s="201">
        <v>12</v>
      </c>
      <c r="C42" s="373" t="s">
        <v>1291</v>
      </c>
      <c r="D42" s="73" t="s">
        <v>42</v>
      </c>
      <c r="E42" s="372">
        <f t="shared" si="1"/>
        <v>175300</v>
      </c>
      <c r="F42" s="147"/>
      <c r="H42" s="160"/>
      <c r="I42" s="386"/>
    </row>
    <row r="43" spans="2:9">
      <c r="B43" s="201">
        <v>13</v>
      </c>
      <c r="C43" s="373" t="s">
        <v>1292</v>
      </c>
      <c r="D43" s="73" t="s">
        <v>42</v>
      </c>
      <c r="E43" s="372">
        <f t="shared" si="1"/>
        <v>188900</v>
      </c>
      <c r="F43" s="147"/>
      <c r="H43" s="160"/>
      <c r="I43" s="386"/>
    </row>
    <row r="44" spans="2:9">
      <c r="B44" s="201">
        <v>14</v>
      </c>
      <c r="C44" s="373" t="s">
        <v>1293</v>
      </c>
      <c r="D44" s="73" t="s">
        <v>42</v>
      </c>
      <c r="E44" s="372">
        <f t="shared" si="1"/>
        <v>12500</v>
      </c>
      <c r="F44" s="147"/>
      <c r="H44" s="160"/>
      <c r="I44" s="386"/>
    </row>
    <row r="45" spans="2:9" ht="15">
      <c r="B45" s="406" t="s">
        <v>1227</v>
      </c>
      <c r="C45" s="388" t="s">
        <v>1990</v>
      </c>
      <c r="D45" s="387"/>
      <c r="E45" s="391"/>
      <c r="F45" s="403"/>
      <c r="H45" s="160"/>
      <c r="I45" s="386"/>
    </row>
    <row r="46" spans="2:9" ht="15">
      <c r="B46" s="201">
        <v>1</v>
      </c>
      <c r="C46" s="374" t="s">
        <v>1294</v>
      </c>
      <c r="D46" s="73" t="s">
        <v>42</v>
      </c>
      <c r="E46" s="372">
        <f t="shared" ref="E46:E51" si="2">VLOOKUP(C46,timbunanpemadatan,7,FALSE)</f>
        <v>58900</v>
      </c>
      <c r="F46" s="405"/>
      <c r="H46" s="160"/>
      <c r="I46" s="386"/>
    </row>
    <row r="47" spans="2:9" ht="15">
      <c r="B47" s="201">
        <v>2</v>
      </c>
      <c r="C47" s="374" t="s">
        <v>1295</v>
      </c>
      <c r="D47" s="73" t="s">
        <v>42</v>
      </c>
      <c r="E47" s="372">
        <f t="shared" si="2"/>
        <v>371500</v>
      </c>
      <c r="F47" s="405"/>
      <c r="H47" s="160"/>
      <c r="I47" s="386"/>
    </row>
    <row r="48" spans="2:9" ht="15">
      <c r="B48" s="201">
        <v>3</v>
      </c>
      <c r="C48" s="374" t="s">
        <v>1296</v>
      </c>
      <c r="D48" s="73" t="s">
        <v>42</v>
      </c>
      <c r="E48" s="372">
        <f t="shared" si="2"/>
        <v>344300</v>
      </c>
      <c r="F48" s="405"/>
      <c r="H48" s="160"/>
      <c r="I48" s="386"/>
    </row>
    <row r="49" spans="2:9" ht="15">
      <c r="B49" s="201">
        <v>4</v>
      </c>
      <c r="C49" s="374" t="s">
        <v>1297</v>
      </c>
      <c r="D49" s="73" t="s">
        <v>42</v>
      </c>
      <c r="E49" s="372">
        <f t="shared" si="2"/>
        <v>206500</v>
      </c>
      <c r="F49" s="405"/>
      <c r="H49" s="160"/>
      <c r="I49" s="386"/>
    </row>
    <row r="50" spans="2:9">
      <c r="B50" s="201">
        <v>5</v>
      </c>
      <c r="C50" s="374" t="s">
        <v>1300</v>
      </c>
      <c r="D50" s="73" t="s">
        <v>42</v>
      </c>
      <c r="E50" s="372">
        <f t="shared" si="2"/>
        <v>58900</v>
      </c>
      <c r="F50" s="147"/>
      <c r="H50" s="160"/>
      <c r="I50" s="386"/>
    </row>
    <row r="51" spans="2:9">
      <c r="B51" s="201">
        <v>6</v>
      </c>
      <c r="C51" s="374" t="s">
        <v>1301</v>
      </c>
      <c r="D51" s="73" t="s">
        <v>42</v>
      </c>
      <c r="E51" s="372">
        <f t="shared" si="2"/>
        <v>375100</v>
      </c>
      <c r="F51" s="147"/>
      <c r="H51" s="160"/>
      <c r="I51" s="386"/>
    </row>
    <row r="52" spans="2:9" ht="15">
      <c r="B52" s="406" t="s">
        <v>1230</v>
      </c>
      <c r="C52" s="388" t="s">
        <v>1991</v>
      </c>
      <c r="D52" s="387"/>
      <c r="E52" s="391"/>
      <c r="F52" s="403"/>
      <c r="H52" s="160"/>
      <c r="I52" s="386"/>
    </row>
    <row r="53" spans="2:9">
      <c r="B53" s="201">
        <v>1</v>
      </c>
      <c r="C53" s="374" t="s">
        <v>1302</v>
      </c>
      <c r="D53" s="333" t="s">
        <v>42</v>
      </c>
      <c r="E53" s="372">
        <f t="shared" ref="E53:E60" si="3">VLOOKUP(C53,pembongkaran,7,FALSE)</f>
        <v>142500</v>
      </c>
      <c r="F53" s="147"/>
      <c r="H53" s="160"/>
      <c r="I53" s="386"/>
    </row>
    <row r="54" spans="2:9">
      <c r="B54" s="201">
        <v>2</v>
      </c>
      <c r="C54" s="374" t="s">
        <v>1303</v>
      </c>
      <c r="D54" s="333" t="s">
        <v>42</v>
      </c>
      <c r="E54" s="372">
        <f t="shared" si="3"/>
        <v>150000</v>
      </c>
      <c r="F54" s="147"/>
      <c r="H54" s="160"/>
      <c r="I54" s="386"/>
    </row>
    <row r="55" spans="2:9">
      <c r="B55" s="201">
        <v>3</v>
      </c>
      <c r="C55" s="374" t="s">
        <v>1304</v>
      </c>
      <c r="D55" s="333" t="s">
        <v>42</v>
      </c>
      <c r="E55" s="372">
        <f t="shared" si="3"/>
        <v>204500</v>
      </c>
      <c r="F55" s="147"/>
      <c r="H55" s="160"/>
      <c r="I55" s="386"/>
    </row>
    <row r="56" spans="2:9">
      <c r="B56" s="201">
        <v>4</v>
      </c>
      <c r="C56" s="374" t="s">
        <v>1305</v>
      </c>
      <c r="D56" s="333" t="s">
        <v>42</v>
      </c>
      <c r="E56" s="372">
        <f t="shared" si="3"/>
        <v>493700</v>
      </c>
      <c r="F56" s="147"/>
      <c r="H56" s="160"/>
      <c r="I56" s="386"/>
    </row>
    <row r="57" spans="2:9">
      <c r="B57" s="201">
        <v>5</v>
      </c>
      <c r="C57" s="374" t="s">
        <v>1306</v>
      </c>
      <c r="D57" s="333" t="s">
        <v>42</v>
      </c>
      <c r="E57" s="372">
        <f t="shared" si="3"/>
        <v>151600</v>
      </c>
      <c r="F57" s="147"/>
      <c r="H57" s="160"/>
      <c r="I57" s="386"/>
    </row>
    <row r="58" spans="2:9">
      <c r="B58" s="201">
        <v>6</v>
      </c>
      <c r="C58" s="374" t="s">
        <v>1307</v>
      </c>
      <c r="D58" s="333" t="s">
        <v>42</v>
      </c>
      <c r="E58" s="372">
        <f t="shared" si="3"/>
        <v>300100</v>
      </c>
      <c r="F58" s="147"/>
      <c r="H58" s="160"/>
      <c r="I58" s="386"/>
    </row>
    <row r="59" spans="2:9">
      <c r="B59" s="201">
        <v>7</v>
      </c>
      <c r="C59" s="374" t="s">
        <v>1308</v>
      </c>
      <c r="D59" s="333" t="s">
        <v>42</v>
      </c>
      <c r="E59" s="372">
        <f t="shared" si="3"/>
        <v>38100</v>
      </c>
      <c r="F59" s="147"/>
      <c r="H59" s="160"/>
      <c r="I59" s="386"/>
    </row>
    <row r="60" spans="2:9">
      <c r="B60" s="201">
        <v>8</v>
      </c>
      <c r="C60" s="374" t="s">
        <v>1309</v>
      </c>
      <c r="D60" s="333" t="s">
        <v>42</v>
      </c>
      <c r="E60" s="372">
        <f t="shared" si="3"/>
        <v>24600</v>
      </c>
      <c r="F60" s="147"/>
      <c r="H60" s="160"/>
      <c r="I60" s="386"/>
    </row>
    <row r="61" spans="2:9" ht="15">
      <c r="B61" s="407" t="s">
        <v>1232</v>
      </c>
      <c r="C61" s="392" t="s">
        <v>1992</v>
      </c>
      <c r="D61" s="390"/>
      <c r="E61" s="390"/>
      <c r="F61" s="408"/>
      <c r="H61" s="160"/>
      <c r="I61" s="386"/>
    </row>
    <row r="62" spans="2:9">
      <c r="B62" s="361">
        <v>1</v>
      </c>
      <c r="C62" s="375" t="s">
        <v>1311</v>
      </c>
      <c r="D62" s="333" t="s">
        <v>42</v>
      </c>
      <c r="E62" s="372">
        <f t="shared" ref="E62:E94" si="4">VLOOKUP(C62,pondasi,7,FALSE)</f>
        <v>655700</v>
      </c>
      <c r="F62" s="155"/>
      <c r="H62" s="160"/>
      <c r="I62" s="386"/>
    </row>
    <row r="63" spans="2:9">
      <c r="B63" s="361">
        <v>2</v>
      </c>
      <c r="C63" s="375" t="s">
        <v>1312</v>
      </c>
      <c r="D63" s="333" t="s">
        <v>42</v>
      </c>
      <c r="E63" s="372">
        <f t="shared" si="4"/>
        <v>1140300</v>
      </c>
      <c r="F63" s="155"/>
      <c r="H63" s="160"/>
      <c r="I63" s="386"/>
    </row>
    <row r="64" spans="2:9">
      <c r="B64" s="361">
        <v>3</v>
      </c>
      <c r="C64" s="375" t="s">
        <v>1313</v>
      </c>
      <c r="D64" s="333" t="s">
        <v>42</v>
      </c>
      <c r="E64" s="372">
        <f t="shared" si="4"/>
        <v>1091900</v>
      </c>
      <c r="F64" s="155"/>
      <c r="H64" s="160"/>
      <c r="I64" s="386"/>
    </row>
    <row r="65" spans="2:9">
      <c r="B65" s="361">
        <v>4</v>
      </c>
      <c r="C65" s="375" t="s">
        <v>1314</v>
      </c>
      <c r="D65" s="333" t="s">
        <v>42</v>
      </c>
      <c r="E65" s="372">
        <f t="shared" si="4"/>
        <v>1082400</v>
      </c>
      <c r="F65" s="155"/>
      <c r="H65" s="160"/>
      <c r="I65" s="386"/>
    </row>
    <row r="66" spans="2:9">
      <c r="B66" s="361">
        <v>5</v>
      </c>
      <c r="C66" s="375" t="s">
        <v>1315</v>
      </c>
      <c r="D66" s="333" t="s">
        <v>42</v>
      </c>
      <c r="E66" s="372">
        <f t="shared" si="4"/>
        <v>1034000</v>
      </c>
      <c r="F66" s="155"/>
      <c r="H66" s="160"/>
      <c r="I66" s="386"/>
    </row>
    <row r="67" spans="2:9">
      <c r="B67" s="361">
        <v>6</v>
      </c>
      <c r="C67" s="375" t="s">
        <v>1316</v>
      </c>
      <c r="D67" s="333" t="s">
        <v>42</v>
      </c>
      <c r="E67" s="372">
        <f t="shared" si="4"/>
        <v>1037200</v>
      </c>
      <c r="F67" s="155"/>
      <c r="H67" s="160"/>
      <c r="I67" s="386"/>
    </row>
    <row r="68" spans="2:9">
      <c r="B68" s="361">
        <v>7</v>
      </c>
      <c r="C68" s="375" t="s">
        <v>1317</v>
      </c>
      <c r="D68" s="333" t="s">
        <v>42</v>
      </c>
      <c r="E68" s="372">
        <f t="shared" si="4"/>
        <v>988800</v>
      </c>
      <c r="F68" s="155"/>
      <c r="H68" s="160"/>
      <c r="I68" s="386"/>
    </row>
    <row r="69" spans="2:9">
      <c r="B69" s="361">
        <v>8</v>
      </c>
      <c r="C69" s="375" t="s">
        <v>1318</v>
      </c>
      <c r="D69" s="333" t="s">
        <v>42</v>
      </c>
      <c r="E69" s="372">
        <f t="shared" si="4"/>
        <v>1004400</v>
      </c>
      <c r="F69" s="155"/>
      <c r="H69" s="160"/>
      <c r="I69" s="386"/>
    </row>
    <row r="70" spans="2:9">
      <c r="B70" s="361">
        <v>9</v>
      </c>
      <c r="C70" s="375" t="s">
        <v>1319</v>
      </c>
      <c r="D70" s="333" t="s">
        <v>42</v>
      </c>
      <c r="E70" s="372">
        <f t="shared" si="4"/>
        <v>956100</v>
      </c>
      <c r="F70" s="155"/>
      <c r="H70" s="160"/>
      <c r="I70" s="386"/>
    </row>
    <row r="71" spans="2:9">
      <c r="B71" s="361">
        <v>10</v>
      </c>
      <c r="C71" s="375" t="s">
        <v>1320</v>
      </c>
      <c r="D71" s="333" t="s">
        <v>42</v>
      </c>
      <c r="E71" s="372">
        <f t="shared" si="4"/>
        <v>983800</v>
      </c>
      <c r="F71" s="155"/>
      <c r="H71" s="160"/>
      <c r="I71" s="386"/>
    </row>
    <row r="72" spans="2:9">
      <c r="B72" s="361">
        <v>11</v>
      </c>
      <c r="C72" s="375" t="s">
        <v>1321</v>
      </c>
      <c r="D72" s="333" t="s">
        <v>42</v>
      </c>
      <c r="E72" s="372">
        <f t="shared" si="4"/>
        <v>935500</v>
      </c>
      <c r="F72" s="155"/>
      <c r="H72" s="160"/>
      <c r="I72" s="386"/>
    </row>
    <row r="73" spans="2:9">
      <c r="B73" s="361">
        <v>12</v>
      </c>
      <c r="C73" s="375" t="s">
        <v>1322</v>
      </c>
      <c r="D73" s="333" t="s">
        <v>42</v>
      </c>
      <c r="E73" s="372">
        <f t="shared" si="4"/>
        <v>1001500</v>
      </c>
      <c r="F73" s="155"/>
      <c r="H73" s="160"/>
      <c r="I73" s="386"/>
    </row>
    <row r="74" spans="2:9">
      <c r="B74" s="361">
        <v>13</v>
      </c>
      <c r="C74" s="375" t="s">
        <v>1323</v>
      </c>
      <c r="D74" s="333" t="s">
        <v>42</v>
      </c>
      <c r="E74" s="372">
        <f t="shared" si="4"/>
        <v>990500</v>
      </c>
      <c r="F74" s="155"/>
      <c r="H74" s="160"/>
      <c r="I74" s="386"/>
    </row>
    <row r="75" spans="2:9">
      <c r="B75" s="361">
        <v>14</v>
      </c>
      <c r="C75" s="375" t="s">
        <v>1324</v>
      </c>
      <c r="D75" s="333" t="s">
        <v>42</v>
      </c>
      <c r="E75" s="372">
        <f t="shared" si="4"/>
        <v>967300</v>
      </c>
      <c r="F75" s="155"/>
      <c r="H75" s="160"/>
      <c r="I75" s="386"/>
    </row>
    <row r="76" spans="2:9">
      <c r="B76" s="361">
        <v>15</v>
      </c>
      <c r="C76" s="375" t="s">
        <v>1325</v>
      </c>
      <c r="D76" s="333" t="s">
        <v>42</v>
      </c>
      <c r="E76" s="372">
        <f t="shared" si="4"/>
        <v>1064900</v>
      </c>
      <c r="F76" s="155"/>
      <c r="H76" s="160"/>
      <c r="I76" s="386"/>
    </row>
    <row r="77" spans="2:9">
      <c r="B77" s="361">
        <v>16</v>
      </c>
      <c r="C77" s="375" t="s">
        <v>1326</v>
      </c>
      <c r="D77" s="333" t="s">
        <v>42</v>
      </c>
      <c r="E77" s="372">
        <f t="shared" si="4"/>
        <v>1037400</v>
      </c>
      <c r="F77" s="155"/>
      <c r="H77" s="160"/>
      <c r="I77" s="386"/>
    </row>
    <row r="78" spans="2:9">
      <c r="B78" s="361">
        <v>17</v>
      </c>
      <c r="C78" s="375" t="s">
        <v>1327</v>
      </c>
      <c r="D78" s="333" t="s">
        <v>42</v>
      </c>
      <c r="E78" s="372">
        <f t="shared" si="4"/>
        <v>838500</v>
      </c>
      <c r="F78" s="155"/>
      <c r="H78" s="160"/>
      <c r="I78" s="386"/>
    </row>
    <row r="79" spans="2:9">
      <c r="B79" s="361">
        <v>18</v>
      </c>
      <c r="C79" s="375" t="s">
        <v>1328</v>
      </c>
      <c r="D79" s="333" t="s">
        <v>114</v>
      </c>
      <c r="E79" s="372">
        <f t="shared" si="4"/>
        <v>730200</v>
      </c>
      <c r="F79" s="155"/>
      <c r="H79" s="160"/>
      <c r="I79" s="386"/>
    </row>
    <row r="80" spans="2:9">
      <c r="B80" s="361">
        <v>19</v>
      </c>
      <c r="C80" s="375" t="s">
        <v>1330</v>
      </c>
      <c r="D80" s="333" t="s">
        <v>114</v>
      </c>
      <c r="E80" s="372">
        <f t="shared" si="4"/>
        <v>19100</v>
      </c>
      <c r="F80" s="155"/>
      <c r="H80" s="160"/>
      <c r="I80" s="386"/>
    </row>
    <row r="81" spans="2:9">
      <c r="B81" s="361">
        <v>20</v>
      </c>
      <c r="C81" s="375" t="s">
        <v>1331</v>
      </c>
      <c r="D81" s="333" t="s">
        <v>114</v>
      </c>
      <c r="E81" s="372">
        <f t="shared" si="4"/>
        <v>127500</v>
      </c>
      <c r="F81" s="155"/>
      <c r="H81" s="160"/>
      <c r="I81" s="386"/>
    </row>
    <row r="82" spans="2:9">
      <c r="B82" s="361">
        <v>21</v>
      </c>
      <c r="C82" s="375" t="s">
        <v>1332</v>
      </c>
      <c r="D82" s="333" t="s">
        <v>114</v>
      </c>
      <c r="E82" s="372">
        <f t="shared" si="4"/>
        <v>191500</v>
      </c>
      <c r="F82" s="155"/>
      <c r="H82" s="160"/>
      <c r="I82" s="386"/>
    </row>
    <row r="83" spans="2:9">
      <c r="B83" s="361">
        <v>22</v>
      </c>
      <c r="C83" s="375" t="s">
        <v>1333</v>
      </c>
      <c r="D83" s="333" t="s">
        <v>114</v>
      </c>
      <c r="E83" s="372">
        <f t="shared" si="4"/>
        <v>1609000</v>
      </c>
      <c r="F83" s="155"/>
      <c r="H83" s="160"/>
      <c r="I83" s="386"/>
    </row>
    <row r="84" spans="2:9">
      <c r="B84" s="361">
        <v>23</v>
      </c>
      <c r="C84" s="375" t="s">
        <v>1335</v>
      </c>
      <c r="D84" s="333" t="s">
        <v>114</v>
      </c>
      <c r="E84" s="372">
        <f t="shared" si="4"/>
        <v>47700</v>
      </c>
      <c r="F84" s="155"/>
      <c r="H84" s="160"/>
      <c r="I84" s="386"/>
    </row>
    <row r="85" spans="2:9">
      <c r="B85" s="361">
        <v>24</v>
      </c>
      <c r="C85" s="375" t="s">
        <v>1336</v>
      </c>
      <c r="D85" s="333" t="s">
        <v>114</v>
      </c>
      <c r="E85" s="372">
        <f t="shared" si="4"/>
        <v>287300</v>
      </c>
      <c r="F85" s="155"/>
      <c r="H85" s="160"/>
      <c r="I85" s="386"/>
    </row>
    <row r="86" spans="2:9">
      <c r="B86" s="361">
        <v>25</v>
      </c>
      <c r="C86" s="375" t="s">
        <v>1337</v>
      </c>
      <c r="D86" s="333" t="s">
        <v>114</v>
      </c>
      <c r="E86" s="372">
        <f t="shared" si="4"/>
        <v>430900</v>
      </c>
      <c r="F86" s="155"/>
      <c r="H86" s="160"/>
      <c r="I86" s="386"/>
    </row>
    <row r="87" spans="2:9">
      <c r="B87" s="361">
        <v>26</v>
      </c>
      <c r="C87" s="375" t="s">
        <v>1338</v>
      </c>
      <c r="D87" s="333" t="s">
        <v>114</v>
      </c>
      <c r="E87" s="372">
        <f t="shared" si="4"/>
        <v>2847900</v>
      </c>
      <c r="F87" s="155"/>
      <c r="H87" s="160"/>
      <c r="I87" s="386"/>
    </row>
    <row r="88" spans="2:9">
      <c r="B88" s="361">
        <v>27</v>
      </c>
      <c r="C88" s="375" t="s">
        <v>1340</v>
      </c>
      <c r="D88" s="333" t="s">
        <v>114</v>
      </c>
      <c r="E88" s="372">
        <f t="shared" si="4"/>
        <v>94200</v>
      </c>
      <c r="F88" s="155"/>
      <c r="H88" s="160"/>
      <c r="I88" s="386"/>
    </row>
    <row r="89" spans="2:9">
      <c r="B89" s="361">
        <v>28</v>
      </c>
      <c r="C89" s="375" t="s">
        <v>1341</v>
      </c>
      <c r="D89" s="333" t="s">
        <v>114</v>
      </c>
      <c r="E89" s="372">
        <f t="shared" si="4"/>
        <v>420800</v>
      </c>
      <c r="F89" s="155"/>
      <c r="H89" s="160"/>
      <c r="I89" s="386"/>
    </row>
    <row r="90" spans="2:9">
      <c r="B90" s="361">
        <v>29</v>
      </c>
      <c r="C90" s="375" t="s">
        <v>1342</v>
      </c>
      <c r="D90" s="333" t="s">
        <v>114</v>
      </c>
      <c r="E90" s="372">
        <f t="shared" si="4"/>
        <v>631300</v>
      </c>
      <c r="F90" s="155"/>
      <c r="H90" s="160"/>
      <c r="I90" s="386"/>
    </row>
    <row r="91" spans="2:9">
      <c r="B91" s="361">
        <v>30</v>
      </c>
      <c r="C91" s="375" t="s">
        <v>1343</v>
      </c>
      <c r="D91" s="333" t="s">
        <v>114</v>
      </c>
      <c r="E91" s="372">
        <f t="shared" si="4"/>
        <v>4478200</v>
      </c>
      <c r="F91" s="155"/>
      <c r="H91" s="160"/>
      <c r="I91" s="386"/>
    </row>
    <row r="92" spans="2:9">
      <c r="B92" s="361">
        <v>31</v>
      </c>
      <c r="C92" s="375" t="s">
        <v>1345</v>
      </c>
      <c r="D92" s="333" t="s">
        <v>114</v>
      </c>
      <c r="E92" s="372">
        <f t="shared" si="4"/>
        <v>163600</v>
      </c>
      <c r="F92" s="155"/>
      <c r="H92" s="160"/>
      <c r="I92" s="386"/>
    </row>
    <row r="93" spans="2:9">
      <c r="B93" s="361">
        <v>32</v>
      </c>
      <c r="C93" s="375" t="s">
        <v>1346</v>
      </c>
      <c r="D93" s="333" t="s">
        <v>114</v>
      </c>
      <c r="E93" s="372">
        <f t="shared" si="4"/>
        <v>1091400</v>
      </c>
      <c r="F93" s="155"/>
      <c r="H93" s="160"/>
      <c r="I93" s="386"/>
    </row>
    <row r="94" spans="2:9">
      <c r="B94" s="361">
        <v>33</v>
      </c>
      <c r="C94" s="375" t="s">
        <v>1347</v>
      </c>
      <c r="D94" s="333" t="s">
        <v>114</v>
      </c>
      <c r="E94" s="372">
        <f t="shared" si="4"/>
        <v>1637000</v>
      </c>
      <c r="F94" s="155"/>
      <c r="H94" s="160"/>
      <c r="I94" s="386"/>
    </row>
    <row r="95" spans="2:9" ht="15">
      <c r="B95" s="407" t="s">
        <v>1233</v>
      </c>
      <c r="C95" s="392" t="s">
        <v>2004</v>
      </c>
      <c r="D95" s="390"/>
      <c r="E95" s="390"/>
      <c r="F95" s="408"/>
      <c r="H95" s="160"/>
      <c r="I95" s="386"/>
    </row>
    <row r="96" spans="2:9">
      <c r="B96" s="361">
        <v>1</v>
      </c>
      <c r="C96" s="375" t="s">
        <v>1349</v>
      </c>
      <c r="D96" s="333" t="s">
        <v>66</v>
      </c>
      <c r="E96" s="372">
        <f t="shared" ref="E96:E127" si="5">VLOOKUP(C96,beton,7,FALSE)</f>
        <v>18400</v>
      </c>
      <c r="F96" s="155"/>
      <c r="H96" s="160"/>
      <c r="I96" s="386"/>
    </row>
    <row r="97" spans="2:9">
      <c r="B97" s="361">
        <v>2</v>
      </c>
      <c r="C97" s="375" t="s">
        <v>1350</v>
      </c>
      <c r="D97" s="333" t="s">
        <v>66</v>
      </c>
      <c r="E97" s="372">
        <f t="shared" si="5"/>
        <v>16800</v>
      </c>
      <c r="F97" s="155"/>
      <c r="H97" s="160"/>
      <c r="I97" s="386"/>
    </row>
    <row r="98" spans="2:9" ht="13.9" customHeight="1">
      <c r="B98" s="361">
        <v>3</v>
      </c>
      <c r="C98" s="375" t="s">
        <v>1351</v>
      </c>
      <c r="D98" s="333" t="s">
        <v>66</v>
      </c>
      <c r="E98" s="372">
        <f t="shared" si="5"/>
        <v>17000</v>
      </c>
      <c r="F98" s="155"/>
      <c r="H98" s="160"/>
      <c r="I98" s="386"/>
    </row>
    <row r="99" spans="2:9" ht="13.9" customHeight="1">
      <c r="B99" s="361">
        <v>4</v>
      </c>
      <c r="C99" s="375" t="s">
        <v>1352</v>
      </c>
      <c r="D99" s="333" t="s">
        <v>66</v>
      </c>
      <c r="E99" s="372">
        <f t="shared" si="5"/>
        <v>89600</v>
      </c>
      <c r="F99" s="155"/>
      <c r="H99" s="160"/>
      <c r="I99" s="386"/>
    </row>
    <row r="100" spans="2:9">
      <c r="B100" s="361">
        <v>5</v>
      </c>
      <c r="C100" s="375" t="s">
        <v>1353</v>
      </c>
      <c r="D100" s="333" t="s">
        <v>66</v>
      </c>
      <c r="E100" s="372">
        <f t="shared" si="5"/>
        <v>13700</v>
      </c>
      <c r="F100" s="155"/>
      <c r="H100" s="160"/>
      <c r="I100" s="386"/>
    </row>
    <row r="101" spans="2:9" ht="16.899999999999999" customHeight="1">
      <c r="B101" s="361">
        <v>6</v>
      </c>
      <c r="C101" s="375" t="s">
        <v>1354</v>
      </c>
      <c r="D101" s="333" t="s">
        <v>66</v>
      </c>
      <c r="E101" s="372">
        <f t="shared" si="5"/>
        <v>13200</v>
      </c>
      <c r="F101" s="155"/>
      <c r="H101" s="160"/>
      <c r="I101" s="386"/>
    </row>
    <row r="102" spans="2:9">
      <c r="B102" s="361">
        <v>7</v>
      </c>
      <c r="C102" s="375" t="s">
        <v>1355</v>
      </c>
      <c r="D102" s="333" t="s">
        <v>66</v>
      </c>
      <c r="E102" s="372">
        <f t="shared" si="5"/>
        <v>56</v>
      </c>
      <c r="F102" s="155"/>
      <c r="H102" s="160"/>
      <c r="I102" s="386"/>
    </row>
    <row r="103" spans="2:9">
      <c r="B103" s="361">
        <v>8</v>
      </c>
      <c r="C103" s="375" t="s">
        <v>1356</v>
      </c>
      <c r="D103" s="333" t="s">
        <v>66</v>
      </c>
      <c r="E103" s="372">
        <f t="shared" si="5"/>
        <v>26</v>
      </c>
      <c r="F103" s="155"/>
      <c r="H103" s="160"/>
      <c r="I103" s="386"/>
    </row>
    <row r="104" spans="2:9">
      <c r="B104" s="361">
        <v>9</v>
      </c>
      <c r="C104" s="376" t="s">
        <v>1357</v>
      </c>
      <c r="D104" s="333" t="s">
        <v>66</v>
      </c>
      <c r="E104" s="372">
        <f t="shared" si="5"/>
        <v>1200</v>
      </c>
      <c r="F104" s="155"/>
      <c r="H104" s="160"/>
      <c r="I104" s="386"/>
    </row>
    <row r="105" spans="2:9">
      <c r="B105" s="361">
        <v>10</v>
      </c>
      <c r="C105" s="375" t="s">
        <v>1358</v>
      </c>
      <c r="D105" s="333" t="s">
        <v>114</v>
      </c>
      <c r="E105" s="372">
        <f t="shared" si="5"/>
        <v>98600</v>
      </c>
      <c r="F105" s="155"/>
      <c r="H105" s="160"/>
      <c r="I105" s="386"/>
    </row>
    <row r="106" spans="2:9">
      <c r="B106" s="361">
        <v>11</v>
      </c>
      <c r="C106" s="375" t="s">
        <v>1359</v>
      </c>
      <c r="D106" s="333" t="s">
        <v>114</v>
      </c>
      <c r="E106" s="372">
        <f t="shared" si="5"/>
        <v>122600</v>
      </c>
      <c r="F106" s="155"/>
      <c r="H106" s="160"/>
      <c r="I106" s="386"/>
    </row>
    <row r="107" spans="2:9">
      <c r="B107" s="361">
        <v>12</v>
      </c>
      <c r="C107" s="375" t="s">
        <v>1360</v>
      </c>
      <c r="D107" s="333" t="s">
        <v>114</v>
      </c>
      <c r="E107" s="372">
        <f t="shared" si="5"/>
        <v>174400</v>
      </c>
      <c r="F107" s="155"/>
      <c r="H107" s="160"/>
      <c r="I107" s="386"/>
    </row>
    <row r="108" spans="2:9">
      <c r="B108" s="361">
        <v>13</v>
      </c>
      <c r="C108" s="375" t="s">
        <v>1361</v>
      </c>
      <c r="D108" s="333" t="s">
        <v>63</v>
      </c>
      <c r="E108" s="372">
        <f t="shared" si="5"/>
        <v>253300</v>
      </c>
      <c r="F108" s="155"/>
      <c r="H108" s="160"/>
      <c r="I108" s="386"/>
    </row>
    <row r="109" spans="2:9">
      <c r="B109" s="361">
        <v>14</v>
      </c>
      <c r="C109" s="375" t="s">
        <v>1362</v>
      </c>
      <c r="D109" s="333" t="s">
        <v>63</v>
      </c>
      <c r="E109" s="372">
        <f t="shared" si="5"/>
        <v>134300</v>
      </c>
      <c r="F109" s="155"/>
      <c r="H109" s="160"/>
      <c r="I109" s="386"/>
    </row>
    <row r="110" spans="2:9">
      <c r="B110" s="361">
        <v>15</v>
      </c>
      <c r="C110" s="375" t="s">
        <v>1363</v>
      </c>
      <c r="D110" s="333" t="s">
        <v>63</v>
      </c>
      <c r="E110" s="372">
        <f t="shared" si="5"/>
        <v>270900</v>
      </c>
      <c r="F110" s="155"/>
      <c r="H110" s="160"/>
      <c r="I110" s="386"/>
    </row>
    <row r="111" spans="2:9">
      <c r="B111" s="361">
        <v>16</v>
      </c>
      <c r="C111" s="375" t="s">
        <v>1364</v>
      </c>
      <c r="D111" s="333" t="s">
        <v>63</v>
      </c>
      <c r="E111" s="372">
        <f t="shared" si="5"/>
        <v>233000</v>
      </c>
      <c r="F111" s="155"/>
      <c r="H111" s="160"/>
      <c r="I111" s="386"/>
    </row>
    <row r="112" spans="2:9">
      <c r="B112" s="361">
        <v>17</v>
      </c>
      <c r="C112" s="375" t="s">
        <v>1365</v>
      </c>
      <c r="D112" s="333" t="s">
        <v>63</v>
      </c>
      <c r="E112" s="372">
        <f t="shared" si="5"/>
        <v>245200</v>
      </c>
      <c r="F112" s="155"/>
      <c r="H112" s="160"/>
      <c r="I112" s="386"/>
    </row>
    <row r="113" spans="2:9">
      <c r="B113" s="361">
        <v>18</v>
      </c>
      <c r="C113" s="375" t="s">
        <v>1366</v>
      </c>
      <c r="D113" s="333" t="s">
        <v>63</v>
      </c>
      <c r="E113" s="372">
        <f t="shared" si="5"/>
        <v>239700</v>
      </c>
      <c r="F113" s="155"/>
      <c r="H113" s="160"/>
      <c r="I113" s="386"/>
    </row>
    <row r="114" spans="2:9">
      <c r="B114" s="361">
        <v>19</v>
      </c>
      <c r="C114" s="376" t="s">
        <v>1367</v>
      </c>
      <c r="D114" s="333" t="s">
        <v>63</v>
      </c>
      <c r="E114" s="372">
        <f t="shared" si="5"/>
        <v>270500</v>
      </c>
      <c r="F114" s="409"/>
      <c r="H114" s="160"/>
      <c r="I114" s="386"/>
    </row>
    <row r="115" spans="2:9">
      <c r="B115" s="361">
        <v>20</v>
      </c>
      <c r="C115" s="376" t="s">
        <v>1368</v>
      </c>
      <c r="D115" s="333" t="s">
        <v>63</v>
      </c>
      <c r="E115" s="372">
        <f t="shared" si="5"/>
        <v>236200</v>
      </c>
      <c r="F115" s="409"/>
      <c r="H115" s="160"/>
      <c r="I115" s="386"/>
    </row>
    <row r="116" spans="2:9">
      <c r="B116" s="361">
        <v>21</v>
      </c>
      <c r="C116" s="376" t="s">
        <v>1369</v>
      </c>
      <c r="D116" s="333" t="s">
        <v>63</v>
      </c>
      <c r="E116" s="372">
        <f t="shared" si="5"/>
        <v>132900</v>
      </c>
      <c r="F116" s="409"/>
      <c r="H116" s="160"/>
      <c r="I116" s="386"/>
    </row>
    <row r="117" spans="2:9">
      <c r="B117" s="361">
        <v>22</v>
      </c>
      <c r="C117" s="376" t="s">
        <v>1370</v>
      </c>
      <c r="D117" s="333" t="s">
        <v>63</v>
      </c>
      <c r="E117" s="372">
        <f t="shared" si="5"/>
        <v>5000</v>
      </c>
      <c r="F117" s="409"/>
      <c r="H117" s="160"/>
      <c r="I117" s="386"/>
    </row>
    <row r="118" spans="2:9">
      <c r="B118" s="361">
        <v>23</v>
      </c>
      <c r="C118" s="376" t="s">
        <v>1371</v>
      </c>
      <c r="D118" s="333" t="s">
        <v>63</v>
      </c>
      <c r="E118" s="372">
        <f t="shared" si="5"/>
        <v>7500</v>
      </c>
      <c r="F118" s="409"/>
      <c r="H118" s="160"/>
      <c r="I118" s="386"/>
    </row>
    <row r="119" spans="2:9">
      <c r="B119" s="361">
        <v>24</v>
      </c>
      <c r="C119" s="376" t="s">
        <v>1372</v>
      </c>
      <c r="D119" s="362" t="s">
        <v>42</v>
      </c>
      <c r="E119" s="372">
        <f t="shared" si="5"/>
        <v>926600</v>
      </c>
      <c r="F119" s="409"/>
      <c r="H119" s="160"/>
      <c r="I119" s="386"/>
    </row>
    <row r="120" spans="2:9">
      <c r="B120" s="361">
        <v>25</v>
      </c>
      <c r="C120" s="376" t="s">
        <v>1374</v>
      </c>
      <c r="D120" s="362" t="s">
        <v>42</v>
      </c>
      <c r="E120" s="372">
        <f t="shared" si="5"/>
        <v>1234700</v>
      </c>
      <c r="F120" s="409"/>
      <c r="H120" s="160"/>
      <c r="I120" s="386"/>
    </row>
    <row r="121" spans="2:9">
      <c r="B121" s="361">
        <v>26</v>
      </c>
      <c r="C121" s="376" t="s">
        <v>1375</v>
      </c>
      <c r="D121" s="362" t="s">
        <v>42</v>
      </c>
      <c r="E121" s="372">
        <f t="shared" si="5"/>
        <v>1277600</v>
      </c>
      <c r="F121" s="409"/>
      <c r="H121" s="160"/>
      <c r="I121" s="386"/>
    </row>
    <row r="122" spans="2:9">
      <c r="B122" s="361">
        <v>27</v>
      </c>
      <c r="C122" s="376" t="s">
        <v>1376</v>
      </c>
      <c r="D122" s="362" t="s">
        <v>42</v>
      </c>
      <c r="E122" s="372">
        <f t="shared" si="5"/>
        <v>1295500</v>
      </c>
      <c r="F122" s="409"/>
      <c r="H122" s="160"/>
      <c r="I122" s="386"/>
    </row>
    <row r="123" spans="2:9">
      <c r="B123" s="361">
        <v>28</v>
      </c>
      <c r="C123" s="376" t="s">
        <v>1377</v>
      </c>
      <c r="D123" s="362" t="s">
        <v>42</v>
      </c>
      <c r="E123" s="372">
        <f t="shared" si="5"/>
        <v>1323800</v>
      </c>
      <c r="F123" s="409"/>
      <c r="H123" s="160"/>
      <c r="I123" s="386"/>
    </row>
    <row r="124" spans="2:9">
      <c r="B124" s="361">
        <v>29</v>
      </c>
      <c r="C124" s="376" t="s">
        <v>1378</v>
      </c>
      <c r="D124" s="362" t="s">
        <v>42</v>
      </c>
      <c r="E124" s="372">
        <f t="shared" si="5"/>
        <v>1345800</v>
      </c>
      <c r="F124" s="409"/>
      <c r="H124" s="160"/>
      <c r="I124" s="386"/>
    </row>
    <row r="125" spans="2:9">
      <c r="B125" s="361">
        <v>30</v>
      </c>
      <c r="C125" s="376" t="s">
        <v>1379</v>
      </c>
      <c r="D125" s="362" t="s">
        <v>42</v>
      </c>
      <c r="E125" s="372">
        <f t="shared" si="5"/>
        <v>1221900</v>
      </c>
      <c r="F125" s="409"/>
      <c r="H125" s="160"/>
      <c r="I125" s="386"/>
    </row>
    <row r="126" spans="2:9">
      <c r="B126" s="361">
        <v>31</v>
      </c>
      <c r="C126" s="376" t="s">
        <v>1380</v>
      </c>
      <c r="D126" s="362" t="s">
        <v>42</v>
      </c>
      <c r="E126" s="372">
        <f t="shared" si="5"/>
        <v>1264800</v>
      </c>
      <c r="F126" s="409"/>
      <c r="H126" s="160"/>
      <c r="I126" s="386"/>
    </row>
    <row r="127" spans="2:9">
      <c r="B127" s="361">
        <v>32</v>
      </c>
      <c r="C127" s="376" t="s">
        <v>1381</v>
      </c>
      <c r="D127" s="362" t="s">
        <v>42</v>
      </c>
      <c r="E127" s="372">
        <f t="shared" si="5"/>
        <v>1282700</v>
      </c>
      <c r="F127" s="409"/>
      <c r="H127" s="160"/>
      <c r="I127" s="386"/>
    </row>
    <row r="128" spans="2:9">
      <c r="B128" s="361">
        <v>33</v>
      </c>
      <c r="C128" s="376" t="s">
        <v>1382</v>
      </c>
      <c r="D128" s="362" t="s">
        <v>42</v>
      </c>
      <c r="E128" s="372">
        <f t="shared" ref="E128:E151" si="6">VLOOKUP(C128,beton,7,FALSE)</f>
        <v>1311000</v>
      </c>
      <c r="F128" s="409"/>
      <c r="H128" s="160"/>
      <c r="I128" s="386"/>
    </row>
    <row r="129" spans="2:9">
      <c r="B129" s="361">
        <v>34</v>
      </c>
      <c r="C129" s="376" t="s">
        <v>1383</v>
      </c>
      <c r="D129" s="362" t="s">
        <v>42</v>
      </c>
      <c r="E129" s="372">
        <f t="shared" si="6"/>
        <v>1333000</v>
      </c>
      <c r="F129" s="409"/>
      <c r="H129" s="160"/>
      <c r="I129" s="386"/>
    </row>
    <row r="130" spans="2:9">
      <c r="B130" s="361">
        <v>35</v>
      </c>
      <c r="C130" s="376" t="s">
        <v>1384</v>
      </c>
      <c r="D130" s="362" t="s">
        <v>42</v>
      </c>
      <c r="E130" s="372">
        <f t="shared" si="6"/>
        <v>1375900</v>
      </c>
      <c r="F130" s="409"/>
      <c r="H130" s="160"/>
      <c r="I130" s="386"/>
    </row>
    <row r="131" spans="2:9">
      <c r="B131" s="361">
        <v>36</v>
      </c>
      <c r="C131" s="376" t="s">
        <v>1385</v>
      </c>
      <c r="D131" s="362" t="s">
        <v>42</v>
      </c>
      <c r="E131" s="372">
        <f t="shared" si="6"/>
        <v>1408900</v>
      </c>
      <c r="F131" s="409"/>
      <c r="H131" s="160"/>
      <c r="I131" s="386"/>
    </row>
    <row r="132" spans="2:9">
      <c r="B132" s="361">
        <v>37</v>
      </c>
      <c r="C132" s="376" t="s">
        <v>1386</v>
      </c>
      <c r="D132" s="362" t="s">
        <v>42</v>
      </c>
      <c r="E132" s="372">
        <f t="shared" si="6"/>
        <v>1430900</v>
      </c>
      <c r="F132" s="409"/>
      <c r="H132" s="160"/>
      <c r="I132" s="386"/>
    </row>
    <row r="133" spans="2:9">
      <c r="B133" s="361">
        <v>38</v>
      </c>
      <c r="C133" s="376" t="s">
        <v>1387</v>
      </c>
      <c r="D133" s="362" t="s">
        <v>42</v>
      </c>
      <c r="E133" s="372">
        <f t="shared" si="6"/>
        <v>1443300</v>
      </c>
      <c r="F133" s="409"/>
      <c r="H133" s="160"/>
      <c r="I133" s="386"/>
    </row>
    <row r="134" spans="2:9">
      <c r="B134" s="361">
        <v>39</v>
      </c>
      <c r="C134" s="376" t="s">
        <v>1388</v>
      </c>
      <c r="D134" s="362" t="s">
        <v>42</v>
      </c>
      <c r="E134" s="372">
        <f t="shared" si="6"/>
        <v>1411000</v>
      </c>
      <c r="F134" s="409"/>
      <c r="H134" s="160"/>
      <c r="I134" s="386"/>
    </row>
    <row r="135" spans="2:9">
      <c r="B135" s="361">
        <v>40</v>
      </c>
      <c r="C135" s="376" t="s">
        <v>1389</v>
      </c>
      <c r="D135" s="362" t="s">
        <v>42</v>
      </c>
      <c r="E135" s="372">
        <f t="shared" si="6"/>
        <v>1496200</v>
      </c>
      <c r="F135" s="409"/>
      <c r="H135" s="160"/>
      <c r="I135" s="386"/>
    </row>
    <row r="136" spans="2:9">
      <c r="B136" s="361">
        <v>41</v>
      </c>
      <c r="C136" s="376" t="s">
        <v>1390</v>
      </c>
      <c r="D136" s="362" t="s">
        <v>42</v>
      </c>
      <c r="E136" s="372">
        <f t="shared" si="6"/>
        <v>1119400</v>
      </c>
      <c r="F136" s="409"/>
      <c r="H136" s="160"/>
      <c r="I136" s="386"/>
    </row>
    <row r="137" spans="2:9">
      <c r="B137" s="361">
        <v>42</v>
      </c>
      <c r="C137" s="376" t="s">
        <v>1391</v>
      </c>
      <c r="D137" s="362" t="s">
        <v>42</v>
      </c>
      <c r="E137" s="372">
        <f t="shared" si="6"/>
        <v>63400</v>
      </c>
      <c r="F137" s="409"/>
      <c r="H137" s="160"/>
      <c r="I137" s="386"/>
    </row>
    <row r="138" spans="2:9">
      <c r="B138" s="361">
        <v>43</v>
      </c>
      <c r="C138" s="376" t="s">
        <v>1392</v>
      </c>
      <c r="D138" s="362" t="s">
        <v>42</v>
      </c>
      <c r="E138" s="372">
        <f t="shared" si="6"/>
        <v>135100</v>
      </c>
      <c r="F138" s="409"/>
      <c r="H138" s="160"/>
      <c r="I138" s="386"/>
    </row>
    <row r="139" spans="2:9">
      <c r="B139" s="361">
        <v>44</v>
      </c>
      <c r="C139" s="376" t="s">
        <v>1393</v>
      </c>
      <c r="D139" s="362" t="s">
        <v>1091</v>
      </c>
      <c r="E139" s="372">
        <f t="shared" si="6"/>
        <v>941600</v>
      </c>
      <c r="F139" s="409"/>
      <c r="H139" s="160"/>
      <c r="I139" s="386"/>
    </row>
    <row r="140" spans="2:9">
      <c r="B140" s="361">
        <v>45</v>
      </c>
      <c r="C140" s="376" t="s">
        <v>1394</v>
      </c>
      <c r="D140" s="362" t="s">
        <v>1091</v>
      </c>
      <c r="E140" s="372" t="e">
        <f t="shared" si="6"/>
        <v>#VALUE!</v>
      </c>
      <c r="F140" s="409"/>
      <c r="H140" s="160"/>
      <c r="I140" s="386"/>
    </row>
    <row r="141" spans="2:9">
      <c r="B141" s="361">
        <v>46</v>
      </c>
      <c r="C141" s="376" t="s">
        <v>1396</v>
      </c>
      <c r="D141" s="362" t="s">
        <v>1091</v>
      </c>
      <c r="E141" s="372" t="e">
        <f t="shared" si="6"/>
        <v>#VALUE!</v>
      </c>
      <c r="F141" s="409"/>
      <c r="H141" s="160"/>
      <c r="I141" s="386"/>
    </row>
    <row r="142" spans="2:9">
      <c r="B142" s="361">
        <v>47</v>
      </c>
      <c r="C142" s="376" t="s">
        <v>1398</v>
      </c>
      <c r="D142" s="362" t="s">
        <v>1091</v>
      </c>
      <c r="E142" s="372">
        <f t="shared" si="6"/>
        <v>724100</v>
      </c>
      <c r="F142" s="409"/>
      <c r="H142" s="160"/>
      <c r="I142" s="386"/>
    </row>
    <row r="143" spans="2:9">
      <c r="B143" s="361">
        <v>48</v>
      </c>
      <c r="C143" s="376" t="s">
        <v>1399</v>
      </c>
      <c r="D143" s="362" t="s">
        <v>42</v>
      </c>
      <c r="E143" s="372">
        <f t="shared" si="6"/>
        <v>25100</v>
      </c>
      <c r="F143" s="409"/>
      <c r="H143" s="160"/>
      <c r="I143" s="386"/>
    </row>
    <row r="144" spans="2:9">
      <c r="B144" s="361">
        <v>49</v>
      </c>
      <c r="C144" s="376" t="s">
        <v>1400</v>
      </c>
      <c r="D144" s="362" t="s">
        <v>42</v>
      </c>
      <c r="E144" s="372">
        <f t="shared" si="6"/>
        <v>80400</v>
      </c>
      <c r="F144" s="409"/>
      <c r="H144" s="160"/>
      <c r="I144" s="386"/>
    </row>
    <row r="145" spans="2:9">
      <c r="B145" s="361">
        <v>50</v>
      </c>
      <c r="C145" s="376" t="s">
        <v>1401</v>
      </c>
      <c r="D145" s="333" t="s">
        <v>63</v>
      </c>
      <c r="E145" s="372">
        <f t="shared" si="6"/>
        <v>3600</v>
      </c>
      <c r="F145" s="409"/>
      <c r="H145" s="160"/>
      <c r="I145" s="386"/>
    </row>
    <row r="146" spans="2:9">
      <c r="B146" s="361">
        <v>51</v>
      </c>
      <c r="C146" s="376" t="s">
        <v>1402</v>
      </c>
      <c r="D146" s="333" t="s">
        <v>63</v>
      </c>
      <c r="E146" s="372">
        <f t="shared" si="6"/>
        <v>15800</v>
      </c>
      <c r="F146" s="409"/>
      <c r="H146" s="160"/>
      <c r="I146" s="386"/>
    </row>
    <row r="147" spans="2:9">
      <c r="B147" s="361">
        <v>52</v>
      </c>
      <c r="C147" s="376" t="s">
        <v>1403</v>
      </c>
      <c r="D147" s="333" t="s">
        <v>63</v>
      </c>
      <c r="E147" s="372">
        <f t="shared" si="6"/>
        <v>18600</v>
      </c>
      <c r="F147" s="409"/>
      <c r="H147" s="160"/>
      <c r="I147" s="386"/>
    </row>
    <row r="148" spans="2:9">
      <c r="B148" s="361">
        <v>53</v>
      </c>
      <c r="C148" s="376" t="s">
        <v>1404</v>
      </c>
      <c r="D148" s="362" t="s">
        <v>114</v>
      </c>
      <c r="E148" s="372">
        <f t="shared" si="6"/>
        <v>117700</v>
      </c>
      <c r="F148" s="409"/>
      <c r="H148" s="160"/>
      <c r="I148" s="386"/>
    </row>
    <row r="149" spans="2:9">
      <c r="B149" s="361">
        <v>54</v>
      </c>
      <c r="C149" s="376" t="s">
        <v>1405</v>
      </c>
      <c r="D149" s="362" t="s">
        <v>114</v>
      </c>
      <c r="E149" s="372">
        <f t="shared" si="6"/>
        <v>158100</v>
      </c>
      <c r="F149" s="409"/>
      <c r="H149" s="160"/>
      <c r="I149" s="386"/>
    </row>
    <row r="150" spans="2:9">
      <c r="B150" s="361">
        <v>55</v>
      </c>
      <c r="C150" s="375" t="s">
        <v>1406</v>
      </c>
      <c r="D150" s="362" t="s">
        <v>42</v>
      </c>
      <c r="E150" s="372">
        <f t="shared" si="6"/>
        <v>13025900</v>
      </c>
      <c r="F150" s="155"/>
      <c r="H150" s="160"/>
      <c r="I150" s="386"/>
    </row>
    <row r="151" spans="2:9">
      <c r="B151" s="361">
        <v>56</v>
      </c>
      <c r="C151" s="375" t="s">
        <v>1407</v>
      </c>
      <c r="D151" s="333" t="s">
        <v>66</v>
      </c>
      <c r="E151" s="372">
        <f t="shared" si="6"/>
        <v>285400</v>
      </c>
      <c r="F151" s="155"/>
      <c r="H151" s="160"/>
      <c r="I151" s="386"/>
    </row>
    <row r="152" spans="2:9" ht="15">
      <c r="B152" s="410" t="s">
        <v>2028</v>
      </c>
      <c r="C152" s="392" t="s">
        <v>2029</v>
      </c>
      <c r="D152" s="387"/>
      <c r="E152" s="391"/>
      <c r="F152" s="403"/>
      <c r="H152" s="160"/>
      <c r="I152" s="386"/>
    </row>
    <row r="153" spans="2:9">
      <c r="B153" s="361">
        <v>1</v>
      </c>
      <c r="C153" s="377" t="s">
        <v>1411</v>
      </c>
      <c r="D153" s="333" t="s">
        <v>63</v>
      </c>
      <c r="E153" s="372">
        <f t="shared" ref="E153:E160" si="7">VLOOKUP(C153,rangkaatap,7,FALSE)</f>
        <v>295200</v>
      </c>
      <c r="F153" s="155"/>
      <c r="H153" s="160"/>
      <c r="I153" s="386"/>
    </row>
    <row r="154" spans="2:9">
      <c r="B154" s="361">
        <v>2</v>
      </c>
      <c r="C154" s="377" t="s">
        <v>1412</v>
      </c>
      <c r="D154" s="333" t="s">
        <v>63</v>
      </c>
      <c r="E154" s="372">
        <f t="shared" si="7"/>
        <v>303000</v>
      </c>
      <c r="F154" s="155"/>
      <c r="H154" s="160"/>
      <c r="I154" s="386"/>
    </row>
    <row r="155" spans="2:9">
      <c r="B155" s="361">
        <v>3</v>
      </c>
      <c r="C155" s="377" t="s">
        <v>1413</v>
      </c>
      <c r="D155" s="333" t="s">
        <v>42</v>
      </c>
      <c r="E155" s="372">
        <f t="shared" si="7"/>
        <v>17322200</v>
      </c>
      <c r="F155" s="155"/>
      <c r="H155" s="160"/>
      <c r="I155" s="386"/>
    </row>
    <row r="156" spans="2:9">
      <c r="B156" s="361">
        <v>4</v>
      </c>
      <c r="C156" s="377" t="s">
        <v>1414</v>
      </c>
      <c r="D156" s="333" t="s">
        <v>42</v>
      </c>
      <c r="E156" s="372">
        <f t="shared" si="7"/>
        <v>37628400</v>
      </c>
      <c r="F156" s="155"/>
      <c r="H156" s="160"/>
      <c r="I156" s="386"/>
    </row>
    <row r="157" spans="2:9">
      <c r="B157" s="361">
        <v>5</v>
      </c>
      <c r="C157" s="377" t="s">
        <v>1415</v>
      </c>
      <c r="D157" s="333" t="s">
        <v>42</v>
      </c>
      <c r="E157" s="372">
        <f t="shared" si="7"/>
        <v>16218700</v>
      </c>
      <c r="F157" s="155"/>
      <c r="H157" s="160"/>
      <c r="I157" s="386"/>
    </row>
    <row r="158" spans="2:9">
      <c r="B158" s="361">
        <v>6</v>
      </c>
      <c r="C158" s="377" t="s">
        <v>1416</v>
      </c>
      <c r="D158" s="333" t="s">
        <v>63</v>
      </c>
      <c r="E158" s="372">
        <f t="shared" si="7"/>
        <v>226300</v>
      </c>
      <c r="F158" s="155"/>
      <c r="H158" s="160"/>
      <c r="I158" s="386"/>
    </row>
    <row r="159" spans="2:9">
      <c r="B159" s="361">
        <v>7</v>
      </c>
      <c r="C159" s="377" t="s">
        <v>1417</v>
      </c>
      <c r="D159" s="333" t="s">
        <v>63</v>
      </c>
      <c r="E159" s="372">
        <f t="shared" si="7"/>
        <v>249900</v>
      </c>
      <c r="F159" s="155"/>
      <c r="H159" s="160"/>
      <c r="I159" s="386"/>
    </row>
    <row r="160" spans="2:9">
      <c r="B160" s="361">
        <v>8</v>
      </c>
      <c r="C160" s="377" t="s">
        <v>1418</v>
      </c>
      <c r="D160" s="333" t="s">
        <v>63</v>
      </c>
      <c r="E160" s="372">
        <f t="shared" si="7"/>
        <v>114200</v>
      </c>
      <c r="F160" s="155"/>
      <c r="H160" s="160"/>
      <c r="I160" s="386"/>
    </row>
    <row r="161" spans="2:9" ht="15">
      <c r="B161" s="402" t="s">
        <v>2030</v>
      </c>
      <c r="C161" s="388" t="s">
        <v>2031</v>
      </c>
      <c r="D161" s="389"/>
      <c r="E161" s="390"/>
      <c r="F161" s="403"/>
      <c r="H161" s="160"/>
      <c r="I161" s="386"/>
    </row>
    <row r="162" spans="2:9">
      <c r="B162" s="201">
        <v>1</v>
      </c>
      <c r="C162" s="78" t="s">
        <v>1420</v>
      </c>
      <c r="D162" s="69" t="s">
        <v>63</v>
      </c>
      <c r="E162" s="372">
        <f t="shared" ref="E162:E186" si="8">VLOOKUP(C162,pasangdinding,7,FALSE)</f>
        <v>277400</v>
      </c>
      <c r="F162" s="411"/>
      <c r="H162" s="160"/>
      <c r="I162" s="386"/>
    </row>
    <row r="163" spans="2:9">
      <c r="B163" s="201">
        <v>2</v>
      </c>
      <c r="C163" s="78" t="s">
        <v>1422</v>
      </c>
      <c r="D163" s="69" t="s">
        <v>63</v>
      </c>
      <c r="E163" s="372">
        <f t="shared" si="8"/>
        <v>262700</v>
      </c>
      <c r="F163" s="411"/>
      <c r="H163" s="160"/>
      <c r="I163" s="386"/>
    </row>
    <row r="164" spans="2:9">
      <c r="B164" s="201">
        <v>3</v>
      </c>
      <c r="C164" s="78" t="s">
        <v>1423</v>
      </c>
      <c r="D164" s="69" t="s">
        <v>63</v>
      </c>
      <c r="E164" s="372">
        <f t="shared" si="8"/>
        <v>257100</v>
      </c>
      <c r="F164" s="411"/>
      <c r="H164" s="160"/>
      <c r="I164" s="386"/>
    </row>
    <row r="165" spans="2:9">
      <c r="B165" s="201">
        <v>4</v>
      </c>
      <c r="C165" s="78" t="s">
        <v>1424</v>
      </c>
      <c r="D165" s="69" t="s">
        <v>63</v>
      </c>
      <c r="E165" s="372">
        <f t="shared" si="8"/>
        <v>253600</v>
      </c>
      <c r="F165" s="411"/>
      <c r="H165" s="160"/>
      <c r="I165" s="386"/>
    </row>
    <row r="166" spans="2:9">
      <c r="B166" s="201">
        <v>5</v>
      </c>
      <c r="C166" s="373" t="s">
        <v>1425</v>
      </c>
      <c r="D166" s="69" t="s">
        <v>63</v>
      </c>
      <c r="E166" s="372">
        <f t="shared" si="8"/>
        <v>280000</v>
      </c>
      <c r="F166" s="411"/>
      <c r="H166" s="160"/>
      <c r="I166" s="386"/>
    </row>
    <row r="167" spans="2:9">
      <c r="B167" s="201">
        <v>6</v>
      </c>
      <c r="C167" s="373" t="s">
        <v>1426</v>
      </c>
      <c r="D167" s="69" t="s">
        <v>63</v>
      </c>
      <c r="E167" s="372">
        <f t="shared" si="8"/>
        <v>134000</v>
      </c>
      <c r="F167" s="411"/>
      <c r="H167" s="160"/>
      <c r="I167" s="386"/>
    </row>
    <row r="168" spans="2:9">
      <c r="B168" s="201">
        <v>7</v>
      </c>
      <c r="C168" s="373" t="s">
        <v>1427</v>
      </c>
      <c r="D168" s="69" t="s">
        <v>63</v>
      </c>
      <c r="E168" s="372">
        <f t="shared" si="8"/>
        <v>128100</v>
      </c>
      <c r="F168" s="411"/>
      <c r="H168" s="160"/>
      <c r="I168" s="386"/>
    </row>
    <row r="169" spans="2:9">
      <c r="B169" s="201">
        <v>8</v>
      </c>
      <c r="C169" s="373" t="s">
        <v>1428</v>
      </c>
      <c r="D169" s="69" t="s">
        <v>63</v>
      </c>
      <c r="E169" s="372">
        <f t="shared" si="8"/>
        <v>124900</v>
      </c>
      <c r="F169" s="411"/>
      <c r="H169" s="160"/>
      <c r="I169" s="386"/>
    </row>
    <row r="170" spans="2:9">
      <c r="B170" s="201">
        <v>9</v>
      </c>
      <c r="C170" s="373" t="s">
        <v>1429</v>
      </c>
      <c r="D170" s="69" t="s">
        <v>63</v>
      </c>
      <c r="E170" s="372">
        <f t="shared" si="8"/>
        <v>122900</v>
      </c>
      <c r="F170" s="411"/>
      <c r="H170" s="160"/>
      <c r="I170" s="386"/>
    </row>
    <row r="171" spans="2:9">
      <c r="B171" s="201">
        <v>10</v>
      </c>
      <c r="C171" s="373" t="s">
        <v>1430</v>
      </c>
      <c r="D171" s="69" t="s">
        <v>63</v>
      </c>
      <c r="E171" s="372">
        <f t="shared" si="8"/>
        <v>122200</v>
      </c>
      <c r="F171" s="411"/>
      <c r="H171" s="160"/>
      <c r="I171" s="386"/>
    </row>
    <row r="172" spans="2:9">
      <c r="B172" s="201">
        <v>11</v>
      </c>
      <c r="C172" s="373" t="s">
        <v>1431</v>
      </c>
      <c r="D172" s="69" t="s">
        <v>63</v>
      </c>
      <c r="E172" s="372">
        <f t="shared" si="8"/>
        <v>342800</v>
      </c>
      <c r="F172" s="411"/>
      <c r="H172" s="160"/>
      <c r="I172" s="386"/>
    </row>
    <row r="173" spans="2:9">
      <c r="B173" s="201">
        <v>12</v>
      </c>
      <c r="C173" s="373" t="s">
        <v>1432</v>
      </c>
      <c r="D173" s="69" t="s">
        <v>63</v>
      </c>
      <c r="E173" s="372">
        <f t="shared" si="8"/>
        <v>340800</v>
      </c>
      <c r="F173" s="147"/>
      <c r="H173" s="160"/>
      <c r="I173" s="386"/>
    </row>
    <row r="174" spans="2:9">
      <c r="B174" s="201">
        <v>13</v>
      </c>
      <c r="C174" s="373" t="s">
        <v>1433</v>
      </c>
      <c r="D174" s="69" t="s">
        <v>63</v>
      </c>
      <c r="E174" s="372">
        <f t="shared" si="8"/>
        <v>299600</v>
      </c>
      <c r="F174" s="147"/>
      <c r="H174" s="160"/>
      <c r="I174" s="386"/>
    </row>
    <row r="175" spans="2:9">
      <c r="B175" s="201">
        <v>14</v>
      </c>
      <c r="C175" s="373" t="s">
        <v>1434</v>
      </c>
      <c r="D175" s="69" t="s">
        <v>63</v>
      </c>
      <c r="E175" s="372">
        <f t="shared" si="8"/>
        <v>290300</v>
      </c>
      <c r="F175" s="147"/>
      <c r="H175" s="160"/>
      <c r="I175" s="386"/>
    </row>
    <row r="176" spans="2:9">
      <c r="B176" s="201">
        <v>15</v>
      </c>
      <c r="C176" s="373" t="s">
        <v>1435</v>
      </c>
      <c r="D176" s="69" t="s">
        <v>63</v>
      </c>
      <c r="E176" s="372">
        <f t="shared" si="8"/>
        <v>285900</v>
      </c>
      <c r="F176" s="147"/>
      <c r="H176" s="160"/>
      <c r="I176" s="386"/>
    </row>
    <row r="177" spans="2:9">
      <c r="B177" s="201">
        <v>16</v>
      </c>
      <c r="C177" s="373" t="s">
        <v>1436</v>
      </c>
      <c r="D177" s="69" t="s">
        <v>63</v>
      </c>
      <c r="E177" s="372" t="e">
        <f t="shared" si="8"/>
        <v>#VALUE!</v>
      </c>
      <c r="F177" s="147"/>
      <c r="H177" s="160"/>
      <c r="I177" s="386"/>
    </row>
    <row r="178" spans="2:9">
      <c r="B178" s="201">
        <v>17</v>
      </c>
      <c r="C178" s="374" t="s">
        <v>1445</v>
      </c>
      <c r="D178" s="69" t="s">
        <v>63</v>
      </c>
      <c r="E178" s="372">
        <f t="shared" si="8"/>
        <v>668000</v>
      </c>
      <c r="F178" s="147"/>
      <c r="H178" s="160"/>
      <c r="I178" s="386"/>
    </row>
    <row r="179" spans="2:9">
      <c r="B179" s="201">
        <v>18</v>
      </c>
      <c r="C179" s="374" t="s">
        <v>1446</v>
      </c>
      <c r="D179" s="69" t="s">
        <v>63</v>
      </c>
      <c r="E179" s="372">
        <f t="shared" si="8"/>
        <v>668000</v>
      </c>
      <c r="F179" s="147"/>
      <c r="H179" s="160"/>
      <c r="I179" s="386"/>
    </row>
    <row r="180" spans="2:9">
      <c r="B180" s="201">
        <v>19</v>
      </c>
      <c r="C180" s="374" t="s">
        <v>1447</v>
      </c>
      <c r="D180" s="69" t="s">
        <v>63</v>
      </c>
      <c r="E180" s="372">
        <f t="shared" si="8"/>
        <v>691400</v>
      </c>
      <c r="F180" s="147"/>
      <c r="H180" s="160"/>
      <c r="I180" s="386"/>
    </row>
    <row r="181" spans="2:9">
      <c r="B181" s="201">
        <v>20</v>
      </c>
      <c r="C181" s="374" t="s">
        <v>1448</v>
      </c>
      <c r="D181" s="69" t="s">
        <v>63</v>
      </c>
      <c r="E181" s="372">
        <f t="shared" si="8"/>
        <v>142000</v>
      </c>
      <c r="F181" s="147"/>
      <c r="H181" s="160"/>
      <c r="I181" s="386"/>
    </row>
    <row r="182" spans="2:9">
      <c r="B182" s="201">
        <v>21</v>
      </c>
      <c r="C182" s="374" t="s">
        <v>1449</v>
      </c>
      <c r="D182" s="69" t="s">
        <v>63</v>
      </c>
      <c r="E182" s="372">
        <f t="shared" si="8"/>
        <v>120500</v>
      </c>
      <c r="F182" s="147"/>
      <c r="H182" s="160"/>
      <c r="I182" s="386"/>
    </row>
    <row r="183" spans="2:9">
      <c r="B183" s="201">
        <v>22</v>
      </c>
      <c r="C183" s="374" t="s">
        <v>1450</v>
      </c>
      <c r="D183" s="69" t="s">
        <v>63</v>
      </c>
      <c r="E183" s="372">
        <f t="shared" si="8"/>
        <v>146400</v>
      </c>
      <c r="F183" s="147"/>
      <c r="H183" s="160"/>
      <c r="I183" s="386"/>
    </row>
    <row r="184" spans="2:9">
      <c r="B184" s="201">
        <v>23</v>
      </c>
      <c r="C184" s="374" t="s">
        <v>1451</v>
      </c>
      <c r="D184" s="69" t="s">
        <v>63</v>
      </c>
      <c r="E184" s="372">
        <f t="shared" si="8"/>
        <v>256600</v>
      </c>
      <c r="F184" s="147"/>
      <c r="H184" s="160"/>
      <c r="I184" s="386"/>
    </row>
    <row r="185" spans="2:9">
      <c r="B185" s="201">
        <v>24</v>
      </c>
      <c r="C185" s="373" t="s">
        <v>1452</v>
      </c>
      <c r="D185" s="69" t="s">
        <v>63</v>
      </c>
      <c r="E185" s="372">
        <f t="shared" si="8"/>
        <v>154400</v>
      </c>
      <c r="F185" s="147"/>
      <c r="H185" s="160"/>
      <c r="I185" s="386"/>
    </row>
    <row r="186" spans="2:9">
      <c r="B186" s="201">
        <v>25</v>
      </c>
      <c r="C186" s="373" t="s">
        <v>1453</v>
      </c>
      <c r="D186" s="69" t="s">
        <v>63</v>
      </c>
      <c r="E186" s="372">
        <f t="shared" si="8"/>
        <v>358600</v>
      </c>
      <c r="F186" s="147"/>
      <c r="H186" s="160"/>
      <c r="I186" s="386"/>
    </row>
    <row r="187" spans="2:9" ht="15">
      <c r="B187" s="406" t="s">
        <v>2032</v>
      </c>
      <c r="C187" s="393" t="s">
        <v>2033</v>
      </c>
      <c r="D187" s="387"/>
      <c r="E187" s="391"/>
      <c r="F187" s="403"/>
      <c r="H187" s="160"/>
      <c r="I187" s="386"/>
    </row>
    <row r="188" spans="2:9">
      <c r="B188" s="201">
        <v>1</v>
      </c>
      <c r="C188" s="373" t="s">
        <v>1454</v>
      </c>
      <c r="D188" s="73" t="s">
        <v>63</v>
      </c>
      <c r="E188" s="372">
        <f t="shared" ref="E188:E219" si="9">VLOOKUP(C188,penutupatap,7,FALSE)</f>
        <v>107100</v>
      </c>
      <c r="F188" s="147"/>
      <c r="H188" s="160"/>
      <c r="I188" s="386"/>
    </row>
    <row r="189" spans="2:9">
      <c r="B189" s="201">
        <v>2</v>
      </c>
      <c r="C189" s="373" t="s">
        <v>1455</v>
      </c>
      <c r="D189" s="73" t="s">
        <v>63</v>
      </c>
      <c r="E189" s="372">
        <f t="shared" si="9"/>
        <v>189600</v>
      </c>
      <c r="F189" s="147"/>
      <c r="H189" s="160"/>
      <c r="I189" s="386"/>
    </row>
    <row r="190" spans="2:9">
      <c r="B190" s="201">
        <v>3</v>
      </c>
      <c r="C190" s="373" t="s">
        <v>1456</v>
      </c>
      <c r="D190" s="73" t="s">
        <v>63</v>
      </c>
      <c r="E190" s="372">
        <f t="shared" si="9"/>
        <v>100000</v>
      </c>
      <c r="F190" s="147"/>
      <c r="H190" s="160"/>
      <c r="I190" s="386"/>
    </row>
    <row r="191" spans="2:9">
      <c r="B191" s="201">
        <v>4</v>
      </c>
      <c r="C191" s="373" t="s">
        <v>1457</v>
      </c>
      <c r="D191" s="73" t="s">
        <v>63</v>
      </c>
      <c r="E191" s="372">
        <f t="shared" si="9"/>
        <v>123000</v>
      </c>
      <c r="F191" s="147"/>
      <c r="H191" s="160"/>
      <c r="I191" s="386"/>
    </row>
    <row r="192" spans="2:9">
      <c r="B192" s="201">
        <v>5</v>
      </c>
      <c r="C192" s="373" t="s">
        <v>1458</v>
      </c>
      <c r="D192" s="73" t="s">
        <v>114</v>
      </c>
      <c r="E192" s="372">
        <f t="shared" si="9"/>
        <v>160200</v>
      </c>
      <c r="F192" s="147"/>
      <c r="H192" s="160"/>
      <c r="I192" s="386"/>
    </row>
    <row r="193" spans="2:9">
      <c r="B193" s="201">
        <v>6</v>
      </c>
      <c r="C193" s="373" t="s">
        <v>1459</v>
      </c>
      <c r="D193" s="73" t="s">
        <v>114</v>
      </c>
      <c r="E193" s="372">
        <f t="shared" si="9"/>
        <v>148600</v>
      </c>
      <c r="F193" s="147"/>
      <c r="H193" s="160"/>
      <c r="I193" s="386"/>
    </row>
    <row r="194" spans="2:9">
      <c r="B194" s="201">
        <v>7</v>
      </c>
      <c r="C194" s="373" t="s">
        <v>1460</v>
      </c>
      <c r="D194" s="73" t="s">
        <v>114</v>
      </c>
      <c r="E194" s="372">
        <f t="shared" si="9"/>
        <v>148400</v>
      </c>
      <c r="F194" s="147"/>
      <c r="H194" s="160"/>
      <c r="I194" s="386"/>
    </row>
    <row r="195" spans="2:9">
      <c r="B195" s="201">
        <v>8</v>
      </c>
      <c r="C195" s="373" t="s">
        <v>1461</v>
      </c>
      <c r="D195" s="73" t="s">
        <v>114</v>
      </c>
      <c r="E195" s="372">
        <f t="shared" si="9"/>
        <v>151700</v>
      </c>
      <c r="F195" s="147"/>
      <c r="H195" s="160"/>
      <c r="I195" s="386"/>
    </row>
    <row r="196" spans="2:9">
      <c r="B196" s="201">
        <v>9</v>
      </c>
      <c r="C196" s="373" t="s">
        <v>1462</v>
      </c>
      <c r="D196" s="73" t="s">
        <v>63</v>
      </c>
      <c r="E196" s="372">
        <f t="shared" si="9"/>
        <v>93900</v>
      </c>
      <c r="F196" s="147"/>
      <c r="H196" s="160"/>
      <c r="I196" s="386"/>
    </row>
    <row r="197" spans="2:9">
      <c r="B197" s="201">
        <v>10</v>
      </c>
      <c r="C197" s="373" t="s">
        <v>1463</v>
      </c>
      <c r="D197" s="73" t="s">
        <v>63</v>
      </c>
      <c r="E197" s="372">
        <f t="shared" si="9"/>
        <v>100800</v>
      </c>
      <c r="F197" s="147"/>
      <c r="H197" s="160"/>
      <c r="I197" s="386"/>
    </row>
    <row r="198" spans="2:9">
      <c r="B198" s="201">
        <v>11</v>
      </c>
      <c r="C198" s="373" t="s">
        <v>1464</v>
      </c>
      <c r="D198" s="73" t="s">
        <v>63</v>
      </c>
      <c r="E198" s="372">
        <f t="shared" si="9"/>
        <v>92600</v>
      </c>
      <c r="F198" s="147"/>
      <c r="H198" s="160"/>
      <c r="I198" s="386"/>
    </row>
    <row r="199" spans="2:9">
      <c r="B199" s="201">
        <v>12</v>
      </c>
      <c r="C199" s="373" t="s">
        <v>1465</v>
      </c>
      <c r="D199" s="73" t="s">
        <v>63</v>
      </c>
      <c r="E199" s="372">
        <f t="shared" si="9"/>
        <v>101100</v>
      </c>
      <c r="F199" s="147"/>
      <c r="H199" s="160"/>
      <c r="I199" s="386"/>
    </row>
    <row r="200" spans="2:9">
      <c r="B200" s="201">
        <v>13</v>
      </c>
      <c r="C200" s="373" t="s">
        <v>1466</v>
      </c>
      <c r="D200" s="73" t="s">
        <v>63</v>
      </c>
      <c r="E200" s="372">
        <f t="shared" si="9"/>
        <v>71400</v>
      </c>
      <c r="F200" s="147"/>
      <c r="H200" s="160"/>
      <c r="I200" s="386"/>
    </row>
    <row r="201" spans="2:9">
      <c r="B201" s="201">
        <v>14</v>
      </c>
      <c r="C201" s="373" t="s">
        <v>1467</v>
      </c>
      <c r="D201" s="73" t="s">
        <v>63</v>
      </c>
      <c r="E201" s="372">
        <f t="shared" si="9"/>
        <v>82600</v>
      </c>
      <c r="F201" s="147"/>
      <c r="H201" s="160"/>
      <c r="I201" s="386"/>
    </row>
    <row r="202" spans="2:9">
      <c r="B202" s="201">
        <v>15</v>
      </c>
      <c r="C202" s="373" t="s">
        <v>1468</v>
      </c>
      <c r="D202" s="73" t="s">
        <v>63</v>
      </c>
      <c r="E202" s="372">
        <f t="shared" si="9"/>
        <v>93500</v>
      </c>
      <c r="F202" s="147"/>
      <c r="H202" s="160"/>
      <c r="I202" s="386"/>
    </row>
    <row r="203" spans="2:9">
      <c r="B203" s="201">
        <v>16</v>
      </c>
      <c r="C203" s="373" t="s">
        <v>1469</v>
      </c>
      <c r="D203" s="73" t="s">
        <v>63</v>
      </c>
      <c r="E203" s="372">
        <f t="shared" si="9"/>
        <v>100700</v>
      </c>
      <c r="F203" s="147"/>
      <c r="H203" s="160"/>
      <c r="I203" s="386"/>
    </row>
    <row r="204" spans="2:9">
      <c r="B204" s="201">
        <v>17</v>
      </c>
      <c r="C204" s="373" t="s">
        <v>1470</v>
      </c>
      <c r="D204" s="73" t="s">
        <v>63</v>
      </c>
      <c r="E204" s="372">
        <f t="shared" si="9"/>
        <v>136200</v>
      </c>
      <c r="F204" s="147"/>
      <c r="H204" s="160"/>
      <c r="I204" s="386"/>
    </row>
    <row r="205" spans="2:9">
      <c r="B205" s="201">
        <v>18</v>
      </c>
      <c r="C205" s="373" t="s">
        <v>1471</v>
      </c>
      <c r="D205" s="73" t="s">
        <v>63</v>
      </c>
      <c r="E205" s="372">
        <f t="shared" si="9"/>
        <v>83900</v>
      </c>
      <c r="F205" s="147"/>
      <c r="H205" s="160"/>
      <c r="I205" s="386"/>
    </row>
    <row r="206" spans="2:9">
      <c r="B206" s="201">
        <v>19</v>
      </c>
      <c r="C206" s="373" t="s">
        <v>1472</v>
      </c>
      <c r="D206" s="73" t="s">
        <v>63</v>
      </c>
      <c r="E206" s="372">
        <f t="shared" si="9"/>
        <v>78000</v>
      </c>
      <c r="F206" s="147"/>
      <c r="H206" s="160"/>
      <c r="I206" s="386"/>
    </row>
    <row r="207" spans="2:9">
      <c r="B207" s="201">
        <v>20</v>
      </c>
      <c r="C207" s="373" t="s">
        <v>1473</v>
      </c>
      <c r="D207" s="73" t="s">
        <v>63</v>
      </c>
      <c r="E207" s="372">
        <f t="shared" si="9"/>
        <v>81000</v>
      </c>
      <c r="F207" s="147"/>
      <c r="H207" s="160"/>
      <c r="I207" s="386"/>
    </row>
    <row r="208" spans="2:9">
      <c r="B208" s="201">
        <v>21</v>
      </c>
      <c r="C208" s="373" t="s">
        <v>1474</v>
      </c>
      <c r="D208" s="73" t="s">
        <v>63</v>
      </c>
      <c r="E208" s="372">
        <f t="shared" si="9"/>
        <v>80700</v>
      </c>
      <c r="F208" s="147"/>
      <c r="H208" s="160"/>
      <c r="I208" s="386"/>
    </row>
    <row r="209" spans="2:9">
      <c r="B209" s="201">
        <v>22</v>
      </c>
      <c r="C209" s="373" t="s">
        <v>1475</v>
      </c>
      <c r="D209" s="73" t="s">
        <v>63</v>
      </c>
      <c r="E209" s="372">
        <f t="shared" si="9"/>
        <v>88900</v>
      </c>
      <c r="F209" s="147"/>
      <c r="H209" s="160"/>
      <c r="I209" s="386"/>
    </row>
    <row r="210" spans="2:9">
      <c r="B210" s="201">
        <v>23</v>
      </c>
      <c r="C210" s="373" t="s">
        <v>1476</v>
      </c>
      <c r="D210" s="73" t="s">
        <v>114</v>
      </c>
      <c r="E210" s="372">
        <f t="shared" si="9"/>
        <v>388900</v>
      </c>
      <c r="F210" s="147"/>
      <c r="H210" s="160"/>
      <c r="I210" s="386"/>
    </row>
    <row r="211" spans="2:9">
      <c r="B211" s="201">
        <v>24</v>
      </c>
      <c r="C211" s="373" t="s">
        <v>1477</v>
      </c>
      <c r="D211" s="73" t="s">
        <v>114</v>
      </c>
      <c r="E211" s="372">
        <f t="shared" si="9"/>
        <v>392200</v>
      </c>
      <c r="F211" s="147"/>
      <c r="H211" s="160"/>
      <c r="I211" s="386"/>
    </row>
    <row r="212" spans="2:9">
      <c r="B212" s="201">
        <v>25</v>
      </c>
      <c r="C212" s="373" t="s">
        <v>1478</v>
      </c>
      <c r="D212" s="73" t="s">
        <v>114</v>
      </c>
      <c r="E212" s="372">
        <f t="shared" si="9"/>
        <v>406500</v>
      </c>
      <c r="F212" s="147"/>
      <c r="H212" s="160"/>
      <c r="I212" s="386"/>
    </row>
    <row r="213" spans="2:9">
      <c r="B213" s="201">
        <v>26</v>
      </c>
      <c r="C213" s="373" t="s">
        <v>1479</v>
      </c>
      <c r="D213" s="73" t="s">
        <v>114</v>
      </c>
      <c r="E213" s="372">
        <f t="shared" si="9"/>
        <v>309100</v>
      </c>
      <c r="F213" s="147"/>
      <c r="H213" s="160"/>
      <c r="I213" s="386"/>
    </row>
    <row r="214" spans="2:9">
      <c r="B214" s="201">
        <v>27</v>
      </c>
      <c r="C214" s="373" t="s">
        <v>1480</v>
      </c>
      <c r="D214" s="73" t="s">
        <v>114</v>
      </c>
      <c r="E214" s="372">
        <f t="shared" si="9"/>
        <v>322900</v>
      </c>
      <c r="F214" s="147"/>
      <c r="H214" s="160"/>
      <c r="I214" s="386"/>
    </row>
    <row r="215" spans="2:9">
      <c r="B215" s="201">
        <v>28</v>
      </c>
      <c r="C215" s="373" t="s">
        <v>1481</v>
      </c>
      <c r="D215" s="73" t="s">
        <v>114</v>
      </c>
      <c r="E215" s="372">
        <f t="shared" si="9"/>
        <v>329500</v>
      </c>
      <c r="F215" s="147"/>
      <c r="H215" s="160"/>
      <c r="I215" s="386"/>
    </row>
    <row r="216" spans="2:9">
      <c r="B216" s="201">
        <v>29</v>
      </c>
      <c r="C216" s="373" t="s">
        <v>1482</v>
      </c>
      <c r="D216" s="73" t="s">
        <v>114</v>
      </c>
      <c r="E216" s="372">
        <f t="shared" si="9"/>
        <v>321400</v>
      </c>
      <c r="F216" s="147"/>
      <c r="H216" s="160"/>
      <c r="I216" s="386"/>
    </row>
    <row r="217" spans="2:9">
      <c r="B217" s="201">
        <v>30</v>
      </c>
      <c r="C217" s="373" t="s">
        <v>1483</v>
      </c>
      <c r="D217" s="73" t="s">
        <v>114</v>
      </c>
      <c r="E217" s="372">
        <f t="shared" si="9"/>
        <v>321200</v>
      </c>
      <c r="F217" s="147"/>
      <c r="H217" s="160"/>
      <c r="I217" s="386"/>
    </row>
    <row r="218" spans="2:9">
      <c r="B218" s="201">
        <v>31</v>
      </c>
      <c r="C218" s="373" t="s">
        <v>1484</v>
      </c>
      <c r="D218" s="73" t="s">
        <v>114</v>
      </c>
      <c r="E218" s="372">
        <f t="shared" si="9"/>
        <v>327300</v>
      </c>
      <c r="F218" s="147"/>
      <c r="H218" s="160"/>
      <c r="I218" s="386"/>
    </row>
    <row r="219" spans="2:9">
      <c r="B219" s="201">
        <v>32</v>
      </c>
      <c r="C219" s="373" t="s">
        <v>1485</v>
      </c>
      <c r="D219" s="73" t="s">
        <v>63</v>
      </c>
      <c r="E219" s="372">
        <f t="shared" si="9"/>
        <v>88300</v>
      </c>
      <c r="F219" s="147"/>
      <c r="H219" s="160"/>
      <c r="I219" s="386"/>
    </row>
    <row r="220" spans="2:9">
      <c r="B220" s="201">
        <v>33</v>
      </c>
      <c r="C220" s="373" t="s">
        <v>1486</v>
      </c>
      <c r="D220" s="73" t="s">
        <v>63</v>
      </c>
      <c r="E220" s="372">
        <f t="shared" ref="E220:E242" si="10">VLOOKUP(C220,penutupatap,7,FALSE)</f>
        <v>301700</v>
      </c>
      <c r="F220" s="147"/>
      <c r="H220" s="160"/>
      <c r="I220" s="386"/>
    </row>
    <row r="221" spans="2:9">
      <c r="B221" s="201">
        <v>34</v>
      </c>
      <c r="C221" s="373" t="s">
        <v>1487</v>
      </c>
      <c r="D221" s="73" t="s">
        <v>63</v>
      </c>
      <c r="E221" s="372">
        <f t="shared" si="10"/>
        <v>231800</v>
      </c>
      <c r="F221" s="147"/>
      <c r="H221" s="160"/>
      <c r="I221" s="386"/>
    </row>
    <row r="222" spans="2:9">
      <c r="B222" s="201">
        <v>35</v>
      </c>
      <c r="C222" s="373" t="s">
        <v>1488</v>
      </c>
      <c r="D222" s="73" t="s">
        <v>63</v>
      </c>
      <c r="E222" s="372">
        <f t="shared" si="10"/>
        <v>111500</v>
      </c>
      <c r="F222" s="147"/>
      <c r="H222" s="160"/>
      <c r="I222" s="386"/>
    </row>
    <row r="223" spans="2:9">
      <c r="B223" s="201">
        <v>36</v>
      </c>
      <c r="C223" s="373" t="s">
        <v>1489</v>
      </c>
      <c r="D223" s="73" t="s">
        <v>63</v>
      </c>
      <c r="E223" s="372">
        <f t="shared" si="10"/>
        <v>274600</v>
      </c>
      <c r="F223" s="147"/>
      <c r="H223" s="160"/>
      <c r="I223" s="386"/>
    </row>
    <row r="224" spans="2:9">
      <c r="B224" s="201">
        <v>37</v>
      </c>
      <c r="C224" s="373" t="s">
        <v>1490</v>
      </c>
      <c r="D224" s="73" t="s">
        <v>63</v>
      </c>
      <c r="E224" s="372">
        <f t="shared" si="10"/>
        <v>295800</v>
      </c>
      <c r="F224" s="147"/>
      <c r="H224" s="160"/>
      <c r="I224" s="386"/>
    </row>
    <row r="225" spans="2:9">
      <c r="B225" s="201">
        <v>38</v>
      </c>
      <c r="C225" s="373" t="s">
        <v>1491</v>
      </c>
      <c r="D225" s="73" t="s">
        <v>63</v>
      </c>
      <c r="E225" s="372">
        <f t="shared" si="10"/>
        <v>228600</v>
      </c>
      <c r="F225" s="147"/>
      <c r="H225" s="160"/>
      <c r="I225" s="386"/>
    </row>
    <row r="226" spans="2:9">
      <c r="B226" s="201">
        <v>39</v>
      </c>
      <c r="C226" s="373" t="s">
        <v>1492</v>
      </c>
      <c r="D226" s="73" t="s">
        <v>63</v>
      </c>
      <c r="E226" s="372">
        <f t="shared" si="10"/>
        <v>161500</v>
      </c>
      <c r="F226" s="147"/>
      <c r="H226" s="160"/>
      <c r="I226" s="386"/>
    </row>
    <row r="227" spans="2:9">
      <c r="B227" s="201">
        <v>40</v>
      </c>
      <c r="C227" s="373" t="s">
        <v>1493</v>
      </c>
      <c r="D227" s="73" t="s">
        <v>63</v>
      </c>
      <c r="E227" s="372">
        <f t="shared" si="10"/>
        <v>778800</v>
      </c>
      <c r="F227" s="147"/>
      <c r="H227" s="160"/>
      <c r="I227" s="386"/>
    </row>
    <row r="228" spans="2:9">
      <c r="B228" s="201">
        <v>41</v>
      </c>
      <c r="C228" s="373" t="s">
        <v>1494</v>
      </c>
      <c r="D228" s="73" t="s">
        <v>114</v>
      </c>
      <c r="E228" s="372">
        <f t="shared" si="10"/>
        <v>53600</v>
      </c>
      <c r="F228" s="147"/>
      <c r="H228" s="160"/>
      <c r="I228" s="386"/>
    </row>
    <row r="229" spans="2:9">
      <c r="B229" s="201">
        <v>42</v>
      </c>
      <c r="C229" s="373" t="s">
        <v>1495</v>
      </c>
      <c r="D229" s="73" t="s">
        <v>114</v>
      </c>
      <c r="E229" s="372">
        <f t="shared" si="10"/>
        <v>281100</v>
      </c>
      <c r="F229" s="147"/>
      <c r="H229" s="160"/>
      <c r="I229" s="386"/>
    </row>
    <row r="230" spans="2:9">
      <c r="B230" s="201">
        <v>43</v>
      </c>
      <c r="C230" s="373" t="s">
        <v>1496</v>
      </c>
      <c r="D230" s="73" t="s">
        <v>114</v>
      </c>
      <c r="E230" s="372">
        <f t="shared" si="10"/>
        <v>89300</v>
      </c>
      <c r="F230" s="147"/>
      <c r="H230" s="160"/>
      <c r="I230" s="386"/>
    </row>
    <row r="231" spans="2:9">
      <c r="B231" s="201">
        <v>44</v>
      </c>
      <c r="C231" s="373" t="s">
        <v>1497</v>
      </c>
      <c r="D231" s="73" t="s">
        <v>114</v>
      </c>
      <c r="E231" s="372">
        <f t="shared" si="10"/>
        <v>314900</v>
      </c>
      <c r="F231" s="147"/>
      <c r="H231" s="160"/>
      <c r="I231" s="386"/>
    </row>
    <row r="232" spans="2:9">
      <c r="B232" s="201">
        <v>45</v>
      </c>
      <c r="C232" s="373" t="s">
        <v>1498</v>
      </c>
      <c r="D232" s="73" t="s">
        <v>114</v>
      </c>
      <c r="E232" s="372">
        <f t="shared" si="10"/>
        <v>87300</v>
      </c>
      <c r="F232" s="147"/>
      <c r="H232" s="160"/>
      <c r="I232" s="386"/>
    </row>
    <row r="233" spans="2:9">
      <c r="B233" s="201">
        <v>46</v>
      </c>
      <c r="C233" s="373" t="s">
        <v>1499</v>
      </c>
      <c r="D233" s="73" t="s">
        <v>63</v>
      </c>
      <c r="E233" s="372">
        <f t="shared" si="10"/>
        <v>29300</v>
      </c>
      <c r="F233" s="147"/>
      <c r="H233" s="160"/>
      <c r="I233" s="386"/>
    </row>
    <row r="234" spans="2:9">
      <c r="B234" s="201">
        <v>47</v>
      </c>
      <c r="C234" s="373" t="s">
        <v>1500</v>
      </c>
      <c r="D234" s="73" t="s">
        <v>63</v>
      </c>
      <c r="E234" s="372">
        <f t="shared" si="10"/>
        <v>102700</v>
      </c>
      <c r="F234" s="147"/>
      <c r="H234" s="160"/>
      <c r="I234" s="386"/>
    </row>
    <row r="235" spans="2:9">
      <c r="B235" s="201">
        <v>48</v>
      </c>
      <c r="C235" s="373" t="s">
        <v>1501</v>
      </c>
      <c r="D235" s="73" t="s">
        <v>63</v>
      </c>
      <c r="E235" s="372">
        <f t="shared" si="10"/>
        <v>104700</v>
      </c>
      <c r="F235" s="147"/>
      <c r="H235" s="160"/>
      <c r="I235" s="386"/>
    </row>
    <row r="236" spans="2:9">
      <c r="B236" s="201">
        <v>49</v>
      </c>
      <c r="C236" s="373" t="s">
        <v>1502</v>
      </c>
      <c r="D236" s="73" t="s">
        <v>63</v>
      </c>
      <c r="E236" s="372">
        <f t="shared" si="10"/>
        <v>37100</v>
      </c>
      <c r="F236" s="147"/>
      <c r="H236" s="160"/>
      <c r="I236" s="386"/>
    </row>
    <row r="237" spans="2:9">
      <c r="B237" s="201">
        <v>50</v>
      </c>
      <c r="C237" s="373" t="s">
        <v>1503</v>
      </c>
      <c r="D237" s="73" t="s">
        <v>114</v>
      </c>
      <c r="E237" s="372">
        <f t="shared" si="10"/>
        <v>311600</v>
      </c>
      <c r="F237" s="147"/>
      <c r="H237" s="160"/>
      <c r="I237" s="386"/>
    </row>
    <row r="238" spans="2:9">
      <c r="B238" s="201">
        <v>51</v>
      </c>
      <c r="C238" s="373" t="s">
        <v>1504</v>
      </c>
      <c r="D238" s="73" t="s">
        <v>114</v>
      </c>
      <c r="E238" s="372">
        <f t="shared" si="10"/>
        <v>166400</v>
      </c>
      <c r="F238" s="147"/>
      <c r="H238" s="160"/>
      <c r="I238" s="386"/>
    </row>
    <row r="239" spans="2:9">
      <c r="B239" s="201">
        <v>52</v>
      </c>
      <c r="C239" s="373" t="s">
        <v>1505</v>
      </c>
      <c r="D239" s="73" t="s">
        <v>114</v>
      </c>
      <c r="E239" s="372">
        <f t="shared" si="10"/>
        <v>215500</v>
      </c>
      <c r="F239" s="147"/>
      <c r="H239" s="160"/>
      <c r="I239" s="386"/>
    </row>
    <row r="240" spans="2:9">
      <c r="B240" s="201">
        <v>53</v>
      </c>
      <c r="C240" s="373" t="s">
        <v>1506</v>
      </c>
      <c r="D240" s="73" t="s">
        <v>114</v>
      </c>
      <c r="E240" s="372">
        <f t="shared" si="10"/>
        <v>217600</v>
      </c>
      <c r="F240" s="147"/>
      <c r="H240" s="160"/>
      <c r="I240" s="386"/>
    </row>
    <row r="241" spans="2:9">
      <c r="B241" s="201">
        <v>54</v>
      </c>
      <c r="C241" s="373" t="s">
        <v>1507</v>
      </c>
      <c r="D241" s="73" t="s">
        <v>114</v>
      </c>
      <c r="E241" s="372">
        <f t="shared" si="10"/>
        <v>74800</v>
      </c>
      <c r="F241" s="147"/>
      <c r="H241" s="160"/>
      <c r="I241" s="386"/>
    </row>
    <row r="242" spans="2:9">
      <c r="B242" s="201">
        <v>55</v>
      </c>
      <c r="C242" s="373" t="s">
        <v>1508</v>
      </c>
      <c r="D242" s="73" t="s">
        <v>114</v>
      </c>
      <c r="E242" s="372">
        <f t="shared" si="10"/>
        <v>72500</v>
      </c>
      <c r="F242" s="147"/>
      <c r="H242" s="160"/>
      <c r="I242" s="386"/>
    </row>
    <row r="243" spans="2:9" ht="15">
      <c r="B243" s="402" t="s">
        <v>2034</v>
      </c>
      <c r="C243" s="388" t="s">
        <v>2035</v>
      </c>
      <c r="D243" s="389"/>
      <c r="E243" s="390"/>
      <c r="F243" s="403"/>
      <c r="H243" s="160"/>
      <c r="I243" s="386"/>
    </row>
    <row r="244" spans="2:9">
      <c r="B244" s="201">
        <v>1</v>
      </c>
      <c r="C244" s="374" t="s">
        <v>1510</v>
      </c>
      <c r="D244" s="73" t="s">
        <v>63</v>
      </c>
      <c r="E244" s="372">
        <f t="shared" ref="E244:E258" si="11">VLOOKUP(C244,plesteranacian,7,FALSE)</f>
        <v>67100</v>
      </c>
      <c r="F244" s="147"/>
      <c r="H244" s="160"/>
      <c r="I244" s="386"/>
    </row>
    <row r="245" spans="2:9">
      <c r="B245" s="201">
        <v>2</v>
      </c>
      <c r="C245" s="374" t="s">
        <v>1511</v>
      </c>
      <c r="D245" s="73" t="s">
        <v>63</v>
      </c>
      <c r="E245" s="372">
        <f t="shared" si="11"/>
        <v>60700</v>
      </c>
      <c r="F245" s="147"/>
      <c r="H245" s="160"/>
      <c r="I245" s="386"/>
    </row>
    <row r="246" spans="2:9">
      <c r="B246" s="201">
        <v>3</v>
      </c>
      <c r="C246" s="374" t="s">
        <v>1512</v>
      </c>
      <c r="D246" s="73" t="s">
        <v>63</v>
      </c>
      <c r="E246" s="372">
        <f t="shared" si="11"/>
        <v>58200</v>
      </c>
      <c r="F246" s="147"/>
      <c r="H246" s="160"/>
      <c r="I246" s="386"/>
    </row>
    <row r="247" spans="2:9">
      <c r="B247" s="201">
        <v>4</v>
      </c>
      <c r="C247" s="374" t="s">
        <v>1513</v>
      </c>
      <c r="D247" s="73" t="s">
        <v>63</v>
      </c>
      <c r="E247" s="372">
        <f t="shared" si="11"/>
        <v>56300</v>
      </c>
      <c r="F247" s="147"/>
      <c r="H247" s="160"/>
      <c r="I247" s="386"/>
    </row>
    <row r="248" spans="2:9">
      <c r="B248" s="201">
        <v>5</v>
      </c>
      <c r="C248" s="374" t="s">
        <v>1514</v>
      </c>
      <c r="D248" s="73" t="s">
        <v>63</v>
      </c>
      <c r="E248" s="372">
        <f t="shared" si="11"/>
        <v>55400</v>
      </c>
      <c r="F248" s="147"/>
      <c r="H248" s="160"/>
      <c r="I248" s="386"/>
    </row>
    <row r="249" spans="2:9">
      <c r="B249" s="201">
        <v>6</v>
      </c>
      <c r="C249" s="374" t="s">
        <v>1515</v>
      </c>
      <c r="D249" s="73" t="s">
        <v>63</v>
      </c>
      <c r="E249" s="372">
        <f t="shared" si="11"/>
        <v>54600</v>
      </c>
      <c r="F249" s="147"/>
      <c r="H249" s="160"/>
      <c r="I249" s="386"/>
    </row>
    <row r="250" spans="2:9">
      <c r="B250" s="201">
        <v>7</v>
      </c>
      <c r="C250" s="374" t="s">
        <v>1516</v>
      </c>
      <c r="D250" s="73" t="s">
        <v>63</v>
      </c>
      <c r="E250" s="372">
        <f t="shared" si="11"/>
        <v>67300</v>
      </c>
      <c r="F250" s="147"/>
      <c r="H250" s="160"/>
      <c r="I250" s="386"/>
    </row>
    <row r="251" spans="2:9">
      <c r="B251" s="201">
        <v>8</v>
      </c>
      <c r="C251" s="374" t="s">
        <v>1517</v>
      </c>
      <c r="D251" s="73" t="s">
        <v>63</v>
      </c>
      <c r="E251" s="372">
        <f t="shared" si="11"/>
        <v>44700</v>
      </c>
      <c r="F251" s="147"/>
      <c r="H251" s="160"/>
      <c r="I251" s="386"/>
    </row>
    <row r="252" spans="2:9">
      <c r="B252" s="201">
        <v>9</v>
      </c>
      <c r="C252" s="374" t="s">
        <v>1518</v>
      </c>
      <c r="D252" s="73" t="s">
        <v>63</v>
      </c>
      <c r="E252" s="372">
        <f t="shared" si="11"/>
        <v>66300</v>
      </c>
      <c r="F252" s="147"/>
      <c r="H252" s="160"/>
      <c r="I252" s="386"/>
    </row>
    <row r="253" spans="2:9">
      <c r="B253" s="201">
        <v>10</v>
      </c>
      <c r="C253" s="374" t="s">
        <v>1519</v>
      </c>
      <c r="D253" s="73" t="s">
        <v>114</v>
      </c>
      <c r="E253" s="372">
        <f t="shared" si="11"/>
        <v>56600</v>
      </c>
      <c r="F253" s="147"/>
      <c r="H253" s="160"/>
      <c r="I253" s="386"/>
    </row>
    <row r="254" spans="2:9">
      <c r="B254" s="201">
        <v>11</v>
      </c>
      <c r="C254" s="374" t="s">
        <v>1520</v>
      </c>
      <c r="D254" s="73" t="s">
        <v>63</v>
      </c>
      <c r="E254" s="372">
        <f t="shared" si="11"/>
        <v>252300</v>
      </c>
      <c r="F254" s="147"/>
      <c r="H254" s="160"/>
      <c r="I254" s="386"/>
    </row>
    <row r="255" spans="2:9">
      <c r="B255" s="201">
        <v>12</v>
      </c>
      <c r="C255" s="374" t="s">
        <v>1521</v>
      </c>
      <c r="D255" s="73" t="s">
        <v>63</v>
      </c>
      <c r="E255" s="372">
        <f t="shared" si="11"/>
        <v>268800</v>
      </c>
      <c r="F255" s="147"/>
      <c r="H255" s="160"/>
      <c r="I255" s="386"/>
    </row>
    <row r="256" spans="2:9">
      <c r="B256" s="201">
        <v>13</v>
      </c>
      <c r="C256" s="373" t="s">
        <v>1522</v>
      </c>
      <c r="D256" s="73" t="s">
        <v>63</v>
      </c>
      <c r="E256" s="372">
        <f t="shared" si="11"/>
        <v>34700</v>
      </c>
      <c r="F256" s="147"/>
      <c r="H256" s="160"/>
      <c r="I256" s="386"/>
    </row>
    <row r="257" spans="2:9">
      <c r="B257" s="201">
        <v>14</v>
      </c>
      <c r="C257" s="374" t="s">
        <v>1523</v>
      </c>
      <c r="D257" s="73" t="s">
        <v>63</v>
      </c>
      <c r="E257" s="372">
        <f t="shared" si="11"/>
        <v>35800</v>
      </c>
      <c r="F257" s="147"/>
      <c r="H257" s="160"/>
      <c r="I257" s="386"/>
    </row>
    <row r="258" spans="2:9">
      <c r="B258" s="201">
        <v>15</v>
      </c>
      <c r="C258" s="374" t="s">
        <v>1524</v>
      </c>
      <c r="D258" s="73" t="s">
        <v>63</v>
      </c>
      <c r="E258" s="372">
        <f t="shared" si="11"/>
        <v>25800</v>
      </c>
      <c r="F258" s="147"/>
      <c r="H258" s="160"/>
      <c r="I258" s="386"/>
    </row>
    <row r="259" spans="2:9" ht="15">
      <c r="B259" s="406" t="s">
        <v>2036</v>
      </c>
      <c r="C259" s="388" t="s">
        <v>2037</v>
      </c>
      <c r="D259" s="387"/>
      <c r="E259" s="391"/>
      <c r="F259" s="403"/>
      <c r="H259" s="160"/>
      <c r="I259" s="386"/>
    </row>
    <row r="260" spans="2:9">
      <c r="B260" s="201">
        <v>1</v>
      </c>
      <c r="C260" s="374" t="s">
        <v>1525</v>
      </c>
      <c r="D260" s="73" t="s">
        <v>63</v>
      </c>
      <c r="E260" s="372">
        <f t="shared" ref="E260:E272" si="12">VLOOKUP(C260,plafon,7,FALSE)</f>
        <v>116700</v>
      </c>
      <c r="F260" s="147"/>
      <c r="H260" s="160"/>
      <c r="I260" s="386"/>
    </row>
    <row r="261" spans="2:9">
      <c r="B261" s="201">
        <v>2</v>
      </c>
      <c r="C261" s="374" t="s">
        <v>1526</v>
      </c>
      <c r="D261" s="73" t="s">
        <v>63</v>
      </c>
      <c r="E261" s="372">
        <f t="shared" si="12"/>
        <v>123900</v>
      </c>
      <c r="F261" s="147"/>
      <c r="H261" s="160"/>
      <c r="I261" s="386"/>
    </row>
    <row r="262" spans="2:9">
      <c r="B262" s="201">
        <v>3</v>
      </c>
      <c r="C262" s="374" t="s">
        <v>1527</v>
      </c>
      <c r="D262" s="73" t="s">
        <v>63</v>
      </c>
      <c r="E262" s="372">
        <f t="shared" si="12"/>
        <v>68700</v>
      </c>
      <c r="F262" s="147"/>
      <c r="H262" s="160"/>
      <c r="I262" s="386"/>
    </row>
    <row r="263" spans="2:9">
      <c r="B263" s="201">
        <v>4</v>
      </c>
      <c r="C263" s="374" t="s">
        <v>1528</v>
      </c>
      <c r="D263" s="73" t="s">
        <v>63</v>
      </c>
      <c r="E263" s="372">
        <f t="shared" si="12"/>
        <v>254100</v>
      </c>
      <c r="F263" s="147"/>
      <c r="H263" s="160"/>
      <c r="I263" s="386"/>
    </row>
    <row r="264" spans="2:9">
      <c r="B264" s="201">
        <v>5</v>
      </c>
      <c r="C264" s="374" t="s">
        <v>1529</v>
      </c>
      <c r="D264" s="73" t="s">
        <v>63</v>
      </c>
      <c r="E264" s="372">
        <f t="shared" si="12"/>
        <v>51700</v>
      </c>
      <c r="F264" s="147"/>
      <c r="H264" s="160"/>
      <c r="I264" s="386"/>
    </row>
    <row r="265" spans="2:9">
      <c r="B265" s="201">
        <v>6</v>
      </c>
      <c r="C265" s="374" t="s">
        <v>1530</v>
      </c>
      <c r="D265" s="73" t="s">
        <v>63</v>
      </c>
      <c r="E265" s="372">
        <f t="shared" si="12"/>
        <v>76000</v>
      </c>
      <c r="F265" s="147"/>
      <c r="H265" s="160"/>
      <c r="I265" s="386"/>
    </row>
    <row r="266" spans="2:9">
      <c r="B266" s="201">
        <v>7</v>
      </c>
      <c r="C266" s="374" t="s">
        <v>1531</v>
      </c>
      <c r="D266" s="73" t="s">
        <v>63</v>
      </c>
      <c r="E266" s="372">
        <f t="shared" si="12"/>
        <v>60600</v>
      </c>
      <c r="F266" s="147"/>
      <c r="H266" s="160"/>
      <c r="I266" s="386"/>
    </row>
    <row r="267" spans="2:9">
      <c r="B267" s="201">
        <v>8</v>
      </c>
      <c r="C267" s="374" t="s">
        <v>1532</v>
      </c>
      <c r="D267" s="73" t="s">
        <v>63</v>
      </c>
      <c r="E267" s="372">
        <f t="shared" si="12"/>
        <v>464200</v>
      </c>
      <c r="F267" s="147"/>
      <c r="H267" s="160"/>
      <c r="I267" s="386"/>
    </row>
    <row r="268" spans="2:9">
      <c r="B268" s="201">
        <v>9</v>
      </c>
      <c r="C268" s="374" t="s">
        <v>1533</v>
      </c>
      <c r="D268" s="73" t="s">
        <v>114</v>
      </c>
      <c r="E268" s="372">
        <f t="shared" si="12"/>
        <v>13600</v>
      </c>
      <c r="F268" s="147"/>
      <c r="H268" s="160"/>
      <c r="I268" s="386"/>
    </row>
    <row r="269" spans="2:9" ht="15">
      <c r="B269" s="201">
        <v>10</v>
      </c>
      <c r="C269" s="374" t="s">
        <v>1534</v>
      </c>
      <c r="D269" s="73" t="s">
        <v>114</v>
      </c>
      <c r="E269" s="372">
        <f t="shared" si="12"/>
        <v>26700</v>
      </c>
      <c r="F269" s="405"/>
      <c r="H269" s="160"/>
      <c r="I269" s="386"/>
    </row>
    <row r="270" spans="2:9" ht="15">
      <c r="B270" s="201">
        <v>11</v>
      </c>
      <c r="C270" s="374" t="s">
        <v>1535</v>
      </c>
      <c r="D270" s="73" t="s">
        <v>63</v>
      </c>
      <c r="E270" s="372">
        <f t="shared" si="12"/>
        <v>414600</v>
      </c>
      <c r="F270" s="405"/>
      <c r="H270" s="160"/>
      <c r="I270" s="386"/>
    </row>
    <row r="271" spans="2:9" ht="15">
      <c r="B271" s="201">
        <v>12</v>
      </c>
      <c r="C271" s="374" t="s">
        <v>1536</v>
      </c>
      <c r="D271" s="73" t="s">
        <v>63</v>
      </c>
      <c r="E271" s="372">
        <f t="shared" si="12"/>
        <v>131900</v>
      </c>
      <c r="F271" s="405"/>
      <c r="H271" s="160"/>
      <c r="I271" s="386"/>
    </row>
    <row r="272" spans="2:9" ht="15">
      <c r="B272" s="201">
        <v>13</v>
      </c>
      <c r="C272" s="374" t="s">
        <v>1537</v>
      </c>
      <c r="D272" s="73" t="s">
        <v>63</v>
      </c>
      <c r="E272" s="372">
        <f t="shared" si="12"/>
        <v>265000</v>
      </c>
      <c r="F272" s="405"/>
      <c r="H272" s="160"/>
      <c r="I272" s="386"/>
    </row>
    <row r="273" spans="2:9" ht="15">
      <c r="B273" s="402" t="s">
        <v>2038</v>
      </c>
      <c r="C273" s="388" t="s">
        <v>2039</v>
      </c>
      <c r="D273" s="389"/>
      <c r="E273" s="390"/>
      <c r="F273" s="403"/>
      <c r="H273" s="160"/>
      <c r="I273" s="386"/>
    </row>
    <row r="274" spans="2:9">
      <c r="B274" s="201">
        <v>1</v>
      </c>
      <c r="C274" s="374" t="s">
        <v>1538</v>
      </c>
      <c r="D274" s="73" t="s">
        <v>63</v>
      </c>
      <c r="E274" s="372">
        <f t="shared" ref="E274:E305" si="13">VLOOKUP(C274,penutuplantaidandinding,7,FALSE)</f>
        <v>112100</v>
      </c>
      <c r="F274" s="412"/>
      <c r="H274" s="160"/>
      <c r="I274" s="386"/>
    </row>
    <row r="275" spans="2:9">
      <c r="B275" s="201">
        <v>2</v>
      </c>
      <c r="C275" s="374" t="s">
        <v>1542</v>
      </c>
      <c r="D275" s="73" t="s">
        <v>63</v>
      </c>
      <c r="E275" s="372">
        <f t="shared" si="13"/>
        <v>99900</v>
      </c>
      <c r="F275" s="412"/>
      <c r="H275" s="160"/>
      <c r="I275" s="386"/>
    </row>
    <row r="276" spans="2:9">
      <c r="B276" s="201">
        <v>3</v>
      </c>
      <c r="C276" s="60" t="s">
        <v>1543</v>
      </c>
      <c r="D276" s="73" t="s">
        <v>63</v>
      </c>
      <c r="E276" s="372">
        <f t="shared" si="13"/>
        <v>91700</v>
      </c>
      <c r="F276" s="412"/>
      <c r="H276" s="160"/>
      <c r="I276" s="386"/>
    </row>
    <row r="277" spans="2:9">
      <c r="B277" s="201">
        <v>4</v>
      </c>
      <c r="C277" s="60" t="s">
        <v>1544</v>
      </c>
      <c r="D277" s="73" t="s">
        <v>63</v>
      </c>
      <c r="E277" s="372">
        <f t="shared" si="13"/>
        <v>89500</v>
      </c>
      <c r="F277" s="412"/>
      <c r="H277" s="160"/>
      <c r="I277" s="386"/>
    </row>
    <row r="278" spans="2:9">
      <c r="B278" s="201">
        <v>5</v>
      </c>
      <c r="C278" s="60" t="s">
        <v>1545</v>
      </c>
      <c r="D278" s="73" t="s">
        <v>114</v>
      </c>
      <c r="E278" s="372">
        <f t="shared" si="13"/>
        <v>20500</v>
      </c>
      <c r="F278" s="412"/>
      <c r="H278" s="160"/>
      <c r="I278" s="386"/>
    </row>
    <row r="279" spans="2:9">
      <c r="B279" s="201">
        <v>6</v>
      </c>
      <c r="C279" s="60" t="s">
        <v>1546</v>
      </c>
      <c r="D279" s="73" t="s">
        <v>114</v>
      </c>
      <c r="E279" s="372">
        <f t="shared" si="13"/>
        <v>21600</v>
      </c>
      <c r="F279" s="412"/>
      <c r="H279" s="160"/>
      <c r="I279" s="386"/>
    </row>
    <row r="280" spans="2:9">
      <c r="B280" s="201">
        <v>7</v>
      </c>
      <c r="C280" s="60" t="s">
        <v>1547</v>
      </c>
      <c r="D280" s="73" t="s">
        <v>114</v>
      </c>
      <c r="E280" s="372">
        <f t="shared" si="13"/>
        <v>22400</v>
      </c>
      <c r="F280" s="412"/>
      <c r="H280" s="160"/>
      <c r="I280" s="386"/>
    </row>
    <row r="281" spans="2:9">
      <c r="B281" s="201">
        <v>8</v>
      </c>
      <c r="C281" s="60" t="s">
        <v>1548</v>
      </c>
      <c r="D281" s="73" t="s">
        <v>114</v>
      </c>
      <c r="E281" s="372">
        <f t="shared" si="13"/>
        <v>22400</v>
      </c>
      <c r="F281" s="412"/>
      <c r="H281" s="160"/>
      <c r="I281" s="386"/>
    </row>
    <row r="282" spans="2:9">
      <c r="B282" s="201">
        <v>9</v>
      </c>
      <c r="C282" s="60" t="s">
        <v>1549</v>
      </c>
      <c r="D282" s="73" t="s">
        <v>63</v>
      </c>
      <c r="E282" s="372">
        <f t="shared" si="13"/>
        <v>125000</v>
      </c>
      <c r="F282" s="412"/>
      <c r="H282" s="160"/>
      <c r="I282" s="386"/>
    </row>
    <row r="283" spans="2:9">
      <c r="B283" s="201">
        <v>10</v>
      </c>
      <c r="C283" s="60" t="s">
        <v>1550</v>
      </c>
      <c r="D283" s="73" t="s">
        <v>63</v>
      </c>
      <c r="E283" s="372">
        <f t="shared" si="13"/>
        <v>126900</v>
      </c>
      <c r="F283" s="412"/>
      <c r="H283" s="160"/>
      <c r="I283" s="386"/>
    </row>
    <row r="284" spans="2:9">
      <c r="B284" s="201">
        <v>11</v>
      </c>
      <c r="C284" s="60" t="s">
        <v>1551</v>
      </c>
      <c r="D284" s="73" t="s">
        <v>63</v>
      </c>
      <c r="E284" s="372">
        <f t="shared" si="13"/>
        <v>114700</v>
      </c>
      <c r="F284" s="412"/>
      <c r="H284" s="160"/>
      <c r="I284" s="386"/>
    </row>
    <row r="285" spans="2:9">
      <c r="B285" s="201">
        <v>12</v>
      </c>
      <c r="C285" s="60" t="s">
        <v>1552</v>
      </c>
      <c r="D285" s="73" t="s">
        <v>63</v>
      </c>
      <c r="E285" s="372">
        <f t="shared" si="13"/>
        <v>108800</v>
      </c>
      <c r="F285" s="412"/>
      <c r="H285" s="160"/>
      <c r="I285" s="386"/>
    </row>
    <row r="286" spans="2:9">
      <c r="B286" s="201">
        <v>13</v>
      </c>
      <c r="C286" s="60" t="s">
        <v>1553</v>
      </c>
      <c r="D286" s="73" t="s">
        <v>114</v>
      </c>
      <c r="E286" s="372">
        <f t="shared" si="13"/>
        <v>25100</v>
      </c>
      <c r="F286" s="412"/>
      <c r="H286" s="160"/>
      <c r="I286" s="386"/>
    </row>
    <row r="287" spans="2:9">
      <c r="B287" s="201">
        <v>14</v>
      </c>
      <c r="C287" s="60" t="s">
        <v>1554</v>
      </c>
      <c r="D287" s="73" t="s">
        <v>114</v>
      </c>
      <c r="E287" s="372">
        <f t="shared" si="13"/>
        <v>25100</v>
      </c>
      <c r="F287" s="412"/>
      <c r="H287" s="160"/>
      <c r="I287" s="386"/>
    </row>
    <row r="288" spans="2:9">
      <c r="B288" s="201">
        <v>15</v>
      </c>
      <c r="C288" s="60" t="s">
        <v>1555</v>
      </c>
      <c r="D288" s="73" t="s">
        <v>114</v>
      </c>
      <c r="E288" s="372">
        <f t="shared" si="13"/>
        <v>8680800</v>
      </c>
      <c r="F288" s="412"/>
      <c r="H288" s="160"/>
      <c r="I288" s="386"/>
    </row>
    <row r="289" spans="2:9">
      <c r="B289" s="201">
        <v>16</v>
      </c>
      <c r="C289" s="60" t="s">
        <v>1557</v>
      </c>
      <c r="D289" s="73" t="s">
        <v>114</v>
      </c>
      <c r="E289" s="372">
        <f t="shared" si="13"/>
        <v>27900</v>
      </c>
      <c r="F289" s="412"/>
      <c r="H289" s="160"/>
      <c r="I289" s="386"/>
    </row>
    <row r="290" spans="2:9">
      <c r="B290" s="201">
        <v>17</v>
      </c>
      <c r="C290" s="60" t="s">
        <v>1558</v>
      </c>
      <c r="D290" s="73" t="s">
        <v>63</v>
      </c>
      <c r="E290" s="372">
        <f t="shared" si="13"/>
        <v>377200</v>
      </c>
      <c r="F290" s="412"/>
      <c r="H290" s="160"/>
      <c r="I290" s="386"/>
    </row>
    <row r="291" spans="2:9">
      <c r="B291" s="201">
        <v>18</v>
      </c>
      <c r="C291" s="60" t="s">
        <v>1559</v>
      </c>
      <c r="D291" s="73" t="s">
        <v>63</v>
      </c>
      <c r="E291" s="372">
        <f t="shared" si="13"/>
        <v>287900</v>
      </c>
      <c r="F291" s="412"/>
      <c r="H291" s="160"/>
      <c r="I291" s="386"/>
    </row>
    <row r="292" spans="2:9">
      <c r="B292" s="201">
        <v>19</v>
      </c>
      <c r="C292" s="60" t="s">
        <v>1560</v>
      </c>
      <c r="D292" s="73" t="s">
        <v>63</v>
      </c>
      <c r="E292" s="372">
        <f t="shared" si="13"/>
        <v>211600</v>
      </c>
      <c r="F292" s="412"/>
      <c r="H292" s="160"/>
      <c r="I292" s="386"/>
    </row>
    <row r="293" spans="2:9">
      <c r="B293" s="201">
        <v>20</v>
      </c>
      <c r="C293" s="60" t="s">
        <v>1561</v>
      </c>
      <c r="D293" s="73" t="s">
        <v>114</v>
      </c>
      <c r="E293" s="372">
        <f t="shared" si="13"/>
        <v>32800</v>
      </c>
      <c r="F293" s="412"/>
      <c r="H293" s="160"/>
      <c r="I293" s="386"/>
    </row>
    <row r="294" spans="2:9">
      <c r="B294" s="201">
        <v>21</v>
      </c>
      <c r="C294" s="60" t="s">
        <v>1562</v>
      </c>
      <c r="D294" s="73" t="s">
        <v>114</v>
      </c>
      <c r="E294" s="372">
        <f t="shared" si="13"/>
        <v>35600</v>
      </c>
      <c r="F294" s="412"/>
      <c r="H294" s="160"/>
      <c r="I294" s="386"/>
    </row>
    <row r="295" spans="2:9">
      <c r="B295" s="201">
        <v>22</v>
      </c>
      <c r="C295" s="60" t="s">
        <v>1563</v>
      </c>
      <c r="D295" s="73" t="s">
        <v>63</v>
      </c>
      <c r="E295" s="372">
        <f t="shared" si="13"/>
        <v>325800</v>
      </c>
      <c r="F295" s="412"/>
      <c r="H295" s="160"/>
      <c r="I295" s="386"/>
    </row>
    <row r="296" spans="2:9">
      <c r="B296" s="201">
        <v>23</v>
      </c>
      <c r="C296" s="60" t="s">
        <v>1564</v>
      </c>
      <c r="D296" s="73" t="s">
        <v>63</v>
      </c>
      <c r="E296" s="372">
        <f t="shared" si="13"/>
        <v>287900</v>
      </c>
      <c r="F296" s="412"/>
      <c r="H296" s="160"/>
      <c r="I296" s="386"/>
    </row>
    <row r="297" spans="2:9">
      <c r="B297" s="201">
        <v>24</v>
      </c>
      <c r="C297" s="60" t="s">
        <v>1565</v>
      </c>
      <c r="D297" s="73" t="s">
        <v>63</v>
      </c>
      <c r="E297" s="372">
        <f t="shared" si="13"/>
        <v>243500</v>
      </c>
      <c r="F297" s="412"/>
      <c r="H297" s="160"/>
      <c r="I297" s="386"/>
    </row>
    <row r="298" spans="2:9">
      <c r="B298" s="201">
        <v>25</v>
      </c>
      <c r="C298" s="60" t="s">
        <v>1566</v>
      </c>
      <c r="D298" s="73" t="s">
        <v>114</v>
      </c>
      <c r="E298" s="372">
        <f t="shared" si="13"/>
        <v>36700</v>
      </c>
      <c r="F298" s="412"/>
      <c r="H298" s="160"/>
      <c r="I298" s="386"/>
    </row>
    <row r="299" spans="2:9">
      <c r="B299" s="201">
        <v>26</v>
      </c>
      <c r="C299" s="60" t="s">
        <v>1567</v>
      </c>
      <c r="D299" s="73" t="s">
        <v>114</v>
      </c>
      <c r="E299" s="372">
        <f t="shared" si="13"/>
        <v>38500</v>
      </c>
      <c r="F299" s="412"/>
      <c r="H299" s="160"/>
      <c r="I299" s="386"/>
    </row>
    <row r="300" spans="2:9">
      <c r="B300" s="201">
        <v>27</v>
      </c>
      <c r="C300" s="60" t="s">
        <v>1568</v>
      </c>
      <c r="D300" s="73" t="s">
        <v>114</v>
      </c>
      <c r="E300" s="372">
        <f t="shared" si="13"/>
        <v>38500</v>
      </c>
      <c r="F300" s="412"/>
      <c r="H300" s="160"/>
      <c r="I300" s="386"/>
    </row>
    <row r="301" spans="2:9">
      <c r="B301" s="201">
        <v>28</v>
      </c>
      <c r="C301" s="60" t="s">
        <v>1569</v>
      </c>
      <c r="D301" s="73" t="s">
        <v>63</v>
      </c>
      <c r="E301" s="372">
        <f t="shared" si="13"/>
        <v>251400</v>
      </c>
      <c r="F301" s="412"/>
      <c r="H301" s="160"/>
      <c r="I301" s="386"/>
    </row>
    <row r="302" spans="2:9">
      <c r="B302" s="201">
        <v>29</v>
      </c>
      <c r="C302" s="60" t="s">
        <v>1570</v>
      </c>
      <c r="D302" s="73" t="s">
        <v>63</v>
      </c>
      <c r="E302" s="372">
        <f t="shared" si="13"/>
        <v>215700</v>
      </c>
      <c r="F302" s="412"/>
      <c r="H302" s="160"/>
      <c r="I302" s="386"/>
    </row>
    <row r="303" spans="2:9">
      <c r="B303" s="201">
        <v>30</v>
      </c>
      <c r="C303" s="60" t="s">
        <v>1571</v>
      </c>
      <c r="D303" s="73" t="s">
        <v>63</v>
      </c>
      <c r="E303" s="372">
        <f t="shared" si="13"/>
        <v>179300</v>
      </c>
      <c r="F303" s="412"/>
      <c r="H303" s="160"/>
      <c r="I303" s="386"/>
    </row>
    <row r="304" spans="2:9">
      <c r="B304" s="201">
        <v>31</v>
      </c>
      <c r="C304" s="374" t="s">
        <v>1572</v>
      </c>
      <c r="D304" s="73" t="s">
        <v>114</v>
      </c>
      <c r="E304" s="372">
        <f t="shared" si="13"/>
        <v>40500</v>
      </c>
      <c r="F304" s="412"/>
      <c r="H304" s="160"/>
      <c r="I304" s="386"/>
    </row>
    <row r="305" spans="2:9">
      <c r="B305" s="201">
        <v>32</v>
      </c>
      <c r="C305" s="374" t="s">
        <v>1573</v>
      </c>
      <c r="D305" s="73" t="s">
        <v>114</v>
      </c>
      <c r="E305" s="372">
        <f t="shared" si="13"/>
        <v>41400</v>
      </c>
      <c r="F305" s="412"/>
      <c r="H305" s="160"/>
      <c r="I305" s="386"/>
    </row>
    <row r="306" spans="2:9">
      <c r="B306" s="201">
        <v>33</v>
      </c>
      <c r="C306" s="60" t="s">
        <v>1574</v>
      </c>
      <c r="D306" s="73" t="s">
        <v>114</v>
      </c>
      <c r="E306" s="372">
        <f t="shared" ref="E306:E337" si="14">VLOOKUP(C306,penutuplantaidandinding,7,FALSE)</f>
        <v>38500</v>
      </c>
      <c r="F306" s="412"/>
      <c r="H306" s="160"/>
      <c r="I306" s="386"/>
    </row>
    <row r="307" spans="2:9">
      <c r="B307" s="201">
        <v>34</v>
      </c>
      <c r="C307" s="60" t="s">
        <v>1575</v>
      </c>
      <c r="D307" s="73" t="s">
        <v>63</v>
      </c>
      <c r="E307" s="372">
        <f t="shared" si="14"/>
        <v>646700</v>
      </c>
      <c r="F307" s="412"/>
      <c r="H307" s="160"/>
      <c r="I307" s="386"/>
    </row>
    <row r="308" spans="2:9">
      <c r="B308" s="201">
        <v>35</v>
      </c>
      <c r="C308" s="60" t="s">
        <v>1576</v>
      </c>
      <c r="D308" s="73" t="s">
        <v>63</v>
      </c>
      <c r="E308" s="372">
        <f t="shared" si="14"/>
        <v>504500</v>
      </c>
      <c r="F308" s="412"/>
      <c r="H308" s="160"/>
      <c r="I308" s="386"/>
    </row>
    <row r="309" spans="2:9">
      <c r="B309" s="201">
        <v>36</v>
      </c>
      <c r="C309" s="60" t="s">
        <v>1577</v>
      </c>
      <c r="D309" s="73" t="s">
        <v>63</v>
      </c>
      <c r="E309" s="372">
        <f t="shared" si="14"/>
        <v>307700</v>
      </c>
      <c r="F309" s="412"/>
      <c r="H309" s="160"/>
      <c r="I309" s="386"/>
    </row>
    <row r="310" spans="2:9">
      <c r="B310" s="201">
        <v>37</v>
      </c>
      <c r="C310" s="374" t="s">
        <v>1578</v>
      </c>
      <c r="D310" s="73" t="s">
        <v>114</v>
      </c>
      <c r="E310" s="372">
        <f t="shared" si="14"/>
        <v>25100</v>
      </c>
      <c r="F310" s="412"/>
      <c r="H310" s="160"/>
      <c r="I310" s="386"/>
    </row>
    <row r="311" spans="2:9">
      <c r="B311" s="201">
        <v>38</v>
      </c>
      <c r="C311" s="374" t="s">
        <v>1579</v>
      </c>
      <c r="D311" s="73" t="s">
        <v>114</v>
      </c>
      <c r="E311" s="372">
        <f t="shared" si="14"/>
        <v>26900</v>
      </c>
      <c r="F311" s="412"/>
      <c r="H311" s="160"/>
      <c r="I311" s="386"/>
    </row>
    <row r="312" spans="2:9">
      <c r="B312" s="201">
        <v>39</v>
      </c>
      <c r="C312" s="374" t="s">
        <v>1580</v>
      </c>
      <c r="D312" s="73" t="s">
        <v>114</v>
      </c>
      <c r="E312" s="372">
        <f t="shared" si="14"/>
        <v>26900</v>
      </c>
      <c r="F312" s="412"/>
      <c r="H312" s="160"/>
      <c r="I312" s="386"/>
    </row>
    <row r="313" spans="2:9">
      <c r="B313" s="201">
        <v>40</v>
      </c>
      <c r="C313" s="374" t="s">
        <v>1581</v>
      </c>
      <c r="D313" s="73" t="s">
        <v>114</v>
      </c>
      <c r="E313" s="372">
        <f t="shared" si="14"/>
        <v>27100</v>
      </c>
      <c r="F313" s="412"/>
      <c r="H313" s="160"/>
      <c r="I313" s="386"/>
    </row>
    <row r="314" spans="2:9">
      <c r="B314" s="201">
        <v>41</v>
      </c>
      <c r="C314" s="374" t="s">
        <v>1582</v>
      </c>
      <c r="D314" s="73" t="s">
        <v>114</v>
      </c>
      <c r="E314" s="372">
        <f t="shared" si="14"/>
        <v>26900</v>
      </c>
      <c r="F314" s="412"/>
      <c r="H314" s="160"/>
      <c r="I314" s="386"/>
    </row>
    <row r="315" spans="2:9">
      <c r="B315" s="201">
        <v>42</v>
      </c>
      <c r="C315" s="374" t="s">
        <v>1583</v>
      </c>
      <c r="D315" s="73" t="s">
        <v>114</v>
      </c>
      <c r="E315" s="372">
        <f t="shared" si="14"/>
        <v>26900</v>
      </c>
      <c r="F315" s="412"/>
      <c r="H315" s="160"/>
      <c r="I315" s="386"/>
    </row>
    <row r="316" spans="2:9">
      <c r="B316" s="201">
        <v>43</v>
      </c>
      <c r="C316" s="374" t="s">
        <v>1584</v>
      </c>
      <c r="D316" s="73" t="s">
        <v>63</v>
      </c>
      <c r="E316" s="372">
        <f t="shared" si="14"/>
        <v>287900</v>
      </c>
      <c r="F316" s="412"/>
      <c r="H316" s="160"/>
      <c r="I316" s="386"/>
    </row>
    <row r="317" spans="2:9">
      <c r="B317" s="201">
        <v>44</v>
      </c>
      <c r="C317" s="374" t="s">
        <v>1585</v>
      </c>
      <c r="D317" s="73" t="s">
        <v>63</v>
      </c>
      <c r="E317" s="372">
        <f t="shared" si="14"/>
        <v>280600</v>
      </c>
      <c r="F317" s="412"/>
      <c r="H317" s="160"/>
      <c r="I317" s="386"/>
    </row>
    <row r="318" spans="2:9">
      <c r="B318" s="201">
        <v>45</v>
      </c>
      <c r="C318" s="374" t="s">
        <v>1586</v>
      </c>
      <c r="D318" s="73" t="s">
        <v>63</v>
      </c>
      <c r="E318" s="372">
        <f t="shared" si="14"/>
        <v>238700</v>
      </c>
      <c r="F318" s="412"/>
      <c r="H318" s="160"/>
      <c r="I318" s="386"/>
    </row>
    <row r="319" spans="2:9">
      <c r="B319" s="201">
        <v>46</v>
      </c>
      <c r="C319" s="374" t="s">
        <v>1587</v>
      </c>
      <c r="D319" s="73" t="s">
        <v>63</v>
      </c>
      <c r="E319" s="372">
        <f t="shared" si="14"/>
        <v>219400</v>
      </c>
      <c r="F319" s="412"/>
      <c r="H319" s="160"/>
      <c r="I319" s="386"/>
    </row>
    <row r="320" spans="2:9">
      <c r="B320" s="201">
        <v>47</v>
      </c>
      <c r="C320" s="374" t="s">
        <v>1588</v>
      </c>
      <c r="D320" s="73" t="s">
        <v>63</v>
      </c>
      <c r="E320" s="372">
        <f t="shared" si="14"/>
        <v>209800</v>
      </c>
      <c r="F320" s="412"/>
      <c r="H320" s="160"/>
      <c r="I320" s="386"/>
    </row>
    <row r="321" spans="2:9">
      <c r="B321" s="201">
        <v>48</v>
      </c>
      <c r="C321" s="374" t="s">
        <v>1589</v>
      </c>
      <c r="D321" s="73" t="s">
        <v>114</v>
      </c>
      <c r="E321" s="372">
        <f t="shared" si="14"/>
        <v>252500</v>
      </c>
      <c r="F321" s="412"/>
      <c r="H321" s="160"/>
      <c r="I321" s="386"/>
    </row>
    <row r="322" spans="2:9">
      <c r="B322" s="201">
        <v>49</v>
      </c>
      <c r="C322" s="374" t="s">
        <v>1590</v>
      </c>
      <c r="D322" s="73" t="s">
        <v>63</v>
      </c>
      <c r="E322" s="372">
        <f t="shared" si="14"/>
        <v>130800</v>
      </c>
      <c r="F322" s="412"/>
      <c r="H322" s="160"/>
      <c r="I322" s="386"/>
    </row>
    <row r="323" spans="2:9">
      <c r="B323" s="201">
        <v>50</v>
      </c>
      <c r="C323" s="374" t="s">
        <v>1591</v>
      </c>
      <c r="D323" s="73" t="s">
        <v>63</v>
      </c>
      <c r="E323" s="372">
        <f t="shared" si="14"/>
        <v>120500</v>
      </c>
      <c r="F323" s="412"/>
      <c r="H323" s="160"/>
      <c r="I323" s="386"/>
    </row>
    <row r="324" spans="2:9">
      <c r="B324" s="201">
        <v>51</v>
      </c>
      <c r="C324" s="374" t="s">
        <v>1592</v>
      </c>
      <c r="D324" s="73" t="s">
        <v>63</v>
      </c>
      <c r="E324" s="372">
        <f t="shared" si="14"/>
        <v>129800</v>
      </c>
      <c r="F324" s="412"/>
      <c r="H324" s="160"/>
      <c r="I324" s="386"/>
    </row>
    <row r="325" spans="2:9">
      <c r="B325" s="201">
        <v>52</v>
      </c>
      <c r="C325" s="374" t="s">
        <v>1593</v>
      </c>
      <c r="D325" s="73" t="s">
        <v>63</v>
      </c>
      <c r="E325" s="372">
        <f t="shared" si="14"/>
        <v>121600</v>
      </c>
      <c r="F325" s="412"/>
      <c r="H325" s="160"/>
      <c r="I325" s="386"/>
    </row>
    <row r="326" spans="2:9">
      <c r="B326" s="201">
        <v>53</v>
      </c>
      <c r="C326" s="374" t="s">
        <v>1594</v>
      </c>
      <c r="D326" s="73" t="s">
        <v>63</v>
      </c>
      <c r="E326" s="372">
        <f t="shared" si="14"/>
        <v>337700</v>
      </c>
      <c r="F326" s="412"/>
      <c r="H326" s="160"/>
      <c r="I326" s="386"/>
    </row>
    <row r="327" spans="2:9">
      <c r="B327" s="201">
        <v>54</v>
      </c>
      <c r="C327" s="374" t="s">
        <v>1595</v>
      </c>
      <c r="D327" s="73" t="s">
        <v>114</v>
      </c>
      <c r="E327" s="372">
        <f t="shared" si="14"/>
        <v>27900</v>
      </c>
      <c r="F327" s="412"/>
      <c r="H327" s="160"/>
      <c r="I327" s="386"/>
    </row>
    <row r="328" spans="2:9">
      <c r="B328" s="201">
        <v>55</v>
      </c>
      <c r="C328" s="374" t="s">
        <v>1596</v>
      </c>
      <c r="D328" s="73" t="s">
        <v>114</v>
      </c>
      <c r="E328" s="372">
        <f t="shared" si="14"/>
        <v>29000</v>
      </c>
      <c r="F328" s="412"/>
      <c r="H328" s="160"/>
      <c r="I328" s="386"/>
    </row>
    <row r="329" spans="2:9">
      <c r="B329" s="201">
        <v>56</v>
      </c>
      <c r="C329" s="374" t="s">
        <v>1597</v>
      </c>
      <c r="D329" s="73" t="s">
        <v>114</v>
      </c>
      <c r="E329" s="372">
        <f t="shared" si="14"/>
        <v>29800</v>
      </c>
      <c r="F329" s="412"/>
      <c r="H329" s="160"/>
      <c r="I329" s="386"/>
    </row>
    <row r="330" spans="2:9">
      <c r="B330" s="201">
        <v>57</v>
      </c>
      <c r="C330" s="374" t="s">
        <v>1598</v>
      </c>
      <c r="D330" s="73" t="s">
        <v>114</v>
      </c>
      <c r="E330" s="372">
        <f t="shared" si="14"/>
        <v>28900</v>
      </c>
      <c r="F330" s="412"/>
      <c r="H330" s="160"/>
      <c r="I330" s="386"/>
    </row>
    <row r="331" spans="2:9">
      <c r="B331" s="201">
        <v>58</v>
      </c>
      <c r="C331" s="374" t="s">
        <v>1599</v>
      </c>
      <c r="D331" s="73" t="s">
        <v>63</v>
      </c>
      <c r="E331" s="372">
        <f t="shared" si="14"/>
        <v>1706900</v>
      </c>
      <c r="F331" s="412"/>
      <c r="H331" s="160"/>
      <c r="I331" s="386"/>
    </row>
    <row r="332" spans="2:9">
      <c r="B332" s="201">
        <v>59</v>
      </c>
      <c r="C332" s="374" t="s">
        <v>1600</v>
      </c>
      <c r="D332" s="73" t="s">
        <v>63</v>
      </c>
      <c r="E332" s="372">
        <f t="shared" si="14"/>
        <v>124600</v>
      </c>
      <c r="F332" s="412"/>
      <c r="H332" s="160"/>
      <c r="I332" s="386"/>
    </row>
    <row r="333" spans="2:9">
      <c r="B333" s="201">
        <v>60</v>
      </c>
      <c r="C333" s="374" t="s">
        <v>1601</v>
      </c>
      <c r="D333" s="73" t="s">
        <v>63</v>
      </c>
      <c r="E333" s="372">
        <f t="shared" si="14"/>
        <v>69600</v>
      </c>
      <c r="F333" s="412"/>
      <c r="H333" s="160"/>
      <c r="I333" s="386"/>
    </row>
    <row r="334" spans="2:9">
      <c r="B334" s="201">
        <v>61</v>
      </c>
      <c r="C334" s="374" t="s">
        <v>1602</v>
      </c>
      <c r="D334" s="73" t="s">
        <v>63</v>
      </c>
      <c r="E334" s="372">
        <f t="shared" si="14"/>
        <v>517600</v>
      </c>
      <c r="F334" s="412"/>
      <c r="H334" s="160"/>
      <c r="I334" s="386"/>
    </row>
    <row r="335" spans="2:9">
      <c r="B335" s="201">
        <v>62</v>
      </c>
      <c r="C335" s="374" t="s">
        <v>1603</v>
      </c>
      <c r="D335" s="73" t="s">
        <v>63</v>
      </c>
      <c r="E335" s="372">
        <f t="shared" si="14"/>
        <v>411000</v>
      </c>
      <c r="F335" s="412"/>
      <c r="H335" s="160"/>
      <c r="I335" s="386"/>
    </row>
    <row r="336" spans="2:9">
      <c r="B336" s="201">
        <v>63</v>
      </c>
      <c r="C336" s="374" t="s">
        <v>1604</v>
      </c>
      <c r="D336" s="73" t="s">
        <v>114</v>
      </c>
      <c r="E336" s="372">
        <f t="shared" si="14"/>
        <v>122400</v>
      </c>
      <c r="F336" s="412"/>
      <c r="H336" s="160"/>
      <c r="I336" s="386"/>
    </row>
    <row r="337" spans="2:9">
      <c r="B337" s="201">
        <v>64</v>
      </c>
      <c r="C337" s="374" t="s">
        <v>1605</v>
      </c>
      <c r="D337" s="73" t="s">
        <v>63</v>
      </c>
      <c r="E337" s="372">
        <f t="shared" si="14"/>
        <v>158100</v>
      </c>
      <c r="F337" s="412"/>
      <c r="H337" s="160"/>
      <c r="I337" s="386"/>
    </row>
    <row r="338" spans="2:9">
      <c r="B338" s="201">
        <v>65</v>
      </c>
      <c r="C338" s="374" t="s">
        <v>1606</v>
      </c>
      <c r="D338" s="73" t="s">
        <v>114</v>
      </c>
      <c r="E338" s="372">
        <f t="shared" ref="E338:E363" si="15">VLOOKUP(C338,penutuplantaidandinding,7,FALSE)</f>
        <v>52400</v>
      </c>
      <c r="F338" s="412"/>
      <c r="H338" s="160"/>
      <c r="I338" s="386"/>
    </row>
    <row r="339" spans="2:9">
      <c r="B339" s="201">
        <v>66</v>
      </c>
      <c r="C339" s="374" t="s">
        <v>1607</v>
      </c>
      <c r="D339" s="73" t="s">
        <v>63</v>
      </c>
      <c r="E339" s="372">
        <f t="shared" si="15"/>
        <v>62400</v>
      </c>
      <c r="F339" s="412"/>
      <c r="H339" s="160"/>
      <c r="I339" s="386"/>
    </row>
    <row r="340" spans="2:9">
      <c r="B340" s="201">
        <v>67</v>
      </c>
      <c r="C340" s="374" t="s">
        <v>1608</v>
      </c>
      <c r="D340" s="73" t="s">
        <v>63</v>
      </c>
      <c r="E340" s="372">
        <f t="shared" si="15"/>
        <v>1530600</v>
      </c>
      <c r="F340" s="412"/>
      <c r="H340" s="160"/>
      <c r="I340" s="386"/>
    </row>
    <row r="341" spans="2:9">
      <c r="B341" s="201">
        <v>68</v>
      </c>
      <c r="C341" s="374" t="s">
        <v>1609</v>
      </c>
      <c r="D341" s="73" t="s">
        <v>63</v>
      </c>
      <c r="E341" s="372">
        <f t="shared" si="15"/>
        <v>83800</v>
      </c>
      <c r="F341" s="412"/>
      <c r="H341" s="160"/>
      <c r="I341" s="386"/>
    </row>
    <row r="342" spans="2:9">
      <c r="B342" s="201">
        <v>69</v>
      </c>
      <c r="C342" s="374" t="s">
        <v>1610</v>
      </c>
      <c r="D342" s="73" t="s">
        <v>63</v>
      </c>
      <c r="E342" s="372">
        <f t="shared" si="15"/>
        <v>320400</v>
      </c>
      <c r="F342" s="412"/>
      <c r="H342" s="160"/>
      <c r="I342" s="386"/>
    </row>
    <row r="343" spans="2:9">
      <c r="B343" s="201">
        <v>70</v>
      </c>
      <c r="C343" s="374" t="s">
        <v>1611</v>
      </c>
      <c r="D343" s="73" t="s">
        <v>63</v>
      </c>
      <c r="E343" s="372">
        <f t="shared" si="15"/>
        <v>457000</v>
      </c>
      <c r="F343" s="412"/>
      <c r="H343" s="160"/>
      <c r="I343" s="386"/>
    </row>
    <row r="344" spans="2:9">
      <c r="B344" s="201">
        <v>71</v>
      </c>
      <c r="C344" s="374" t="s">
        <v>1612</v>
      </c>
      <c r="D344" s="73" t="s">
        <v>63</v>
      </c>
      <c r="E344" s="372">
        <f t="shared" si="15"/>
        <v>257000</v>
      </c>
      <c r="F344" s="412"/>
      <c r="H344" s="160"/>
      <c r="I344" s="386"/>
    </row>
    <row r="345" spans="2:9">
      <c r="B345" s="201">
        <v>72</v>
      </c>
      <c r="C345" s="374" t="s">
        <v>1613</v>
      </c>
      <c r="D345" s="73" t="s">
        <v>63</v>
      </c>
      <c r="E345" s="372">
        <f t="shared" si="15"/>
        <v>201500</v>
      </c>
      <c r="F345" s="412"/>
      <c r="H345" s="160"/>
      <c r="I345" s="386"/>
    </row>
    <row r="346" spans="2:9">
      <c r="B346" s="201">
        <v>73</v>
      </c>
      <c r="C346" s="374" t="s">
        <v>1614</v>
      </c>
      <c r="D346" s="73" t="s">
        <v>63</v>
      </c>
      <c r="E346" s="372">
        <f t="shared" si="15"/>
        <v>501800</v>
      </c>
      <c r="F346" s="412"/>
      <c r="H346" s="160"/>
      <c r="I346" s="386"/>
    </row>
    <row r="347" spans="2:9">
      <c r="B347" s="201">
        <v>74</v>
      </c>
      <c r="C347" s="374" t="s">
        <v>1615</v>
      </c>
      <c r="D347" s="73" t="s">
        <v>63</v>
      </c>
      <c r="E347" s="372">
        <f t="shared" si="15"/>
        <v>415800</v>
      </c>
      <c r="F347" s="412"/>
      <c r="H347" s="160"/>
      <c r="I347" s="386"/>
    </row>
    <row r="348" spans="2:9">
      <c r="B348" s="201">
        <v>75</v>
      </c>
      <c r="C348" s="374" t="s">
        <v>1616</v>
      </c>
      <c r="D348" s="73" t="s">
        <v>63</v>
      </c>
      <c r="E348" s="372">
        <f t="shared" si="15"/>
        <v>211400</v>
      </c>
      <c r="F348" s="412"/>
      <c r="H348" s="160"/>
      <c r="I348" s="386"/>
    </row>
    <row r="349" spans="2:9">
      <c r="B349" s="201">
        <v>76</v>
      </c>
      <c r="C349" s="374" t="s">
        <v>1617</v>
      </c>
      <c r="D349" s="73" t="s">
        <v>63</v>
      </c>
      <c r="E349" s="372">
        <f t="shared" si="15"/>
        <v>319500</v>
      </c>
      <c r="F349" s="412"/>
      <c r="H349" s="160"/>
      <c r="I349" s="386"/>
    </row>
    <row r="350" spans="2:9">
      <c r="B350" s="201">
        <v>77</v>
      </c>
      <c r="C350" s="374" t="s">
        <v>1618</v>
      </c>
      <c r="D350" s="73" t="s">
        <v>63</v>
      </c>
      <c r="E350" s="372">
        <f t="shared" si="15"/>
        <v>339500</v>
      </c>
      <c r="F350" s="412"/>
      <c r="H350" s="160"/>
      <c r="I350" s="386"/>
    </row>
    <row r="351" spans="2:9">
      <c r="B351" s="201">
        <v>78</v>
      </c>
      <c r="C351" s="374" t="s">
        <v>1619</v>
      </c>
      <c r="D351" s="73" t="s">
        <v>63</v>
      </c>
      <c r="E351" s="372">
        <f t="shared" si="15"/>
        <v>201000</v>
      </c>
      <c r="F351" s="412"/>
      <c r="H351" s="160"/>
      <c r="I351" s="386"/>
    </row>
    <row r="352" spans="2:9">
      <c r="B352" s="201">
        <v>79</v>
      </c>
      <c r="C352" s="374" t="s">
        <v>1620</v>
      </c>
      <c r="D352" s="73" t="s">
        <v>63</v>
      </c>
      <c r="E352" s="372">
        <f t="shared" si="15"/>
        <v>422900</v>
      </c>
      <c r="F352" s="412"/>
      <c r="H352" s="160"/>
      <c r="I352" s="386"/>
    </row>
    <row r="353" spans="2:9">
      <c r="B353" s="201">
        <v>80</v>
      </c>
      <c r="C353" s="374" t="s">
        <v>1621</v>
      </c>
      <c r="D353" s="73" t="s">
        <v>63</v>
      </c>
      <c r="E353" s="372">
        <f t="shared" si="15"/>
        <v>319100</v>
      </c>
      <c r="F353" s="412"/>
      <c r="H353" s="160"/>
      <c r="I353" s="386"/>
    </row>
    <row r="354" spans="2:9">
      <c r="B354" s="201">
        <v>81</v>
      </c>
      <c r="C354" s="374" t="s">
        <v>1622</v>
      </c>
      <c r="D354" s="73" t="s">
        <v>63</v>
      </c>
      <c r="E354" s="372">
        <f t="shared" si="15"/>
        <v>315000</v>
      </c>
      <c r="F354" s="412"/>
      <c r="H354" s="160"/>
      <c r="I354" s="386"/>
    </row>
    <row r="355" spans="2:9">
      <c r="B355" s="201">
        <v>82</v>
      </c>
      <c r="C355" s="374" t="s">
        <v>1623</v>
      </c>
      <c r="D355" s="73" t="s">
        <v>63</v>
      </c>
      <c r="E355" s="372">
        <f t="shared" si="15"/>
        <v>119500</v>
      </c>
      <c r="F355" s="412"/>
      <c r="H355" s="160"/>
      <c r="I355" s="386"/>
    </row>
    <row r="356" spans="2:9">
      <c r="B356" s="201">
        <v>83</v>
      </c>
      <c r="C356" s="374" t="s">
        <v>1624</v>
      </c>
      <c r="D356" s="73" t="s">
        <v>63</v>
      </c>
      <c r="E356" s="372">
        <f t="shared" si="15"/>
        <v>550500</v>
      </c>
      <c r="F356" s="412"/>
      <c r="H356" s="160"/>
      <c r="I356" s="386"/>
    </row>
    <row r="357" spans="2:9">
      <c r="B357" s="201">
        <v>84</v>
      </c>
      <c r="C357" s="374" t="s">
        <v>1626</v>
      </c>
      <c r="D357" s="73" t="s">
        <v>63</v>
      </c>
      <c r="E357" s="372">
        <f t="shared" si="15"/>
        <v>599700</v>
      </c>
      <c r="F357" s="412"/>
      <c r="H357" s="160"/>
      <c r="I357" s="386"/>
    </row>
    <row r="358" spans="2:9">
      <c r="B358" s="201">
        <v>85</v>
      </c>
      <c r="C358" s="374" t="s">
        <v>1627</v>
      </c>
      <c r="D358" s="73" t="s">
        <v>63</v>
      </c>
      <c r="E358" s="372">
        <f t="shared" si="15"/>
        <v>45100</v>
      </c>
      <c r="F358" s="412"/>
      <c r="H358" s="160"/>
      <c r="I358" s="386"/>
    </row>
    <row r="359" spans="2:9">
      <c r="B359" s="201">
        <v>86</v>
      </c>
      <c r="C359" s="374" t="s">
        <v>1628</v>
      </c>
      <c r="D359" s="73" t="s">
        <v>63</v>
      </c>
      <c r="E359" s="372">
        <f t="shared" si="15"/>
        <v>128700</v>
      </c>
      <c r="F359" s="412"/>
      <c r="H359" s="160"/>
      <c r="I359" s="386"/>
    </row>
    <row r="360" spans="2:9">
      <c r="B360" s="201">
        <v>87</v>
      </c>
      <c r="C360" s="374" t="s">
        <v>1630</v>
      </c>
      <c r="D360" s="73" t="s">
        <v>63</v>
      </c>
      <c r="E360" s="372">
        <f t="shared" si="15"/>
        <v>1545900</v>
      </c>
      <c r="F360" s="412"/>
      <c r="H360" s="160"/>
      <c r="I360" s="386"/>
    </row>
    <row r="361" spans="2:9">
      <c r="B361" s="201">
        <v>88</v>
      </c>
      <c r="C361" s="374" t="s">
        <v>1631</v>
      </c>
      <c r="D361" s="73" t="s">
        <v>63</v>
      </c>
      <c r="E361" s="372">
        <f t="shared" si="15"/>
        <v>1316200</v>
      </c>
      <c r="F361" s="412"/>
      <c r="H361" s="160"/>
      <c r="I361" s="386"/>
    </row>
    <row r="362" spans="2:9">
      <c r="B362" s="201">
        <v>89</v>
      </c>
      <c r="C362" s="374" t="s">
        <v>1632</v>
      </c>
      <c r="D362" s="73" t="s">
        <v>63</v>
      </c>
      <c r="E362" s="372">
        <f t="shared" si="15"/>
        <v>67300</v>
      </c>
      <c r="F362" s="412"/>
      <c r="H362" s="160"/>
      <c r="I362" s="386"/>
    </row>
    <row r="363" spans="2:9">
      <c r="B363" s="201">
        <v>90</v>
      </c>
      <c r="C363" s="374" t="s">
        <v>1633</v>
      </c>
      <c r="D363" s="73" t="s">
        <v>63</v>
      </c>
      <c r="E363" s="372">
        <f t="shared" si="15"/>
        <v>463900</v>
      </c>
      <c r="F363" s="412"/>
      <c r="H363" s="160"/>
      <c r="I363" s="386"/>
    </row>
    <row r="364" spans="2:9" ht="15">
      <c r="B364" s="406" t="s">
        <v>2074</v>
      </c>
      <c r="C364" s="394" t="s">
        <v>2075</v>
      </c>
      <c r="D364" s="387"/>
      <c r="E364" s="395"/>
      <c r="F364" s="413"/>
      <c r="H364" s="160"/>
      <c r="I364" s="386"/>
    </row>
    <row r="365" spans="2:9">
      <c r="B365" s="201">
        <v>1</v>
      </c>
      <c r="C365" s="374" t="s">
        <v>1634</v>
      </c>
      <c r="D365" s="73" t="s">
        <v>63</v>
      </c>
      <c r="E365" s="372">
        <f t="shared" ref="E365:E410" si="16">VLOOKUP(C365,pintudanjendela,7,FALSE)</f>
        <v>909500</v>
      </c>
      <c r="F365" s="412"/>
      <c r="H365" s="160"/>
      <c r="I365" s="386"/>
    </row>
    <row r="366" spans="2:9">
      <c r="B366" s="201">
        <v>2</v>
      </c>
      <c r="C366" s="374" t="s">
        <v>1635</v>
      </c>
      <c r="D366" s="73" t="s">
        <v>63</v>
      </c>
      <c r="E366" s="372">
        <f t="shared" si="16"/>
        <v>951900</v>
      </c>
      <c r="F366" s="412"/>
      <c r="H366" s="160"/>
      <c r="I366" s="386"/>
    </row>
    <row r="367" spans="2:9">
      <c r="B367" s="201">
        <v>3</v>
      </c>
      <c r="C367" s="374" t="s">
        <v>1636</v>
      </c>
      <c r="D367" s="73" t="s">
        <v>63</v>
      </c>
      <c r="E367" s="372">
        <f t="shared" si="16"/>
        <v>953200</v>
      </c>
      <c r="F367" s="412"/>
      <c r="H367" s="160"/>
      <c r="I367" s="386"/>
    </row>
    <row r="368" spans="2:9">
      <c r="B368" s="201">
        <v>4</v>
      </c>
      <c r="C368" s="374" t="s">
        <v>1637</v>
      </c>
      <c r="D368" s="73" t="s">
        <v>63</v>
      </c>
      <c r="E368" s="372">
        <f t="shared" si="16"/>
        <v>1457000</v>
      </c>
      <c r="F368" s="412"/>
      <c r="H368" s="160"/>
      <c r="I368" s="386"/>
    </row>
    <row r="369" spans="2:9">
      <c r="B369" s="201">
        <v>5</v>
      </c>
      <c r="C369" s="374" t="s">
        <v>1640</v>
      </c>
      <c r="D369" s="73" t="s">
        <v>63</v>
      </c>
      <c r="E369" s="372">
        <f t="shared" si="16"/>
        <v>950600</v>
      </c>
      <c r="F369" s="412"/>
      <c r="H369" s="160"/>
      <c r="I369" s="386"/>
    </row>
    <row r="370" spans="2:9">
      <c r="B370" s="201">
        <v>6</v>
      </c>
      <c r="C370" s="374" t="s">
        <v>1641</v>
      </c>
      <c r="D370" s="73" t="s">
        <v>63</v>
      </c>
      <c r="E370" s="372">
        <f t="shared" si="16"/>
        <v>950600</v>
      </c>
      <c r="F370" s="412"/>
      <c r="H370" s="160"/>
      <c r="I370" s="386"/>
    </row>
    <row r="371" spans="2:9">
      <c r="B371" s="201">
        <v>7</v>
      </c>
      <c r="C371" s="374" t="s">
        <v>1642</v>
      </c>
      <c r="D371" s="73" t="s">
        <v>63</v>
      </c>
      <c r="E371" s="372">
        <f t="shared" si="16"/>
        <v>736400</v>
      </c>
      <c r="F371" s="412"/>
      <c r="H371" s="160"/>
      <c r="I371" s="386"/>
    </row>
    <row r="372" spans="2:9">
      <c r="B372" s="201">
        <v>8</v>
      </c>
      <c r="C372" s="374" t="s">
        <v>1643</v>
      </c>
      <c r="D372" s="73" t="s">
        <v>63</v>
      </c>
      <c r="E372" s="372">
        <f t="shared" si="16"/>
        <v>581800</v>
      </c>
      <c r="F372" s="412"/>
      <c r="H372" s="160"/>
      <c r="I372" s="386"/>
    </row>
    <row r="373" spans="2:9">
      <c r="B373" s="201">
        <v>9</v>
      </c>
      <c r="C373" s="374" t="s">
        <v>1644</v>
      </c>
      <c r="D373" s="73" t="s">
        <v>63</v>
      </c>
      <c r="E373" s="372">
        <f t="shared" si="16"/>
        <v>736300</v>
      </c>
      <c r="F373" s="412"/>
      <c r="H373" s="160"/>
      <c r="I373" s="386"/>
    </row>
    <row r="374" spans="2:9">
      <c r="B374" s="201">
        <v>10</v>
      </c>
      <c r="C374" s="374" t="s">
        <v>1645</v>
      </c>
      <c r="D374" s="73" t="s">
        <v>63</v>
      </c>
      <c r="E374" s="372">
        <f t="shared" si="16"/>
        <v>1648500</v>
      </c>
      <c r="F374" s="412"/>
      <c r="H374" s="160"/>
      <c r="I374" s="386"/>
    </row>
    <row r="375" spans="2:9">
      <c r="B375" s="201">
        <v>11</v>
      </c>
      <c r="C375" s="374" t="s">
        <v>1646</v>
      </c>
      <c r="D375" s="73" t="s">
        <v>63</v>
      </c>
      <c r="E375" s="372">
        <f t="shared" si="16"/>
        <v>1278900</v>
      </c>
      <c r="F375" s="412"/>
      <c r="H375" s="160"/>
      <c r="I375" s="386"/>
    </row>
    <row r="376" spans="2:9">
      <c r="B376" s="201">
        <v>12</v>
      </c>
      <c r="C376" s="374" t="s">
        <v>1647</v>
      </c>
      <c r="D376" s="73" t="s">
        <v>63</v>
      </c>
      <c r="E376" s="372">
        <f t="shared" si="16"/>
        <v>934700</v>
      </c>
      <c r="F376" s="412"/>
      <c r="H376" s="160"/>
      <c r="I376" s="386"/>
    </row>
    <row r="377" spans="2:9">
      <c r="B377" s="201">
        <v>13</v>
      </c>
      <c r="C377" s="374" t="s">
        <v>1648</v>
      </c>
      <c r="D377" s="73" t="s">
        <v>63</v>
      </c>
      <c r="E377" s="372">
        <f t="shared" si="16"/>
        <v>1003000</v>
      </c>
      <c r="F377" s="412"/>
      <c r="H377" s="160"/>
      <c r="I377" s="386"/>
    </row>
    <row r="378" spans="2:9">
      <c r="B378" s="201">
        <v>14</v>
      </c>
      <c r="C378" s="374" t="s">
        <v>1649</v>
      </c>
      <c r="D378" s="73" t="s">
        <v>44</v>
      </c>
      <c r="E378" s="372">
        <f t="shared" si="16"/>
        <v>11802600</v>
      </c>
      <c r="F378" s="412"/>
      <c r="H378" s="160"/>
      <c r="I378" s="386"/>
    </row>
    <row r="379" spans="2:9">
      <c r="B379" s="201">
        <v>15</v>
      </c>
      <c r="C379" s="374" t="s">
        <v>1650</v>
      </c>
      <c r="D379" s="73" t="s">
        <v>63</v>
      </c>
      <c r="E379" s="372">
        <f t="shared" si="16"/>
        <v>1402800</v>
      </c>
      <c r="F379" s="412"/>
      <c r="H379" s="160"/>
      <c r="I379" s="386"/>
    </row>
    <row r="380" spans="2:9">
      <c r="B380" s="201">
        <v>16</v>
      </c>
      <c r="C380" s="374" t="s">
        <v>1652</v>
      </c>
      <c r="D380" s="73" t="s">
        <v>44</v>
      </c>
      <c r="E380" s="372">
        <f t="shared" si="16"/>
        <v>9258800</v>
      </c>
      <c r="F380" s="412"/>
      <c r="H380" s="160"/>
      <c r="I380" s="386"/>
    </row>
    <row r="381" spans="2:9">
      <c r="B381" s="201">
        <v>17</v>
      </c>
      <c r="C381" s="374" t="s">
        <v>1653</v>
      </c>
      <c r="D381" s="73" t="s">
        <v>63</v>
      </c>
      <c r="E381" s="372">
        <f t="shared" si="16"/>
        <v>1444600</v>
      </c>
      <c r="F381" s="412"/>
      <c r="H381" s="160"/>
      <c r="I381" s="386"/>
    </row>
    <row r="382" spans="2:9">
      <c r="B382" s="201">
        <v>18</v>
      </c>
      <c r="C382" s="374" t="s">
        <v>1654</v>
      </c>
      <c r="D382" s="73" t="s">
        <v>63</v>
      </c>
      <c r="E382" s="372">
        <f t="shared" si="16"/>
        <v>368700</v>
      </c>
      <c r="F382" s="412"/>
      <c r="H382" s="160"/>
      <c r="I382" s="386"/>
    </row>
    <row r="383" spans="2:9">
      <c r="B383" s="201">
        <v>19</v>
      </c>
      <c r="C383" s="374" t="s">
        <v>1655</v>
      </c>
      <c r="D383" s="73" t="s">
        <v>63</v>
      </c>
      <c r="E383" s="372">
        <f t="shared" si="16"/>
        <v>407200</v>
      </c>
      <c r="F383" s="412"/>
      <c r="H383" s="160"/>
      <c r="I383" s="386"/>
    </row>
    <row r="384" spans="2:9">
      <c r="B384" s="201">
        <v>20</v>
      </c>
      <c r="C384" s="374" t="s">
        <v>1656</v>
      </c>
      <c r="D384" s="73" t="s">
        <v>114</v>
      </c>
      <c r="E384" s="372">
        <f t="shared" si="16"/>
        <v>175400</v>
      </c>
      <c r="F384" s="412"/>
      <c r="H384" s="160"/>
      <c r="I384" s="386"/>
    </row>
    <row r="385" spans="2:9">
      <c r="B385" s="201">
        <v>21</v>
      </c>
      <c r="C385" s="374" t="s">
        <v>1657</v>
      </c>
      <c r="D385" s="73" t="s">
        <v>114</v>
      </c>
      <c r="E385" s="372">
        <f t="shared" si="16"/>
        <v>314600</v>
      </c>
      <c r="F385" s="412"/>
      <c r="H385" s="160"/>
      <c r="I385" s="386"/>
    </row>
    <row r="386" spans="2:9">
      <c r="B386" s="201">
        <v>22</v>
      </c>
      <c r="C386" s="374" t="s">
        <v>1658</v>
      </c>
      <c r="D386" s="73" t="s">
        <v>114</v>
      </c>
      <c r="E386" s="372">
        <f t="shared" si="16"/>
        <v>375100</v>
      </c>
      <c r="F386" s="412"/>
      <c r="H386" s="160"/>
      <c r="I386" s="386"/>
    </row>
    <row r="387" spans="2:9">
      <c r="B387" s="201">
        <v>23</v>
      </c>
      <c r="C387" s="374" t="s">
        <v>1659</v>
      </c>
      <c r="D387" s="73" t="s">
        <v>114</v>
      </c>
      <c r="E387" s="372">
        <f t="shared" si="16"/>
        <v>191200</v>
      </c>
      <c r="F387" s="412"/>
      <c r="H387" s="160"/>
      <c r="I387" s="386"/>
    </row>
    <row r="388" spans="2:9">
      <c r="B388" s="201">
        <v>24</v>
      </c>
      <c r="C388" s="374" t="s">
        <v>1660</v>
      </c>
      <c r="D388" s="73" t="s">
        <v>114</v>
      </c>
      <c r="E388" s="372">
        <f t="shared" si="16"/>
        <v>220100</v>
      </c>
      <c r="F388" s="412"/>
      <c r="H388" s="160"/>
      <c r="I388" s="386"/>
    </row>
    <row r="389" spans="2:9">
      <c r="B389" s="201">
        <v>25</v>
      </c>
      <c r="C389" s="374" t="s">
        <v>1661</v>
      </c>
      <c r="D389" s="73" t="s">
        <v>63</v>
      </c>
      <c r="E389" s="372">
        <f t="shared" si="16"/>
        <v>1362800</v>
      </c>
      <c r="F389" s="412"/>
      <c r="H389" s="160"/>
      <c r="I389" s="386"/>
    </row>
    <row r="390" spans="2:9">
      <c r="B390" s="201">
        <v>26</v>
      </c>
      <c r="C390" s="374" t="s">
        <v>1662</v>
      </c>
      <c r="D390" s="73" t="s">
        <v>44</v>
      </c>
      <c r="E390" s="372">
        <f t="shared" si="16"/>
        <v>274100</v>
      </c>
      <c r="F390" s="412"/>
      <c r="H390" s="160"/>
      <c r="I390" s="386"/>
    </row>
    <row r="391" spans="2:9">
      <c r="B391" s="201">
        <v>27</v>
      </c>
      <c r="C391" s="374" t="s">
        <v>1663</v>
      </c>
      <c r="D391" s="73" t="s">
        <v>44</v>
      </c>
      <c r="E391" s="372">
        <f t="shared" si="16"/>
        <v>164100</v>
      </c>
      <c r="F391" s="412"/>
      <c r="H391" s="160"/>
      <c r="I391" s="386"/>
    </row>
    <row r="392" spans="2:9">
      <c r="B392" s="201">
        <v>28</v>
      </c>
      <c r="C392" s="374" t="s">
        <v>1664</v>
      </c>
      <c r="D392" s="73" t="s">
        <v>44</v>
      </c>
      <c r="E392" s="372">
        <f t="shared" si="16"/>
        <v>142800</v>
      </c>
      <c r="F392" s="412"/>
      <c r="H392" s="160"/>
      <c r="I392" s="386"/>
    </row>
    <row r="393" spans="2:9">
      <c r="B393" s="201">
        <v>29</v>
      </c>
      <c r="C393" s="374" t="s">
        <v>1665</v>
      </c>
      <c r="D393" s="73" t="s">
        <v>44</v>
      </c>
      <c r="E393" s="372">
        <f t="shared" si="16"/>
        <v>168200</v>
      </c>
      <c r="F393" s="412"/>
      <c r="H393" s="160"/>
      <c r="I393" s="386"/>
    </row>
    <row r="394" spans="2:9">
      <c r="B394" s="201">
        <v>30</v>
      </c>
      <c r="C394" s="374" t="s">
        <v>1666</v>
      </c>
      <c r="D394" s="73" t="s">
        <v>44</v>
      </c>
      <c r="E394" s="372">
        <f t="shared" si="16"/>
        <v>63400</v>
      </c>
      <c r="F394" s="412"/>
      <c r="H394" s="160"/>
      <c r="I394" s="386"/>
    </row>
    <row r="395" spans="2:9">
      <c r="B395" s="201">
        <v>31</v>
      </c>
      <c r="C395" s="374" t="s">
        <v>1667</v>
      </c>
      <c r="D395" s="73" t="s">
        <v>44</v>
      </c>
      <c r="E395" s="372">
        <f t="shared" si="16"/>
        <v>644500</v>
      </c>
      <c r="F395" s="412"/>
      <c r="H395" s="160"/>
      <c r="I395" s="386"/>
    </row>
    <row r="396" spans="2:9">
      <c r="B396" s="201">
        <v>32</v>
      </c>
      <c r="C396" s="374" t="s">
        <v>1668</v>
      </c>
      <c r="D396" s="73" t="s">
        <v>44</v>
      </c>
      <c r="E396" s="372">
        <f t="shared" si="16"/>
        <v>65000</v>
      </c>
      <c r="F396" s="412"/>
      <c r="H396" s="160"/>
      <c r="I396" s="386"/>
    </row>
    <row r="397" spans="2:9">
      <c r="B397" s="201">
        <v>33</v>
      </c>
      <c r="C397" s="374" t="s">
        <v>1669</v>
      </c>
      <c r="D397" s="73" t="s">
        <v>44</v>
      </c>
      <c r="E397" s="372">
        <f t="shared" si="16"/>
        <v>77400</v>
      </c>
      <c r="F397" s="412"/>
      <c r="H397" s="160"/>
      <c r="I397" s="386"/>
    </row>
    <row r="398" spans="2:9">
      <c r="B398" s="201">
        <v>34</v>
      </c>
      <c r="C398" s="374" t="s">
        <v>1670</v>
      </c>
      <c r="D398" s="73" t="s">
        <v>44</v>
      </c>
      <c r="E398" s="372">
        <f t="shared" si="16"/>
        <v>52600</v>
      </c>
      <c r="F398" s="412"/>
      <c r="H398" s="160"/>
      <c r="I398" s="386"/>
    </row>
    <row r="399" spans="2:9">
      <c r="B399" s="201">
        <v>35</v>
      </c>
      <c r="C399" s="374" t="s">
        <v>1671</v>
      </c>
      <c r="D399" s="73" t="s">
        <v>44</v>
      </c>
      <c r="E399" s="372">
        <f t="shared" si="16"/>
        <v>42000</v>
      </c>
      <c r="F399" s="412"/>
      <c r="H399" s="160"/>
      <c r="I399" s="386"/>
    </row>
    <row r="400" spans="2:9">
      <c r="B400" s="201">
        <v>36</v>
      </c>
      <c r="C400" s="374" t="s">
        <v>1672</v>
      </c>
      <c r="D400" s="73" t="s">
        <v>44</v>
      </c>
      <c r="E400" s="372">
        <f t="shared" si="16"/>
        <v>280400</v>
      </c>
      <c r="F400" s="412"/>
      <c r="H400" s="160"/>
      <c r="I400" s="386"/>
    </row>
    <row r="401" spans="2:9">
      <c r="B401" s="201">
        <v>37</v>
      </c>
      <c r="C401" s="374" t="s">
        <v>1673</v>
      </c>
      <c r="D401" s="73" t="s">
        <v>44</v>
      </c>
      <c r="E401" s="372">
        <f t="shared" si="16"/>
        <v>185300</v>
      </c>
      <c r="F401" s="412"/>
      <c r="H401" s="160"/>
      <c r="I401" s="386"/>
    </row>
    <row r="402" spans="2:9">
      <c r="B402" s="201">
        <v>38</v>
      </c>
      <c r="C402" s="374" t="s">
        <v>1674</v>
      </c>
      <c r="D402" s="73" t="s">
        <v>44</v>
      </c>
      <c r="E402" s="372">
        <f t="shared" si="16"/>
        <v>83500</v>
      </c>
      <c r="F402" s="412"/>
      <c r="H402" s="160"/>
      <c r="I402" s="386"/>
    </row>
    <row r="403" spans="2:9">
      <c r="B403" s="201">
        <v>39</v>
      </c>
      <c r="C403" s="374" t="s">
        <v>1675</v>
      </c>
      <c r="D403" s="73" t="s">
        <v>44</v>
      </c>
      <c r="E403" s="372">
        <f t="shared" si="16"/>
        <v>382800</v>
      </c>
      <c r="F403" s="412"/>
      <c r="H403" s="160"/>
      <c r="I403" s="386"/>
    </row>
    <row r="404" spans="2:9">
      <c r="B404" s="201">
        <v>40</v>
      </c>
      <c r="C404" s="374" t="s">
        <v>1676</v>
      </c>
      <c r="D404" s="73" t="s">
        <v>44</v>
      </c>
      <c r="E404" s="372">
        <f t="shared" si="16"/>
        <v>255900</v>
      </c>
      <c r="F404" s="412"/>
      <c r="H404" s="160"/>
      <c r="I404" s="386"/>
    </row>
    <row r="405" spans="2:9">
      <c r="B405" s="201">
        <v>41</v>
      </c>
      <c r="C405" s="374" t="s">
        <v>1677</v>
      </c>
      <c r="D405" s="73" t="s">
        <v>63</v>
      </c>
      <c r="E405" s="372">
        <f t="shared" si="16"/>
        <v>613600</v>
      </c>
      <c r="F405" s="412"/>
      <c r="H405" s="160"/>
      <c r="I405" s="386"/>
    </row>
    <row r="406" spans="2:9">
      <c r="B406" s="201">
        <v>42</v>
      </c>
      <c r="C406" s="374" t="s">
        <v>1680</v>
      </c>
      <c r="D406" s="73" t="s">
        <v>63</v>
      </c>
      <c r="E406" s="372">
        <f t="shared" si="16"/>
        <v>64400</v>
      </c>
      <c r="F406" s="412"/>
      <c r="H406" s="160"/>
      <c r="I406" s="386"/>
    </row>
    <row r="407" spans="2:9">
      <c r="B407" s="201">
        <v>43</v>
      </c>
      <c r="C407" s="374" t="s">
        <v>1681</v>
      </c>
      <c r="D407" s="73" t="s">
        <v>44</v>
      </c>
      <c r="E407" s="372">
        <f t="shared" si="16"/>
        <v>161000</v>
      </c>
      <c r="F407" s="412"/>
      <c r="H407" s="160"/>
      <c r="I407" s="386"/>
    </row>
    <row r="408" spans="2:9">
      <c r="B408" s="201">
        <v>44</v>
      </c>
      <c r="C408" s="374" t="s">
        <v>1682</v>
      </c>
      <c r="D408" s="73" t="s">
        <v>44</v>
      </c>
      <c r="E408" s="372">
        <f t="shared" si="16"/>
        <v>62400</v>
      </c>
      <c r="F408" s="412"/>
      <c r="H408" s="160"/>
      <c r="I408" s="386"/>
    </row>
    <row r="409" spans="2:9">
      <c r="B409" s="201">
        <v>45</v>
      </c>
      <c r="C409" s="374" t="s">
        <v>1683</v>
      </c>
      <c r="D409" s="73" t="s">
        <v>44</v>
      </c>
      <c r="E409" s="372">
        <f t="shared" si="16"/>
        <v>45300</v>
      </c>
      <c r="F409" s="412"/>
      <c r="H409" s="160"/>
      <c r="I409" s="386"/>
    </row>
    <row r="410" spans="2:9">
      <c r="B410" s="201">
        <v>46</v>
      </c>
      <c r="C410" s="374" t="s">
        <v>1684</v>
      </c>
      <c r="D410" s="73" t="s">
        <v>44</v>
      </c>
      <c r="E410" s="372">
        <f t="shared" si="16"/>
        <v>208200</v>
      </c>
      <c r="F410" s="412"/>
      <c r="H410" s="160"/>
      <c r="I410" s="386"/>
    </row>
    <row r="411" spans="2:9" ht="15">
      <c r="B411" s="406" t="s">
        <v>2076</v>
      </c>
      <c r="C411" s="394" t="s">
        <v>2077</v>
      </c>
      <c r="D411" s="396"/>
      <c r="E411" s="397"/>
      <c r="F411" s="414"/>
      <c r="H411" s="160"/>
      <c r="I411" s="386"/>
    </row>
    <row r="412" spans="2:9">
      <c r="B412" s="201">
        <v>1</v>
      </c>
      <c r="C412" s="374" t="s">
        <v>1685</v>
      </c>
      <c r="D412" s="73" t="s">
        <v>63</v>
      </c>
      <c r="E412" s="372">
        <f t="shared" ref="E412:E425" si="17">VLOOKUP(C412,kaca,7,FALSE)</f>
        <v>573900</v>
      </c>
      <c r="F412" s="412"/>
      <c r="H412" s="160"/>
      <c r="I412" s="386"/>
    </row>
    <row r="413" spans="2:9">
      <c r="B413" s="201">
        <v>2</v>
      </c>
      <c r="C413" s="374" t="s">
        <v>1686</v>
      </c>
      <c r="D413" s="73" t="s">
        <v>63</v>
      </c>
      <c r="E413" s="372">
        <f t="shared" si="17"/>
        <v>175800</v>
      </c>
      <c r="F413" s="412"/>
      <c r="H413" s="160"/>
      <c r="I413" s="386"/>
    </row>
    <row r="414" spans="2:9">
      <c r="B414" s="201">
        <v>3</v>
      </c>
      <c r="C414" s="374" t="s">
        <v>1687</v>
      </c>
      <c r="D414" s="73" t="s">
        <v>63</v>
      </c>
      <c r="E414" s="372">
        <f t="shared" si="17"/>
        <v>270200</v>
      </c>
      <c r="F414" s="412"/>
      <c r="H414" s="160"/>
      <c r="I414" s="386"/>
    </row>
    <row r="415" spans="2:9">
      <c r="B415" s="201">
        <v>4</v>
      </c>
      <c r="C415" s="374" t="s">
        <v>1688</v>
      </c>
      <c r="D415" s="73" t="s">
        <v>63</v>
      </c>
      <c r="E415" s="372">
        <f t="shared" si="17"/>
        <v>319300</v>
      </c>
      <c r="F415" s="412"/>
      <c r="H415" s="160"/>
      <c r="I415" s="386"/>
    </row>
    <row r="416" spans="2:9">
      <c r="B416" s="201">
        <v>5</v>
      </c>
      <c r="C416" s="374" t="s">
        <v>1689</v>
      </c>
      <c r="D416" s="73" t="s">
        <v>63</v>
      </c>
      <c r="E416" s="372">
        <f t="shared" si="17"/>
        <v>309100</v>
      </c>
      <c r="F416" s="412"/>
      <c r="H416" s="160"/>
      <c r="I416" s="386"/>
    </row>
    <row r="417" spans="2:9">
      <c r="B417" s="201">
        <v>6</v>
      </c>
      <c r="C417" s="374" t="s">
        <v>1690</v>
      </c>
      <c r="D417" s="73" t="s">
        <v>63</v>
      </c>
      <c r="E417" s="372">
        <f t="shared" si="17"/>
        <v>434100</v>
      </c>
      <c r="F417" s="412"/>
      <c r="H417" s="160"/>
      <c r="I417" s="386"/>
    </row>
    <row r="418" spans="2:9">
      <c r="B418" s="201">
        <v>7</v>
      </c>
      <c r="C418" s="374" t="s">
        <v>1691</v>
      </c>
      <c r="D418" s="73" t="s">
        <v>63</v>
      </c>
      <c r="E418" s="372">
        <f t="shared" si="17"/>
        <v>268600</v>
      </c>
      <c r="F418" s="412"/>
      <c r="H418" s="160"/>
      <c r="I418" s="386"/>
    </row>
    <row r="419" spans="2:9">
      <c r="B419" s="201">
        <v>8</v>
      </c>
      <c r="C419" s="374" t="s">
        <v>1692</v>
      </c>
      <c r="D419" s="73" t="s">
        <v>63</v>
      </c>
      <c r="E419" s="372">
        <f t="shared" si="17"/>
        <v>995900</v>
      </c>
      <c r="F419" s="412"/>
      <c r="H419" s="160"/>
      <c r="I419" s="386"/>
    </row>
    <row r="420" spans="2:9">
      <c r="B420" s="201">
        <v>9</v>
      </c>
      <c r="C420" s="374" t="s">
        <v>1693</v>
      </c>
      <c r="D420" s="73" t="s">
        <v>63</v>
      </c>
      <c r="E420" s="372">
        <f t="shared" si="17"/>
        <v>204000</v>
      </c>
      <c r="F420" s="412"/>
      <c r="H420" s="160"/>
      <c r="I420" s="386"/>
    </row>
    <row r="421" spans="2:9">
      <c r="B421" s="201">
        <v>10</v>
      </c>
      <c r="C421" s="374" t="s">
        <v>1694</v>
      </c>
      <c r="D421" s="73" t="s">
        <v>63</v>
      </c>
      <c r="E421" s="372">
        <f t="shared" si="17"/>
        <v>1871900</v>
      </c>
      <c r="F421" s="412"/>
      <c r="H421" s="160"/>
      <c r="I421" s="386"/>
    </row>
    <row r="422" spans="2:9">
      <c r="B422" s="201">
        <v>11</v>
      </c>
      <c r="C422" s="374" t="s">
        <v>1695</v>
      </c>
      <c r="D422" s="73" t="s">
        <v>63</v>
      </c>
      <c r="E422" s="372">
        <f t="shared" si="17"/>
        <v>1672400</v>
      </c>
      <c r="F422" s="412"/>
      <c r="H422" s="160"/>
      <c r="I422" s="386"/>
    </row>
    <row r="423" spans="2:9">
      <c r="B423" s="201">
        <v>12</v>
      </c>
      <c r="C423" s="374" t="s">
        <v>1696</v>
      </c>
      <c r="D423" s="73" t="s">
        <v>63</v>
      </c>
      <c r="E423" s="372">
        <f t="shared" si="17"/>
        <v>1857000</v>
      </c>
      <c r="F423" s="412"/>
      <c r="H423" s="160"/>
      <c r="I423" s="386"/>
    </row>
    <row r="424" spans="2:9">
      <c r="B424" s="201">
        <v>13</v>
      </c>
      <c r="C424" s="374" t="s">
        <v>1697</v>
      </c>
      <c r="D424" s="73" t="s">
        <v>63</v>
      </c>
      <c r="E424" s="372">
        <f t="shared" si="17"/>
        <v>771300</v>
      </c>
      <c r="F424" s="412"/>
      <c r="H424" s="160"/>
      <c r="I424" s="386"/>
    </row>
    <row r="425" spans="2:9">
      <c r="B425" s="201">
        <v>14</v>
      </c>
      <c r="C425" s="374" t="s">
        <v>1698</v>
      </c>
      <c r="D425" s="73" t="s">
        <v>63</v>
      </c>
      <c r="E425" s="372">
        <f t="shared" si="17"/>
        <v>1329000</v>
      </c>
      <c r="F425" s="412"/>
      <c r="H425" s="160"/>
      <c r="I425" s="386"/>
    </row>
    <row r="426" spans="2:9" ht="15">
      <c r="B426" s="406" t="s">
        <v>2078</v>
      </c>
      <c r="C426" s="394" t="s">
        <v>2079</v>
      </c>
      <c r="D426" s="396"/>
      <c r="E426" s="398"/>
      <c r="F426" s="414"/>
      <c r="H426" s="160"/>
      <c r="I426" s="386"/>
    </row>
    <row r="427" spans="2:9">
      <c r="B427" s="201">
        <v>1</v>
      </c>
      <c r="C427" s="374" t="s">
        <v>1699</v>
      </c>
      <c r="D427" s="73" t="s">
        <v>114</v>
      </c>
      <c r="E427" s="372">
        <f t="shared" ref="E427:E432" si="18">VLOOKUP(C427,besidanaluminium,7,FALSE)</f>
        <v>88600</v>
      </c>
      <c r="F427" s="412"/>
      <c r="H427" s="160"/>
      <c r="I427" s="386"/>
    </row>
    <row r="428" spans="2:9">
      <c r="B428" s="201">
        <v>2</v>
      </c>
      <c r="C428" s="374" t="s">
        <v>1700</v>
      </c>
      <c r="D428" s="73" t="s">
        <v>63</v>
      </c>
      <c r="E428" s="372">
        <f t="shared" si="18"/>
        <v>740300</v>
      </c>
      <c r="F428" s="412"/>
      <c r="H428" s="160"/>
      <c r="I428" s="386"/>
    </row>
    <row r="429" spans="2:9">
      <c r="B429" s="201">
        <v>3</v>
      </c>
      <c r="C429" s="374" t="s">
        <v>1701</v>
      </c>
      <c r="D429" s="73" t="s">
        <v>63</v>
      </c>
      <c r="E429" s="372">
        <f t="shared" si="18"/>
        <v>614200</v>
      </c>
      <c r="F429" s="412"/>
      <c r="H429" s="160"/>
      <c r="I429" s="386"/>
    </row>
    <row r="430" spans="2:9">
      <c r="B430" s="201">
        <v>4</v>
      </c>
      <c r="C430" s="374" t="s">
        <v>1704</v>
      </c>
      <c r="D430" s="73" t="s">
        <v>114</v>
      </c>
      <c r="E430" s="372">
        <f t="shared" si="18"/>
        <v>32700</v>
      </c>
      <c r="F430" s="412"/>
      <c r="H430" s="160"/>
      <c r="I430" s="386"/>
    </row>
    <row r="431" spans="2:9">
      <c r="B431" s="201">
        <v>5</v>
      </c>
      <c r="C431" s="374" t="s">
        <v>1706</v>
      </c>
      <c r="D431" s="73" t="s">
        <v>114</v>
      </c>
      <c r="E431" s="372">
        <f t="shared" si="18"/>
        <v>537700</v>
      </c>
      <c r="F431" s="412"/>
      <c r="H431" s="160"/>
      <c r="I431" s="386"/>
    </row>
    <row r="432" spans="2:9">
      <c r="B432" s="201">
        <v>6</v>
      </c>
      <c r="C432" s="374" t="s">
        <v>1707</v>
      </c>
      <c r="D432" s="73" t="s">
        <v>114</v>
      </c>
      <c r="E432" s="372">
        <f t="shared" si="18"/>
        <v>307800</v>
      </c>
      <c r="F432" s="412"/>
      <c r="H432" s="160"/>
      <c r="I432" s="386"/>
    </row>
    <row r="433" spans="2:9" ht="15">
      <c r="B433" s="402" t="s">
        <v>2080</v>
      </c>
      <c r="C433" s="388" t="s">
        <v>2081</v>
      </c>
      <c r="D433" s="389"/>
      <c r="E433" s="390"/>
      <c r="F433" s="403"/>
      <c r="H433" s="160"/>
      <c r="I433" s="386"/>
    </row>
    <row r="434" spans="2:9">
      <c r="B434" s="201">
        <v>1</v>
      </c>
      <c r="C434" s="374" t="s">
        <v>1708</v>
      </c>
      <c r="D434" s="73" t="s">
        <v>63</v>
      </c>
      <c r="E434" s="372">
        <f>VLOOKUP(C434,kayu,7,FALSE)</f>
        <v>922800</v>
      </c>
      <c r="F434" s="147"/>
      <c r="H434" s="160"/>
      <c r="I434" s="386"/>
    </row>
    <row r="435" spans="2:9">
      <c r="B435" s="201">
        <v>2</v>
      </c>
      <c r="C435" s="374" t="s">
        <v>1709</v>
      </c>
      <c r="D435" s="73" t="s">
        <v>63</v>
      </c>
      <c r="E435" s="372">
        <f>VLOOKUP(C435,kayu,7,FALSE)</f>
        <v>1025300</v>
      </c>
      <c r="F435" s="147"/>
      <c r="H435" s="160"/>
      <c r="I435" s="386"/>
    </row>
    <row r="436" spans="2:9" ht="15">
      <c r="B436" s="402" t="s">
        <v>2082</v>
      </c>
      <c r="C436" s="388" t="s">
        <v>2083</v>
      </c>
      <c r="D436" s="389"/>
      <c r="E436" s="390"/>
      <c r="F436" s="403"/>
      <c r="H436" s="160"/>
      <c r="I436" s="386"/>
    </row>
    <row r="437" spans="2:9">
      <c r="B437" s="201">
        <v>1</v>
      </c>
      <c r="C437" s="374" t="s">
        <v>1710</v>
      </c>
      <c r="D437" s="73" t="s">
        <v>63</v>
      </c>
      <c r="E437" s="372">
        <f t="shared" ref="E437:E460" si="19">VLOOKUP(C437,pengecatandanpelitur,7,FALSE)</f>
        <v>18600</v>
      </c>
      <c r="F437" s="147"/>
      <c r="H437" s="160"/>
      <c r="I437" s="386"/>
    </row>
    <row r="438" spans="2:9">
      <c r="B438" s="201">
        <v>2</v>
      </c>
      <c r="C438" s="374" t="s">
        <v>1711</v>
      </c>
      <c r="D438" s="73" t="s">
        <v>63</v>
      </c>
      <c r="E438" s="372">
        <f t="shared" si="19"/>
        <v>18700</v>
      </c>
      <c r="F438" s="147"/>
      <c r="H438" s="160"/>
      <c r="I438" s="386"/>
    </row>
    <row r="439" spans="2:9">
      <c r="B439" s="201">
        <v>3</v>
      </c>
      <c r="C439" s="374" t="s">
        <v>1712</v>
      </c>
      <c r="D439" s="73" t="s">
        <v>63</v>
      </c>
      <c r="E439" s="372">
        <f t="shared" si="19"/>
        <v>18700</v>
      </c>
      <c r="F439" s="147"/>
      <c r="H439" s="160"/>
      <c r="I439" s="386"/>
    </row>
    <row r="440" spans="2:9">
      <c r="B440" s="201">
        <v>4</v>
      </c>
      <c r="C440" s="374" t="s">
        <v>1713</v>
      </c>
      <c r="D440" s="73" t="s">
        <v>63</v>
      </c>
      <c r="E440" s="372">
        <f t="shared" si="19"/>
        <v>47300</v>
      </c>
      <c r="F440" s="147"/>
      <c r="H440" s="160"/>
      <c r="I440" s="386"/>
    </row>
    <row r="441" spans="2:9">
      <c r="B441" s="201">
        <v>5</v>
      </c>
      <c r="C441" s="374" t="s">
        <v>1714</v>
      </c>
      <c r="D441" s="73" t="s">
        <v>63</v>
      </c>
      <c r="E441" s="372">
        <f t="shared" si="19"/>
        <v>70500</v>
      </c>
      <c r="F441" s="147"/>
      <c r="H441" s="160"/>
      <c r="I441" s="386"/>
    </row>
    <row r="442" spans="2:9">
      <c r="B442" s="201">
        <v>6</v>
      </c>
      <c r="C442" s="374" t="s">
        <v>1715</v>
      </c>
      <c r="D442" s="73" t="s">
        <v>63</v>
      </c>
      <c r="E442" s="372">
        <f t="shared" si="19"/>
        <v>27300</v>
      </c>
      <c r="F442" s="147"/>
      <c r="H442" s="160"/>
      <c r="I442" s="386"/>
    </row>
    <row r="443" spans="2:9">
      <c r="B443" s="201">
        <v>7</v>
      </c>
      <c r="C443" s="374" t="s">
        <v>1716</v>
      </c>
      <c r="D443" s="73" t="s">
        <v>63</v>
      </c>
      <c r="E443" s="372">
        <f t="shared" si="19"/>
        <v>63100</v>
      </c>
      <c r="F443" s="147"/>
      <c r="H443" s="160"/>
      <c r="I443" s="386"/>
    </row>
    <row r="444" spans="2:9">
      <c r="B444" s="201">
        <v>8</v>
      </c>
      <c r="C444" s="374" t="s">
        <v>1717</v>
      </c>
      <c r="D444" s="73" t="s">
        <v>63</v>
      </c>
      <c r="E444" s="372">
        <f t="shared" si="19"/>
        <v>19800</v>
      </c>
      <c r="F444" s="147"/>
      <c r="H444" s="160"/>
      <c r="I444" s="386"/>
    </row>
    <row r="445" spans="2:9">
      <c r="B445" s="201">
        <v>9</v>
      </c>
      <c r="C445" s="374" t="s">
        <v>1718</v>
      </c>
      <c r="D445" s="73" t="s">
        <v>63</v>
      </c>
      <c r="E445" s="372">
        <f t="shared" si="19"/>
        <v>56200</v>
      </c>
      <c r="F445" s="147"/>
      <c r="H445" s="160"/>
      <c r="I445" s="386"/>
    </row>
    <row r="446" spans="2:9">
      <c r="B446" s="201">
        <v>10</v>
      </c>
      <c r="C446" s="373" t="s">
        <v>1719</v>
      </c>
      <c r="D446" s="73" t="s">
        <v>63</v>
      </c>
      <c r="E446" s="372">
        <f t="shared" si="19"/>
        <v>72700</v>
      </c>
      <c r="F446" s="412"/>
      <c r="H446" s="160"/>
      <c r="I446" s="386"/>
    </row>
    <row r="447" spans="2:9">
      <c r="B447" s="201">
        <v>11</v>
      </c>
      <c r="C447" s="374" t="s">
        <v>1720</v>
      </c>
      <c r="D447" s="73" t="s">
        <v>63</v>
      </c>
      <c r="E447" s="372">
        <f t="shared" si="19"/>
        <v>72600</v>
      </c>
      <c r="F447" s="412"/>
      <c r="H447" s="160"/>
      <c r="I447" s="386"/>
    </row>
    <row r="448" spans="2:9">
      <c r="B448" s="201">
        <v>12</v>
      </c>
      <c r="C448" s="374" t="s">
        <v>1721</v>
      </c>
      <c r="D448" s="73" t="s">
        <v>63</v>
      </c>
      <c r="E448" s="372">
        <f t="shared" si="19"/>
        <v>56100</v>
      </c>
      <c r="F448" s="412"/>
      <c r="H448" s="160"/>
      <c r="I448" s="386"/>
    </row>
    <row r="449" spans="2:9">
      <c r="B449" s="201">
        <v>13</v>
      </c>
      <c r="C449" s="374" t="s">
        <v>1722</v>
      </c>
      <c r="D449" s="73" t="s">
        <v>63</v>
      </c>
      <c r="E449" s="372">
        <f t="shared" si="19"/>
        <v>58500</v>
      </c>
      <c r="F449" s="412"/>
      <c r="H449" s="160"/>
      <c r="I449" s="386"/>
    </row>
    <row r="450" spans="2:9">
      <c r="B450" s="201">
        <v>14</v>
      </c>
      <c r="C450" s="374" t="s">
        <v>1723</v>
      </c>
      <c r="D450" s="73" t="s">
        <v>63</v>
      </c>
      <c r="E450" s="372">
        <f t="shared" si="19"/>
        <v>26500</v>
      </c>
      <c r="F450" s="412"/>
      <c r="H450" s="160"/>
      <c r="I450" s="386"/>
    </row>
    <row r="451" spans="2:9">
      <c r="B451" s="201">
        <v>15</v>
      </c>
      <c r="C451" s="374" t="s">
        <v>1724</v>
      </c>
      <c r="D451" s="73" t="s">
        <v>63</v>
      </c>
      <c r="E451" s="372">
        <f t="shared" si="19"/>
        <v>16700</v>
      </c>
      <c r="F451" s="412"/>
      <c r="H451" s="160"/>
      <c r="I451" s="386"/>
    </row>
    <row r="452" spans="2:9">
      <c r="B452" s="201">
        <v>16</v>
      </c>
      <c r="C452" s="373" t="s">
        <v>1725</v>
      </c>
      <c r="D452" s="73" t="s">
        <v>63</v>
      </c>
      <c r="E452" s="372">
        <f t="shared" si="19"/>
        <v>75700</v>
      </c>
      <c r="F452" s="412"/>
      <c r="H452" s="160"/>
      <c r="I452" s="386"/>
    </row>
    <row r="453" spans="2:9">
      <c r="B453" s="201">
        <v>17</v>
      </c>
      <c r="C453" s="374" t="s">
        <v>1726</v>
      </c>
      <c r="D453" s="73" t="s">
        <v>63</v>
      </c>
      <c r="E453" s="372">
        <f t="shared" si="19"/>
        <v>209800</v>
      </c>
      <c r="F453" s="412"/>
      <c r="H453" s="160"/>
      <c r="I453" s="386"/>
    </row>
    <row r="454" spans="2:9">
      <c r="B454" s="201">
        <v>18</v>
      </c>
      <c r="C454" s="374" t="s">
        <v>1727</v>
      </c>
      <c r="D454" s="73" t="s">
        <v>63</v>
      </c>
      <c r="E454" s="372">
        <f t="shared" si="19"/>
        <v>43200</v>
      </c>
      <c r="F454" s="412"/>
      <c r="H454" s="160"/>
      <c r="I454" s="386"/>
    </row>
    <row r="455" spans="2:9">
      <c r="B455" s="201">
        <v>19</v>
      </c>
      <c r="C455" s="374" t="s">
        <v>1728</v>
      </c>
      <c r="D455" s="73" t="s">
        <v>63</v>
      </c>
      <c r="E455" s="372">
        <f t="shared" si="19"/>
        <v>78400</v>
      </c>
      <c r="F455" s="412"/>
      <c r="H455" s="160"/>
      <c r="I455" s="386"/>
    </row>
    <row r="456" spans="2:9">
      <c r="B456" s="201">
        <v>20</v>
      </c>
      <c r="C456" s="374" t="s">
        <v>1729</v>
      </c>
      <c r="D456" s="73" t="s">
        <v>63</v>
      </c>
      <c r="E456" s="372">
        <f t="shared" si="19"/>
        <v>89100</v>
      </c>
      <c r="F456" s="412"/>
      <c r="H456" s="160"/>
      <c r="I456" s="386"/>
    </row>
    <row r="457" spans="2:9">
      <c r="B457" s="201">
        <v>21</v>
      </c>
      <c r="C457" s="374" t="s">
        <v>1730</v>
      </c>
      <c r="D457" s="73" t="s">
        <v>63</v>
      </c>
      <c r="E457" s="372">
        <f t="shared" si="19"/>
        <v>35800</v>
      </c>
      <c r="F457" s="412"/>
      <c r="H457" s="160"/>
      <c r="I457" s="386"/>
    </row>
    <row r="458" spans="2:9">
      <c r="B458" s="201">
        <v>22</v>
      </c>
      <c r="C458" s="373" t="s">
        <v>1731</v>
      </c>
      <c r="D458" s="73" t="s">
        <v>63</v>
      </c>
      <c r="E458" s="372">
        <f t="shared" si="19"/>
        <v>59700</v>
      </c>
      <c r="F458" s="412"/>
      <c r="H458" s="160"/>
      <c r="I458" s="386"/>
    </row>
    <row r="459" spans="2:9">
      <c r="B459" s="201">
        <v>23</v>
      </c>
      <c r="C459" s="373" t="s">
        <v>1732</v>
      </c>
      <c r="D459" s="73" t="s">
        <v>63</v>
      </c>
      <c r="E459" s="372">
        <f t="shared" si="19"/>
        <v>91200</v>
      </c>
      <c r="F459" s="412"/>
      <c r="H459" s="160"/>
      <c r="I459" s="386"/>
    </row>
    <row r="460" spans="2:9">
      <c r="B460" s="201">
        <v>24</v>
      </c>
      <c r="C460" s="373" t="s">
        <v>1733</v>
      </c>
      <c r="D460" s="73" t="s">
        <v>63</v>
      </c>
      <c r="E460" s="372">
        <f t="shared" si="19"/>
        <v>300700</v>
      </c>
      <c r="F460" s="412"/>
      <c r="H460" s="160"/>
      <c r="I460" s="386"/>
    </row>
    <row r="461" spans="2:9" ht="15">
      <c r="B461" s="406" t="s">
        <v>2084</v>
      </c>
      <c r="C461" s="393" t="s">
        <v>2085</v>
      </c>
      <c r="D461" s="387"/>
      <c r="E461" s="399"/>
      <c r="F461" s="413"/>
      <c r="H461" s="160"/>
      <c r="I461" s="386"/>
    </row>
    <row r="462" spans="2:9">
      <c r="B462" s="201">
        <v>1</v>
      </c>
      <c r="C462" s="373" t="s">
        <v>1734</v>
      </c>
      <c r="D462" s="73" t="s">
        <v>44</v>
      </c>
      <c r="E462" s="372">
        <f>VLOOKUP(C462,signage,7,FALSE)</f>
        <v>2900500</v>
      </c>
      <c r="F462" s="412"/>
      <c r="H462" s="160"/>
      <c r="I462" s="386"/>
    </row>
    <row r="463" spans="2:9">
      <c r="B463" s="201">
        <v>2</v>
      </c>
      <c r="C463" s="373" t="s">
        <v>1736</v>
      </c>
      <c r="D463" s="73" t="s">
        <v>63</v>
      </c>
      <c r="E463" s="372">
        <f>VLOOKUP(C463,signage,7,FALSE)</f>
        <v>169000</v>
      </c>
      <c r="F463" s="412"/>
      <c r="H463" s="160"/>
      <c r="I463" s="386"/>
    </row>
    <row r="464" spans="2:9">
      <c r="B464" s="201">
        <v>3</v>
      </c>
      <c r="C464" s="373" t="s">
        <v>1737</v>
      </c>
      <c r="D464" s="73" t="s">
        <v>63</v>
      </c>
      <c r="E464" s="372">
        <f>VLOOKUP(C464,signage,7,FALSE)</f>
        <v>123100</v>
      </c>
      <c r="F464" s="412"/>
      <c r="H464" s="160"/>
      <c r="I464" s="386"/>
    </row>
    <row r="465" spans="2:9" ht="15">
      <c r="B465" s="402" t="s">
        <v>2086</v>
      </c>
      <c r="C465" s="388" t="s">
        <v>2087</v>
      </c>
      <c r="D465" s="389"/>
      <c r="E465" s="390"/>
      <c r="F465" s="403"/>
      <c r="H465" s="160"/>
      <c r="I465" s="386"/>
    </row>
    <row r="466" spans="2:9">
      <c r="B466" s="201">
        <v>1</v>
      </c>
      <c r="C466" s="374" t="s">
        <v>1738</v>
      </c>
      <c r="D466" s="73" t="s">
        <v>44</v>
      </c>
      <c r="E466" s="372">
        <f t="shared" ref="E466:E488" si="20">VLOOKUP(C466,sanitair,7,FALSE)</f>
        <v>2009900</v>
      </c>
      <c r="F466" s="147"/>
      <c r="H466" s="160"/>
      <c r="I466" s="386"/>
    </row>
    <row r="467" spans="2:9">
      <c r="B467" s="201">
        <v>2</v>
      </c>
      <c r="C467" s="374" t="s">
        <v>1739</v>
      </c>
      <c r="D467" s="73" t="s">
        <v>44</v>
      </c>
      <c r="E467" s="372">
        <f t="shared" si="20"/>
        <v>425800</v>
      </c>
      <c r="F467" s="147"/>
      <c r="H467" s="160"/>
      <c r="I467" s="386"/>
    </row>
    <row r="468" spans="2:9">
      <c r="B468" s="201">
        <v>3</v>
      </c>
      <c r="C468" s="374" t="s">
        <v>1741</v>
      </c>
      <c r="D468" s="73" t="s">
        <v>63</v>
      </c>
      <c r="E468" s="372">
        <f t="shared" si="20"/>
        <v>1445600</v>
      </c>
      <c r="F468" s="147"/>
      <c r="H468" s="160"/>
      <c r="I468" s="386"/>
    </row>
    <row r="469" spans="2:9">
      <c r="B469" s="201">
        <v>4</v>
      </c>
      <c r="C469" s="374" t="s">
        <v>1742</v>
      </c>
      <c r="D469" s="73" t="s">
        <v>44</v>
      </c>
      <c r="E469" s="372">
        <f t="shared" si="20"/>
        <v>805300</v>
      </c>
      <c r="F469" s="147"/>
      <c r="H469" s="160"/>
      <c r="I469" s="386"/>
    </row>
    <row r="470" spans="2:9">
      <c r="B470" s="201">
        <v>5</v>
      </c>
      <c r="C470" s="374" t="s">
        <v>1743</v>
      </c>
      <c r="D470" s="73" t="s">
        <v>44</v>
      </c>
      <c r="E470" s="372">
        <f t="shared" si="20"/>
        <v>1006400</v>
      </c>
      <c r="F470" s="147"/>
      <c r="H470" s="160"/>
      <c r="I470" s="386"/>
    </row>
    <row r="471" spans="2:9">
      <c r="B471" s="201">
        <v>6</v>
      </c>
      <c r="C471" s="374" t="s">
        <v>1744</v>
      </c>
      <c r="D471" s="73" t="s">
        <v>44</v>
      </c>
      <c r="E471" s="372">
        <f t="shared" si="20"/>
        <v>641400</v>
      </c>
      <c r="F471" s="147"/>
      <c r="H471" s="160"/>
      <c r="I471" s="386"/>
    </row>
    <row r="472" spans="2:9">
      <c r="B472" s="201">
        <v>7</v>
      </c>
      <c r="C472" s="374" t="s">
        <v>2142</v>
      </c>
      <c r="D472" s="73" t="s">
        <v>44</v>
      </c>
      <c r="E472" s="372">
        <f t="shared" si="20"/>
        <v>1701400</v>
      </c>
      <c r="F472" s="147"/>
      <c r="H472" s="160"/>
      <c r="I472" s="386"/>
    </row>
    <row r="473" spans="2:9">
      <c r="B473" s="201">
        <v>8</v>
      </c>
      <c r="C473" s="374" t="s">
        <v>2143</v>
      </c>
      <c r="D473" s="73" t="s">
        <v>44</v>
      </c>
      <c r="E473" s="372">
        <f t="shared" si="20"/>
        <v>1977800</v>
      </c>
      <c r="F473" s="147"/>
      <c r="H473" s="160"/>
      <c r="I473" s="386"/>
    </row>
    <row r="474" spans="2:9">
      <c r="B474" s="201">
        <v>9</v>
      </c>
      <c r="C474" s="374" t="s">
        <v>2144</v>
      </c>
      <c r="D474" s="73" t="s">
        <v>44</v>
      </c>
      <c r="E474" s="372">
        <f t="shared" si="20"/>
        <v>593100</v>
      </c>
      <c r="F474" s="412"/>
      <c r="H474" s="160"/>
      <c r="I474" s="386"/>
    </row>
    <row r="475" spans="2:9">
      <c r="B475" s="201">
        <v>10</v>
      </c>
      <c r="C475" s="374" t="s">
        <v>2145</v>
      </c>
      <c r="D475" s="73" t="s">
        <v>44</v>
      </c>
      <c r="E475" s="372">
        <f t="shared" si="20"/>
        <v>671900</v>
      </c>
      <c r="F475" s="412"/>
      <c r="H475" s="160"/>
      <c r="I475" s="386"/>
    </row>
    <row r="476" spans="2:9">
      <c r="B476" s="201">
        <v>11</v>
      </c>
      <c r="C476" s="374" t="s">
        <v>2146</v>
      </c>
      <c r="D476" s="73" t="s">
        <v>44</v>
      </c>
      <c r="E476" s="372">
        <f t="shared" si="20"/>
        <v>7871600</v>
      </c>
      <c r="F476" s="412"/>
      <c r="H476" s="160"/>
      <c r="I476" s="386"/>
    </row>
    <row r="477" spans="2:9">
      <c r="B477" s="201">
        <v>12</v>
      </c>
      <c r="C477" s="374" t="s">
        <v>1746</v>
      </c>
      <c r="D477" s="73" t="s">
        <v>44</v>
      </c>
      <c r="E477" s="372">
        <f t="shared" si="20"/>
        <v>2959100</v>
      </c>
      <c r="F477" s="412"/>
      <c r="H477" s="160"/>
      <c r="I477" s="386"/>
    </row>
    <row r="478" spans="2:9">
      <c r="B478" s="201">
        <v>13</v>
      </c>
      <c r="C478" s="374" t="s">
        <v>1747</v>
      </c>
      <c r="D478" s="73" t="s">
        <v>44</v>
      </c>
      <c r="E478" s="372">
        <f t="shared" si="20"/>
        <v>665400</v>
      </c>
      <c r="F478" s="147"/>
      <c r="H478" s="160"/>
      <c r="I478" s="386"/>
    </row>
    <row r="479" spans="2:9">
      <c r="B479" s="201">
        <v>14</v>
      </c>
      <c r="C479" s="374" t="s">
        <v>1748</v>
      </c>
      <c r="D479" s="73" t="s">
        <v>44</v>
      </c>
      <c r="E479" s="372">
        <f t="shared" si="20"/>
        <v>1153900</v>
      </c>
      <c r="F479" s="147"/>
      <c r="H479" s="160"/>
      <c r="I479" s="386"/>
    </row>
    <row r="480" spans="2:9">
      <c r="B480" s="201">
        <v>15</v>
      </c>
      <c r="C480" s="374" t="s">
        <v>1749</v>
      </c>
      <c r="D480" s="73" t="s">
        <v>44</v>
      </c>
      <c r="E480" s="372">
        <f t="shared" si="20"/>
        <v>68300</v>
      </c>
      <c r="F480" s="147"/>
      <c r="H480" s="160"/>
      <c r="I480" s="386"/>
    </row>
    <row r="481" spans="2:9">
      <c r="B481" s="201">
        <v>16</v>
      </c>
      <c r="C481" s="374" t="s">
        <v>1750</v>
      </c>
      <c r="D481" s="73" t="s">
        <v>44</v>
      </c>
      <c r="E481" s="372">
        <f t="shared" si="20"/>
        <v>118000</v>
      </c>
      <c r="F481" s="147"/>
      <c r="H481" s="160"/>
      <c r="I481" s="386"/>
    </row>
    <row r="482" spans="2:9">
      <c r="B482" s="201">
        <v>17</v>
      </c>
      <c r="C482" s="374" t="s">
        <v>1751</v>
      </c>
      <c r="D482" s="73" t="s">
        <v>44</v>
      </c>
      <c r="E482" s="372">
        <f t="shared" si="20"/>
        <v>182100</v>
      </c>
      <c r="F482" s="147"/>
      <c r="H482" s="160"/>
      <c r="I482" s="386"/>
    </row>
    <row r="483" spans="2:9">
      <c r="B483" s="201">
        <v>18</v>
      </c>
      <c r="C483" s="374" t="s">
        <v>1752</v>
      </c>
      <c r="D483" s="73" t="s">
        <v>44</v>
      </c>
      <c r="E483" s="372">
        <f t="shared" si="20"/>
        <v>96200</v>
      </c>
      <c r="F483" s="147"/>
      <c r="H483" s="160"/>
      <c r="I483" s="386"/>
    </row>
    <row r="484" spans="2:9">
      <c r="B484" s="201">
        <v>19</v>
      </c>
      <c r="C484" s="374" t="s">
        <v>1753</v>
      </c>
      <c r="D484" s="73" t="s">
        <v>44</v>
      </c>
      <c r="E484" s="372">
        <f t="shared" si="20"/>
        <v>184200</v>
      </c>
      <c r="F484" s="147"/>
      <c r="H484" s="160"/>
      <c r="I484" s="386"/>
    </row>
    <row r="485" spans="2:9">
      <c r="B485" s="201">
        <v>20</v>
      </c>
      <c r="C485" s="374" t="s">
        <v>1754</v>
      </c>
      <c r="D485" s="73" t="s">
        <v>44</v>
      </c>
      <c r="E485" s="372">
        <f t="shared" si="20"/>
        <v>151200</v>
      </c>
      <c r="F485" s="147"/>
      <c r="H485" s="160"/>
      <c r="I485" s="386"/>
    </row>
    <row r="486" spans="2:9">
      <c r="B486" s="201">
        <v>21</v>
      </c>
      <c r="C486" s="374" t="s">
        <v>1755</v>
      </c>
      <c r="D486" s="73" t="s">
        <v>44</v>
      </c>
      <c r="E486" s="372">
        <f t="shared" si="20"/>
        <v>125600</v>
      </c>
      <c r="F486" s="147"/>
      <c r="H486" s="160"/>
      <c r="I486" s="386"/>
    </row>
    <row r="487" spans="2:9">
      <c r="B487" s="201">
        <v>22</v>
      </c>
      <c r="C487" s="374" t="s">
        <v>1756</v>
      </c>
      <c r="D487" s="73" t="s">
        <v>44</v>
      </c>
      <c r="E487" s="372">
        <f t="shared" si="20"/>
        <v>184200</v>
      </c>
      <c r="F487" s="147"/>
      <c r="H487" s="160"/>
      <c r="I487" s="386"/>
    </row>
    <row r="488" spans="2:9">
      <c r="B488" s="201">
        <v>23</v>
      </c>
      <c r="C488" s="374" t="s">
        <v>1757</v>
      </c>
      <c r="D488" s="73" t="s">
        <v>44</v>
      </c>
      <c r="E488" s="372">
        <f t="shared" si="20"/>
        <v>184200</v>
      </c>
      <c r="F488" s="147"/>
      <c r="H488" s="160"/>
      <c r="I488" s="386"/>
    </row>
    <row r="489" spans="2:9" ht="15">
      <c r="B489" s="406" t="s">
        <v>2088</v>
      </c>
      <c r="C489" s="394" t="s">
        <v>2089</v>
      </c>
      <c r="D489" s="387"/>
      <c r="E489" s="400"/>
      <c r="F489" s="403"/>
      <c r="H489" s="160"/>
      <c r="I489" s="386"/>
    </row>
    <row r="490" spans="2:9">
      <c r="B490" s="201">
        <v>1</v>
      </c>
      <c r="C490" s="374" t="s">
        <v>1758</v>
      </c>
      <c r="D490" s="73" t="s">
        <v>139</v>
      </c>
      <c r="E490" s="372">
        <f t="shared" ref="E490:E521" si="21">VLOOKUP(C490,sistemairminum,7,FALSE)</f>
        <v>7299700</v>
      </c>
      <c r="F490" s="147"/>
      <c r="H490" s="160"/>
      <c r="I490" s="386"/>
    </row>
    <row r="491" spans="2:9">
      <c r="B491" s="201">
        <v>2</v>
      </c>
      <c r="C491" s="374" t="s">
        <v>1759</v>
      </c>
      <c r="D491" s="73" t="s">
        <v>139</v>
      </c>
      <c r="E491" s="372">
        <f t="shared" si="21"/>
        <v>14786000</v>
      </c>
      <c r="F491" s="147"/>
      <c r="H491" s="160"/>
      <c r="I491" s="386"/>
    </row>
    <row r="492" spans="2:9">
      <c r="B492" s="201">
        <v>3</v>
      </c>
      <c r="C492" s="374" t="s">
        <v>1760</v>
      </c>
      <c r="D492" s="73" t="s">
        <v>139</v>
      </c>
      <c r="E492" s="372">
        <f t="shared" si="21"/>
        <v>44669700</v>
      </c>
      <c r="F492" s="147"/>
      <c r="H492" s="160"/>
      <c r="I492" s="386"/>
    </row>
    <row r="493" spans="2:9">
      <c r="B493" s="201">
        <v>4</v>
      </c>
      <c r="C493" s="374" t="s">
        <v>1761</v>
      </c>
      <c r="D493" s="73" t="s">
        <v>139</v>
      </c>
      <c r="E493" s="372">
        <f t="shared" si="21"/>
        <v>8267700</v>
      </c>
      <c r="F493" s="147"/>
      <c r="H493" s="160"/>
      <c r="I493" s="386"/>
    </row>
    <row r="494" spans="2:9">
      <c r="B494" s="201">
        <v>5</v>
      </c>
      <c r="C494" s="374" t="s">
        <v>1762</v>
      </c>
      <c r="D494" s="73" t="s">
        <v>139</v>
      </c>
      <c r="E494" s="372">
        <f t="shared" si="21"/>
        <v>19241000</v>
      </c>
      <c r="F494" s="147"/>
      <c r="H494" s="160"/>
      <c r="I494" s="386"/>
    </row>
    <row r="495" spans="2:9">
      <c r="B495" s="201">
        <v>6</v>
      </c>
      <c r="C495" s="374" t="s">
        <v>1763</v>
      </c>
      <c r="D495" s="73" t="s">
        <v>139</v>
      </c>
      <c r="E495" s="372">
        <f t="shared" si="21"/>
        <v>61037700</v>
      </c>
      <c r="F495" s="147"/>
      <c r="H495" s="160"/>
      <c r="I495" s="386"/>
    </row>
    <row r="496" spans="2:9">
      <c r="B496" s="201">
        <v>7</v>
      </c>
      <c r="C496" s="374" t="s">
        <v>1764</v>
      </c>
      <c r="D496" s="73" t="s">
        <v>139</v>
      </c>
      <c r="E496" s="372">
        <f t="shared" si="21"/>
        <v>1287100</v>
      </c>
      <c r="F496" s="147"/>
      <c r="H496" s="160"/>
      <c r="I496" s="386"/>
    </row>
    <row r="497" spans="2:9">
      <c r="B497" s="201">
        <v>8</v>
      </c>
      <c r="C497" s="374" t="s">
        <v>1765</v>
      </c>
      <c r="D497" s="73" t="s">
        <v>139</v>
      </c>
      <c r="E497" s="372">
        <f t="shared" si="21"/>
        <v>2135200</v>
      </c>
      <c r="F497" s="147"/>
      <c r="H497" s="160"/>
      <c r="I497" s="386"/>
    </row>
    <row r="498" spans="2:9">
      <c r="B498" s="201">
        <v>9</v>
      </c>
      <c r="C498" s="374" t="s">
        <v>1766</v>
      </c>
      <c r="D498" s="73" t="s">
        <v>139</v>
      </c>
      <c r="E498" s="372">
        <f t="shared" si="21"/>
        <v>4098700</v>
      </c>
      <c r="F498" s="147"/>
      <c r="H498" s="160"/>
      <c r="I498" s="386"/>
    </row>
    <row r="499" spans="2:9">
      <c r="B499" s="201">
        <v>10</v>
      </c>
      <c r="C499" s="374" t="s">
        <v>1767</v>
      </c>
      <c r="D499" s="73" t="s">
        <v>139</v>
      </c>
      <c r="E499" s="372">
        <f t="shared" si="21"/>
        <v>5579000</v>
      </c>
      <c r="F499" s="147"/>
      <c r="H499" s="160"/>
      <c r="I499" s="386"/>
    </row>
    <row r="500" spans="2:9">
      <c r="B500" s="201">
        <v>11</v>
      </c>
      <c r="C500" s="374" t="s">
        <v>1768</v>
      </c>
      <c r="D500" s="73" t="s">
        <v>139</v>
      </c>
      <c r="E500" s="372">
        <f t="shared" si="21"/>
        <v>6376500</v>
      </c>
      <c r="F500" s="147"/>
      <c r="H500" s="160"/>
      <c r="I500" s="386"/>
    </row>
    <row r="501" spans="2:9">
      <c r="B501" s="201">
        <v>12</v>
      </c>
      <c r="C501" s="374" t="s">
        <v>1769</v>
      </c>
      <c r="D501" s="73" t="s">
        <v>139</v>
      </c>
      <c r="E501" s="372">
        <f t="shared" si="21"/>
        <v>7931900</v>
      </c>
      <c r="F501" s="147"/>
      <c r="H501" s="160"/>
      <c r="I501" s="386"/>
    </row>
    <row r="502" spans="2:9">
      <c r="B502" s="201">
        <v>13</v>
      </c>
      <c r="C502" s="374" t="s">
        <v>1770</v>
      </c>
      <c r="D502" s="73" t="s">
        <v>139</v>
      </c>
      <c r="E502" s="372">
        <f t="shared" si="21"/>
        <v>8154100</v>
      </c>
      <c r="F502" s="147"/>
      <c r="H502" s="160"/>
      <c r="I502" s="386"/>
    </row>
    <row r="503" spans="2:9">
      <c r="B503" s="201">
        <v>14</v>
      </c>
      <c r="C503" s="374" t="s">
        <v>1771</v>
      </c>
      <c r="D503" s="73" t="s">
        <v>139</v>
      </c>
      <c r="E503" s="372">
        <f t="shared" si="21"/>
        <v>9035000</v>
      </c>
      <c r="F503" s="147"/>
      <c r="H503" s="160"/>
      <c r="I503" s="386"/>
    </row>
    <row r="504" spans="2:9">
      <c r="B504" s="201">
        <v>15</v>
      </c>
      <c r="C504" s="374" t="s">
        <v>1772</v>
      </c>
      <c r="D504" s="73" t="s">
        <v>139</v>
      </c>
      <c r="E504" s="372">
        <f t="shared" si="21"/>
        <v>1427800</v>
      </c>
      <c r="F504" s="147"/>
      <c r="H504" s="160"/>
      <c r="I504" s="386"/>
    </row>
    <row r="505" spans="2:9">
      <c r="B505" s="201">
        <v>16</v>
      </c>
      <c r="C505" s="374" t="s">
        <v>1773</v>
      </c>
      <c r="D505" s="73" t="s">
        <v>139</v>
      </c>
      <c r="E505" s="372">
        <f t="shared" si="21"/>
        <v>3520400</v>
      </c>
      <c r="F505" s="147"/>
      <c r="H505" s="160"/>
      <c r="I505" s="386"/>
    </row>
    <row r="506" spans="2:9">
      <c r="B506" s="201">
        <v>17</v>
      </c>
      <c r="C506" s="374" t="s">
        <v>1774</v>
      </c>
      <c r="D506" s="73" t="s">
        <v>139</v>
      </c>
      <c r="E506" s="372">
        <f t="shared" si="21"/>
        <v>1524700</v>
      </c>
      <c r="F506" s="147"/>
      <c r="H506" s="160"/>
      <c r="I506" s="386"/>
    </row>
    <row r="507" spans="2:9">
      <c r="B507" s="201">
        <v>18</v>
      </c>
      <c r="C507" s="374" t="s">
        <v>1775</v>
      </c>
      <c r="D507" s="73" t="s">
        <v>139</v>
      </c>
      <c r="E507" s="372">
        <f t="shared" si="21"/>
        <v>1403100</v>
      </c>
      <c r="F507" s="147"/>
      <c r="H507" s="160"/>
      <c r="I507" s="386"/>
    </row>
    <row r="508" spans="2:9">
      <c r="B508" s="201">
        <v>19</v>
      </c>
      <c r="C508" s="374" t="s">
        <v>1776</v>
      </c>
      <c r="D508" s="73" t="s">
        <v>139</v>
      </c>
      <c r="E508" s="372">
        <f t="shared" si="21"/>
        <v>1766100</v>
      </c>
      <c r="F508" s="147"/>
      <c r="H508" s="160"/>
      <c r="I508" s="386"/>
    </row>
    <row r="509" spans="2:9">
      <c r="B509" s="201">
        <v>20</v>
      </c>
      <c r="C509" s="374" t="s">
        <v>1777</v>
      </c>
      <c r="D509" s="73" t="s">
        <v>139</v>
      </c>
      <c r="E509" s="372">
        <f t="shared" si="21"/>
        <v>2734100</v>
      </c>
      <c r="F509" s="147"/>
      <c r="H509" s="160"/>
      <c r="I509" s="386"/>
    </row>
    <row r="510" spans="2:9">
      <c r="B510" s="201">
        <v>21</v>
      </c>
      <c r="C510" s="374" t="s">
        <v>1778</v>
      </c>
      <c r="D510" s="73" t="s">
        <v>139</v>
      </c>
      <c r="E510" s="372">
        <f t="shared" si="21"/>
        <v>1412300</v>
      </c>
      <c r="F510" s="147"/>
      <c r="H510" s="160"/>
      <c r="I510" s="386"/>
    </row>
    <row r="511" spans="2:9">
      <c r="B511" s="201">
        <v>22</v>
      </c>
      <c r="C511" s="374" t="s">
        <v>1779</v>
      </c>
      <c r="D511" s="73" t="s">
        <v>139</v>
      </c>
      <c r="E511" s="372">
        <f t="shared" si="21"/>
        <v>4342900</v>
      </c>
      <c r="F511" s="147"/>
      <c r="H511" s="160"/>
      <c r="I511" s="386"/>
    </row>
    <row r="512" spans="2:9">
      <c r="B512" s="201">
        <v>23</v>
      </c>
      <c r="C512" s="374" t="s">
        <v>1780</v>
      </c>
      <c r="D512" s="73" t="s">
        <v>139</v>
      </c>
      <c r="E512" s="372">
        <f t="shared" si="21"/>
        <v>3273400</v>
      </c>
      <c r="F512" s="147"/>
      <c r="H512" s="160"/>
      <c r="I512" s="386"/>
    </row>
    <row r="513" spans="2:9">
      <c r="B513" s="201">
        <v>24</v>
      </c>
      <c r="C513" s="374" t="s">
        <v>1781</v>
      </c>
      <c r="D513" s="73" t="s">
        <v>139</v>
      </c>
      <c r="E513" s="372">
        <f t="shared" si="21"/>
        <v>7861000</v>
      </c>
      <c r="F513" s="147"/>
      <c r="H513" s="160"/>
      <c r="I513" s="386"/>
    </row>
    <row r="514" spans="2:9">
      <c r="B514" s="201">
        <v>25</v>
      </c>
      <c r="C514" s="374" t="s">
        <v>1782</v>
      </c>
      <c r="D514" s="73" t="s">
        <v>139</v>
      </c>
      <c r="E514" s="372">
        <f t="shared" si="21"/>
        <v>1187500</v>
      </c>
      <c r="F514" s="147"/>
      <c r="H514" s="160"/>
      <c r="I514" s="386"/>
    </row>
    <row r="515" spans="2:9">
      <c r="B515" s="201">
        <v>26</v>
      </c>
      <c r="C515" s="374" t="s">
        <v>1783</v>
      </c>
      <c r="D515" s="73" t="s">
        <v>139</v>
      </c>
      <c r="E515" s="372">
        <f t="shared" si="21"/>
        <v>5699500</v>
      </c>
      <c r="F515" s="147"/>
      <c r="H515" s="160"/>
      <c r="I515" s="386"/>
    </row>
    <row r="516" spans="2:9">
      <c r="B516" s="201">
        <v>27</v>
      </c>
      <c r="C516" s="374" t="s">
        <v>1784</v>
      </c>
      <c r="D516" s="73" t="s">
        <v>139</v>
      </c>
      <c r="E516" s="372">
        <f t="shared" si="21"/>
        <v>1018400</v>
      </c>
      <c r="F516" s="147"/>
      <c r="H516" s="160"/>
      <c r="I516" s="386"/>
    </row>
    <row r="517" spans="2:9">
      <c r="B517" s="201">
        <v>28</v>
      </c>
      <c r="C517" s="374" t="s">
        <v>1785</v>
      </c>
      <c r="D517" s="73" t="s">
        <v>639</v>
      </c>
      <c r="E517" s="372">
        <f t="shared" si="21"/>
        <v>1723100</v>
      </c>
      <c r="F517" s="147"/>
      <c r="H517" s="160"/>
      <c r="I517" s="386"/>
    </row>
    <row r="518" spans="2:9">
      <c r="B518" s="201">
        <v>29</v>
      </c>
      <c r="C518" s="374" t="s">
        <v>1786</v>
      </c>
      <c r="D518" s="73" t="s">
        <v>639</v>
      </c>
      <c r="E518" s="372">
        <f t="shared" si="21"/>
        <v>2619600</v>
      </c>
      <c r="F518" s="147"/>
      <c r="H518" s="160"/>
      <c r="I518" s="386"/>
    </row>
    <row r="519" spans="2:9">
      <c r="B519" s="201">
        <v>30</v>
      </c>
      <c r="C519" s="374" t="s">
        <v>1787</v>
      </c>
      <c r="D519" s="73" t="s">
        <v>639</v>
      </c>
      <c r="E519" s="372">
        <f t="shared" si="21"/>
        <v>3513800</v>
      </c>
      <c r="F519" s="147"/>
      <c r="H519" s="160"/>
      <c r="I519" s="386"/>
    </row>
    <row r="520" spans="2:9">
      <c r="B520" s="201">
        <v>31</v>
      </c>
      <c r="C520" s="374" t="s">
        <v>1788</v>
      </c>
      <c r="D520" s="73" t="s">
        <v>639</v>
      </c>
      <c r="E520" s="372">
        <f t="shared" si="21"/>
        <v>4853200</v>
      </c>
      <c r="F520" s="147"/>
      <c r="H520" s="160"/>
      <c r="I520" s="386"/>
    </row>
    <row r="521" spans="2:9">
      <c r="B521" s="201">
        <v>32</v>
      </c>
      <c r="C521" s="374" t="s">
        <v>1789</v>
      </c>
      <c r="D521" s="73" t="s">
        <v>639</v>
      </c>
      <c r="E521" s="372">
        <f t="shared" si="21"/>
        <v>19467900</v>
      </c>
      <c r="F521" s="147"/>
      <c r="H521" s="160"/>
      <c r="I521" s="386"/>
    </row>
    <row r="522" spans="2:9" ht="15">
      <c r="B522" s="406" t="s">
        <v>2090</v>
      </c>
      <c r="C522" s="394" t="s">
        <v>2091</v>
      </c>
      <c r="D522" s="396"/>
      <c r="E522" s="401"/>
      <c r="F522" s="415"/>
      <c r="H522" s="160"/>
      <c r="I522" s="386"/>
    </row>
    <row r="523" spans="2:9">
      <c r="B523" s="201" t="s">
        <v>1215</v>
      </c>
      <c r="C523" s="374" t="s">
        <v>1797</v>
      </c>
      <c r="D523" s="73" t="s">
        <v>639</v>
      </c>
      <c r="E523" s="372">
        <f t="shared" ref="E523:E531" si="22">VLOOKUP(C523,sistemairlimbah,7,FALSE)</f>
        <v>32720200</v>
      </c>
      <c r="F523" s="147"/>
      <c r="H523" s="160"/>
      <c r="I523" s="386"/>
    </row>
    <row r="524" spans="2:9">
      <c r="B524" s="201" t="s">
        <v>1216</v>
      </c>
      <c r="C524" s="374" t="s">
        <v>1798</v>
      </c>
      <c r="D524" s="73" t="s">
        <v>639</v>
      </c>
      <c r="E524" s="372">
        <f t="shared" si="22"/>
        <v>55811100</v>
      </c>
      <c r="F524" s="147"/>
      <c r="H524" s="160"/>
      <c r="I524" s="386"/>
    </row>
    <row r="525" spans="2:9">
      <c r="B525" s="201" t="s">
        <v>1217</v>
      </c>
      <c r="C525" s="374" t="s">
        <v>1799</v>
      </c>
      <c r="D525" s="73" t="s">
        <v>639</v>
      </c>
      <c r="E525" s="372">
        <f t="shared" si="22"/>
        <v>90526000</v>
      </c>
      <c r="F525" s="147"/>
      <c r="H525" s="160"/>
      <c r="I525" s="386"/>
    </row>
    <row r="526" spans="2:9">
      <c r="B526" s="201" t="s">
        <v>1218</v>
      </c>
      <c r="C526" s="374" t="s">
        <v>1800</v>
      </c>
      <c r="D526" s="73" t="s">
        <v>639</v>
      </c>
      <c r="E526" s="372">
        <f t="shared" si="22"/>
        <v>173195400</v>
      </c>
      <c r="F526" s="147"/>
      <c r="H526" s="160"/>
      <c r="I526" s="386"/>
    </row>
    <row r="527" spans="2:9">
      <c r="B527" s="201" t="s">
        <v>1219</v>
      </c>
      <c r="C527" s="374" t="s">
        <v>1801</v>
      </c>
      <c r="D527" s="73" t="s">
        <v>639</v>
      </c>
      <c r="E527" s="372">
        <f t="shared" si="22"/>
        <v>113439600</v>
      </c>
      <c r="F527" s="147"/>
      <c r="H527" s="160"/>
      <c r="I527" s="386"/>
    </row>
    <row r="528" spans="2:9">
      <c r="B528" s="201" t="s">
        <v>1223</v>
      </c>
      <c r="C528" s="374" t="s">
        <v>1802</v>
      </c>
      <c r="D528" s="73" t="s">
        <v>139</v>
      </c>
      <c r="E528" s="372">
        <f t="shared" si="22"/>
        <v>9765800</v>
      </c>
      <c r="F528" s="147"/>
      <c r="H528" s="160"/>
      <c r="I528" s="386"/>
    </row>
    <row r="529" spans="2:9">
      <c r="B529" s="201" t="s">
        <v>1224</v>
      </c>
      <c r="C529" s="374" t="s">
        <v>1803</v>
      </c>
      <c r="D529" s="73" t="s">
        <v>139</v>
      </c>
      <c r="E529" s="372">
        <f t="shared" si="22"/>
        <v>1230600</v>
      </c>
      <c r="F529" s="147"/>
      <c r="H529" s="160"/>
      <c r="I529" s="386"/>
    </row>
    <row r="530" spans="2:9">
      <c r="B530" s="201" t="s">
        <v>1225</v>
      </c>
      <c r="C530" s="374" t="s">
        <v>1804</v>
      </c>
      <c r="D530" s="73" t="s">
        <v>139</v>
      </c>
      <c r="E530" s="372">
        <f t="shared" si="22"/>
        <v>1794400</v>
      </c>
      <c r="F530" s="147"/>
      <c r="H530" s="160"/>
      <c r="I530" s="386"/>
    </row>
    <row r="531" spans="2:9">
      <c r="B531" s="201" t="s">
        <v>1244</v>
      </c>
      <c r="C531" s="374" t="s">
        <v>1805</v>
      </c>
      <c r="D531" s="73" t="s">
        <v>139</v>
      </c>
      <c r="E531" s="372">
        <f t="shared" si="22"/>
        <v>22979100</v>
      </c>
      <c r="F531" s="147"/>
      <c r="H531" s="160"/>
      <c r="I531" s="386"/>
    </row>
    <row r="532" spans="2:9" ht="15">
      <c r="B532" s="406" t="s">
        <v>2092</v>
      </c>
      <c r="C532" s="394" t="s">
        <v>2093</v>
      </c>
      <c r="D532" s="387"/>
      <c r="E532" s="391"/>
      <c r="F532" s="403"/>
      <c r="H532" s="160"/>
      <c r="I532" s="386"/>
    </row>
    <row r="533" spans="2:9">
      <c r="B533" s="201" t="s">
        <v>1215</v>
      </c>
      <c r="C533" s="374" t="s">
        <v>1807</v>
      </c>
      <c r="D533" s="73" t="s">
        <v>44</v>
      </c>
      <c r="E533" s="372">
        <f>VLOOKUP(C533,bakkontrol,7,FALSE)</f>
        <v>596500</v>
      </c>
      <c r="F533" s="147"/>
      <c r="H533" s="160"/>
      <c r="I533" s="386"/>
    </row>
    <row r="534" spans="2:9">
      <c r="B534" s="201" t="s">
        <v>1216</v>
      </c>
      <c r="C534" s="374" t="s">
        <v>1808</v>
      </c>
      <c r="D534" s="73" t="s">
        <v>44</v>
      </c>
      <c r="E534" s="372">
        <f>VLOOKUP(C534,bakkontrol,7,FALSE)</f>
        <v>823600</v>
      </c>
      <c r="F534" s="147"/>
      <c r="H534" s="160"/>
      <c r="I534" s="386"/>
    </row>
    <row r="535" spans="2:9">
      <c r="B535" s="201" t="s">
        <v>1217</v>
      </c>
      <c r="C535" s="374" t="s">
        <v>1809</v>
      </c>
      <c r="D535" s="73" t="s">
        <v>44</v>
      </c>
      <c r="E535" s="372">
        <f>VLOOKUP(C535,bakkontrol,7,FALSE)</f>
        <v>991500</v>
      </c>
      <c r="F535" s="147"/>
      <c r="H535" s="160"/>
      <c r="I535" s="386"/>
    </row>
    <row r="536" spans="2:9" ht="15">
      <c r="B536" s="406" t="s">
        <v>2094</v>
      </c>
      <c r="C536" s="388" t="s">
        <v>2095</v>
      </c>
      <c r="D536" s="387"/>
      <c r="E536" s="391"/>
      <c r="F536" s="403"/>
      <c r="H536" s="160"/>
      <c r="I536" s="386"/>
    </row>
    <row r="537" spans="2:9">
      <c r="B537" s="201" t="s">
        <v>1215</v>
      </c>
      <c r="C537" s="374" t="s">
        <v>1810</v>
      </c>
      <c r="D537" s="73" t="s">
        <v>114</v>
      </c>
      <c r="E537" s="372">
        <f t="shared" ref="E537:E565" si="23">VLOOKUP(C537,perpipaangedung,7,FALSE)</f>
        <v>21700</v>
      </c>
      <c r="F537" s="147"/>
      <c r="H537" s="160"/>
      <c r="I537" s="386"/>
    </row>
    <row r="538" spans="2:9">
      <c r="B538" s="201" t="s">
        <v>1216</v>
      </c>
      <c r="C538" s="374" t="s">
        <v>1812</v>
      </c>
      <c r="D538" s="73" t="s">
        <v>114</v>
      </c>
      <c r="E538" s="372">
        <f t="shared" si="23"/>
        <v>28600</v>
      </c>
      <c r="F538" s="147"/>
      <c r="H538" s="160"/>
      <c r="I538" s="386"/>
    </row>
    <row r="539" spans="2:9">
      <c r="B539" s="201" t="s">
        <v>1217</v>
      </c>
      <c r="C539" s="374" t="s">
        <v>1814</v>
      </c>
      <c r="D539" s="73" t="s">
        <v>114</v>
      </c>
      <c r="E539" s="372">
        <f t="shared" si="23"/>
        <v>37000</v>
      </c>
      <c r="F539" s="147"/>
      <c r="H539" s="160"/>
      <c r="I539" s="386"/>
    </row>
    <row r="540" spans="2:9">
      <c r="B540" s="201" t="s">
        <v>1218</v>
      </c>
      <c r="C540" s="60" t="s">
        <v>1815</v>
      </c>
      <c r="D540" s="73" t="s">
        <v>114</v>
      </c>
      <c r="E540" s="372">
        <f t="shared" si="23"/>
        <v>56500</v>
      </c>
      <c r="F540" s="147"/>
      <c r="H540" s="160"/>
      <c r="I540" s="386"/>
    </row>
    <row r="541" spans="2:9">
      <c r="B541" s="201" t="s">
        <v>1219</v>
      </c>
      <c r="C541" s="60" t="s">
        <v>1816</v>
      </c>
      <c r="D541" s="73" t="s">
        <v>114</v>
      </c>
      <c r="E541" s="372">
        <f t="shared" si="23"/>
        <v>62700</v>
      </c>
      <c r="F541" s="147"/>
      <c r="H541" s="160"/>
      <c r="I541" s="386"/>
    </row>
    <row r="542" spans="2:9">
      <c r="B542" s="201" t="s">
        <v>1223</v>
      </c>
      <c r="C542" s="374" t="s">
        <v>1817</v>
      </c>
      <c r="D542" s="73" t="s">
        <v>114</v>
      </c>
      <c r="E542" s="372">
        <f t="shared" si="23"/>
        <v>81600</v>
      </c>
      <c r="F542" s="147"/>
      <c r="H542" s="160"/>
      <c r="I542" s="386"/>
    </row>
    <row r="543" spans="2:9">
      <c r="B543" s="201" t="s">
        <v>1224</v>
      </c>
      <c r="C543" s="374" t="s">
        <v>1818</v>
      </c>
      <c r="D543" s="73" t="s">
        <v>114</v>
      </c>
      <c r="E543" s="372">
        <f t="shared" si="23"/>
        <v>104200</v>
      </c>
      <c r="F543" s="147"/>
      <c r="H543" s="160"/>
      <c r="I543" s="386"/>
    </row>
    <row r="544" spans="2:9">
      <c r="B544" s="201" t="s">
        <v>1225</v>
      </c>
      <c r="C544" s="374" t="s">
        <v>1819</v>
      </c>
      <c r="D544" s="73" t="s">
        <v>114</v>
      </c>
      <c r="E544" s="372">
        <f t="shared" si="23"/>
        <v>148700</v>
      </c>
      <c r="F544" s="147"/>
      <c r="H544" s="160"/>
      <c r="I544" s="386"/>
    </row>
    <row r="545" spans="2:9">
      <c r="B545" s="201" t="s">
        <v>1244</v>
      </c>
      <c r="C545" s="374" t="s">
        <v>1820</v>
      </c>
      <c r="D545" s="73" t="s">
        <v>114</v>
      </c>
      <c r="E545" s="372">
        <f t="shared" si="23"/>
        <v>206400</v>
      </c>
      <c r="F545" s="147"/>
      <c r="H545" s="160"/>
      <c r="I545" s="386"/>
    </row>
    <row r="546" spans="2:9">
      <c r="B546" s="201" t="s">
        <v>1245</v>
      </c>
      <c r="C546" s="374" t="s">
        <v>1821</v>
      </c>
      <c r="D546" s="73" t="s">
        <v>114</v>
      </c>
      <c r="E546" s="372">
        <f t="shared" si="23"/>
        <v>277900</v>
      </c>
      <c r="F546" s="147"/>
      <c r="H546" s="160"/>
      <c r="I546" s="386"/>
    </row>
    <row r="547" spans="2:9">
      <c r="B547" s="201" t="s">
        <v>1246</v>
      </c>
      <c r="C547" s="374" t="s">
        <v>1822</v>
      </c>
      <c r="D547" s="73" t="s">
        <v>114</v>
      </c>
      <c r="E547" s="372">
        <f t="shared" si="23"/>
        <v>306900</v>
      </c>
      <c r="F547" s="147"/>
      <c r="H547" s="160"/>
      <c r="I547" s="386"/>
    </row>
    <row r="548" spans="2:9">
      <c r="B548" s="201" t="s">
        <v>1247</v>
      </c>
      <c r="C548" s="374" t="s">
        <v>1823</v>
      </c>
      <c r="D548" s="73" t="s">
        <v>114</v>
      </c>
      <c r="E548" s="372">
        <f t="shared" si="23"/>
        <v>386500</v>
      </c>
      <c r="F548" s="147"/>
      <c r="H548" s="160"/>
      <c r="I548" s="386"/>
    </row>
    <row r="549" spans="2:9">
      <c r="B549" s="201" t="s">
        <v>1248</v>
      </c>
      <c r="C549" s="374" t="s">
        <v>1824</v>
      </c>
      <c r="D549" s="73" t="s">
        <v>114</v>
      </c>
      <c r="E549" s="372">
        <f t="shared" si="23"/>
        <v>448900</v>
      </c>
      <c r="F549" s="147"/>
      <c r="H549" s="160"/>
      <c r="I549" s="386"/>
    </row>
    <row r="550" spans="2:9">
      <c r="B550" s="201" t="s">
        <v>1249</v>
      </c>
      <c r="C550" s="374" t="s">
        <v>1825</v>
      </c>
      <c r="D550" s="73" t="s">
        <v>114</v>
      </c>
      <c r="E550" s="372">
        <f t="shared" si="23"/>
        <v>533200</v>
      </c>
      <c r="F550" s="147"/>
      <c r="H550" s="160"/>
      <c r="I550" s="386"/>
    </row>
    <row r="551" spans="2:9">
      <c r="B551" s="201" t="s">
        <v>1980</v>
      </c>
      <c r="C551" s="374" t="s">
        <v>1826</v>
      </c>
      <c r="D551" s="73" t="s">
        <v>114</v>
      </c>
      <c r="E551" s="372">
        <f t="shared" si="23"/>
        <v>606400</v>
      </c>
      <c r="F551" s="147"/>
      <c r="H551" s="160"/>
      <c r="I551" s="386"/>
    </row>
    <row r="552" spans="2:9">
      <c r="B552" s="201" t="s">
        <v>1981</v>
      </c>
      <c r="C552" s="374" t="s">
        <v>1827</v>
      </c>
      <c r="D552" s="73" t="s">
        <v>114</v>
      </c>
      <c r="E552" s="372">
        <f t="shared" si="23"/>
        <v>704100</v>
      </c>
      <c r="F552" s="147"/>
      <c r="H552" s="160"/>
      <c r="I552" s="386"/>
    </row>
    <row r="553" spans="2:9" ht="15">
      <c r="B553" s="201" t="s">
        <v>1982</v>
      </c>
      <c r="C553" s="374" t="s">
        <v>1828</v>
      </c>
      <c r="D553" s="73" t="s">
        <v>114</v>
      </c>
      <c r="E553" s="372">
        <f t="shared" si="23"/>
        <v>38000</v>
      </c>
      <c r="F553" s="405"/>
      <c r="H553" s="160"/>
      <c r="I553" s="386"/>
    </row>
    <row r="554" spans="2:9">
      <c r="B554" s="201" t="s">
        <v>1983</v>
      </c>
      <c r="C554" s="374" t="s">
        <v>1829</v>
      </c>
      <c r="D554" s="73" t="s">
        <v>114</v>
      </c>
      <c r="E554" s="372">
        <f t="shared" si="23"/>
        <v>43700</v>
      </c>
      <c r="F554" s="147"/>
      <c r="H554" s="160"/>
      <c r="I554" s="386"/>
    </row>
    <row r="555" spans="2:9">
      <c r="B555" s="201" t="s">
        <v>1984</v>
      </c>
      <c r="C555" s="374" t="s">
        <v>1830</v>
      </c>
      <c r="D555" s="73" t="s">
        <v>114</v>
      </c>
      <c r="E555" s="372">
        <f t="shared" si="23"/>
        <v>57400</v>
      </c>
      <c r="F555" s="147"/>
      <c r="H555" s="160"/>
      <c r="I555" s="386"/>
    </row>
    <row r="556" spans="2:9">
      <c r="B556" s="201" t="s">
        <v>1985</v>
      </c>
      <c r="C556" s="374" t="s">
        <v>1831</v>
      </c>
      <c r="D556" s="73" t="s">
        <v>114</v>
      </c>
      <c r="E556" s="372">
        <f t="shared" si="23"/>
        <v>76200</v>
      </c>
      <c r="F556" s="147"/>
      <c r="H556" s="160"/>
      <c r="I556" s="386"/>
    </row>
    <row r="557" spans="2:9">
      <c r="B557" s="201" t="s">
        <v>1986</v>
      </c>
      <c r="C557" s="374" t="s">
        <v>1832</v>
      </c>
      <c r="D557" s="73" t="s">
        <v>114</v>
      </c>
      <c r="E557" s="372">
        <f t="shared" si="23"/>
        <v>100400</v>
      </c>
      <c r="F557" s="147"/>
      <c r="H557" s="160"/>
      <c r="I557" s="386"/>
    </row>
    <row r="558" spans="2:9">
      <c r="B558" s="201" t="s">
        <v>1988</v>
      </c>
      <c r="C558" s="374" t="s">
        <v>1833</v>
      </c>
      <c r="D558" s="73" t="s">
        <v>114</v>
      </c>
      <c r="E558" s="372">
        <f t="shared" si="23"/>
        <v>135800</v>
      </c>
      <c r="F558" s="147"/>
      <c r="H558" s="160"/>
      <c r="I558" s="386"/>
    </row>
    <row r="559" spans="2:9">
      <c r="B559" s="201" t="s">
        <v>1993</v>
      </c>
      <c r="C559" s="374" t="s">
        <v>1834</v>
      </c>
      <c r="D559" s="73" t="s">
        <v>114</v>
      </c>
      <c r="E559" s="372">
        <f t="shared" si="23"/>
        <v>198700</v>
      </c>
      <c r="F559" s="147"/>
      <c r="H559" s="160"/>
      <c r="I559" s="386"/>
    </row>
    <row r="560" spans="2:9">
      <c r="B560" s="201" t="s">
        <v>1994</v>
      </c>
      <c r="C560" s="374" t="s">
        <v>1835</v>
      </c>
      <c r="D560" s="73" t="s">
        <v>114</v>
      </c>
      <c r="E560" s="372">
        <f t="shared" si="23"/>
        <v>247200</v>
      </c>
      <c r="F560" s="147"/>
      <c r="H560" s="160"/>
      <c r="I560" s="386"/>
    </row>
    <row r="561" spans="2:9">
      <c r="B561" s="201" t="s">
        <v>1995</v>
      </c>
      <c r="C561" s="374" t="s">
        <v>1836</v>
      </c>
      <c r="D561" s="73" t="s">
        <v>114</v>
      </c>
      <c r="E561" s="372">
        <f t="shared" si="23"/>
        <v>401800</v>
      </c>
      <c r="F561" s="147"/>
      <c r="H561" s="160"/>
      <c r="I561" s="386"/>
    </row>
    <row r="562" spans="2:9">
      <c r="B562" s="201" t="s">
        <v>1996</v>
      </c>
      <c r="C562" s="374" t="s">
        <v>1837</v>
      </c>
      <c r="D562" s="73" t="s">
        <v>114</v>
      </c>
      <c r="E562" s="372">
        <f t="shared" si="23"/>
        <v>627400</v>
      </c>
      <c r="F562" s="147"/>
      <c r="H562" s="160"/>
      <c r="I562" s="386"/>
    </row>
    <row r="563" spans="2:9" ht="15">
      <c r="B563" s="201" t="s">
        <v>1997</v>
      </c>
      <c r="C563" s="374" t="s">
        <v>1838</v>
      </c>
      <c r="D563" s="73" t="s">
        <v>114</v>
      </c>
      <c r="E563" s="372">
        <f t="shared" si="23"/>
        <v>839500</v>
      </c>
      <c r="F563" s="405"/>
      <c r="H563" s="160"/>
      <c r="I563" s="386"/>
    </row>
    <row r="564" spans="2:9" ht="15">
      <c r="B564" s="201" t="s">
        <v>1998</v>
      </c>
      <c r="C564" s="374" t="s">
        <v>1839</v>
      </c>
      <c r="D564" s="73" t="s">
        <v>114</v>
      </c>
      <c r="E564" s="372">
        <f t="shared" si="23"/>
        <v>875500</v>
      </c>
      <c r="F564" s="405"/>
      <c r="H564" s="160"/>
      <c r="I564" s="386"/>
    </row>
    <row r="565" spans="2:9" ht="15">
      <c r="B565" s="201" t="s">
        <v>1999</v>
      </c>
      <c r="C565" s="374" t="s">
        <v>1840</v>
      </c>
      <c r="D565" s="73" t="s">
        <v>114</v>
      </c>
      <c r="E565" s="372">
        <f t="shared" si="23"/>
        <v>981200</v>
      </c>
      <c r="F565" s="405"/>
      <c r="H565" s="160"/>
      <c r="I565" s="386"/>
    </row>
    <row r="566" spans="2:9" ht="15">
      <c r="B566" s="402" t="s">
        <v>2096</v>
      </c>
      <c r="C566" s="388" t="s">
        <v>2097</v>
      </c>
      <c r="D566" s="389"/>
      <c r="E566" s="390"/>
      <c r="F566" s="403"/>
      <c r="H566" s="160"/>
      <c r="I566" s="386"/>
    </row>
    <row r="567" spans="2:9" ht="15">
      <c r="B567" s="146" t="s">
        <v>1215</v>
      </c>
      <c r="C567" s="374" t="s">
        <v>1842</v>
      </c>
      <c r="D567" s="73" t="s">
        <v>114</v>
      </c>
      <c r="E567" s="372">
        <f t="shared" ref="E567:E598" si="24">VLOOKUP(C567,jaringanlistrik,7,FALSE)</f>
        <v>19300</v>
      </c>
      <c r="F567" s="405"/>
      <c r="H567" s="160"/>
      <c r="I567" s="386"/>
    </row>
    <row r="568" spans="2:9">
      <c r="B568" s="146" t="s">
        <v>1216</v>
      </c>
      <c r="C568" s="378" t="s">
        <v>1843</v>
      </c>
      <c r="D568" s="73" t="s">
        <v>114</v>
      </c>
      <c r="E568" s="372">
        <f t="shared" si="24"/>
        <v>25000</v>
      </c>
      <c r="F568" s="348"/>
      <c r="H568" s="160"/>
      <c r="I568" s="386"/>
    </row>
    <row r="569" spans="2:9">
      <c r="B569" s="146" t="s">
        <v>1217</v>
      </c>
      <c r="C569" s="378" t="s">
        <v>1844</v>
      </c>
      <c r="D569" s="73" t="s">
        <v>114</v>
      </c>
      <c r="E569" s="372">
        <f t="shared" si="24"/>
        <v>32600</v>
      </c>
      <c r="F569" s="348"/>
      <c r="H569" s="160"/>
      <c r="I569" s="386"/>
    </row>
    <row r="570" spans="2:9">
      <c r="B570" s="146" t="s">
        <v>1218</v>
      </c>
      <c r="C570" s="378" t="s">
        <v>1845</v>
      </c>
      <c r="D570" s="73" t="s">
        <v>114</v>
      </c>
      <c r="E570" s="372">
        <f t="shared" si="24"/>
        <v>55300</v>
      </c>
      <c r="F570" s="348"/>
      <c r="H570" s="160"/>
      <c r="I570" s="386"/>
    </row>
    <row r="571" spans="2:9">
      <c r="B571" s="146" t="s">
        <v>1219</v>
      </c>
      <c r="C571" s="378" t="s">
        <v>1846</v>
      </c>
      <c r="D571" s="73" t="s">
        <v>114</v>
      </c>
      <c r="E571" s="372">
        <f t="shared" si="24"/>
        <v>82800</v>
      </c>
      <c r="F571" s="348"/>
      <c r="H571" s="160"/>
      <c r="I571" s="386"/>
    </row>
    <row r="572" spans="2:9">
      <c r="B572" s="146" t="s">
        <v>1223</v>
      </c>
      <c r="C572" s="378" t="s">
        <v>1847</v>
      </c>
      <c r="D572" s="73" t="s">
        <v>114</v>
      </c>
      <c r="E572" s="372">
        <f t="shared" si="24"/>
        <v>109700</v>
      </c>
      <c r="F572" s="348"/>
      <c r="H572" s="160"/>
      <c r="I572" s="386"/>
    </row>
    <row r="573" spans="2:9">
      <c r="B573" s="146" t="s">
        <v>1224</v>
      </c>
      <c r="C573" s="378" t="s">
        <v>1848</v>
      </c>
      <c r="D573" s="73" t="s">
        <v>114</v>
      </c>
      <c r="E573" s="372">
        <f t="shared" si="24"/>
        <v>140800</v>
      </c>
      <c r="F573" s="348"/>
      <c r="H573" s="160"/>
      <c r="I573" s="386"/>
    </row>
    <row r="574" spans="2:9">
      <c r="B574" s="146" t="s">
        <v>1225</v>
      </c>
      <c r="C574" s="378" t="s">
        <v>1849</v>
      </c>
      <c r="D574" s="73" t="s">
        <v>114</v>
      </c>
      <c r="E574" s="372">
        <f t="shared" si="24"/>
        <v>204100</v>
      </c>
      <c r="F574" s="348"/>
      <c r="H574" s="160"/>
      <c r="I574" s="386"/>
    </row>
    <row r="575" spans="2:9">
      <c r="B575" s="146" t="s">
        <v>1244</v>
      </c>
      <c r="C575" s="378" t="s">
        <v>1850</v>
      </c>
      <c r="D575" s="73" t="s">
        <v>114</v>
      </c>
      <c r="E575" s="372">
        <f t="shared" si="24"/>
        <v>273000</v>
      </c>
      <c r="F575" s="348"/>
      <c r="H575" s="160"/>
      <c r="I575" s="386"/>
    </row>
    <row r="576" spans="2:9">
      <c r="B576" s="146" t="s">
        <v>1245</v>
      </c>
      <c r="C576" s="378" t="s">
        <v>1851</v>
      </c>
      <c r="D576" s="73" t="s">
        <v>114</v>
      </c>
      <c r="E576" s="372">
        <f t="shared" si="24"/>
        <v>336300</v>
      </c>
      <c r="F576" s="348"/>
      <c r="H576" s="160"/>
      <c r="I576" s="386"/>
    </row>
    <row r="577" spans="2:9">
      <c r="B577" s="146" t="s">
        <v>1246</v>
      </c>
      <c r="C577" s="378" t="s">
        <v>1852</v>
      </c>
      <c r="D577" s="73" t="s">
        <v>114</v>
      </c>
      <c r="E577" s="372">
        <f t="shared" si="24"/>
        <v>407800</v>
      </c>
      <c r="F577" s="348"/>
      <c r="H577" s="160"/>
      <c r="I577" s="386"/>
    </row>
    <row r="578" spans="2:9">
      <c r="B578" s="146" t="s">
        <v>1247</v>
      </c>
      <c r="C578" s="378" t="s">
        <v>1853</v>
      </c>
      <c r="D578" s="73" t="s">
        <v>114</v>
      </c>
      <c r="E578" s="372">
        <f t="shared" si="24"/>
        <v>506300</v>
      </c>
      <c r="F578" s="348"/>
      <c r="H578" s="160"/>
      <c r="I578" s="386"/>
    </row>
    <row r="579" spans="2:9">
      <c r="B579" s="146" t="s">
        <v>1248</v>
      </c>
      <c r="C579" s="378" t="s">
        <v>1854</v>
      </c>
      <c r="D579" s="73" t="s">
        <v>114</v>
      </c>
      <c r="E579" s="372">
        <f t="shared" si="24"/>
        <v>656800</v>
      </c>
      <c r="F579" s="348"/>
      <c r="H579" s="160"/>
      <c r="I579" s="386"/>
    </row>
    <row r="580" spans="2:9">
      <c r="B580" s="146" t="s">
        <v>1249</v>
      </c>
      <c r="C580" s="378" t="s">
        <v>1855</v>
      </c>
      <c r="D580" s="73" t="s">
        <v>114</v>
      </c>
      <c r="E580" s="372">
        <f t="shared" si="24"/>
        <v>817400</v>
      </c>
      <c r="F580" s="348"/>
      <c r="H580" s="160"/>
      <c r="I580" s="386"/>
    </row>
    <row r="581" spans="2:9">
      <c r="B581" s="146" t="s">
        <v>1980</v>
      </c>
      <c r="C581" s="378" t="s">
        <v>1856</v>
      </c>
      <c r="D581" s="73" t="s">
        <v>114</v>
      </c>
      <c r="E581" s="372">
        <f t="shared" si="24"/>
        <v>1033500</v>
      </c>
      <c r="F581" s="348"/>
      <c r="H581" s="160"/>
      <c r="I581" s="386"/>
    </row>
    <row r="582" spans="2:9">
      <c r="B582" s="146" t="s">
        <v>1981</v>
      </c>
      <c r="C582" s="378" t="s">
        <v>1857</v>
      </c>
      <c r="D582" s="73" t="s">
        <v>114</v>
      </c>
      <c r="E582" s="372">
        <f t="shared" si="24"/>
        <v>1319800</v>
      </c>
      <c r="F582" s="348"/>
      <c r="H582" s="160"/>
      <c r="I582" s="386"/>
    </row>
    <row r="583" spans="2:9">
      <c r="B583" s="146" t="s">
        <v>1982</v>
      </c>
      <c r="C583" s="378" t="s">
        <v>1858</v>
      </c>
      <c r="D583" s="73" t="s">
        <v>114</v>
      </c>
      <c r="E583" s="372">
        <f t="shared" si="24"/>
        <v>1634000</v>
      </c>
      <c r="F583" s="348"/>
      <c r="H583" s="160"/>
      <c r="I583" s="386"/>
    </row>
    <row r="584" spans="2:9">
      <c r="B584" s="146" t="s">
        <v>1983</v>
      </c>
      <c r="C584" s="379" t="s">
        <v>1859</v>
      </c>
      <c r="D584" s="73" t="s">
        <v>114</v>
      </c>
      <c r="E584" s="372">
        <f t="shared" si="24"/>
        <v>25000</v>
      </c>
      <c r="F584" s="416"/>
      <c r="H584" s="160"/>
      <c r="I584" s="386"/>
    </row>
    <row r="585" spans="2:9">
      <c r="B585" s="146" t="s">
        <v>1984</v>
      </c>
      <c r="C585" s="380" t="s">
        <v>1860</v>
      </c>
      <c r="D585" s="73" t="s">
        <v>114</v>
      </c>
      <c r="E585" s="372">
        <f t="shared" si="24"/>
        <v>30700</v>
      </c>
      <c r="F585" s="417"/>
      <c r="H585" s="160"/>
      <c r="I585" s="386"/>
    </row>
    <row r="586" spans="2:9">
      <c r="B586" s="146" t="s">
        <v>1985</v>
      </c>
      <c r="C586" s="380" t="s">
        <v>1861</v>
      </c>
      <c r="D586" s="73" t="s">
        <v>114</v>
      </c>
      <c r="E586" s="372">
        <f t="shared" si="24"/>
        <v>38900</v>
      </c>
      <c r="F586" s="417"/>
      <c r="H586" s="160"/>
      <c r="I586" s="386"/>
    </row>
    <row r="587" spans="2:9">
      <c r="B587" s="146" t="s">
        <v>1986</v>
      </c>
      <c r="C587" s="380" t="s">
        <v>1862</v>
      </c>
      <c r="D587" s="73" t="s">
        <v>114</v>
      </c>
      <c r="E587" s="372">
        <f t="shared" si="24"/>
        <v>54100</v>
      </c>
      <c r="F587" s="417"/>
      <c r="H587" s="160"/>
      <c r="I587" s="386"/>
    </row>
    <row r="588" spans="2:9">
      <c r="B588" s="146" t="s">
        <v>1988</v>
      </c>
      <c r="C588" s="380" t="s">
        <v>1863</v>
      </c>
      <c r="D588" s="73" t="s">
        <v>114</v>
      </c>
      <c r="E588" s="372">
        <f t="shared" si="24"/>
        <v>82500</v>
      </c>
      <c r="F588" s="417"/>
      <c r="H588" s="160"/>
      <c r="I588" s="386"/>
    </row>
    <row r="589" spans="2:9">
      <c r="B589" s="146" t="s">
        <v>1993</v>
      </c>
      <c r="C589" s="380" t="s">
        <v>1864</v>
      </c>
      <c r="D589" s="73" t="s">
        <v>114</v>
      </c>
      <c r="E589" s="372">
        <f t="shared" si="24"/>
        <v>126200</v>
      </c>
      <c r="F589" s="417"/>
      <c r="H589" s="160"/>
      <c r="I589" s="386"/>
    </row>
    <row r="590" spans="2:9">
      <c r="B590" s="146" t="s">
        <v>1994</v>
      </c>
      <c r="C590" s="380" t="s">
        <v>1865</v>
      </c>
      <c r="D590" s="73" t="s">
        <v>114</v>
      </c>
      <c r="E590" s="372">
        <f t="shared" si="24"/>
        <v>28800</v>
      </c>
      <c r="F590" s="417"/>
      <c r="H590" s="160"/>
      <c r="I590" s="386"/>
    </row>
    <row r="591" spans="2:9">
      <c r="B591" s="146" t="s">
        <v>1995</v>
      </c>
      <c r="C591" s="380" t="s">
        <v>1866</v>
      </c>
      <c r="D591" s="73" t="s">
        <v>114</v>
      </c>
      <c r="E591" s="372">
        <f t="shared" si="24"/>
        <v>37000</v>
      </c>
      <c r="F591" s="417"/>
      <c r="H591" s="160"/>
      <c r="I591" s="386"/>
    </row>
    <row r="592" spans="2:9">
      <c r="B592" s="146" t="s">
        <v>1996</v>
      </c>
      <c r="C592" s="381" t="s">
        <v>1867</v>
      </c>
      <c r="D592" s="73" t="s">
        <v>114</v>
      </c>
      <c r="E592" s="372">
        <f t="shared" si="24"/>
        <v>53700</v>
      </c>
      <c r="F592" s="418"/>
      <c r="H592" s="160"/>
      <c r="I592" s="386"/>
    </row>
    <row r="593" spans="2:9">
      <c r="B593" s="146" t="s">
        <v>1997</v>
      </c>
      <c r="C593" s="380" t="s">
        <v>1868</v>
      </c>
      <c r="D593" s="73" t="s">
        <v>114</v>
      </c>
      <c r="E593" s="372">
        <f t="shared" si="24"/>
        <v>70100</v>
      </c>
      <c r="F593" s="417"/>
      <c r="H593" s="160"/>
      <c r="I593" s="386"/>
    </row>
    <row r="594" spans="2:9">
      <c r="B594" s="146" t="s">
        <v>1998</v>
      </c>
      <c r="C594" s="380" t="s">
        <v>1869</v>
      </c>
      <c r="D594" s="73" t="s">
        <v>114</v>
      </c>
      <c r="E594" s="372">
        <f t="shared" si="24"/>
        <v>109200</v>
      </c>
      <c r="F594" s="417"/>
      <c r="H594" s="160"/>
      <c r="I594" s="386"/>
    </row>
    <row r="595" spans="2:9">
      <c r="B595" s="146" t="s">
        <v>1999</v>
      </c>
      <c r="C595" s="380" t="s">
        <v>1870</v>
      </c>
      <c r="D595" s="73" t="s">
        <v>114</v>
      </c>
      <c r="E595" s="372">
        <f t="shared" si="24"/>
        <v>159000</v>
      </c>
      <c r="F595" s="417"/>
      <c r="H595" s="160"/>
      <c r="I595" s="386"/>
    </row>
    <row r="596" spans="2:9">
      <c r="B596" s="146" t="s">
        <v>2000</v>
      </c>
      <c r="C596" s="380" t="s">
        <v>1871</v>
      </c>
      <c r="D596" s="73" t="s">
        <v>114</v>
      </c>
      <c r="E596" s="372">
        <f t="shared" si="24"/>
        <v>236000</v>
      </c>
      <c r="F596" s="417"/>
      <c r="H596" s="160"/>
      <c r="I596" s="386"/>
    </row>
    <row r="597" spans="2:9">
      <c r="B597" s="146" t="s">
        <v>2001</v>
      </c>
      <c r="C597" s="380" t="s">
        <v>1872</v>
      </c>
      <c r="D597" s="73" t="s">
        <v>114</v>
      </c>
      <c r="E597" s="372">
        <f t="shared" si="24"/>
        <v>315500</v>
      </c>
      <c r="F597" s="417"/>
      <c r="H597" s="160"/>
      <c r="I597" s="386"/>
    </row>
    <row r="598" spans="2:9">
      <c r="B598" s="146" t="s">
        <v>2002</v>
      </c>
      <c r="C598" s="380" t="s">
        <v>1873</v>
      </c>
      <c r="D598" s="73" t="s">
        <v>114</v>
      </c>
      <c r="E598" s="372">
        <f t="shared" si="24"/>
        <v>406500</v>
      </c>
      <c r="F598" s="417"/>
      <c r="H598" s="160"/>
      <c r="I598" s="386"/>
    </row>
    <row r="599" spans="2:9">
      <c r="B599" s="146" t="s">
        <v>2003</v>
      </c>
      <c r="C599" s="380" t="s">
        <v>1874</v>
      </c>
      <c r="D599" s="73" t="s">
        <v>114</v>
      </c>
      <c r="E599" s="372">
        <f t="shared" ref="E599:E630" si="25">VLOOKUP(C599,jaringanlistrik,7,FALSE)</f>
        <v>33300</v>
      </c>
      <c r="F599" s="417"/>
      <c r="H599" s="160"/>
      <c r="I599" s="386"/>
    </row>
    <row r="600" spans="2:9">
      <c r="B600" s="146" t="s">
        <v>2005</v>
      </c>
      <c r="C600" s="380" t="s">
        <v>1875</v>
      </c>
      <c r="D600" s="73" t="s">
        <v>114</v>
      </c>
      <c r="E600" s="372">
        <f t="shared" si="25"/>
        <v>46000</v>
      </c>
      <c r="F600" s="417"/>
      <c r="H600" s="160"/>
      <c r="I600" s="386"/>
    </row>
    <row r="601" spans="2:9">
      <c r="B601" s="146" t="s">
        <v>2006</v>
      </c>
      <c r="C601" s="380" t="s">
        <v>1876</v>
      </c>
      <c r="D601" s="73" t="s">
        <v>114</v>
      </c>
      <c r="E601" s="372">
        <f t="shared" si="25"/>
        <v>66300</v>
      </c>
      <c r="F601" s="417"/>
      <c r="H601" s="160"/>
      <c r="I601" s="386"/>
    </row>
    <row r="602" spans="2:9">
      <c r="B602" s="146" t="s">
        <v>2007</v>
      </c>
      <c r="C602" s="380" t="s">
        <v>1877</v>
      </c>
      <c r="D602" s="73" t="s">
        <v>114</v>
      </c>
      <c r="E602" s="372">
        <f t="shared" si="25"/>
        <v>89100</v>
      </c>
      <c r="F602" s="417"/>
      <c r="H602" s="160"/>
      <c r="I602" s="386"/>
    </row>
    <row r="603" spans="2:9">
      <c r="B603" s="146" t="s">
        <v>2008</v>
      </c>
      <c r="C603" s="380" t="s">
        <v>1878</v>
      </c>
      <c r="D603" s="73" t="s">
        <v>114</v>
      </c>
      <c r="E603" s="372">
        <f t="shared" si="25"/>
        <v>136200</v>
      </c>
      <c r="F603" s="417"/>
      <c r="H603" s="160"/>
      <c r="I603" s="386"/>
    </row>
    <row r="604" spans="2:9">
      <c r="B604" s="146" t="s">
        <v>2009</v>
      </c>
      <c r="C604" s="380" t="s">
        <v>1879</v>
      </c>
      <c r="D604" s="73" t="s">
        <v>114</v>
      </c>
      <c r="E604" s="372">
        <f t="shared" si="25"/>
        <v>202600</v>
      </c>
      <c r="F604" s="417"/>
      <c r="H604" s="160"/>
      <c r="I604" s="386"/>
    </row>
    <row r="605" spans="2:9">
      <c r="B605" s="146" t="s">
        <v>2010</v>
      </c>
      <c r="C605" s="380" t="s">
        <v>1880</v>
      </c>
      <c r="D605" s="73" t="s">
        <v>114</v>
      </c>
      <c r="E605" s="372">
        <f t="shared" si="25"/>
        <v>308200</v>
      </c>
      <c r="F605" s="417"/>
      <c r="H605" s="160"/>
      <c r="I605" s="386"/>
    </row>
    <row r="606" spans="2:9">
      <c r="B606" s="146" t="s">
        <v>2011</v>
      </c>
      <c r="C606" s="380" t="s">
        <v>1881</v>
      </c>
      <c r="D606" s="73" t="s">
        <v>114</v>
      </c>
      <c r="E606" s="372">
        <f t="shared" si="25"/>
        <v>417300</v>
      </c>
      <c r="F606" s="417"/>
      <c r="H606" s="160"/>
      <c r="I606" s="386"/>
    </row>
    <row r="607" spans="2:9">
      <c r="B607" s="146" t="s">
        <v>2012</v>
      </c>
      <c r="C607" s="380" t="s">
        <v>1882</v>
      </c>
      <c r="D607" s="73" t="s">
        <v>114</v>
      </c>
      <c r="E607" s="372">
        <f t="shared" si="25"/>
        <v>550800</v>
      </c>
      <c r="F607" s="417"/>
      <c r="H607" s="160"/>
      <c r="I607" s="386"/>
    </row>
    <row r="608" spans="2:9">
      <c r="B608" s="146" t="s">
        <v>2013</v>
      </c>
      <c r="C608" s="380" t="s">
        <v>1883</v>
      </c>
      <c r="D608" s="73" t="s">
        <v>114</v>
      </c>
      <c r="E608" s="372">
        <f t="shared" si="25"/>
        <v>783800</v>
      </c>
      <c r="F608" s="417"/>
      <c r="H608" s="160"/>
      <c r="I608" s="386"/>
    </row>
    <row r="609" spans="2:9">
      <c r="B609" s="146" t="s">
        <v>2014</v>
      </c>
      <c r="C609" s="380" t="s">
        <v>1884</v>
      </c>
      <c r="D609" s="73" t="s">
        <v>114</v>
      </c>
      <c r="E609" s="372">
        <f t="shared" si="25"/>
        <v>1077600</v>
      </c>
      <c r="F609" s="417"/>
      <c r="H609" s="160"/>
      <c r="I609" s="386"/>
    </row>
    <row r="610" spans="2:9">
      <c r="B610" s="146" t="s">
        <v>2015</v>
      </c>
      <c r="C610" s="380" t="s">
        <v>1885</v>
      </c>
      <c r="D610" s="73" t="s">
        <v>114</v>
      </c>
      <c r="E610" s="372">
        <f t="shared" si="25"/>
        <v>1339100</v>
      </c>
      <c r="F610" s="417"/>
      <c r="H610" s="160"/>
      <c r="I610" s="386"/>
    </row>
    <row r="611" spans="2:9">
      <c r="B611" s="146" t="s">
        <v>2016</v>
      </c>
      <c r="C611" s="380" t="s">
        <v>1886</v>
      </c>
      <c r="D611" s="73" t="s">
        <v>114</v>
      </c>
      <c r="E611" s="372">
        <f t="shared" si="25"/>
        <v>1648600</v>
      </c>
      <c r="F611" s="417"/>
      <c r="H611" s="160"/>
      <c r="I611" s="386"/>
    </row>
    <row r="612" spans="2:9">
      <c r="B612" s="146" t="s">
        <v>2017</v>
      </c>
      <c r="C612" s="380" t="s">
        <v>1887</v>
      </c>
      <c r="D612" s="73" t="s">
        <v>114</v>
      </c>
      <c r="E612" s="372">
        <f t="shared" si="25"/>
        <v>2038000</v>
      </c>
      <c r="F612" s="417"/>
      <c r="H612" s="160"/>
      <c r="I612" s="386"/>
    </row>
    <row r="613" spans="2:9">
      <c r="B613" s="146" t="s">
        <v>2018</v>
      </c>
      <c r="C613" s="380" t="s">
        <v>1888</v>
      </c>
      <c r="D613" s="73" t="s">
        <v>114</v>
      </c>
      <c r="E613" s="372">
        <f t="shared" si="25"/>
        <v>2685000</v>
      </c>
      <c r="F613" s="417"/>
      <c r="H613" s="160"/>
      <c r="I613" s="386"/>
    </row>
    <row r="614" spans="2:9">
      <c r="B614" s="146" t="s">
        <v>2019</v>
      </c>
      <c r="C614" s="380" t="s">
        <v>1889</v>
      </c>
      <c r="D614" s="73" t="s">
        <v>114</v>
      </c>
      <c r="E614" s="372">
        <f t="shared" si="25"/>
        <v>3325200</v>
      </c>
      <c r="F614" s="417"/>
      <c r="H614" s="160"/>
      <c r="I614" s="386"/>
    </row>
    <row r="615" spans="2:9">
      <c r="B615" s="146" t="s">
        <v>2020</v>
      </c>
      <c r="C615" s="380" t="s">
        <v>1890</v>
      </c>
      <c r="D615" s="73" t="s">
        <v>114</v>
      </c>
      <c r="E615" s="372">
        <f t="shared" si="25"/>
        <v>9000</v>
      </c>
      <c r="F615" s="417"/>
      <c r="H615" s="160"/>
      <c r="I615" s="386"/>
    </row>
    <row r="616" spans="2:9">
      <c r="B616" s="146" t="s">
        <v>2021</v>
      </c>
      <c r="C616" s="380" t="s">
        <v>1891</v>
      </c>
      <c r="D616" s="73" t="s">
        <v>114</v>
      </c>
      <c r="E616" s="372">
        <f t="shared" si="25"/>
        <v>11700</v>
      </c>
      <c r="F616" s="417"/>
      <c r="H616" s="160"/>
      <c r="I616" s="386"/>
    </row>
    <row r="617" spans="2:9">
      <c r="B617" s="146" t="s">
        <v>2022</v>
      </c>
      <c r="C617" s="380" t="s">
        <v>1892</v>
      </c>
      <c r="D617" s="73" t="s">
        <v>114</v>
      </c>
      <c r="E617" s="372">
        <f t="shared" si="25"/>
        <v>18300</v>
      </c>
      <c r="F617" s="417"/>
      <c r="H617" s="160"/>
      <c r="I617" s="386"/>
    </row>
    <row r="618" spans="2:9">
      <c r="B618" s="146" t="s">
        <v>2023</v>
      </c>
      <c r="C618" s="380" t="s">
        <v>1893</v>
      </c>
      <c r="D618" s="73" t="s">
        <v>114</v>
      </c>
      <c r="E618" s="372">
        <f t="shared" si="25"/>
        <v>23200</v>
      </c>
      <c r="F618" s="417"/>
      <c r="H618" s="160"/>
      <c r="I618" s="386"/>
    </row>
    <row r="619" spans="2:9">
      <c r="B619" s="146" t="s">
        <v>2024</v>
      </c>
      <c r="C619" s="380" t="s">
        <v>1894</v>
      </c>
      <c r="D619" s="73" t="s">
        <v>114</v>
      </c>
      <c r="E619" s="372">
        <f t="shared" si="25"/>
        <v>35100</v>
      </c>
      <c r="F619" s="417"/>
      <c r="H619" s="160"/>
      <c r="I619" s="386"/>
    </row>
    <row r="620" spans="2:9">
      <c r="B620" s="146" t="s">
        <v>2025</v>
      </c>
      <c r="C620" s="380" t="s">
        <v>1895</v>
      </c>
      <c r="D620" s="73" t="s">
        <v>114</v>
      </c>
      <c r="E620" s="372">
        <f t="shared" si="25"/>
        <v>51500</v>
      </c>
      <c r="F620" s="417"/>
      <c r="H620" s="160"/>
      <c r="I620" s="386"/>
    </row>
    <row r="621" spans="2:9">
      <c r="B621" s="146" t="s">
        <v>2026</v>
      </c>
      <c r="C621" s="380" t="s">
        <v>1896</v>
      </c>
      <c r="D621" s="73" t="s">
        <v>114</v>
      </c>
      <c r="E621" s="372">
        <f t="shared" si="25"/>
        <v>26600</v>
      </c>
      <c r="F621" s="417"/>
      <c r="H621" s="160"/>
      <c r="I621" s="386"/>
    </row>
    <row r="622" spans="2:9">
      <c r="B622" s="146" t="s">
        <v>2027</v>
      </c>
      <c r="C622" s="380" t="s">
        <v>1897</v>
      </c>
      <c r="D622" s="73" t="s">
        <v>114</v>
      </c>
      <c r="E622" s="372">
        <f t="shared" si="25"/>
        <v>32700</v>
      </c>
      <c r="F622" s="417"/>
      <c r="H622" s="160"/>
      <c r="I622" s="386"/>
    </row>
    <row r="623" spans="2:9">
      <c r="B623" s="146" t="s">
        <v>2040</v>
      </c>
      <c r="C623" s="380" t="s">
        <v>1898</v>
      </c>
      <c r="D623" s="73" t="s">
        <v>114</v>
      </c>
      <c r="E623" s="372">
        <f t="shared" si="25"/>
        <v>21500</v>
      </c>
      <c r="F623" s="417"/>
      <c r="H623" s="160"/>
      <c r="I623" s="386"/>
    </row>
    <row r="624" spans="2:9">
      <c r="B624" s="146" t="s">
        <v>2041</v>
      </c>
      <c r="C624" s="380" t="s">
        <v>1899</v>
      </c>
      <c r="D624" s="73" t="s">
        <v>114</v>
      </c>
      <c r="E624" s="372">
        <f t="shared" si="25"/>
        <v>27300</v>
      </c>
      <c r="F624" s="417"/>
      <c r="H624" s="160"/>
      <c r="I624" s="386"/>
    </row>
    <row r="625" spans="2:9">
      <c r="B625" s="146" t="s">
        <v>2042</v>
      </c>
      <c r="C625" s="380" t="s">
        <v>1900</v>
      </c>
      <c r="D625" s="73" t="s">
        <v>114</v>
      </c>
      <c r="E625" s="372">
        <f t="shared" si="25"/>
        <v>36100</v>
      </c>
      <c r="F625" s="417"/>
      <c r="H625" s="160"/>
      <c r="I625" s="386"/>
    </row>
    <row r="626" spans="2:9">
      <c r="B626" s="146" t="s">
        <v>2043</v>
      </c>
      <c r="C626" s="380" t="s">
        <v>1901</v>
      </c>
      <c r="D626" s="73" t="s">
        <v>114</v>
      </c>
      <c r="E626" s="372">
        <f t="shared" si="25"/>
        <v>48100</v>
      </c>
      <c r="F626" s="417"/>
      <c r="H626" s="160"/>
      <c r="I626" s="386"/>
    </row>
    <row r="627" spans="2:9">
      <c r="B627" s="146" t="s">
        <v>2044</v>
      </c>
      <c r="C627" s="380" t="s">
        <v>1902</v>
      </c>
      <c r="D627" s="73" t="s">
        <v>114</v>
      </c>
      <c r="E627" s="372">
        <f t="shared" si="25"/>
        <v>74500</v>
      </c>
      <c r="F627" s="417"/>
      <c r="H627" s="160"/>
      <c r="I627" s="386"/>
    </row>
    <row r="628" spans="2:9">
      <c r="B628" s="146" t="s">
        <v>2045</v>
      </c>
      <c r="C628" s="380" t="s">
        <v>1903</v>
      </c>
      <c r="D628" s="73" t="s">
        <v>114</v>
      </c>
      <c r="E628" s="372">
        <f t="shared" si="25"/>
        <v>24800</v>
      </c>
      <c r="F628" s="417"/>
      <c r="H628" s="160"/>
      <c r="I628" s="386"/>
    </row>
    <row r="629" spans="2:9">
      <c r="B629" s="146" t="s">
        <v>2046</v>
      </c>
      <c r="C629" s="380" t="s">
        <v>1904</v>
      </c>
      <c r="D629" s="73" t="s">
        <v>114</v>
      </c>
      <c r="E629" s="372">
        <f t="shared" si="25"/>
        <v>37900</v>
      </c>
      <c r="F629" s="417"/>
      <c r="H629" s="160"/>
      <c r="I629" s="386"/>
    </row>
    <row r="630" spans="2:9">
      <c r="B630" s="146" t="s">
        <v>2047</v>
      </c>
      <c r="C630" s="380" t="s">
        <v>1905</v>
      </c>
      <c r="D630" s="73" t="s">
        <v>114</v>
      </c>
      <c r="E630" s="372">
        <f t="shared" si="25"/>
        <v>47600</v>
      </c>
      <c r="F630" s="417"/>
      <c r="H630" s="160"/>
      <c r="I630" s="386"/>
    </row>
    <row r="631" spans="2:9">
      <c r="B631" s="146" t="s">
        <v>2048</v>
      </c>
      <c r="C631" s="380" t="s">
        <v>1906</v>
      </c>
      <c r="D631" s="73" t="s">
        <v>114</v>
      </c>
      <c r="E631" s="372">
        <f t="shared" ref="E631:E662" si="26">VLOOKUP(C631,jaringanlistrik,7,FALSE)</f>
        <v>68800</v>
      </c>
      <c r="F631" s="417"/>
      <c r="H631" s="160"/>
      <c r="I631" s="386"/>
    </row>
    <row r="632" spans="2:9">
      <c r="B632" s="146" t="s">
        <v>2049</v>
      </c>
      <c r="C632" s="380" t="s">
        <v>1907</v>
      </c>
      <c r="D632" s="73" t="s">
        <v>114</v>
      </c>
      <c r="E632" s="372">
        <f t="shared" si="26"/>
        <v>106100</v>
      </c>
      <c r="F632" s="417"/>
      <c r="H632" s="160"/>
      <c r="I632" s="386"/>
    </row>
    <row r="633" spans="2:9">
      <c r="B633" s="146" t="s">
        <v>2050</v>
      </c>
      <c r="C633" s="380" t="s">
        <v>1908</v>
      </c>
      <c r="D633" s="73" t="s">
        <v>114</v>
      </c>
      <c r="E633" s="372">
        <f t="shared" si="26"/>
        <v>28800</v>
      </c>
      <c r="F633" s="417"/>
      <c r="H633" s="160"/>
      <c r="I633" s="386"/>
    </row>
    <row r="634" spans="2:9">
      <c r="B634" s="146" t="s">
        <v>2051</v>
      </c>
      <c r="C634" s="380" t="s">
        <v>1909</v>
      </c>
      <c r="D634" s="73" t="s">
        <v>114</v>
      </c>
      <c r="E634" s="372">
        <f t="shared" si="26"/>
        <v>39800</v>
      </c>
      <c r="F634" s="417"/>
      <c r="H634" s="160"/>
      <c r="I634" s="386"/>
    </row>
    <row r="635" spans="2:9">
      <c r="B635" s="146" t="s">
        <v>2052</v>
      </c>
      <c r="C635" s="380" t="s">
        <v>1910</v>
      </c>
      <c r="D635" s="73" t="s">
        <v>114</v>
      </c>
      <c r="E635" s="372">
        <f t="shared" si="26"/>
        <v>60800</v>
      </c>
      <c r="F635" s="417"/>
      <c r="H635" s="160"/>
      <c r="I635" s="386"/>
    </row>
    <row r="636" spans="2:9">
      <c r="B636" s="146" t="s">
        <v>2053</v>
      </c>
      <c r="C636" s="380" t="s">
        <v>1911</v>
      </c>
      <c r="D636" s="73" t="s">
        <v>114</v>
      </c>
      <c r="E636" s="372">
        <f t="shared" si="26"/>
        <v>83700</v>
      </c>
      <c r="F636" s="417"/>
      <c r="H636" s="160"/>
      <c r="I636" s="386"/>
    </row>
    <row r="637" spans="2:9">
      <c r="B637" s="146" t="s">
        <v>2054</v>
      </c>
      <c r="C637" s="380" t="s">
        <v>1912</v>
      </c>
      <c r="D637" s="73" t="s">
        <v>114</v>
      </c>
      <c r="E637" s="372">
        <f t="shared" si="26"/>
        <v>137400</v>
      </c>
      <c r="F637" s="417"/>
      <c r="H637" s="160"/>
      <c r="I637" s="386"/>
    </row>
    <row r="638" spans="2:9">
      <c r="B638" s="146" t="s">
        <v>2055</v>
      </c>
      <c r="C638" s="380" t="s">
        <v>1913</v>
      </c>
      <c r="D638" s="73" t="s">
        <v>114</v>
      </c>
      <c r="E638" s="372">
        <f t="shared" si="26"/>
        <v>212800</v>
      </c>
      <c r="F638" s="417"/>
      <c r="H638" s="160"/>
      <c r="I638" s="386"/>
    </row>
    <row r="639" spans="2:9">
      <c r="B639" s="146" t="s">
        <v>2056</v>
      </c>
      <c r="C639" s="380" t="s">
        <v>1914</v>
      </c>
      <c r="D639" s="73" t="s">
        <v>114</v>
      </c>
      <c r="E639" s="372">
        <f t="shared" si="26"/>
        <v>22100</v>
      </c>
      <c r="F639" s="417"/>
      <c r="H639" s="160"/>
      <c r="I639" s="386"/>
    </row>
    <row r="640" spans="2:9">
      <c r="B640" s="146" t="s">
        <v>2057</v>
      </c>
      <c r="C640" s="380" t="s">
        <v>1915</v>
      </c>
      <c r="D640" s="73" t="s">
        <v>114</v>
      </c>
      <c r="E640" s="372">
        <f t="shared" si="26"/>
        <v>28100</v>
      </c>
      <c r="F640" s="417"/>
      <c r="H640" s="160"/>
      <c r="I640" s="386"/>
    </row>
    <row r="641" spans="2:9">
      <c r="B641" s="146" t="s">
        <v>2058</v>
      </c>
      <c r="C641" s="380" t="s">
        <v>1916</v>
      </c>
      <c r="D641" s="73" t="s">
        <v>114</v>
      </c>
      <c r="E641" s="372">
        <f t="shared" si="26"/>
        <v>27500</v>
      </c>
      <c r="F641" s="417"/>
      <c r="H641" s="160"/>
      <c r="I641" s="386"/>
    </row>
    <row r="642" spans="2:9">
      <c r="B642" s="146" t="s">
        <v>2059</v>
      </c>
      <c r="C642" s="380" t="s">
        <v>1917</v>
      </c>
      <c r="D642" s="73" t="s">
        <v>114</v>
      </c>
      <c r="E642" s="372">
        <f t="shared" si="26"/>
        <v>37900</v>
      </c>
      <c r="F642" s="417"/>
      <c r="H642" s="160"/>
      <c r="I642" s="386"/>
    </row>
    <row r="643" spans="2:9">
      <c r="B643" s="146" t="s">
        <v>2060</v>
      </c>
      <c r="C643" s="380" t="s">
        <v>1918</v>
      </c>
      <c r="D643" s="73" t="s">
        <v>114</v>
      </c>
      <c r="E643" s="372">
        <f t="shared" si="26"/>
        <v>47700</v>
      </c>
      <c r="F643" s="417"/>
      <c r="H643" s="160"/>
      <c r="I643" s="386"/>
    </row>
    <row r="644" spans="2:9">
      <c r="B644" s="146" t="s">
        <v>2061</v>
      </c>
      <c r="C644" s="380" t="s">
        <v>1919</v>
      </c>
      <c r="D644" s="73" t="s">
        <v>114</v>
      </c>
      <c r="E644" s="372">
        <f t="shared" si="26"/>
        <v>32900</v>
      </c>
      <c r="F644" s="417"/>
      <c r="H644" s="160"/>
      <c r="I644" s="386"/>
    </row>
    <row r="645" spans="2:9">
      <c r="B645" s="146" t="s">
        <v>2062</v>
      </c>
      <c r="C645" s="380" t="s">
        <v>1920</v>
      </c>
      <c r="D645" s="73" t="s">
        <v>114</v>
      </c>
      <c r="E645" s="372">
        <f t="shared" si="26"/>
        <v>35900</v>
      </c>
      <c r="F645" s="417"/>
      <c r="H645" s="160"/>
      <c r="I645" s="386"/>
    </row>
    <row r="646" spans="2:9">
      <c r="B646" s="146" t="s">
        <v>2063</v>
      </c>
      <c r="C646" s="380" t="s">
        <v>1921</v>
      </c>
      <c r="D646" s="73" t="s">
        <v>114</v>
      </c>
      <c r="E646" s="372">
        <f t="shared" si="26"/>
        <v>39800</v>
      </c>
      <c r="F646" s="417"/>
      <c r="H646" s="160"/>
      <c r="I646" s="386"/>
    </row>
    <row r="647" spans="2:9">
      <c r="B647" s="146" t="s">
        <v>2064</v>
      </c>
      <c r="C647" s="380" t="s">
        <v>1922</v>
      </c>
      <c r="D647" s="73" t="s">
        <v>114</v>
      </c>
      <c r="E647" s="372">
        <f t="shared" si="26"/>
        <v>50000</v>
      </c>
      <c r="F647" s="417"/>
      <c r="H647" s="160"/>
      <c r="I647" s="386"/>
    </row>
    <row r="648" spans="2:9">
      <c r="B648" s="146" t="s">
        <v>2065</v>
      </c>
      <c r="C648" s="380" t="s">
        <v>1923</v>
      </c>
      <c r="D648" s="73" t="s">
        <v>114</v>
      </c>
      <c r="E648" s="372">
        <f t="shared" si="26"/>
        <v>56300</v>
      </c>
      <c r="F648" s="417"/>
      <c r="H648" s="160"/>
      <c r="I648" s="386"/>
    </row>
    <row r="649" spans="2:9">
      <c r="B649" s="146" t="s">
        <v>2066</v>
      </c>
      <c r="C649" s="380" t="s">
        <v>1924</v>
      </c>
      <c r="D649" s="73" t="s">
        <v>114</v>
      </c>
      <c r="E649" s="372">
        <f t="shared" si="26"/>
        <v>67000</v>
      </c>
      <c r="F649" s="417"/>
      <c r="H649" s="160"/>
      <c r="I649" s="386"/>
    </row>
    <row r="650" spans="2:9">
      <c r="B650" s="146" t="s">
        <v>2067</v>
      </c>
      <c r="C650" s="380" t="s">
        <v>1925</v>
      </c>
      <c r="D650" s="73" t="s">
        <v>114</v>
      </c>
      <c r="E650" s="372">
        <f t="shared" si="26"/>
        <v>90000</v>
      </c>
      <c r="F650" s="417"/>
      <c r="H650" s="160"/>
      <c r="I650" s="386"/>
    </row>
    <row r="651" spans="2:9">
      <c r="B651" s="146" t="s">
        <v>2068</v>
      </c>
      <c r="C651" s="380" t="s">
        <v>1926</v>
      </c>
      <c r="D651" s="73" t="s">
        <v>114</v>
      </c>
      <c r="E651" s="372">
        <f t="shared" si="26"/>
        <v>118000</v>
      </c>
      <c r="F651" s="417"/>
      <c r="H651" s="160"/>
      <c r="I651" s="386"/>
    </row>
    <row r="652" spans="2:9">
      <c r="B652" s="146" t="s">
        <v>2069</v>
      </c>
      <c r="C652" s="380" t="s">
        <v>1927</v>
      </c>
      <c r="D652" s="73" t="s">
        <v>114</v>
      </c>
      <c r="E652" s="372">
        <f t="shared" si="26"/>
        <v>47400</v>
      </c>
      <c r="F652" s="417"/>
      <c r="H652" s="160"/>
      <c r="I652" s="386"/>
    </row>
    <row r="653" spans="2:9">
      <c r="B653" s="146" t="s">
        <v>2070</v>
      </c>
      <c r="C653" s="380" t="s">
        <v>1928</v>
      </c>
      <c r="D653" s="73" t="s">
        <v>114</v>
      </c>
      <c r="E653" s="372">
        <f t="shared" si="26"/>
        <v>55400</v>
      </c>
      <c r="F653" s="417"/>
      <c r="H653" s="160"/>
      <c r="I653" s="386"/>
    </row>
    <row r="654" spans="2:9">
      <c r="B654" s="146" t="s">
        <v>2071</v>
      </c>
      <c r="C654" s="380" t="s">
        <v>1929</v>
      </c>
      <c r="D654" s="73" t="s">
        <v>114</v>
      </c>
      <c r="E654" s="372">
        <f t="shared" si="26"/>
        <v>76600</v>
      </c>
      <c r="F654" s="417"/>
      <c r="H654" s="160"/>
      <c r="I654" s="386"/>
    </row>
    <row r="655" spans="2:9">
      <c r="B655" s="146" t="s">
        <v>2072</v>
      </c>
      <c r="C655" s="380" t="s">
        <v>1930</v>
      </c>
      <c r="D655" s="73" t="s">
        <v>114</v>
      </c>
      <c r="E655" s="372">
        <f t="shared" si="26"/>
        <v>98600</v>
      </c>
      <c r="F655" s="417"/>
      <c r="H655" s="160"/>
      <c r="I655" s="386"/>
    </row>
    <row r="656" spans="2:9">
      <c r="B656" s="146" t="s">
        <v>2073</v>
      </c>
      <c r="C656" s="380" t="s">
        <v>1931</v>
      </c>
      <c r="D656" s="73" t="s">
        <v>114</v>
      </c>
      <c r="E656" s="372">
        <f t="shared" si="26"/>
        <v>119900</v>
      </c>
      <c r="F656" s="417"/>
      <c r="H656" s="160"/>
      <c r="I656" s="386"/>
    </row>
    <row r="657" spans="2:9">
      <c r="B657" s="146" t="s">
        <v>2098</v>
      </c>
      <c r="C657" s="380" t="s">
        <v>1932</v>
      </c>
      <c r="D657" s="73" t="s">
        <v>114</v>
      </c>
      <c r="E657" s="372">
        <f t="shared" si="26"/>
        <v>184900</v>
      </c>
      <c r="F657" s="417"/>
      <c r="H657" s="160"/>
      <c r="I657" s="386"/>
    </row>
    <row r="658" spans="2:9">
      <c r="B658" s="146" t="s">
        <v>2099</v>
      </c>
      <c r="C658" s="380" t="s">
        <v>1933</v>
      </c>
      <c r="D658" s="73" t="s">
        <v>114</v>
      </c>
      <c r="E658" s="372">
        <f t="shared" si="26"/>
        <v>48600</v>
      </c>
      <c r="F658" s="417"/>
      <c r="H658" s="160"/>
      <c r="I658" s="386"/>
    </row>
    <row r="659" spans="2:9">
      <c r="B659" s="146" t="s">
        <v>2100</v>
      </c>
      <c r="C659" s="380" t="s">
        <v>1934</v>
      </c>
      <c r="D659" s="73" t="s">
        <v>114</v>
      </c>
      <c r="E659" s="372">
        <f t="shared" si="26"/>
        <v>62900</v>
      </c>
      <c r="F659" s="417"/>
      <c r="H659" s="160"/>
      <c r="I659" s="386"/>
    </row>
    <row r="660" spans="2:9">
      <c r="B660" s="146" t="s">
        <v>2101</v>
      </c>
      <c r="C660" s="380" t="s">
        <v>1935</v>
      </c>
      <c r="D660" s="73" t="s">
        <v>114</v>
      </c>
      <c r="E660" s="372">
        <f t="shared" si="26"/>
        <v>99100</v>
      </c>
      <c r="F660" s="417"/>
      <c r="H660" s="160"/>
      <c r="I660" s="386"/>
    </row>
    <row r="661" spans="2:9">
      <c r="B661" s="146" t="s">
        <v>2102</v>
      </c>
      <c r="C661" s="380" t="s">
        <v>1936</v>
      </c>
      <c r="D661" s="73" t="s">
        <v>114</v>
      </c>
      <c r="E661" s="372">
        <f t="shared" si="26"/>
        <v>107500</v>
      </c>
      <c r="F661" s="417"/>
      <c r="H661" s="160"/>
      <c r="I661" s="386"/>
    </row>
    <row r="662" spans="2:9">
      <c r="B662" s="146" t="s">
        <v>2103</v>
      </c>
      <c r="C662" s="380" t="s">
        <v>1937</v>
      </c>
      <c r="D662" s="73" t="s">
        <v>114</v>
      </c>
      <c r="E662" s="372">
        <f t="shared" si="26"/>
        <v>147600</v>
      </c>
      <c r="F662" s="417"/>
      <c r="H662" s="160"/>
      <c r="I662" s="386"/>
    </row>
    <row r="663" spans="2:9">
      <c r="B663" s="146" t="s">
        <v>2104</v>
      </c>
      <c r="C663" s="380" t="s">
        <v>1938</v>
      </c>
      <c r="D663" s="73" t="s">
        <v>114</v>
      </c>
      <c r="E663" s="372">
        <f t="shared" ref="E663:E694" si="27">VLOOKUP(C663,jaringanlistrik,7,FALSE)</f>
        <v>230100</v>
      </c>
      <c r="F663" s="417"/>
      <c r="H663" s="160"/>
      <c r="I663" s="386"/>
    </row>
    <row r="664" spans="2:9">
      <c r="B664" s="146" t="s">
        <v>2105</v>
      </c>
      <c r="C664" s="380" t="s">
        <v>1939</v>
      </c>
      <c r="D664" s="73" t="s">
        <v>114</v>
      </c>
      <c r="E664" s="372">
        <f t="shared" si="27"/>
        <v>350800</v>
      </c>
      <c r="F664" s="417"/>
      <c r="H664" s="160"/>
      <c r="I664" s="386"/>
    </row>
    <row r="665" spans="2:9">
      <c r="B665" s="146" t="s">
        <v>2106</v>
      </c>
      <c r="C665" s="380" t="s">
        <v>1940</v>
      </c>
      <c r="D665" s="73" t="s">
        <v>114</v>
      </c>
      <c r="E665" s="372">
        <f t="shared" si="27"/>
        <v>444800</v>
      </c>
      <c r="F665" s="417"/>
      <c r="H665" s="160"/>
      <c r="I665" s="386"/>
    </row>
    <row r="666" spans="2:9">
      <c r="B666" s="146" t="s">
        <v>2107</v>
      </c>
      <c r="C666" s="380" t="s">
        <v>1941</v>
      </c>
      <c r="D666" s="73" t="s">
        <v>114</v>
      </c>
      <c r="E666" s="372">
        <f t="shared" si="27"/>
        <v>587500</v>
      </c>
      <c r="F666" s="417"/>
      <c r="H666" s="160"/>
      <c r="I666" s="386"/>
    </row>
    <row r="667" spans="2:9">
      <c r="B667" s="146" t="s">
        <v>2108</v>
      </c>
      <c r="C667" s="380" t="s">
        <v>1942</v>
      </c>
      <c r="D667" s="73" t="s">
        <v>114</v>
      </c>
      <c r="E667" s="372">
        <f t="shared" si="27"/>
        <v>818400</v>
      </c>
      <c r="F667" s="417"/>
      <c r="H667" s="160"/>
      <c r="I667" s="386"/>
    </row>
    <row r="668" spans="2:9">
      <c r="B668" s="146" t="s">
        <v>2109</v>
      </c>
      <c r="C668" s="380" t="s">
        <v>1943</v>
      </c>
      <c r="D668" s="73" t="s">
        <v>114</v>
      </c>
      <c r="E668" s="372">
        <f t="shared" si="27"/>
        <v>1040800</v>
      </c>
      <c r="F668" s="417"/>
      <c r="H668" s="160"/>
      <c r="I668" s="386"/>
    </row>
    <row r="669" spans="2:9">
      <c r="B669" s="146" t="s">
        <v>2110</v>
      </c>
      <c r="C669" s="380" t="s">
        <v>1944</v>
      </c>
      <c r="D669" s="73" t="s">
        <v>114</v>
      </c>
      <c r="E669" s="372">
        <f t="shared" si="27"/>
        <v>1353500</v>
      </c>
      <c r="F669" s="417"/>
      <c r="H669" s="160"/>
      <c r="I669" s="386"/>
    </row>
    <row r="670" spans="2:9">
      <c r="B670" s="146" t="s">
        <v>2111</v>
      </c>
      <c r="C670" s="380" t="s">
        <v>1945</v>
      </c>
      <c r="D670" s="73" t="s">
        <v>114</v>
      </c>
      <c r="E670" s="372">
        <f t="shared" si="27"/>
        <v>1641400</v>
      </c>
      <c r="F670" s="417"/>
      <c r="H670" s="160"/>
      <c r="I670" s="386"/>
    </row>
    <row r="671" spans="2:9">
      <c r="B671" s="146" t="s">
        <v>2112</v>
      </c>
      <c r="C671" s="380" t="s">
        <v>1946</v>
      </c>
      <c r="D671" s="73" t="s">
        <v>114</v>
      </c>
      <c r="E671" s="372">
        <f t="shared" si="27"/>
        <v>2039500</v>
      </c>
      <c r="F671" s="417"/>
      <c r="H671" s="160"/>
      <c r="I671" s="386"/>
    </row>
    <row r="672" spans="2:9">
      <c r="B672" s="146" t="s">
        <v>2113</v>
      </c>
      <c r="C672" s="380" t="s">
        <v>1947</v>
      </c>
      <c r="D672" s="73" t="s">
        <v>114</v>
      </c>
      <c r="E672" s="372">
        <f t="shared" si="27"/>
        <v>2634700</v>
      </c>
      <c r="F672" s="417"/>
      <c r="H672" s="160"/>
      <c r="I672" s="386"/>
    </row>
    <row r="673" spans="2:9">
      <c r="B673" s="146" t="s">
        <v>2114</v>
      </c>
      <c r="C673" s="380" t="s">
        <v>1948</v>
      </c>
      <c r="D673" s="73" t="s">
        <v>114</v>
      </c>
      <c r="E673" s="372">
        <f t="shared" si="27"/>
        <v>3256100</v>
      </c>
      <c r="F673" s="417"/>
      <c r="H673" s="160"/>
      <c r="I673" s="386"/>
    </row>
    <row r="674" spans="2:9">
      <c r="B674" s="146" t="s">
        <v>2115</v>
      </c>
      <c r="C674" s="380" t="s">
        <v>1949</v>
      </c>
      <c r="D674" s="73" t="s">
        <v>114</v>
      </c>
      <c r="E674" s="372">
        <f t="shared" si="27"/>
        <v>60400</v>
      </c>
      <c r="F674" s="417"/>
      <c r="H674" s="160"/>
      <c r="I674" s="386"/>
    </row>
    <row r="675" spans="2:9">
      <c r="B675" s="146" t="s">
        <v>2116</v>
      </c>
      <c r="C675" s="380" t="s">
        <v>1950</v>
      </c>
      <c r="D675" s="73" t="s">
        <v>114</v>
      </c>
      <c r="E675" s="372">
        <f t="shared" si="27"/>
        <v>125800</v>
      </c>
      <c r="F675" s="417"/>
      <c r="H675" s="160"/>
      <c r="I675" s="386"/>
    </row>
    <row r="676" spans="2:9">
      <c r="B676" s="146" t="s">
        <v>2117</v>
      </c>
      <c r="C676" s="380" t="s">
        <v>1951</v>
      </c>
      <c r="D676" s="73" t="s">
        <v>114</v>
      </c>
      <c r="E676" s="372">
        <f t="shared" si="27"/>
        <v>151100</v>
      </c>
      <c r="F676" s="417"/>
      <c r="H676" s="160"/>
      <c r="I676" s="386"/>
    </row>
    <row r="677" spans="2:9">
      <c r="B677" s="146" t="s">
        <v>2118</v>
      </c>
      <c r="C677" s="380" t="s">
        <v>1952</v>
      </c>
      <c r="D677" s="73" t="s">
        <v>114</v>
      </c>
      <c r="E677" s="372">
        <f t="shared" si="27"/>
        <v>2107100</v>
      </c>
      <c r="F677" s="417"/>
      <c r="H677" s="160"/>
      <c r="I677" s="386"/>
    </row>
    <row r="678" spans="2:9">
      <c r="B678" s="146" t="s">
        <v>2119</v>
      </c>
      <c r="C678" s="380" t="s">
        <v>1953</v>
      </c>
      <c r="D678" s="73" t="s">
        <v>114</v>
      </c>
      <c r="E678" s="372">
        <f t="shared" si="27"/>
        <v>406900</v>
      </c>
      <c r="F678" s="417"/>
      <c r="H678" s="160"/>
      <c r="I678" s="386"/>
    </row>
    <row r="679" spans="2:9">
      <c r="B679" s="146" t="s">
        <v>2120</v>
      </c>
      <c r="C679" s="380" t="s">
        <v>2147</v>
      </c>
      <c r="D679" s="73" t="s">
        <v>114</v>
      </c>
      <c r="E679" s="372">
        <f t="shared" si="27"/>
        <v>44100</v>
      </c>
      <c r="F679" s="417"/>
      <c r="H679" s="160"/>
      <c r="I679" s="386"/>
    </row>
    <row r="680" spans="2:9">
      <c r="B680" s="146" t="s">
        <v>2121</v>
      </c>
      <c r="C680" s="380" t="s">
        <v>2148</v>
      </c>
      <c r="D680" s="73" t="s">
        <v>114</v>
      </c>
      <c r="E680" s="372">
        <f t="shared" si="27"/>
        <v>86800</v>
      </c>
      <c r="F680" s="417"/>
      <c r="H680" s="160"/>
      <c r="I680" s="386"/>
    </row>
    <row r="681" spans="2:9">
      <c r="B681" s="146" t="s">
        <v>2122</v>
      </c>
      <c r="C681" s="380" t="s">
        <v>1954</v>
      </c>
      <c r="D681" s="73" t="s">
        <v>114</v>
      </c>
      <c r="E681" s="372">
        <f t="shared" si="27"/>
        <v>23000</v>
      </c>
      <c r="F681" s="417"/>
      <c r="H681" s="160"/>
      <c r="I681" s="386"/>
    </row>
    <row r="682" spans="2:9">
      <c r="B682" s="146" t="s">
        <v>2123</v>
      </c>
      <c r="C682" s="380" t="s">
        <v>1955</v>
      </c>
      <c r="D682" s="73" t="s">
        <v>114</v>
      </c>
      <c r="E682" s="372">
        <f t="shared" si="27"/>
        <v>24500</v>
      </c>
      <c r="F682" s="417"/>
      <c r="H682" s="160"/>
      <c r="I682" s="386"/>
    </row>
    <row r="683" spans="2:9">
      <c r="B683" s="146" t="s">
        <v>2124</v>
      </c>
      <c r="C683" s="380" t="s">
        <v>1956</v>
      </c>
      <c r="D683" s="73" t="s">
        <v>114</v>
      </c>
      <c r="E683" s="372">
        <f t="shared" si="27"/>
        <v>46500</v>
      </c>
      <c r="F683" s="417"/>
      <c r="H683" s="160"/>
      <c r="I683" s="386"/>
    </row>
    <row r="684" spans="2:9">
      <c r="B684" s="146" t="s">
        <v>2125</v>
      </c>
      <c r="C684" s="380" t="s">
        <v>1957</v>
      </c>
      <c r="D684" s="73" t="s">
        <v>114</v>
      </c>
      <c r="E684" s="372">
        <f t="shared" si="27"/>
        <v>51500</v>
      </c>
      <c r="F684" s="417"/>
      <c r="H684" s="160"/>
      <c r="I684" s="386"/>
    </row>
    <row r="685" spans="2:9">
      <c r="B685" s="146" t="s">
        <v>2126</v>
      </c>
      <c r="C685" s="380" t="s">
        <v>1958</v>
      </c>
      <c r="D685" s="73" t="s">
        <v>114</v>
      </c>
      <c r="E685" s="372">
        <f t="shared" si="27"/>
        <v>79000</v>
      </c>
      <c r="F685" s="417"/>
      <c r="H685" s="160"/>
      <c r="I685" s="386"/>
    </row>
    <row r="686" spans="2:9">
      <c r="B686" s="146" t="s">
        <v>2127</v>
      </c>
      <c r="C686" s="380" t="s">
        <v>1959</v>
      </c>
      <c r="D686" s="73" t="s">
        <v>114</v>
      </c>
      <c r="E686" s="372">
        <f t="shared" si="27"/>
        <v>105900</v>
      </c>
      <c r="F686" s="417"/>
      <c r="H686" s="160"/>
      <c r="I686" s="386"/>
    </row>
    <row r="687" spans="2:9">
      <c r="B687" s="146" t="s">
        <v>2128</v>
      </c>
      <c r="C687" s="380" t="s">
        <v>1960</v>
      </c>
      <c r="D687" s="73" t="s">
        <v>114</v>
      </c>
      <c r="E687" s="372">
        <f t="shared" si="27"/>
        <v>135600</v>
      </c>
      <c r="F687" s="417"/>
      <c r="H687" s="160"/>
      <c r="I687" s="386"/>
    </row>
    <row r="688" spans="2:9">
      <c r="B688" s="146" t="s">
        <v>2129</v>
      </c>
      <c r="C688" s="380" t="s">
        <v>1961</v>
      </c>
      <c r="D688" s="73" t="s">
        <v>114</v>
      </c>
      <c r="E688" s="372">
        <f t="shared" si="27"/>
        <v>196500</v>
      </c>
      <c r="F688" s="417"/>
      <c r="H688" s="160"/>
      <c r="I688" s="386"/>
    </row>
    <row r="689" spans="2:9">
      <c r="B689" s="146" t="s">
        <v>2130</v>
      </c>
      <c r="C689" s="380" t="s">
        <v>1962</v>
      </c>
      <c r="D689" s="73" t="s">
        <v>114</v>
      </c>
      <c r="E689" s="372">
        <f t="shared" si="27"/>
        <v>258500</v>
      </c>
      <c r="F689" s="417"/>
      <c r="H689" s="160"/>
      <c r="I689" s="386"/>
    </row>
    <row r="690" spans="2:9">
      <c r="B690" s="146" t="s">
        <v>2131</v>
      </c>
      <c r="C690" s="380" t="s">
        <v>1963</v>
      </c>
      <c r="D690" s="382" t="s">
        <v>139</v>
      </c>
      <c r="E690" s="372">
        <f t="shared" si="27"/>
        <v>533200</v>
      </c>
      <c r="F690" s="417"/>
      <c r="H690" s="160"/>
      <c r="I690" s="386"/>
    </row>
    <row r="691" spans="2:9">
      <c r="B691" s="146" t="s">
        <v>2132</v>
      </c>
      <c r="C691" s="380" t="s">
        <v>1964</v>
      </c>
      <c r="D691" s="382" t="s">
        <v>139</v>
      </c>
      <c r="E691" s="372">
        <f t="shared" si="27"/>
        <v>474100</v>
      </c>
      <c r="F691" s="417"/>
      <c r="H691" s="160"/>
      <c r="I691" s="386"/>
    </row>
    <row r="692" spans="2:9">
      <c r="B692" s="146" t="s">
        <v>2133</v>
      </c>
      <c r="C692" s="380" t="s">
        <v>1965</v>
      </c>
      <c r="D692" s="382" t="s">
        <v>139</v>
      </c>
      <c r="E692" s="372">
        <f t="shared" si="27"/>
        <v>413600</v>
      </c>
      <c r="F692" s="417"/>
      <c r="H692" s="160"/>
      <c r="I692" s="386"/>
    </row>
    <row r="693" spans="2:9">
      <c r="B693" s="146" t="s">
        <v>2134</v>
      </c>
      <c r="C693" s="380" t="s">
        <v>1966</v>
      </c>
      <c r="D693" s="382" t="s">
        <v>139</v>
      </c>
      <c r="E693" s="372">
        <f t="shared" si="27"/>
        <v>350300</v>
      </c>
      <c r="F693" s="417"/>
      <c r="H693" s="160"/>
      <c r="I693" s="386"/>
    </row>
    <row r="694" spans="2:9">
      <c r="B694" s="146" t="s">
        <v>2135</v>
      </c>
      <c r="C694" s="380" t="s">
        <v>1967</v>
      </c>
      <c r="D694" s="382" t="s">
        <v>139</v>
      </c>
      <c r="E694" s="372">
        <f t="shared" si="27"/>
        <v>289800</v>
      </c>
      <c r="F694" s="417"/>
      <c r="H694" s="160"/>
      <c r="I694" s="386"/>
    </row>
    <row r="695" spans="2:9">
      <c r="B695" s="146" t="s">
        <v>2136</v>
      </c>
      <c r="C695" s="380" t="s">
        <v>1968</v>
      </c>
      <c r="D695" s="382" t="s">
        <v>139</v>
      </c>
      <c r="E695" s="372">
        <f t="shared" ref="E695:E700" si="28">VLOOKUP(C695,jaringanlistrik,7,FALSE)</f>
        <v>513800</v>
      </c>
      <c r="F695" s="417"/>
      <c r="H695" s="160"/>
      <c r="I695" s="386"/>
    </row>
    <row r="696" spans="2:9">
      <c r="B696" s="146" t="s">
        <v>2137</v>
      </c>
      <c r="C696" s="380" t="s">
        <v>1969</v>
      </c>
      <c r="D696" s="382" t="s">
        <v>139</v>
      </c>
      <c r="E696" s="372">
        <f t="shared" si="28"/>
        <v>457100</v>
      </c>
      <c r="F696" s="417"/>
      <c r="H696" s="160"/>
      <c r="I696" s="386"/>
    </row>
    <row r="697" spans="2:9">
      <c r="B697" s="146" t="s">
        <v>2138</v>
      </c>
      <c r="C697" s="380" t="s">
        <v>1970</v>
      </c>
      <c r="D697" s="382" t="s">
        <v>139</v>
      </c>
      <c r="E697" s="372">
        <f t="shared" si="28"/>
        <v>399000</v>
      </c>
      <c r="F697" s="417"/>
      <c r="H697" s="160"/>
      <c r="I697" s="386"/>
    </row>
    <row r="698" spans="2:9">
      <c r="B698" s="146" t="s">
        <v>2139</v>
      </c>
      <c r="C698" s="380" t="s">
        <v>1971</v>
      </c>
      <c r="D698" s="382" t="s">
        <v>139</v>
      </c>
      <c r="E698" s="372">
        <f t="shared" si="28"/>
        <v>338300</v>
      </c>
      <c r="F698" s="417"/>
      <c r="H698" s="160"/>
      <c r="I698" s="386"/>
    </row>
    <row r="699" spans="2:9">
      <c r="B699" s="146" t="s">
        <v>2140</v>
      </c>
      <c r="C699" s="380" t="s">
        <v>1972</v>
      </c>
      <c r="D699" s="382" t="s">
        <v>139</v>
      </c>
      <c r="E699" s="372">
        <f t="shared" si="28"/>
        <v>280200</v>
      </c>
      <c r="F699" s="417"/>
      <c r="H699" s="160"/>
      <c r="I699" s="386"/>
    </row>
    <row r="700" spans="2:9" ht="15" thickBot="1">
      <c r="B700" s="419" t="s">
        <v>2141</v>
      </c>
      <c r="C700" s="420" t="s">
        <v>1973</v>
      </c>
      <c r="D700" s="421" t="s">
        <v>139</v>
      </c>
      <c r="E700" s="422">
        <f t="shared" si="28"/>
        <v>475400</v>
      </c>
      <c r="F700" s="423"/>
      <c r="H700" s="160"/>
      <c r="I700" s="386"/>
    </row>
    <row r="701" spans="2:9" ht="15" thickTop="1">
      <c r="E701" s="383"/>
    </row>
    <row r="704" spans="2:9">
      <c r="E704" s="385"/>
    </row>
  </sheetData>
  <mergeCells count="3">
    <mergeCell ref="B2:F2"/>
    <mergeCell ref="B3:F3"/>
    <mergeCell ref="B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H1218"/>
  <sheetViews>
    <sheetView zoomScaleSheetLayoutView="100" workbookViewId="0">
      <selection activeCell="G23" sqref="G23"/>
    </sheetView>
    <sheetView workbookViewId="1"/>
  </sheetViews>
  <sheetFormatPr defaultColWidth="9.140625" defaultRowHeight="12.75"/>
  <cols>
    <col min="1" max="3" width="4" customWidth="1"/>
    <col min="4" max="4" width="5.140625" customWidth="1"/>
    <col min="5" max="5" width="56.85546875" bestFit="1" customWidth="1"/>
    <col min="6" max="6" width="10.140625" style="1" customWidth="1"/>
    <col min="7" max="7" width="19.28515625" customWidth="1"/>
    <col min="8" max="8" width="24.140625" bestFit="1" customWidth="1"/>
  </cols>
  <sheetData>
    <row r="1" spans="4:8" ht="9.6" customHeight="1"/>
    <row r="2" spans="4:8" ht="9.6" customHeight="1"/>
    <row r="3" spans="4:8" ht="9.6" customHeight="1"/>
    <row r="4" spans="4:8" ht="18">
      <c r="D4" s="514" t="s">
        <v>1202</v>
      </c>
      <c r="E4" s="514"/>
      <c r="F4" s="514"/>
      <c r="G4" s="514"/>
      <c r="H4" s="514"/>
    </row>
    <row r="5" spans="4:8" ht="13.5" thickBot="1"/>
    <row r="6" spans="4:8" ht="23.45" customHeight="1" thickTop="1">
      <c r="D6" s="11" t="s">
        <v>0</v>
      </c>
      <c r="E6" s="12" t="s">
        <v>1203</v>
      </c>
      <c r="F6" s="12" t="s">
        <v>1204</v>
      </c>
      <c r="G6" s="12" t="s">
        <v>1</v>
      </c>
      <c r="H6" s="13" t="s">
        <v>2</v>
      </c>
    </row>
    <row r="7" spans="4:8" ht="13.5" thickBot="1">
      <c r="D7" s="14">
        <v>1</v>
      </c>
      <c r="E7" s="15">
        <v>2</v>
      </c>
      <c r="F7" s="15">
        <v>3</v>
      </c>
      <c r="G7" s="15">
        <v>4</v>
      </c>
      <c r="H7" s="16">
        <v>5</v>
      </c>
    </row>
    <row r="8" spans="4:8" ht="13.5" thickTop="1">
      <c r="D8" s="48" t="s">
        <v>3</v>
      </c>
      <c r="E8" s="49" t="s">
        <v>4</v>
      </c>
      <c r="F8" s="50"/>
      <c r="G8" s="51"/>
      <c r="H8" s="52"/>
    </row>
    <row r="9" spans="4:8">
      <c r="D9" s="23">
        <v>1</v>
      </c>
      <c r="E9" s="9" t="s">
        <v>5</v>
      </c>
      <c r="F9" s="17" t="s">
        <v>6</v>
      </c>
      <c r="G9" s="20">
        <v>100000</v>
      </c>
      <c r="H9" s="10"/>
    </row>
    <row r="10" spans="4:8">
      <c r="D10" s="5">
        <v>2</v>
      </c>
      <c r="E10" s="3" t="s">
        <v>7</v>
      </c>
      <c r="F10" s="2" t="s">
        <v>6</v>
      </c>
      <c r="G10" s="19">
        <v>145000</v>
      </c>
      <c r="H10" s="4"/>
    </row>
    <row r="11" spans="4:8">
      <c r="D11" s="5">
        <v>3</v>
      </c>
      <c r="E11" s="3" t="s">
        <v>8</v>
      </c>
      <c r="F11" s="2" t="s">
        <v>6</v>
      </c>
      <c r="G11" s="19">
        <v>145000</v>
      </c>
      <c r="H11" s="4"/>
    </row>
    <row r="12" spans="4:8">
      <c r="D12" s="5">
        <v>4</v>
      </c>
      <c r="E12" s="3" t="s">
        <v>9</v>
      </c>
      <c r="F12" s="2" t="s">
        <v>6</v>
      </c>
      <c r="G12" s="19">
        <v>145000</v>
      </c>
      <c r="H12" s="4"/>
    </row>
    <row r="13" spans="4:8">
      <c r="D13" s="5">
        <v>5</v>
      </c>
      <c r="E13" s="3" t="s">
        <v>10</v>
      </c>
      <c r="F13" s="2" t="s">
        <v>6</v>
      </c>
      <c r="G13" s="19">
        <v>145000</v>
      </c>
      <c r="H13" s="4"/>
    </row>
    <row r="14" spans="4:8">
      <c r="D14" s="5">
        <v>6</v>
      </c>
      <c r="E14" s="3" t="s">
        <v>11</v>
      </c>
      <c r="F14" s="2" t="s">
        <v>6</v>
      </c>
      <c r="G14" s="19">
        <v>145000</v>
      </c>
      <c r="H14" s="4"/>
    </row>
    <row r="15" spans="4:8">
      <c r="D15" s="5">
        <v>7</v>
      </c>
      <c r="E15" s="3" t="s">
        <v>12</v>
      </c>
      <c r="F15" s="2" t="s">
        <v>6</v>
      </c>
      <c r="G15" s="19">
        <v>145000</v>
      </c>
      <c r="H15" s="4"/>
    </row>
    <row r="16" spans="4:8">
      <c r="D16" s="5">
        <v>8</v>
      </c>
      <c r="E16" s="3" t="s">
        <v>13</v>
      </c>
      <c r="F16" s="2" t="s">
        <v>6</v>
      </c>
      <c r="G16" s="19">
        <v>145000</v>
      </c>
      <c r="H16" s="4"/>
    </row>
    <row r="17" spans="4:8">
      <c r="D17" s="5">
        <v>9</v>
      </c>
      <c r="E17" s="3" t="s">
        <v>14</v>
      </c>
      <c r="F17" s="2" t="s">
        <v>6</v>
      </c>
      <c r="G17" s="19">
        <v>145000</v>
      </c>
      <c r="H17" s="4"/>
    </row>
    <row r="18" spans="4:8">
      <c r="D18" s="5">
        <v>10</v>
      </c>
      <c r="E18" s="3" t="s">
        <v>15</v>
      </c>
      <c r="F18" s="2" t="s">
        <v>6</v>
      </c>
      <c r="G18" s="19">
        <v>120000</v>
      </c>
      <c r="H18" s="4"/>
    </row>
    <row r="19" spans="4:8">
      <c r="D19" s="5">
        <v>11</v>
      </c>
      <c r="E19" s="3" t="s">
        <v>16</v>
      </c>
      <c r="F19" s="2" t="s">
        <v>6</v>
      </c>
      <c r="G19" s="19">
        <v>120000</v>
      </c>
      <c r="H19" s="4"/>
    </row>
    <row r="20" spans="4:8">
      <c r="D20" s="5">
        <v>12</v>
      </c>
      <c r="E20" s="3" t="s">
        <v>17</v>
      </c>
      <c r="F20" s="2" t="s">
        <v>6</v>
      </c>
      <c r="G20" s="19">
        <v>145000</v>
      </c>
      <c r="H20" s="4"/>
    </row>
    <row r="21" spans="4:8">
      <c r="D21" s="5">
        <v>13</v>
      </c>
      <c r="E21" s="3" t="s">
        <v>18</v>
      </c>
      <c r="F21" s="2" t="s">
        <v>6</v>
      </c>
      <c r="G21" s="19">
        <v>150000</v>
      </c>
      <c r="H21" s="4"/>
    </row>
    <row r="22" spans="4:8">
      <c r="D22" s="5">
        <v>14</v>
      </c>
      <c r="E22" s="3" t="s">
        <v>19</v>
      </c>
      <c r="F22" s="2" t="s">
        <v>6</v>
      </c>
      <c r="G22" s="19">
        <v>145000</v>
      </c>
      <c r="H22" s="4"/>
    </row>
    <row r="23" spans="4:8">
      <c r="D23" s="5">
        <v>15</v>
      </c>
      <c r="E23" s="3" t="s">
        <v>20</v>
      </c>
      <c r="F23" s="2" t="s">
        <v>6</v>
      </c>
      <c r="G23" s="19">
        <v>110000</v>
      </c>
      <c r="H23" s="4"/>
    </row>
    <row r="24" spans="4:8">
      <c r="D24" s="5">
        <v>16</v>
      </c>
      <c r="E24" s="3" t="s">
        <v>21</v>
      </c>
      <c r="F24" s="2" t="s">
        <v>6</v>
      </c>
      <c r="G24" s="19">
        <v>400000</v>
      </c>
      <c r="H24" s="4"/>
    </row>
    <row r="25" spans="4:8">
      <c r="D25" s="5">
        <v>17</v>
      </c>
      <c r="E25" s="3" t="s">
        <v>22</v>
      </c>
      <c r="F25" s="2" t="s">
        <v>6</v>
      </c>
      <c r="G25" s="19">
        <v>400000</v>
      </c>
      <c r="H25" s="4"/>
    </row>
    <row r="26" spans="4:8">
      <c r="D26" s="5">
        <v>18</v>
      </c>
      <c r="E26" s="3" t="s">
        <v>23</v>
      </c>
      <c r="F26" s="2" t="s">
        <v>6</v>
      </c>
      <c r="G26" s="19">
        <v>125000</v>
      </c>
      <c r="H26" s="4"/>
    </row>
    <row r="27" spans="4:8">
      <c r="D27" s="5">
        <v>19</v>
      </c>
      <c r="E27" s="3" t="s">
        <v>24</v>
      </c>
      <c r="F27" s="2" t="s">
        <v>6</v>
      </c>
      <c r="G27" s="19">
        <v>140000</v>
      </c>
      <c r="H27" s="4"/>
    </row>
    <row r="28" spans="4:8">
      <c r="D28" s="5">
        <v>20</v>
      </c>
      <c r="E28" s="3" t="s">
        <v>25</v>
      </c>
      <c r="F28" s="2" t="s">
        <v>6</v>
      </c>
      <c r="G28" s="19">
        <v>150000</v>
      </c>
      <c r="H28" s="4"/>
    </row>
    <row r="29" spans="4:8">
      <c r="D29" s="5">
        <v>21</v>
      </c>
      <c r="E29" s="3" t="s">
        <v>26</v>
      </c>
      <c r="F29" s="2" t="s">
        <v>6</v>
      </c>
      <c r="G29" s="19">
        <v>175000</v>
      </c>
      <c r="H29" s="4"/>
    </row>
    <row r="30" spans="4:8">
      <c r="D30" s="5">
        <v>22</v>
      </c>
      <c r="E30" s="3" t="s">
        <v>27</v>
      </c>
      <c r="F30" s="2" t="s">
        <v>6</v>
      </c>
      <c r="G30" s="19">
        <v>135000</v>
      </c>
      <c r="H30" s="4"/>
    </row>
    <row r="31" spans="4:8">
      <c r="D31" s="5">
        <v>23</v>
      </c>
      <c r="E31" s="3" t="s">
        <v>28</v>
      </c>
      <c r="F31" s="2" t="s">
        <v>6</v>
      </c>
      <c r="G31" s="19">
        <v>155000</v>
      </c>
      <c r="H31" s="4"/>
    </row>
    <row r="32" spans="4:8">
      <c r="D32" s="5">
        <v>24</v>
      </c>
      <c r="E32" s="3" t="s">
        <v>29</v>
      </c>
      <c r="F32" s="2" t="s">
        <v>6</v>
      </c>
      <c r="G32" s="19">
        <v>220000</v>
      </c>
      <c r="H32" s="4"/>
    </row>
    <row r="33" spans="4:8">
      <c r="D33" s="5">
        <v>25</v>
      </c>
      <c r="E33" s="3" t="s">
        <v>30</v>
      </c>
      <c r="F33" s="2" t="s">
        <v>6</v>
      </c>
      <c r="G33" s="19">
        <v>250000</v>
      </c>
      <c r="H33" s="4"/>
    </row>
    <row r="34" spans="4:8">
      <c r="D34" s="5">
        <v>26</v>
      </c>
      <c r="E34" s="3" t="s">
        <v>31</v>
      </c>
      <c r="F34" s="2" t="s">
        <v>6</v>
      </c>
      <c r="G34" s="19">
        <v>130000</v>
      </c>
      <c r="H34" s="4"/>
    </row>
    <row r="35" spans="4:8">
      <c r="D35" s="5">
        <v>27</v>
      </c>
      <c r="E35" s="3" t="s">
        <v>32</v>
      </c>
      <c r="F35" s="2" t="s">
        <v>6</v>
      </c>
      <c r="G35" s="19">
        <v>130000</v>
      </c>
      <c r="H35" s="4"/>
    </row>
    <row r="36" spans="4:8">
      <c r="D36" s="5">
        <v>28</v>
      </c>
      <c r="E36" s="3" t="s">
        <v>33</v>
      </c>
      <c r="F36" s="2" t="s">
        <v>6</v>
      </c>
      <c r="G36" s="19">
        <v>150000</v>
      </c>
      <c r="H36" s="4"/>
    </row>
    <row r="37" spans="4:8">
      <c r="D37" s="5">
        <v>29</v>
      </c>
      <c r="E37" s="3" t="s">
        <v>34</v>
      </c>
      <c r="F37" s="2" t="s">
        <v>6</v>
      </c>
      <c r="G37" s="19">
        <v>130000</v>
      </c>
      <c r="H37" s="4"/>
    </row>
    <row r="38" spans="4:8">
      <c r="D38" s="5">
        <v>30</v>
      </c>
      <c r="E38" s="3" t="s">
        <v>35</v>
      </c>
      <c r="F38" s="2" t="s">
        <v>6</v>
      </c>
      <c r="G38" s="19">
        <v>130000</v>
      </c>
      <c r="H38" s="4"/>
    </row>
    <row r="39" spans="4:8">
      <c r="D39" s="5">
        <v>31</v>
      </c>
      <c r="E39" s="3" t="s">
        <v>36</v>
      </c>
      <c r="F39" s="2" t="s">
        <v>6</v>
      </c>
      <c r="G39" s="19">
        <v>200000</v>
      </c>
      <c r="H39" s="4"/>
    </row>
    <row r="40" spans="4:8">
      <c r="D40" s="5">
        <v>32</v>
      </c>
      <c r="E40" s="3" t="s">
        <v>37</v>
      </c>
      <c r="F40" s="2" t="s">
        <v>6</v>
      </c>
      <c r="G40" s="19">
        <v>160000</v>
      </c>
      <c r="H40" s="4"/>
    </row>
    <row r="41" spans="4:8">
      <c r="D41" s="5"/>
      <c r="E41" s="3"/>
      <c r="F41" s="2"/>
      <c r="G41" s="19"/>
      <c r="H41" s="4"/>
    </row>
    <row r="42" spans="4:8">
      <c r="D42" s="24" t="s">
        <v>38</v>
      </c>
      <c r="E42" s="25" t="s">
        <v>39</v>
      </c>
      <c r="F42" s="26"/>
      <c r="G42" s="27"/>
      <c r="H42" s="28"/>
    </row>
    <row r="43" spans="4:8">
      <c r="D43" s="34"/>
      <c r="E43" s="44" t="s">
        <v>40</v>
      </c>
      <c r="F43" s="45"/>
      <c r="G43" s="46"/>
      <c r="H43" s="47"/>
    </row>
    <row r="44" spans="4:8">
      <c r="D44" s="23">
        <v>1</v>
      </c>
      <c r="E44" s="9" t="s">
        <v>41</v>
      </c>
      <c r="F44" s="17" t="s">
        <v>42</v>
      </c>
      <c r="G44" s="20">
        <v>385000</v>
      </c>
      <c r="H44" s="10"/>
    </row>
    <row r="45" spans="4:8">
      <c r="D45" s="5">
        <v>2</v>
      </c>
      <c r="E45" s="3" t="s">
        <v>43</v>
      </c>
      <c r="F45" s="2" t="s">
        <v>44</v>
      </c>
      <c r="G45" s="19">
        <v>700</v>
      </c>
      <c r="H45" s="4"/>
    </row>
    <row r="46" spans="4:8">
      <c r="D46" s="5">
        <v>3</v>
      </c>
      <c r="E46" s="3" t="s">
        <v>45</v>
      </c>
      <c r="F46" s="2" t="s">
        <v>42</v>
      </c>
      <c r="G46" s="19">
        <v>590000</v>
      </c>
      <c r="H46" s="4"/>
    </row>
    <row r="47" spans="4:8">
      <c r="D47" s="5">
        <v>4</v>
      </c>
      <c r="E47" s="3" t="s">
        <v>46</v>
      </c>
      <c r="F47" s="2" t="s">
        <v>42</v>
      </c>
      <c r="G47" s="19">
        <v>703500</v>
      </c>
      <c r="H47" s="4"/>
    </row>
    <row r="48" spans="4:8">
      <c r="D48" s="5">
        <v>5</v>
      </c>
      <c r="E48" s="3" t="s">
        <v>47</v>
      </c>
      <c r="F48" s="2" t="s">
        <v>42</v>
      </c>
      <c r="G48" s="19">
        <v>685800</v>
      </c>
      <c r="H48" s="4"/>
    </row>
    <row r="49" spans="4:8">
      <c r="D49" s="5">
        <v>6</v>
      </c>
      <c r="E49" s="3" t="s">
        <v>48</v>
      </c>
      <c r="F49" s="2" t="s">
        <v>44</v>
      </c>
      <c r="G49" s="19">
        <v>11000</v>
      </c>
      <c r="H49" s="4"/>
    </row>
    <row r="50" spans="4:8">
      <c r="D50" s="5">
        <v>7</v>
      </c>
      <c r="E50" s="3" t="s">
        <v>49</v>
      </c>
      <c r="F50" s="2" t="s">
        <v>44</v>
      </c>
      <c r="G50" s="19">
        <v>20000</v>
      </c>
      <c r="H50" s="4"/>
    </row>
    <row r="51" spans="4:8">
      <c r="D51" s="5">
        <v>8</v>
      </c>
      <c r="E51" s="3" t="s">
        <v>50</v>
      </c>
      <c r="F51" s="2" t="s">
        <v>44</v>
      </c>
      <c r="G51" s="19">
        <v>8500</v>
      </c>
      <c r="H51" s="4"/>
    </row>
    <row r="52" spans="4:8">
      <c r="D52" s="5">
        <v>9</v>
      </c>
      <c r="E52" s="3" t="s">
        <v>51</v>
      </c>
      <c r="F52" s="2" t="s">
        <v>44</v>
      </c>
      <c r="G52" s="19">
        <v>15000</v>
      </c>
      <c r="H52" s="4"/>
    </row>
    <row r="53" spans="4:8">
      <c r="D53" s="5">
        <v>10</v>
      </c>
      <c r="E53" s="3" t="s">
        <v>52</v>
      </c>
      <c r="F53" s="2" t="s">
        <v>53</v>
      </c>
      <c r="G53" s="19">
        <v>179300</v>
      </c>
      <c r="H53" s="4"/>
    </row>
    <row r="54" spans="4:8">
      <c r="D54" s="5">
        <v>11</v>
      </c>
      <c r="E54" s="3" t="s">
        <v>54</v>
      </c>
      <c r="F54" s="2" t="s">
        <v>53</v>
      </c>
      <c r="G54" s="19">
        <v>177500</v>
      </c>
      <c r="H54" s="4"/>
    </row>
    <row r="55" spans="4:8">
      <c r="D55" s="5">
        <v>12</v>
      </c>
      <c r="E55" s="3" t="s">
        <v>55</v>
      </c>
      <c r="F55" s="2" t="s">
        <v>42</v>
      </c>
      <c r="G55" s="19">
        <v>339861</v>
      </c>
      <c r="H55" s="4"/>
    </row>
    <row r="56" spans="4:8">
      <c r="D56" s="5">
        <v>13</v>
      </c>
      <c r="E56" s="3" t="s">
        <v>56</v>
      </c>
      <c r="F56" s="2" t="s">
        <v>42</v>
      </c>
      <c r="G56" s="19">
        <v>235000</v>
      </c>
      <c r="H56" s="4"/>
    </row>
    <row r="57" spans="4:8">
      <c r="D57" s="5">
        <v>14</v>
      </c>
      <c r="E57" s="3" t="s">
        <v>57</v>
      </c>
      <c r="F57" s="2" t="s">
        <v>42</v>
      </c>
      <c r="G57" s="19">
        <v>286500</v>
      </c>
      <c r="H57" s="4"/>
    </row>
    <row r="58" spans="4:8">
      <c r="D58" s="5">
        <v>15</v>
      </c>
      <c r="E58" s="3" t="s">
        <v>58</v>
      </c>
      <c r="F58" s="2" t="s">
        <v>42</v>
      </c>
      <c r="G58" s="19">
        <v>127500</v>
      </c>
      <c r="H58" s="4"/>
    </row>
    <row r="59" spans="4:8">
      <c r="D59" s="5">
        <v>16</v>
      </c>
      <c r="E59" s="3" t="s">
        <v>59</v>
      </c>
      <c r="F59" s="2" t="s">
        <v>53</v>
      </c>
      <c r="G59" s="19">
        <v>152000</v>
      </c>
      <c r="H59" s="4"/>
    </row>
    <row r="60" spans="4:8">
      <c r="D60" s="5">
        <v>17</v>
      </c>
      <c r="E60" s="3" t="s">
        <v>60</v>
      </c>
      <c r="F60" s="2" t="s">
        <v>42</v>
      </c>
      <c r="G60" s="19">
        <v>187400</v>
      </c>
      <c r="H60" s="4"/>
    </row>
    <row r="61" spans="4:8">
      <c r="D61" s="5">
        <v>18</v>
      </c>
      <c r="E61" s="3" t="s">
        <v>61</v>
      </c>
      <c r="F61" s="2" t="s">
        <v>42</v>
      </c>
      <c r="G61" s="19">
        <v>142500</v>
      </c>
      <c r="H61" s="4"/>
    </row>
    <row r="62" spans="4:8">
      <c r="D62" s="5">
        <v>19</v>
      </c>
      <c r="E62" s="3" t="s">
        <v>62</v>
      </c>
      <c r="F62" s="2" t="s">
        <v>63</v>
      </c>
      <c r="G62" s="19">
        <v>97500</v>
      </c>
      <c r="H62" s="4"/>
    </row>
    <row r="63" spans="4:8">
      <c r="D63" s="5">
        <v>20</v>
      </c>
      <c r="E63" s="3" t="s">
        <v>64</v>
      </c>
      <c r="F63" s="2" t="s">
        <v>42</v>
      </c>
      <c r="G63" s="19">
        <v>125000</v>
      </c>
      <c r="H63" s="4"/>
    </row>
    <row r="64" spans="4:8">
      <c r="D64" s="5">
        <v>21</v>
      </c>
      <c r="E64" s="3" t="s">
        <v>65</v>
      </c>
      <c r="F64" s="2" t="s">
        <v>66</v>
      </c>
      <c r="G64" s="19">
        <v>210</v>
      </c>
      <c r="H64" s="4"/>
    </row>
    <row r="65" spans="4:8">
      <c r="D65" s="5">
        <v>22</v>
      </c>
      <c r="E65" s="3" t="s">
        <v>67</v>
      </c>
      <c r="F65" s="2" t="s">
        <v>42</v>
      </c>
      <c r="G65" s="19">
        <v>363800</v>
      </c>
      <c r="H65" s="4"/>
    </row>
    <row r="66" spans="4:8">
      <c r="D66" s="5">
        <v>23</v>
      </c>
      <c r="E66" s="3" t="s">
        <v>68</v>
      </c>
      <c r="F66" s="2" t="s">
        <v>42</v>
      </c>
      <c r="G66" s="19">
        <v>351800</v>
      </c>
      <c r="H66" s="4"/>
    </row>
    <row r="67" spans="4:8">
      <c r="D67" s="5">
        <v>24</v>
      </c>
      <c r="E67" s="3" t="s">
        <v>69</v>
      </c>
      <c r="F67" s="2" t="s">
        <v>53</v>
      </c>
      <c r="G67" s="19">
        <v>123000</v>
      </c>
      <c r="H67" s="4"/>
    </row>
    <row r="68" spans="4:8">
      <c r="D68" s="5">
        <v>25</v>
      </c>
      <c r="E68" s="3" t="s">
        <v>70</v>
      </c>
      <c r="F68" s="2" t="s">
        <v>53</v>
      </c>
      <c r="G68" s="19">
        <v>117700</v>
      </c>
      <c r="H68" s="4"/>
    </row>
    <row r="69" spans="4:8">
      <c r="D69" s="5">
        <v>26</v>
      </c>
      <c r="E69" s="3" t="s">
        <v>71</v>
      </c>
      <c r="F69" s="2" t="s">
        <v>66</v>
      </c>
      <c r="G69" s="19">
        <v>6000</v>
      </c>
      <c r="H69" s="4"/>
    </row>
    <row r="70" spans="4:8">
      <c r="D70" s="5">
        <v>27</v>
      </c>
      <c r="E70" s="3" t="s">
        <v>72</v>
      </c>
      <c r="F70" s="2" t="s">
        <v>42</v>
      </c>
      <c r="G70" s="19">
        <v>370200</v>
      </c>
      <c r="H70" s="4"/>
    </row>
    <row r="71" spans="4:8">
      <c r="D71" s="5">
        <v>28</v>
      </c>
      <c r="E71" s="3" t="s">
        <v>73</v>
      </c>
      <c r="F71" s="2" t="s">
        <v>42</v>
      </c>
      <c r="G71" s="19">
        <v>352300</v>
      </c>
      <c r="H71" s="4"/>
    </row>
    <row r="72" spans="4:8">
      <c r="D72" s="5">
        <v>29</v>
      </c>
      <c r="E72" s="3" t="s">
        <v>74</v>
      </c>
      <c r="F72" s="2" t="s">
        <v>42</v>
      </c>
      <c r="G72" s="19">
        <v>121600</v>
      </c>
      <c r="H72" s="4"/>
    </row>
    <row r="73" spans="4:8">
      <c r="D73" s="5">
        <v>30</v>
      </c>
      <c r="E73" s="3" t="s">
        <v>75</v>
      </c>
      <c r="F73" s="2" t="s">
        <v>66</v>
      </c>
      <c r="G73" s="19">
        <v>600</v>
      </c>
      <c r="H73" s="4"/>
    </row>
    <row r="74" spans="4:8">
      <c r="D74" s="5">
        <v>31</v>
      </c>
      <c r="E74" s="3" t="s">
        <v>76</v>
      </c>
      <c r="F74" s="2" t="s">
        <v>44</v>
      </c>
      <c r="G74" s="19">
        <v>12000</v>
      </c>
      <c r="H74" s="4"/>
    </row>
    <row r="75" spans="4:8">
      <c r="D75" s="5">
        <v>32</v>
      </c>
      <c r="E75" s="3" t="s">
        <v>77</v>
      </c>
      <c r="F75" s="2" t="s">
        <v>44</v>
      </c>
      <c r="G75" s="19">
        <v>12000</v>
      </c>
      <c r="H75" s="4"/>
    </row>
    <row r="76" spans="4:8">
      <c r="D76" s="5">
        <v>33</v>
      </c>
      <c r="E76" s="3" t="s">
        <v>78</v>
      </c>
      <c r="F76" s="2" t="s">
        <v>44</v>
      </c>
      <c r="G76" s="19">
        <v>13000</v>
      </c>
      <c r="H76" s="4"/>
    </row>
    <row r="77" spans="4:8">
      <c r="D77" s="5">
        <v>34</v>
      </c>
      <c r="E77" s="3" t="s">
        <v>79</v>
      </c>
      <c r="F77" s="2" t="s">
        <v>42</v>
      </c>
      <c r="G77" s="19">
        <v>225000</v>
      </c>
      <c r="H77" s="4"/>
    </row>
    <row r="78" spans="4:8">
      <c r="D78" s="5">
        <v>35</v>
      </c>
      <c r="E78" s="3" t="s">
        <v>80</v>
      </c>
      <c r="F78" s="2" t="s">
        <v>66</v>
      </c>
      <c r="G78" s="19">
        <v>300</v>
      </c>
      <c r="H78" s="4"/>
    </row>
    <row r="79" spans="4:8">
      <c r="D79" s="5">
        <v>36</v>
      </c>
      <c r="E79" s="3" t="s">
        <v>81</v>
      </c>
      <c r="F79" s="2" t="s">
        <v>42</v>
      </c>
      <c r="G79" s="19">
        <v>422600</v>
      </c>
      <c r="H79" s="4"/>
    </row>
    <row r="80" spans="4:8">
      <c r="D80" s="5">
        <v>37</v>
      </c>
      <c r="E80" s="3" t="s">
        <v>82</v>
      </c>
      <c r="F80" s="2" t="s">
        <v>42</v>
      </c>
      <c r="G80" s="19">
        <v>325200</v>
      </c>
      <c r="H80" s="4"/>
    </row>
    <row r="81" spans="4:8">
      <c r="D81" s="5">
        <v>38</v>
      </c>
      <c r="E81" s="3" t="s">
        <v>83</v>
      </c>
      <c r="F81" s="2" t="s">
        <v>42</v>
      </c>
      <c r="G81" s="19">
        <v>370200</v>
      </c>
      <c r="H81" s="4"/>
    </row>
    <row r="82" spans="4:8">
      <c r="D82" s="5">
        <v>39</v>
      </c>
      <c r="E82" s="3" t="s">
        <v>84</v>
      </c>
      <c r="F82" s="2" t="s">
        <v>42</v>
      </c>
      <c r="G82" s="19">
        <v>170000</v>
      </c>
      <c r="H82" s="4"/>
    </row>
    <row r="83" spans="4:8">
      <c r="D83" s="5">
        <v>40</v>
      </c>
      <c r="E83" s="3" t="s">
        <v>85</v>
      </c>
      <c r="F83" s="2" t="s">
        <v>42</v>
      </c>
      <c r="G83" s="19">
        <v>200000</v>
      </c>
      <c r="H83" s="4"/>
    </row>
    <row r="84" spans="4:8">
      <c r="D84" s="5">
        <v>41</v>
      </c>
      <c r="E84" s="3" t="s">
        <v>86</v>
      </c>
      <c r="F84" s="2" t="s">
        <v>42</v>
      </c>
      <c r="G84" s="19">
        <v>275000</v>
      </c>
      <c r="H84" s="4"/>
    </row>
    <row r="85" spans="4:8">
      <c r="D85" s="5">
        <v>42</v>
      </c>
      <c r="E85" s="3" t="s">
        <v>87</v>
      </c>
      <c r="F85" s="2" t="s">
        <v>42</v>
      </c>
      <c r="G85" s="19">
        <v>150000</v>
      </c>
      <c r="H85" s="4"/>
    </row>
    <row r="86" spans="4:8">
      <c r="D86" s="5">
        <v>43</v>
      </c>
      <c r="E86" s="3" t="s">
        <v>88</v>
      </c>
      <c r="F86" s="2" t="s">
        <v>42</v>
      </c>
      <c r="G86" s="19">
        <v>165500</v>
      </c>
      <c r="H86" s="4"/>
    </row>
    <row r="87" spans="4:8">
      <c r="D87" s="5">
        <v>44</v>
      </c>
      <c r="E87" s="3" t="s">
        <v>89</v>
      </c>
      <c r="F87" s="2" t="s">
        <v>42</v>
      </c>
      <c r="G87" s="19">
        <v>254700</v>
      </c>
      <c r="H87" s="4"/>
    </row>
    <row r="88" spans="4:8">
      <c r="D88" s="5">
        <v>45</v>
      </c>
      <c r="E88" s="3" t="s">
        <v>90</v>
      </c>
      <c r="F88" s="2" t="s">
        <v>42</v>
      </c>
      <c r="G88" s="19">
        <v>120000</v>
      </c>
      <c r="H88" s="4"/>
    </row>
    <row r="89" spans="4:8">
      <c r="D89" s="5">
        <v>46</v>
      </c>
      <c r="E89" s="3" t="s">
        <v>91</v>
      </c>
      <c r="F89" s="2" t="s">
        <v>66</v>
      </c>
      <c r="G89" s="19">
        <v>12000</v>
      </c>
      <c r="H89" s="4"/>
    </row>
    <row r="90" spans="4:8">
      <c r="D90" s="5">
        <v>47</v>
      </c>
      <c r="E90" s="3" t="s">
        <v>92</v>
      </c>
      <c r="F90" s="2" t="s">
        <v>66</v>
      </c>
      <c r="G90" s="19">
        <v>13000</v>
      </c>
      <c r="H90" s="4"/>
    </row>
    <row r="91" spans="4:8">
      <c r="D91" s="5">
        <v>48</v>
      </c>
      <c r="E91" s="3" t="s">
        <v>93</v>
      </c>
      <c r="F91" s="2" t="s">
        <v>42</v>
      </c>
      <c r="G91" s="19">
        <v>288700</v>
      </c>
      <c r="H91" s="4"/>
    </row>
    <row r="92" spans="4:8">
      <c r="D92" s="5">
        <v>49</v>
      </c>
      <c r="E92" s="3" t="s">
        <v>94</v>
      </c>
      <c r="F92" s="2" t="s">
        <v>42</v>
      </c>
      <c r="G92" s="19">
        <v>184400</v>
      </c>
      <c r="H92" s="4"/>
    </row>
    <row r="93" spans="4:8">
      <c r="D93" s="5">
        <v>50</v>
      </c>
      <c r="E93" s="3" t="s">
        <v>95</v>
      </c>
      <c r="F93" s="2" t="s">
        <v>42</v>
      </c>
      <c r="G93" s="19">
        <v>261800</v>
      </c>
      <c r="H93" s="4"/>
    </row>
    <row r="94" spans="4:8">
      <c r="D94" s="5">
        <v>51</v>
      </c>
      <c r="E94" s="3" t="s">
        <v>96</v>
      </c>
      <c r="F94" s="2" t="s">
        <v>42</v>
      </c>
      <c r="G94" s="19">
        <v>120000</v>
      </c>
      <c r="H94" s="4"/>
    </row>
    <row r="95" spans="4:8">
      <c r="D95" s="5">
        <v>52</v>
      </c>
      <c r="E95" s="3" t="s">
        <v>97</v>
      </c>
      <c r="F95" s="2" t="s">
        <v>42</v>
      </c>
      <c r="G95" s="19">
        <v>146900</v>
      </c>
      <c r="H95" s="4"/>
    </row>
    <row r="96" spans="4:8">
      <c r="D96" s="5">
        <v>53</v>
      </c>
      <c r="E96" s="3" t="s">
        <v>98</v>
      </c>
      <c r="F96" s="2" t="s">
        <v>42</v>
      </c>
      <c r="G96" s="19">
        <v>44000</v>
      </c>
      <c r="H96" s="4"/>
    </row>
    <row r="97" spans="4:8">
      <c r="D97" s="5">
        <v>54</v>
      </c>
      <c r="E97" s="3" t="s">
        <v>99</v>
      </c>
      <c r="F97" s="2" t="s">
        <v>42</v>
      </c>
      <c r="G97" s="19">
        <v>64500</v>
      </c>
      <c r="H97" s="4"/>
    </row>
    <row r="98" spans="4:8">
      <c r="D98" s="5">
        <v>55</v>
      </c>
      <c r="E98" s="3" t="s">
        <v>100</v>
      </c>
      <c r="F98" s="2" t="s">
        <v>42</v>
      </c>
      <c r="G98" s="19">
        <v>160000</v>
      </c>
      <c r="H98" s="4"/>
    </row>
    <row r="99" spans="4:8">
      <c r="D99" s="5">
        <v>56</v>
      </c>
      <c r="E99" s="3" t="s">
        <v>101</v>
      </c>
      <c r="F99" s="2" t="s">
        <v>42</v>
      </c>
      <c r="G99" s="19">
        <v>163600</v>
      </c>
      <c r="H99" s="4"/>
    </row>
    <row r="100" spans="4:8">
      <c r="D100" s="5">
        <v>57</v>
      </c>
      <c r="E100" s="3" t="s">
        <v>102</v>
      </c>
      <c r="F100" s="2" t="s">
        <v>42</v>
      </c>
      <c r="G100" s="19">
        <v>47500</v>
      </c>
      <c r="H100" s="4"/>
    </row>
    <row r="101" spans="4:8">
      <c r="D101" s="5">
        <v>58</v>
      </c>
      <c r="E101" s="3" t="s">
        <v>103</v>
      </c>
      <c r="F101" s="2" t="s">
        <v>42</v>
      </c>
      <c r="G101" s="19">
        <v>146900</v>
      </c>
      <c r="H101" s="4"/>
    </row>
    <row r="102" spans="4:8">
      <c r="D102" s="5">
        <v>59</v>
      </c>
      <c r="E102" s="3" t="s">
        <v>104</v>
      </c>
      <c r="F102" s="2" t="s">
        <v>42</v>
      </c>
      <c r="G102" s="19">
        <v>48000</v>
      </c>
      <c r="H102" s="4"/>
    </row>
    <row r="103" spans="4:8">
      <c r="D103" s="35"/>
      <c r="E103" s="40" t="s">
        <v>105</v>
      </c>
      <c r="F103" s="41"/>
      <c r="G103" s="42"/>
      <c r="H103" s="43"/>
    </row>
    <row r="104" spans="4:8">
      <c r="D104" s="5">
        <v>1</v>
      </c>
      <c r="E104" s="3" t="s">
        <v>106</v>
      </c>
      <c r="F104" s="2" t="s">
        <v>107</v>
      </c>
      <c r="G104" s="19">
        <v>17800</v>
      </c>
      <c r="H104" s="4"/>
    </row>
    <row r="105" spans="4:8">
      <c r="D105" s="5">
        <v>2</v>
      </c>
      <c r="E105" s="3" t="s">
        <v>108</v>
      </c>
      <c r="F105" s="2" t="s">
        <v>107</v>
      </c>
      <c r="G105" s="19">
        <v>22600</v>
      </c>
      <c r="H105" s="4"/>
    </row>
    <row r="106" spans="4:8">
      <c r="D106" s="5">
        <v>3</v>
      </c>
      <c r="E106" s="3" t="s">
        <v>109</v>
      </c>
      <c r="F106" s="2" t="s">
        <v>107</v>
      </c>
      <c r="G106" s="19">
        <v>14800</v>
      </c>
      <c r="H106" s="4"/>
    </row>
    <row r="107" spans="4:8">
      <c r="D107" s="5">
        <v>4</v>
      </c>
      <c r="E107" s="3" t="s">
        <v>110</v>
      </c>
      <c r="F107" s="2" t="s">
        <v>107</v>
      </c>
      <c r="G107" s="19">
        <v>12900</v>
      </c>
      <c r="H107" s="4"/>
    </row>
    <row r="108" spans="4:8">
      <c r="D108" s="5">
        <v>5</v>
      </c>
      <c r="E108" s="3" t="s">
        <v>111</v>
      </c>
      <c r="F108" s="2" t="s">
        <v>63</v>
      </c>
      <c r="G108" s="19">
        <v>21000</v>
      </c>
      <c r="H108" s="4"/>
    </row>
    <row r="109" spans="4:8">
      <c r="D109" s="5">
        <v>6</v>
      </c>
      <c r="E109" s="3" t="s">
        <v>112</v>
      </c>
      <c r="F109" s="2" t="s">
        <v>63</v>
      </c>
      <c r="G109" s="19">
        <v>410600</v>
      </c>
      <c r="H109" s="4"/>
    </row>
    <row r="110" spans="4:8">
      <c r="D110" s="5">
        <v>7</v>
      </c>
      <c r="E110" s="3" t="s">
        <v>113</v>
      </c>
      <c r="F110" s="2" t="s">
        <v>114</v>
      </c>
      <c r="G110" s="19">
        <v>5000</v>
      </c>
      <c r="H110" s="4"/>
    </row>
    <row r="111" spans="4:8">
      <c r="D111" s="5">
        <v>8</v>
      </c>
      <c r="E111" s="3" t="s">
        <v>113</v>
      </c>
      <c r="F111" s="2" t="s">
        <v>107</v>
      </c>
      <c r="G111" s="19">
        <v>20000</v>
      </c>
      <c r="H111" s="4"/>
    </row>
    <row r="112" spans="4:8">
      <c r="D112" s="5">
        <v>9</v>
      </c>
      <c r="E112" s="3" t="s">
        <v>115</v>
      </c>
      <c r="F112" s="2" t="s">
        <v>42</v>
      </c>
      <c r="G112" s="19">
        <v>25000000</v>
      </c>
      <c r="H112" s="4" t="s">
        <v>1272</v>
      </c>
    </row>
    <row r="113" spans="4:8">
      <c r="D113" s="5">
        <v>10</v>
      </c>
      <c r="E113" s="3" t="s">
        <v>116</v>
      </c>
      <c r="F113" s="2" t="s">
        <v>42</v>
      </c>
      <c r="G113" s="19">
        <v>11950000</v>
      </c>
      <c r="H113" s="4" t="s">
        <v>1274</v>
      </c>
    </row>
    <row r="114" spans="4:8">
      <c r="D114" s="5">
        <v>11</v>
      </c>
      <c r="E114" s="3" t="s">
        <v>117</v>
      </c>
      <c r="F114" s="2" t="s">
        <v>42</v>
      </c>
      <c r="G114" s="19">
        <v>25000000</v>
      </c>
      <c r="H114" s="4"/>
    </row>
    <row r="115" spans="4:8">
      <c r="D115" s="5">
        <v>12</v>
      </c>
      <c r="E115" s="196" t="s">
        <v>118</v>
      </c>
      <c r="F115" s="2" t="s">
        <v>42</v>
      </c>
      <c r="G115" s="19">
        <v>11950000</v>
      </c>
      <c r="H115" s="4"/>
    </row>
    <row r="116" spans="4:8">
      <c r="D116" s="5">
        <v>13</v>
      </c>
      <c r="E116" s="196" t="s">
        <v>1419</v>
      </c>
      <c r="F116" s="2" t="s">
        <v>107</v>
      </c>
      <c r="G116" s="19">
        <v>414000</v>
      </c>
      <c r="H116" s="4"/>
    </row>
    <row r="117" spans="4:8">
      <c r="D117" s="5">
        <v>14</v>
      </c>
      <c r="E117" s="3" t="s">
        <v>119</v>
      </c>
      <c r="F117" s="2" t="s">
        <v>42</v>
      </c>
      <c r="G117" s="19">
        <v>10214200</v>
      </c>
      <c r="H117" s="4" t="s">
        <v>1273</v>
      </c>
    </row>
    <row r="118" spans="4:8">
      <c r="D118" s="5">
        <v>15</v>
      </c>
      <c r="E118" s="3" t="s">
        <v>120</v>
      </c>
      <c r="F118" s="2" t="s">
        <v>42</v>
      </c>
      <c r="G118" s="19">
        <v>3500000</v>
      </c>
      <c r="H118" s="4" t="s">
        <v>1275</v>
      </c>
    </row>
    <row r="119" spans="4:8">
      <c r="D119" s="5">
        <v>16</v>
      </c>
      <c r="E119" s="3" t="s">
        <v>121</v>
      </c>
      <c r="F119" s="2" t="s">
        <v>122</v>
      </c>
      <c r="G119" s="19">
        <v>6966600</v>
      </c>
      <c r="H119" s="4"/>
    </row>
    <row r="120" spans="4:8">
      <c r="D120" s="5">
        <v>17</v>
      </c>
      <c r="E120" s="3" t="s">
        <v>123</v>
      </c>
      <c r="F120" s="2" t="s">
        <v>42</v>
      </c>
      <c r="G120" s="19">
        <v>2500000</v>
      </c>
      <c r="H120" s="4" t="s">
        <v>1277</v>
      </c>
    </row>
    <row r="121" spans="4:8">
      <c r="D121" s="5">
        <v>18</v>
      </c>
      <c r="E121" s="3" t="s">
        <v>124</v>
      </c>
      <c r="F121" s="2" t="s">
        <v>42</v>
      </c>
      <c r="G121" s="19">
        <v>2825000</v>
      </c>
      <c r="H121" s="4" t="s">
        <v>1276</v>
      </c>
    </row>
    <row r="122" spans="4:8">
      <c r="D122" s="5">
        <v>19</v>
      </c>
      <c r="E122" s="3" t="s">
        <v>125</v>
      </c>
      <c r="F122" s="2" t="s">
        <v>42</v>
      </c>
      <c r="G122" s="19">
        <v>26000000</v>
      </c>
      <c r="H122" s="4" t="s">
        <v>1272</v>
      </c>
    </row>
    <row r="123" spans="4:8">
      <c r="D123" s="5">
        <v>20</v>
      </c>
      <c r="E123" s="3" t="s">
        <v>126</v>
      </c>
      <c r="F123" s="2" t="s">
        <v>42</v>
      </c>
      <c r="G123" s="19">
        <v>14000000</v>
      </c>
      <c r="H123" s="4" t="s">
        <v>1274</v>
      </c>
    </row>
    <row r="124" spans="4:8">
      <c r="D124" s="5">
        <v>21</v>
      </c>
      <c r="E124" s="3" t="s">
        <v>127</v>
      </c>
      <c r="F124" s="2" t="s">
        <v>42</v>
      </c>
      <c r="G124" s="19">
        <v>8000000</v>
      </c>
      <c r="H124" s="4" t="s">
        <v>1275</v>
      </c>
    </row>
    <row r="125" spans="4:8">
      <c r="D125" s="5">
        <v>22</v>
      </c>
      <c r="E125" s="196" t="s">
        <v>1796</v>
      </c>
      <c r="F125" s="2" t="s">
        <v>63</v>
      </c>
      <c r="G125" s="19">
        <v>160000</v>
      </c>
      <c r="H125" s="4" t="s">
        <v>1275</v>
      </c>
    </row>
    <row r="126" spans="4:8">
      <c r="D126" s="5">
        <v>23</v>
      </c>
      <c r="E126" s="3" t="s">
        <v>128</v>
      </c>
      <c r="F126" s="2" t="s">
        <v>42</v>
      </c>
      <c r="G126" s="19">
        <v>4000000</v>
      </c>
      <c r="H126" s="4"/>
    </row>
    <row r="127" spans="4:8">
      <c r="D127" s="5">
        <v>24</v>
      </c>
      <c r="E127" s="3" t="s">
        <v>129</v>
      </c>
      <c r="F127" s="2" t="s">
        <v>122</v>
      </c>
      <c r="G127" s="19">
        <v>3573600</v>
      </c>
      <c r="H127" s="4"/>
    </row>
    <row r="128" spans="4:8">
      <c r="D128" s="5">
        <v>25</v>
      </c>
      <c r="E128" s="3" t="s">
        <v>130</v>
      </c>
      <c r="F128" s="2" t="s">
        <v>42</v>
      </c>
      <c r="G128" s="19">
        <v>6000000</v>
      </c>
      <c r="H128" s="4"/>
    </row>
    <row r="129" spans="4:8">
      <c r="D129" s="5">
        <v>26</v>
      </c>
      <c r="E129" s="3" t="s">
        <v>131</v>
      </c>
      <c r="F129" s="2" t="s">
        <v>114</v>
      </c>
      <c r="G129" s="19">
        <v>5000</v>
      </c>
      <c r="H129" s="4"/>
    </row>
    <row r="130" spans="4:8">
      <c r="D130" s="5">
        <v>27</v>
      </c>
      <c r="E130" s="3" t="s">
        <v>132</v>
      </c>
      <c r="F130" s="2" t="s">
        <v>133</v>
      </c>
      <c r="G130" s="19">
        <v>116700</v>
      </c>
      <c r="H130" s="4"/>
    </row>
    <row r="131" spans="4:8">
      <c r="D131" s="5">
        <v>28</v>
      </c>
      <c r="E131" s="3" t="s">
        <v>134</v>
      </c>
      <c r="F131" s="2" t="s">
        <v>133</v>
      </c>
      <c r="G131" s="19">
        <v>152600</v>
      </c>
      <c r="H131" s="4"/>
    </row>
    <row r="132" spans="4:8">
      <c r="D132" s="5">
        <v>29</v>
      </c>
      <c r="E132" s="3" t="s">
        <v>135</v>
      </c>
      <c r="F132" s="2" t="s">
        <v>133</v>
      </c>
      <c r="G132" s="19">
        <v>226600</v>
      </c>
      <c r="H132" s="4"/>
    </row>
    <row r="133" spans="4:8">
      <c r="D133" s="5">
        <v>30</v>
      </c>
      <c r="E133" s="3" t="s">
        <v>136</v>
      </c>
      <c r="F133" s="2" t="s">
        <v>42</v>
      </c>
      <c r="G133" s="19">
        <v>2500000</v>
      </c>
      <c r="H133" s="4"/>
    </row>
    <row r="134" spans="4:8">
      <c r="D134" s="5">
        <v>31</v>
      </c>
      <c r="E134" s="3" t="s">
        <v>137</v>
      </c>
      <c r="F134" s="2" t="s">
        <v>133</v>
      </c>
      <c r="G134" s="19">
        <v>230000</v>
      </c>
      <c r="H134" s="4"/>
    </row>
    <row r="135" spans="4:8">
      <c r="D135" s="5">
        <v>32</v>
      </c>
      <c r="E135" s="3" t="s">
        <v>138</v>
      </c>
      <c r="F135" s="2" t="s">
        <v>139</v>
      </c>
      <c r="G135" s="19">
        <v>10000000</v>
      </c>
      <c r="H135" s="4"/>
    </row>
    <row r="136" spans="4:8">
      <c r="D136" s="5">
        <v>33</v>
      </c>
      <c r="E136" s="3" t="s">
        <v>140</v>
      </c>
      <c r="F136" s="2" t="s">
        <v>133</v>
      </c>
      <c r="G136" s="19">
        <v>167300</v>
      </c>
      <c r="H136" s="4"/>
    </row>
    <row r="137" spans="4:8">
      <c r="D137" s="5">
        <v>34</v>
      </c>
      <c r="E137" s="97" t="s">
        <v>1269</v>
      </c>
      <c r="F137" s="2" t="s">
        <v>42</v>
      </c>
      <c r="G137" s="19">
        <v>6298700</v>
      </c>
      <c r="H137" s="4"/>
    </row>
    <row r="138" spans="4:8">
      <c r="D138" s="5">
        <v>35</v>
      </c>
      <c r="E138" s="97" t="s">
        <v>1268</v>
      </c>
      <c r="F138" s="2" t="s">
        <v>133</v>
      </c>
      <c r="G138" s="19">
        <v>75000</v>
      </c>
      <c r="H138" s="4" t="s">
        <v>1278</v>
      </c>
    </row>
    <row r="139" spans="4:8">
      <c r="D139" s="5">
        <v>36</v>
      </c>
      <c r="E139" s="3" t="s">
        <v>141</v>
      </c>
      <c r="F139" s="2" t="s">
        <v>133</v>
      </c>
      <c r="G139" s="19">
        <v>84200</v>
      </c>
      <c r="H139" s="4"/>
    </row>
    <row r="140" spans="4:8">
      <c r="D140" s="5">
        <v>37</v>
      </c>
      <c r="E140" s="3" t="s">
        <v>142</v>
      </c>
      <c r="F140" s="2" t="s">
        <v>133</v>
      </c>
      <c r="G140" s="19">
        <v>127000</v>
      </c>
      <c r="H140" s="4"/>
    </row>
    <row r="141" spans="4:8">
      <c r="D141" s="5">
        <v>38</v>
      </c>
      <c r="E141" s="3" t="s">
        <v>143</v>
      </c>
      <c r="F141" s="2" t="s">
        <v>42</v>
      </c>
      <c r="G141" s="19">
        <v>8750000</v>
      </c>
      <c r="H141" s="4" t="s">
        <v>1273</v>
      </c>
    </row>
    <row r="142" spans="4:8">
      <c r="D142" s="5">
        <v>39</v>
      </c>
      <c r="E142" s="3" t="s">
        <v>144</v>
      </c>
      <c r="F142" s="2" t="s">
        <v>42</v>
      </c>
      <c r="G142" s="19">
        <v>9302000</v>
      </c>
      <c r="H142" s="4" t="s">
        <v>1273</v>
      </c>
    </row>
    <row r="143" spans="4:8">
      <c r="D143" s="5">
        <v>40</v>
      </c>
      <c r="E143" s="3" t="s">
        <v>145</v>
      </c>
      <c r="F143" s="2" t="s">
        <v>133</v>
      </c>
      <c r="G143" s="19">
        <v>76300</v>
      </c>
      <c r="H143" s="4"/>
    </row>
    <row r="144" spans="4:8">
      <c r="D144" s="5">
        <v>41</v>
      </c>
      <c r="E144" s="3" t="s">
        <v>146</v>
      </c>
      <c r="F144" s="2" t="s">
        <v>133</v>
      </c>
      <c r="G144" s="19">
        <v>65600</v>
      </c>
      <c r="H144" s="4"/>
    </row>
    <row r="145" spans="4:8">
      <c r="D145" s="5">
        <v>42</v>
      </c>
      <c r="E145" s="3" t="s">
        <v>147</v>
      </c>
      <c r="F145" s="2" t="s">
        <v>133</v>
      </c>
      <c r="G145" s="19">
        <v>114000</v>
      </c>
      <c r="H145" s="4"/>
    </row>
    <row r="146" spans="4:8">
      <c r="D146" s="5">
        <v>43</v>
      </c>
      <c r="E146" s="3" t="s">
        <v>148</v>
      </c>
      <c r="F146" s="2" t="s">
        <v>133</v>
      </c>
      <c r="G146" s="19">
        <v>101200</v>
      </c>
      <c r="H146" s="4"/>
    </row>
    <row r="147" spans="4:8">
      <c r="D147" s="5">
        <v>44</v>
      </c>
      <c r="E147" s="3" t="s">
        <v>149</v>
      </c>
      <c r="F147" s="2" t="s">
        <v>63</v>
      </c>
      <c r="G147" s="19">
        <v>150000</v>
      </c>
      <c r="H147" s="4"/>
    </row>
    <row r="148" spans="4:8">
      <c r="D148" s="5"/>
      <c r="E148" s="36" t="s">
        <v>150</v>
      </c>
      <c r="F148" s="37"/>
      <c r="G148" s="38"/>
      <c r="H148" s="39"/>
    </row>
    <row r="149" spans="4:8">
      <c r="D149" s="5">
        <v>1</v>
      </c>
      <c r="E149" s="3" t="s">
        <v>151</v>
      </c>
      <c r="F149" s="2" t="s">
        <v>114</v>
      </c>
      <c r="G149" s="19">
        <v>5700</v>
      </c>
      <c r="H149" s="4"/>
    </row>
    <row r="150" spans="4:8">
      <c r="D150" s="5">
        <v>2</v>
      </c>
      <c r="E150" s="3" t="s">
        <v>152</v>
      </c>
      <c r="F150" s="2" t="s">
        <v>114</v>
      </c>
      <c r="G150" s="19">
        <v>13300</v>
      </c>
      <c r="H150" s="4"/>
    </row>
    <row r="151" spans="4:8">
      <c r="D151" s="5">
        <v>3</v>
      </c>
      <c r="E151" s="3" t="s">
        <v>153</v>
      </c>
      <c r="F151" s="2" t="s">
        <v>114</v>
      </c>
      <c r="G151" s="19">
        <v>23500</v>
      </c>
      <c r="H151" s="4"/>
    </row>
    <row r="152" spans="4:8">
      <c r="D152" s="5">
        <v>4</v>
      </c>
      <c r="E152" s="3" t="s">
        <v>154</v>
      </c>
      <c r="F152" s="2" t="s">
        <v>114</v>
      </c>
      <c r="G152" s="19">
        <v>11250</v>
      </c>
      <c r="H152" s="4"/>
    </row>
    <row r="153" spans="4:8">
      <c r="D153" s="5">
        <v>5</v>
      </c>
      <c r="E153" s="3" t="s">
        <v>155</v>
      </c>
      <c r="F153" s="2" t="s">
        <v>107</v>
      </c>
      <c r="G153" s="19">
        <v>27500</v>
      </c>
      <c r="H153" s="4"/>
    </row>
    <row r="154" spans="4:8">
      <c r="D154" s="5">
        <v>6</v>
      </c>
      <c r="E154" s="196" t="s">
        <v>1841</v>
      </c>
      <c r="F154" s="2" t="s">
        <v>114</v>
      </c>
      <c r="G154" s="19">
        <v>6875</v>
      </c>
      <c r="H154" s="4"/>
    </row>
    <row r="155" spans="4:8">
      <c r="D155" s="5">
        <v>7</v>
      </c>
      <c r="E155" s="3" t="s">
        <v>156</v>
      </c>
      <c r="F155" s="2" t="s">
        <v>114</v>
      </c>
      <c r="G155" s="19">
        <v>150000</v>
      </c>
      <c r="H155" s="4"/>
    </row>
    <row r="156" spans="4:8">
      <c r="D156" s="5">
        <v>8</v>
      </c>
      <c r="E156" s="3" t="s">
        <v>157</v>
      </c>
      <c r="F156" s="2" t="s">
        <v>114</v>
      </c>
      <c r="G156" s="19">
        <v>20000</v>
      </c>
      <c r="H156" s="4"/>
    </row>
    <row r="157" spans="4:8">
      <c r="D157" s="5">
        <v>9</v>
      </c>
      <c r="E157" s="3" t="s">
        <v>158</v>
      </c>
      <c r="F157" s="2" t="s">
        <v>114</v>
      </c>
      <c r="G157" s="19">
        <v>18500</v>
      </c>
      <c r="H157" s="4"/>
    </row>
    <row r="158" spans="4:8">
      <c r="D158" s="5">
        <v>10</v>
      </c>
      <c r="E158" s="3" t="s">
        <v>159</v>
      </c>
      <c r="F158" s="2" t="s">
        <v>114</v>
      </c>
      <c r="G158" s="19">
        <v>177500</v>
      </c>
      <c r="H158" s="4"/>
    </row>
    <row r="159" spans="4:8">
      <c r="D159" s="5">
        <v>11</v>
      </c>
      <c r="E159" s="3" t="s">
        <v>160</v>
      </c>
      <c r="F159" s="2" t="s">
        <v>114</v>
      </c>
      <c r="G159" s="19">
        <v>200000</v>
      </c>
      <c r="H159" s="4"/>
    </row>
    <row r="160" spans="4:8">
      <c r="D160" s="5">
        <v>12</v>
      </c>
      <c r="E160" s="3" t="s">
        <v>161</v>
      </c>
      <c r="F160" s="2" t="s">
        <v>114</v>
      </c>
      <c r="G160" s="19">
        <v>233750</v>
      </c>
      <c r="H160" s="4"/>
    </row>
    <row r="161" spans="4:8">
      <c r="D161" s="5">
        <v>13</v>
      </c>
      <c r="E161" s="3" t="s">
        <v>162</v>
      </c>
      <c r="F161" s="2" t="s">
        <v>114</v>
      </c>
      <c r="G161" s="19">
        <v>26000</v>
      </c>
      <c r="H161" s="4"/>
    </row>
    <row r="162" spans="4:8">
      <c r="D162" s="5">
        <v>14</v>
      </c>
      <c r="E162" s="3" t="s">
        <v>163</v>
      </c>
      <c r="F162" s="2" t="s">
        <v>114</v>
      </c>
      <c r="G162" s="19">
        <v>33625</v>
      </c>
      <c r="H162" s="4"/>
    </row>
    <row r="163" spans="4:8">
      <c r="D163" s="5">
        <v>15</v>
      </c>
      <c r="E163" s="3" t="s">
        <v>164</v>
      </c>
      <c r="F163" s="2" t="s">
        <v>114</v>
      </c>
      <c r="G163" s="19">
        <v>51075</v>
      </c>
      <c r="H163" s="4"/>
    </row>
    <row r="164" spans="4:8">
      <c r="D164" s="5">
        <v>16</v>
      </c>
      <c r="E164" s="3" t="s">
        <v>165</v>
      </c>
      <c r="F164" s="2" t="s">
        <v>107</v>
      </c>
      <c r="G164" s="19">
        <v>35000</v>
      </c>
      <c r="H164" s="4"/>
    </row>
    <row r="165" spans="4:8">
      <c r="D165" s="5">
        <v>17</v>
      </c>
      <c r="E165" s="196" t="s">
        <v>1795</v>
      </c>
      <c r="F165" s="2" t="s">
        <v>114</v>
      </c>
      <c r="G165" s="19">
        <v>8750</v>
      </c>
      <c r="H165" s="4"/>
    </row>
    <row r="166" spans="4:8">
      <c r="D166" s="5">
        <v>18</v>
      </c>
      <c r="E166" s="3" t="s">
        <v>166</v>
      </c>
      <c r="F166" s="2" t="s">
        <v>114</v>
      </c>
      <c r="G166" s="19">
        <v>72375</v>
      </c>
      <c r="H166" s="4"/>
    </row>
    <row r="167" spans="4:8">
      <c r="D167" s="5">
        <v>19</v>
      </c>
      <c r="E167" s="3" t="s">
        <v>167</v>
      </c>
      <c r="F167" s="2" t="s">
        <v>114</v>
      </c>
      <c r="G167" s="19">
        <v>100000</v>
      </c>
      <c r="H167" s="4"/>
    </row>
    <row r="168" spans="4:8">
      <c r="D168" s="5">
        <v>20</v>
      </c>
      <c r="E168" s="3" t="s">
        <v>168</v>
      </c>
      <c r="F168" s="2" t="s">
        <v>114</v>
      </c>
      <c r="G168" s="19">
        <v>107500</v>
      </c>
      <c r="H168" s="4"/>
    </row>
    <row r="169" spans="4:8">
      <c r="D169" s="5">
        <v>21</v>
      </c>
      <c r="E169" s="3" t="s">
        <v>169</v>
      </c>
      <c r="F169" s="2" t="s">
        <v>114</v>
      </c>
      <c r="G169" s="19">
        <v>132500</v>
      </c>
      <c r="H169" s="4"/>
    </row>
    <row r="170" spans="4:8">
      <c r="D170" s="5">
        <v>22</v>
      </c>
      <c r="E170" s="3" t="s">
        <v>170</v>
      </c>
      <c r="F170" s="2" t="s">
        <v>114</v>
      </c>
      <c r="G170" s="19">
        <v>232900</v>
      </c>
      <c r="H170" s="4"/>
    </row>
    <row r="171" spans="4:8">
      <c r="D171" s="5">
        <v>23</v>
      </c>
      <c r="E171" s="3" t="s">
        <v>171</v>
      </c>
      <c r="F171" s="2" t="s">
        <v>114</v>
      </c>
      <c r="G171" s="19">
        <v>11175</v>
      </c>
      <c r="H171" s="4"/>
    </row>
    <row r="172" spans="4:8">
      <c r="D172" s="5">
        <v>24</v>
      </c>
      <c r="E172" s="3" t="s">
        <v>172</v>
      </c>
      <c r="F172" s="2" t="s">
        <v>114</v>
      </c>
      <c r="G172" s="19">
        <v>10000</v>
      </c>
      <c r="H172" s="4"/>
    </row>
    <row r="173" spans="4:8">
      <c r="D173" s="5">
        <v>25</v>
      </c>
      <c r="E173" s="3" t="s">
        <v>173</v>
      </c>
      <c r="F173" s="2" t="s">
        <v>114</v>
      </c>
      <c r="G173" s="19">
        <v>319750</v>
      </c>
      <c r="H173" s="4"/>
    </row>
    <row r="174" spans="4:8">
      <c r="D174" s="5">
        <v>26</v>
      </c>
      <c r="E174" s="3" t="s">
        <v>174</v>
      </c>
      <c r="F174" s="2" t="s">
        <v>114</v>
      </c>
      <c r="G174" s="19">
        <v>325000</v>
      </c>
      <c r="H174" s="4"/>
    </row>
    <row r="175" spans="4:8">
      <c r="D175" s="5">
        <v>27</v>
      </c>
      <c r="E175" s="3" t="s">
        <v>175</v>
      </c>
      <c r="F175" s="2" t="s">
        <v>114</v>
      </c>
      <c r="G175" s="19">
        <v>362500</v>
      </c>
      <c r="H175" s="4"/>
    </row>
    <row r="176" spans="4:8">
      <c r="D176" s="5">
        <v>28</v>
      </c>
      <c r="E176" s="3" t="s">
        <v>176</v>
      </c>
      <c r="F176" s="2" t="s">
        <v>114</v>
      </c>
      <c r="G176" s="19">
        <v>14750</v>
      </c>
      <c r="H176" s="4"/>
    </row>
    <row r="177" spans="4:8">
      <c r="D177" s="5">
        <v>29</v>
      </c>
      <c r="E177" s="3" t="s">
        <v>177</v>
      </c>
      <c r="F177" s="2" t="s">
        <v>114</v>
      </c>
      <c r="G177" s="19">
        <v>20625</v>
      </c>
      <c r="H177" s="4"/>
    </row>
    <row r="178" spans="4:8">
      <c r="D178" s="5">
        <v>30</v>
      </c>
      <c r="E178" s="3" t="s">
        <v>178</v>
      </c>
      <c r="F178" s="2" t="s">
        <v>114</v>
      </c>
      <c r="G178" s="19">
        <v>28600</v>
      </c>
      <c r="H178" s="4"/>
    </row>
    <row r="179" spans="4:8">
      <c r="D179" s="5">
        <v>31</v>
      </c>
      <c r="E179" s="3" t="s">
        <v>179</v>
      </c>
      <c r="F179" s="2" t="s">
        <v>114</v>
      </c>
      <c r="G179" s="19">
        <v>39575</v>
      </c>
      <c r="H179" s="4"/>
    </row>
    <row r="180" spans="4:8">
      <c r="D180" s="5">
        <v>32</v>
      </c>
      <c r="E180" s="3" t="s">
        <v>180</v>
      </c>
      <c r="F180" s="2" t="s">
        <v>114</v>
      </c>
      <c r="G180" s="19">
        <v>63200</v>
      </c>
      <c r="H180" s="4"/>
    </row>
    <row r="181" spans="4:8">
      <c r="D181" s="5">
        <v>33</v>
      </c>
      <c r="E181" s="3" t="s">
        <v>181</v>
      </c>
      <c r="F181" s="2" t="s">
        <v>114</v>
      </c>
      <c r="G181" s="19">
        <v>79775</v>
      </c>
      <c r="H181" s="4"/>
    </row>
    <row r="182" spans="4:8">
      <c r="D182" s="5">
        <v>34</v>
      </c>
      <c r="E182" s="3" t="s">
        <v>182</v>
      </c>
      <c r="F182" s="2" t="s">
        <v>114</v>
      </c>
      <c r="G182" s="19">
        <v>139575</v>
      </c>
      <c r="H182" s="4"/>
    </row>
    <row r="183" spans="4:8">
      <c r="D183" s="5">
        <v>35</v>
      </c>
      <c r="E183" s="3" t="s">
        <v>183</v>
      </c>
      <c r="F183" s="2" t="s">
        <v>107</v>
      </c>
      <c r="G183" s="19">
        <v>79700</v>
      </c>
      <c r="H183" s="4"/>
    </row>
    <row r="184" spans="4:8">
      <c r="D184" s="5">
        <v>36</v>
      </c>
      <c r="E184" s="3" t="s">
        <v>184</v>
      </c>
      <c r="F184" s="2" t="s">
        <v>107</v>
      </c>
      <c r="G184" s="19">
        <v>145400</v>
      </c>
      <c r="H184" s="4"/>
    </row>
    <row r="185" spans="4:8">
      <c r="D185" s="5">
        <v>37</v>
      </c>
      <c r="E185" s="3" t="s">
        <v>185</v>
      </c>
      <c r="F185" s="2" t="s">
        <v>107</v>
      </c>
      <c r="G185" s="19">
        <v>51600</v>
      </c>
      <c r="H185" s="4"/>
    </row>
    <row r="186" spans="4:8">
      <c r="D186" s="5">
        <v>38</v>
      </c>
      <c r="E186" s="3" t="s">
        <v>186</v>
      </c>
      <c r="F186" s="2" t="s">
        <v>107</v>
      </c>
      <c r="G186" s="19">
        <v>30700</v>
      </c>
      <c r="H186" s="4"/>
    </row>
    <row r="187" spans="4:8">
      <c r="D187" s="5">
        <v>39</v>
      </c>
      <c r="E187" s="3" t="s">
        <v>187</v>
      </c>
      <c r="F187" s="2" t="s">
        <v>107</v>
      </c>
      <c r="G187" s="19">
        <v>214900</v>
      </c>
      <c r="H187" s="4"/>
    </row>
    <row r="188" spans="4:8">
      <c r="D188" s="5">
        <v>40</v>
      </c>
      <c r="E188" s="3" t="s">
        <v>188</v>
      </c>
      <c r="F188" s="2" t="s">
        <v>107</v>
      </c>
      <c r="G188" s="19">
        <v>423300</v>
      </c>
      <c r="H188" s="4"/>
    </row>
    <row r="189" spans="4:8">
      <c r="D189" s="5">
        <v>41</v>
      </c>
      <c r="E189" s="3" t="s">
        <v>189</v>
      </c>
      <c r="F189" s="2" t="s">
        <v>107</v>
      </c>
      <c r="G189" s="19">
        <v>33400</v>
      </c>
      <c r="H189" s="4"/>
    </row>
    <row r="190" spans="4:8">
      <c r="D190" s="5">
        <v>42</v>
      </c>
      <c r="E190" s="3" t="s">
        <v>190</v>
      </c>
      <c r="F190" s="2" t="s">
        <v>107</v>
      </c>
      <c r="G190" s="19">
        <v>641300</v>
      </c>
      <c r="H190" s="4"/>
    </row>
    <row r="191" spans="4:8">
      <c r="D191" s="5">
        <v>43</v>
      </c>
      <c r="E191" s="3" t="s">
        <v>191</v>
      </c>
      <c r="F191" s="2" t="s">
        <v>107</v>
      </c>
      <c r="G191" s="19">
        <v>1823000</v>
      </c>
      <c r="H191" s="4"/>
    </row>
    <row r="192" spans="4:8">
      <c r="D192" s="5">
        <v>44</v>
      </c>
      <c r="E192" s="3" t="s">
        <v>192</v>
      </c>
      <c r="F192" s="2" t="s">
        <v>107</v>
      </c>
      <c r="G192" s="19">
        <v>2043200</v>
      </c>
      <c r="H192" s="4"/>
    </row>
    <row r="193" spans="4:8">
      <c r="D193" s="5"/>
      <c r="E193" s="36" t="s">
        <v>193</v>
      </c>
      <c r="F193" s="37"/>
      <c r="G193" s="38"/>
      <c r="H193" s="39"/>
    </row>
    <row r="194" spans="4:8">
      <c r="D194" s="5">
        <v>1</v>
      </c>
      <c r="E194" s="3" t="s">
        <v>194</v>
      </c>
      <c r="F194" s="2" t="s">
        <v>114</v>
      </c>
      <c r="G194" s="19">
        <v>5500</v>
      </c>
      <c r="H194" s="4"/>
    </row>
    <row r="195" spans="4:8">
      <c r="D195" s="5">
        <v>2</v>
      </c>
      <c r="E195" s="3" t="s">
        <v>195</v>
      </c>
      <c r="F195" s="2" t="s">
        <v>107</v>
      </c>
      <c r="G195" s="19">
        <v>405700</v>
      </c>
      <c r="H195" s="4"/>
    </row>
    <row r="196" spans="4:8">
      <c r="D196" s="5">
        <v>3</v>
      </c>
      <c r="E196" s="3" t="s">
        <v>196</v>
      </c>
      <c r="F196" s="2" t="s">
        <v>107</v>
      </c>
      <c r="G196" s="19">
        <v>263000</v>
      </c>
      <c r="H196" s="4"/>
    </row>
    <row r="197" spans="4:8">
      <c r="D197" s="5">
        <v>4</v>
      </c>
      <c r="E197" s="3" t="s">
        <v>197</v>
      </c>
      <c r="F197" s="2" t="s">
        <v>114</v>
      </c>
      <c r="G197" s="19">
        <v>24400</v>
      </c>
      <c r="H197" s="4"/>
    </row>
    <row r="198" spans="4:8">
      <c r="D198" s="5">
        <v>5</v>
      </c>
      <c r="E198" s="3" t="s">
        <v>198</v>
      </c>
      <c r="F198" s="2" t="s">
        <v>107</v>
      </c>
      <c r="G198" s="19">
        <v>550000</v>
      </c>
      <c r="H198" s="4"/>
    </row>
    <row r="199" spans="4:8">
      <c r="D199" s="5">
        <v>6</v>
      </c>
      <c r="E199" s="3" t="s">
        <v>199</v>
      </c>
      <c r="F199" s="2" t="s">
        <v>107</v>
      </c>
      <c r="G199" s="19">
        <v>1035100</v>
      </c>
      <c r="H199" s="4"/>
    </row>
    <row r="200" spans="4:8">
      <c r="D200" s="5">
        <v>7</v>
      </c>
      <c r="E200" s="3" t="s">
        <v>200</v>
      </c>
      <c r="F200" s="2" t="s">
        <v>107</v>
      </c>
      <c r="G200" s="19">
        <v>181200</v>
      </c>
      <c r="H200" s="4"/>
    </row>
    <row r="201" spans="4:8">
      <c r="D201" s="5">
        <v>8</v>
      </c>
      <c r="E201" s="3" t="s">
        <v>201</v>
      </c>
      <c r="F201" s="2" t="s">
        <v>107</v>
      </c>
      <c r="G201" s="19">
        <v>1475300</v>
      </c>
      <c r="H201" s="4"/>
    </row>
    <row r="202" spans="4:8">
      <c r="D202" s="5">
        <v>9</v>
      </c>
      <c r="E202" s="3" t="s">
        <v>202</v>
      </c>
      <c r="F202" s="2" t="s">
        <v>114</v>
      </c>
      <c r="G202" s="19">
        <v>44800</v>
      </c>
      <c r="H202" s="4"/>
    </row>
    <row r="203" spans="4:8">
      <c r="D203" s="5">
        <v>10</v>
      </c>
      <c r="E203" s="3" t="s">
        <v>203</v>
      </c>
      <c r="F203" s="2" t="s">
        <v>114</v>
      </c>
      <c r="G203" s="19">
        <v>92400</v>
      </c>
      <c r="H203" s="4"/>
    </row>
    <row r="204" spans="4:8">
      <c r="D204" s="5">
        <v>11</v>
      </c>
      <c r="E204" s="3" t="s">
        <v>204</v>
      </c>
      <c r="F204" s="2" t="s">
        <v>107</v>
      </c>
      <c r="G204" s="19">
        <v>461800</v>
      </c>
      <c r="H204" s="4"/>
    </row>
    <row r="205" spans="4:8">
      <c r="D205" s="5">
        <v>12</v>
      </c>
      <c r="E205" s="3" t="s">
        <v>205</v>
      </c>
      <c r="F205" s="2" t="s">
        <v>107</v>
      </c>
      <c r="G205" s="19">
        <v>266100</v>
      </c>
      <c r="H205" s="4"/>
    </row>
    <row r="206" spans="4:8">
      <c r="D206" s="5">
        <v>13</v>
      </c>
      <c r="E206" s="3" t="s">
        <v>206</v>
      </c>
      <c r="F206" s="2" t="s">
        <v>107</v>
      </c>
      <c r="G206" s="19">
        <v>132500</v>
      </c>
      <c r="H206" s="4"/>
    </row>
    <row r="207" spans="4:8">
      <c r="D207" s="5">
        <v>14</v>
      </c>
      <c r="E207" s="3" t="s">
        <v>207</v>
      </c>
      <c r="F207" s="2" t="s">
        <v>107</v>
      </c>
      <c r="G207" s="19">
        <v>528600</v>
      </c>
      <c r="H207" s="4"/>
    </row>
    <row r="208" spans="4:8">
      <c r="D208" s="5">
        <v>15</v>
      </c>
      <c r="E208" s="3" t="s">
        <v>208</v>
      </c>
      <c r="F208" s="2" t="s">
        <v>107</v>
      </c>
      <c r="G208" s="19">
        <v>1021000</v>
      </c>
      <c r="H208" s="4"/>
    </row>
    <row r="209" spans="4:8">
      <c r="D209" s="5">
        <v>16</v>
      </c>
      <c r="E209" s="3" t="s">
        <v>209</v>
      </c>
      <c r="F209" s="2" t="s">
        <v>107</v>
      </c>
      <c r="G209" s="19">
        <v>177900</v>
      </c>
      <c r="H209" s="4"/>
    </row>
    <row r="210" spans="4:8">
      <c r="D210" s="5">
        <v>17</v>
      </c>
      <c r="E210" s="3" t="s">
        <v>210</v>
      </c>
      <c r="F210" s="2" t="s">
        <v>107</v>
      </c>
      <c r="G210" s="19">
        <v>1487200</v>
      </c>
      <c r="H210" s="4"/>
    </row>
    <row r="211" spans="4:8">
      <c r="D211" s="5">
        <v>18</v>
      </c>
      <c r="E211" s="3" t="s">
        <v>211</v>
      </c>
      <c r="F211" s="2" t="s">
        <v>107</v>
      </c>
      <c r="G211" s="19">
        <v>1981200</v>
      </c>
      <c r="H211" s="4"/>
    </row>
    <row r="212" spans="4:8">
      <c r="D212" s="5">
        <v>19</v>
      </c>
      <c r="E212" s="3" t="s">
        <v>212</v>
      </c>
      <c r="F212" s="2" t="s">
        <v>107</v>
      </c>
      <c r="G212" s="19">
        <v>1558300</v>
      </c>
      <c r="H212" s="4"/>
    </row>
    <row r="213" spans="4:8">
      <c r="D213" s="5">
        <v>20</v>
      </c>
      <c r="E213" s="3" t="s">
        <v>213</v>
      </c>
      <c r="F213" s="2" t="s">
        <v>107</v>
      </c>
      <c r="G213" s="19">
        <v>2267400</v>
      </c>
      <c r="H213" s="4"/>
    </row>
    <row r="214" spans="4:8">
      <c r="D214" s="5">
        <v>21</v>
      </c>
      <c r="E214" s="3" t="s">
        <v>214</v>
      </c>
      <c r="F214" s="2" t="s">
        <v>107</v>
      </c>
      <c r="G214" s="19">
        <v>598800</v>
      </c>
      <c r="H214" s="4"/>
    </row>
    <row r="215" spans="4:8">
      <c r="D215" s="5">
        <v>22</v>
      </c>
      <c r="E215" s="3" t="s">
        <v>215</v>
      </c>
      <c r="F215" s="2" t="s">
        <v>107</v>
      </c>
      <c r="G215" s="19">
        <v>2031000</v>
      </c>
      <c r="H215" s="4"/>
    </row>
    <row r="216" spans="4:8">
      <c r="D216" s="5">
        <v>23</v>
      </c>
      <c r="E216" s="3" t="s">
        <v>216</v>
      </c>
      <c r="F216" s="2" t="s">
        <v>107</v>
      </c>
      <c r="G216" s="19">
        <v>2451200</v>
      </c>
      <c r="H216" s="4"/>
    </row>
    <row r="217" spans="4:8">
      <c r="D217" s="5">
        <v>24</v>
      </c>
      <c r="E217" s="3" t="s">
        <v>217</v>
      </c>
      <c r="F217" s="2" t="s">
        <v>107</v>
      </c>
      <c r="G217" s="19">
        <v>3466200</v>
      </c>
      <c r="H217" s="4"/>
    </row>
    <row r="218" spans="4:8">
      <c r="D218" s="5"/>
      <c r="E218" s="36" t="s">
        <v>218</v>
      </c>
      <c r="F218" s="37"/>
      <c r="G218" s="38"/>
      <c r="H218" s="39"/>
    </row>
    <row r="219" spans="4:8">
      <c r="D219" s="5">
        <v>1</v>
      </c>
      <c r="E219" s="3" t="s">
        <v>219</v>
      </c>
      <c r="F219" s="2" t="s">
        <v>66</v>
      </c>
      <c r="G219" s="19">
        <v>14600</v>
      </c>
      <c r="H219" s="4"/>
    </row>
    <row r="220" spans="4:8">
      <c r="D220" s="5">
        <v>2</v>
      </c>
      <c r="E220" s="3" t="s">
        <v>220</v>
      </c>
      <c r="F220" s="2" t="s">
        <v>66</v>
      </c>
      <c r="G220" s="19">
        <v>14600</v>
      </c>
      <c r="H220" s="4"/>
    </row>
    <row r="221" spans="4:8">
      <c r="D221" s="5">
        <v>3</v>
      </c>
      <c r="E221" s="3" t="s">
        <v>221</v>
      </c>
      <c r="F221" s="2" t="s">
        <v>66</v>
      </c>
      <c r="G221" s="19">
        <v>80340</v>
      </c>
      <c r="H221" s="4"/>
    </row>
    <row r="222" spans="4:8">
      <c r="D222" s="5">
        <v>4</v>
      </c>
      <c r="E222" s="3" t="s">
        <v>222</v>
      </c>
      <c r="F222" s="2" t="s">
        <v>66</v>
      </c>
      <c r="G222" s="19">
        <v>35000</v>
      </c>
      <c r="H222" s="4"/>
    </row>
    <row r="223" spans="4:8">
      <c r="D223" s="5">
        <v>5</v>
      </c>
      <c r="E223" s="3" t="s">
        <v>223</v>
      </c>
      <c r="F223" s="2" t="s">
        <v>66</v>
      </c>
      <c r="G223" s="19">
        <v>16660</v>
      </c>
      <c r="H223" s="4"/>
    </row>
    <row r="224" spans="4:8">
      <c r="D224" s="5">
        <v>6</v>
      </c>
      <c r="E224" s="3" t="s">
        <v>224</v>
      </c>
      <c r="F224" s="2" t="s">
        <v>66</v>
      </c>
      <c r="G224" s="19">
        <v>13700</v>
      </c>
      <c r="H224" s="4"/>
    </row>
    <row r="225" spans="4:8">
      <c r="D225" s="5">
        <v>7</v>
      </c>
      <c r="E225" s="3" t="s">
        <v>225</v>
      </c>
      <c r="F225" s="2" t="s">
        <v>66</v>
      </c>
      <c r="G225" s="19">
        <v>13800</v>
      </c>
      <c r="H225" s="4"/>
    </row>
    <row r="226" spans="4:8">
      <c r="D226" s="5">
        <v>8</v>
      </c>
      <c r="E226" s="3" t="s">
        <v>226</v>
      </c>
      <c r="F226" s="2" t="s">
        <v>114</v>
      </c>
      <c r="G226" s="19">
        <v>6250</v>
      </c>
      <c r="H226" s="4"/>
    </row>
    <row r="227" spans="4:8">
      <c r="D227" s="5">
        <v>9</v>
      </c>
      <c r="E227" s="3" t="s">
        <v>227</v>
      </c>
      <c r="F227" s="2" t="s">
        <v>114</v>
      </c>
      <c r="G227" s="19">
        <v>10500</v>
      </c>
      <c r="H227" s="4"/>
    </row>
    <row r="228" spans="4:8">
      <c r="D228" s="5">
        <v>10</v>
      </c>
      <c r="E228" s="3" t="s">
        <v>228</v>
      </c>
      <c r="F228" s="2" t="s">
        <v>66</v>
      </c>
      <c r="G228" s="19">
        <v>25000</v>
      </c>
      <c r="H228" s="4"/>
    </row>
    <row r="229" spans="4:8">
      <c r="D229" s="5">
        <v>11</v>
      </c>
      <c r="E229" s="3" t="s">
        <v>229</v>
      </c>
      <c r="F229" s="2" t="s">
        <v>66</v>
      </c>
      <c r="G229" s="19">
        <v>14840</v>
      </c>
      <c r="H229" s="4"/>
    </row>
    <row r="230" spans="4:8">
      <c r="D230" s="5">
        <v>12</v>
      </c>
      <c r="E230" s="3" t="s">
        <v>230</v>
      </c>
      <c r="F230" s="2" t="s">
        <v>66</v>
      </c>
      <c r="G230" s="19">
        <v>14700</v>
      </c>
      <c r="H230" s="4"/>
    </row>
    <row r="231" spans="4:8">
      <c r="D231" s="5">
        <v>13</v>
      </c>
      <c r="E231" s="3" t="s">
        <v>231</v>
      </c>
      <c r="F231" s="2" t="s">
        <v>66</v>
      </c>
      <c r="G231" s="19">
        <v>13000</v>
      </c>
      <c r="H231" s="4"/>
    </row>
    <row r="232" spans="4:8">
      <c r="D232" s="5">
        <v>14</v>
      </c>
      <c r="E232" s="3" t="s">
        <v>232</v>
      </c>
      <c r="F232" s="2" t="s">
        <v>66</v>
      </c>
      <c r="G232" s="19">
        <v>15667</v>
      </c>
      <c r="H232" s="4"/>
    </row>
    <row r="233" spans="4:8">
      <c r="D233" s="5">
        <v>15</v>
      </c>
      <c r="E233" s="3" t="s">
        <v>233</v>
      </c>
      <c r="F233" s="2" t="s">
        <v>114</v>
      </c>
      <c r="G233" s="19">
        <v>5000</v>
      </c>
      <c r="H233" s="4"/>
    </row>
    <row r="234" spans="4:8">
      <c r="D234" s="5">
        <v>16</v>
      </c>
      <c r="E234" s="3" t="s">
        <v>233</v>
      </c>
      <c r="F234" s="2" t="s">
        <v>66</v>
      </c>
      <c r="G234" s="19">
        <v>15000</v>
      </c>
      <c r="H234" s="4"/>
    </row>
    <row r="235" spans="4:8">
      <c r="D235" s="5">
        <v>17</v>
      </c>
      <c r="E235" s="3" t="s">
        <v>234</v>
      </c>
      <c r="F235" s="2" t="s">
        <v>66</v>
      </c>
      <c r="G235" s="19">
        <v>17250</v>
      </c>
      <c r="H235" s="4"/>
    </row>
    <row r="236" spans="4:8">
      <c r="D236" s="5">
        <v>18</v>
      </c>
      <c r="E236" s="3" t="s">
        <v>235</v>
      </c>
      <c r="F236" s="2" t="s">
        <v>66</v>
      </c>
      <c r="G236" s="19">
        <v>7500</v>
      </c>
      <c r="H236" s="4"/>
    </row>
    <row r="237" spans="4:8">
      <c r="D237" s="5">
        <v>19</v>
      </c>
      <c r="E237" s="3" t="s">
        <v>236</v>
      </c>
      <c r="F237" s="2" t="s">
        <v>66</v>
      </c>
      <c r="G237" s="19">
        <v>14250</v>
      </c>
      <c r="H237" s="4"/>
    </row>
    <row r="238" spans="4:8">
      <c r="D238" s="5">
        <v>20</v>
      </c>
      <c r="E238" s="3" t="s">
        <v>237</v>
      </c>
      <c r="F238" s="2" t="s">
        <v>66</v>
      </c>
      <c r="G238" s="19">
        <v>14500</v>
      </c>
      <c r="H238" s="4"/>
    </row>
    <row r="239" spans="4:8">
      <c r="D239" s="5">
        <v>21</v>
      </c>
      <c r="E239" s="3" t="s">
        <v>238</v>
      </c>
      <c r="F239" s="2" t="s">
        <v>239</v>
      </c>
      <c r="G239" s="19">
        <v>460000</v>
      </c>
      <c r="H239" s="4"/>
    </row>
    <row r="240" spans="4:8">
      <c r="D240" s="5">
        <v>22</v>
      </c>
      <c r="E240" s="3" t="s">
        <v>240</v>
      </c>
      <c r="F240" s="2" t="s">
        <v>239</v>
      </c>
      <c r="G240" s="19">
        <v>891000</v>
      </c>
      <c r="H240" s="4"/>
    </row>
    <row r="241" spans="4:8">
      <c r="D241" s="5">
        <v>23</v>
      </c>
      <c r="E241" s="3" t="s">
        <v>241</v>
      </c>
      <c r="F241" s="2" t="s">
        <v>239</v>
      </c>
      <c r="G241" s="19">
        <v>656000</v>
      </c>
      <c r="H241" s="4"/>
    </row>
    <row r="242" spans="4:8">
      <c r="D242" s="5">
        <v>24</v>
      </c>
      <c r="E242" s="3" t="s">
        <v>242</v>
      </c>
      <c r="F242" s="2" t="s">
        <v>239</v>
      </c>
      <c r="G242" s="19">
        <v>805000</v>
      </c>
      <c r="H242" s="4"/>
    </row>
    <row r="243" spans="4:8">
      <c r="D243" s="5">
        <v>25</v>
      </c>
      <c r="E243" s="3" t="s">
        <v>243</v>
      </c>
      <c r="F243" s="2" t="s">
        <v>44</v>
      </c>
      <c r="G243" s="19">
        <v>4550</v>
      </c>
      <c r="H243" s="4"/>
    </row>
    <row r="244" spans="4:8">
      <c r="D244" s="5">
        <v>26</v>
      </c>
      <c r="E244" s="3" t="s">
        <v>244</v>
      </c>
      <c r="F244" s="2" t="s">
        <v>66</v>
      </c>
      <c r="G244" s="19">
        <v>15150</v>
      </c>
      <c r="H244" s="4"/>
    </row>
    <row r="245" spans="4:8">
      <c r="D245" s="5">
        <v>27</v>
      </c>
      <c r="E245" s="3" t="s">
        <v>245</v>
      </c>
      <c r="F245" s="2" t="s">
        <v>66</v>
      </c>
      <c r="G245" s="19">
        <v>15680</v>
      </c>
      <c r="H245" s="4"/>
    </row>
    <row r="246" spans="4:8">
      <c r="D246" s="5">
        <v>28</v>
      </c>
      <c r="E246" s="3" t="s">
        <v>246</v>
      </c>
      <c r="F246" s="2" t="s">
        <v>247</v>
      </c>
      <c r="G246" s="19">
        <v>116750</v>
      </c>
      <c r="H246" s="4"/>
    </row>
    <row r="247" spans="4:8">
      <c r="D247" s="5">
        <v>29</v>
      </c>
      <c r="E247" s="3" t="s">
        <v>248</v>
      </c>
      <c r="F247" s="2" t="s">
        <v>66</v>
      </c>
      <c r="G247" s="19">
        <v>26020</v>
      </c>
      <c r="H247" s="4"/>
    </row>
    <row r="248" spans="4:8">
      <c r="D248" s="5">
        <v>30</v>
      </c>
      <c r="E248" s="3" t="s">
        <v>249</v>
      </c>
      <c r="F248" s="2" t="s">
        <v>66</v>
      </c>
      <c r="G248" s="19">
        <v>25400</v>
      </c>
      <c r="H248" s="4"/>
    </row>
    <row r="249" spans="4:8">
      <c r="D249" s="5">
        <v>31</v>
      </c>
      <c r="E249" s="3" t="s">
        <v>250</v>
      </c>
      <c r="F249" s="2" t="s">
        <v>66</v>
      </c>
      <c r="G249" s="19">
        <v>22800</v>
      </c>
      <c r="H249" s="4"/>
    </row>
    <row r="250" spans="4:8">
      <c r="D250" s="5">
        <v>32</v>
      </c>
      <c r="E250" s="3" t="s">
        <v>251</v>
      </c>
      <c r="F250" s="2" t="s">
        <v>63</v>
      </c>
      <c r="G250" s="19">
        <v>28450</v>
      </c>
      <c r="H250" s="4"/>
    </row>
    <row r="251" spans="4:8">
      <c r="D251" s="5">
        <v>33</v>
      </c>
      <c r="E251" s="3" t="s">
        <v>252</v>
      </c>
      <c r="F251" s="2" t="s">
        <v>63</v>
      </c>
      <c r="G251" s="19">
        <v>28470</v>
      </c>
      <c r="H251" s="4"/>
    </row>
    <row r="252" spans="4:8">
      <c r="D252" s="5">
        <v>34</v>
      </c>
      <c r="E252" s="3" t="s">
        <v>253</v>
      </c>
      <c r="F252" s="2" t="s">
        <v>63</v>
      </c>
      <c r="G252" s="19">
        <v>27900</v>
      </c>
      <c r="H252" s="4"/>
    </row>
    <row r="253" spans="4:8">
      <c r="D253" s="5">
        <v>35</v>
      </c>
      <c r="E253" s="3" t="s">
        <v>254</v>
      </c>
      <c r="F253" s="2" t="s">
        <v>63</v>
      </c>
      <c r="G253" s="19">
        <v>26900</v>
      </c>
      <c r="H253" s="4"/>
    </row>
    <row r="254" spans="4:8">
      <c r="D254" s="5">
        <v>36</v>
      </c>
      <c r="E254" s="3" t="s">
        <v>255</v>
      </c>
      <c r="F254" s="2" t="s">
        <v>66</v>
      </c>
      <c r="G254" s="19">
        <v>18800</v>
      </c>
      <c r="H254" s="4"/>
    </row>
    <row r="255" spans="4:8">
      <c r="D255" s="5">
        <v>37</v>
      </c>
      <c r="E255" s="3" t="s">
        <v>256</v>
      </c>
      <c r="F255" s="2" t="s">
        <v>114</v>
      </c>
      <c r="G255" s="19">
        <v>1750</v>
      </c>
      <c r="H255" s="4"/>
    </row>
    <row r="256" spans="4:8">
      <c r="D256" s="5">
        <v>38</v>
      </c>
      <c r="E256" s="3" t="s">
        <v>257</v>
      </c>
      <c r="F256" s="2" t="s">
        <v>63</v>
      </c>
      <c r="G256" s="19">
        <v>34620</v>
      </c>
      <c r="H256" s="4"/>
    </row>
    <row r="257" spans="4:8">
      <c r="D257" s="5">
        <v>39</v>
      </c>
      <c r="E257" s="22" t="s">
        <v>1205</v>
      </c>
      <c r="F257" s="2" t="s">
        <v>133</v>
      </c>
      <c r="G257" s="19">
        <v>300000</v>
      </c>
      <c r="H257" s="4" t="s">
        <v>1279</v>
      </c>
    </row>
    <row r="258" spans="4:8">
      <c r="D258" s="5">
        <v>40</v>
      </c>
      <c r="E258" s="3" t="s">
        <v>258</v>
      </c>
      <c r="F258" s="2" t="s">
        <v>66</v>
      </c>
      <c r="G258" s="19">
        <v>45550</v>
      </c>
      <c r="H258" s="4"/>
    </row>
    <row r="259" spans="4:8">
      <c r="D259" s="5">
        <v>41</v>
      </c>
      <c r="E259" s="3" t="s">
        <v>259</v>
      </c>
      <c r="F259" s="2" t="s">
        <v>42</v>
      </c>
      <c r="G259" s="19">
        <v>20190</v>
      </c>
      <c r="H259" s="4"/>
    </row>
    <row r="260" spans="4:8">
      <c r="D260" s="5">
        <v>42</v>
      </c>
      <c r="E260" s="3" t="s">
        <v>260</v>
      </c>
      <c r="F260" s="2" t="s">
        <v>63</v>
      </c>
      <c r="G260" s="19">
        <v>18000</v>
      </c>
      <c r="H260" s="4"/>
    </row>
    <row r="261" spans="4:8">
      <c r="D261" s="5">
        <v>43</v>
      </c>
      <c r="E261" s="3" t="s">
        <v>261</v>
      </c>
      <c r="F261" s="2" t="s">
        <v>66</v>
      </c>
      <c r="G261" s="19">
        <v>35000</v>
      </c>
      <c r="H261" s="4"/>
    </row>
    <row r="262" spans="4:8">
      <c r="D262" s="5">
        <v>44</v>
      </c>
      <c r="E262" s="3" t="s">
        <v>262</v>
      </c>
      <c r="F262" s="2" t="s">
        <v>66</v>
      </c>
      <c r="G262" s="19">
        <v>8400</v>
      </c>
      <c r="H262" s="4"/>
    </row>
    <row r="263" spans="4:8">
      <c r="D263" s="5">
        <v>45</v>
      </c>
      <c r="E263" s="3" t="s">
        <v>263</v>
      </c>
      <c r="F263" s="2" t="s">
        <v>66</v>
      </c>
      <c r="G263" s="19">
        <v>15000</v>
      </c>
      <c r="H263" s="4"/>
    </row>
    <row r="264" spans="4:8">
      <c r="D264" s="5">
        <v>46</v>
      </c>
      <c r="E264" s="3" t="s">
        <v>264</v>
      </c>
      <c r="F264" s="2" t="s">
        <v>44</v>
      </c>
      <c r="G264" s="19">
        <v>1500</v>
      </c>
      <c r="H264" s="4"/>
    </row>
    <row r="265" spans="4:8">
      <c r="D265" s="5">
        <v>47</v>
      </c>
      <c r="E265" s="3" t="s">
        <v>265</v>
      </c>
      <c r="F265" s="2" t="s">
        <v>66</v>
      </c>
      <c r="G265" s="19">
        <v>18000</v>
      </c>
      <c r="H265" s="4"/>
    </row>
    <row r="266" spans="4:8">
      <c r="D266" s="5">
        <v>48</v>
      </c>
      <c r="E266" s="3" t="s">
        <v>266</v>
      </c>
      <c r="F266" s="2" t="s">
        <v>66</v>
      </c>
      <c r="G266" s="19">
        <v>19000</v>
      </c>
      <c r="H266" s="4"/>
    </row>
    <row r="267" spans="4:8">
      <c r="D267" s="5">
        <v>49</v>
      </c>
      <c r="E267" s="3" t="s">
        <v>267</v>
      </c>
      <c r="F267" s="2" t="s">
        <v>66</v>
      </c>
      <c r="G267" s="19">
        <v>20000</v>
      </c>
      <c r="H267" s="4"/>
    </row>
    <row r="268" spans="4:8">
      <c r="D268" s="5">
        <v>50</v>
      </c>
      <c r="E268" s="3" t="s">
        <v>268</v>
      </c>
      <c r="F268" s="2" t="s">
        <v>66</v>
      </c>
      <c r="G268" s="19">
        <v>39450</v>
      </c>
      <c r="H268" s="4"/>
    </row>
    <row r="269" spans="4:8">
      <c r="D269" s="5">
        <v>51</v>
      </c>
      <c r="E269" s="3" t="s">
        <v>269</v>
      </c>
      <c r="F269" s="2" t="s">
        <v>66</v>
      </c>
      <c r="G269" s="19">
        <v>22070</v>
      </c>
      <c r="H269" s="4"/>
    </row>
    <row r="270" spans="4:8">
      <c r="D270" s="5">
        <v>52</v>
      </c>
      <c r="E270" s="3" t="s">
        <v>270</v>
      </c>
      <c r="F270" s="2" t="s">
        <v>66</v>
      </c>
      <c r="G270" s="19">
        <v>19460</v>
      </c>
      <c r="H270" s="4"/>
    </row>
    <row r="271" spans="4:8">
      <c r="D271" s="5">
        <v>53</v>
      </c>
      <c r="E271" s="3" t="s">
        <v>271</v>
      </c>
      <c r="F271" s="2" t="s">
        <v>66</v>
      </c>
      <c r="G271" s="19">
        <v>35590</v>
      </c>
      <c r="H271" s="4"/>
    </row>
    <row r="272" spans="4:8">
      <c r="D272" s="5">
        <v>54</v>
      </c>
      <c r="E272" s="3" t="s">
        <v>272</v>
      </c>
      <c r="F272" s="2" t="s">
        <v>44</v>
      </c>
      <c r="G272" s="19">
        <v>200</v>
      </c>
      <c r="H272" s="4"/>
    </row>
    <row r="273" spans="4:8">
      <c r="D273" s="5">
        <v>55</v>
      </c>
      <c r="E273" s="3" t="s">
        <v>273</v>
      </c>
      <c r="F273" s="2" t="s">
        <v>66</v>
      </c>
      <c r="G273" s="19">
        <v>30090</v>
      </c>
      <c r="H273" s="4"/>
    </row>
    <row r="274" spans="4:8">
      <c r="D274" s="5">
        <v>56</v>
      </c>
      <c r="E274" s="196" t="s">
        <v>1509</v>
      </c>
      <c r="F274" s="2" t="s">
        <v>44</v>
      </c>
      <c r="G274" s="19">
        <v>1600</v>
      </c>
      <c r="H274" s="4"/>
    </row>
    <row r="275" spans="4:8">
      <c r="D275" s="5">
        <v>57</v>
      </c>
      <c r="E275" s="3" t="s">
        <v>274</v>
      </c>
      <c r="F275" s="2" t="s">
        <v>139</v>
      </c>
      <c r="G275" s="19">
        <v>8000000</v>
      </c>
      <c r="H275" s="4"/>
    </row>
    <row r="276" spans="4:8">
      <c r="D276" s="5">
        <v>58</v>
      </c>
      <c r="E276" s="3" t="s">
        <v>275</v>
      </c>
      <c r="F276" s="2" t="s">
        <v>114</v>
      </c>
      <c r="G276" s="19">
        <v>1680000</v>
      </c>
      <c r="H276" s="4"/>
    </row>
    <row r="277" spans="4:8">
      <c r="D277" s="5">
        <v>59</v>
      </c>
      <c r="E277" s="3" t="s">
        <v>276</v>
      </c>
      <c r="F277" s="2" t="s">
        <v>114</v>
      </c>
      <c r="G277" s="19">
        <v>2240000</v>
      </c>
      <c r="H277" s="4"/>
    </row>
    <row r="278" spans="4:8">
      <c r="D278" s="5">
        <v>60</v>
      </c>
      <c r="E278" s="3" t="s">
        <v>277</v>
      </c>
      <c r="F278" s="2" t="s">
        <v>114</v>
      </c>
      <c r="G278" s="19">
        <v>2800000</v>
      </c>
      <c r="H278" s="4"/>
    </row>
    <row r="279" spans="4:8">
      <c r="D279" s="5">
        <v>61</v>
      </c>
      <c r="E279" s="3" t="s">
        <v>278</v>
      </c>
      <c r="F279" s="2" t="s">
        <v>114</v>
      </c>
      <c r="G279" s="19">
        <v>15500</v>
      </c>
      <c r="H279" s="4"/>
    </row>
    <row r="280" spans="4:8">
      <c r="D280" s="5">
        <v>62</v>
      </c>
      <c r="E280" s="3" t="s">
        <v>279</v>
      </c>
      <c r="F280" s="2" t="s">
        <v>114</v>
      </c>
      <c r="G280" s="19">
        <v>22000</v>
      </c>
      <c r="H280" s="4"/>
    </row>
    <row r="281" spans="4:8">
      <c r="D281" s="5">
        <v>63</v>
      </c>
      <c r="E281" s="3" t="s">
        <v>280</v>
      </c>
      <c r="F281" s="2" t="s">
        <v>114</v>
      </c>
      <c r="G281" s="19">
        <v>31000</v>
      </c>
      <c r="H281" s="4"/>
    </row>
    <row r="282" spans="4:8">
      <c r="D282" s="5">
        <v>64</v>
      </c>
      <c r="E282" s="3" t="s">
        <v>281</v>
      </c>
      <c r="F282" s="2" t="s">
        <v>114</v>
      </c>
      <c r="G282" s="19">
        <v>42000</v>
      </c>
      <c r="H282" s="4"/>
    </row>
    <row r="283" spans="4:8">
      <c r="D283" s="5">
        <v>65</v>
      </c>
      <c r="E283" s="3" t="s">
        <v>282</v>
      </c>
      <c r="F283" s="2" t="s">
        <v>114</v>
      </c>
      <c r="G283" s="19">
        <v>16650</v>
      </c>
      <c r="H283" s="4"/>
    </row>
    <row r="284" spans="4:8">
      <c r="D284" s="5">
        <v>66</v>
      </c>
      <c r="E284" s="3" t="s">
        <v>283</v>
      </c>
      <c r="F284" s="2" t="s">
        <v>44</v>
      </c>
      <c r="G284" s="19">
        <v>700</v>
      </c>
      <c r="H284" s="4"/>
    </row>
    <row r="285" spans="4:8">
      <c r="D285" s="5">
        <v>67</v>
      </c>
      <c r="E285" s="3" t="s">
        <v>284</v>
      </c>
      <c r="F285" s="2" t="s">
        <v>66</v>
      </c>
      <c r="G285" s="19">
        <v>12430</v>
      </c>
      <c r="H285" s="4" t="s">
        <v>285</v>
      </c>
    </row>
    <row r="286" spans="4:8">
      <c r="D286" s="5">
        <v>68</v>
      </c>
      <c r="E286" s="3" t="s">
        <v>286</v>
      </c>
      <c r="F286" s="2" t="s">
        <v>66</v>
      </c>
      <c r="G286" s="19">
        <v>12660</v>
      </c>
      <c r="H286" s="4" t="s">
        <v>287</v>
      </c>
    </row>
    <row r="287" spans="4:8">
      <c r="D287" s="5">
        <v>69</v>
      </c>
      <c r="E287" s="3" t="s">
        <v>288</v>
      </c>
      <c r="F287" s="2" t="s">
        <v>66</v>
      </c>
      <c r="G287" s="19">
        <v>11522</v>
      </c>
      <c r="H287" s="4" t="s">
        <v>289</v>
      </c>
    </row>
    <row r="288" spans="4:8">
      <c r="D288" s="5">
        <v>70</v>
      </c>
      <c r="E288" s="3" t="s">
        <v>290</v>
      </c>
      <c r="F288" s="2" t="s">
        <v>66</v>
      </c>
      <c r="G288" s="19">
        <v>11816</v>
      </c>
      <c r="H288" s="4" t="s">
        <v>291</v>
      </c>
    </row>
    <row r="289" spans="4:8">
      <c r="D289" s="5">
        <v>71</v>
      </c>
      <c r="E289" s="3" t="s">
        <v>292</v>
      </c>
      <c r="F289" s="2" t="s">
        <v>66</v>
      </c>
      <c r="G289" s="19">
        <v>12049</v>
      </c>
      <c r="H289" s="4" t="s">
        <v>293</v>
      </c>
    </row>
    <row r="290" spans="4:8">
      <c r="D290" s="5">
        <v>72</v>
      </c>
      <c r="E290" s="3" t="s">
        <v>294</v>
      </c>
      <c r="F290" s="2" t="s">
        <v>66</v>
      </c>
      <c r="G290" s="19">
        <v>12276</v>
      </c>
      <c r="H290" s="4" t="s">
        <v>295</v>
      </c>
    </row>
    <row r="291" spans="4:8">
      <c r="D291" s="5"/>
      <c r="E291" s="36" t="s">
        <v>296</v>
      </c>
      <c r="F291" s="37"/>
      <c r="G291" s="38"/>
      <c r="H291" s="39"/>
    </row>
    <row r="292" spans="4:8">
      <c r="D292" s="5">
        <v>1</v>
      </c>
      <c r="E292" s="3" t="s">
        <v>297</v>
      </c>
      <c r="F292" s="2" t="s">
        <v>133</v>
      </c>
      <c r="G292" s="19">
        <v>180400</v>
      </c>
      <c r="H292" s="4"/>
    </row>
    <row r="293" spans="4:8">
      <c r="D293" s="5">
        <v>2</v>
      </c>
      <c r="E293" s="3" t="s">
        <v>298</v>
      </c>
      <c r="F293" s="2" t="s">
        <v>133</v>
      </c>
      <c r="G293" s="19">
        <v>47800</v>
      </c>
      <c r="H293" s="4"/>
    </row>
    <row r="294" spans="4:8">
      <c r="D294" s="5">
        <v>3</v>
      </c>
      <c r="E294" s="3" t="s">
        <v>299</v>
      </c>
      <c r="F294" s="2" t="s">
        <v>133</v>
      </c>
      <c r="G294" s="19">
        <v>57300</v>
      </c>
      <c r="H294" s="4"/>
    </row>
    <row r="295" spans="4:8">
      <c r="D295" s="5">
        <v>4</v>
      </c>
      <c r="E295" s="3" t="s">
        <v>300</v>
      </c>
      <c r="F295" s="2" t="s">
        <v>133</v>
      </c>
      <c r="G295" s="19">
        <v>65300</v>
      </c>
      <c r="H295" s="4"/>
    </row>
    <row r="296" spans="4:8">
      <c r="D296" s="5">
        <v>5</v>
      </c>
      <c r="E296" s="3" t="s">
        <v>301</v>
      </c>
      <c r="F296" s="2" t="s">
        <v>133</v>
      </c>
      <c r="G296" s="19">
        <v>75500</v>
      </c>
      <c r="H296" s="4"/>
    </row>
    <row r="297" spans="4:8">
      <c r="D297" s="5">
        <v>6</v>
      </c>
      <c r="E297" s="3" t="s">
        <v>302</v>
      </c>
      <c r="F297" s="2" t="s">
        <v>133</v>
      </c>
      <c r="G297" s="19">
        <v>120000</v>
      </c>
      <c r="H297" s="4"/>
    </row>
    <row r="298" spans="4:8">
      <c r="D298" s="5">
        <v>7</v>
      </c>
      <c r="E298" s="3" t="s">
        <v>303</v>
      </c>
      <c r="F298" s="2" t="s">
        <v>133</v>
      </c>
      <c r="G298" s="19">
        <v>85500</v>
      </c>
      <c r="H298" s="4"/>
    </row>
    <row r="299" spans="4:8">
      <c r="D299" s="5">
        <v>8</v>
      </c>
      <c r="E299" s="3" t="s">
        <v>304</v>
      </c>
      <c r="F299" s="2" t="s">
        <v>133</v>
      </c>
      <c r="G299" s="19">
        <v>94000</v>
      </c>
      <c r="H299" s="4"/>
    </row>
    <row r="300" spans="4:8">
      <c r="D300" s="5">
        <v>9</v>
      </c>
      <c r="E300" s="3" t="s">
        <v>305</v>
      </c>
      <c r="F300" s="2" t="s">
        <v>133</v>
      </c>
      <c r="G300" s="19">
        <v>125000</v>
      </c>
      <c r="H300" s="4"/>
    </row>
    <row r="301" spans="4:8">
      <c r="D301" s="5">
        <v>10</v>
      </c>
      <c r="E301" s="3" t="s">
        <v>306</v>
      </c>
      <c r="F301" s="2" t="s">
        <v>133</v>
      </c>
      <c r="G301" s="19">
        <v>104900</v>
      </c>
      <c r="H301" s="4"/>
    </row>
    <row r="302" spans="4:8">
      <c r="D302" s="5">
        <v>11</v>
      </c>
      <c r="E302" s="3" t="s">
        <v>307</v>
      </c>
      <c r="F302" s="2" t="s">
        <v>133</v>
      </c>
      <c r="G302" s="19">
        <v>130000</v>
      </c>
      <c r="H302" s="4"/>
    </row>
    <row r="303" spans="4:8">
      <c r="D303" s="5">
        <v>12</v>
      </c>
      <c r="E303" s="3" t="s">
        <v>308</v>
      </c>
      <c r="F303" s="2" t="s">
        <v>133</v>
      </c>
      <c r="G303" s="19">
        <v>113400</v>
      </c>
      <c r="H303" s="4"/>
    </row>
    <row r="304" spans="4:8">
      <c r="D304" s="5">
        <v>13</v>
      </c>
      <c r="E304" s="3" t="s">
        <v>309</v>
      </c>
      <c r="F304" s="2" t="s">
        <v>133</v>
      </c>
      <c r="G304" s="19">
        <v>135000</v>
      </c>
      <c r="H304" s="4"/>
    </row>
    <row r="305" spans="4:8">
      <c r="D305" s="5">
        <v>14</v>
      </c>
      <c r="E305" s="3" t="s">
        <v>310</v>
      </c>
      <c r="F305" s="2" t="s">
        <v>133</v>
      </c>
      <c r="G305" s="19">
        <v>93000</v>
      </c>
      <c r="H305" s="4"/>
    </row>
    <row r="306" spans="4:8">
      <c r="D306" s="5">
        <v>15</v>
      </c>
      <c r="E306" s="3" t="s">
        <v>311</v>
      </c>
      <c r="F306" s="2" t="s">
        <v>133</v>
      </c>
      <c r="G306" s="19">
        <v>92900</v>
      </c>
      <c r="H306" s="4"/>
    </row>
    <row r="307" spans="4:8">
      <c r="D307" s="5">
        <v>16</v>
      </c>
      <c r="E307" s="3" t="s">
        <v>312</v>
      </c>
      <c r="F307" s="2" t="s">
        <v>133</v>
      </c>
      <c r="G307" s="19">
        <v>99600</v>
      </c>
      <c r="H307" s="4"/>
    </row>
    <row r="308" spans="4:8">
      <c r="D308" s="5">
        <v>17</v>
      </c>
      <c r="E308" s="3" t="s">
        <v>313</v>
      </c>
      <c r="F308" s="2" t="s">
        <v>133</v>
      </c>
      <c r="G308" s="19">
        <v>113400</v>
      </c>
      <c r="H308" s="4"/>
    </row>
    <row r="309" spans="4:8">
      <c r="D309" s="5">
        <v>18</v>
      </c>
      <c r="E309" s="3" t="s">
        <v>314</v>
      </c>
      <c r="F309" s="2" t="s">
        <v>133</v>
      </c>
      <c r="G309" s="19">
        <v>131000</v>
      </c>
      <c r="H309" s="4"/>
    </row>
    <row r="310" spans="4:8">
      <c r="D310" s="5">
        <v>19</v>
      </c>
      <c r="E310" s="3" t="s">
        <v>315</v>
      </c>
      <c r="F310" s="2" t="s">
        <v>133</v>
      </c>
      <c r="G310" s="19">
        <v>88400</v>
      </c>
      <c r="H310" s="4"/>
    </row>
    <row r="311" spans="4:8">
      <c r="D311" s="5">
        <v>20</v>
      </c>
      <c r="E311" s="3" t="s">
        <v>316</v>
      </c>
      <c r="F311" s="2" t="s">
        <v>133</v>
      </c>
      <c r="G311" s="19">
        <v>100500</v>
      </c>
      <c r="H311" s="4"/>
    </row>
    <row r="312" spans="4:8">
      <c r="D312" s="5">
        <v>21</v>
      </c>
      <c r="E312" s="3" t="s">
        <v>317</v>
      </c>
      <c r="F312" s="2" t="s">
        <v>63</v>
      </c>
      <c r="G312" s="19">
        <v>112500</v>
      </c>
      <c r="H312" s="4"/>
    </row>
    <row r="313" spans="4:8">
      <c r="D313" s="5">
        <v>22</v>
      </c>
      <c r="E313" s="3" t="s">
        <v>318</v>
      </c>
      <c r="F313" s="2" t="s">
        <v>63</v>
      </c>
      <c r="G313" s="19">
        <v>80000</v>
      </c>
      <c r="H313" s="4"/>
    </row>
    <row r="314" spans="4:8">
      <c r="D314" s="5">
        <v>23</v>
      </c>
      <c r="E314" s="3" t="s">
        <v>319</v>
      </c>
      <c r="F314" s="2" t="s">
        <v>44</v>
      </c>
      <c r="G314" s="19">
        <v>20000</v>
      </c>
      <c r="H314" s="4"/>
    </row>
    <row r="315" spans="4:8">
      <c r="D315" s="5">
        <v>24</v>
      </c>
      <c r="E315" s="3" t="s">
        <v>320</v>
      </c>
      <c r="F315" s="2" t="s">
        <v>63</v>
      </c>
      <c r="G315" s="19">
        <v>200000</v>
      </c>
      <c r="H315" s="4"/>
    </row>
    <row r="316" spans="4:8">
      <c r="D316" s="5">
        <v>25</v>
      </c>
      <c r="E316" s="3" t="s">
        <v>321</v>
      </c>
      <c r="F316" s="2" t="s">
        <v>133</v>
      </c>
      <c r="G316" s="19">
        <v>62700</v>
      </c>
      <c r="H316" s="4"/>
    </row>
    <row r="317" spans="4:8">
      <c r="D317" s="5">
        <v>26</v>
      </c>
      <c r="E317" s="3" t="s">
        <v>322</v>
      </c>
      <c r="F317" s="2" t="s">
        <v>44</v>
      </c>
      <c r="G317" s="19">
        <v>8600</v>
      </c>
      <c r="H317" s="4"/>
    </row>
    <row r="318" spans="4:8">
      <c r="D318" s="5">
        <v>27</v>
      </c>
      <c r="E318" s="3" t="s">
        <v>323</v>
      </c>
      <c r="F318" s="2" t="s">
        <v>44</v>
      </c>
      <c r="G318" s="19">
        <v>10700</v>
      </c>
      <c r="H318" s="4"/>
    </row>
    <row r="319" spans="4:8">
      <c r="D319" s="5">
        <v>28</v>
      </c>
      <c r="E319" s="3" t="s">
        <v>324</v>
      </c>
      <c r="F319" s="2" t="s">
        <v>44</v>
      </c>
      <c r="G319" s="19">
        <v>30700</v>
      </c>
      <c r="H319" s="4"/>
    </row>
    <row r="320" spans="4:8">
      <c r="D320" s="5">
        <v>29</v>
      </c>
      <c r="E320" s="3" t="s">
        <v>325</v>
      </c>
      <c r="F320" s="2" t="s">
        <v>44</v>
      </c>
      <c r="G320" s="19">
        <v>48100</v>
      </c>
      <c r="H320" s="4"/>
    </row>
    <row r="321" spans="4:8">
      <c r="D321" s="5">
        <v>30</v>
      </c>
      <c r="E321" s="3" t="s">
        <v>326</v>
      </c>
      <c r="F321" s="2" t="s">
        <v>44</v>
      </c>
      <c r="G321" s="19">
        <v>5300</v>
      </c>
      <c r="H321" s="4"/>
    </row>
    <row r="322" spans="4:8">
      <c r="D322" s="5">
        <v>31</v>
      </c>
      <c r="E322" s="3" t="s">
        <v>327</v>
      </c>
      <c r="F322" s="2" t="s">
        <v>133</v>
      </c>
      <c r="G322" s="19">
        <v>78500</v>
      </c>
      <c r="H322" s="4"/>
    </row>
    <row r="323" spans="4:8">
      <c r="D323" s="5">
        <v>32</v>
      </c>
      <c r="E323" s="3" t="s">
        <v>328</v>
      </c>
      <c r="F323" s="2" t="s">
        <v>133</v>
      </c>
      <c r="G323" s="19">
        <v>68500</v>
      </c>
      <c r="H323" s="4"/>
    </row>
    <row r="324" spans="4:8">
      <c r="D324" s="5">
        <v>33</v>
      </c>
      <c r="E324" s="3" t="s">
        <v>329</v>
      </c>
      <c r="F324" s="2" t="s">
        <v>44</v>
      </c>
      <c r="G324" s="19">
        <v>89700</v>
      </c>
      <c r="H324" s="4"/>
    </row>
    <row r="325" spans="4:8">
      <c r="D325" s="5">
        <v>34</v>
      </c>
      <c r="E325" s="3" t="s">
        <v>330</v>
      </c>
      <c r="F325" s="2" t="s">
        <v>44</v>
      </c>
      <c r="G325" s="19">
        <v>122300</v>
      </c>
      <c r="H325" s="4"/>
    </row>
    <row r="326" spans="4:8">
      <c r="D326" s="5">
        <v>35</v>
      </c>
      <c r="E326" s="3" t="s">
        <v>331</v>
      </c>
      <c r="F326" s="2" t="s">
        <v>44</v>
      </c>
      <c r="G326" s="19">
        <v>162500</v>
      </c>
      <c r="H326" s="4"/>
    </row>
    <row r="327" spans="4:8">
      <c r="D327" s="5">
        <v>36</v>
      </c>
      <c r="E327" s="3" t="s">
        <v>332</v>
      </c>
      <c r="F327" s="2" t="s">
        <v>133</v>
      </c>
      <c r="G327" s="19">
        <v>59600</v>
      </c>
      <c r="H327" s="4"/>
    </row>
    <row r="328" spans="4:8">
      <c r="D328" s="5">
        <v>37</v>
      </c>
      <c r="E328" s="3" t="s">
        <v>333</v>
      </c>
      <c r="F328" s="2" t="s">
        <v>107</v>
      </c>
      <c r="G328" s="19">
        <v>145000</v>
      </c>
      <c r="H328" s="4"/>
    </row>
    <row r="329" spans="4:8">
      <c r="D329" s="5">
        <v>38</v>
      </c>
      <c r="E329" s="3" t="s">
        <v>334</v>
      </c>
      <c r="F329" s="2" t="s">
        <v>133</v>
      </c>
      <c r="G329" s="19">
        <v>61200</v>
      </c>
      <c r="H329" s="4"/>
    </row>
    <row r="330" spans="4:8">
      <c r="D330" s="5">
        <v>39</v>
      </c>
      <c r="E330" s="3" t="s">
        <v>335</v>
      </c>
      <c r="F330" s="2" t="s">
        <v>44</v>
      </c>
      <c r="G330" s="19">
        <v>149700</v>
      </c>
      <c r="H330" s="4"/>
    </row>
    <row r="331" spans="4:8">
      <c r="D331" s="5">
        <v>40</v>
      </c>
      <c r="E331" s="3" t="s">
        <v>336</v>
      </c>
      <c r="F331" s="2" t="s">
        <v>44</v>
      </c>
      <c r="G331" s="19">
        <v>6800</v>
      </c>
      <c r="H331" s="4"/>
    </row>
    <row r="332" spans="4:8">
      <c r="D332" s="5">
        <v>41</v>
      </c>
      <c r="E332" s="3" t="s">
        <v>337</v>
      </c>
      <c r="F332" s="2" t="s">
        <v>44</v>
      </c>
      <c r="G332" s="19">
        <v>9800</v>
      </c>
      <c r="H332" s="4"/>
    </row>
    <row r="333" spans="4:8">
      <c r="D333" s="5">
        <v>42</v>
      </c>
      <c r="E333" s="3" t="s">
        <v>338</v>
      </c>
      <c r="F333" s="2" t="s">
        <v>44</v>
      </c>
      <c r="G333" s="19">
        <v>3400</v>
      </c>
      <c r="H333" s="4"/>
    </row>
    <row r="334" spans="4:8">
      <c r="D334" s="5">
        <v>43</v>
      </c>
      <c r="E334" s="3" t="s">
        <v>339</v>
      </c>
      <c r="F334" s="2" t="s">
        <v>44</v>
      </c>
      <c r="G334" s="19">
        <v>5800</v>
      </c>
      <c r="H334" s="4"/>
    </row>
    <row r="335" spans="4:8">
      <c r="D335" s="5">
        <v>44</v>
      </c>
      <c r="E335" s="3" t="s">
        <v>340</v>
      </c>
      <c r="F335" s="2" t="s">
        <v>133</v>
      </c>
      <c r="G335" s="19">
        <v>50700</v>
      </c>
      <c r="H335" s="4"/>
    </row>
    <row r="336" spans="4:8">
      <c r="D336" s="5">
        <v>45</v>
      </c>
      <c r="E336" s="3" t="s">
        <v>341</v>
      </c>
      <c r="F336" s="2" t="s">
        <v>133</v>
      </c>
      <c r="G336" s="19">
        <v>30500</v>
      </c>
      <c r="H336" s="4"/>
    </row>
    <row r="337" spans="4:8">
      <c r="D337" s="5">
        <v>46</v>
      </c>
      <c r="E337" s="3" t="s">
        <v>342</v>
      </c>
      <c r="F337" s="2" t="s">
        <v>44</v>
      </c>
      <c r="G337" s="19">
        <v>2800</v>
      </c>
      <c r="H337" s="4"/>
    </row>
    <row r="338" spans="4:8">
      <c r="D338" s="5">
        <v>47</v>
      </c>
      <c r="E338" s="3" t="s">
        <v>343</v>
      </c>
      <c r="F338" s="2" t="s">
        <v>44</v>
      </c>
      <c r="G338" s="19">
        <v>5300</v>
      </c>
      <c r="H338" s="4" t="s">
        <v>344</v>
      </c>
    </row>
    <row r="339" spans="4:8">
      <c r="D339" s="5">
        <v>48</v>
      </c>
      <c r="E339" s="3" t="s">
        <v>345</v>
      </c>
      <c r="F339" s="2" t="s">
        <v>44</v>
      </c>
      <c r="G339" s="19">
        <v>56200</v>
      </c>
      <c r="H339" s="4"/>
    </row>
    <row r="340" spans="4:8">
      <c r="D340" s="5">
        <v>49</v>
      </c>
      <c r="E340" s="3" t="s">
        <v>346</v>
      </c>
      <c r="F340" s="2" t="s">
        <v>44</v>
      </c>
      <c r="G340" s="19">
        <v>54500</v>
      </c>
      <c r="H340" s="4"/>
    </row>
    <row r="341" spans="4:8">
      <c r="D341" s="5">
        <v>50</v>
      </c>
      <c r="E341" s="3" t="s">
        <v>347</v>
      </c>
      <c r="F341" s="2" t="s">
        <v>44</v>
      </c>
      <c r="G341" s="19">
        <v>95000</v>
      </c>
      <c r="H341" s="4"/>
    </row>
    <row r="342" spans="4:8">
      <c r="D342" s="5">
        <v>51</v>
      </c>
      <c r="E342" s="3" t="s">
        <v>348</v>
      </c>
      <c r="F342" s="2" t="s">
        <v>44</v>
      </c>
      <c r="G342" s="19">
        <v>9600</v>
      </c>
      <c r="H342" s="4"/>
    </row>
    <row r="343" spans="4:8">
      <c r="D343" s="5">
        <v>52</v>
      </c>
      <c r="E343" s="3" t="s">
        <v>349</v>
      </c>
      <c r="F343" s="2" t="s">
        <v>44</v>
      </c>
      <c r="G343" s="19">
        <v>25600</v>
      </c>
      <c r="H343" s="4"/>
    </row>
    <row r="344" spans="4:8">
      <c r="D344" s="5">
        <v>53</v>
      </c>
      <c r="E344" s="3" t="s">
        <v>350</v>
      </c>
      <c r="F344" s="2" t="s">
        <v>133</v>
      </c>
      <c r="G344" s="19">
        <v>70000</v>
      </c>
      <c r="H344" s="4"/>
    </row>
    <row r="345" spans="4:8">
      <c r="D345" s="5">
        <v>54</v>
      </c>
      <c r="E345" s="3" t="s">
        <v>351</v>
      </c>
      <c r="F345" s="2" t="s">
        <v>133</v>
      </c>
      <c r="G345" s="19">
        <v>75000</v>
      </c>
      <c r="H345" s="4"/>
    </row>
    <row r="346" spans="4:8">
      <c r="D346" s="5">
        <v>55</v>
      </c>
      <c r="E346" s="3" t="s">
        <v>352</v>
      </c>
      <c r="F346" s="2" t="s">
        <v>133</v>
      </c>
      <c r="G346" s="19">
        <v>65000</v>
      </c>
      <c r="H346" s="4"/>
    </row>
    <row r="347" spans="4:8">
      <c r="D347" s="5">
        <v>56</v>
      </c>
      <c r="E347" s="3" t="s">
        <v>353</v>
      </c>
      <c r="F347" s="2" t="s">
        <v>133</v>
      </c>
      <c r="G347" s="19">
        <v>75000</v>
      </c>
      <c r="H347" s="4"/>
    </row>
    <row r="348" spans="4:8">
      <c r="D348" s="5">
        <v>57</v>
      </c>
      <c r="E348" s="3" t="s">
        <v>354</v>
      </c>
      <c r="F348" s="2" t="s">
        <v>133</v>
      </c>
      <c r="G348" s="19">
        <v>80000</v>
      </c>
      <c r="H348" s="4"/>
    </row>
    <row r="349" spans="4:8">
      <c r="D349" s="5">
        <v>58</v>
      </c>
      <c r="E349" s="3" t="s">
        <v>355</v>
      </c>
      <c r="F349" s="2" t="s">
        <v>133</v>
      </c>
      <c r="G349" s="19">
        <v>70000</v>
      </c>
      <c r="H349" s="4"/>
    </row>
    <row r="350" spans="4:8">
      <c r="D350" s="5">
        <v>59</v>
      </c>
      <c r="E350" s="3" t="s">
        <v>356</v>
      </c>
      <c r="F350" s="2" t="s">
        <v>133</v>
      </c>
      <c r="G350" s="19">
        <v>67000</v>
      </c>
      <c r="H350" s="4"/>
    </row>
    <row r="351" spans="4:8">
      <c r="D351" s="5">
        <v>60</v>
      </c>
      <c r="E351" s="3" t="s">
        <v>357</v>
      </c>
      <c r="F351" s="2" t="s">
        <v>133</v>
      </c>
      <c r="G351" s="19">
        <v>70000</v>
      </c>
      <c r="H351" s="4"/>
    </row>
    <row r="352" spans="4:8">
      <c r="D352" s="5">
        <v>61</v>
      </c>
      <c r="E352" s="3" t="s">
        <v>358</v>
      </c>
      <c r="F352" s="2" t="s">
        <v>133</v>
      </c>
      <c r="G352" s="19">
        <v>80000</v>
      </c>
      <c r="H352" s="4"/>
    </row>
    <row r="353" spans="4:8">
      <c r="D353" s="5">
        <v>62</v>
      </c>
      <c r="E353" s="3" t="s">
        <v>359</v>
      </c>
      <c r="F353" s="2" t="s">
        <v>133</v>
      </c>
      <c r="G353" s="19">
        <v>60000</v>
      </c>
      <c r="H353" s="4"/>
    </row>
    <row r="354" spans="4:8">
      <c r="D354" s="5">
        <v>63</v>
      </c>
      <c r="E354" s="3" t="s">
        <v>360</v>
      </c>
      <c r="F354" s="2" t="s">
        <v>107</v>
      </c>
      <c r="G354" s="19">
        <v>35000</v>
      </c>
      <c r="H354" s="4"/>
    </row>
    <row r="355" spans="4:8">
      <c r="D355" s="5">
        <v>64</v>
      </c>
      <c r="E355" s="3" t="s">
        <v>361</v>
      </c>
      <c r="F355" s="2" t="s">
        <v>133</v>
      </c>
      <c r="G355" s="19">
        <v>116300</v>
      </c>
      <c r="H355" s="4"/>
    </row>
    <row r="356" spans="4:8">
      <c r="D356" s="5">
        <v>65</v>
      </c>
      <c r="E356" s="3" t="s">
        <v>362</v>
      </c>
      <c r="F356" s="2" t="s">
        <v>133</v>
      </c>
      <c r="G356" s="19">
        <v>83100</v>
      </c>
      <c r="H356" s="4"/>
    </row>
    <row r="357" spans="4:8">
      <c r="D357" s="5">
        <v>66</v>
      </c>
      <c r="E357" s="3" t="s">
        <v>363</v>
      </c>
      <c r="F357" s="2" t="s">
        <v>133</v>
      </c>
      <c r="G357" s="19">
        <v>55200</v>
      </c>
      <c r="H357" s="4"/>
    </row>
    <row r="358" spans="4:8">
      <c r="D358" s="5">
        <v>67</v>
      </c>
      <c r="E358" s="3" t="s">
        <v>364</v>
      </c>
      <c r="F358" s="2" t="s">
        <v>133</v>
      </c>
      <c r="G358" s="19">
        <v>63900</v>
      </c>
      <c r="H358" s="4"/>
    </row>
    <row r="359" spans="4:8">
      <c r="D359" s="5">
        <v>68</v>
      </c>
      <c r="E359" s="3" t="s">
        <v>365</v>
      </c>
      <c r="F359" s="2" t="s">
        <v>133</v>
      </c>
      <c r="G359" s="19">
        <v>73300</v>
      </c>
      <c r="H359" s="4"/>
    </row>
    <row r="360" spans="4:8">
      <c r="D360" s="5">
        <v>69</v>
      </c>
      <c r="E360" s="3" t="s">
        <v>366</v>
      </c>
      <c r="F360" s="2" t="s">
        <v>133</v>
      </c>
      <c r="G360" s="19">
        <v>73000</v>
      </c>
      <c r="H360" s="4"/>
    </row>
    <row r="361" spans="4:8">
      <c r="D361" s="5">
        <v>70</v>
      </c>
      <c r="E361" s="3" t="s">
        <v>367</v>
      </c>
      <c r="F361" s="2" t="s">
        <v>133</v>
      </c>
      <c r="G361" s="19">
        <v>85500</v>
      </c>
      <c r="H361" s="4"/>
    </row>
    <row r="362" spans="4:8">
      <c r="D362" s="5">
        <v>71</v>
      </c>
      <c r="E362" s="3" t="s">
        <v>368</v>
      </c>
      <c r="F362" s="2" t="s">
        <v>133</v>
      </c>
      <c r="G362" s="19">
        <v>79000</v>
      </c>
      <c r="H362" s="4"/>
    </row>
    <row r="363" spans="4:8">
      <c r="D363" s="5">
        <v>72</v>
      </c>
      <c r="E363" s="3" t="s">
        <v>369</v>
      </c>
      <c r="F363" s="2" t="s">
        <v>133</v>
      </c>
      <c r="G363" s="19">
        <v>85000</v>
      </c>
      <c r="H363" s="4"/>
    </row>
    <row r="364" spans="4:8">
      <c r="D364" s="5">
        <v>73</v>
      </c>
      <c r="E364" s="3" t="s">
        <v>370</v>
      </c>
      <c r="F364" s="2" t="s">
        <v>114</v>
      </c>
      <c r="G364" s="19">
        <v>24800</v>
      </c>
      <c r="H364" s="4"/>
    </row>
    <row r="365" spans="4:8">
      <c r="D365" s="5">
        <v>74</v>
      </c>
      <c r="E365" s="3" t="s">
        <v>371</v>
      </c>
      <c r="F365" s="2" t="s">
        <v>114</v>
      </c>
      <c r="G365" s="19">
        <v>28100</v>
      </c>
      <c r="H365" s="4"/>
    </row>
    <row r="366" spans="4:8">
      <c r="D366" s="5">
        <v>75</v>
      </c>
      <c r="E366" s="3" t="s">
        <v>372</v>
      </c>
      <c r="F366" s="2" t="s">
        <v>114</v>
      </c>
      <c r="G366" s="19">
        <v>30400</v>
      </c>
      <c r="H366" s="4"/>
    </row>
    <row r="367" spans="4:8">
      <c r="D367" s="5">
        <v>76</v>
      </c>
      <c r="E367" s="3" t="s">
        <v>373</v>
      </c>
      <c r="F367" s="2" t="s">
        <v>114</v>
      </c>
      <c r="G367" s="19">
        <v>34600</v>
      </c>
      <c r="H367" s="4"/>
    </row>
    <row r="368" spans="4:8">
      <c r="D368" s="5">
        <v>77</v>
      </c>
      <c r="E368" s="3" t="s">
        <v>374</v>
      </c>
      <c r="F368" s="2" t="s">
        <v>133</v>
      </c>
      <c r="G368" s="19">
        <v>66900</v>
      </c>
      <c r="H368" s="4"/>
    </row>
    <row r="369" spans="4:8">
      <c r="D369" s="5">
        <v>78</v>
      </c>
      <c r="E369" s="3" t="s">
        <v>375</v>
      </c>
      <c r="F369" s="2" t="s">
        <v>133</v>
      </c>
      <c r="G369" s="19">
        <v>72200</v>
      </c>
      <c r="H369" s="4"/>
    </row>
    <row r="370" spans="4:8">
      <c r="D370" s="5">
        <v>79</v>
      </c>
      <c r="E370" s="3" t="s">
        <v>376</v>
      </c>
      <c r="F370" s="2" t="s">
        <v>114</v>
      </c>
      <c r="G370" s="19">
        <v>70200</v>
      </c>
      <c r="H370" s="4"/>
    </row>
    <row r="371" spans="4:8">
      <c r="D371" s="5">
        <v>80</v>
      </c>
      <c r="E371" s="3" t="s">
        <v>377</v>
      </c>
      <c r="F371" s="2" t="s">
        <v>114</v>
      </c>
      <c r="G371" s="19">
        <v>74400</v>
      </c>
      <c r="H371" s="4"/>
    </row>
    <row r="372" spans="4:8">
      <c r="D372" s="5">
        <v>81</v>
      </c>
      <c r="E372" s="3" t="s">
        <v>377</v>
      </c>
      <c r="F372" s="2" t="s">
        <v>133</v>
      </c>
      <c r="G372" s="19">
        <v>35000</v>
      </c>
      <c r="H372" s="4"/>
    </row>
    <row r="373" spans="4:8">
      <c r="D373" s="5">
        <v>82</v>
      </c>
      <c r="E373" s="3" t="s">
        <v>378</v>
      </c>
      <c r="F373" s="2" t="s">
        <v>379</v>
      </c>
      <c r="G373" s="19">
        <v>200000</v>
      </c>
      <c r="H373" s="4"/>
    </row>
    <row r="374" spans="4:8">
      <c r="D374" s="5">
        <v>83</v>
      </c>
      <c r="E374" s="3" t="s">
        <v>380</v>
      </c>
      <c r="F374" s="2" t="s">
        <v>44</v>
      </c>
      <c r="G374" s="19">
        <v>5000</v>
      </c>
      <c r="H374" s="4"/>
    </row>
    <row r="375" spans="4:8">
      <c r="D375" s="5">
        <v>84</v>
      </c>
      <c r="E375" s="3" t="s">
        <v>381</v>
      </c>
      <c r="F375" s="2" t="s">
        <v>107</v>
      </c>
      <c r="G375" s="19">
        <v>55000</v>
      </c>
      <c r="H375" s="4"/>
    </row>
    <row r="376" spans="4:8">
      <c r="D376" s="5"/>
      <c r="E376" s="36" t="s">
        <v>382</v>
      </c>
      <c r="F376" s="37"/>
      <c r="G376" s="38"/>
      <c r="H376" s="39"/>
    </row>
    <row r="377" spans="4:8">
      <c r="D377" s="5">
        <v>1</v>
      </c>
      <c r="E377" s="3" t="s">
        <v>383</v>
      </c>
      <c r="F377" s="2" t="s">
        <v>133</v>
      </c>
      <c r="G377" s="19">
        <v>17400</v>
      </c>
      <c r="H377" s="4"/>
    </row>
    <row r="378" spans="4:8">
      <c r="D378" s="5">
        <v>2</v>
      </c>
      <c r="E378" s="3" t="s">
        <v>384</v>
      </c>
      <c r="F378" s="2" t="s">
        <v>66</v>
      </c>
      <c r="G378" s="19">
        <v>5000</v>
      </c>
      <c r="H378" s="4"/>
    </row>
    <row r="379" spans="4:8">
      <c r="D379" s="5">
        <v>3</v>
      </c>
      <c r="E379" s="3" t="s">
        <v>385</v>
      </c>
      <c r="F379" s="2" t="s">
        <v>107</v>
      </c>
      <c r="G379" s="19">
        <v>18000</v>
      </c>
      <c r="H379" s="4"/>
    </row>
    <row r="380" spans="4:8">
      <c r="D380" s="5">
        <v>4</v>
      </c>
      <c r="E380" s="3" t="s">
        <v>386</v>
      </c>
      <c r="F380" s="2" t="s">
        <v>63</v>
      </c>
      <c r="G380" s="19">
        <v>80800</v>
      </c>
      <c r="H380" s="4"/>
    </row>
    <row r="381" spans="4:8">
      <c r="D381" s="5">
        <v>5</v>
      </c>
      <c r="E381" s="3" t="s">
        <v>387</v>
      </c>
      <c r="F381" s="2" t="s">
        <v>63</v>
      </c>
      <c r="G381" s="19">
        <v>99300</v>
      </c>
      <c r="H381" s="4"/>
    </row>
    <row r="382" spans="4:8">
      <c r="D382" s="5">
        <v>6</v>
      </c>
      <c r="E382" s="3" t="s">
        <v>388</v>
      </c>
      <c r="F382" s="2" t="s">
        <v>133</v>
      </c>
      <c r="G382" s="19">
        <v>93000</v>
      </c>
      <c r="H382" s="4"/>
    </row>
    <row r="383" spans="4:8">
      <c r="D383" s="5">
        <v>7</v>
      </c>
      <c r="E383" s="3" t="s">
        <v>389</v>
      </c>
      <c r="F383" s="2" t="s">
        <v>133</v>
      </c>
      <c r="G383" s="19">
        <v>70000</v>
      </c>
      <c r="H383" s="4"/>
    </row>
    <row r="384" spans="4:8">
      <c r="D384" s="5">
        <v>8</v>
      </c>
      <c r="E384" s="3" t="s">
        <v>390</v>
      </c>
      <c r="F384" s="2" t="s">
        <v>63</v>
      </c>
      <c r="G384" s="19">
        <v>180000</v>
      </c>
      <c r="H384" s="4"/>
    </row>
    <row r="385" spans="4:8">
      <c r="D385" s="5">
        <v>9</v>
      </c>
      <c r="E385" s="3" t="s">
        <v>391</v>
      </c>
      <c r="F385" s="2" t="s">
        <v>63</v>
      </c>
      <c r="G385" s="19">
        <v>200000</v>
      </c>
      <c r="H385" s="4"/>
    </row>
    <row r="386" spans="4:8">
      <c r="D386" s="5">
        <v>10</v>
      </c>
      <c r="E386" s="3" t="s">
        <v>392</v>
      </c>
      <c r="F386" s="2" t="s">
        <v>114</v>
      </c>
      <c r="G386" s="19">
        <v>15800</v>
      </c>
      <c r="H386" s="4"/>
    </row>
    <row r="387" spans="4:8">
      <c r="D387" s="5">
        <v>11</v>
      </c>
      <c r="E387" s="3" t="s">
        <v>393</v>
      </c>
      <c r="F387" s="2" t="s">
        <v>114</v>
      </c>
      <c r="G387" s="19">
        <v>21000</v>
      </c>
      <c r="H387" s="4"/>
    </row>
    <row r="388" spans="4:8">
      <c r="D388" s="5">
        <v>12</v>
      </c>
      <c r="E388" s="3" t="s">
        <v>394</v>
      </c>
      <c r="F388" s="2" t="s">
        <v>114</v>
      </c>
      <c r="G388" s="19">
        <v>23000</v>
      </c>
      <c r="H388" s="4"/>
    </row>
    <row r="389" spans="4:8">
      <c r="D389" s="5">
        <v>13</v>
      </c>
      <c r="E389" s="3" t="s">
        <v>395</v>
      </c>
      <c r="F389" s="2" t="s">
        <v>107</v>
      </c>
      <c r="G389" s="19">
        <v>34000</v>
      </c>
      <c r="H389" s="4"/>
    </row>
    <row r="390" spans="4:8">
      <c r="D390" s="5">
        <v>14</v>
      </c>
      <c r="E390" s="3" t="s">
        <v>396</v>
      </c>
      <c r="F390" s="2" t="s">
        <v>63</v>
      </c>
      <c r="G390" s="19">
        <v>45000</v>
      </c>
      <c r="H390" s="4"/>
    </row>
    <row r="391" spans="4:8">
      <c r="D391" s="5">
        <v>15</v>
      </c>
      <c r="E391" s="3" t="s">
        <v>397</v>
      </c>
      <c r="F391" s="2" t="s">
        <v>133</v>
      </c>
      <c r="G391" s="19">
        <v>62400</v>
      </c>
      <c r="H391" s="4"/>
    </row>
    <row r="392" spans="4:8">
      <c r="D392" s="5">
        <v>16</v>
      </c>
      <c r="E392" s="3" t="s">
        <v>398</v>
      </c>
      <c r="F392" s="2" t="s">
        <v>133</v>
      </c>
      <c r="G392" s="19">
        <v>69800</v>
      </c>
      <c r="H392" s="4"/>
    </row>
    <row r="393" spans="4:8">
      <c r="D393" s="5">
        <v>17</v>
      </c>
      <c r="E393" s="3" t="s">
        <v>399</v>
      </c>
      <c r="F393" s="2" t="s">
        <v>133</v>
      </c>
      <c r="G393" s="19">
        <v>6200</v>
      </c>
      <c r="H393" s="4"/>
    </row>
    <row r="394" spans="4:8">
      <c r="D394" s="5">
        <v>18</v>
      </c>
      <c r="E394" s="3" t="s">
        <v>400</v>
      </c>
      <c r="F394" s="2" t="s">
        <v>133</v>
      </c>
      <c r="G394" s="19">
        <v>13900</v>
      </c>
      <c r="H394" s="4"/>
    </row>
    <row r="395" spans="4:8">
      <c r="D395" s="5">
        <v>19</v>
      </c>
      <c r="E395" s="3" t="s">
        <v>401</v>
      </c>
      <c r="F395" s="2" t="s">
        <v>133</v>
      </c>
      <c r="G395" s="19">
        <v>24000</v>
      </c>
      <c r="H395" s="4"/>
    </row>
    <row r="396" spans="4:8">
      <c r="D396" s="5"/>
      <c r="E396" s="36" t="s">
        <v>402</v>
      </c>
      <c r="F396" s="37"/>
      <c r="G396" s="38"/>
      <c r="H396" s="39"/>
    </row>
    <row r="397" spans="4:8">
      <c r="D397" s="5">
        <v>1</v>
      </c>
      <c r="E397" s="3" t="s">
        <v>403</v>
      </c>
      <c r="F397" s="2" t="s">
        <v>114</v>
      </c>
      <c r="G397" s="19">
        <v>125000</v>
      </c>
      <c r="H397" s="4"/>
    </row>
    <row r="398" spans="4:8">
      <c r="D398" s="5">
        <v>2</v>
      </c>
      <c r="E398" s="3" t="s">
        <v>404</v>
      </c>
      <c r="F398" s="2" t="s">
        <v>44</v>
      </c>
      <c r="G398" s="19">
        <v>2500</v>
      </c>
      <c r="H398" s="4"/>
    </row>
    <row r="399" spans="4:8">
      <c r="D399" s="5">
        <v>3</v>
      </c>
      <c r="E399" s="3" t="s">
        <v>405</v>
      </c>
      <c r="F399" s="2" t="s">
        <v>44</v>
      </c>
      <c r="G399" s="19">
        <v>3000</v>
      </c>
      <c r="H399" s="4"/>
    </row>
    <row r="400" spans="4:8">
      <c r="D400" s="5">
        <v>4</v>
      </c>
      <c r="E400" s="3" t="s">
        <v>406</v>
      </c>
      <c r="F400" s="2" t="s">
        <v>63</v>
      </c>
      <c r="G400" s="19">
        <v>165000</v>
      </c>
      <c r="H400" s="4"/>
    </row>
    <row r="401" spans="4:8">
      <c r="D401" s="5">
        <v>5</v>
      </c>
      <c r="E401" s="3" t="s">
        <v>407</v>
      </c>
      <c r="F401" s="2" t="s">
        <v>63</v>
      </c>
      <c r="G401" s="19">
        <v>265000</v>
      </c>
      <c r="H401" s="4"/>
    </row>
    <row r="402" spans="4:8">
      <c r="D402" s="5">
        <v>6</v>
      </c>
      <c r="E402" s="3" t="s">
        <v>64</v>
      </c>
      <c r="F402" s="2" t="s">
        <v>63</v>
      </c>
      <c r="G402" s="19">
        <v>125000</v>
      </c>
      <c r="H402" s="4"/>
    </row>
    <row r="403" spans="4:8">
      <c r="D403" s="5">
        <v>7</v>
      </c>
      <c r="E403" s="3" t="s">
        <v>408</v>
      </c>
      <c r="F403" s="2" t="s">
        <v>63</v>
      </c>
      <c r="G403" s="19">
        <v>131600</v>
      </c>
      <c r="H403" s="4"/>
    </row>
    <row r="404" spans="4:8">
      <c r="D404" s="5">
        <v>8</v>
      </c>
      <c r="E404" s="3" t="s">
        <v>74</v>
      </c>
      <c r="F404" s="2" t="s">
        <v>63</v>
      </c>
      <c r="G404" s="19">
        <v>121600</v>
      </c>
      <c r="H404" s="4"/>
    </row>
    <row r="405" spans="4:8">
      <c r="D405" s="5">
        <v>9</v>
      </c>
      <c r="E405" s="3" t="s">
        <v>409</v>
      </c>
      <c r="F405" s="2" t="s">
        <v>66</v>
      </c>
      <c r="G405" s="19">
        <v>5000</v>
      </c>
      <c r="H405" s="4"/>
    </row>
    <row r="406" spans="4:8">
      <c r="D406" s="5">
        <v>10</v>
      </c>
      <c r="E406" s="3" t="s">
        <v>410</v>
      </c>
      <c r="F406" s="2" t="s">
        <v>63</v>
      </c>
      <c r="G406" s="19">
        <v>195000</v>
      </c>
      <c r="H406" s="4"/>
    </row>
    <row r="407" spans="4:8">
      <c r="D407" s="5">
        <v>11</v>
      </c>
      <c r="E407" s="3" t="s">
        <v>411</v>
      </c>
      <c r="F407" s="2" t="s">
        <v>63</v>
      </c>
      <c r="G407" s="19">
        <v>420000</v>
      </c>
      <c r="H407" s="4"/>
    </row>
    <row r="408" spans="4:8">
      <c r="D408" s="5">
        <v>12</v>
      </c>
      <c r="E408" s="3" t="s">
        <v>412</v>
      </c>
      <c r="F408" s="2" t="s">
        <v>63</v>
      </c>
      <c r="G408" s="19">
        <v>420000</v>
      </c>
      <c r="H408" s="4"/>
    </row>
    <row r="409" spans="4:8">
      <c r="D409" s="5">
        <v>13</v>
      </c>
      <c r="E409" s="3" t="s">
        <v>413</v>
      </c>
      <c r="F409" s="2" t="s">
        <v>63</v>
      </c>
      <c r="G409" s="19">
        <v>275000</v>
      </c>
      <c r="H409" s="4"/>
    </row>
    <row r="410" spans="4:8">
      <c r="D410" s="5">
        <v>14</v>
      </c>
      <c r="E410" s="3" t="s">
        <v>414</v>
      </c>
      <c r="F410" s="2" t="s">
        <v>63</v>
      </c>
      <c r="G410" s="19">
        <v>315000</v>
      </c>
      <c r="H410" s="4"/>
    </row>
    <row r="411" spans="4:8">
      <c r="D411" s="5">
        <v>15</v>
      </c>
      <c r="E411" s="3" t="s">
        <v>415</v>
      </c>
      <c r="F411" s="2" t="s">
        <v>63</v>
      </c>
      <c r="G411" s="19">
        <v>220100</v>
      </c>
      <c r="H411" s="4"/>
    </row>
    <row r="412" spans="4:8">
      <c r="D412" s="5">
        <v>16</v>
      </c>
      <c r="E412" s="3" t="s">
        <v>416</v>
      </c>
      <c r="F412" s="2" t="s">
        <v>44</v>
      </c>
      <c r="G412" s="19">
        <v>27700</v>
      </c>
      <c r="H412" s="4"/>
    </row>
    <row r="413" spans="4:8">
      <c r="D413" s="5">
        <v>17</v>
      </c>
      <c r="E413" s="3" t="s">
        <v>417</v>
      </c>
      <c r="F413" s="2" t="s">
        <v>44</v>
      </c>
      <c r="G413" s="19">
        <v>39200</v>
      </c>
      <c r="H413" s="4"/>
    </row>
    <row r="414" spans="4:8">
      <c r="D414" s="5">
        <v>18</v>
      </c>
      <c r="E414" s="3" t="s">
        <v>418</v>
      </c>
      <c r="F414" s="2" t="s">
        <v>44</v>
      </c>
      <c r="G414" s="19">
        <v>92800</v>
      </c>
      <c r="H414" s="4"/>
    </row>
    <row r="415" spans="4:8">
      <c r="D415" s="5">
        <v>19</v>
      </c>
      <c r="E415" s="3" t="s">
        <v>419</v>
      </c>
      <c r="F415" s="2" t="s">
        <v>63</v>
      </c>
      <c r="G415" s="19">
        <v>326400</v>
      </c>
      <c r="H415" s="4"/>
    </row>
    <row r="416" spans="4:8">
      <c r="D416" s="5">
        <v>20</v>
      </c>
      <c r="E416" s="3" t="s">
        <v>420</v>
      </c>
      <c r="F416" s="2" t="s">
        <v>63</v>
      </c>
      <c r="G416" s="19">
        <v>242500</v>
      </c>
      <c r="H416" s="4"/>
    </row>
    <row r="417" spans="4:8">
      <c r="D417" s="5">
        <v>21</v>
      </c>
      <c r="E417" s="3" t="s">
        <v>421</v>
      </c>
      <c r="F417" s="2" t="s">
        <v>63</v>
      </c>
      <c r="G417" s="19">
        <v>330600</v>
      </c>
      <c r="H417" s="4"/>
    </row>
    <row r="418" spans="4:8">
      <c r="D418" s="5">
        <v>22</v>
      </c>
      <c r="E418" s="3" t="s">
        <v>422</v>
      </c>
      <c r="F418" s="2" t="s">
        <v>44</v>
      </c>
      <c r="G418" s="19">
        <v>20000</v>
      </c>
      <c r="H418" s="4"/>
    </row>
    <row r="419" spans="4:8">
      <c r="D419" s="5">
        <v>23</v>
      </c>
      <c r="E419" s="3" t="s">
        <v>423</v>
      </c>
      <c r="F419" s="2" t="s">
        <v>44</v>
      </c>
      <c r="G419" s="19">
        <v>30000</v>
      </c>
      <c r="H419" s="4"/>
    </row>
    <row r="420" spans="4:8">
      <c r="D420" s="5">
        <v>24</v>
      </c>
      <c r="E420" s="3" t="s">
        <v>424</v>
      </c>
      <c r="F420" s="2" t="s">
        <v>44</v>
      </c>
      <c r="G420" s="19">
        <v>50000</v>
      </c>
      <c r="H420" s="4"/>
    </row>
    <row r="421" spans="4:8">
      <c r="D421" s="5">
        <v>25</v>
      </c>
      <c r="E421" s="3" t="s">
        <v>425</v>
      </c>
      <c r="F421" s="2" t="s">
        <v>44</v>
      </c>
      <c r="G421" s="19">
        <v>22000</v>
      </c>
      <c r="H421" s="4"/>
    </row>
    <row r="422" spans="4:8">
      <c r="D422" s="5">
        <v>26</v>
      </c>
      <c r="E422" s="3" t="s">
        <v>426</v>
      </c>
      <c r="F422" s="2" t="s">
        <v>44</v>
      </c>
      <c r="G422" s="19">
        <v>30000</v>
      </c>
      <c r="H422" s="4"/>
    </row>
    <row r="423" spans="4:8">
      <c r="D423" s="5">
        <v>27</v>
      </c>
      <c r="E423" s="3" t="s">
        <v>427</v>
      </c>
      <c r="F423" s="2" t="s">
        <v>44</v>
      </c>
      <c r="G423" s="19">
        <v>35000</v>
      </c>
      <c r="H423" s="4"/>
    </row>
    <row r="424" spans="4:8">
      <c r="D424" s="5">
        <v>28</v>
      </c>
      <c r="E424" s="3" t="s">
        <v>428</v>
      </c>
      <c r="F424" s="2" t="s">
        <v>63</v>
      </c>
      <c r="G424" s="19">
        <v>45000</v>
      </c>
      <c r="H424" s="4"/>
    </row>
    <row r="425" spans="4:8">
      <c r="D425" s="5">
        <v>29</v>
      </c>
      <c r="E425" s="3" t="s">
        <v>429</v>
      </c>
      <c r="F425" s="2" t="s">
        <v>44</v>
      </c>
      <c r="G425" s="19">
        <v>2400</v>
      </c>
      <c r="H425" s="4"/>
    </row>
    <row r="426" spans="4:8">
      <c r="D426" s="5">
        <v>30</v>
      </c>
      <c r="E426" s="3" t="s">
        <v>430</v>
      </c>
      <c r="F426" s="2" t="s">
        <v>44</v>
      </c>
      <c r="G426" s="19">
        <v>2300</v>
      </c>
      <c r="H426" s="4"/>
    </row>
    <row r="427" spans="4:8">
      <c r="D427" s="5">
        <v>31</v>
      </c>
      <c r="E427" s="3" t="s">
        <v>431</v>
      </c>
      <c r="F427" s="2" t="s">
        <v>44</v>
      </c>
      <c r="G427" s="19">
        <v>2200</v>
      </c>
      <c r="H427" s="4"/>
    </row>
    <row r="428" spans="4:8">
      <c r="D428" s="5">
        <v>32</v>
      </c>
      <c r="E428" s="3" t="s">
        <v>432</v>
      </c>
      <c r="F428" s="2" t="s">
        <v>44</v>
      </c>
      <c r="G428" s="19">
        <v>3100</v>
      </c>
      <c r="H428" s="4"/>
    </row>
    <row r="429" spans="4:8">
      <c r="D429" s="5">
        <v>33</v>
      </c>
      <c r="E429" s="3" t="s">
        <v>433</v>
      </c>
      <c r="F429" s="2" t="s">
        <v>44</v>
      </c>
      <c r="G429" s="19">
        <v>4000</v>
      </c>
      <c r="H429" s="4"/>
    </row>
    <row r="430" spans="4:8">
      <c r="D430" s="5">
        <v>34</v>
      </c>
      <c r="E430" s="3" t="s">
        <v>434</v>
      </c>
      <c r="F430" s="2" t="s">
        <v>44</v>
      </c>
      <c r="G430" s="19">
        <v>8100</v>
      </c>
      <c r="H430" s="4"/>
    </row>
    <row r="431" spans="4:8">
      <c r="D431" s="5">
        <v>35</v>
      </c>
      <c r="E431" s="3" t="s">
        <v>435</v>
      </c>
      <c r="F431" s="2" t="s">
        <v>44</v>
      </c>
      <c r="G431" s="19">
        <v>12000</v>
      </c>
      <c r="H431" s="4"/>
    </row>
    <row r="432" spans="4:8">
      <c r="D432" s="5">
        <v>36</v>
      </c>
      <c r="E432" s="3" t="s">
        <v>436</v>
      </c>
      <c r="F432" s="2" t="s">
        <v>44</v>
      </c>
      <c r="G432" s="19">
        <v>1500</v>
      </c>
      <c r="H432" s="4"/>
    </row>
    <row r="433" spans="4:8">
      <c r="D433" s="5">
        <v>37</v>
      </c>
      <c r="E433" s="3" t="s">
        <v>437</v>
      </c>
      <c r="F433" s="2" t="s">
        <v>44</v>
      </c>
      <c r="G433" s="19">
        <v>2000</v>
      </c>
      <c r="H433" s="4"/>
    </row>
    <row r="434" spans="4:8">
      <c r="D434" s="5">
        <v>38</v>
      </c>
      <c r="E434" s="3" t="s">
        <v>438</v>
      </c>
      <c r="F434" s="2" t="s">
        <v>44</v>
      </c>
      <c r="G434" s="19">
        <v>3000</v>
      </c>
      <c r="H434" s="4"/>
    </row>
    <row r="435" spans="4:8">
      <c r="D435" s="5">
        <v>39</v>
      </c>
      <c r="E435" s="3" t="s">
        <v>439</v>
      </c>
      <c r="F435" s="2" t="s">
        <v>44</v>
      </c>
      <c r="G435" s="19">
        <v>4000</v>
      </c>
      <c r="H435" s="4"/>
    </row>
    <row r="436" spans="4:8">
      <c r="D436" s="5">
        <v>40</v>
      </c>
      <c r="E436" s="3" t="s">
        <v>440</v>
      </c>
      <c r="F436" s="2" t="s">
        <v>44</v>
      </c>
      <c r="G436" s="19">
        <v>1000</v>
      </c>
      <c r="H436" s="4"/>
    </row>
    <row r="437" spans="4:8">
      <c r="D437" s="5">
        <v>41</v>
      </c>
      <c r="E437" s="3" t="s">
        <v>441</v>
      </c>
      <c r="F437" s="2" t="s">
        <v>44</v>
      </c>
      <c r="G437" s="19">
        <v>27500</v>
      </c>
      <c r="H437" s="4"/>
    </row>
    <row r="438" spans="4:8">
      <c r="D438" s="5">
        <v>42</v>
      </c>
      <c r="E438" s="3" t="s">
        <v>442</v>
      </c>
      <c r="F438" s="2" t="s">
        <v>44</v>
      </c>
      <c r="G438" s="19">
        <v>2000</v>
      </c>
      <c r="H438" s="4"/>
    </row>
    <row r="439" spans="4:8">
      <c r="D439" s="5">
        <v>43</v>
      </c>
      <c r="E439" s="3" t="s">
        <v>443</v>
      </c>
      <c r="F439" s="2" t="s">
        <v>44</v>
      </c>
      <c r="G439" s="19">
        <v>3000</v>
      </c>
      <c r="H439" s="4"/>
    </row>
    <row r="440" spans="4:8">
      <c r="D440" s="5">
        <v>44</v>
      </c>
      <c r="E440" s="3" t="s">
        <v>444</v>
      </c>
      <c r="F440" s="2" t="s">
        <v>44</v>
      </c>
      <c r="G440" s="19">
        <v>2500</v>
      </c>
      <c r="H440" s="4"/>
    </row>
    <row r="441" spans="4:8">
      <c r="D441" s="5">
        <v>45</v>
      </c>
      <c r="E441" s="3" t="s">
        <v>445</v>
      </c>
      <c r="F441" s="2" t="s">
        <v>44</v>
      </c>
      <c r="G441" s="19">
        <v>2000</v>
      </c>
      <c r="H441" s="4"/>
    </row>
    <row r="442" spans="4:8">
      <c r="D442" s="5">
        <v>46</v>
      </c>
      <c r="E442" s="3" t="s">
        <v>446</v>
      </c>
      <c r="F442" s="2" t="s">
        <v>63</v>
      </c>
      <c r="G442" s="19">
        <v>190000</v>
      </c>
      <c r="H442" s="4"/>
    </row>
    <row r="443" spans="4:8">
      <c r="D443" s="5">
        <v>47</v>
      </c>
      <c r="E443" s="3" t="s">
        <v>447</v>
      </c>
      <c r="F443" s="2" t="s">
        <v>63</v>
      </c>
      <c r="G443" s="19">
        <v>200000</v>
      </c>
      <c r="H443" s="4"/>
    </row>
    <row r="444" spans="4:8">
      <c r="D444" s="5">
        <v>48</v>
      </c>
      <c r="E444" s="3" t="s">
        <v>448</v>
      </c>
      <c r="F444" s="2" t="s">
        <v>63</v>
      </c>
      <c r="G444" s="19">
        <v>200000</v>
      </c>
      <c r="H444" s="4"/>
    </row>
    <row r="445" spans="4:8">
      <c r="D445" s="5">
        <v>49</v>
      </c>
      <c r="E445" s="3" t="s">
        <v>449</v>
      </c>
      <c r="F445" s="2" t="s">
        <v>63</v>
      </c>
      <c r="G445" s="19">
        <v>175000</v>
      </c>
      <c r="H445" s="4"/>
    </row>
    <row r="446" spans="4:8">
      <c r="D446" s="5">
        <v>50</v>
      </c>
      <c r="E446" s="3" t="s">
        <v>450</v>
      </c>
      <c r="F446" s="2" t="s">
        <v>63</v>
      </c>
      <c r="G446" s="19">
        <v>222000</v>
      </c>
      <c r="H446" s="4"/>
    </row>
    <row r="447" spans="4:8">
      <c r="D447" s="5">
        <v>51</v>
      </c>
      <c r="E447" s="3" t="s">
        <v>451</v>
      </c>
      <c r="F447" s="2" t="s">
        <v>63</v>
      </c>
      <c r="G447" s="19">
        <v>250000</v>
      </c>
      <c r="H447" s="4"/>
    </row>
    <row r="448" spans="4:8">
      <c r="D448" s="5">
        <v>52</v>
      </c>
      <c r="E448" s="3" t="s">
        <v>452</v>
      </c>
      <c r="F448" s="2" t="s">
        <v>63</v>
      </c>
      <c r="G448" s="19">
        <v>280000</v>
      </c>
      <c r="H448" s="4"/>
    </row>
    <row r="449" spans="4:8">
      <c r="D449" s="5">
        <v>53</v>
      </c>
      <c r="E449" s="3" t="s">
        <v>453</v>
      </c>
      <c r="F449" s="2" t="s">
        <v>63</v>
      </c>
      <c r="G449" s="19">
        <v>160000</v>
      </c>
      <c r="H449" s="4"/>
    </row>
    <row r="450" spans="4:8">
      <c r="D450" s="5">
        <v>54</v>
      </c>
      <c r="E450" s="3" t="s">
        <v>454</v>
      </c>
      <c r="F450" s="2" t="s">
        <v>63</v>
      </c>
      <c r="G450" s="19">
        <v>195000</v>
      </c>
      <c r="H450" s="4"/>
    </row>
    <row r="451" spans="4:8">
      <c r="D451" s="5">
        <v>55</v>
      </c>
      <c r="E451" s="3" t="s">
        <v>455</v>
      </c>
      <c r="F451" s="2" t="s">
        <v>63</v>
      </c>
      <c r="G451" s="19">
        <v>210000</v>
      </c>
      <c r="H451" s="4"/>
    </row>
    <row r="452" spans="4:8">
      <c r="D452" s="5">
        <v>56</v>
      </c>
      <c r="E452" s="3" t="s">
        <v>456</v>
      </c>
      <c r="F452" s="2" t="s">
        <v>63</v>
      </c>
      <c r="G452" s="19">
        <v>250000</v>
      </c>
      <c r="H452" s="4"/>
    </row>
    <row r="453" spans="4:8">
      <c r="D453" s="5">
        <v>57</v>
      </c>
      <c r="E453" s="3" t="s">
        <v>457</v>
      </c>
      <c r="F453" s="2" t="s">
        <v>63</v>
      </c>
      <c r="G453" s="19">
        <v>140000</v>
      </c>
      <c r="H453" s="4"/>
    </row>
    <row r="454" spans="4:8">
      <c r="D454" s="5">
        <v>58</v>
      </c>
      <c r="E454" s="3" t="s">
        <v>458</v>
      </c>
      <c r="F454" s="2" t="s">
        <v>63</v>
      </c>
      <c r="G454" s="19">
        <v>150000</v>
      </c>
      <c r="H454" s="4"/>
    </row>
    <row r="455" spans="4:8">
      <c r="D455" s="5">
        <v>59</v>
      </c>
      <c r="E455" s="3" t="s">
        <v>459</v>
      </c>
      <c r="F455" s="2" t="s">
        <v>63</v>
      </c>
      <c r="G455" s="19">
        <v>160000</v>
      </c>
      <c r="H455" s="4"/>
    </row>
    <row r="456" spans="4:8">
      <c r="D456" s="5">
        <v>60</v>
      </c>
      <c r="E456" s="3" t="s">
        <v>460</v>
      </c>
      <c r="F456" s="2" t="s">
        <v>66</v>
      </c>
      <c r="G456" s="19">
        <v>60000</v>
      </c>
      <c r="H456" s="4"/>
    </row>
    <row r="457" spans="4:8">
      <c r="D457" s="5">
        <v>61</v>
      </c>
      <c r="E457" s="3" t="s">
        <v>461</v>
      </c>
      <c r="F457" s="2" t="s">
        <v>44</v>
      </c>
      <c r="G457" s="19">
        <v>800000</v>
      </c>
      <c r="H457" s="4"/>
    </row>
    <row r="458" spans="4:8">
      <c r="D458" s="5">
        <v>62</v>
      </c>
      <c r="E458" s="3" t="s">
        <v>461</v>
      </c>
      <c r="F458" s="2" t="s">
        <v>63</v>
      </c>
      <c r="G458" s="19">
        <v>492600</v>
      </c>
      <c r="H458" s="4"/>
    </row>
    <row r="459" spans="4:8">
      <c r="D459" s="5">
        <v>63</v>
      </c>
      <c r="E459" s="3" t="s">
        <v>462</v>
      </c>
      <c r="F459" s="2" t="s">
        <v>63</v>
      </c>
      <c r="G459" s="19">
        <v>73400</v>
      </c>
      <c r="H459" s="4"/>
    </row>
    <row r="460" spans="4:8">
      <c r="D460" s="5">
        <v>64</v>
      </c>
      <c r="E460" s="3" t="s">
        <v>463</v>
      </c>
      <c r="F460" s="2" t="s">
        <v>63</v>
      </c>
      <c r="G460" s="19">
        <v>74400</v>
      </c>
      <c r="H460" s="4"/>
    </row>
    <row r="461" spans="4:8">
      <c r="D461" s="5">
        <v>65</v>
      </c>
      <c r="E461" s="3" t="s">
        <v>464</v>
      </c>
      <c r="F461" s="2" t="s">
        <v>63</v>
      </c>
      <c r="G461" s="19">
        <v>75400</v>
      </c>
      <c r="H461" s="4"/>
    </row>
    <row r="462" spans="4:8">
      <c r="D462" s="5">
        <v>66</v>
      </c>
      <c r="E462" s="3" t="s">
        <v>465</v>
      </c>
      <c r="F462" s="2" t="s">
        <v>63</v>
      </c>
      <c r="G462" s="19">
        <v>75400</v>
      </c>
      <c r="H462" s="4"/>
    </row>
    <row r="463" spans="4:8">
      <c r="D463" s="5">
        <v>67</v>
      </c>
      <c r="E463" s="3" t="s">
        <v>466</v>
      </c>
      <c r="F463" s="2" t="s">
        <v>63</v>
      </c>
      <c r="G463" s="19">
        <v>306600</v>
      </c>
      <c r="H463" s="4"/>
    </row>
    <row r="464" spans="4:8">
      <c r="D464" s="5">
        <v>68</v>
      </c>
      <c r="E464" s="3" t="s">
        <v>467</v>
      </c>
      <c r="F464" s="2" t="s">
        <v>44</v>
      </c>
      <c r="G464" s="19">
        <v>85000</v>
      </c>
      <c r="H464" s="4"/>
    </row>
    <row r="465" spans="4:8">
      <c r="D465" s="5">
        <v>69</v>
      </c>
      <c r="E465" s="3" t="s">
        <v>468</v>
      </c>
      <c r="F465" s="2" t="s">
        <v>44</v>
      </c>
      <c r="G465" s="19">
        <v>8200</v>
      </c>
      <c r="H465" s="4"/>
    </row>
    <row r="466" spans="4:8">
      <c r="D466" s="5">
        <v>70</v>
      </c>
      <c r="E466" s="3" t="s">
        <v>469</v>
      </c>
      <c r="F466" s="2" t="s">
        <v>44</v>
      </c>
      <c r="G466" s="19">
        <v>3400</v>
      </c>
      <c r="H466" s="4"/>
    </row>
    <row r="467" spans="4:8">
      <c r="D467" s="5">
        <v>71</v>
      </c>
      <c r="E467" s="3" t="s">
        <v>470</v>
      </c>
      <c r="F467" s="2" t="s">
        <v>44</v>
      </c>
      <c r="G467" s="19">
        <v>24000</v>
      </c>
      <c r="H467" s="4"/>
    </row>
    <row r="468" spans="4:8">
      <c r="D468" s="5">
        <v>72</v>
      </c>
      <c r="E468" s="3" t="s">
        <v>471</v>
      </c>
      <c r="F468" s="2" t="s">
        <v>44</v>
      </c>
      <c r="G468" s="19">
        <v>22600</v>
      </c>
      <c r="H468" s="4"/>
    </row>
    <row r="469" spans="4:8">
      <c r="D469" s="5">
        <v>73</v>
      </c>
      <c r="E469" s="3" t="s">
        <v>472</v>
      </c>
      <c r="F469" s="2" t="s">
        <v>44</v>
      </c>
      <c r="G469" s="19">
        <v>5000</v>
      </c>
      <c r="H469" s="4"/>
    </row>
    <row r="470" spans="4:8">
      <c r="D470" s="5">
        <v>74</v>
      </c>
      <c r="E470" s="3" t="s">
        <v>473</v>
      </c>
      <c r="F470" s="2" t="s">
        <v>44</v>
      </c>
      <c r="G470" s="19">
        <v>7000</v>
      </c>
      <c r="H470" s="4"/>
    </row>
    <row r="471" spans="4:8">
      <c r="D471" s="5">
        <v>75</v>
      </c>
      <c r="E471" s="3" t="s">
        <v>474</v>
      </c>
      <c r="F471" s="2" t="s">
        <v>44</v>
      </c>
      <c r="G471" s="19">
        <v>10000</v>
      </c>
      <c r="H471" s="4"/>
    </row>
    <row r="472" spans="4:8">
      <c r="D472" s="5">
        <v>76</v>
      </c>
      <c r="E472" s="3" t="s">
        <v>475</v>
      </c>
      <c r="F472" s="2" t="s">
        <v>44</v>
      </c>
      <c r="G472" s="19">
        <v>5000</v>
      </c>
      <c r="H472" s="4"/>
    </row>
    <row r="473" spans="4:8">
      <c r="D473" s="5">
        <v>77</v>
      </c>
      <c r="E473" s="3" t="s">
        <v>476</v>
      </c>
      <c r="F473" s="2" t="s">
        <v>44</v>
      </c>
      <c r="G473" s="19">
        <v>15300</v>
      </c>
      <c r="H473" s="4"/>
    </row>
    <row r="474" spans="4:8">
      <c r="D474" s="5">
        <v>78</v>
      </c>
      <c r="E474" s="3" t="s">
        <v>477</v>
      </c>
      <c r="F474" s="2" t="s">
        <v>44</v>
      </c>
      <c r="G474" s="19">
        <v>2000</v>
      </c>
      <c r="H474" s="4"/>
    </row>
    <row r="475" spans="4:8">
      <c r="D475" s="5">
        <v>79</v>
      </c>
      <c r="E475" s="3" t="s">
        <v>478</v>
      </c>
      <c r="F475" s="2" t="s">
        <v>44</v>
      </c>
      <c r="G475" s="19">
        <v>3000</v>
      </c>
      <c r="H475" s="4"/>
    </row>
    <row r="476" spans="4:8">
      <c r="D476" s="5">
        <v>80</v>
      </c>
      <c r="E476" s="3" t="s">
        <v>479</v>
      </c>
      <c r="F476" s="2" t="s">
        <v>44</v>
      </c>
      <c r="G476" s="19">
        <v>4000</v>
      </c>
      <c r="H476" s="4"/>
    </row>
    <row r="477" spans="4:8">
      <c r="D477" s="5">
        <v>81</v>
      </c>
      <c r="E477" s="3" t="s">
        <v>480</v>
      </c>
      <c r="F477" s="2" t="s">
        <v>44</v>
      </c>
      <c r="G477" s="19">
        <v>5000</v>
      </c>
      <c r="H477" s="4"/>
    </row>
    <row r="478" spans="4:8">
      <c r="D478" s="5">
        <v>82</v>
      </c>
      <c r="E478" s="3" t="s">
        <v>481</v>
      </c>
      <c r="F478" s="2" t="s">
        <v>44</v>
      </c>
      <c r="G478" s="19">
        <v>2000</v>
      </c>
      <c r="H478" s="4"/>
    </row>
    <row r="479" spans="4:8">
      <c r="D479" s="5">
        <v>83</v>
      </c>
      <c r="E479" s="3" t="s">
        <v>482</v>
      </c>
      <c r="F479" s="2" t="s">
        <v>44</v>
      </c>
      <c r="G479" s="19">
        <v>3000</v>
      </c>
      <c r="H479" s="4"/>
    </row>
    <row r="480" spans="4:8">
      <c r="D480" s="5">
        <v>84</v>
      </c>
      <c r="E480" s="3" t="s">
        <v>483</v>
      </c>
      <c r="F480" s="2" t="s">
        <v>44</v>
      </c>
      <c r="G480" s="19">
        <v>4000</v>
      </c>
      <c r="H480" s="4"/>
    </row>
    <row r="481" spans="4:8">
      <c r="D481" s="5">
        <v>85</v>
      </c>
      <c r="E481" s="3" t="s">
        <v>484</v>
      </c>
      <c r="F481" s="2" t="s">
        <v>44</v>
      </c>
      <c r="G481" s="19">
        <v>2500</v>
      </c>
      <c r="H481" s="4"/>
    </row>
    <row r="482" spans="4:8">
      <c r="D482" s="5">
        <v>86</v>
      </c>
      <c r="E482" s="3" t="s">
        <v>485</v>
      </c>
      <c r="F482" s="2" t="s">
        <v>44</v>
      </c>
      <c r="G482" s="19">
        <v>3000</v>
      </c>
      <c r="H482" s="4"/>
    </row>
    <row r="483" spans="4:8">
      <c r="D483" s="5">
        <v>87</v>
      </c>
      <c r="E483" s="3" t="s">
        <v>486</v>
      </c>
      <c r="F483" s="2" t="s">
        <v>44</v>
      </c>
      <c r="G483" s="19">
        <v>4000</v>
      </c>
      <c r="H483" s="4"/>
    </row>
    <row r="484" spans="4:8">
      <c r="D484" s="5">
        <v>88</v>
      </c>
      <c r="E484" s="3" t="s">
        <v>487</v>
      </c>
      <c r="F484" s="2" t="s">
        <v>44</v>
      </c>
      <c r="G484" s="19">
        <v>6000</v>
      </c>
      <c r="H484" s="4"/>
    </row>
    <row r="485" spans="4:8">
      <c r="D485" s="5">
        <v>89</v>
      </c>
      <c r="E485" s="3" t="s">
        <v>488</v>
      </c>
      <c r="F485" s="2" t="s">
        <v>44</v>
      </c>
      <c r="G485" s="19">
        <v>8000</v>
      </c>
      <c r="H485" s="4"/>
    </row>
    <row r="486" spans="4:8">
      <c r="D486" s="5">
        <v>90</v>
      </c>
      <c r="E486" s="3" t="s">
        <v>489</v>
      </c>
      <c r="F486" s="2" t="s">
        <v>44</v>
      </c>
      <c r="G486" s="19">
        <v>10000</v>
      </c>
      <c r="H486" s="4"/>
    </row>
    <row r="487" spans="4:8">
      <c r="D487" s="5">
        <v>91</v>
      </c>
      <c r="E487" s="3" t="s">
        <v>490</v>
      </c>
      <c r="F487" s="2" t="s">
        <v>44</v>
      </c>
      <c r="G487" s="19">
        <v>1000</v>
      </c>
      <c r="H487" s="4"/>
    </row>
    <row r="488" spans="4:8">
      <c r="D488" s="5">
        <v>92</v>
      </c>
      <c r="E488" s="3" t="s">
        <v>491</v>
      </c>
      <c r="F488" s="2" t="s">
        <v>44</v>
      </c>
      <c r="G488" s="19">
        <v>1500</v>
      </c>
      <c r="H488" s="4"/>
    </row>
    <row r="489" spans="4:8">
      <c r="D489" s="5">
        <v>93</v>
      </c>
      <c r="E489" s="3" t="s">
        <v>492</v>
      </c>
      <c r="F489" s="2" t="s">
        <v>44</v>
      </c>
      <c r="G489" s="19">
        <v>2000</v>
      </c>
      <c r="H489" s="4"/>
    </row>
    <row r="490" spans="4:8">
      <c r="D490" s="5">
        <v>94</v>
      </c>
      <c r="E490" s="3" t="s">
        <v>493</v>
      </c>
      <c r="F490" s="2" t="s">
        <v>44</v>
      </c>
      <c r="G490" s="19">
        <v>2500</v>
      </c>
      <c r="H490" s="4"/>
    </row>
    <row r="491" spans="4:8">
      <c r="D491" s="5">
        <v>95</v>
      </c>
      <c r="E491" s="3" t="s">
        <v>494</v>
      </c>
      <c r="F491" s="2" t="s">
        <v>44</v>
      </c>
      <c r="G491" s="19">
        <v>4000</v>
      </c>
      <c r="H491" s="4"/>
    </row>
    <row r="492" spans="4:8">
      <c r="D492" s="5">
        <v>96</v>
      </c>
      <c r="E492" s="3" t="s">
        <v>495</v>
      </c>
      <c r="F492" s="2" t="s">
        <v>44</v>
      </c>
      <c r="G492" s="19">
        <v>6000</v>
      </c>
      <c r="H492" s="4"/>
    </row>
    <row r="493" spans="4:8">
      <c r="D493" s="5">
        <v>97</v>
      </c>
      <c r="E493" s="3" t="s">
        <v>496</v>
      </c>
      <c r="F493" s="2" t="s">
        <v>44</v>
      </c>
      <c r="G493" s="19">
        <v>1500</v>
      </c>
      <c r="H493" s="4"/>
    </row>
    <row r="494" spans="4:8">
      <c r="D494" s="5">
        <v>98</v>
      </c>
      <c r="E494" s="3" t="s">
        <v>497</v>
      </c>
      <c r="F494" s="2" t="s">
        <v>44</v>
      </c>
      <c r="G494" s="19">
        <v>2000</v>
      </c>
      <c r="H494" s="4"/>
    </row>
    <row r="495" spans="4:8">
      <c r="D495" s="5">
        <v>99</v>
      </c>
      <c r="E495" s="3" t="s">
        <v>498</v>
      </c>
      <c r="F495" s="2" t="s">
        <v>44</v>
      </c>
      <c r="G495" s="19">
        <v>3000</v>
      </c>
      <c r="H495" s="4"/>
    </row>
    <row r="496" spans="4:8">
      <c r="D496" s="5">
        <v>100</v>
      </c>
      <c r="E496" s="3" t="s">
        <v>499</v>
      </c>
      <c r="F496" s="2" t="s">
        <v>44</v>
      </c>
      <c r="G496" s="19">
        <v>4500</v>
      </c>
      <c r="H496" s="4"/>
    </row>
    <row r="497" spans="4:8">
      <c r="D497" s="5">
        <v>101</v>
      </c>
      <c r="E497" s="3" t="s">
        <v>500</v>
      </c>
      <c r="F497" s="2" t="s">
        <v>44</v>
      </c>
      <c r="G497" s="19">
        <v>2000</v>
      </c>
      <c r="H497" s="4"/>
    </row>
    <row r="498" spans="4:8">
      <c r="D498" s="5">
        <v>102</v>
      </c>
      <c r="E498" s="3" t="s">
        <v>501</v>
      </c>
      <c r="F498" s="2" t="s">
        <v>44</v>
      </c>
      <c r="G498" s="19">
        <v>1000</v>
      </c>
      <c r="H498" s="4"/>
    </row>
    <row r="499" spans="4:8">
      <c r="D499" s="5">
        <v>103</v>
      </c>
      <c r="E499" s="196" t="s">
        <v>2149</v>
      </c>
      <c r="F499" s="2" t="s">
        <v>502</v>
      </c>
      <c r="G499" s="19">
        <v>83000</v>
      </c>
      <c r="H499" s="4"/>
    </row>
    <row r="500" spans="4:8">
      <c r="D500" s="5">
        <v>104</v>
      </c>
      <c r="E500" s="3" t="s">
        <v>503</v>
      </c>
      <c r="F500" s="2" t="s">
        <v>44</v>
      </c>
      <c r="G500" s="19">
        <v>4000</v>
      </c>
      <c r="H500" s="4"/>
    </row>
    <row r="501" spans="4:8">
      <c r="D501" s="5">
        <v>105</v>
      </c>
      <c r="E501" s="3" t="s">
        <v>504</v>
      </c>
      <c r="F501" s="2" t="s">
        <v>63</v>
      </c>
      <c r="G501" s="19">
        <v>160000</v>
      </c>
      <c r="H501" s="4"/>
    </row>
    <row r="502" spans="4:8">
      <c r="D502" s="5">
        <v>106</v>
      </c>
      <c r="E502" s="3" t="s">
        <v>505</v>
      </c>
      <c r="F502" s="2" t="s">
        <v>63</v>
      </c>
      <c r="G502" s="19">
        <v>180000</v>
      </c>
      <c r="H502" s="4"/>
    </row>
    <row r="503" spans="4:8">
      <c r="D503" s="5">
        <v>107</v>
      </c>
      <c r="E503" s="3" t="s">
        <v>506</v>
      </c>
      <c r="F503" s="2" t="s">
        <v>44</v>
      </c>
      <c r="G503" s="19">
        <v>6100</v>
      </c>
      <c r="H503" s="4"/>
    </row>
    <row r="504" spans="4:8">
      <c r="D504" s="5">
        <v>108</v>
      </c>
      <c r="E504" s="3" t="s">
        <v>507</v>
      </c>
      <c r="F504" s="2" t="s">
        <v>44</v>
      </c>
      <c r="G504" s="19">
        <v>5300</v>
      </c>
      <c r="H504" s="4"/>
    </row>
    <row r="505" spans="4:8">
      <c r="D505" s="5">
        <v>109</v>
      </c>
      <c r="E505" s="3" t="s">
        <v>508</v>
      </c>
      <c r="F505" s="2" t="s">
        <v>42</v>
      </c>
      <c r="G505" s="19">
        <v>3500000</v>
      </c>
      <c r="H505" s="4"/>
    </row>
    <row r="506" spans="4:8">
      <c r="D506" s="5">
        <v>110</v>
      </c>
      <c r="E506" s="3" t="s">
        <v>509</v>
      </c>
      <c r="F506" s="2" t="s">
        <v>44</v>
      </c>
      <c r="G506" s="19">
        <v>14200</v>
      </c>
      <c r="H506" s="4"/>
    </row>
    <row r="507" spans="4:8">
      <c r="D507" s="5">
        <v>111</v>
      </c>
      <c r="E507" s="3" t="s">
        <v>510</v>
      </c>
      <c r="F507" s="2" t="s">
        <v>44</v>
      </c>
      <c r="G507" s="19">
        <v>20000</v>
      </c>
      <c r="H507" s="4"/>
    </row>
    <row r="508" spans="4:8">
      <c r="D508" s="5">
        <v>112</v>
      </c>
      <c r="E508" s="3" t="s">
        <v>511</v>
      </c>
      <c r="F508" s="2" t="s">
        <v>44</v>
      </c>
      <c r="G508" s="19">
        <v>30000</v>
      </c>
      <c r="H508" s="4"/>
    </row>
    <row r="509" spans="4:8">
      <c r="D509" s="5">
        <v>113</v>
      </c>
      <c r="E509" s="3" t="s">
        <v>512</v>
      </c>
      <c r="F509" s="2" t="s">
        <v>44</v>
      </c>
      <c r="G509" s="19">
        <v>2000</v>
      </c>
      <c r="H509" s="4"/>
    </row>
    <row r="510" spans="4:8">
      <c r="D510" s="5">
        <v>114</v>
      </c>
      <c r="E510" s="3" t="s">
        <v>513</v>
      </c>
      <c r="F510" s="2" t="s">
        <v>44</v>
      </c>
      <c r="G510" s="19">
        <v>3400</v>
      </c>
      <c r="H510" s="4"/>
    </row>
    <row r="511" spans="4:8">
      <c r="D511" s="5">
        <v>115</v>
      </c>
      <c r="E511" s="3" t="s">
        <v>514</v>
      </c>
      <c r="F511" s="2" t="s">
        <v>44</v>
      </c>
      <c r="G511" s="19">
        <v>4600</v>
      </c>
      <c r="H511" s="4"/>
    </row>
    <row r="512" spans="4:8">
      <c r="D512" s="5">
        <v>116</v>
      </c>
      <c r="E512" s="3" t="s">
        <v>515</v>
      </c>
      <c r="F512" s="2" t="s">
        <v>44</v>
      </c>
      <c r="G512" s="19">
        <v>6000</v>
      </c>
      <c r="H512" s="4"/>
    </row>
    <row r="513" spans="4:8">
      <c r="D513" s="5">
        <v>117</v>
      </c>
      <c r="E513" s="3" t="s">
        <v>516</v>
      </c>
      <c r="F513" s="2" t="s">
        <v>517</v>
      </c>
      <c r="G513" s="19">
        <v>43800</v>
      </c>
      <c r="H513" s="4"/>
    </row>
    <row r="514" spans="4:8">
      <c r="D514" s="5">
        <v>118</v>
      </c>
      <c r="E514" s="3" t="s">
        <v>518</v>
      </c>
      <c r="F514" s="2" t="s">
        <v>517</v>
      </c>
      <c r="G514" s="19">
        <v>46900</v>
      </c>
      <c r="H514" s="4"/>
    </row>
    <row r="515" spans="4:8">
      <c r="D515" s="5">
        <v>119</v>
      </c>
      <c r="E515" s="3" t="s">
        <v>519</v>
      </c>
      <c r="F515" s="2" t="s">
        <v>517</v>
      </c>
      <c r="G515" s="19">
        <v>48400</v>
      </c>
      <c r="H515" s="4"/>
    </row>
    <row r="516" spans="4:8">
      <c r="D516" s="5">
        <v>120</v>
      </c>
      <c r="E516" s="3" t="s">
        <v>520</v>
      </c>
      <c r="F516" s="2" t="s">
        <v>517</v>
      </c>
      <c r="G516" s="19">
        <v>49900</v>
      </c>
      <c r="H516" s="4"/>
    </row>
    <row r="517" spans="4:8">
      <c r="D517" s="5">
        <v>121</v>
      </c>
      <c r="E517" s="3" t="s">
        <v>521</v>
      </c>
      <c r="F517" s="2" t="s">
        <v>44</v>
      </c>
      <c r="G517" s="19">
        <v>45000</v>
      </c>
      <c r="H517" s="4"/>
    </row>
    <row r="518" spans="4:8">
      <c r="D518" s="5">
        <v>122</v>
      </c>
      <c r="E518" s="3" t="s">
        <v>522</v>
      </c>
      <c r="F518" s="2" t="s">
        <v>44</v>
      </c>
      <c r="G518" s="19">
        <v>60000</v>
      </c>
      <c r="H518" s="4"/>
    </row>
    <row r="519" spans="4:8">
      <c r="D519" s="5">
        <v>123</v>
      </c>
      <c r="E519" s="3" t="s">
        <v>523</v>
      </c>
      <c r="F519" s="2" t="s">
        <v>44</v>
      </c>
      <c r="G519" s="19">
        <v>70000</v>
      </c>
      <c r="H519" s="4"/>
    </row>
    <row r="520" spans="4:8">
      <c r="D520" s="5">
        <v>124</v>
      </c>
      <c r="E520" s="3" t="s">
        <v>524</v>
      </c>
      <c r="F520" s="2" t="s">
        <v>44</v>
      </c>
      <c r="G520" s="19">
        <v>24000</v>
      </c>
      <c r="H520" s="4"/>
    </row>
    <row r="521" spans="4:8">
      <c r="D521" s="5">
        <v>125</v>
      </c>
      <c r="E521" s="3" t="s">
        <v>525</v>
      </c>
      <c r="F521" s="2" t="s">
        <v>44</v>
      </c>
      <c r="G521" s="19">
        <v>30000</v>
      </c>
      <c r="H521" s="4"/>
    </row>
    <row r="522" spans="4:8">
      <c r="D522" s="5">
        <v>126</v>
      </c>
      <c r="E522" s="3" t="s">
        <v>526</v>
      </c>
      <c r="F522" s="2" t="s">
        <v>44</v>
      </c>
      <c r="G522" s="19">
        <v>2000</v>
      </c>
      <c r="H522" s="4"/>
    </row>
    <row r="523" spans="4:8">
      <c r="D523" s="5">
        <v>127</v>
      </c>
      <c r="E523" s="3" t="s">
        <v>527</v>
      </c>
      <c r="F523" s="2" t="s">
        <v>44</v>
      </c>
      <c r="G523" s="19">
        <v>4500</v>
      </c>
      <c r="H523" s="4"/>
    </row>
    <row r="524" spans="4:8">
      <c r="D524" s="5">
        <v>128</v>
      </c>
      <c r="E524" s="3" t="s">
        <v>528</v>
      </c>
      <c r="F524" s="2" t="s">
        <v>44</v>
      </c>
      <c r="G524" s="19">
        <v>6000</v>
      </c>
      <c r="H524" s="4"/>
    </row>
    <row r="525" spans="4:8">
      <c r="D525" s="5">
        <v>129</v>
      </c>
      <c r="E525" s="3" t="s">
        <v>529</v>
      </c>
      <c r="F525" s="2" t="s">
        <v>44</v>
      </c>
      <c r="G525" s="19">
        <v>8000</v>
      </c>
      <c r="H525" s="4"/>
    </row>
    <row r="526" spans="4:8">
      <c r="D526" s="5">
        <v>130</v>
      </c>
      <c r="E526" s="3" t="s">
        <v>530</v>
      </c>
      <c r="F526" s="2" t="s">
        <v>63</v>
      </c>
      <c r="G526" s="19">
        <v>10000</v>
      </c>
      <c r="H526" s="4"/>
    </row>
    <row r="527" spans="4:8">
      <c r="D527" s="5">
        <v>131</v>
      </c>
      <c r="E527" s="3" t="s">
        <v>531</v>
      </c>
      <c r="F527" s="2" t="s">
        <v>63</v>
      </c>
      <c r="G527" s="19">
        <v>500000</v>
      </c>
      <c r="H527" s="4"/>
    </row>
    <row r="528" spans="4:8">
      <c r="D528" s="5">
        <v>132</v>
      </c>
      <c r="E528" s="3" t="s">
        <v>532</v>
      </c>
      <c r="F528" s="2" t="s">
        <v>44</v>
      </c>
      <c r="G528" s="19">
        <v>7000</v>
      </c>
      <c r="H528" s="4"/>
    </row>
    <row r="529" spans="4:8">
      <c r="D529" s="5"/>
      <c r="E529" s="36" t="s">
        <v>533</v>
      </c>
      <c r="F529" s="37"/>
      <c r="G529" s="38"/>
      <c r="H529" s="39"/>
    </row>
    <row r="530" spans="4:8">
      <c r="D530" s="5">
        <v>1</v>
      </c>
      <c r="E530" s="3" t="s">
        <v>534</v>
      </c>
      <c r="F530" s="2" t="s">
        <v>535</v>
      </c>
      <c r="G530" s="19">
        <v>51600</v>
      </c>
      <c r="H530" s="4"/>
    </row>
    <row r="531" spans="4:8">
      <c r="D531" s="5">
        <v>2</v>
      </c>
      <c r="E531" s="3" t="s">
        <v>536</v>
      </c>
      <c r="F531" s="2" t="s">
        <v>42</v>
      </c>
      <c r="G531" s="19">
        <v>2250000</v>
      </c>
      <c r="H531" s="4"/>
    </row>
    <row r="532" spans="4:8">
      <c r="D532" s="5">
        <v>3</v>
      </c>
      <c r="E532" s="3" t="s">
        <v>537</v>
      </c>
      <c r="F532" s="2" t="s">
        <v>42</v>
      </c>
      <c r="G532" s="19">
        <v>788100</v>
      </c>
      <c r="H532" s="4"/>
    </row>
    <row r="533" spans="4:8">
      <c r="D533" s="5">
        <v>4</v>
      </c>
      <c r="E533" s="3" t="s">
        <v>538</v>
      </c>
      <c r="F533" s="2" t="s">
        <v>42</v>
      </c>
      <c r="G533" s="19">
        <v>805600</v>
      </c>
      <c r="H533" s="4"/>
    </row>
    <row r="534" spans="4:8">
      <c r="D534" s="5">
        <v>5</v>
      </c>
      <c r="E534" s="3" t="s">
        <v>539</v>
      </c>
      <c r="F534" s="2" t="s">
        <v>42</v>
      </c>
      <c r="G534" s="19">
        <v>848100</v>
      </c>
      <c r="H534" s="4"/>
    </row>
    <row r="535" spans="4:8">
      <c r="D535" s="5">
        <v>6</v>
      </c>
      <c r="E535" s="3" t="s">
        <v>540</v>
      </c>
      <c r="F535" s="2" t="s">
        <v>42</v>
      </c>
      <c r="G535" s="19">
        <v>869200</v>
      </c>
      <c r="H535" s="4"/>
    </row>
    <row r="536" spans="4:8">
      <c r="D536" s="5">
        <v>7</v>
      </c>
      <c r="E536" s="3" t="s">
        <v>541</v>
      </c>
      <c r="F536" s="2" t="s">
        <v>42</v>
      </c>
      <c r="G536" s="19">
        <v>887700</v>
      </c>
      <c r="H536" s="4"/>
    </row>
    <row r="537" spans="4:8">
      <c r="D537" s="5">
        <v>8</v>
      </c>
      <c r="E537" s="3" t="s">
        <v>542</v>
      </c>
      <c r="F537" s="2" t="s">
        <v>42</v>
      </c>
      <c r="G537" s="19">
        <v>911300</v>
      </c>
      <c r="H537" s="4"/>
    </row>
    <row r="538" spans="4:8">
      <c r="D538" s="5">
        <v>9</v>
      </c>
      <c r="E538" s="3" t="s">
        <v>543</v>
      </c>
      <c r="F538" s="2" t="s">
        <v>42</v>
      </c>
      <c r="G538" s="19">
        <v>937100</v>
      </c>
      <c r="H538" s="4"/>
    </row>
    <row r="539" spans="4:8">
      <c r="D539" s="5">
        <v>10</v>
      </c>
      <c r="E539" s="3" t="s">
        <v>544</v>
      </c>
      <c r="F539" s="2" t="s">
        <v>42</v>
      </c>
      <c r="G539" s="19">
        <v>961200</v>
      </c>
      <c r="H539" s="4"/>
    </row>
    <row r="540" spans="4:8">
      <c r="D540" s="5">
        <v>11</v>
      </c>
      <c r="E540" s="3" t="s">
        <v>545</v>
      </c>
      <c r="F540" s="2" t="s">
        <v>42</v>
      </c>
      <c r="G540" s="19">
        <v>1001900</v>
      </c>
      <c r="H540" s="4"/>
    </row>
    <row r="541" spans="4:8">
      <c r="D541" s="5">
        <v>12</v>
      </c>
      <c r="E541" s="3" t="s">
        <v>546</v>
      </c>
      <c r="F541" s="2" t="s">
        <v>42</v>
      </c>
      <c r="G541" s="19">
        <v>1066100</v>
      </c>
      <c r="H541" s="4"/>
    </row>
    <row r="542" spans="4:8">
      <c r="D542" s="5">
        <v>13</v>
      </c>
      <c r="E542" s="3" t="s">
        <v>547</v>
      </c>
      <c r="F542" s="2" t="s">
        <v>42</v>
      </c>
      <c r="G542" s="19">
        <v>1152800</v>
      </c>
      <c r="H542" s="4"/>
    </row>
    <row r="543" spans="4:8">
      <c r="D543" s="5">
        <v>14</v>
      </c>
      <c r="E543" s="3" t="s">
        <v>548</v>
      </c>
      <c r="F543" s="2" t="s">
        <v>66</v>
      </c>
      <c r="G543" s="19">
        <v>3500</v>
      </c>
      <c r="H543" s="4"/>
    </row>
    <row r="544" spans="4:8">
      <c r="D544" s="5">
        <v>15</v>
      </c>
      <c r="E544" s="3" t="s">
        <v>549</v>
      </c>
      <c r="F544" s="2" t="s">
        <v>66</v>
      </c>
      <c r="G544" s="19">
        <v>3700</v>
      </c>
      <c r="H544" s="4"/>
    </row>
    <row r="545" spans="4:8">
      <c r="D545" s="5">
        <v>16</v>
      </c>
      <c r="E545" s="3" t="s">
        <v>550</v>
      </c>
      <c r="F545" s="2" t="s">
        <v>535</v>
      </c>
      <c r="G545" s="19">
        <v>44100</v>
      </c>
      <c r="H545" s="4"/>
    </row>
    <row r="546" spans="4:8">
      <c r="D546" s="5">
        <v>17</v>
      </c>
      <c r="E546" s="3" t="s">
        <v>551</v>
      </c>
      <c r="F546" s="2" t="s">
        <v>66</v>
      </c>
      <c r="G546" s="19">
        <v>52400</v>
      </c>
      <c r="H546" s="4"/>
    </row>
    <row r="547" spans="4:8">
      <c r="D547" s="5">
        <v>18</v>
      </c>
      <c r="E547" s="3" t="s">
        <v>552</v>
      </c>
      <c r="F547" s="2" t="s">
        <v>44</v>
      </c>
      <c r="G547" s="19">
        <v>7000</v>
      </c>
      <c r="H547" s="4"/>
    </row>
    <row r="548" spans="4:8">
      <c r="D548" s="5">
        <v>19</v>
      </c>
      <c r="E548" s="3" t="s">
        <v>553</v>
      </c>
      <c r="F548" s="2" t="s">
        <v>114</v>
      </c>
      <c r="G548" s="19">
        <v>8100</v>
      </c>
      <c r="H548" s="4"/>
    </row>
    <row r="549" spans="4:8">
      <c r="D549" s="5">
        <v>20</v>
      </c>
      <c r="E549" s="3" t="s">
        <v>554</v>
      </c>
      <c r="F549" s="2" t="s">
        <v>107</v>
      </c>
      <c r="G549" s="19">
        <v>282000</v>
      </c>
      <c r="H549" s="4"/>
    </row>
    <row r="550" spans="4:8">
      <c r="D550" s="5">
        <v>21</v>
      </c>
      <c r="E550" s="3" t="s">
        <v>555</v>
      </c>
      <c r="F550" s="2" t="s">
        <v>133</v>
      </c>
      <c r="G550" s="19">
        <v>125000</v>
      </c>
      <c r="H550" s="4"/>
    </row>
    <row r="551" spans="4:8">
      <c r="D551" s="5">
        <v>22</v>
      </c>
      <c r="E551" s="3" t="s">
        <v>556</v>
      </c>
      <c r="F551" s="2" t="s">
        <v>114</v>
      </c>
      <c r="G551" s="19">
        <v>4800</v>
      </c>
      <c r="H551" s="4"/>
    </row>
    <row r="552" spans="4:8">
      <c r="D552" s="5">
        <v>23</v>
      </c>
      <c r="E552" s="3" t="s">
        <v>557</v>
      </c>
      <c r="F552" s="2" t="s">
        <v>66</v>
      </c>
      <c r="G552" s="19">
        <v>15500</v>
      </c>
      <c r="H552" s="4"/>
    </row>
    <row r="553" spans="4:8">
      <c r="D553" s="5">
        <v>24</v>
      </c>
      <c r="E553" s="3" t="s">
        <v>558</v>
      </c>
      <c r="F553" s="2" t="s">
        <v>66</v>
      </c>
      <c r="G553" s="19">
        <v>21100</v>
      </c>
      <c r="H553" s="4"/>
    </row>
    <row r="554" spans="4:8">
      <c r="D554" s="5">
        <v>25</v>
      </c>
      <c r="E554" s="3" t="s">
        <v>559</v>
      </c>
      <c r="F554" s="2" t="s">
        <v>66</v>
      </c>
      <c r="G554" s="19">
        <v>17200</v>
      </c>
      <c r="H554" s="4"/>
    </row>
    <row r="555" spans="4:8">
      <c r="D555" s="5">
        <v>26</v>
      </c>
      <c r="E555" s="3" t="s">
        <v>560</v>
      </c>
      <c r="F555" s="2" t="s">
        <v>561</v>
      </c>
      <c r="G555" s="19">
        <v>46600</v>
      </c>
      <c r="H555" s="4"/>
    </row>
    <row r="556" spans="4:8">
      <c r="D556" s="5">
        <v>27</v>
      </c>
      <c r="E556" s="3" t="s">
        <v>562</v>
      </c>
      <c r="F556" s="2" t="s">
        <v>561</v>
      </c>
      <c r="G556" s="19">
        <v>58200</v>
      </c>
      <c r="H556" s="4"/>
    </row>
    <row r="557" spans="4:8">
      <c r="D557" s="5">
        <v>28</v>
      </c>
      <c r="E557" s="3" t="s">
        <v>563</v>
      </c>
      <c r="F557" s="2" t="s">
        <v>66</v>
      </c>
      <c r="G557" s="19">
        <v>6000</v>
      </c>
      <c r="H557" s="4"/>
    </row>
    <row r="558" spans="4:8">
      <c r="D558" s="5">
        <v>29</v>
      </c>
      <c r="E558" s="3" t="s">
        <v>564</v>
      </c>
      <c r="F558" s="2" t="s">
        <v>66</v>
      </c>
      <c r="G558" s="19">
        <v>15800</v>
      </c>
      <c r="H558" s="4"/>
    </row>
    <row r="559" spans="4:8">
      <c r="D559" s="5">
        <v>30</v>
      </c>
      <c r="E559" s="3" t="s">
        <v>565</v>
      </c>
      <c r="F559" s="2" t="s">
        <v>561</v>
      </c>
      <c r="G559" s="19">
        <v>46500</v>
      </c>
      <c r="H559" s="4"/>
    </row>
    <row r="560" spans="4:8">
      <c r="D560" s="5">
        <v>31</v>
      </c>
      <c r="E560" s="3" t="s">
        <v>566</v>
      </c>
      <c r="F560" s="2" t="s">
        <v>561</v>
      </c>
      <c r="G560" s="19">
        <v>57600</v>
      </c>
      <c r="H560" s="4"/>
    </row>
    <row r="561" spans="4:8">
      <c r="D561" s="5">
        <v>32</v>
      </c>
      <c r="E561" s="3" t="s">
        <v>567</v>
      </c>
      <c r="F561" s="2" t="s">
        <v>66</v>
      </c>
      <c r="G561" s="19">
        <v>16100</v>
      </c>
      <c r="H561" s="4"/>
    </row>
    <row r="562" spans="4:8">
      <c r="D562" s="5">
        <v>33</v>
      </c>
      <c r="E562" s="3" t="s">
        <v>568</v>
      </c>
      <c r="F562" s="2" t="s">
        <v>66</v>
      </c>
      <c r="G562" s="19">
        <v>1300</v>
      </c>
      <c r="H562" s="4"/>
    </row>
    <row r="563" spans="4:8">
      <c r="D563" s="5">
        <v>34</v>
      </c>
      <c r="E563" s="3" t="s">
        <v>569</v>
      </c>
      <c r="F563" s="2" t="s">
        <v>561</v>
      </c>
      <c r="G563" s="19">
        <v>89700</v>
      </c>
      <c r="H563" s="4"/>
    </row>
    <row r="564" spans="4:8">
      <c r="D564" s="5">
        <v>35</v>
      </c>
      <c r="E564" s="3" t="s">
        <v>570</v>
      </c>
      <c r="F564" s="2" t="s">
        <v>561</v>
      </c>
      <c r="G564" s="19">
        <v>97700</v>
      </c>
      <c r="H564" s="4"/>
    </row>
    <row r="565" spans="4:8">
      <c r="D565" s="5">
        <v>36</v>
      </c>
      <c r="E565" s="3" t="s">
        <v>571</v>
      </c>
      <c r="F565" s="2" t="s">
        <v>66</v>
      </c>
      <c r="G565" s="19">
        <v>7800</v>
      </c>
      <c r="H565" s="4"/>
    </row>
    <row r="566" spans="4:8">
      <c r="D566" s="5">
        <v>37</v>
      </c>
      <c r="E566" s="3" t="s">
        <v>572</v>
      </c>
      <c r="F566" s="2" t="s">
        <v>66</v>
      </c>
      <c r="G566" s="19">
        <v>61200</v>
      </c>
      <c r="H566" s="4"/>
    </row>
    <row r="567" spans="4:8">
      <c r="D567" s="5"/>
      <c r="E567" s="36" t="s">
        <v>573</v>
      </c>
      <c r="F567" s="37"/>
      <c r="G567" s="38"/>
      <c r="H567" s="39"/>
    </row>
    <row r="568" spans="4:8">
      <c r="D568" s="5">
        <v>1</v>
      </c>
      <c r="E568" s="3" t="s">
        <v>574</v>
      </c>
      <c r="F568" s="2" t="s">
        <v>66</v>
      </c>
      <c r="G568" s="19">
        <v>58200</v>
      </c>
      <c r="H568" s="4"/>
    </row>
    <row r="569" spans="4:8">
      <c r="D569" s="5">
        <v>2</v>
      </c>
      <c r="E569" s="3" t="s">
        <v>575</v>
      </c>
      <c r="F569" s="2" t="s">
        <v>66</v>
      </c>
      <c r="G569" s="19">
        <v>62800</v>
      </c>
      <c r="H569" s="4"/>
    </row>
    <row r="570" spans="4:8">
      <c r="D570" s="5">
        <v>3</v>
      </c>
      <c r="E570" s="3" t="s">
        <v>576</v>
      </c>
      <c r="F570" s="2" t="s">
        <v>535</v>
      </c>
      <c r="G570" s="19">
        <v>75700</v>
      </c>
      <c r="H570" s="4"/>
    </row>
    <row r="571" spans="4:8">
      <c r="D571" s="5">
        <v>4</v>
      </c>
      <c r="E571" s="3" t="s">
        <v>577</v>
      </c>
      <c r="F571" s="2" t="s">
        <v>66</v>
      </c>
      <c r="G571" s="19">
        <v>52800</v>
      </c>
      <c r="H571" s="4"/>
    </row>
    <row r="572" spans="4:8">
      <c r="D572" s="5">
        <v>5</v>
      </c>
      <c r="E572" s="3" t="s">
        <v>578</v>
      </c>
      <c r="F572" s="2" t="s">
        <v>66</v>
      </c>
      <c r="G572" s="19">
        <v>528800</v>
      </c>
      <c r="H572" s="4"/>
    </row>
    <row r="573" spans="4:8">
      <c r="D573" s="5">
        <v>6</v>
      </c>
      <c r="E573" s="3" t="s">
        <v>579</v>
      </c>
      <c r="F573" s="2" t="s">
        <v>66</v>
      </c>
      <c r="G573" s="19">
        <v>49700</v>
      </c>
      <c r="H573" s="4"/>
    </row>
    <row r="574" spans="4:8">
      <c r="D574" s="5">
        <v>7</v>
      </c>
      <c r="E574" s="3" t="s">
        <v>580</v>
      </c>
      <c r="F574" s="2" t="s">
        <v>66</v>
      </c>
      <c r="G574" s="19">
        <v>52300</v>
      </c>
      <c r="H574" s="4"/>
    </row>
    <row r="575" spans="4:8">
      <c r="D575" s="5">
        <v>8</v>
      </c>
      <c r="E575" s="3" t="s">
        <v>581</v>
      </c>
      <c r="F575" s="2" t="s">
        <v>66</v>
      </c>
      <c r="G575" s="19">
        <v>38200</v>
      </c>
      <c r="H575" s="4"/>
    </row>
    <row r="576" spans="4:8">
      <c r="D576" s="5">
        <v>9</v>
      </c>
      <c r="E576" s="3" t="s">
        <v>582</v>
      </c>
      <c r="F576" s="2" t="s">
        <v>66</v>
      </c>
      <c r="G576" s="19">
        <v>128500</v>
      </c>
      <c r="H576" s="4"/>
    </row>
    <row r="577" spans="4:8">
      <c r="D577" s="5">
        <v>10</v>
      </c>
      <c r="E577" s="3" t="s">
        <v>583</v>
      </c>
      <c r="F577" s="2" t="s">
        <v>66</v>
      </c>
      <c r="G577" s="19">
        <v>119100</v>
      </c>
      <c r="H577" s="4"/>
    </row>
    <row r="578" spans="4:8">
      <c r="D578" s="5">
        <v>11</v>
      </c>
      <c r="E578" s="3" t="s">
        <v>584</v>
      </c>
      <c r="F578" s="2" t="s">
        <v>66</v>
      </c>
      <c r="G578" s="19">
        <v>30000</v>
      </c>
      <c r="H578" s="4"/>
    </row>
    <row r="579" spans="4:8">
      <c r="D579" s="5">
        <v>12</v>
      </c>
      <c r="E579" s="3" t="s">
        <v>585</v>
      </c>
      <c r="F579" s="2" t="s">
        <v>66</v>
      </c>
      <c r="G579" s="19">
        <v>53300</v>
      </c>
      <c r="H579" s="4"/>
    </row>
    <row r="580" spans="4:8">
      <c r="D580" s="5">
        <v>13</v>
      </c>
      <c r="E580" s="3" t="s">
        <v>586</v>
      </c>
      <c r="F580" s="2" t="s">
        <v>66</v>
      </c>
      <c r="G580" s="19">
        <v>54700</v>
      </c>
      <c r="H580" s="4"/>
    </row>
    <row r="581" spans="4:8">
      <c r="D581" s="5">
        <v>14</v>
      </c>
      <c r="E581" s="3" t="s">
        <v>587</v>
      </c>
      <c r="F581" s="2" t="s">
        <v>66</v>
      </c>
      <c r="G581" s="19">
        <v>58500</v>
      </c>
      <c r="H581" s="4"/>
    </row>
    <row r="582" spans="4:8">
      <c r="D582" s="5">
        <v>15</v>
      </c>
      <c r="E582" s="3" t="s">
        <v>588</v>
      </c>
      <c r="F582" s="2" t="s">
        <v>66</v>
      </c>
      <c r="G582" s="19">
        <v>136600</v>
      </c>
      <c r="H582" s="4"/>
    </row>
    <row r="583" spans="4:8">
      <c r="D583" s="5">
        <v>16</v>
      </c>
      <c r="E583" s="3" t="s">
        <v>589</v>
      </c>
      <c r="F583" s="2" t="s">
        <v>66</v>
      </c>
      <c r="G583" s="19">
        <v>130500</v>
      </c>
      <c r="H583" s="4"/>
    </row>
    <row r="584" spans="4:8">
      <c r="D584" s="5">
        <v>17</v>
      </c>
      <c r="E584" s="3" t="s">
        <v>590</v>
      </c>
      <c r="F584" s="2" t="s">
        <v>66</v>
      </c>
      <c r="G584" s="19">
        <v>26000</v>
      </c>
      <c r="H584" s="4"/>
    </row>
    <row r="585" spans="4:8">
      <c r="D585" s="5">
        <v>18</v>
      </c>
      <c r="E585" s="3" t="s">
        <v>591</v>
      </c>
      <c r="F585" s="2" t="s">
        <v>66</v>
      </c>
      <c r="G585" s="19">
        <v>33500</v>
      </c>
      <c r="H585" s="4"/>
    </row>
    <row r="586" spans="4:8">
      <c r="D586" s="5">
        <v>19</v>
      </c>
      <c r="E586" s="3" t="s">
        <v>592</v>
      </c>
      <c r="F586" s="2" t="s">
        <v>66</v>
      </c>
      <c r="G586" s="19">
        <v>35500</v>
      </c>
      <c r="H586" s="4"/>
    </row>
    <row r="587" spans="4:8">
      <c r="D587" s="5">
        <v>20</v>
      </c>
      <c r="E587" s="3" t="s">
        <v>593</v>
      </c>
      <c r="F587" s="2" t="s">
        <v>44</v>
      </c>
      <c r="G587" s="19">
        <v>7100</v>
      </c>
      <c r="H587" s="4"/>
    </row>
    <row r="588" spans="4:8">
      <c r="D588" s="5">
        <v>21</v>
      </c>
      <c r="E588" s="3" t="s">
        <v>594</v>
      </c>
      <c r="F588" s="2" t="s">
        <v>44</v>
      </c>
      <c r="G588" s="19">
        <v>9800</v>
      </c>
      <c r="H588" s="4"/>
    </row>
    <row r="589" spans="4:8">
      <c r="D589" s="5">
        <v>22</v>
      </c>
      <c r="E589" s="3" t="s">
        <v>595</v>
      </c>
      <c r="F589" s="2" t="s">
        <v>44</v>
      </c>
      <c r="G589" s="19">
        <v>14100</v>
      </c>
      <c r="H589" s="4"/>
    </row>
    <row r="590" spans="4:8">
      <c r="D590" s="5">
        <v>23</v>
      </c>
      <c r="E590" s="3" t="s">
        <v>596</v>
      </c>
      <c r="F590" s="2" t="s">
        <v>44</v>
      </c>
      <c r="G590" s="19">
        <v>10400</v>
      </c>
      <c r="H590" s="4"/>
    </row>
    <row r="591" spans="4:8">
      <c r="D591" s="5">
        <v>24</v>
      </c>
      <c r="E591" s="3" t="s">
        <v>597</v>
      </c>
      <c r="F591" s="2" t="s">
        <v>66</v>
      </c>
      <c r="G591" s="19">
        <v>60000</v>
      </c>
      <c r="H591" s="4"/>
    </row>
    <row r="592" spans="4:8">
      <c r="D592" s="5">
        <v>25</v>
      </c>
      <c r="E592" s="3" t="s">
        <v>598</v>
      </c>
      <c r="F592" s="2" t="s">
        <v>66</v>
      </c>
      <c r="G592" s="19">
        <v>39700</v>
      </c>
      <c r="H592" s="4"/>
    </row>
    <row r="593" spans="4:8">
      <c r="D593" s="5">
        <v>26</v>
      </c>
      <c r="E593" s="3" t="s">
        <v>599</v>
      </c>
      <c r="F593" s="2" t="s">
        <v>66</v>
      </c>
      <c r="G593" s="19">
        <v>34500</v>
      </c>
      <c r="H593" s="4"/>
    </row>
    <row r="594" spans="4:8">
      <c r="D594" s="5">
        <v>27</v>
      </c>
      <c r="E594" s="3" t="s">
        <v>600</v>
      </c>
      <c r="F594" s="2" t="s">
        <v>535</v>
      </c>
      <c r="G594" s="19">
        <v>73700</v>
      </c>
      <c r="H594" s="4"/>
    </row>
    <row r="595" spans="4:8">
      <c r="D595" s="5">
        <v>28</v>
      </c>
      <c r="E595" s="3" t="s">
        <v>601</v>
      </c>
      <c r="F595" s="2" t="s">
        <v>535</v>
      </c>
      <c r="G595" s="19">
        <v>66200</v>
      </c>
      <c r="H595" s="4"/>
    </row>
    <row r="596" spans="4:8">
      <c r="D596" s="5">
        <v>29</v>
      </c>
      <c r="E596" s="3" t="s">
        <v>602</v>
      </c>
      <c r="F596" s="2" t="s">
        <v>535</v>
      </c>
      <c r="G596" s="19">
        <v>20000</v>
      </c>
      <c r="H596" s="4"/>
    </row>
    <row r="597" spans="4:8">
      <c r="D597" s="5">
        <v>30</v>
      </c>
      <c r="E597" s="3" t="s">
        <v>602</v>
      </c>
      <c r="F597" s="2" t="s">
        <v>66</v>
      </c>
      <c r="G597" s="19">
        <v>17400</v>
      </c>
      <c r="H597" s="4"/>
    </row>
    <row r="598" spans="4:8">
      <c r="D598" s="5">
        <v>31</v>
      </c>
      <c r="E598" s="3" t="s">
        <v>603</v>
      </c>
      <c r="F598" s="2" t="s">
        <v>66</v>
      </c>
      <c r="G598" s="19">
        <v>75000</v>
      </c>
      <c r="H598" s="4"/>
    </row>
    <row r="599" spans="4:8">
      <c r="D599" s="5">
        <v>32</v>
      </c>
      <c r="E599" s="3" t="s">
        <v>604</v>
      </c>
      <c r="F599" s="2" t="s">
        <v>66</v>
      </c>
      <c r="G599" s="19">
        <v>30100</v>
      </c>
      <c r="H599" s="4"/>
    </row>
    <row r="600" spans="4:8">
      <c r="D600" s="5">
        <v>33</v>
      </c>
      <c r="E600" s="3" t="s">
        <v>605</v>
      </c>
      <c r="F600" s="2" t="s">
        <v>66</v>
      </c>
      <c r="G600" s="19">
        <v>26500</v>
      </c>
      <c r="H600" s="4"/>
    </row>
    <row r="601" spans="4:8">
      <c r="D601" s="5">
        <v>34</v>
      </c>
      <c r="E601" s="3" t="s">
        <v>606</v>
      </c>
      <c r="F601" s="2" t="s">
        <v>66</v>
      </c>
      <c r="G601" s="19">
        <v>90000</v>
      </c>
      <c r="H601" s="4"/>
    </row>
    <row r="602" spans="4:8">
      <c r="D602" s="5">
        <v>35</v>
      </c>
      <c r="E602" s="3" t="s">
        <v>607</v>
      </c>
      <c r="F602" s="2" t="s">
        <v>535</v>
      </c>
      <c r="G602" s="19">
        <v>44500</v>
      </c>
      <c r="H602" s="4"/>
    </row>
    <row r="603" spans="4:8">
      <c r="D603" s="5">
        <v>36</v>
      </c>
      <c r="E603" s="3" t="s">
        <v>608</v>
      </c>
      <c r="F603" s="2" t="s">
        <v>66</v>
      </c>
      <c r="G603" s="19">
        <v>53000</v>
      </c>
      <c r="H603" s="4"/>
    </row>
    <row r="604" spans="4:8">
      <c r="D604" s="5">
        <v>37</v>
      </c>
      <c r="E604" s="3" t="s">
        <v>609</v>
      </c>
      <c r="F604" s="2" t="s">
        <v>66</v>
      </c>
      <c r="G604" s="19">
        <v>87000</v>
      </c>
      <c r="H604" s="4"/>
    </row>
    <row r="605" spans="4:8">
      <c r="D605" s="5"/>
      <c r="E605" s="36" t="s">
        <v>610</v>
      </c>
      <c r="F605" s="37"/>
      <c r="G605" s="38"/>
      <c r="H605" s="39"/>
    </row>
    <row r="606" spans="4:8">
      <c r="D606" s="5">
        <v>1</v>
      </c>
      <c r="E606" s="3" t="s">
        <v>611</v>
      </c>
      <c r="F606" s="2" t="s">
        <v>44</v>
      </c>
      <c r="G606" s="19">
        <v>180900</v>
      </c>
      <c r="H606" s="4"/>
    </row>
    <row r="607" spans="4:8">
      <c r="D607" s="5">
        <v>2</v>
      </c>
      <c r="E607" s="3" t="s">
        <v>612</v>
      </c>
      <c r="F607" s="2" t="s">
        <v>44</v>
      </c>
      <c r="G607" s="19">
        <v>117900</v>
      </c>
      <c r="H607" s="4"/>
    </row>
    <row r="608" spans="4:8">
      <c r="D608" s="5">
        <v>3</v>
      </c>
      <c r="E608" s="3" t="s">
        <v>613</v>
      </c>
      <c r="F608" s="2" t="s">
        <v>44</v>
      </c>
      <c r="G608" s="19">
        <v>279000</v>
      </c>
      <c r="H608" s="4"/>
    </row>
    <row r="609" spans="4:8">
      <c r="D609" s="5">
        <v>4</v>
      </c>
      <c r="E609" s="3" t="s">
        <v>614</v>
      </c>
      <c r="F609" s="2" t="s">
        <v>44</v>
      </c>
      <c r="G609" s="19">
        <v>167500</v>
      </c>
      <c r="H609" s="4"/>
    </row>
    <row r="610" spans="4:8">
      <c r="D610" s="5">
        <v>5</v>
      </c>
      <c r="E610" s="3" t="s">
        <v>615</v>
      </c>
      <c r="F610" s="2" t="s">
        <v>44</v>
      </c>
      <c r="G610" s="19">
        <v>81000</v>
      </c>
      <c r="H610" s="4"/>
    </row>
    <row r="611" spans="4:8">
      <c r="D611" s="5">
        <v>6</v>
      </c>
      <c r="E611" s="3" t="s">
        <v>616</v>
      </c>
      <c r="F611" s="2" t="s">
        <v>44</v>
      </c>
      <c r="G611" s="19">
        <v>58500</v>
      </c>
      <c r="H611" s="4"/>
    </row>
    <row r="612" spans="4:8">
      <c r="D612" s="5">
        <v>7</v>
      </c>
      <c r="E612" s="3" t="s">
        <v>617</v>
      </c>
      <c r="F612" s="2" t="s">
        <v>44</v>
      </c>
      <c r="G612" s="19">
        <v>27400</v>
      </c>
      <c r="H612" s="4"/>
    </row>
    <row r="613" spans="4:8">
      <c r="D613" s="5">
        <v>8</v>
      </c>
      <c r="E613" s="3" t="s">
        <v>618</v>
      </c>
      <c r="F613" s="2" t="s">
        <v>44</v>
      </c>
      <c r="G613" s="19">
        <v>18900</v>
      </c>
      <c r="H613" s="4"/>
    </row>
    <row r="614" spans="4:8">
      <c r="D614" s="5">
        <v>9</v>
      </c>
      <c r="E614" s="3" t="s">
        <v>619</v>
      </c>
      <c r="F614" s="2" t="s">
        <v>44</v>
      </c>
      <c r="G614" s="19">
        <v>41700</v>
      </c>
      <c r="H614" s="4"/>
    </row>
    <row r="615" spans="4:8">
      <c r="D615" s="5">
        <v>10</v>
      </c>
      <c r="E615" s="3" t="s">
        <v>620</v>
      </c>
      <c r="F615" s="2" t="s">
        <v>44</v>
      </c>
      <c r="G615" s="19">
        <v>26500</v>
      </c>
      <c r="H615" s="4"/>
    </row>
    <row r="616" spans="4:8">
      <c r="D616" s="5">
        <v>11</v>
      </c>
      <c r="E616" s="3" t="s">
        <v>621</v>
      </c>
      <c r="F616" s="2" t="s">
        <v>44</v>
      </c>
      <c r="G616" s="19">
        <v>31500</v>
      </c>
      <c r="H616" s="4"/>
    </row>
    <row r="617" spans="4:8">
      <c r="D617" s="5">
        <v>12</v>
      </c>
      <c r="E617" s="3" t="s">
        <v>622</v>
      </c>
      <c r="F617" s="2" t="s">
        <v>44</v>
      </c>
      <c r="G617" s="19">
        <v>23700</v>
      </c>
      <c r="H617" s="4"/>
    </row>
    <row r="618" spans="4:8">
      <c r="D618" s="5">
        <v>13</v>
      </c>
      <c r="E618" s="3" t="s">
        <v>623</v>
      </c>
      <c r="F618" s="2" t="s">
        <v>44</v>
      </c>
      <c r="G618" s="19">
        <v>500000</v>
      </c>
      <c r="H618" s="4"/>
    </row>
    <row r="619" spans="4:8">
      <c r="D619" s="5">
        <v>14</v>
      </c>
      <c r="E619" s="3" t="s">
        <v>624</v>
      </c>
      <c r="F619" s="2" t="s">
        <v>44</v>
      </c>
      <c r="G619" s="19">
        <v>32600</v>
      </c>
      <c r="H619" s="4"/>
    </row>
    <row r="620" spans="4:8">
      <c r="D620" s="5">
        <v>15</v>
      </c>
      <c r="E620" s="3" t="s">
        <v>625</v>
      </c>
      <c r="F620" s="2" t="s">
        <v>44</v>
      </c>
      <c r="G620" s="19">
        <v>15000</v>
      </c>
      <c r="H620" s="4"/>
    </row>
    <row r="621" spans="4:8">
      <c r="D621" s="5">
        <v>16</v>
      </c>
      <c r="E621" s="3" t="s">
        <v>626</v>
      </c>
      <c r="F621" s="2" t="s">
        <v>44</v>
      </c>
      <c r="G621" s="19">
        <v>150000</v>
      </c>
      <c r="H621" s="4"/>
    </row>
    <row r="622" spans="4:8">
      <c r="D622" s="5">
        <v>17</v>
      </c>
      <c r="E622" s="3" t="s">
        <v>627</v>
      </c>
      <c r="F622" s="2" t="s">
        <v>44</v>
      </c>
      <c r="G622" s="19">
        <v>140800</v>
      </c>
      <c r="H622" s="4"/>
    </row>
    <row r="623" spans="4:8">
      <c r="D623" s="5">
        <v>18</v>
      </c>
      <c r="E623" s="3" t="s">
        <v>628</v>
      </c>
      <c r="F623" s="2" t="s">
        <v>44</v>
      </c>
      <c r="G623" s="19">
        <v>12000</v>
      </c>
      <c r="H623" s="4"/>
    </row>
    <row r="624" spans="4:8">
      <c r="D624" s="5">
        <v>19</v>
      </c>
      <c r="E624" s="3" t="s">
        <v>629</v>
      </c>
      <c r="F624" s="2" t="s">
        <v>44</v>
      </c>
      <c r="G624" s="19">
        <v>14100</v>
      </c>
      <c r="H624" s="4"/>
    </row>
    <row r="625" spans="4:8">
      <c r="D625" s="5">
        <v>20</v>
      </c>
      <c r="E625" s="3" t="s">
        <v>630</v>
      </c>
      <c r="F625" s="2" t="s">
        <v>44</v>
      </c>
      <c r="G625" s="19">
        <v>70000</v>
      </c>
      <c r="H625" s="4"/>
    </row>
    <row r="626" spans="4:8">
      <c r="D626" s="5">
        <v>21</v>
      </c>
      <c r="E626" s="3" t="s">
        <v>631</v>
      </c>
      <c r="F626" s="2" t="s">
        <v>44</v>
      </c>
      <c r="G626" s="19">
        <v>101300</v>
      </c>
      <c r="H626" s="4"/>
    </row>
    <row r="627" spans="4:8">
      <c r="D627" s="5">
        <v>22</v>
      </c>
      <c r="E627" s="3" t="s">
        <v>632</v>
      </c>
      <c r="F627" s="2" t="s">
        <v>44</v>
      </c>
      <c r="G627" s="19">
        <v>144300</v>
      </c>
      <c r="H627" s="4"/>
    </row>
    <row r="628" spans="4:8">
      <c r="D628" s="5">
        <v>23</v>
      </c>
      <c r="E628" s="3" t="s">
        <v>633</v>
      </c>
      <c r="F628" s="2" t="s">
        <v>44</v>
      </c>
      <c r="G628" s="19">
        <v>65800</v>
      </c>
      <c r="H628" s="4"/>
    </row>
    <row r="629" spans="4:8">
      <c r="D629" s="5">
        <v>24</v>
      </c>
      <c r="E629" s="3" t="s">
        <v>634</v>
      </c>
      <c r="F629" s="2" t="s">
        <v>44</v>
      </c>
      <c r="G629" s="19">
        <v>75000</v>
      </c>
      <c r="H629" s="4"/>
    </row>
    <row r="630" spans="4:8">
      <c r="D630" s="5">
        <v>25</v>
      </c>
      <c r="E630" s="3" t="s">
        <v>635</v>
      </c>
      <c r="F630" s="2" t="s">
        <v>44</v>
      </c>
      <c r="G630" s="19">
        <v>46900</v>
      </c>
      <c r="H630" s="4"/>
    </row>
    <row r="631" spans="4:8">
      <c r="D631" s="5">
        <v>26</v>
      </c>
      <c r="E631" s="3" t="s">
        <v>636</v>
      </c>
      <c r="F631" s="2" t="s">
        <v>44</v>
      </c>
      <c r="G631" s="19">
        <v>290800</v>
      </c>
      <c r="H631" s="4"/>
    </row>
    <row r="632" spans="4:8">
      <c r="D632" s="5">
        <v>27</v>
      </c>
      <c r="E632" s="3" t="s">
        <v>637</v>
      </c>
      <c r="F632" s="2" t="s">
        <v>44</v>
      </c>
      <c r="G632" s="19">
        <v>435200</v>
      </c>
      <c r="H632" s="4"/>
    </row>
    <row r="633" spans="4:8">
      <c r="D633" s="5">
        <v>28</v>
      </c>
      <c r="E633" s="3" t="s">
        <v>638</v>
      </c>
      <c r="F633" s="2" t="s">
        <v>639</v>
      </c>
      <c r="G633" s="19">
        <v>243100</v>
      </c>
      <c r="H633" s="4"/>
    </row>
    <row r="634" spans="4:8">
      <c r="D634" s="5">
        <v>29</v>
      </c>
      <c r="E634" s="3" t="s">
        <v>640</v>
      </c>
      <c r="F634" s="2" t="s">
        <v>44</v>
      </c>
      <c r="G634" s="19">
        <v>21600</v>
      </c>
      <c r="H634" s="4"/>
    </row>
    <row r="635" spans="4:8">
      <c r="D635" s="5">
        <v>30</v>
      </c>
      <c r="E635" s="3" t="s">
        <v>641</v>
      </c>
      <c r="F635" s="2" t="s">
        <v>44</v>
      </c>
      <c r="G635" s="19">
        <v>60000</v>
      </c>
      <c r="H635" s="4"/>
    </row>
    <row r="636" spans="4:8">
      <c r="D636" s="5">
        <v>31</v>
      </c>
      <c r="E636" s="3" t="s">
        <v>642</v>
      </c>
      <c r="F636" s="2" t="s">
        <v>63</v>
      </c>
      <c r="G636" s="19">
        <v>140000</v>
      </c>
      <c r="H636" s="4"/>
    </row>
    <row r="637" spans="4:8">
      <c r="D637" s="5"/>
      <c r="E637" s="36" t="s">
        <v>643</v>
      </c>
      <c r="F637" s="37"/>
      <c r="G637" s="38"/>
      <c r="H637" s="39"/>
    </row>
    <row r="638" spans="4:8">
      <c r="D638" s="5">
        <v>1</v>
      </c>
      <c r="E638" s="3" t="s">
        <v>644</v>
      </c>
      <c r="F638" s="2" t="s">
        <v>44</v>
      </c>
      <c r="G638" s="19">
        <v>2500</v>
      </c>
      <c r="H638" s="4"/>
    </row>
    <row r="639" spans="4:8">
      <c r="D639" s="5">
        <v>2</v>
      </c>
      <c r="E639" s="3" t="s">
        <v>645</v>
      </c>
      <c r="F639" s="2" t="s">
        <v>44</v>
      </c>
      <c r="G639" s="19">
        <v>400000</v>
      </c>
      <c r="H639" s="4"/>
    </row>
    <row r="640" spans="4:8">
      <c r="D640" s="5">
        <v>3</v>
      </c>
      <c r="E640" s="3" t="s">
        <v>646</v>
      </c>
      <c r="F640" s="2" t="s">
        <v>63</v>
      </c>
      <c r="G640" s="19">
        <v>242000</v>
      </c>
      <c r="H640" s="4"/>
    </row>
    <row r="641" spans="4:8">
      <c r="D641" s="5">
        <v>4</v>
      </c>
      <c r="E641" s="3" t="s">
        <v>647</v>
      </c>
      <c r="F641" s="2" t="s">
        <v>63</v>
      </c>
      <c r="G641" s="19">
        <v>317000</v>
      </c>
      <c r="H641" s="4"/>
    </row>
    <row r="642" spans="4:8">
      <c r="D642" s="5">
        <v>5</v>
      </c>
      <c r="E642" s="3" t="s">
        <v>648</v>
      </c>
      <c r="F642" s="2" t="s">
        <v>63</v>
      </c>
      <c r="G642" s="19">
        <v>221400</v>
      </c>
      <c r="H642" s="4"/>
    </row>
    <row r="643" spans="4:8">
      <c r="D643" s="5">
        <v>6</v>
      </c>
      <c r="E643" s="3" t="s">
        <v>649</v>
      </c>
      <c r="F643" s="2" t="s">
        <v>63</v>
      </c>
      <c r="G643" s="19">
        <v>270900</v>
      </c>
      <c r="H643" s="4"/>
    </row>
    <row r="644" spans="4:8">
      <c r="D644" s="5">
        <v>7</v>
      </c>
      <c r="E644" s="3" t="s">
        <v>650</v>
      </c>
      <c r="F644" s="2" t="s">
        <v>63</v>
      </c>
      <c r="G644" s="19">
        <v>796100</v>
      </c>
      <c r="H644" s="4"/>
    </row>
    <row r="645" spans="4:8">
      <c r="D645" s="5">
        <v>8</v>
      </c>
      <c r="E645" s="3" t="s">
        <v>651</v>
      </c>
      <c r="F645" s="2" t="s">
        <v>63</v>
      </c>
      <c r="G645" s="19">
        <v>85000</v>
      </c>
      <c r="H645" s="4"/>
    </row>
    <row r="646" spans="4:8">
      <c r="D646" s="5">
        <v>9</v>
      </c>
      <c r="E646" s="3" t="s">
        <v>652</v>
      </c>
      <c r="F646" s="2" t="s">
        <v>63</v>
      </c>
      <c r="G646" s="19">
        <v>95000</v>
      </c>
      <c r="H646" s="4"/>
    </row>
    <row r="647" spans="4:8">
      <c r="D647" s="5">
        <v>10</v>
      </c>
      <c r="E647" s="3" t="s">
        <v>653</v>
      </c>
      <c r="F647" s="2" t="s">
        <v>63</v>
      </c>
      <c r="G647" s="19">
        <v>794400</v>
      </c>
      <c r="H647" s="4"/>
    </row>
    <row r="648" spans="4:8">
      <c r="D648" s="5">
        <v>11</v>
      </c>
      <c r="E648" s="3" t="s">
        <v>654</v>
      </c>
      <c r="F648" s="2" t="s">
        <v>63</v>
      </c>
      <c r="G648" s="19">
        <v>750000</v>
      </c>
      <c r="H648" s="4"/>
    </row>
    <row r="649" spans="4:8">
      <c r="D649" s="5">
        <v>12</v>
      </c>
      <c r="E649" s="3" t="s">
        <v>655</v>
      </c>
      <c r="F649" s="2" t="s">
        <v>63</v>
      </c>
      <c r="G649" s="19">
        <v>900000</v>
      </c>
      <c r="H649" s="4"/>
    </row>
    <row r="650" spans="4:8">
      <c r="D650" s="5">
        <v>13</v>
      </c>
      <c r="E650" s="3" t="s">
        <v>656</v>
      </c>
      <c r="F650" s="2" t="s">
        <v>63</v>
      </c>
      <c r="G650" s="19">
        <v>700000</v>
      </c>
      <c r="H650" s="4"/>
    </row>
    <row r="651" spans="4:8">
      <c r="D651" s="5">
        <v>14</v>
      </c>
      <c r="E651" s="3" t="s">
        <v>657</v>
      </c>
      <c r="F651" s="2" t="s">
        <v>63</v>
      </c>
      <c r="G651" s="19">
        <v>688700</v>
      </c>
      <c r="H651" s="4"/>
    </row>
    <row r="652" spans="4:8">
      <c r="D652" s="5">
        <v>15</v>
      </c>
      <c r="E652" s="3" t="s">
        <v>658</v>
      </c>
      <c r="F652" s="2" t="s">
        <v>63</v>
      </c>
      <c r="G652" s="19">
        <v>1516300</v>
      </c>
      <c r="H652" s="4"/>
    </row>
    <row r="653" spans="4:8">
      <c r="D653" s="5">
        <v>16</v>
      </c>
      <c r="E653" s="3" t="s">
        <v>659</v>
      </c>
      <c r="F653" s="2" t="s">
        <v>63</v>
      </c>
      <c r="G653" s="19">
        <v>120000</v>
      </c>
      <c r="H653" s="4"/>
    </row>
    <row r="654" spans="4:8">
      <c r="D654" s="5">
        <v>17</v>
      </c>
      <c r="E654" s="3" t="s">
        <v>660</v>
      </c>
      <c r="F654" s="2" t="s">
        <v>63</v>
      </c>
      <c r="G654" s="19">
        <v>198000</v>
      </c>
      <c r="H654" s="4"/>
    </row>
    <row r="655" spans="4:8">
      <c r="D655" s="5">
        <v>18</v>
      </c>
      <c r="E655" s="3" t="s">
        <v>661</v>
      </c>
      <c r="F655" s="2" t="s">
        <v>63</v>
      </c>
      <c r="G655" s="19">
        <v>237000</v>
      </c>
      <c r="H655" s="4"/>
    </row>
    <row r="656" spans="4:8">
      <c r="D656" s="5">
        <v>19</v>
      </c>
      <c r="E656" s="3" t="s">
        <v>662</v>
      </c>
      <c r="F656" s="2" t="s">
        <v>63</v>
      </c>
      <c r="G656" s="19">
        <v>226400</v>
      </c>
      <c r="H656" s="4"/>
    </row>
    <row r="657" spans="4:8">
      <c r="D657" s="5">
        <v>20</v>
      </c>
      <c r="E657" s="3" t="s">
        <v>663</v>
      </c>
      <c r="F657" s="2" t="s">
        <v>63</v>
      </c>
      <c r="G657" s="19">
        <v>3447000</v>
      </c>
      <c r="H657" s="4"/>
    </row>
    <row r="658" spans="4:8">
      <c r="D658" s="5">
        <v>21</v>
      </c>
      <c r="E658" s="3" t="s">
        <v>664</v>
      </c>
      <c r="F658" s="2" t="s">
        <v>63</v>
      </c>
      <c r="G658" s="19">
        <v>600000</v>
      </c>
      <c r="H658" s="4"/>
    </row>
    <row r="659" spans="4:8">
      <c r="D659" s="5">
        <v>22</v>
      </c>
      <c r="E659" s="3" t="s">
        <v>665</v>
      </c>
      <c r="F659" s="2" t="s">
        <v>63</v>
      </c>
      <c r="G659" s="19">
        <v>3179400</v>
      </c>
      <c r="H659" s="4"/>
    </row>
    <row r="660" spans="4:8">
      <c r="D660" s="5">
        <v>23</v>
      </c>
      <c r="E660" s="3" t="s">
        <v>666</v>
      </c>
      <c r="F660" s="2" t="s">
        <v>63</v>
      </c>
      <c r="G660" s="19">
        <v>3702800</v>
      </c>
      <c r="H660" s="4"/>
    </row>
    <row r="661" spans="4:8">
      <c r="D661" s="5">
        <v>24</v>
      </c>
      <c r="E661" s="3" t="s">
        <v>667</v>
      </c>
      <c r="F661" s="2" t="s">
        <v>63</v>
      </c>
      <c r="G661" s="19">
        <v>144800</v>
      </c>
      <c r="H661" s="4"/>
    </row>
    <row r="662" spans="4:8">
      <c r="D662" s="5">
        <v>25</v>
      </c>
      <c r="E662" s="3" t="s">
        <v>668</v>
      </c>
      <c r="F662" s="2" t="s">
        <v>669</v>
      </c>
      <c r="G662" s="19">
        <v>14500</v>
      </c>
      <c r="H662" s="4"/>
    </row>
    <row r="663" spans="4:8">
      <c r="D663" s="5">
        <v>26</v>
      </c>
      <c r="E663" s="3" t="s">
        <v>670</v>
      </c>
      <c r="F663" s="2" t="s">
        <v>63</v>
      </c>
      <c r="G663" s="19">
        <v>85100</v>
      </c>
      <c r="H663" s="4"/>
    </row>
    <row r="664" spans="4:8">
      <c r="D664" s="5">
        <v>27</v>
      </c>
      <c r="E664" s="3" t="s">
        <v>671</v>
      </c>
      <c r="F664" s="2" t="s">
        <v>63</v>
      </c>
      <c r="G664" s="19">
        <v>112400</v>
      </c>
      <c r="H664" s="4"/>
    </row>
    <row r="665" spans="4:8">
      <c r="D665" s="5"/>
      <c r="E665" s="36" t="s">
        <v>672</v>
      </c>
      <c r="F665" s="37"/>
      <c r="G665" s="38"/>
      <c r="H665" s="39"/>
    </row>
    <row r="666" spans="4:8">
      <c r="D666" s="5">
        <v>1</v>
      </c>
      <c r="E666" s="3" t="s">
        <v>673</v>
      </c>
      <c r="F666" s="2" t="s">
        <v>44</v>
      </c>
      <c r="G666" s="19">
        <v>1793400</v>
      </c>
      <c r="H666" s="4"/>
    </row>
    <row r="667" spans="4:8">
      <c r="D667" s="5">
        <v>2</v>
      </c>
      <c r="E667" s="3" t="s">
        <v>674</v>
      </c>
      <c r="F667" s="2" t="s">
        <v>44</v>
      </c>
      <c r="G667" s="19">
        <v>1448700</v>
      </c>
      <c r="H667" s="4"/>
    </row>
    <row r="668" spans="4:8">
      <c r="D668" s="5">
        <v>3</v>
      </c>
      <c r="E668" s="3" t="s">
        <v>675</v>
      </c>
      <c r="F668" s="2" t="s">
        <v>44</v>
      </c>
      <c r="G668" s="19">
        <v>2125600</v>
      </c>
      <c r="H668" s="4"/>
    </row>
    <row r="669" spans="4:8">
      <c r="D669" s="5">
        <v>4</v>
      </c>
      <c r="E669" s="3" t="s">
        <v>676</v>
      </c>
      <c r="F669" s="2" t="s">
        <v>44</v>
      </c>
      <c r="G669" s="19">
        <v>2778200</v>
      </c>
      <c r="H669" s="4"/>
    </row>
    <row r="670" spans="4:8">
      <c r="D670" s="5">
        <v>5</v>
      </c>
      <c r="E670" s="3" t="s">
        <v>677</v>
      </c>
      <c r="F670" s="2" t="s">
        <v>44</v>
      </c>
      <c r="G670" s="19">
        <v>868300</v>
      </c>
      <c r="H670" s="4"/>
    </row>
    <row r="671" spans="4:8">
      <c r="D671" s="5">
        <v>6</v>
      </c>
      <c r="E671" s="3" t="s">
        <v>678</v>
      </c>
      <c r="F671" s="2" t="s">
        <v>44</v>
      </c>
      <c r="G671" s="19">
        <v>230600</v>
      </c>
      <c r="H671" s="4"/>
    </row>
    <row r="672" spans="4:8">
      <c r="D672" s="5">
        <v>7</v>
      </c>
      <c r="E672" s="3" t="s">
        <v>679</v>
      </c>
      <c r="F672" s="2" t="s">
        <v>44</v>
      </c>
      <c r="G672" s="19">
        <v>600000</v>
      </c>
      <c r="H672" s="4"/>
    </row>
    <row r="673" spans="4:8">
      <c r="D673" s="5">
        <v>8</v>
      </c>
      <c r="E673" s="3" t="s">
        <v>680</v>
      </c>
      <c r="F673" s="2" t="s">
        <v>44</v>
      </c>
      <c r="G673" s="19">
        <v>400000</v>
      </c>
      <c r="H673" s="4"/>
    </row>
    <row r="674" spans="4:8">
      <c r="D674" s="5">
        <v>9</v>
      </c>
      <c r="E674" s="3" t="s">
        <v>681</v>
      </c>
      <c r="F674" s="2" t="s">
        <v>44</v>
      </c>
      <c r="G674" s="19">
        <v>328400</v>
      </c>
      <c r="H674" s="4"/>
    </row>
    <row r="675" spans="4:8">
      <c r="D675" s="5">
        <v>10</v>
      </c>
      <c r="E675" s="3" t="s">
        <v>682</v>
      </c>
      <c r="F675" s="2" t="s">
        <v>44</v>
      </c>
      <c r="G675" s="19">
        <v>450000</v>
      </c>
      <c r="H675" s="4"/>
    </row>
    <row r="676" spans="4:8">
      <c r="D676" s="5">
        <v>11</v>
      </c>
      <c r="E676" s="3" t="s">
        <v>683</v>
      </c>
      <c r="F676" s="2" t="s">
        <v>139</v>
      </c>
      <c r="G676" s="19">
        <v>2500000</v>
      </c>
      <c r="H676" s="4"/>
    </row>
    <row r="677" spans="4:8">
      <c r="D677" s="5">
        <v>12</v>
      </c>
      <c r="E677" s="3" t="s">
        <v>684</v>
      </c>
      <c r="F677" s="2" t="s">
        <v>139</v>
      </c>
      <c r="G677" s="19">
        <v>650000</v>
      </c>
      <c r="H677" s="4"/>
    </row>
    <row r="678" spans="4:8">
      <c r="D678" s="5">
        <v>13</v>
      </c>
      <c r="E678" s="3" t="s">
        <v>685</v>
      </c>
      <c r="F678" s="2" t="s">
        <v>139</v>
      </c>
      <c r="G678" s="19">
        <v>3000000</v>
      </c>
      <c r="H678" s="4"/>
    </row>
    <row r="679" spans="4:8">
      <c r="D679" s="5">
        <v>14</v>
      </c>
      <c r="E679" s="3" t="s">
        <v>686</v>
      </c>
      <c r="F679" s="2" t="s">
        <v>44</v>
      </c>
      <c r="G679" s="19">
        <v>70000</v>
      </c>
      <c r="H679" s="4"/>
    </row>
    <row r="680" spans="4:8">
      <c r="D680" s="5">
        <v>15</v>
      </c>
      <c r="E680" s="3" t="s">
        <v>687</v>
      </c>
      <c r="F680" s="2" t="s">
        <v>114</v>
      </c>
      <c r="G680" s="19">
        <v>55000</v>
      </c>
      <c r="H680" s="4"/>
    </row>
    <row r="681" spans="4:8">
      <c r="D681" s="5">
        <v>16</v>
      </c>
      <c r="E681" s="3" t="s">
        <v>687</v>
      </c>
      <c r="F681" s="2" t="s">
        <v>44</v>
      </c>
      <c r="G681" s="19">
        <v>50000</v>
      </c>
      <c r="H681" s="4"/>
    </row>
    <row r="682" spans="4:8">
      <c r="D682" s="5">
        <v>17</v>
      </c>
      <c r="E682" s="3" t="s">
        <v>688</v>
      </c>
      <c r="F682" s="2" t="s">
        <v>44</v>
      </c>
      <c r="G682" s="19">
        <v>44700</v>
      </c>
      <c r="H682" s="4"/>
    </row>
    <row r="683" spans="4:8">
      <c r="D683" s="5">
        <v>18</v>
      </c>
      <c r="E683" s="3" t="s">
        <v>689</v>
      </c>
      <c r="F683" s="2" t="s">
        <v>44</v>
      </c>
      <c r="G683" s="19">
        <v>120000</v>
      </c>
      <c r="H683" s="4"/>
    </row>
    <row r="684" spans="4:8">
      <c r="D684" s="5">
        <v>19</v>
      </c>
      <c r="E684" s="3" t="s">
        <v>690</v>
      </c>
      <c r="F684" s="2" t="s">
        <v>139</v>
      </c>
      <c r="G684" s="19">
        <v>20000000</v>
      </c>
      <c r="H684" s="4"/>
    </row>
    <row r="685" spans="4:8">
      <c r="D685" s="5">
        <v>20</v>
      </c>
      <c r="E685" s="3" t="s">
        <v>691</v>
      </c>
      <c r="F685" s="2" t="s">
        <v>139</v>
      </c>
      <c r="G685" s="19">
        <v>1000000</v>
      </c>
      <c r="H685" s="4"/>
    </row>
    <row r="686" spans="4:8">
      <c r="D686" s="5">
        <v>21</v>
      </c>
      <c r="E686" s="3" t="s">
        <v>692</v>
      </c>
      <c r="F686" s="2" t="s">
        <v>139</v>
      </c>
      <c r="G686" s="19">
        <v>1500000</v>
      </c>
      <c r="H686" s="4"/>
    </row>
    <row r="687" spans="4:8">
      <c r="D687" s="5">
        <v>22</v>
      </c>
      <c r="E687" s="3" t="s">
        <v>693</v>
      </c>
      <c r="F687" s="2" t="s">
        <v>44</v>
      </c>
      <c r="G687" s="19">
        <v>100000</v>
      </c>
      <c r="H687" s="4"/>
    </row>
    <row r="688" spans="4:8">
      <c r="D688" s="5">
        <v>23</v>
      </c>
      <c r="E688" s="3" t="s">
        <v>694</v>
      </c>
      <c r="F688" s="2" t="s">
        <v>44</v>
      </c>
      <c r="G688" s="19">
        <v>1490000</v>
      </c>
      <c r="H688" s="4"/>
    </row>
    <row r="689" spans="4:8">
      <c r="D689" s="5">
        <v>24</v>
      </c>
      <c r="E689" s="3" t="s">
        <v>695</v>
      </c>
      <c r="F689" s="2" t="s">
        <v>44</v>
      </c>
      <c r="G689" s="19">
        <v>250000</v>
      </c>
      <c r="H689" s="4"/>
    </row>
    <row r="690" spans="4:8">
      <c r="D690" s="5">
        <v>25</v>
      </c>
      <c r="E690" s="3" t="s">
        <v>696</v>
      </c>
      <c r="F690" s="2" t="s">
        <v>139</v>
      </c>
      <c r="G690" s="19">
        <v>30000000</v>
      </c>
      <c r="H690" s="4"/>
    </row>
    <row r="691" spans="4:8">
      <c r="D691" s="5">
        <v>26</v>
      </c>
      <c r="E691" s="3" t="s">
        <v>697</v>
      </c>
      <c r="F691" s="2" t="s">
        <v>139</v>
      </c>
      <c r="G691" s="19">
        <v>310000000</v>
      </c>
      <c r="H691" s="4"/>
    </row>
    <row r="692" spans="4:8">
      <c r="D692" s="5">
        <v>27</v>
      </c>
      <c r="E692" s="3" t="s">
        <v>698</v>
      </c>
      <c r="F692" s="2" t="s">
        <v>139</v>
      </c>
      <c r="G692" s="19">
        <v>390000000</v>
      </c>
      <c r="H692" s="4"/>
    </row>
    <row r="693" spans="4:8">
      <c r="D693" s="5">
        <v>28</v>
      </c>
      <c r="E693" s="3" t="s">
        <v>699</v>
      </c>
      <c r="F693" s="2" t="s">
        <v>139</v>
      </c>
      <c r="G693" s="19">
        <v>465000000</v>
      </c>
      <c r="H693" s="4"/>
    </row>
    <row r="694" spans="4:8">
      <c r="D694" s="5">
        <v>29</v>
      </c>
      <c r="E694" s="3" t="s">
        <v>700</v>
      </c>
      <c r="F694" s="2" t="s">
        <v>139</v>
      </c>
      <c r="G694" s="19">
        <v>70000000</v>
      </c>
      <c r="H694" s="4"/>
    </row>
    <row r="695" spans="4:8">
      <c r="D695" s="5">
        <v>30</v>
      </c>
      <c r="E695" s="3" t="s">
        <v>701</v>
      </c>
      <c r="F695" s="2" t="s">
        <v>139</v>
      </c>
      <c r="G695" s="19">
        <v>135000000</v>
      </c>
      <c r="H695" s="4"/>
    </row>
    <row r="696" spans="4:8">
      <c r="D696" s="5">
        <v>31</v>
      </c>
      <c r="E696" s="3" t="s">
        <v>702</v>
      </c>
      <c r="F696" s="2" t="s">
        <v>139</v>
      </c>
      <c r="G696" s="19">
        <v>245000000</v>
      </c>
      <c r="H696" s="4"/>
    </row>
    <row r="697" spans="4:8">
      <c r="D697" s="5">
        <v>32</v>
      </c>
      <c r="E697" s="3" t="s">
        <v>703</v>
      </c>
      <c r="F697" s="2" t="s">
        <v>44</v>
      </c>
      <c r="G697" s="19">
        <v>41700</v>
      </c>
      <c r="H697" s="4"/>
    </row>
    <row r="698" spans="4:8">
      <c r="D698" s="5">
        <v>33</v>
      </c>
      <c r="E698" s="3" t="s">
        <v>704</v>
      </c>
      <c r="F698" s="2" t="s">
        <v>44</v>
      </c>
      <c r="G698" s="19">
        <v>700000</v>
      </c>
      <c r="H698" s="4"/>
    </row>
    <row r="699" spans="4:8">
      <c r="D699" s="5">
        <v>34</v>
      </c>
      <c r="E699" s="3" t="s">
        <v>705</v>
      </c>
      <c r="F699" s="2" t="s">
        <v>639</v>
      </c>
      <c r="G699" s="19">
        <v>1000000</v>
      </c>
      <c r="H699" s="4"/>
    </row>
    <row r="700" spans="4:8">
      <c r="D700" s="5">
        <v>35</v>
      </c>
      <c r="E700" s="3" t="s">
        <v>706</v>
      </c>
      <c r="F700" s="2" t="s">
        <v>139</v>
      </c>
      <c r="G700" s="19">
        <v>1200000</v>
      </c>
      <c r="H700" s="4"/>
    </row>
    <row r="701" spans="4:8">
      <c r="D701" s="5">
        <v>36</v>
      </c>
      <c r="E701" s="3" t="s">
        <v>707</v>
      </c>
      <c r="F701" s="2" t="s">
        <v>139</v>
      </c>
      <c r="G701" s="19">
        <v>2970000</v>
      </c>
      <c r="H701" s="4"/>
    </row>
    <row r="702" spans="4:8">
      <c r="D702" s="5">
        <v>37</v>
      </c>
      <c r="E702" s="3" t="s">
        <v>708</v>
      </c>
      <c r="F702" s="2" t="s">
        <v>139</v>
      </c>
      <c r="G702" s="19">
        <v>2000000</v>
      </c>
      <c r="H702" s="4"/>
    </row>
    <row r="703" spans="4:8">
      <c r="D703" s="5">
        <v>38</v>
      </c>
      <c r="E703" s="3" t="s">
        <v>709</v>
      </c>
      <c r="F703" s="2" t="s">
        <v>139</v>
      </c>
      <c r="G703" s="19">
        <v>900000</v>
      </c>
      <c r="H703" s="4"/>
    </row>
    <row r="704" spans="4:8">
      <c r="D704" s="5">
        <v>39</v>
      </c>
      <c r="E704" s="3" t="s">
        <v>710</v>
      </c>
      <c r="F704" s="2" t="s">
        <v>139</v>
      </c>
      <c r="G704" s="19">
        <v>1200000</v>
      </c>
      <c r="H704" s="4"/>
    </row>
    <row r="705" spans="4:8">
      <c r="D705" s="5">
        <v>40</v>
      </c>
      <c r="E705" s="3" t="s">
        <v>711</v>
      </c>
      <c r="F705" s="2" t="s">
        <v>139</v>
      </c>
      <c r="G705" s="19">
        <v>3500000</v>
      </c>
      <c r="H705" s="4"/>
    </row>
    <row r="706" spans="4:8">
      <c r="D706" s="5">
        <v>41</v>
      </c>
      <c r="E706" s="3" t="s">
        <v>712</v>
      </c>
      <c r="F706" s="2" t="s">
        <v>139</v>
      </c>
      <c r="G706" s="19">
        <v>1000000</v>
      </c>
      <c r="H706" s="4"/>
    </row>
    <row r="707" spans="4:8">
      <c r="D707" s="5">
        <v>42</v>
      </c>
      <c r="E707" s="3" t="s">
        <v>713</v>
      </c>
      <c r="F707" s="2" t="s">
        <v>139</v>
      </c>
      <c r="G707" s="19">
        <v>1000000</v>
      </c>
      <c r="H707" s="4"/>
    </row>
    <row r="708" spans="4:8">
      <c r="D708" s="5">
        <v>43</v>
      </c>
      <c r="E708" s="3" t="s">
        <v>714</v>
      </c>
      <c r="F708" s="2" t="s">
        <v>139</v>
      </c>
      <c r="G708" s="19">
        <v>17000000</v>
      </c>
      <c r="H708" s="4"/>
    </row>
    <row r="709" spans="4:8">
      <c r="D709" s="5">
        <v>44</v>
      </c>
      <c r="E709" s="3" t="s">
        <v>715</v>
      </c>
      <c r="F709" s="2" t="s">
        <v>139</v>
      </c>
      <c r="G709" s="19">
        <v>2850000</v>
      </c>
      <c r="H709" s="4"/>
    </row>
    <row r="710" spans="4:8">
      <c r="D710" s="5">
        <v>45</v>
      </c>
      <c r="E710" s="3" t="s">
        <v>716</v>
      </c>
      <c r="F710" s="2" t="s">
        <v>139</v>
      </c>
      <c r="G710" s="19">
        <v>4000000</v>
      </c>
      <c r="H710" s="4"/>
    </row>
    <row r="711" spans="4:8">
      <c r="D711" s="5">
        <v>46</v>
      </c>
      <c r="E711" s="3" t="s">
        <v>717</v>
      </c>
      <c r="F711" s="2" t="s">
        <v>139</v>
      </c>
      <c r="G711" s="19">
        <v>1300000</v>
      </c>
      <c r="H711" s="4"/>
    </row>
    <row r="712" spans="4:8">
      <c r="D712" s="5">
        <v>47</v>
      </c>
      <c r="E712" s="3" t="s">
        <v>718</v>
      </c>
      <c r="F712" s="2" t="s">
        <v>139</v>
      </c>
      <c r="G712" s="19">
        <v>2080000</v>
      </c>
      <c r="H712" s="4"/>
    </row>
    <row r="713" spans="4:8">
      <c r="D713" s="5">
        <v>48</v>
      </c>
      <c r="E713" s="3" t="s">
        <v>719</v>
      </c>
      <c r="F713" s="2" t="s">
        <v>44</v>
      </c>
      <c r="G713" s="19">
        <v>70000</v>
      </c>
      <c r="H713" s="4"/>
    </row>
    <row r="714" spans="4:8">
      <c r="D714" s="5">
        <v>49</v>
      </c>
      <c r="E714" s="3" t="s">
        <v>720</v>
      </c>
      <c r="F714" s="2" t="s">
        <v>139</v>
      </c>
      <c r="G714" s="19">
        <v>36000000</v>
      </c>
      <c r="H714" s="4"/>
    </row>
    <row r="715" spans="4:8">
      <c r="D715" s="5">
        <v>50</v>
      </c>
      <c r="E715" s="3" t="s">
        <v>721</v>
      </c>
      <c r="F715" s="2" t="s">
        <v>139</v>
      </c>
      <c r="G715" s="19">
        <v>6000000</v>
      </c>
      <c r="H715" s="4"/>
    </row>
    <row r="716" spans="4:8">
      <c r="D716" s="5">
        <v>51</v>
      </c>
      <c r="E716" s="3" t="s">
        <v>722</v>
      </c>
      <c r="F716" s="2" t="s">
        <v>139</v>
      </c>
      <c r="G716" s="19">
        <v>12000000</v>
      </c>
      <c r="H716" s="4"/>
    </row>
    <row r="717" spans="4:8">
      <c r="D717" s="5">
        <v>52</v>
      </c>
      <c r="E717" s="3" t="s">
        <v>723</v>
      </c>
      <c r="F717" s="2" t="s">
        <v>139</v>
      </c>
      <c r="G717" s="19">
        <v>48000000</v>
      </c>
      <c r="H717" s="4"/>
    </row>
    <row r="718" spans="4:8">
      <c r="D718" s="5">
        <v>53</v>
      </c>
      <c r="E718" s="3" t="s">
        <v>724</v>
      </c>
      <c r="F718" s="2" t="s">
        <v>139</v>
      </c>
      <c r="G718" s="19">
        <v>6400000</v>
      </c>
      <c r="H718" s="4"/>
    </row>
    <row r="719" spans="4:8">
      <c r="D719" s="5">
        <v>54</v>
      </c>
      <c r="E719" s="3" t="s">
        <v>725</v>
      </c>
      <c r="F719" s="2" t="s">
        <v>139</v>
      </c>
      <c r="G719" s="19">
        <v>15000000</v>
      </c>
      <c r="H719" s="4"/>
    </row>
    <row r="720" spans="4:8">
      <c r="D720" s="5">
        <v>55</v>
      </c>
      <c r="E720" s="3" t="s">
        <v>726</v>
      </c>
      <c r="F720" s="2" t="s">
        <v>139</v>
      </c>
      <c r="G720" s="19">
        <v>2500000</v>
      </c>
      <c r="H720" s="4"/>
    </row>
    <row r="721" spans="4:8">
      <c r="D721" s="5">
        <v>56</v>
      </c>
      <c r="E721" s="3" t="s">
        <v>727</v>
      </c>
      <c r="F721" s="2" t="s">
        <v>139</v>
      </c>
      <c r="G721" s="19">
        <v>4800000</v>
      </c>
      <c r="H721" s="4"/>
    </row>
    <row r="722" spans="4:8">
      <c r="D722" s="5">
        <v>57</v>
      </c>
      <c r="E722" s="3" t="s">
        <v>728</v>
      </c>
      <c r="F722" s="2" t="s">
        <v>63</v>
      </c>
      <c r="G722" s="19">
        <v>1200000</v>
      </c>
      <c r="H722" s="4"/>
    </row>
    <row r="723" spans="4:8">
      <c r="D723" s="5">
        <v>58</v>
      </c>
      <c r="E723" s="3" t="s">
        <v>729</v>
      </c>
      <c r="F723" s="2" t="s">
        <v>139</v>
      </c>
      <c r="G723" s="19">
        <v>3200000</v>
      </c>
      <c r="H723" s="4"/>
    </row>
    <row r="724" spans="4:8">
      <c r="D724" s="5">
        <v>59</v>
      </c>
      <c r="E724" s="3" t="s">
        <v>730</v>
      </c>
      <c r="F724" s="2" t="s">
        <v>139</v>
      </c>
      <c r="G724" s="19">
        <v>3500000</v>
      </c>
      <c r="H724" s="4"/>
    </row>
    <row r="725" spans="4:8">
      <c r="D725" s="5">
        <v>60</v>
      </c>
      <c r="E725" s="3" t="s">
        <v>731</v>
      </c>
      <c r="F725" s="2" t="s">
        <v>139</v>
      </c>
      <c r="G725" s="19">
        <v>3600000</v>
      </c>
      <c r="H725" s="4"/>
    </row>
    <row r="726" spans="4:8">
      <c r="D726" s="5">
        <v>61</v>
      </c>
      <c r="E726" s="3" t="s">
        <v>732</v>
      </c>
      <c r="F726" s="2" t="s">
        <v>139</v>
      </c>
      <c r="G726" s="19">
        <v>4600000</v>
      </c>
      <c r="H726" s="4"/>
    </row>
    <row r="727" spans="4:8">
      <c r="D727" s="5">
        <v>62</v>
      </c>
      <c r="E727" s="3" t="s">
        <v>733</v>
      </c>
      <c r="F727" s="2" t="s">
        <v>139</v>
      </c>
      <c r="G727" s="19">
        <v>16000000</v>
      </c>
      <c r="H727" s="4"/>
    </row>
    <row r="728" spans="4:8">
      <c r="D728" s="5">
        <v>63</v>
      </c>
      <c r="E728" s="3" t="s">
        <v>734</v>
      </c>
      <c r="F728" s="2" t="s">
        <v>139</v>
      </c>
      <c r="G728" s="19">
        <v>53200000</v>
      </c>
      <c r="H728" s="4"/>
    </row>
    <row r="729" spans="4:8">
      <c r="D729" s="5">
        <v>64</v>
      </c>
      <c r="E729" s="3" t="s">
        <v>735</v>
      </c>
      <c r="F729" s="2" t="s">
        <v>139</v>
      </c>
      <c r="G729" s="19">
        <v>19500000</v>
      </c>
      <c r="H729" s="4"/>
    </row>
    <row r="730" spans="4:8">
      <c r="D730" s="5">
        <v>65</v>
      </c>
      <c r="E730" s="3" t="s">
        <v>736</v>
      </c>
      <c r="F730" s="2" t="s">
        <v>139</v>
      </c>
      <c r="G730" s="19">
        <v>100000000</v>
      </c>
      <c r="H730" s="4"/>
    </row>
    <row r="731" spans="4:8">
      <c r="D731" s="5">
        <v>66</v>
      </c>
      <c r="E731" s="3" t="s">
        <v>737</v>
      </c>
      <c r="F731" s="2" t="s">
        <v>139</v>
      </c>
      <c r="G731" s="19">
        <v>33000000</v>
      </c>
      <c r="H731" s="4"/>
    </row>
    <row r="732" spans="4:8">
      <c r="D732" s="5">
        <v>67</v>
      </c>
      <c r="E732" s="3" t="s">
        <v>738</v>
      </c>
      <c r="F732" s="2" t="s">
        <v>139</v>
      </c>
      <c r="G732" s="19">
        <v>84000000</v>
      </c>
      <c r="H732" s="4"/>
    </row>
    <row r="733" spans="4:8">
      <c r="D733" s="5">
        <v>68</v>
      </c>
      <c r="E733" s="3" t="s">
        <v>739</v>
      </c>
      <c r="F733" s="2" t="s">
        <v>139</v>
      </c>
      <c r="G733" s="19">
        <v>500000</v>
      </c>
      <c r="H733" s="4"/>
    </row>
    <row r="734" spans="4:8">
      <c r="D734" s="5">
        <v>69</v>
      </c>
      <c r="E734" s="3" t="s">
        <v>740</v>
      </c>
      <c r="F734" s="2" t="s">
        <v>44</v>
      </c>
      <c r="G734" s="19">
        <v>150000</v>
      </c>
      <c r="H734" s="4"/>
    </row>
    <row r="735" spans="4:8">
      <c r="D735" s="5">
        <v>70</v>
      </c>
      <c r="E735" s="3" t="s">
        <v>741</v>
      </c>
      <c r="F735" s="2" t="s">
        <v>44</v>
      </c>
      <c r="G735" s="19">
        <v>4000</v>
      </c>
      <c r="H735" s="4"/>
    </row>
    <row r="736" spans="4:8">
      <c r="D736" s="5">
        <v>71</v>
      </c>
      <c r="E736" s="3" t="s">
        <v>742</v>
      </c>
      <c r="F736" s="2" t="s">
        <v>44</v>
      </c>
      <c r="G736" s="19">
        <v>6000</v>
      </c>
      <c r="H736" s="4"/>
    </row>
    <row r="737" spans="4:8">
      <c r="D737" s="5">
        <v>72</v>
      </c>
      <c r="E737" s="3" t="s">
        <v>743</v>
      </c>
      <c r="F737" s="2" t="s">
        <v>139</v>
      </c>
      <c r="G737" s="19">
        <v>8500000</v>
      </c>
      <c r="H737" s="4"/>
    </row>
    <row r="738" spans="4:8">
      <c r="D738" s="5">
        <v>73</v>
      </c>
      <c r="E738" s="3" t="s">
        <v>744</v>
      </c>
      <c r="F738" s="2" t="s">
        <v>139</v>
      </c>
      <c r="G738" s="19">
        <v>1100000</v>
      </c>
      <c r="H738" s="4"/>
    </row>
    <row r="739" spans="4:8">
      <c r="D739" s="5">
        <v>74</v>
      </c>
      <c r="E739" s="3" t="s">
        <v>745</v>
      </c>
      <c r="F739" s="2" t="s">
        <v>139</v>
      </c>
      <c r="G739" s="19">
        <v>1700000</v>
      </c>
      <c r="H739" s="4"/>
    </row>
    <row r="740" spans="4:8">
      <c r="D740" s="5">
        <v>75</v>
      </c>
      <c r="E740" s="3" t="s">
        <v>746</v>
      </c>
      <c r="F740" s="2" t="s">
        <v>139</v>
      </c>
      <c r="G740" s="19">
        <v>3400000</v>
      </c>
      <c r="H740" s="4"/>
    </row>
    <row r="741" spans="4:8">
      <c r="D741" s="5">
        <v>76</v>
      </c>
      <c r="E741" s="3" t="s">
        <v>747</v>
      </c>
      <c r="F741" s="2" t="s">
        <v>139</v>
      </c>
      <c r="G741" s="19">
        <v>4600000</v>
      </c>
      <c r="H741" s="4"/>
    </row>
    <row r="742" spans="4:8">
      <c r="D742" s="5">
        <v>77</v>
      </c>
      <c r="E742" s="3" t="s">
        <v>748</v>
      </c>
      <c r="F742" s="2" t="s">
        <v>139</v>
      </c>
      <c r="G742" s="19">
        <v>5500000</v>
      </c>
      <c r="H742" s="4"/>
    </row>
    <row r="743" spans="4:8">
      <c r="D743" s="5">
        <v>78</v>
      </c>
      <c r="E743" s="3" t="s">
        <v>749</v>
      </c>
      <c r="F743" s="2" t="s">
        <v>139</v>
      </c>
      <c r="G743" s="19">
        <v>6900000</v>
      </c>
      <c r="H743" s="4"/>
    </row>
    <row r="744" spans="4:8">
      <c r="D744" s="5">
        <v>79</v>
      </c>
      <c r="E744" s="3" t="s">
        <v>750</v>
      </c>
      <c r="F744" s="2" t="s">
        <v>139</v>
      </c>
      <c r="G744" s="19">
        <v>7100000</v>
      </c>
      <c r="H744" s="4"/>
    </row>
    <row r="745" spans="4:8">
      <c r="D745" s="5">
        <v>80</v>
      </c>
      <c r="E745" s="3" t="s">
        <v>751</v>
      </c>
      <c r="F745" s="2" t="s">
        <v>139</v>
      </c>
      <c r="G745" s="19">
        <v>7850000</v>
      </c>
      <c r="H745" s="4"/>
    </row>
    <row r="746" spans="4:8">
      <c r="D746" s="5">
        <v>81</v>
      </c>
      <c r="E746" s="3" t="s">
        <v>752</v>
      </c>
      <c r="F746" s="2" t="s">
        <v>44</v>
      </c>
      <c r="G746" s="19">
        <v>70100</v>
      </c>
      <c r="H746" s="4"/>
    </row>
    <row r="747" spans="4:8">
      <c r="D747" s="5">
        <v>82</v>
      </c>
      <c r="E747" s="3" t="s">
        <v>753</v>
      </c>
      <c r="F747" s="2" t="s">
        <v>44</v>
      </c>
      <c r="G747" s="19">
        <v>53300</v>
      </c>
      <c r="H747" s="4"/>
    </row>
    <row r="748" spans="4:8">
      <c r="D748" s="5">
        <v>83</v>
      </c>
      <c r="E748" s="3" t="s">
        <v>754</v>
      </c>
      <c r="F748" s="2" t="s">
        <v>44</v>
      </c>
      <c r="G748" s="19">
        <v>150000</v>
      </c>
      <c r="H748" s="4"/>
    </row>
    <row r="749" spans="4:8">
      <c r="D749" s="5">
        <v>84</v>
      </c>
      <c r="E749" s="3" t="s">
        <v>755</v>
      </c>
      <c r="F749" s="2" t="s">
        <v>44</v>
      </c>
      <c r="G749" s="19">
        <v>150000</v>
      </c>
      <c r="H749" s="4"/>
    </row>
    <row r="750" spans="4:8">
      <c r="D750" s="5">
        <v>85</v>
      </c>
      <c r="E750" s="3" t="s">
        <v>756</v>
      </c>
      <c r="F750" s="2" t="s">
        <v>44</v>
      </c>
      <c r="G750" s="19">
        <v>456800</v>
      </c>
      <c r="H750" s="4"/>
    </row>
    <row r="751" spans="4:8">
      <c r="D751" s="5">
        <v>86</v>
      </c>
      <c r="E751" s="3" t="s">
        <v>757</v>
      </c>
      <c r="F751" s="2" t="s">
        <v>44</v>
      </c>
      <c r="G751" s="19">
        <v>325100</v>
      </c>
      <c r="H751" s="4"/>
    </row>
    <row r="752" spans="4:8">
      <c r="D752" s="5">
        <v>87</v>
      </c>
      <c r="E752" s="3" t="s">
        <v>758</v>
      </c>
      <c r="F752" s="2" t="s">
        <v>639</v>
      </c>
      <c r="G752" s="19">
        <v>321900</v>
      </c>
      <c r="H752" s="4"/>
    </row>
    <row r="753" spans="4:8">
      <c r="D753" s="5"/>
      <c r="E753" s="36" t="s">
        <v>759</v>
      </c>
      <c r="F753" s="37"/>
      <c r="G753" s="38"/>
      <c r="H753" s="39"/>
    </row>
    <row r="754" spans="4:8">
      <c r="D754" s="5">
        <v>1</v>
      </c>
      <c r="E754" s="3" t="s">
        <v>760</v>
      </c>
      <c r="F754" s="2" t="s">
        <v>535</v>
      </c>
      <c r="G754" s="19">
        <v>7800</v>
      </c>
      <c r="H754" s="4"/>
    </row>
    <row r="755" spans="4:8">
      <c r="D755" s="5">
        <v>2</v>
      </c>
      <c r="E755" s="3" t="s">
        <v>761</v>
      </c>
      <c r="F755" s="2" t="s">
        <v>535</v>
      </c>
      <c r="G755" s="19">
        <v>8100</v>
      </c>
      <c r="H755" s="4"/>
    </row>
    <row r="756" spans="4:8">
      <c r="D756" s="5">
        <v>3</v>
      </c>
      <c r="E756" s="3" t="s">
        <v>762</v>
      </c>
      <c r="F756" s="2" t="s">
        <v>42</v>
      </c>
      <c r="G756" s="19">
        <v>20000000</v>
      </c>
      <c r="H756" s="4"/>
    </row>
    <row r="757" spans="4:8">
      <c r="D757" s="5">
        <v>4</v>
      </c>
      <c r="E757" s="3" t="s">
        <v>763</v>
      </c>
      <c r="F757" s="2" t="s">
        <v>66</v>
      </c>
      <c r="G757" s="19">
        <v>20000</v>
      </c>
      <c r="H757" s="4"/>
    </row>
    <row r="758" spans="4:8">
      <c r="D758" s="5">
        <v>5</v>
      </c>
      <c r="E758" s="3" t="s">
        <v>764</v>
      </c>
      <c r="F758" s="2" t="s">
        <v>535</v>
      </c>
      <c r="G758" s="19">
        <v>50000</v>
      </c>
      <c r="H758" s="4"/>
    </row>
    <row r="759" spans="4:8">
      <c r="D759" s="5">
        <v>6</v>
      </c>
      <c r="E759" s="3" t="s">
        <v>765</v>
      </c>
      <c r="F759" s="2" t="s">
        <v>535</v>
      </c>
      <c r="G759" s="19">
        <v>16800</v>
      </c>
      <c r="H759" s="4"/>
    </row>
    <row r="760" spans="4:8">
      <c r="D760" s="5">
        <v>7</v>
      </c>
      <c r="E760" s="3" t="s">
        <v>766</v>
      </c>
      <c r="F760" s="2" t="s">
        <v>66</v>
      </c>
      <c r="G760" s="19">
        <v>24000</v>
      </c>
      <c r="H760" s="4"/>
    </row>
    <row r="761" spans="4:8">
      <c r="D761" s="5">
        <v>8</v>
      </c>
      <c r="E761" s="3" t="s">
        <v>767</v>
      </c>
      <c r="F761" s="2" t="s">
        <v>535</v>
      </c>
      <c r="G761" s="19">
        <v>28000</v>
      </c>
      <c r="H761" s="4"/>
    </row>
    <row r="762" spans="4:8">
      <c r="D762" s="5">
        <v>9</v>
      </c>
      <c r="E762" s="3" t="s">
        <v>768</v>
      </c>
      <c r="F762" s="2" t="s">
        <v>535</v>
      </c>
      <c r="G762" s="19">
        <v>15300</v>
      </c>
      <c r="H762" s="4"/>
    </row>
    <row r="763" spans="4:8">
      <c r="D763" s="5">
        <v>10</v>
      </c>
      <c r="E763" s="3" t="s">
        <v>769</v>
      </c>
      <c r="F763" s="2" t="s">
        <v>535</v>
      </c>
      <c r="G763" s="19">
        <v>31300</v>
      </c>
      <c r="H763" s="4"/>
    </row>
    <row r="764" spans="4:8">
      <c r="D764" s="5">
        <v>11</v>
      </c>
      <c r="E764" s="3" t="s">
        <v>770</v>
      </c>
      <c r="F764" s="2" t="s">
        <v>535</v>
      </c>
      <c r="G764" s="19">
        <v>30300</v>
      </c>
      <c r="H764" s="4"/>
    </row>
    <row r="765" spans="4:8">
      <c r="D765" s="5">
        <v>12</v>
      </c>
      <c r="E765" s="3" t="s">
        <v>771</v>
      </c>
      <c r="F765" s="2" t="s">
        <v>535</v>
      </c>
      <c r="G765" s="19">
        <v>9400</v>
      </c>
      <c r="H765" s="4"/>
    </row>
    <row r="766" spans="4:8">
      <c r="D766" s="5">
        <v>13</v>
      </c>
      <c r="E766" s="3" t="s">
        <v>772</v>
      </c>
      <c r="F766" s="2" t="s">
        <v>535</v>
      </c>
      <c r="G766" s="19">
        <v>21000</v>
      </c>
      <c r="H766" s="4"/>
    </row>
    <row r="767" spans="4:8">
      <c r="D767" s="5">
        <v>14</v>
      </c>
      <c r="E767" s="3" t="s">
        <v>773</v>
      </c>
      <c r="F767" s="2" t="s">
        <v>535</v>
      </c>
      <c r="G767" s="19">
        <v>6500</v>
      </c>
      <c r="H767" s="4"/>
    </row>
    <row r="768" spans="4:8">
      <c r="D768" s="5">
        <v>15</v>
      </c>
      <c r="E768" s="3" t="s">
        <v>774</v>
      </c>
      <c r="F768" s="2" t="s">
        <v>535</v>
      </c>
      <c r="G768" s="19">
        <v>8800</v>
      </c>
      <c r="H768" s="4"/>
    </row>
    <row r="769" spans="4:8">
      <c r="D769" s="5">
        <v>16</v>
      </c>
      <c r="E769" s="3" t="s">
        <v>775</v>
      </c>
      <c r="F769" s="2" t="s">
        <v>535</v>
      </c>
      <c r="G769" s="19">
        <v>51000</v>
      </c>
      <c r="H769" s="4"/>
    </row>
    <row r="770" spans="4:8">
      <c r="D770" s="5">
        <v>17</v>
      </c>
      <c r="E770" s="3" t="s">
        <v>776</v>
      </c>
      <c r="F770" s="2" t="s">
        <v>535</v>
      </c>
      <c r="G770" s="19">
        <v>29200</v>
      </c>
      <c r="H770" s="4"/>
    </row>
    <row r="771" spans="4:8">
      <c r="D771" s="5">
        <v>18</v>
      </c>
      <c r="E771" s="3" t="s">
        <v>777</v>
      </c>
      <c r="F771" s="2" t="s">
        <v>535</v>
      </c>
      <c r="G771" s="19">
        <v>21800</v>
      </c>
      <c r="H771" s="4"/>
    </row>
    <row r="772" spans="4:8">
      <c r="D772" s="5">
        <v>19</v>
      </c>
      <c r="E772" s="3" t="s">
        <v>778</v>
      </c>
      <c r="F772" s="2" t="s">
        <v>535</v>
      </c>
      <c r="G772" s="19">
        <v>18800</v>
      </c>
      <c r="H772" s="4"/>
    </row>
    <row r="773" spans="4:8">
      <c r="D773" s="5"/>
      <c r="E773" s="36" t="s">
        <v>779</v>
      </c>
      <c r="F773" s="37"/>
      <c r="G773" s="38"/>
      <c r="H773" s="39"/>
    </row>
    <row r="774" spans="4:8">
      <c r="D774" s="5">
        <v>1</v>
      </c>
      <c r="E774" s="3" t="s">
        <v>780</v>
      </c>
      <c r="F774" s="2" t="s">
        <v>63</v>
      </c>
      <c r="G774" s="19">
        <v>225800</v>
      </c>
      <c r="H774" s="4"/>
    </row>
    <row r="775" spans="4:8">
      <c r="D775" s="5">
        <v>2</v>
      </c>
      <c r="E775" s="3" t="s">
        <v>781</v>
      </c>
      <c r="F775" s="2" t="s">
        <v>133</v>
      </c>
      <c r="G775" s="19">
        <v>200000</v>
      </c>
      <c r="H775" s="4"/>
    </row>
    <row r="776" spans="4:8">
      <c r="D776" s="5">
        <v>3</v>
      </c>
      <c r="E776" s="3" t="s">
        <v>782</v>
      </c>
      <c r="F776" s="2" t="s">
        <v>114</v>
      </c>
      <c r="G776" s="19">
        <v>50000</v>
      </c>
      <c r="H776" s="4"/>
    </row>
    <row r="777" spans="4:8">
      <c r="D777" s="5">
        <v>4</v>
      </c>
      <c r="E777" s="3" t="s">
        <v>783</v>
      </c>
      <c r="F777" s="2" t="s">
        <v>66</v>
      </c>
      <c r="G777" s="19">
        <v>40200</v>
      </c>
      <c r="H777" s="4"/>
    </row>
    <row r="778" spans="4:8">
      <c r="D778" s="5">
        <v>5</v>
      </c>
      <c r="E778" s="3" t="s">
        <v>229</v>
      </c>
      <c r="F778" s="2" t="s">
        <v>66</v>
      </c>
      <c r="G778" s="19">
        <v>34500</v>
      </c>
      <c r="H778" s="4"/>
    </row>
    <row r="779" spans="4:8">
      <c r="D779" s="5">
        <v>6</v>
      </c>
      <c r="E779" s="3" t="s">
        <v>784</v>
      </c>
      <c r="F779" s="2" t="s">
        <v>785</v>
      </c>
      <c r="G779" s="19">
        <v>1055700</v>
      </c>
      <c r="H779" s="4"/>
    </row>
    <row r="780" spans="4:8">
      <c r="D780" s="5">
        <v>7</v>
      </c>
      <c r="E780" s="3" t="s">
        <v>786</v>
      </c>
      <c r="F780" s="2" t="s">
        <v>785</v>
      </c>
      <c r="G780" s="19">
        <v>1508800</v>
      </c>
      <c r="H780" s="4"/>
    </row>
    <row r="781" spans="4:8">
      <c r="D781" s="5">
        <v>8</v>
      </c>
      <c r="E781" s="3" t="s">
        <v>787</v>
      </c>
      <c r="F781" s="2" t="s">
        <v>785</v>
      </c>
      <c r="G781" s="19">
        <v>422000</v>
      </c>
      <c r="H781" s="4"/>
    </row>
    <row r="782" spans="4:8">
      <c r="D782" s="5">
        <v>9</v>
      </c>
      <c r="E782" s="3" t="s">
        <v>788</v>
      </c>
      <c r="F782" s="2" t="s">
        <v>114</v>
      </c>
      <c r="G782" s="19">
        <v>10700</v>
      </c>
      <c r="H782" s="4"/>
    </row>
    <row r="783" spans="4:8">
      <c r="D783" s="5">
        <v>10</v>
      </c>
      <c r="E783" s="3" t="s">
        <v>789</v>
      </c>
      <c r="F783" s="2" t="s">
        <v>114</v>
      </c>
      <c r="G783" s="19">
        <v>13600</v>
      </c>
      <c r="H783" s="4"/>
    </row>
    <row r="784" spans="4:8">
      <c r="D784" s="5">
        <v>11</v>
      </c>
      <c r="E784" s="3" t="s">
        <v>790</v>
      </c>
      <c r="F784" s="2" t="s">
        <v>66</v>
      </c>
      <c r="G784" s="19">
        <v>50600</v>
      </c>
      <c r="H784" s="4"/>
    </row>
    <row r="785" spans="4:8">
      <c r="D785" s="5">
        <v>12</v>
      </c>
      <c r="E785" s="3" t="s">
        <v>791</v>
      </c>
      <c r="F785" s="2" t="s">
        <v>139</v>
      </c>
      <c r="G785" s="19">
        <v>475000</v>
      </c>
      <c r="H785" s="4"/>
    </row>
    <row r="786" spans="4:8">
      <c r="D786" s="5">
        <v>13</v>
      </c>
      <c r="E786" s="3" t="s">
        <v>792</v>
      </c>
      <c r="F786" s="2" t="s">
        <v>114</v>
      </c>
      <c r="G786" s="19">
        <v>38333</v>
      </c>
      <c r="H786" s="4"/>
    </row>
    <row r="787" spans="4:8">
      <c r="D787" s="5">
        <v>14</v>
      </c>
      <c r="E787" s="3" t="s">
        <v>793</v>
      </c>
      <c r="F787" s="2" t="s">
        <v>785</v>
      </c>
      <c r="G787" s="19">
        <v>102300</v>
      </c>
      <c r="H787" s="4"/>
    </row>
    <row r="788" spans="4:8">
      <c r="D788" s="5">
        <v>15</v>
      </c>
      <c r="E788" s="3" t="s">
        <v>794</v>
      </c>
      <c r="F788" s="2" t="s">
        <v>66</v>
      </c>
      <c r="G788" s="19">
        <v>67800</v>
      </c>
      <c r="H788" s="4"/>
    </row>
    <row r="789" spans="4:8">
      <c r="D789" s="5">
        <v>16</v>
      </c>
      <c r="E789" s="3" t="s">
        <v>795</v>
      </c>
      <c r="F789" s="2" t="s">
        <v>114</v>
      </c>
      <c r="G789" s="19">
        <v>7500</v>
      </c>
      <c r="H789" s="4"/>
    </row>
    <row r="790" spans="4:8">
      <c r="D790" s="5">
        <v>17</v>
      </c>
      <c r="E790" s="3" t="s">
        <v>796</v>
      </c>
      <c r="F790" s="2" t="s">
        <v>114</v>
      </c>
      <c r="G790" s="19">
        <v>10700</v>
      </c>
      <c r="H790" s="4"/>
    </row>
    <row r="791" spans="4:8">
      <c r="D791" s="5">
        <v>18</v>
      </c>
      <c r="E791" s="3" t="s">
        <v>797</v>
      </c>
      <c r="F791" s="2" t="s">
        <v>63</v>
      </c>
      <c r="G791" s="19">
        <v>600000</v>
      </c>
      <c r="H791" s="4"/>
    </row>
    <row r="792" spans="4:8">
      <c r="D792" s="5">
        <v>19</v>
      </c>
      <c r="E792" s="3" t="s">
        <v>798</v>
      </c>
      <c r="F792" s="2" t="s">
        <v>785</v>
      </c>
      <c r="G792" s="19">
        <v>343800</v>
      </c>
      <c r="H792" s="4"/>
    </row>
    <row r="793" spans="4:8">
      <c r="D793" s="5">
        <v>20</v>
      </c>
      <c r="E793" s="3" t="s">
        <v>799</v>
      </c>
      <c r="F793" s="2" t="s">
        <v>785</v>
      </c>
      <c r="G793" s="19">
        <v>301300</v>
      </c>
      <c r="H793" s="4"/>
    </row>
    <row r="794" spans="4:8">
      <c r="D794" s="5">
        <v>21</v>
      </c>
      <c r="E794" s="3" t="s">
        <v>800</v>
      </c>
      <c r="F794" s="2" t="s">
        <v>785</v>
      </c>
      <c r="G794" s="19">
        <v>542800</v>
      </c>
      <c r="H794" s="4"/>
    </row>
    <row r="795" spans="4:8">
      <c r="D795" s="5">
        <v>22</v>
      </c>
      <c r="E795" s="3" t="s">
        <v>801</v>
      </c>
      <c r="F795" s="2" t="s">
        <v>114</v>
      </c>
      <c r="G795" s="19">
        <v>107000</v>
      </c>
      <c r="H795" s="4"/>
    </row>
    <row r="796" spans="4:8">
      <c r="D796" s="5">
        <v>23</v>
      </c>
      <c r="E796" s="3" t="s">
        <v>802</v>
      </c>
      <c r="F796" s="2" t="s">
        <v>785</v>
      </c>
      <c r="G796" s="19">
        <v>905000</v>
      </c>
      <c r="H796" s="4"/>
    </row>
    <row r="797" spans="4:8">
      <c r="D797" s="5">
        <v>24</v>
      </c>
      <c r="E797" s="3" t="s">
        <v>803</v>
      </c>
      <c r="F797" s="2" t="s">
        <v>785</v>
      </c>
      <c r="G797" s="19">
        <v>693400</v>
      </c>
      <c r="H797" s="4"/>
    </row>
    <row r="798" spans="4:8">
      <c r="D798" s="5">
        <v>25</v>
      </c>
      <c r="E798" s="3" t="s">
        <v>804</v>
      </c>
      <c r="F798" s="2" t="s">
        <v>785</v>
      </c>
      <c r="G798" s="19">
        <v>16100</v>
      </c>
      <c r="H798" s="4"/>
    </row>
    <row r="799" spans="4:8">
      <c r="D799" s="5">
        <v>26</v>
      </c>
      <c r="E799" s="3" t="s">
        <v>805</v>
      </c>
      <c r="F799" s="2" t="s">
        <v>785</v>
      </c>
      <c r="G799" s="19">
        <v>19500</v>
      </c>
      <c r="H799" s="4"/>
    </row>
    <row r="800" spans="4:8">
      <c r="D800" s="5">
        <v>27</v>
      </c>
      <c r="E800" s="3" t="s">
        <v>806</v>
      </c>
      <c r="F800" s="2" t="s">
        <v>785</v>
      </c>
      <c r="G800" s="19">
        <v>19500</v>
      </c>
      <c r="H800" s="4"/>
    </row>
    <row r="801" spans="4:8">
      <c r="D801" s="5">
        <v>28</v>
      </c>
      <c r="E801" s="3" t="s">
        <v>807</v>
      </c>
      <c r="F801" s="2" t="s">
        <v>66</v>
      </c>
      <c r="G801" s="19">
        <v>210400</v>
      </c>
      <c r="H801" s="4"/>
    </row>
    <row r="802" spans="4:8">
      <c r="D802" s="5">
        <v>29</v>
      </c>
      <c r="E802" s="3" t="s">
        <v>808</v>
      </c>
      <c r="F802" s="2" t="s">
        <v>66</v>
      </c>
      <c r="G802" s="19">
        <v>210400</v>
      </c>
      <c r="H802" s="4"/>
    </row>
    <row r="803" spans="4:8">
      <c r="D803" s="5">
        <v>30</v>
      </c>
      <c r="E803" s="3" t="s">
        <v>809</v>
      </c>
      <c r="F803" s="2" t="s">
        <v>785</v>
      </c>
      <c r="G803" s="19">
        <v>102300</v>
      </c>
      <c r="H803" s="4"/>
    </row>
    <row r="804" spans="4:8">
      <c r="D804" s="5">
        <v>31</v>
      </c>
      <c r="E804" s="3" t="s">
        <v>810</v>
      </c>
      <c r="F804" s="2" t="s">
        <v>785</v>
      </c>
      <c r="G804" s="19">
        <v>542800</v>
      </c>
      <c r="H804" s="4"/>
    </row>
    <row r="805" spans="4:8">
      <c r="D805" s="5">
        <v>32</v>
      </c>
      <c r="E805" s="3" t="s">
        <v>811</v>
      </c>
      <c r="F805" s="2" t="s">
        <v>114</v>
      </c>
      <c r="G805" s="19">
        <v>73600</v>
      </c>
      <c r="H805" s="4"/>
    </row>
    <row r="806" spans="4:8">
      <c r="D806" s="5">
        <v>33</v>
      </c>
      <c r="E806" s="3" t="s">
        <v>812</v>
      </c>
      <c r="F806" s="2" t="s">
        <v>139</v>
      </c>
      <c r="G806" s="19">
        <v>1500000</v>
      </c>
      <c r="H806" s="4"/>
    </row>
    <row r="807" spans="4:8">
      <c r="D807" s="5">
        <v>34</v>
      </c>
      <c r="E807" s="3" t="s">
        <v>813</v>
      </c>
      <c r="F807" s="2" t="s">
        <v>63</v>
      </c>
      <c r="G807" s="19">
        <v>494200</v>
      </c>
      <c r="H807" s="4"/>
    </row>
    <row r="808" spans="4:8">
      <c r="D808" s="5">
        <v>35</v>
      </c>
      <c r="E808" s="3" t="s">
        <v>814</v>
      </c>
      <c r="F808" s="2" t="s">
        <v>63</v>
      </c>
      <c r="G808" s="19">
        <v>750000</v>
      </c>
      <c r="H808" s="4"/>
    </row>
    <row r="809" spans="4:8">
      <c r="D809" s="5">
        <v>36</v>
      </c>
      <c r="E809" s="3" t="s">
        <v>815</v>
      </c>
      <c r="F809" s="2" t="s">
        <v>66</v>
      </c>
      <c r="G809" s="19">
        <v>210400</v>
      </c>
      <c r="H809" s="4"/>
    </row>
    <row r="810" spans="4:8">
      <c r="D810" s="5">
        <v>37</v>
      </c>
      <c r="E810" s="3" t="s">
        <v>816</v>
      </c>
      <c r="F810" s="2" t="s">
        <v>66</v>
      </c>
      <c r="G810" s="19">
        <v>34500</v>
      </c>
      <c r="H810" s="4"/>
    </row>
    <row r="811" spans="4:8">
      <c r="D811" s="5">
        <v>38</v>
      </c>
      <c r="E811" s="3" t="s">
        <v>817</v>
      </c>
      <c r="F811" s="2" t="s">
        <v>114</v>
      </c>
      <c r="G811" s="19">
        <v>130000</v>
      </c>
      <c r="H811" s="4"/>
    </row>
    <row r="812" spans="4:8">
      <c r="D812" s="5">
        <v>39</v>
      </c>
      <c r="E812" s="3" t="s">
        <v>818</v>
      </c>
      <c r="F812" s="2" t="s">
        <v>114</v>
      </c>
      <c r="G812" s="19">
        <v>15000</v>
      </c>
      <c r="H812" s="4"/>
    </row>
    <row r="813" spans="4:8">
      <c r="D813" s="5">
        <v>40</v>
      </c>
      <c r="E813" s="3" t="s">
        <v>819</v>
      </c>
      <c r="F813" s="2" t="s">
        <v>114</v>
      </c>
      <c r="G813" s="19">
        <v>60000</v>
      </c>
      <c r="H813" s="4"/>
    </row>
    <row r="814" spans="4:8">
      <c r="D814" s="5">
        <v>41</v>
      </c>
      <c r="E814" s="3" t="s">
        <v>820</v>
      </c>
      <c r="F814" s="2" t="s">
        <v>114</v>
      </c>
      <c r="G814" s="19">
        <v>16200</v>
      </c>
      <c r="H814" s="4"/>
    </row>
    <row r="815" spans="4:8">
      <c r="D815" s="5">
        <v>42</v>
      </c>
      <c r="E815" s="3" t="s">
        <v>821</v>
      </c>
      <c r="F815" s="2" t="s">
        <v>114</v>
      </c>
      <c r="G815" s="19">
        <v>19000</v>
      </c>
      <c r="H815" s="4"/>
    </row>
    <row r="816" spans="4:8">
      <c r="D816" s="5">
        <v>43</v>
      </c>
      <c r="E816" s="3" t="s">
        <v>822</v>
      </c>
      <c r="F816" s="2" t="s">
        <v>785</v>
      </c>
      <c r="G816" s="19">
        <v>1025800</v>
      </c>
      <c r="H816" s="4"/>
    </row>
    <row r="817" spans="4:8">
      <c r="D817" s="5">
        <v>44</v>
      </c>
      <c r="E817" s="3" t="s">
        <v>823</v>
      </c>
      <c r="F817" s="2" t="s">
        <v>785</v>
      </c>
      <c r="G817" s="19">
        <v>1750300</v>
      </c>
      <c r="H817" s="4"/>
    </row>
    <row r="818" spans="4:8">
      <c r="D818" s="5">
        <v>45</v>
      </c>
      <c r="E818" s="3" t="s">
        <v>824</v>
      </c>
      <c r="F818" s="2" t="s">
        <v>63</v>
      </c>
      <c r="G818" s="19">
        <v>600600</v>
      </c>
      <c r="H818" s="4"/>
    </row>
    <row r="819" spans="4:8">
      <c r="D819" s="5">
        <v>46</v>
      </c>
      <c r="E819" s="3" t="s">
        <v>825</v>
      </c>
      <c r="F819" s="2" t="s">
        <v>63</v>
      </c>
      <c r="G819" s="19">
        <v>509100</v>
      </c>
      <c r="H819" s="4"/>
    </row>
    <row r="820" spans="4:8">
      <c r="D820" s="5">
        <v>47</v>
      </c>
      <c r="E820" s="3" t="s">
        <v>826</v>
      </c>
      <c r="F820" s="2" t="s">
        <v>114</v>
      </c>
      <c r="G820" s="19">
        <v>1811200</v>
      </c>
      <c r="H820" s="4"/>
    </row>
    <row r="821" spans="4:8">
      <c r="D821" s="5">
        <v>48</v>
      </c>
      <c r="E821" s="3" t="s">
        <v>827</v>
      </c>
      <c r="F821" s="2" t="s">
        <v>44</v>
      </c>
      <c r="G821" s="19">
        <v>456000</v>
      </c>
      <c r="H821" s="4"/>
    </row>
    <row r="822" spans="4:8">
      <c r="D822" s="5">
        <v>49</v>
      </c>
      <c r="E822" s="3" t="s">
        <v>828</v>
      </c>
      <c r="F822" s="2" t="s">
        <v>114</v>
      </c>
      <c r="G822" s="19">
        <v>2750000</v>
      </c>
      <c r="H822" s="4"/>
    </row>
    <row r="823" spans="4:8">
      <c r="D823" s="5">
        <v>50</v>
      </c>
      <c r="E823" s="3" t="s">
        <v>829</v>
      </c>
      <c r="F823" s="2" t="s">
        <v>114</v>
      </c>
      <c r="G823" s="19">
        <v>3150000</v>
      </c>
      <c r="H823" s="4"/>
    </row>
    <row r="824" spans="4:8">
      <c r="D824" s="5">
        <v>51</v>
      </c>
      <c r="E824" s="3" t="s">
        <v>830</v>
      </c>
      <c r="F824" s="2" t="s">
        <v>114</v>
      </c>
      <c r="G824" s="19">
        <v>3500000</v>
      </c>
      <c r="H824" s="4"/>
    </row>
    <row r="825" spans="4:8">
      <c r="D825" s="5">
        <v>52</v>
      </c>
      <c r="E825" s="3" t="s">
        <v>831</v>
      </c>
      <c r="F825" s="2" t="s">
        <v>114</v>
      </c>
      <c r="G825" s="19">
        <v>3800000</v>
      </c>
      <c r="H825" s="4"/>
    </row>
    <row r="826" spans="4:8">
      <c r="D826" s="5">
        <v>53</v>
      </c>
      <c r="E826" s="3" t="s">
        <v>832</v>
      </c>
      <c r="F826" s="2" t="s">
        <v>785</v>
      </c>
      <c r="G826" s="19">
        <v>78200</v>
      </c>
      <c r="H826" s="4"/>
    </row>
    <row r="827" spans="4:8">
      <c r="D827" s="5">
        <v>54</v>
      </c>
      <c r="E827" s="3" t="s">
        <v>833</v>
      </c>
      <c r="F827" s="2" t="s">
        <v>785</v>
      </c>
      <c r="G827" s="19">
        <v>1146500</v>
      </c>
      <c r="H827" s="4"/>
    </row>
    <row r="828" spans="4:8">
      <c r="D828" s="5">
        <v>55</v>
      </c>
      <c r="E828" s="3" t="s">
        <v>834</v>
      </c>
      <c r="F828" s="2" t="s">
        <v>785</v>
      </c>
      <c r="G828" s="19">
        <v>633600</v>
      </c>
      <c r="H828" s="4"/>
    </row>
    <row r="829" spans="4:8">
      <c r="D829" s="5">
        <v>56</v>
      </c>
      <c r="E829" s="3" t="s">
        <v>835</v>
      </c>
      <c r="F829" s="2" t="s">
        <v>63</v>
      </c>
      <c r="G829" s="19">
        <v>381900</v>
      </c>
      <c r="H829" s="4"/>
    </row>
    <row r="830" spans="4:8">
      <c r="D830" s="5">
        <v>57</v>
      </c>
      <c r="E830" s="3" t="s">
        <v>836</v>
      </c>
      <c r="F830" s="2" t="s">
        <v>114</v>
      </c>
      <c r="G830" s="19">
        <v>53300</v>
      </c>
      <c r="H830" s="4"/>
    </row>
    <row r="831" spans="4:8">
      <c r="D831" s="5">
        <v>58</v>
      </c>
      <c r="E831" s="3" t="s">
        <v>777</v>
      </c>
      <c r="F831" s="2" t="s">
        <v>837</v>
      </c>
      <c r="G831" s="19">
        <v>35600</v>
      </c>
      <c r="H831" s="4"/>
    </row>
    <row r="832" spans="4:8">
      <c r="D832" s="5"/>
      <c r="E832" s="36" t="s">
        <v>838</v>
      </c>
      <c r="F832" s="37"/>
      <c r="G832" s="38"/>
      <c r="H832" s="39"/>
    </row>
    <row r="833" spans="4:8">
      <c r="D833" s="5">
        <v>1</v>
      </c>
      <c r="E833" s="3" t="s">
        <v>839</v>
      </c>
      <c r="F833" s="2" t="s">
        <v>44</v>
      </c>
      <c r="G833" s="19">
        <v>300000</v>
      </c>
      <c r="H833" s="4"/>
    </row>
    <row r="834" spans="4:8">
      <c r="D834" s="5">
        <v>2</v>
      </c>
      <c r="E834" s="3" t="s">
        <v>840</v>
      </c>
      <c r="F834" s="2" t="s">
        <v>114</v>
      </c>
      <c r="G834" s="19">
        <v>29000</v>
      </c>
      <c r="H834" s="4"/>
    </row>
    <row r="835" spans="4:8">
      <c r="D835" s="5">
        <v>3</v>
      </c>
      <c r="E835" s="3" t="s">
        <v>841</v>
      </c>
      <c r="F835" s="2" t="s">
        <v>114</v>
      </c>
      <c r="G835" s="19">
        <v>33000</v>
      </c>
      <c r="H835" s="4"/>
    </row>
    <row r="836" spans="4:8">
      <c r="D836" s="5">
        <v>4</v>
      </c>
      <c r="E836" s="3" t="s">
        <v>842</v>
      </c>
      <c r="F836" s="2" t="s">
        <v>114</v>
      </c>
      <c r="G836" s="19">
        <v>53000</v>
      </c>
      <c r="H836" s="4"/>
    </row>
    <row r="837" spans="4:8">
      <c r="D837" s="5">
        <v>5</v>
      </c>
      <c r="E837" s="3" t="s">
        <v>843</v>
      </c>
      <c r="F837" s="2" t="s">
        <v>114</v>
      </c>
      <c r="G837" s="19">
        <v>72000</v>
      </c>
      <c r="H837" s="4"/>
    </row>
    <row r="838" spans="4:8">
      <c r="D838" s="5">
        <v>6</v>
      </c>
      <c r="E838" s="3" t="s">
        <v>844</v>
      </c>
      <c r="F838" s="2" t="s">
        <v>114</v>
      </c>
      <c r="G838" s="19">
        <v>12000</v>
      </c>
      <c r="H838" s="4"/>
    </row>
    <row r="839" spans="4:8">
      <c r="D839" s="5">
        <v>7</v>
      </c>
      <c r="E839" s="3" t="s">
        <v>845</v>
      </c>
      <c r="F839" s="2" t="s">
        <v>114</v>
      </c>
      <c r="G839" s="19">
        <v>95500</v>
      </c>
      <c r="H839" s="4"/>
    </row>
    <row r="840" spans="4:8">
      <c r="D840" s="5">
        <v>8</v>
      </c>
      <c r="E840" s="3" t="s">
        <v>846</v>
      </c>
      <c r="F840" s="2" t="s">
        <v>114</v>
      </c>
      <c r="G840" s="19">
        <v>13200</v>
      </c>
      <c r="H840" s="4"/>
    </row>
    <row r="841" spans="4:8">
      <c r="D841" s="5">
        <v>9</v>
      </c>
      <c r="E841" s="3" t="s">
        <v>847</v>
      </c>
      <c r="F841" s="2" t="s">
        <v>114</v>
      </c>
      <c r="G841" s="19">
        <v>136000</v>
      </c>
      <c r="H841" s="4"/>
    </row>
    <row r="842" spans="4:8">
      <c r="D842" s="5">
        <v>10</v>
      </c>
      <c r="E842" s="3" t="s">
        <v>848</v>
      </c>
      <c r="F842" s="2" t="s">
        <v>114</v>
      </c>
      <c r="G842" s="19">
        <v>185000</v>
      </c>
      <c r="H842" s="4"/>
    </row>
    <row r="843" spans="4:8">
      <c r="D843" s="5">
        <v>11</v>
      </c>
      <c r="E843" s="3" t="s">
        <v>849</v>
      </c>
      <c r="F843" s="2" t="s">
        <v>114</v>
      </c>
      <c r="G843" s="19">
        <v>275000</v>
      </c>
      <c r="H843" s="4"/>
    </row>
    <row r="844" spans="4:8">
      <c r="D844" s="5">
        <v>12</v>
      </c>
      <c r="E844" s="3" t="s">
        <v>850</v>
      </c>
      <c r="F844" s="2" t="s">
        <v>114</v>
      </c>
      <c r="G844" s="19">
        <v>23000</v>
      </c>
      <c r="H844" s="4"/>
    </row>
    <row r="845" spans="4:8">
      <c r="D845" s="5">
        <v>13</v>
      </c>
      <c r="E845" s="3" t="s">
        <v>851</v>
      </c>
      <c r="F845" s="2" t="s">
        <v>114</v>
      </c>
      <c r="G845" s="19">
        <v>33500</v>
      </c>
      <c r="H845" s="4"/>
    </row>
    <row r="846" spans="4:8">
      <c r="D846" s="5">
        <v>14</v>
      </c>
      <c r="E846" s="3" t="s">
        <v>852</v>
      </c>
      <c r="F846" s="2" t="s">
        <v>114</v>
      </c>
      <c r="G846" s="19">
        <v>40000</v>
      </c>
      <c r="H846" s="4"/>
    </row>
    <row r="847" spans="4:8">
      <c r="D847" s="5">
        <v>15</v>
      </c>
      <c r="E847" s="3" t="s">
        <v>853</v>
      </c>
      <c r="F847" s="2" t="s">
        <v>114</v>
      </c>
      <c r="G847" s="19">
        <v>1607400</v>
      </c>
      <c r="H847" s="4"/>
    </row>
    <row r="848" spans="4:8">
      <c r="D848" s="5">
        <v>16</v>
      </c>
      <c r="E848" s="3" t="s">
        <v>854</v>
      </c>
      <c r="F848" s="2" t="s">
        <v>114</v>
      </c>
      <c r="G848" s="19">
        <v>90000</v>
      </c>
      <c r="H848" s="4"/>
    </row>
    <row r="849" spans="4:8">
      <c r="D849" s="5">
        <v>17</v>
      </c>
      <c r="E849" s="3" t="s">
        <v>855</v>
      </c>
      <c r="F849" s="2" t="s">
        <v>114</v>
      </c>
      <c r="G849" s="19">
        <v>110000</v>
      </c>
      <c r="H849" s="4"/>
    </row>
    <row r="850" spans="4:8">
      <c r="D850" s="5">
        <v>25</v>
      </c>
      <c r="E850" s="3" t="s">
        <v>856</v>
      </c>
      <c r="F850" s="2" t="s">
        <v>114</v>
      </c>
      <c r="G850" s="19">
        <v>3200</v>
      </c>
      <c r="H850" s="4"/>
    </row>
    <row r="851" spans="4:8">
      <c r="D851" s="5">
        <v>26</v>
      </c>
      <c r="E851" s="3" t="s">
        <v>857</v>
      </c>
      <c r="F851" s="2" t="s">
        <v>114</v>
      </c>
      <c r="G851" s="19">
        <v>20000</v>
      </c>
      <c r="H851" s="4"/>
    </row>
    <row r="852" spans="4:8">
      <c r="D852" s="5">
        <v>27</v>
      </c>
      <c r="E852" s="3" t="s">
        <v>858</v>
      </c>
      <c r="F852" s="2" t="s">
        <v>114</v>
      </c>
      <c r="G852" s="19">
        <v>33000</v>
      </c>
      <c r="H852" s="4"/>
    </row>
    <row r="853" spans="4:8">
      <c r="D853" s="5">
        <v>28</v>
      </c>
      <c r="E853" s="3" t="s">
        <v>859</v>
      </c>
      <c r="F853" s="2" t="s">
        <v>114</v>
      </c>
      <c r="G853" s="19">
        <v>5300</v>
      </c>
      <c r="H853" s="4"/>
    </row>
    <row r="854" spans="4:8">
      <c r="D854" s="5">
        <v>29</v>
      </c>
      <c r="E854" s="3" t="s">
        <v>860</v>
      </c>
      <c r="F854" s="2" t="s">
        <v>114</v>
      </c>
      <c r="G854" s="19">
        <v>8300</v>
      </c>
      <c r="H854" s="4"/>
    </row>
    <row r="855" spans="4:8">
      <c r="D855" s="5">
        <v>30</v>
      </c>
      <c r="E855" s="3" t="s">
        <v>861</v>
      </c>
      <c r="F855" s="2" t="s">
        <v>114</v>
      </c>
      <c r="G855" s="19">
        <v>12200</v>
      </c>
      <c r="H855" s="4"/>
    </row>
    <row r="856" spans="4:8">
      <c r="D856" s="5">
        <v>31</v>
      </c>
      <c r="E856" s="3" t="s">
        <v>862</v>
      </c>
      <c r="F856" s="2" t="s">
        <v>114</v>
      </c>
      <c r="G856" s="19">
        <v>9200</v>
      </c>
      <c r="H856" s="4"/>
    </row>
    <row r="857" spans="4:8">
      <c r="D857" s="5">
        <v>32</v>
      </c>
      <c r="E857" s="3" t="s">
        <v>863</v>
      </c>
      <c r="F857" s="2" t="s">
        <v>114</v>
      </c>
      <c r="G857" s="19">
        <v>14000</v>
      </c>
      <c r="H857" s="4"/>
    </row>
    <row r="858" spans="4:8">
      <c r="D858" s="5">
        <v>33</v>
      </c>
      <c r="E858" s="3" t="s">
        <v>864</v>
      </c>
      <c r="F858" s="2" t="s">
        <v>114</v>
      </c>
      <c r="G858" s="19">
        <v>22750</v>
      </c>
      <c r="H858" s="4"/>
    </row>
    <row r="859" spans="4:8">
      <c r="D859" s="5">
        <v>34</v>
      </c>
      <c r="E859" s="3" t="s">
        <v>865</v>
      </c>
      <c r="F859" s="2" t="s">
        <v>114</v>
      </c>
      <c r="G859" s="19">
        <v>60750</v>
      </c>
      <c r="H859" s="4"/>
    </row>
    <row r="860" spans="4:8">
      <c r="D860" s="5">
        <v>35</v>
      </c>
      <c r="E860" s="3" t="s">
        <v>866</v>
      </c>
      <c r="F860" s="2" t="s">
        <v>114</v>
      </c>
      <c r="G860" s="19">
        <v>82000</v>
      </c>
      <c r="H860" s="4"/>
    </row>
    <row r="861" spans="4:8">
      <c r="D861" s="5">
        <v>36</v>
      </c>
      <c r="E861" s="3" t="s">
        <v>867</v>
      </c>
      <c r="F861" s="2" t="s">
        <v>114</v>
      </c>
      <c r="G861" s="19">
        <v>30500</v>
      </c>
      <c r="H861" s="4"/>
    </row>
    <row r="862" spans="4:8">
      <c r="D862" s="5">
        <v>37</v>
      </c>
      <c r="E862" s="3" t="s">
        <v>868</v>
      </c>
      <c r="F862" s="2" t="s">
        <v>114</v>
      </c>
      <c r="G862" s="19">
        <v>35200</v>
      </c>
      <c r="H862" s="4"/>
    </row>
    <row r="863" spans="4:8">
      <c r="D863" s="5">
        <v>38</v>
      </c>
      <c r="E863" s="3" t="s">
        <v>869</v>
      </c>
      <c r="F863" s="2" t="s">
        <v>114</v>
      </c>
      <c r="G863" s="19">
        <v>43350</v>
      </c>
      <c r="H863" s="4"/>
    </row>
    <row r="864" spans="4:8">
      <c r="D864" s="5">
        <v>40</v>
      </c>
      <c r="E864" s="3" t="s">
        <v>870</v>
      </c>
      <c r="F864" s="2" t="s">
        <v>114</v>
      </c>
      <c r="G864" s="19">
        <v>28500</v>
      </c>
      <c r="H864" s="4"/>
    </row>
    <row r="865" spans="4:8">
      <c r="D865" s="5">
        <v>41</v>
      </c>
      <c r="E865" s="3" t="s">
        <v>871</v>
      </c>
      <c r="F865" s="2" t="s">
        <v>114</v>
      </c>
      <c r="G865" s="19">
        <v>79600</v>
      </c>
      <c r="H865" s="4"/>
    </row>
    <row r="866" spans="4:8">
      <c r="D866" s="5">
        <v>42</v>
      </c>
      <c r="E866" s="3" t="s">
        <v>872</v>
      </c>
      <c r="F866" s="2" t="s">
        <v>114</v>
      </c>
      <c r="G866" s="19">
        <v>128900</v>
      </c>
      <c r="H866" s="4"/>
    </row>
    <row r="867" spans="4:8">
      <c r="D867" s="5">
        <v>43</v>
      </c>
      <c r="E867" s="3" t="s">
        <v>873</v>
      </c>
      <c r="F867" s="2" t="s">
        <v>114</v>
      </c>
      <c r="G867" s="19">
        <v>32900</v>
      </c>
      <c r="H867" s="4"/>
    </row>
    <row r="868" spans="4:8">
      <c r="D868" s="5">
        <v>44</v>
      </c>
      <c r="E868" s="3" t="s">
        <v>874</v>
      </c>
      <c r="F868" s="2" t="s">
        <v>114</v>
      </c>
      <c r="G868" s="19">
        <v>49000</v>
      </c>
      <c r="H868" s="4"/>
    </row>
    <row r="869" spans="4:8">
      <c r="D869" s="5">
        <v>45</v>
      </c>
      <c r="E869" s="3" t="s">
        <v>875</v>
      </c>
      <c r="F869" s="2" t="s">
        <v>114</v>
      </c>
      <c r="G869" s="19">
        <v>63500</v>
      </c>
      <c r="H869" s="4"/>
    </row>
    <row r="870" spans="4:8">
      <c r="D870" s="5">
        <v>47</v>
      </c>
      <c r="E870" s="3" t="s">
        <v>876</v>
      </c>
      <c r="F870" s="2" t="s">
        <v>114</v>
      </c>
      <c r="G870" s="19">
        <v>29400</v>
      </c>
      <c r="H870" s="4"/>
    </row>
    <row r="871" spans="4:8">
      <c r="D871" s="5">
        <v>48</v>
      </c>
      <c r="E871" s="3" t="s">
        <v>877</v>
      </c>
      <c r="F871" s="2" t="s">
        <v>114</v>
      </c>
      <c r="G871" s="19">
        <v>100600</v>
      </c>
      <c r="H871" s="4"/>
    </row>
    <row r="872" spans="4:8">
      <c r="D872" s="5">
        <v>49</v>
      </c>
      <c r="E872" s="3" t="s">
        <v>878</v>
      </c>
      <c r="F872" s="2" t="s">
        <v>114</v>
      </c>
      <c r="G872" s="19">
        <v>969500</v>
      </c>
      <c r="H872" s="4"/>
    </row>
    <row r="873" spans="4:8">
      <c r="D873" s="5">
        <v>50</v>
      </c>
      <c r="E873" s="3" t="s">
        <v>879</v>
      </c>
      <c r="F873" s="2" t="s">
        <v>114</v>
      </c>
      <c r="G873" s="19">
        <v>1187650</v>
      </c>
      <c r="H873" s="4"/>
    </row>
    <row r="874" spans="4:8">
      <c r="D874" s="5">
        <v>51</v>
      </c>
      <c r="E874" s="3" t="s">
        <v>880</v>
      </c>
      <c r="F874" s="2" t="s">
        <v>114</v>
      </c>
      <c r="G874" s="19">
        <v>159300</v>
      </c>
      <c r="H874" s="4"/>
    </row>
    <row r="875" spans="4:8">
      <c r="D875" s="5">
        <v>52</v>
      </c>
      <c r="E875" s="3" t="s">
        <v>881</v>
      </c>
      <c r="F875" s="2" t="s">
        <v>114</v>
      </c>
      <c r="G875" s="19">
        <v>1470650</v>
      </c>
      <c r="H875" s="4"/>
    </row>
    <row r="876" spans="4:8">
      <c r="D876" s="5">
        <v>53</v>
      </c>
      <c r="E876" s="3" t="s">
        <v>882</v>
      </c>
      <c r="F876" s="2" t="s">
        <v>114</v>
      </c>
      <c r="G876" s="19">
        <v>38600</v>
      </c>
      <c r="H876" s="4"/>
    </row>
    <row r="877" spans="4:8">
      <c r="D877" s="5">
        <v>54</v>
      </c>
      <c r="E877" s="3" t="s">
        <v>883</v>
      </c>
      <c r="F877" s="2" t="s">
        <v>114</v>
      </c>
      <c r="G877" s="19">
        <v>1921500</v>
      </c>
      <c r="H877" s="4"/>
    </row>
    <row r="878" spans="4:8">
      <c r="D878" s="5">
        <v>55</v>
      </c>
      <c r="E878" s="3" t="s">
        <v>884</v>
      </c>
      <c r="F878" s="2" t="s">
        <v>114</v>
      </c>
      <c r="G878" s="19">
        <v>247200</v>
      </c>
      <c r="H878" s="4"/>
    </row>
    <row r="879" spans="4:8">
      <c r="D879" s="5">
        <v>56</v>
      </c>
      <c r="E879" s="3" t="s">
        <v>885</v>
      </c>
      <c r="F879" s="2" t="s">
        <v>114</v>
      </c>
      <c r="G879" s="19">
        <v>2392250</v>
      </c>
      <c r="H879" s="4"/>
    </row>
    <row r="880" spans="4:8">
      <c r="D880" s="5">
        <v>57</v>
      </c>
      <c r="E880" s="3" t="s">
        <v>886</v>
      </c>
      <c r="F880" s="2" t="s">
        <v>114</v>
      </c>
      <c r="G880" s="19">
        <v>314750</v>
      </c>
      <c r="H880" s="4"/>
    </row>
    <row r="881" spans="4:8">
      <c r="D881" s="5">
        <v>58</v>
      </c>
      <c r="E881" s="3" t="s">
        <v>887</v>
      </c>
      <c r="F881" s="2" t="s">
        <v>114</v>
      </c>
      <c r="G881" s="19">
        <v>66000</v>
      </c>
      <c r="H881" s="4"/>
    </row>
    <row r="882" spans="4:8">
      <c r="D882" s="5">
        <v>59</v>
      </c>
      <c r="E882" s="3" t="s">
        <v>888</v>
      </c>
      <c r="F882" s="2" t="s">
        <v>114</v>
      </c>
      <c r="G882" s="19">
        <v>411600</v>
      </c>
      <c r="H882" s="4"/>
    </row>
    <row r="883" spans="4:8">
      <c r="D883" s="5">
        <v>60</v>
      </c>
      <c r="E883" s="3" t="s">
        <v>889</v>
      </c>
      <c r="F883" s="2" t="s">
        <v>114</v>
      </c>
      <c r="G883" s="19">
        <v>70200</v>
      </c>
      <c r="H883" s="4"/>
    </row>
    <row r="884" spans="4:8">
      <c r="D884" s="5">
        <v>61</v>
      </c>
      <c r="E884" s="3" t="s">
        <v>890</v>
      </c>
      <c r="F884" s="2" t="s">
        <v>114</v>
      </c>
      <c r="G884" s="19">
        <v>575250</v>
      </c>
      <c r="H884" s="4"/>
    </row>
    <row r="885" spans="4:8">
      <c r="D885" s="5">
        <v>62</v>
      </c>
      <c r="E885" s="3" t="s">
        <v>891</v>
      </c>
      <c r="F885" s="2" t="s">
        <v>114</v>
      </c>
      <c r="G885" s="19">
        <v>743750</v>
      </c>
      <c r="H885" s="4"/>
    </row>
    <row r="886" spans="4:8">
      <c r="D886" s="5">
        <v>63</v>
      </c>
      <c r="E886" s="3" t="s">
        <v>892</v>
      </c>
      <c r="F886" s="2" t="s">
        <v>114</v>
      </c>
      <c r="G886" s="19">
        <v>8880</v>
      </c>
      <c r="H886" s="4"/>
    </row>
    <row r="887" spans="4:8">
      <c r="D887" s="5">
        <v>64</v>
      </c>
      <c r="E887" s="3" t="s">
        <v>893</v>
      </c>
      <c r="F887" s="2" t="s">
        <v>114</v>
      </c>
      <c r="G887" s="19">
        <v>49000</v>
      </c>
      <c r="H887" s="4"/>
    </row>
    <row r="888" spans="4:8">
      <c r="D888" s="5">
        <v>65</v>
      </c>
      <c r="E888" s="3" t="s">
        <v>894</v>
      </c>
      <c r="F888" s="2" t="s">
        <v>114</v>
      </c>
      <c r="G888" s="19">
        <v>13250</v>
      </c>
      <c r="H888" s="4"/>
    </row>
    <row r="889" spans="4:8">
      <c r="D889" s="5">
        <v>66</v>
      </c>
      <c r="E889" s="3" t="s">
        <v>895</v>
      </c>
      <c r="F889" s="2" t="s">
        <v>114</v>
      </c>
      <c r="G889" s="19">
        <v>19950</v>
      </c>
      <c r="H889" s="4"/>
    </row>
    <row r="890" spans="4:8">
      <c r="D890" s="5">
        <v>67</v>
      </c>
      <c r="E890" s="3" t="s">
        <v>896</v>
      </c>
      <c r="F890" s="2" t="s">
        <v>114</v>
      </c>
      <c r="G890" s="19">
        <v>29000</v>
      </c>
      <c r="H890" s="4"/>
    </row>
    <row r="891" spans="4:8">
      <c r="D891" s="5">
        <v>68</v>
      </c>
      <c r="E891" s="3" t="s">
        <v>897</v>
      </c>
      <c r="F891" s="2" t="s">
        <v>114</v>
      </c>
      <c r="G891" s="19">
        <v>11400</v>
      </c>
      <c r="H891" s="4"/>
    </row>
    <row r="892" spans="4:8">
      <c r="D892" s="5">
        <v>69</v>
      </c>
      <c r="E892" s="3" t="s">
        <v>898</v>
      </c>
      <c r="F892" s="2" t="s">
        <v>114</v>
      </c>
      <c r="G892" s="19">
        <v>69200</v>
      </c>
      <c r="H892" s="4"/>
    </row>
    <row r="893" spans="4:8">
      <c r="D893" s="5">
        <v>70</v>
      </c>
      <c r="E893" s="3" t="s">
        <v>899</v>
      </c>
      <c r="F893" s="2" t="s">
        <v>114</v>
      </c>
      <c r="G893" s="19">
        <v>21300</v>
      </c>
      <c r="H893" s="4"/>
    </row>
    <row r="894" spans="4:8">
      <c r="D894" s="5">
        <v>71</v>
      </c>
      <c r="E894" s="3" t="s">
        <v>900</v>
      </c>
      <c r="F894" s="2" t="s">
        <v>114</v>
      </c>
      <c r="G894" s="19">
        <v>27000</v>
      </c>
      <c r="H894" s="4"/>
    </row>
    <row r="895" spans="4:8">
      <c r="D895" s="5">
        <v>72</v>
      </c>
      <c r="E895" s="3" t="s">
        <v>901</v>
      </c>
      <c r="F895" s="2" t="s">
        <v>114</v>
      </c>
      <c r="G895" s="19">
        <v>43100</v>
      </c>
      <c r="H895" s="4"/>
    </row>
    <row r="896" spans="4:8">
      <c r="D896" s="5">
        <v>73</v>
      </c>
      <c r="E896" s="3" t="s">
        <v>902</v>
      </c>
      <c r="F896" s="2" t="s">
        <v>114</v>
      </c>
      <c r="G896" s="19">
        <v>14400</v>
      </c>
      <c r="H896" s="4"/>
    </row>
    <row r="897" spans="4:8">
      <c r="D897" s="5">
        <v>74</v>
      </c>
      <c r="E897" s="3" t="s">
        <v>903</v>
      </c>
      <c r="F897" s="2" t="s">
        <v>114</v>
      </c>
      <c r="G897" s="19">
        <v>92900</v>
      </c>
      <c r="H897" s="4"/>
    </row>
    <row r="898" spans="4:8">
      <c r="D898" s="5">
        <v>75</v>
      </c>
      <c r="E898" s="3" t="s">
        <v>904</v>
      </c>
      <c r="F898" s="2" t="s">
        <v>114</v>
      </c>
      <c r="G898" s="19">
        <v>150000</v>
      </c>
      <c r="H898" s="4"/>
    </row>
    <row r="899" spans="4:8">
      <c r="D899" s="5">
        <v>76</v>
      </c>
      <c r="E899" s="3" t="s">
        <v>905</v>
      </c>
      <c r="F899" s="2" t="s">
        <v>114</v>
      </c>
      <c r="G899" s="19">
        <v>22700</v>
      </c>
      <c r="H899" s="4"/>
    </row>
    <row r="900" spans="4:8">
      <c r="D900" s="5">
        <v>77</v>
      </c>
      <c r="E900" s="3" t="s">
        <v>906</v>
      </c>
      <c r="F900" s="2" t="s">
        <v>114</v>
      </c>
      <c r="G900" s="19">
        <v>37000</v>
      </c>
      <c r="H900" s="4"/>
    </row>
    <row r="901" spans="4:8">
      <c r="D901" s="5">
        <v>78</v>
      </c>
      <c r="E901" s="3" t="s">
        <v>907</v>
      </c>
      <c r="F901" s="2" t="s">
        <v>114</v>
      </c>
      <c r="G901" s="19">
        <v>54400</v>
      </c>
      <c r="H901" s="4"/>
    </row>
    <row r="902" spans="4:8">
      <c r="D902" s="5">
        <v>79</v>
      </c>
      <c r="E902" s="3" t="s">
        <v>908</v>
      </c>
      <c r="F902" s="2" t="s">
        <v>114</v>
      </c>
      <c r="G902" s="19">
        <v>9300</v>
      </c>
      <c r="H902" s="4"/>
    </row>
    <row r="903" spans="4:8">
      <c r="D903" s="5">
        <v>80</v>
      </c>
      <c r="E903" s="3" t="s">
        <v>909</v>
      </c>
      <c r="F903" s="2" t="s">
        <v>114</v>
      </c>
      <c r="G903" s="19">
        <v>13900</v>
      </c>
      <c r="H903" s="4"/>
    </row>
    <row r="904" spans="4:8">
      <c r="D904" s="5">
        <v>81</v>
      </c>
      <c r="E904" s="3" t="s">
        <v>910</v>
      </c>
      <c r="F904" s="2" t="s">
        <v>114</v>
      </c>
      <c r="G904" s="19">
        <v>13400</v>
      </c>
      <c r="H904" s="4"/>
    </row>
    <row r="905" spans="4:8">
      <c r="D905" s="5">
        <v>82</v>
      </c>
      <c r="E905" s="3" t="s">
        <v>911</v>
      </c>
      <c r="F905" s="2" t="s">
        <v>114</v>
      </c>
      <c r="G905" s="19">
        <v>21300</v>
      </c>
      <c r="H905" s="4"/>
    </row>
    <row r="906" spans="4:8">
      <c r="D906" s="5">
        <v>83</v>
      </c>
      <c r="E906" s="3" t="s">
        <v>912</v>
      </c>
      <c r="F906" s="2" t="s">
        <v>114</v>
      </c>
      <c r="G906" s="19">
        <v>28700</v>
      </c>
      <c r="H906" s="4"/>
    </row>
    <row r="907" spans="4:8">
      <c r="D907" s="5">
        <v>84</v>
      </c>
      <c r="E907" s="3" t="s">
        <v>913</v>
      </c>
      <c r="F907" s="2" t="s">
        <v>114</v>
      </c>
      <c r="G907" s="19">
        <v>18000</v>
      </c>
      <c r="H907" s="4"/>
    </row>
    <row r="908" spans="4:8">
      <c r="D908" s="5">
        <v>85</v>
      </c>
      <c r="E908" s="3" t="s">
        <v>914</v>
      </c>
      <c r="F908" s="2" t="s">
        <v>114</v>
      </c>
      <c r="G908" s="19">
        <v>246500</v>
      </c>
      <c r="H908" s="4"/>
    </row>
    <row r="909" spans="4:8">
      <c r="D909" s="5">
        <v>86</v>
      </c>
      <c r="E909" s="3" t="s">
        <v>915</v>
      </c>
      <c r="F909" s="2" t="s">
        <v>114</v>
      </c>
      <c r="G909" s="19">
        <v>303000</v>
      </c>
      <c r="H909" s="4"/>
    </row>
    <row r="910" spans="4:8">
      <c r="D910" s="5">
        <v>87</v>
      </c>
      <c r="E910" s="3" t="s">
        <v>916</v>
      </c>
      <c r="F910" s="2" t="s">
        <v>114</v>
      </c>
      <c r="G910" s="19">
        <v>36000</v>
      </c>
      <c r="H910" s="4"/>
    </row>
    <row r="911" spans="4:8">
      <c r="D911" s="5">
        <v>88</v>
      </c>
      <c r="E911" s="3" t="s">
        <v>917</v>
      </c>
      <c r="F911" s="2" t="s">
        <v>114</v>
      </c>
      <c r="G911" s="19">
        <v>377000</v>
      </c>
      <c r="H911" s="4"/>
    </row>
    <row r="912" spans="4:8">
      <c r="D912" s="5">
        <v>89</v>
      </c>
      <c r="E912" s="3" t="s">
        <v>918</v>
      </c>
      <c r="F912" s="2" t="s">
        <v>114</v>
      </c>
      <c r="G912" s="19">
        <v>56000</v>
      </c>
      <c r="H912" s="4"/>
    </row>
    <row r="913" spans="4:8">
      <c r="D913" s="5">
        <v>90</v>
      </c>
      <c r="E913" s="3" t="s">
        <v>919</v>
      </c>
      <c r="F913" s="2" t="s">
        <v>114</v>
      </c>
      <c r="G913" s="19">
        <v>496000</v>
      </c>
      <c r="H913" s="4"/>
    </row>
    <row r="914" spans="4:8">
      <c r="D914" s="5">
        <v>91</v>
      </c>
      <c r="E914" s="3" t="s">
        <v>920</v>
      </c>
      <c r="F914" s="2" t="s">
        <v>114</v>
      </c>
      <c r="G914" s="19">
        <v>619000</v>
      </c>
      <c r="H914" s="4"/>
    </row>
    <row r="915" spans="4:8">
      <c r="D915" s="5">
        <v>92</v>
      </c>
      <c r="E915" s="3" t="s">
        <v>921</v>
      </c>
      <c r="F915" s="2" t="s">
        <v>114</v>
      </c>
      <c r="G915" s="19">
        <v>75000</v>
      </c>
      <c r="H915" s="4"/>
    </row>
    <row r="916" spans="4:8">
      <c r="D916" s="5">
        <v>93</v>
      </c>
      <c r="E916" s="3" t="s">
        <v>922</v>
      </c>
      <c r="F916" s="2" t="s">
        <v>114</v>
      </c>
      <c r="G916" s="19">
        <v>7500</v>
      </c>
      <c r="H916" s="4"/>
    </row>
    <row r="917" spans="4:8">
      <c r="D917" s="5">
        <v>94</v>
      </c>
      <c r="E917" s="3" t="s">
        <v>923</v>
      </c>
      <c r="F917" s="2" t="s">
        <v>114</v>
      </c>
      <c r="G917" s="19">
        <v>786000</v>
      </c>
      <c r="H917" s="4"/>
    </row>
    <row r="918" spans="4:8">
      <c r="D918" s="5">
        <v>95</v>
      </c>
      <c r="E918" s="3" t="s">
        <v>924</v>
      </c>
      <c r="F918" s="2" t="s">
        <v>114</v>
      </c>
      <c r="G918" s="19">
        <v>99600</v>
      </c>
      <c r="H918" s="4"/>
    </row>
    <row r="919" spans="4:8">
      <c r="D919" s="5">
        <v>96</v>
      </c>
      <c r="E919" s="3" t="s">
        <v>925</v>
      </c>
      <c r="F919" s="2" t="s">
        <v>114</v>
      </c>
      <c r="G919" s="19">
        <v>1004400</v>
      </c>
      <c r="H919" s="4"/>
    </row>
    <row r="920" spans="4:8">
      <c r="D920" s="5">
        <v>97</v>
      </c>
      <c r="E920" s="3" t="s">
        <v>926</v>
      </c>
      <c r="F920" s="2" t="s">
        <v>114</v>
      </c>
      <c r="G920" s="19">
        <v>12000</v>
      </c>
      <c r="H920" s="4"/>
    </row>
    <row r="921" spans="4:8">
      <c r="D921" s="5">
        <v>98</v>
      </c>
      <c r="E921" s="3" t="s">
        <v>927</v>
      </c>
      <c r="F921" s="2" t="s">
        <v>114</v>
      </c>
      <c r="G921" s="19">
        <v>1245000</v>
      </c>
      <c r="H921" s="4"/>
    </row>
    <row r="922" spans="4:8">
      <c r="D922" s="5">
        <v>99</v>
      </c>
      <c r="E922" s="3" t="s">
        <v>928</v>
      </c>
      <c r="F922" s="2" t="s">
        <v>114</v>
      </c>
      <c r="G922" s="19">
        <v>142000</v>
      </c>
      <c r="H922" s="4"/>
    </row>
    <row r="923" spans="4:8">
      <c r="D923" s="5">
        <v>100</v>
      </c>
      <c r="E923" s="3" t="s">
        <v>929</v>
      </c>
      <c r="F923" s="2" t="s">
        <v>114</v>
      </c>
      <c r="G923" s="19">
        <v>196500</v>
      </c>
      <c r="H923" s="4"/>
    </row>
    <row r="924" spans="4:8">
      <c r="D924" s="5">
        <v>101</v>
      </c>
      <c r="E924" s="3" t="s">
        <v>930</v>
      </c>
      <c r="F924" s="2" t="s">
        <v>114</v>
      </c>
      <c r="G924" s="19">
        <v>12000</v>
      </c>
      <c r="H924" s="4"/>
    </row>
    <row r="925" spans="4:8">
      <c r="D925" s="5">
        <v>102</v>
      </c>
      <c r="E925" s="3" t="s">
        <v>931</v>
      </c>
      <c r="F925" s="2" t="s">
        <v>114</v>
      </c>
      <c r="G925" s="19">
        <v>57500</v>
      </c>
      <c r="H925" s="4"/>
    </row>
    <row r="926" spans="4:8">
      <c r="D926" s="5">
        <v>103</v>
      </c>
      <c r="E926" s="3" t="s">
        <v>932</v>
      </c>
      <c r="F926" s="2" t="s">
        <v>114</v>
      </c>
      <c r="G926" s="19">
        <v>92000</v>
      </c>
      <c r="H926" s="4"/>
    </row>
    <row r="927" spans="4:8">
      <c r="D927" s="5">
        <v>104</v>
      </c>
      <c r="E927" s="3" t="s">
        <v>933</v>
      </c>
      <c r="F927" s="2" t="s">
        <v>114</v>
      </c>
      <c r="G927" s="19">
        <v>16560</v>
      </c>
      <c r="H927" s="4"/>
    </row>
    <row r="928" spans="4:8">
      <c r="D928" s="5">
        <v>105</v>
      </c>
      <c r="E928" s="3" t="s">
        <v>934</v>
      </c>
      <c r="F928" s="2" t="s">
        <v>114</v>
      </c>
      <c r="G928" s="19">
        <v>23000</v>
      </c>
      <c r="H928" s="4"/>
    </row>
    <row r="929" spans="4:8">
      <c r="D929" s="5">
        <v>106</v>
      </c>
      <c r="E929" s="3" t="s">
        <v>935</v>
      </c>
      <c r="F929" s="2" t="s">
        <v>114</v>
      </c>
      <c r="G929" s="19">
        <v>35000</v>
      </c>
      <c r="H929" s="4"/>
    </row>
    <row r="930" spans="4:8">
      <c r="D930" s="5">
        <v>107</v>
      </c>
      <c r="E930" s="3" t="s">
        <v>936</v>
      </c>
      <c r="F930" s="2" t="s">
        <v>114</v>
      </c>
      <c r="G930" s="19">
        <v>15000</v>
      </c>
      <c r="H930" s="4"/>
    </row>
    <row r="931" spans="4:8">
      <c r="D931" s="5">
        <v>108</v>
      </c>
      <c r="E931" s="3" t="s">
        <v>937</v>
      </c>
      <c r="F931" s="2" t="s">
        <v>114</v>
      </c>
      <c r="G931" s="19">
        <v>74600</v>
      </c>
      <c r="H931" s="4"/>
    </row>
    <row r="932" spans="4:8">
      <c r="D932" s="5">
        <v>109</v>
      </c>
      <c r="E932" s="3" t="s">
        <v>938</v>
      </c>
      <c r="F932" s="2" t="s">
        <v>114</v>
      </c>
      <c r="G932" s="19">
        <v>114000</v>
      </c>
      <c r="H932" s="4"/>
    </row>
    <row r="933" spans="4:8">
      <c r="D933" s="5">
        <v>110</v>
      </c>
      <c r="E933" s="3" t="s">
        <v>939</v>
      </c>
      <c r="F933" s="2" t="s">
        <v>114</v>
      </c>
      <c r="G933" s="19">
        <v>21500</v>
      </c>
      <c r="H933" s="4"/>
    </row>
    <row r="934" spans="4:8">
      <c r="D934" s="5">
        <v>111</v>
      </c>
      <c r="E934" s="3" t="s">
        <v>940</v>
      </c>
      <c r="F934" s="2" t="s">
        <v>114</v>
      </c>
      <c r="G934" s="19">
        <v>174900</v>
      </c>
      <c r="H934" s="4"/>
    </row>
    <row r="935" spans="4:8">
      <c r="D935" s="5">
        <v>112</v>
      </c>
      <c r="E935" s="3" t="s">
        <v>941</v>
      </c>
      <c r="F935" s="2" t="s">
        <v>114</v>
      </c>
      <c r="G935" s="19">
        <v>235500</v>
      </c>
      <c r="H935" s="4"/>
    </row>
    <row r="936" spans="4:8">
      <c r="D936" s="5">
        <v>113</v>
      </c>
      <c r="E936" s="3" t="s">
        <v>942</v>
      </c>
      <c r="F936" s="2" t="s">
        <v>114</v>
      </c>
      <c r="G936" s="19">
        <v>33000</v>
      </c>
      <c r="H936" s="4"/>
    </row>
    <row r="937" spans="4:8">
      <c r="D937" s="5">
        <v>114</v>
      </c>
      <c r="E937" s="3" t="s">
        <v>943</v>
      </c>
      <c r="F937" s="2" t="s">
        <v>114</v>
      </c>
      <c r="G937" s="19">
        <v>305700</v>
      </c>
      <c r="H937" s="4"/>
    </row>
    <row r="938" spans="4:8">
      <c r="D938" s="5">
        <v>115</v>
      </c>
      <c r="E938" s="3" t="s">
        <v>944</v>
      </c>
      <c r="F938" s="2" t="s">
        <v>114</v>
      </c>
      <c r="G938" s="19">
        <v>46000</v>
      </c>
      <c r="H938" s="4"/>
    </row>
    <row r="939" spans="4:8">
      <c r="D939" s="5">
        <v>116</v>
      </c>
      <c r="E939" s="3" t="s">
        <v>945</v>
      </c>
      <c r="F939" s="2" t="s">
        <v>114</v>
      </c>
      <c r="G939" s="19">
        <v>18600</v>
      </c>
      <c r="H939" s="4"/>
    </row>
    <row r="940" spans="4:8">
      <c r="D940" s="5">
        <v>117</v>
      </c>
      <c r="E940" s="3" t="s">
        <v>946</v>
      </c>
      <c r="F940" s="2" t="s">
        <v>114</v>
      </c>
      <c r="G940" s="19">
        <v>96000</v>
      </c>
      <c r="H940" s="4"/>
    </row>
    <row r="941" spans="4:8">
      <c r="D941" s="5">
        <v>118</v>
      </c>
      <c r="E941" s="3" t="s">
        <v>947</v>
      </c>
      <c r="F941" s="2" t="s">
        <v>114</v>
      </c>
      <c r="G941" s="19">
        <v>1011900</v>
      </c>
      <c r="H941" s="4"/>
    </row>
    <row r="942" spans="4:8">
      <c r="D942" s="5">
        <v>119</v>
      </c>
      <c r="E942" s="3" t="s">
        <v>948</v>
      </c>
      <c r="F942" s="2" t="s">
        <v>114</v>
      </c>
      <c r="G942" s="19">
        <v>1245000</v>
      </c>
      <c r="H942" s="4"/>
    </row>
    <row r="943" spans="4:8">
      <c r="D943" s="5">
        <v>120</v>
      </c>
      <c r="E943" s="3" t="s">
        <v>949</v>
      </c>
      <c r="F943" s="2" t="s">
        <v>114</v>
      </c>
      <c r="G943" s="19">
        <v>148500</v>
      </c>
      <c r="H943" s="4"/>
    </row>
    <row r="944" spans="4:8">
      <c r="D944" s="5">
        <v>121</v>
      </c>
      <c r="E944" s="3" t="s">
        <v>950</v>
      </c>
      <c r="F944" s="2" t="s">
        <v>114</v>
      </c>
      <c r="G944" s="19">
        <v>1552800</v>
      </c>
      <c r="H944" s="4"/>
    </row>
    <row r="945" spans="4:8">
      <c r="D945" s="5">
        <v>122</v>
      </c>
      <c r="E945" s="3" t="s">
        <v>951</v>
      </c>
      <c r="F945" s="2" t="s">
        <v>114</v>
      </c>
      <c r="G945" s="19">
        <v>28620</v>
      </c>
      <c r="H945" s="4"/>
    </row>
    <row r="946" spans="4:8">
      <c r="D946" s="5">
        <v>123</v>
      </c>
      <c r="E946" s="3" t="s">
        <v>952</v>
      </c>
      <c r="F946" s="2" t="s">
        <v>114</v>
      </c>
      <c r="G946" s="19">
        <v>2044800</v>
      </c>
      <c r="H946" s="4"/>
    </row>
    <row r="947" spans="4:8">
      <c r="D947" s="5">
        <v>124</v>
      </c>
      <c r="E947" s="3" t="s">
        <v>953</v>
      </c>
      <c r="F947" s="2" t="s">
        <v>114</v>
      </c>
      <c r="G947" s="19">
        <v>228000</v>
      </c>
      <c r="H947" s="4"/>
    </row>
    <row r="948" spans="4:8">
      <c r="D948" s="5">
        <v>125</v>
      </c>
      <c r="E948" s="3" t="s">
        <v>954</v>
      </c>
      <c r="F948" s="2" t="s">
        <v>114</v>
      </c>
      <c r="G948" s="19">
        <v>2550900</v>
      </c>
      <c r="H948" s="4"/>
    </row>
    <row r="949" spans="4:8">
      <c r="D949" s="5">
        <v>126</v>
      </c>
      <c r="E949" s="3" t="s">
        <v>955</v>
      </c>
      <c r="F949" s="2" t="s">
        <v>114</v>
      </c>
      <c r="G949" s="19">
        <v>310500</v>
      </c>
      <c r="H949" s="4"/>
    </row>
    <row r="950" spans="4:8">
      <c r="D950" s="5">
        <v>127</v>
      </c>
      <c r="E950" s="3" t="s">
        <v>956</v>
      </c>
      <c r="F950" s="2" t="s">
        <v>114</v>
      </c>
      <c r="G950" s="19">
        <v>43000</v>
      </c>
      <c r="H950" s="4"/>
    </row>
    <row r="951" spans="4:8">
      <c r="D951" s="5">
        <v>128</v>
      </c>
      <c r="E951" s="3" t="s">
        <v>957</v>
      </c>
      <c r="F951" s="2" t="s">
        <v>114</v>
      </c>
      <c r="G951" s="19">
        <v>412200</v>
      </c>
      <c r="H951" s="4"/>
    </row>
    <row r="952" spans="4:8">
      <c r="D952" s="5">
        <v>129</v>
      </c>
      <c r="E952" s="3" t="s">
        <v>958</v>
      </c>
      <c r="F952" s="2" t="s">
        <v>114</v>
      </c>
      <c r="G952" s="19">
        <v>61000</v>
      </c>
      <c r="H952" s="4"/>
    </row>
    <row r="953" spans="4:8">
      <c r="D953" s="5">
        <v>130</v>
      </c>
      <c r="E953" s="3" t="s">
        <v>959</v>
      </c>
      <c r="F953" s="2" t="s">
        <v>114</v>
      </c>
      <c r="G953" s="19">
        <v>584700</v>
      </c>
      <c r="H953" s="4"/>
    </row>
    <row r="954" spans="4:8">
      <c r="D954" s="5">
        <v>131</v>
      </c>
      <c r="E954" s="3" t="s">
        <v>960</v>
      </c>
      <c r="F954" s="2" t="s">
        <v>114</v>
      </c>
      <c r="G954" s="19">
        <v>805200</v>
      </c>
      <c r="H954" s="4"/>
    </row>
    <row r="955" spans="4:8">
      <c r="D955" s="5">
        <v>132</v>
      </c>
      <c r="E955" s="3" t="s">
        <v>961</v>
      </c>
      <c r="F955" s="2" t="s">
        <v>114</v>
      </c>
      <c r="G955" s="19">
        <v>175000</v>
      </c>
      <c r="H955" s="4"/>
    </row>
    <row r="956" spans="4:8">
      <c r="D956" s="5">
        <v>133</v>
      </c>
      <c r="E956" s="3" t="s">
        <v>962</v>
      </c>
      <c r="F956" s="2" t="s">
        <v>114</v>
      </c>
      <c r="G956" s="19">
        <v>219000</v>
      </c>
      <c r="H956" s="4"/>
    </row>
    <row r="957" spans="4:8">
      <c r="D957" s="5">
        <v>134</v>
      </c>
      <c r="E957" s="3" t="s">
        <v>963</v>
      </c>
      <c r="F957" s="2" t="s">
        <v>114</v>
      </c>
      <c r="G957" s="19">
        <v>265000</v>
      </c>
      <c r="H957" s="4"/>
    </row>
    <row r="958" spans="4:8">
      <c r="D958" s="5">
        <v>135</v>
      </c>
      <c r="E958" s="3" t="s">
        <v>964</v>
      </c>
      <c r="F958" s="2" t="s">
        <v>114</v>
      </c>
      <c r="G958" s="19">
        <v>309000</v>
      </c>
      <c r="H958" s="4"/>
    </row>
    <row r="959" spans="4:8">
      <c r="D959" s="5">
        <v>136</v>
      </c>
      <c r="E959" s="3" t="s">
        <v>965</v>
      </c>
      <c r="F959" s="2" t="s">
        <v>114</v>
      </c>
      <c r="G959" s="19">
        <v>352000</v>
      </c>
      <c r="H959" s="4"/>
    </row>
    <row r="960" spans="4:8">
      <c r="D960" s="5">
        <v>137</v>
      </c>
      <c r="E960" s="3" t="s">
        <v>966</v>
      </c>
      <c r="F960" s="2" t="s">
        <v>44</v>
      </c>
      <c r="G960" s="19">
        <v>6000</v>
      </c>
      <c r="H960" s="4"/>
    </row>
    <row r="961" spans="4:8">
      <c r="D961" s="5">
        <v>138</v>
      </c>
      <c r="E961" s="3" t="s">
        <v>967</v>
      </c>
      <c r="F961" s="2" t="s">
        <v>44</v>
      </c>
      <c r="G961" s="19">
        <v>1000</v>
      </c>
      <c r="H961" s="4"/>
    </row>
    <row r="962" spans="4:8">
      <c r="D962" s="5">
        <v>139</v>
      </c>
      <c r="E962" s="3" t="s">
        <v>968</v>
      </c>
      <c r="F962" s="2" t="s">
        <v>114</v>
      </c>
      <c r="G962" s="19">
        <v>4100</v>
      </c>
      <c r="H962" s="4"/>
    </row>
    <row r="963" spans="4:8">
      <c r="D963" s="5"/>
      <c r="E963" s="36" t="s">
        <v>969</v>
      </c>
      <c r="F963" s="37"/>
      <c r="G963" s="38"/>
      <c r="H963" s="39"/>
    </row>
    <row r="964" spans="4:8">
      <c r="D964" s="5">
        <v>1</v>
      </c>
      <c r="E964" s="3" t="s">
        <v>970</v>
      </c>
      <c r="F964" s="2" t="s">
        <v>535</v>
      </c>
      <c r="G964" s="19">
        <v>200</v>
      </c>
      <c r="H964" s="4"/>
    </row>
    <row r="965" spans="4:8">
      <c r="D965" s="5">
        <v>2</v>
      </c>
      <c r="E965" s="196" t="s">
        <v>1408</v>
      </c>
      <c r="F965" s="2" t="s">
        <v>42</v>
      </c>
      <c r="G965" s="19">
        <v>50000</v>
      </c>
      <c r="H965" s="4"/>
    </row>
    <row r="966" spans="4:8">
      <c r="D966" s="5">
        <v>3</v>
      </c>
      <c r="E966" s="3" t="s">
        <v>971</v>
      </c>
      <c r="F966" s="2" t="s">
        <v>63</v>
      </c>
      <c r="G966" s="19">
        <v>179000</v>
      </c>
      <c r="H966" s="4"/>
    </row>
    <row r="967" spans="4:8">
      <c r="D967" s="5">
        <v>4</v>
      </c>
      <c r="E967" s="3" t="s">
        <v>972</v>
      </c>
      <c r="F967" s="2" t="s">
        <v>973</v>
      </c>
      <c r="G967" s="19">
        <v>30000</v>
      </c>
      <c r="H967" s="4"/>
    </row>
    <row r="968" spans="4:8">
      <c r="D968" s="5">
        <v>5</v>
      </c>
      <c r="E968" s="3" t="s">
        <v>974</v>
      </c>
      <c r="F968" s="2" t="s">
        <v>44</v>
      </c>
      <c r="G968" s="19">
        <v>68600</v>
      </c>
      <c r="H968" s="4"/>
    </row>
    <row r="969" spans="4:8">
      <c r="D969" s="5">
        <v>6</v>
      </c>
      <c r="E969" s="3" t="s">
        <v>975</v>
      </c>
      <c r="F969" s="2" t="s">
        <v>63</v>
      </c>
      <c r="G969" s="19">
        <v>10000</v>
      </c>
      <c r="H969" s="4"/>
    </row>
    <row r="970" spans="4:8">
      <c r="D970" s="5">
        <v>7</v>
      </c>
      <c r="E970" s="3" t="s">
        <v>976</v>
      </c>
      <c r="F970" s="2" t="s">
        <v>63</v>
      </c>
      <c r="G970" s="19">
        <v>11000</v>
      </c>
      <c r="H970" s="4"/>
    </row>
    <row r="971" spans="4:8">
      <c r="D971" s="5">
        <v>8</v>
      </c>
      <c r="E971" s="3" t="s">
        <v>977</v>
      </c>
      <c r="F971" s="2" t="s">
        <v>133</v>
      </c>
      <c r="G971" s="19">
        <v>3900</v>
      </c>
      <c r="H971" s="4"/>
    </row>
    <row r="972" spans="4:8">
      <c r="D972" s="5">
        <v>9</v>
      </c>
      <c r="E972" s="3" t="s">
        <v>978</v>
      </c>
      <c r="F972" s="2" t="s">
        <v>107</v>
      </c>
      <c r="G972" s="19">
        <v>77200</v>
      </c>
      <c r="H972" s="4"/>
    </row>
    <row r="973" spans="4:8">
      <c r="D973" s="5">
        <v>10</v>
      </c>
      <c r="E973" s="3" t="s">
        <v>979</v>
      </c>
      <c r="F973" s="2" t="s">
        <v>107</v>
      </c>
      <c r="G973" s="19">
        <v>82400</v>
      </c>
      <c r="H973" s="4"/>
    </row>
    <row r="974" spans="4:8">
      <c r="D974" s="5">
        <v>11</v>
      </c>
      <c r="E974" s="3" t="s">
        <v>980</v>
      </c>
      <c r="F974" s="2" t="s">
        <v>107</v>
      </c>
      <c r="G974" s="19">
        <v>106000</v>
      </c>
      <c r="H974" s="4"/>
    </row>
    <row r="975" spans="4:8">
      <c r="D975" s="5">
        <v>12</v>
      </c>
      <c r="E975" s="196" t="s">
        <v>1976</v>
      </c>
      <c r="F975" s="2" t="s">
        <v>114</v>
      </c>
      <c r="G975" s="19">
        <v>17667</v>
      </c>
      <c r="H975" s="4"/>
    </row>
    <row r="976" spans="4:8">
      <c r="D976" s="5">
        <v>13</v>
      </c>
      <c r="E976" s="3" t="s">
        <v>981</v>
      </c>
      <c r="F976" s="2" t="s">
        <v>42</v>
      </c>
      <c r="G976" s="19">
        <v>755000</v>
      </c>
      <c r="H976" s="4"/>
    </row>
    <row r="977" spans="4:8">
      <c r="D977" s="5">
        <v>14</v>
      </c>
      <c r="E977" s="3" t="s">
        <v>982</v>
      </c>
      <c r="F977" s="2" t="s">
        <v>239</v>
      </c>
      <c r="G977" s="19">
        <v>145000</v>
      </c>
      <c r="H977" s="4"/>
    </row>
    <row r="978" spans="4:8">
      <c r="D978" s="5">
        <v>15</v>
      </c>
      <c r="E978" s="3" t="s">
        <v>983</v>
      </c>
      <c r="F978" s="2" t="s">
        <v>239</v>
      </c>
      <c r="G978" s="19">
        <v>170000</v>
      </c>
      <c r="H978" s="4"/>
    </row>
    <row r="979" spans="4:8">
      <c r="D979" s="5">
        <v>16</v>
      </c>
      <c r="E979" s="3" t="s">
        <v>984</v>
      </c>
      <c r="F979" s="2" t="s">
        <v>66</v>
      </c>
      <c r="G979" s="19">
        <v>6100</v>
      </c>
      <c r="H979" s="4"/>
    </row>
    <row r="980" spans="4:8">
      <c r="D980" s="5">
        <v>17</v>
      </c>
      <c r="E980" s="3" t="s">
        <v>985</v>
      </c>
      <c r="F980" s="2" t="s">
        <v>139</v>
      </c>
      <c r="G980" s="19">
        <v>1262500</v>
      </c>
      <c r="H980" s="4"/>
    </row>
    <row r="981" spans="4:8">
      <c r="D981" s="5">
        <v>18</v>
      </c>
      <c r="E981" s="3" t="s">
        <v>986</v>
      </c>
      <c r="F981" s="2" t="s">
        <v>139</v>
      </c>
      <c r="G981" s="19">
        <v>1040000</v>
      </c>
      <c r="H981" s="4"/>
    </row>
    <row r="982" spans="4:8">
      <c r="D982" s="5">
        <v>19</v>
      </c>
      <c r="E982" s="3" t="s">
        <v>987</v>
      </c>
      <c r="F982" s="2" t="s">
        <v>44</v>
      </c>
      <c r="G982" s="19">
        <v>2626500</v>
      </c>
      <c r="H982" s="4"/>
    </row>
    <row r="983" spans="4:8">
      <c r="D983" s="5">
        <v>20</v>
      </c>
      <c r="E983" s="3" t="s">
        <v>988</v>
      </c>
      <c r="F983" s="2" t="s">
        <v>44</v>
      </c>
      <c r="G983" s="19">
        <v>555600</v>
      </c>
      <c r="H983" s="4"/>
    </row>
    <row r="984" spans="4:8">
      <c r="D984" s="5">
        <v>21</v>
      </c>
      <c r="E984" s="3" t="s">
        <v>989</v>
      </c>
      <c r="F984" s="2" t="s">
        <v>66</v>
      </c>
      <c r="G984" s="19">
        <v>180000</v>
      </c>
      <c r="H984" s="4"/>
    </row>
    <row r="985" spans="4:8">
      <c r="D985" s="5">
        <v>22</v>
      </c>
      <c r="E985" s="3" t="s">
        <v>990</v>
      </c>
      <c r="F985" s="2" t="s">
        <v>991</v>
      </c>
      <c r="G985" s="19">
        <v>225000</v>
      </c>
      <c r="H985" s="4"/>
    </row>
    <row r="986" spans="4:8">
      <c r="D986" s="5">
        <v>23</v>
      </c>
      <c r="E986" s="3" t="s">
        <v>992</v>
      </c>
      <c r="F986" s="2" t="s">
        <v>63</v>
      </c>
      <c r="G986" s="19">
        <v>100000</v>
      </c>
      <c r="H986" s="4"/>
    </row>
    <row r="987" spans="4:8">
      <c r="D987" s="5">
        <v>24</v>
      </c>
      <c r="E987" s="3" t="s">
        <v>993</v>
      </c>
      <c r="F987" s="2" t="s">
        <v>66</v>
      </c>
      <c r="G987" s="19">
        <v>216700</v>
      </c>
      <c r="H987" s="4"/>
    </row>
    <row r="988" spans="4:8">
      <c r="D988" s="5">
        <v>25</v>
      </c>
      <c r="E988" s="3" t="s">
        <v>994</v>
      </c>
      <c r="F988" s="2" t="s">
        <v>133</v>
      </c>
      <c r="G988" s="19">
        <v>51400</v>
      </c>
      <c r="H988" s="4"/>
    </row>
    <row r="989" spans="4:8">
      <c r="D989" s="5">
        <v>26</v>
      </c>
      <c r="E989" s="3" t="s">
        <v>995</v>
      </c>
      <c r="F989" s="2" t="s">
        <v>133</v>
      </c>
      <c r="G989" s="19">
        <v>170000</v>
      </c>
      <c r="H989" s="4"/>
    </row>
    <row r="990" spans="4:8">
      <c r="D990" s="5">
        <v>27</v>
      </c>
      <c r="E990" s="3" t="s">
        <v>996</v>
      </c>
      <c r="F990" s="2" t="s">
        <v>53</v>
      </c>
      <c r="G990" s="19">
        <v>10600</v>
      </c>
      <c r="H990" s="4"/>
    </row>
    <row r="991" spans="4:8">
      <c r="D991" s="5">
        <v>28</v>
      </c>
      <c r="E991" s="3" t="s">
        <v>997</v>
      </c>
      <c r="F991" s="2" t="s">
        <v>63</v>
      </c>
      <c r="G991" s="19">
        <v>29167</v>
      </c>
      <c r="H991" s="4"/>
    </row>
    <row r="992" spans="4:8">
      <c r="D992" s="5">
        <v>29</v>
      </c>
      <c r="E992" s="3" t="s">
        <v>998</v>
      </c>
      <c r="F992" s="2" t="s">
        <v>114</v>
      </c>
      <c r="G992" s="19">
        <v>761200</v>
      </c>
      <c r="H992" s="4"/>
    </row>
    <row r="993" spans="4:8">
      <c r="D993" s="5">
        <v>30</v>
      </c>
      <c r="E993" s="3" t="s">
        <v>999</v>
      </c>
      <c r="F993" s="2" t="s">
        <v>44</v>
      </c>
      <c r="G993" s="19">
        <v>20200</v>
      </c>
      <c r="H993" s="4"/>
    </row>
    <row r="994" spans="4:8">
      <c r="D994" s="5">
        <v>31</v>
      </c>
      <c r="E994" s="3" t="s">
        <v>1000</v>
      </c>
      <c r="F994" s="2" t="s">
        <v>44</v>
      </c>
      <c r="G994" s="19">
        <v>9200</v>
      </c>
      <c r="H994" s="4"/>
    </row>
    <row r="995" spans="4:8">
      <c r="D995" s="5">
        <v>32</v>
      </c>
      <c r="E995" s="3" t="s">
        <v>1001</v>
      </c>
      <c r="F995" s="2" t="s">
        <v>42</v>
      </c>
      <c r="G995" s="19">
        <v>39700</v>
      </c>
      <c r="H995" s="4"/>
    </row>
    <row r="996" spans="4:8">
      <c r="D996" s="5">
        <v>33</v>
      </c>
      <c r="E996" s="3" t="s">
        <v>1002</v>
      </c>
      <c r="F996" s="2" t="s">
        <v>63</v>
      </c>
      <c r="G996" s="19">
        <v>70000</v>
      </c>
      <c r="H996" s="4"/>
    </row>
    <row r="997" spans="4:8">
      <c r="D997" s="5">
        <v>34</v>
      </c>
      <c r="E997" s="3" t="s">
        <v>1003</v>
      </c>
      <c r="F997" s="2" t="s">
        <v>139</v>
      </c>
      <c r="G997" s="19">
        <v>2156800</v>
      </c>
      <c r="H997" s="4"/>
    </row>
    <row r="998" spans="4:8">
      <c r="D998" s="5">
        <v>35</v>
      </c>
      <c r="E998" s="3" t="s">
        <v>1004</v>
      </c>
      <c r="F998" s="2" t="s">
        <v>139</v>
      </c>
      <c r="G998" s="19">
        <v>2740500</v>
      </c>
      <c r="H998" s="4"/>
    </row>
    <row r="999" spans="4:8">
      <c r="D999" s="5">
        <v>36</v>
      </c>
      <c r="E999" s="3" t="s">
        <v>1005</v>
      </c>
      <c r="F999" s="2" t="s">
        <v>139</v>
      </c>
      <c r="G999" s="19">
        <v>5481000</v>
      </c>
      <c r="H999" s="4"/>
    </row>
    <row r="1000" spans="4:8">
      <c r="D1000" s="5">
        <v>37</v>
      </c>
      <c r="E1000" s="3" t="s">
        <v>1006</v>
      </c>
      <c r="F1000" s="2" t="s">
        <v>66</v>
      </c>
      <c r="G1000" s="19">
        <v>37300</v>
      </c>
      <c r="H1000" s="4"/>
    </row>
    <row r="1001" spans="4:8">
      <c r="D1001" s="5">
        <v>38</v>
      </c>
      <c r="E1001" s="3" t="s">
        <v>1007</v>
      </c>
      <c r="F1001" s="2" t="s">
        <v>42</v>
      </c>
      <c r="G1001" s="19">
        <v>263700</v>
      </c>
      <c r="H1001" s="4"/>
    </row>
    <row r="1002" spans="4:8">
      <c r="D1002" s="5">
        <v>39</v>
      </c>
      <c r="E1002" s="3" t="s">
        <v>1008</v>
      </c>
      <c r="F1002" s="2" t="s">
        <v>66</v>
      </c>
      <c r="G1002" s="19">
        <v>7000</v>
      </c>
      <c r="H1002" s="4"/>
    </row>
    <row r="1003" spans="4:8">
      <c r="D1003" s="5">
        <v>40</v>
      </c>
      <c r="E1003" s="3" t="s">
        <v>1009</v>
      </c>
      <c r="F1003" s="2" t="s">
        <v>63</v>
      </c>
      <c r="G1003" s="19">
        <v>14500</v>
      </c>
      <c r="H1003" s="4"/>
    </row>
    <row r="1004" spans="4:8">
      <c r="D1004" s="5">
        <v>41</v>
      </c>
      <c r="E1004" s="3" t="s">
        <v>1010</v>
      </c>
      <c r="F1004" s="2" t="s">
        <v>44</v>
      </c>
      <c r="G1004" s="19">
        <v>3900</v>
      </c>
      <c r="H1004" s="4"/>
    </row>
    <row r="1005" spans="4:8">
      <c r="D1005" s="5">
        <v>42</v>
      </c>
      <c r="E1005" s="3" t="s">
        <v>1011</v>
      </c>
      <c r="F1005" s="2" t="s">
        <v>107</v>
      </c>
      <c r="G1005" s="19">
        <v>710500</v>
      </c>
      <c r="H1005" s="4"/>
    </row>
    <row r="1006" spans="4:8">
      <c r="D1006" s="5">
        <v>43</v>
      </c>
      <c r="E1006" s="3" t="s">
        <v>1012</v>
      </c>
      <c r="F1006" s="2" t="s">
        <v>66</v>
      </c>
      <c r="G1006" s="19">
        <v>42500</v>
      </c>
      <c r="H1006" s="4"/>
    </row>
    <row r="1007" spans="4:8">
      <c r="D1007" s="5">
        <v>44</v>
      </c>
      <c r="E1007" s="3" t="s">
        <v>1013</v>
      </c>
      <c r="F1007" s="2" t="s">
        <v>66</v>
      </c>
      <c r="G1007" s="19">
        <v>145000</v>
      </c>
      <c r="H1007" s="4"/>
    </row>
    <row r="1008" spans="4:8">
      <c r="D1008" s="5">
        <v>45</v>
      </c>
      <c r="E1008" s="3" t="s">
        <v>1014</v>
      </c>
      <c r="F1008" s="2" t="s">
        <v>66</v>
      </c>
      <c r="G1008" s="19">
        <v>16400</v>
      </c>
      <c r="H1008" s="4"/>
    </row>
    <row r="1009" spans="4:8">
      <c r="D1009" s="5">
        <v>46</v>
      </c>
      <c r="E1009" s="3" t="s">
        <v>1015</v>
      </c>
      <c r="F1009" s="2" t="s">
        <v>66</v>
      </c>
      <c r="G1009" s="19">
        <v>36900</v>
      </c>
      <c r="H1009" s="4"/>
    </row>
    <row r="1010" spans="4:8">
      <c r="D1010" s="5">
        <v>47</v>
      </c>
      <c r="E1010" s="3" t="s">
        <v>1016</v>
      </c>
      <c r="F1010" s="2" t="s">
        <v>44</v>
      </c>
      <c r="G1010" s="19">
        <v>1167200</v>
      </c>
      <c r="H1010" s="4"/>
    </row>
    <row r="1011" spans="4:8">
      <c r="D1011" s="5">
        <v>48</v>
      </c>
      <c r="E1011" s="3" t="s">
        <v>1017</v>
      </c>
      <c r="F1011" s="2" t="s">
        <v>44</v>
      </c>
      <c r="G1011" s="19">
        <v>140000</v>
      </c>
      <c r="H1011" s="4"/>
    </row>
    <row r="1012" spans="4:8">
      <c r="D1012" s="5">
        <v>49</v>
      </c>
      <c r="E1012" s="3" t="s">
        <v>1018</v>
      </c>
      <c r="F1012" s="2" t="s">
        <v>44</v>
      </c>
      <c r="G1012" s="19">
        <v>525200</v>
      </c>
      <c r="H1012" s="4"/>
    </row>
    <row r="1013" spans="4:8">
      <c r="D1013" s="5">
        <v>50</v>
      </c>
      <c r="E1013" s="3" t="s">
        <v>1019</v>
      </c>
      <c r="F1013" s="2" t="s">
        <v>44</v>
      </c>
      <c r="G1013" s="19">
        <v>817000</v>
      </c>
      <c r="H1013" s="4"/>
    </row>
    <row r="1014" spans="4:8">
      <c r="D1014" s="5">
        <v>51</v>
      </c>
      <c r="E1014" s="3" t="s">
        <v>1020</v>
      </c>
      <c r="F1014" s="2" t="s">
        <v>44</v>
      </c>
      <c r="G1014" s="19">
        <v>8000</v>
      </c>
      <c r="H1014" s="4"/>
    </row>
    <row r="1015" spans="4:8">
      <c r="D1015" s="5">
        <v>52</v>
      </c>
      <c r="E1015" s="3" t="s">
        <v>1021</v>
      </c>
      <c r="F1015" s="2" t="s">
        <v>561</v>
      </c>
      <c r="G1015" s="19">
        <v>99600</v>
      </c>
      <c r="H1015" s="4"/>
    </row>
    <row r="1016" spans="4:8">
      <c r="D1016" s="5">
        <v>53</v>
      </c>
      <c r="E1016" s="3" t="s">
        <v>1022</v>
      </c>
      <c r="F1016" s="2" t="s">
        <v>561</v>
      </c>
      <c r="G1016" s="19">
        <v>85600</v>
      </c>
      <c r="H1016" s="4"/>
    </row>
    <row r="1017" spans="4:8">
      <c r="D1017" s="5">
        <v>54</v>
      </c>
      <c r="E1017" s="3" t="s">
        <v>1023</v>
      </c>
      <c r="F1017" s="2" t="s">
        <v>561</v>
      </c>
      <c r="G1017" s="19">
        <v>82600</v>
      </c>
      <c r="H1017" s="4"/>
    </row>
    <row r="1018" spans="4:8">
      <c r="D1018" s="5">
        <v>55</v>
      </c>
      <c r="E1018" s="3" t="s">
        <v>1024</v>
      </c>
      <c r="F1018" s="2" t="s">
        <v>66</v>
      </c>
      <c r="G1018" s="19">
        <v>1850</v>
      </c>
      <c r="H1018" s="4"/>
    </row>
    <row r="1019" spans="4:8">
      <c r="D1019" s="5">
        <v>56</v>
      </c>
      <c r="E1019" s="3" t="s">
        <v>1025</v>
      </c>
      <c r="F1019" s="2" t="s">
        <v>44</v>
      </c>
      <c r="G1019" s="19">
        <v>8700</v>
      </c>
      <c r="H1019" s="4"/>
    </row>
    <row r="1020" spans="4:8">
      <c r="D1020" s="5">
        <v>57</v>
      </c>
      <c r="E1020" s="3" t="s">
        <v>1026</v>
      </c>
      <c r="F1020" s="2" t="s">
        <v>991</v>
      </c>
      <c r="G1020" s="19">
        <v>515000</v>
      </c>
      <c r="H1020" s="4"/>
    </row>
    <row r="1021" spans="4:8">
      <c r="D1021" s="5">
        <v>58</v>
      </c>
      <c r="E1021" s="3" t="s">
        <v>1027</v>
      </c>
      <c r="F1021" s="2" t="s">
        <v>239</v>
      </c>
      <c r="G1021" s="19">
        <v>107070707</v>
      </c>
      <c r="H1021" s="4"/>
    </row>
    <row r="1022" spans="4:8">
      <c r="D1022" s="5">
        <v>59</v>
      </c>
      <c r="E1022" s="3" t="s">
        <v>1028</v>
      </c>
      <c r="F1022" s="2" t="s">
        <v>44</v>
      </c>
      <c r="G1022" s="19">
        <v>7000</v>
      </c>
      <c r="H1022" s="4"/>
    </row>
    <row r="1023" spans="4:8">
      <c r="D1023" s="5">
        <v>60</v>
      </c>
      <c r="E1023" s="3" t="s">
        <v>1029</v>
      </c>
      <c r="F1023" s="2" t="s">
        <v>66</v>
      </c>
      <c r="G1023" s="19">
        <v>36800</v>
      </c>
      <c r="H1023" s="4"/>
    </row>
    <row r="1024" spans="4:8">
      <c r="D1024" s="5">
        <v>61</v>
      </c>
      <c r="E1024" s="3" t="s">
        <v>1030</v>
      </c>
      <c r="F1024" s="2" t="s">
        <v>63</v>
      </c>
      <c r="G1024" s="19">
        <v>215000</v>
      </c>
      <c r="H1024" s="4"/>
    </row>
    <row r="1025" spans="4:8">
      <c r="D1025" s="5">
        <v>62</v>
      </c>
      <c r="E1025" s="3" t="s">
        <v>1031</v>
      </c>
      <c r="F1025" s="2" t="s">
        <v>139</v>
      </c>
      <c r="G1025" s="19">
        <v>4689300</v>
      </c>
      <c r="H1025" s="4"/>
    </row>
    <row r="1026" spans="4:8">
      <c r="D1026" s="5">
        <v>63</v>
      </c>
      <c r="E1026" s="3" t="s">
        <v>1032</v>
      </c>
      <c r="F1026" s="2" t="s">
        <v>669</v>
      </c>
      <c r="G1026" s="19">
        <v>94600</v>
      </c>
      <c r="H1026" s="4"/>
    </row>
    <row r="1027" spans="4:8">
      <c r="D1027" s="5">
        <v>64</v>
      </c>
      <c r="E1027" s="3" t="s">
        <v>1033</v>
      </c>
      <c r="F1027" s="2" t="s">
        <v>107</v>
      </c>
      <c r="G1027" s="19">
        <v>1152000</v>
      </c>
      <c r="H1027" s="4"/>
    </row>
    <row r="1028" spans="4:8">
      <c r="D1028" s="5">
        <v>65</v>
      </c>
      <c r="E1028" s="3" t="s">
        <v>1034</v>
      </c>
      <c r="F1028" s="2" t="s">
        <v>107</v>
      </c>
      <c r="G1028" s="19">
        <v>1253500</v>
      </c>
      <c r="H1028" s="4"/>
    </row>
    <row r="1029" spans="4:8">
      <c r="D1029" s="5">
        <v>66</v>
      </c>
      <c r="E1029" s="3" t="s">
        <v>1035</v>
      </c>
      <c r="F1029" s="2" t="s">
        <v>107</v>
      </c>
      <c r="G1029" s="19">
        <v>1598600</v>
      </c>
      <c r="H1029" s="4"/>
    </row>
    <row r="1030" spans="4:8">
      <c r="D1030" s="5">
        <v>67</v>
      </c>
      <c r="E1030" s="3" t="s">
        <v>1036</v>
      </c>
      <c r="F1030" s="2" t="s">
        <v>107</v>
      </c>
      <c r="G1030" s="19">
        <v>1877700</v>
      </c>
      <c r="H1030" s="4"/>
    </row>
    <row r="1031" spans="4:8">
      <c r="D1031" s="5">
        <v>68</v>
      </c>
      <c r="E1031" s="3" t="s">
        <v>1037</v>
      </c>
      <c r="F1031" s="2" t="s">
        <v>107</v>
      </c>
      <c r="G1031" s="19">
        <v>2461300</v>
      </c>
      <c r="H1031" s="4"/>
    </row>
    <row r="1032" spans="4:8">
      <c r="D1032" s="5">
        <v>69</v>
      </c>
      <c r="E1032" s="3" t="s">
        <v>1038</v>
      </c>
      <c r="F1032" s="2" t="s">
        <v>107</v>
      </c>
      <c r="G1032" s="19">
        <v>3045000</v>
      </c>
      <c r="H1032" s="4"/>
    </row>
    <row r="1033" spans="4:8">
      <c r="D1033" s="5">
        <v>70</v>
      </c>
      <c r="E1033" s="3" t="s">
        <v>1039</v>
      </c>
      <c r="F1033" s="2" t="s">
        <v>107</v>
      </c>
      <c r="G1033" s="19">
        <v>4403200</v>
      </c>
      <c r="H1033" s="4"/>
    </row>
    <row r="1034" spans="4:8">
      <c r="D1034" s="5">
        <v>71</v>
      </c>
      <c r="E1034" s="3" t="s">
        <v>1040</v>
      </c>
      <c r="F1034" s="2" t="s">
        <v>44</v>
      </c>
      <c r="G1034" s="19">
        <v>15900</v>
      </c>
      <c r="H1034" s="4"/>
    </row>
    <row r="1035" spans="4:8">
      <c r="D1035" s="5">
        <v>72</v>
      </c>
      <c r="E1035" s="3" t="s">
        <v>1041</v>
      </c>
      <c r="F1035" s="2" t="s">
        <v>239</v>
      </c>
      <c r="G1035" s="19">
        <v>120000</v>
      </c>
      <c r="H1035" s="4"/>
    </row>
    <row r="1036" spans="4:8">
      <c r="D1036" s="5">
        <v>73</v>
      </c>
      <c r="E1036" s="3" t="s">
        <v>1042</v>
      </c>
      <c r="F1036" s="2" t="s">
        <v>44</v>
      </c>
      <c r="G1036" s="19">
        <v>3200</v>
      </c>
      <c r="H1036" s="4"/>
    </row>
    <row r="1037" spans="4:8">
      <c r="D1037" s="5">
        <v>74</v>
      </c>
      <c r="E1037" s="3" t="s">
        <v>1043</v>
      </c>
      <c r="F1037" s="2" t="s">
        <v>639</v>
      </c>
      <c r="G1037" s="19">
        <v>174100</v>
      </c>
      <c r="H1037" s="4"/>
    </row>
    <row r="1038" spans="4:8">
      <c r="D1038" s="5">
        <v>75</v>
      </c>
      <c r="E1038" s="3" t="s">
        <v>638</v>
      </c>
      <c r="F1038" s="2" t="s">
        <v>44</v>
      </c>
      <c r="G1038" s="19">
        <v>243700</v>
      </c>
      <c r="H1038" s="4"/>
    </row>
    <row r="1039" spans="4:8">
      <c r="D1039" s="5">
        <v>76</v>
      </c>
      <c r="E1039" s="3" t="s">
        <v>1044</v>
      </c>
      <c r="F1039" s="2" t="s">
        <v>107</v>
      </c>
      <c r="G1039" s="19">
        <v>33900</v>
      </c>
      <c r="H1039" s="4"/>
    </row>
    <row r="1040" spans="4:8">
      <c r="D1040" s="5">
        <v>77</v>
      </c>
      <c r="E1040" s="3" t="s">
        <v>1045</v>
      </c>
      <c r="F1040" s="2" t="s">
        <v>44</v>
      </c>
      <c r="G1040" s="19">
        <v>11300</v>
      </c>
      <c r="H1040" s="4"/>
    </row>
    <row r="1041" spans="4:8">
      <c r="D1041" s="5">
        <v>78</v>
      </c>
      <c r="E1041" s="3" t="s">
        <v>1046</v>
      </c>
      <c r="F1041" s="2" t="s">
        <v>44</v>
      </c>
      <c r="G1041" s="19">
        <v>19300</v>
      </c>
      <c r="H1041" s="4"/>
    </row>
    <row r="1042" spans="4:8">
      <c r="D1042" s="5">
        <v>79</v>
      </c>
      <c r="E1042" s="3" t="s">
        <v>1047</v>
      </c>
      <c r="F1042" s="2" t="s">
        <v>44</v>
      </c>
      <c r="G1042" s="19">
        <v>19800</v>
      </c>
      <c r="H1042" s="4"/>
    </row>
    <row r="1043" spans="4:8">
      <c r="D1043" s="5">
        <v>80</v>
      </c>
      <c r="E1043" s="3" t="s">
        <v>1048</v>
      </c>
      <c r="F1043" s="2" t="s">
        <v>44</v>
      </c>
      <c r="G1043" s="19">
        <v>13100</v>
      </c>
      <c r="H1043" s="4"/>
    </row>
    <row r="1044" spans="4:8">
      <c r="D1044" s="5">
        <v>81</v>
      </c>
      <c r="E1044" s="3" t="s">
        <v>1049</v>
      </c>
      <c r="F1044" s="2" t="s">
        <v>44</v>
      </c>
      <c r="G1044" s="19">
        <v>16500</v>
      </c>
      <c r="H1044" s="4"/>
    </row>
    <row r="1045" spans="4:8">
      <c r="D1045" s="5">
        <v>82</v>
      </c>
      <c r="E1045" s="3" t="s">
        <v>1050</v>
      </c>
      <c r="F1045" s="2" t="s">
        <v>44</v>
      </c>
      <c r="G1045" s="19">
        <v>20500</v>
      </c>
      <c r="H1045" s="4"/>
    </row>
    <row r="1046" spans="4:8">
      <c r="D1046" s="5">
        <v>83</v>
      </c>
      <c r="E1046" s="3" t="s">
        <v>1051</v>
      </c>
      <c r="F1046" s="2" t="s">
        <v>44</v>
      </c>
      <c r="G1046" s="19">
        <v>21500</v>
      </c>
      <c r="H1046" s="4"/>
    </row>
    <row r="1047" spans="4:8">
      <c r="D1047" s="5">
        <v>84</v>
      </c>
      <c r="E1047" s="3" t="s">
        <v>1052</v>
      </c>
      <c r="F1047" s="2" t="s">
        <v>44</v>
      </c>
      <c r="G1047" s="19">
        <v>149300</v>
      </c>
      <c r="H1047" s="4"/>
    </row>
    <row r="1048" spans="4:8">
      <c r="D1048" s="5">
        <v>85</v>
      </c>
      <c r="E1048" s="3" t="s">
        <v>1053</v>
      </c>
      <c r="F1048" s="2" t="s">
        <v>1054</v>
      </c>
      <c r="G1048" s="19">
        <v>19400</v>
      </c>
      <c r="H1048" s="4"/>
    </row>
    <row r="1049" spans="4:8">
      <c r="D1049" s="5">
        <v>86</v>
      </c>
      <c r="E1049" s="3" t="s">
        <v>1055</v>
      </c>
      <c r="F1049" s="2" t="s">
        <v>669</v>
      </c>
      <c r="G1049" s="19">
        <v>549300</v>
      </c>
      <c r="H1049" s="4"/>
    </row>
    <row r="1050" spans="4:8">
      <c r="D1050" s="5">
        <v>87</v>
      </c>
      <c r="E1050" s="3" t="s">
        <v>1056</v>
      </c>
      <c r="F1050" s="2" t="s">
        <v>669</v>
      </c>
      <c r="G1050" s="19">
        <v>1137800</v>
      </c>
      <c r="H1050" s="4"/>
    </row>
    <row r="1051" spans="4:8">
      <c r="D1051" s="5">
        <v>88</v>
      </c>
      <c r="E1051" s="3" t="s">
        <v>1057</v>
      </c>
      <c r="F1051" s="2" t="s">
        <v>1058</v>
      </c>
      <c r="G1051" s="19">
        <v>33100</v>
      </c>
      <c r="H1051" s="4"/>
    </row>
    <row r="1052" spans="4:8">
      <c r="D1052" s="5">
        <v>89</v>
      </c>
      <c r="E1052" s="3" t="s">
        <v>1057</v>
      </c>
      <c r="F1052" s="2" t="s">
        <v>1058</v>
      </c>
      <c r="G1052" s="19">
        <v>33500</v>
      </c>
      <c r="H1052" s="4"/>
    </row>
    <row r="1053" spans="4:8">
      <c r="D1053" s="5">
        <v>90</v>
      </c>
      <c r="E1053" s="3" t="s">
        <v>1059</v>
      </c>
      <c r="F1053" s="2" t="s">
        <v>66</v>
      </c>
      <c r="G1053" s="19">
        <v>32100</v>
      </c>
      <c r="H1053" s="4"/>
    </row>
    <row r="1054" spans="4:8">
      <c r="D1054" s="5">
        <v>91</v>
      </c>
      <c r="E1054" s="3" t="s">
        <v>1060</v>
      </c>
      <c r="F1054" s="2" t="s">
        <v>44</v>
      </c>
      <c r="G1054" s="19">
        <v>5700</v>
      </c>
      <c r="H1054" s="4"/>
    </row>
    <row r="1055" spans="4:8">
      <c r="D1055" s="5">
        <v>92</v>
      </c>
      <c r="E1055" s="3" t="s">
        <v>1061</v>
      </c>
      <c r="F1055" s="2" t="s">
        <v>991</v>
      </c>
      <c r="G1055" s="19">
        <v>163900</v>
      </c>
      <c r="H1055" s="4"/>
    </row>
    <row r="1056" spans="4:8">
      <c r="D1056" s="5">
        <v>93</v>
      </c>
      <c r="E1056" s="3" t="s">
        <v>1062</v>
      </c>
      <c r="F1056" s="2" t="s">
        <v>44</v>
      </c>
      <c r="G1056" s="19">
        <v>3605000</v>
      </c>
      <c r="H1056" s="4"/>
    </row>
    <row r="1057" spans="4:8">
      <c r="D1057" s="5">
        <v>94</v>
      </c>
      <c r="E1057" s="3" t="s">
        <v>1063</v>
      </c>
      <c r="F1057" s="2" t="s">
        <v>44</v>
      </c>
      <c r="G1057" s="19">
        <v>5150000</v>
      </c>
      <c r="H1057" s="4"/>
    </row>
    <row r="1058" spans="4:8">
      <c r="D1058" s="5">
        <v>95</v>
      </c>
      <c r="E1058" s="3" t="s">
        <v>1064</v>
      </c>
      <c r="F1058" s="2" t="s">
        <v>44</v>
      </c>
      <c r="G1058" s="19">
        <v>9785000</v>
      </c>
      <c r="H1058" s="4"/>
    </row>
    <row r="1059" spans="4:8">
      <c r="D1059" s="5">
        <v>96</v>
      </c>
      <c r="E1059" s="3" t="s">
        <v>1065</v>
      </c>
      <c r="F1059" s="2" t="s">
        <v>44</v>
      </c>
      <c r="G1059" s="19">
        <v>2629500</v>
      </c>
      <c r="H1059" s="4"/>
    </row>
    <row r="1060" spans="4:8">
      <c r="D1060" s="5">
        <v>97</v>
      </c>
      <c r="E1060" s="3" t="s">
        <v>1066</v>
      </c>
      <c r="F1060" s="2" t="s">
        <v>133</v>
      </c>
      <c r="G1060" s="19">
        <v>19100</v>
      </c>
      <c r="H1060" s="4"/>
    </row>
    <row r="1061" spans="4:8">
      <c r="D1061" s="5">
        <v>98</v>
      </c>
      <c r="E1061" s="3" t="s">
        <v>1067</v>
      </c>
      <c r="F1061" s="2" t="s">
        <v>139</v>
      </c>
      <c r="G1061" s="19">
        <v>1987300</v>
      </c>
      <c r="H1061" s="4"/>
    </row>
    <row r="1062" spans="4:8">
      <c r="D1062" s="5">
        <v>99</v>
      </c>
      <c r="E1062" s="3" t="s">
        <v>1068</v>
      </c>
      <c r="F1062" s="2" t="s">
        <v>139</v>
      </c>
      <c r="G1062" s="19">
        <v>2389300</v>
      </c>
      <c r="H1062" s="4"/>
    </row>
    <row r="1063" spans="4:8">
      <c r="D1063" s="5">
        <v>100</v>
      </c>
      <c r="E1063" s="3" t="s">
        <v>1069</v>
      </c>
      <c r="F1063" s="2" t="s">
        <v>44</v>
      </c>
      <c r="G1063" s="19">
        <v>1600</v>
      </c>
      <c r="H1063" s="4"/>
    </row>
    <row r="1064" spans="4:8">
      <c r="D1064" s="5">
        <v>101</v>
      </c>
      <c r="E1064" s="3" t="s">
        <v>1070</v>
      </c>
      <c r="F1064" s="2" t="s">
        <v>66</v>
      </c>
      <c r="G1064" s="19">
        <v>17900</v>
      </c>
      <c r="H1064" s="4"/>
    </row>
    <row r="1065" spans="4:8">
      <c r="D1065" s="5">
        <v>102</v>
      </c>
      <c r="E1065" s="3" t="s">
        <v>1071</v>
      </c>
      <c r="F1065" s="2" t="s">
        <v>66</v>
      </c>
      <c r="G1065" s="19">
        <v>40000</v>
      </c>
      <c r="H1065" s="4"/>
    </row>
    <row r="1066" spans="4:8">
      <c r="D1066" s="5">
        <v>103</v>
      </c>
      <c r="E1066" s="3" t="s">
        <v>1072</v>
      </c>
      <c r="F1066" s="2" t="s">
        <v>66</v>
      </c>
      <c r="G1066" s="19">
        <v>8200</v>
      </c>
      <c r="H1066" s="4"/>
    </row>
    <row r="1067" spans="4:8">
      <c r="D1067" s="5">
        <v>104</v>
      </c>
      <c r="E1067" s="3" t="s">
        <v>1073</v>
      </c>
      <c r="F1067" s="2" t="s">
        <v>63</v>
      </c>
      <c r="G1067" s="19">
        <v>12000</v>
      </c>
      <c r="H1067" s="4"/>
    </row>
    <row r="1068" spans="4:8">
      <c r="D1068" s="5">
        <v>105</v>
      </c>
      <c r="E1068" s="3" t="s">
        <v>1074</v>
      </c>
      <c r="F1068" s="2" t="s">
        <v>44</v>
      </c>
      <c r="G1068" s="19">
        <v>1429100</v>
      </c>
      <c r="H1068" s="4"/>
    </row>
    <row r="1069" spans="4:8">
      <c r="D1069" s="5">
        <v>106</v>
      </c>
      <c r="E1069" s="3" t="s">
        <v>1075</v>
      </c>
      <c r="F1069" s="2" t="s">
        <v>63</v>
      </c>
      <c r="G1069" s="19">
        <v>7400</v>
      </c>
      <c r="H1069" s="4"/>
    </row>
    <row r="1070" spans="4:8">
      <c r="D1070" s="5">
        <v>107</v>
      </c>
      <c r="E1070" s="3" t="s">
        <v>1076</v>
      </c>
      <c r="F1070" s="2" t="s">
        <v>114</v>
      </c>
      <c r="G1070" s="19">
        <v>13500</v>
      </c>
      <c r="H1070" s="4"/>
    </row>
    <row r="1071" spans="4:8">
      <c r="D1071" s="5">
        <v>108</v>
      </c>
      <c r="E1071" s="3" t="s">
        <v>1077</v>
      </c>
      <c r="F1071" s="2" t="s">
        <v>114</v>
      </c>
      <c r="G1071" s="19">
        <v>75000</v>
      </c>
      <c r="H1071" s="4"/>
    </row>
    <row r="1072" spans="4:8">
      <c r="D1072" s="5">
        <v>109</v>
      </c>
      <c r="E1072" s="3" t="s">
        <v>1078</v>
      </c>
      <c r="F1072" s="2" t="s">
        <v>114</v>
      </c>
      <c r="G1072" s="19">
        <v>94000</v>
      </c>
      <c r="H1072" s="4"/>
    </row>
    <row r="1073" spans="4:8">
      <c r="D1073" s="5">
        <v>110</v>
      </c>
      <c r="E1073" s="3" t="s">
        <v>1079</v>
      </c>
      <c r="F1073" s="2" t="s">
        <v>114</v>
      </c>
      <c r="G1073" s="19">
        <v>136000</v>
      </c>
      <c r="H1073" s="4"/>
    </row>
    <row r="1074" spans="4:8">
      <c r="D1074" s="5">
        <v>111</v>
      </c>
      <c r="E1074" s="3" t="s">
        <v>1080</v>
      </c>
      <c r="F1074" s="2" t="s">
        <v>66</v>
      </c>
      <c r="G1074" s="19">
        <v>130000</v>
      </c>
      <c r="H1074" s="4"/>
    </row>
    <row r="1075" spans="4:8">
      <c r="D1075" s="29" t="s">
        <v>1081</v>
      </c>
      <c r="E1075" s="30" t="s">
        <v>1082</v>
      </c>
      <c r="F1075" s="31"/>
      <c r="G1075" s="32"/>
      <c r="H1075" s="33"/>
    </row>
    <row r="1076" spans="4:8">
      <c r="D1076" s="5">
        <v>1</v>
      </c>
      <c r="E1076" s="3" t="s">
        <v>1083</v>
      </c>
      <c r="F1076" s="2" t="s">
        <v>639</v>
      </c>
      <c r="G1076" s="19">
        <v>50000</v>
      </c>
      <c r="H1076" s="4"/>
    </row>
    <row r="1077" spans="4:8">
      <c r="D1077" s="5">
        <v>2</v>
      </c>
      <c r="E1077" s="3" t="s">
        <v>1084</v>
      </c>
      <c r="F1077" s="2" t="s">
        <v>1085</v>
      </c>
      <c r="G1077" s="19">
        <v>307300</v>
      </c>
      <c r="H1077" s="4"/>
    </row>
    <row r="1078" spans="4:8">
      <c r="D1078" s="5">
        <v>3</v>
      </c>
      <c r="E1078" s="3" t="s">
        <v>1086</v>
      </c>
      <c r="F1078" s="2" t="s">
        <v>1085</v>
      </c>
      <c r="G1078" s="19">
        <v>602500</v>
      </c>
      <c r="H1078" s="4"/>
    </row>
    <row r="1079" spans="4:8">
      <c r="D1079" s="5">
        <v>4</v>
      </c>
      <c r="E1079" s="3" t="s">
        <v>1087</v>
      </c>
      <c r="F1079" s="2" t="s">
        <v>1085</v>
      </c>
      <c r="G1079" s="19">
        <v>61100</v>
      </c>
      <c r="H1079" s="4"/>
    </row>
    <row r="1080" spans="4:8">
      <c r="D1080" s="5">
        <v>5</v>
      </c>
      <c r="E1080" s="3" t="s">
        <v>1088</v>
      </c>
      <c r="F1080" s="2" t="s">
        <v>1085</v>
      </c>
      <c r="G1080" s="19">
        <v>6253800</v>
      </c>
      <c r="H1080" s="4"/>
    </row>
    <row r="1081" spans="4:8">
      <c r="D1081" s="5">
        <v>6</v>
      </c>
      <c r="E1081" s="3" t="s">
        <v>1089</v>
      </c>
      <c r="F1081" s="2" t="s">
        <v>1085</v>
      </c>
      <c r="G1081" s="19">
        <v>74900</v>
      </c>
      <c r="H1081" s="4"/>
    </row>
    <row r="1082" spans="4:8">
      <c r="D1082" s="5">
        <v>7</v>
      </c>
      <c r="E1082" s="3" t="s">
        <v>1090</v>
      </c>
      <c r="F1082" s="2" t="s">
        <v>1091</v>
      </c>
      <c r="G1082" s="19">
        <v>850000</v>
      </c>
      <c r="H1082" s="4"/>
    </row>
    <row r="1083" spans="4:8">
      <c r="D1083" s="5">
        <v>8</v>
      </c>
      <c r="E1083" s="3" t="s">
        <v>1092</v>
      </c>
      <c r="F1083" s="2" t="s">
        <v>1085</v>
      </c>
      <c r="G1083" s="19">
        <v>235000</v>
      </c>
      <c r="H1083" s="4"/>
    </row>
    <row r="1084" spans="4:8">
      <c r="D1084" s="5">
        <v>9</v>
      </c>
      <c r="E1084" s="3" t="s">
        <v>1093</v>
      </c>
      <c r="F1084" s="2" t="s">
        <v>1085</v>
      </c>
      <c r="G1084" s="19">
        <v>476900</v>
      </c>
      <c r="H1084" s="4"/>
    </row>
    <row r="1085" spans="4:8">
      <c r="D1085" s="5">
        <v>10</v>
      </c>
      <c r="E1085" s="3" t="s">
        <v>1094</v>
      </c>
      <c r="F1085" s="2" t="s">
        <v>1085</v>
      </c>
      <c r="G1085" s="19">
        <v>912500</v>
      </c>
      <c r="H1085" s="4"/>
    </row>
    <row r="1086" spans="4:8">
      <c r="D1086" s="5">
        <v>11</v>
      </c>
      <c r="E1086" s="3" t="s">
        <v>1095</v>
      </c>
      <c r="F1086" s="2" t="s">
        <v>1085</v>
      </c>
      <c r="G1086" s="19">
        <v>60200</v>
      </c>
      <c r="H1086" s="4"/>
    </row>
    <row r="1087" spans="4:8">
      <c r="D1087" s="5">
        <v>12</v>
      </c>
      <c r="E1087" s="3" t="s">
        <v>1096</v>
      </c>
      <c r="F1087" s="2" t="s">
        <v>1091</v>
      </c>
      <c r="G1087" s="19">
        <v>300000</v>
      </c>
      <c r="H1087" s="4"/>
    </row>
    <row r="1088" spans="4:8">
      <c r="D1088" s="5">
        <v>13</v>
      </c>
      <c r="E1088" s="3" t="s">
        <v>1097</v>
      </c>
      <c r="F1088" s="2" t="s">
        <v>1085</v>
      </c>
      <c r="G1088" s="19">
        <v>648500</v>
      </c>
      <c r="H1088" s="4"/>
    </row>
    <row r="1089" spans="4:8">
      <c r="D1089" s="5">
        <v>14</v>
      </c>
      <c r="E1089" s="3" t="s">
        <v>1098</v>
      </c>
      <c r="F1089" s="2" t="s">
        <v>1085</v>
      </c>
      <c r="G1089" s="19">
        <v>185500</v>
      </c>
      <c r="H1089" s="4"/>
    </row>
    <row r="1090" spans="4:8">
      <c r="D1090" s="5">
        <v>15</v>
      </c>
      <c r="E1090" s="3" t="s">
        <v>1099</v>
      </c>
      <c r="F1090" s="2" t="s">
        <v>139</v>
      </c>
      <c r="G1090" s="19">
        <v>700000</v>
      </c>
      <c r="H1090" s="4"/>
    </row>
    <row r="1091" spans="4:8">
      <c r="D1091" s="5">
        <v>16</v>
      </c>
      <c r="E1091" s="3" t="s">
        <v>1100</v>
      </c>
      <c r="F1091" s="2" t="s">
        <v>1085</v>
      </c>
      <c r="G1091" s="19">
        <v>94600</v>
      </c>
      <c r="H1091" s="4"/>
    </row>
    <row r="1092" spans="4:8">
      <c r="D1092" s="5">
        <v>17</v>
      </c>
      <c r="E1092" s="3" t="s">
        <v>1101</v>
      </c>
      <c r="F1092" s="2" t="s">
        <v>1085</v>
      </c>
      <c r="G1092" s="19">
        <v>103400</v>
      </c>
      <c r="H1092" s="4"/>
    </row>
    <row r="1093" spans="4:8">
      <c r="D1093" s="5">
        <v>18</v>
      </c>
      <c r="E1093" s="3" t="s">
        <v>1102</v>
      </c>
      <c r="F1093" s="2" t="s">
        <v>1085</v>
      </c>
      <c r="G1093" s="19">
        <v>576100</v>
      </c>
      <c r="H1093" s="4"/>
    </row>
    <row r="1094" spans="4:8">
      <c r="D1094" s="5">
        <v>19</v>
      </c>
      <c r="E1094" s="3" t="s">
        <v>1103</v>
      </c>
      <c r="F1094" s="2" t="s">
        <v>1085</v>
      </c>
      <c r="G1094" s="19">
        <v>800700</v>
      </c>
      <c r="H1094" s="4"/>
    </row>
    <row r="1095" spans="4:8">
      <c r="D1095" s="5">
        <v>20</v>
      </c>
      <c r="E1095" s="3" t="s">
        <v>1104</v>
      </c>
      <c r="F1095" s="2" t="s">
        <v>1085</v>
      </c>
      <c r="G1095" s="19">
        <v>296800</v>
      </c>
      <c r="H1095" s="4"/>
    </row>
    <row r="1096" spans="4:8">
      <c r="D1096" s="5">
        <v>21</v>
      </c>
      <c r="E1096" s="3" t="s">
        <v>1105</v>
      </c>
      <c r="F1096" s="2" t="s">
        <v>1085</v>
      </c>
      <c r="G1096" s="19">
        <v>582400</v>
      </c>
      <c r="H1096" s="4"/>
    </row>
    <row r="1097" spans="4:8">
      <c r="D1097" s="5">
        <v>22</v>
      </c>
      <c r="E1097" s="3" t="s">
        <v>1106</v>
      </c>
      <c r="F1097" s="2" t="s">
        <v>1091</v>
      </c>
      <c r="G1097" s="19">
        <v>800000</v>
      </c>
      <c r="H1097" s="4"/>
    </row>
    <row r="1098" spans="4:8">
      <c r="D1098" s="5">
        <v>23</v>
      </c>
      <c r="E1098" s="3" t="s">
        <v>1107</v>
      </c>
      <c r="F1098" s="2" t="s">
        <v>1085</v>
      </c>
      <c r="G1098" s="19">
        <v>440800</v>
      </c>
      <c r="H1098" s="4"/>
    </row>
    <row r="1099" spans="4:8">
      <c r="D1099" s="5">
        <v>24</v>
      </c>
      <c r="E1099" s="3" t="s">
        <v>1108</v>
      </c>
      <c r="F1099" s="2" t="s">
        <v>1085</v>
      </c>
      <c r="G1099" s="19">
        <v>359800</v>
      </c>
      <c r="H1099" s="4"/>
    </row>
    <row r="1100" spans="4:8">
      <c r="D1100" s="5">
        <v>25</v>
      </c>
      <c r="E1100" s="3" t="s">
        <v>1109</v>
      </c>
      <c r="F1100" s="2" t="s">
        <v>1091</v>
      </c>
      <c r="G1100" s="19">
        <v>800000</v>
      </c>
      <c r="H1100" s="4"/>
    </row>
    <row r="1101" spans="4:8">
      <c r="D1101" s="5">
        <v>26</v>
      </c>
      <c r="E1101" s="3" t="s">
        <v>1110</v>
      </c>
      <c r="F1101" s="2" t="s">
        <v>1085</v>
      </c>
      <c r="G1101" s="19">
        <v>55100</v>
      </c>
      <c r="H1101" s="4"/>
    </row>
    <row r="1102" spans="4:8">
      <c r="D1102" s="5">
        <v>27</v>
      </c>
      <c r="E1102" s="3" t="s">
        <v>1111</v>
      </c>
      <c r="F1102" s="2" t="s">
        <v>1091</v>
      </c>
      <c r="G1102" s="19">
        <v>425000</v>
      </c>
      <c r="H1102" s="4"/>
    </row>
    <row r="1103" spans="4:8">
      <c r="D1103" s="5">
        <v>28</v>
      </c>
      <c r="E1103" s="3" t="s">
        <v>1112</v>
      </c>
      <c r="F1103" s="2" t="s">
        <v>1091</v>
      </c>
      <c r="G1103" s="19">
        <v>42000</v>
      </c>
      <c r="H1103" s="4"/>
    </row>
    <row r="1104" spans="4:8">
      <c r="D1104" s="5">
        <v>29</v>
      </c>
      <c r="E1104" s="3" t="s">
        <v>1113</v>
      </c>
      <c r="F1104" s="2" t="s">
        <v>1091</v>
      </c>
      <c r="G1104" s="19">
        <v>265000</v>
      </c>
      <c r="H1104" s="4"/>
    </row>
    <row r="1105" spans="4:8">
      <c r="D1105" s="5">
        <v>30</v>
      </c>
      <c r="E1105" s="3" t="s">
        <v>1114</v>
      </c>
      <c r="F1105" s="2" t="s">
        <v>1085</v>
      </c>
      <c r="G1105" s="19">
        <v>556100</v>
      </c>
      <c r="H1105" s="4"/>
    </row>
    <row r="1106" spans="4:8">
      <c r="D1106" s="5">
        <v>31</v>
      </c>
      <c r="E1106" s="3" t="s">
        <v>1115</v>
      </c>
      <c r="F1106" s="2" t="s">
        <v>1085</v>
      </c>
      <c r="G1106" s="19">
        <v>304800</v>
      </c>
      <c r="H1106" s="4"/>
    </row>
    <row r="1107" spans="4:8">
      <c r="D1107" s="5">
        <v>32</v>
      </c>
      <c r="E1107" s="3" t="s">
        <v>1116</v>
      </c>
      <c r="F1107" s="2" t="s">
        <v>1085</v>
      </c>
      <c r="G1107" s="19">
        <v>676500</v>
      </c>
      <c r="H1107" s="4"/>
    </row>
    <row r="1108" spans="4:8">
      <c r="D1108" s="5">
        <v>33</v>
      </c>
      <c r="E1108" s="3" t="s">
        <v>1117</v>
      </c>
      <c r="F1108" s="2" t="s">
        <v>1085</v>
      </c>
      <c r="G1108" s="19">
        <v>344400</v>
      </c>
      <c r="H1108" s="4"/>
    </row>
    <row r="1109" spans="4:8">
      <c r="D1109" s="5">
        <v>34</v>
      </c>
      <c r="E1109" s="3" t="s">
        <v>1118</v>
      </c>
      <c r="F1109" s="2" t="s">
        <v>1085</v>
      </c>
      <c r="G1109" s="19">
        <v>668200</v>
      </c>
      <c r="H1109" s="4"/>
    </row>
    <row r="1110" spans="4:8">
      <c r="D1110" s="5">
        <v>35</v>
      </c>
      <c r="E1110" s="3" t="s">
        <v>1119</v>
      </c>
      <c r="F1110" s="2" t="s">
        <v>1085</v>
      </c>
      <c r="G1110" s="19">
        <v>465100</v>
      </c>
      <c r="H1110" s="4"/>
    </row>
    <row r="1111" spans="4:8">
      <c r="D1111" s="5">
        <v>36</v>
      </c>
      <c r="E1111" s="3" t="s">
        <v>1120</v>
      </c>
      <c r="F1111" s="2" t="s">
        <v>1085</v>
      </c>
      <c r="G1111" s="19">
        <v>410200</v>
      </c>
      <c r="H1111" s="4"/>
    </row>
    <row r="1112" spans="4:8">
      <c r="D1112" s="5">
        <v>37</v>
      </c>
      <c r="E1112" s="3" t="s">
        <v>1121</v>
      </c>
      <c r="F1112" s="2" t="s">
        <v>1091</v>
      </c>
      <c r="G1112" s="19">
        <v>350000</v>
      </c>
      <c r="H1112" s="4"/>
    </row>
    <row r="1113" spans="4:8">
      <c r="D1113" s="5">
        <v>38</v>
      </c>
      <c r="E1113" s="3" t="s">
        <v>1122</v>
      </c>
      <c r="F1113" s="2" t="s">
        <v>1091</v>
      </c>
      <c r="G1113" s="19">
        <v>2300000</v>
      </c>
      <c r="H1113" s="4" t="s">
        <v>1123</v>
      </c>
    </row>
    <row r="1114" spans="4:8">
      <c r="D1114" s="5">
        <v>39</v>
      </c>
      <c r="E1114" s="3" t="s">
        <v>1124</v>
      </c>
      <c r="F1114" s="2" t="s">
        <v>139</v>
      </c>
      <c r="G1114" s="19">
        <v>280000</v>
      </c>
      <c r="H1114" s="4"/>
    </row>
    <row r="1115" spans="4:8">
      <c r="D1115" s="5">
        <v>40</v>
      </c>
      <c r="E1115" s="3" t="s">
        <v>1125</v>
      </c>
      <c r="F1115" s="2" t="s">
        <v>1091</v>
      </c>
      <c r="G1115" s="19">
        <v>100000</v>
      </c>
      <c r="H1115" s="4"/>
    </row>
    <row r="1116" spans="4:8">
      <c r="D1116" s="5">
        <v>41</v>
      </c>
      <c r="E1116" s="3" t="s">
        <v>1126</v>
      </c>
      <c r="F1116" s="2" t="s">
        <v>1091</v>
      </c>
      <c r="G1116" s="19">
        <v>170000</v>
      </c>
      <c r="H1116" s="4"/>
    </row>
    <row r="1117" spans="4:8">
      <c r="D1117" s="5">
        <v>42</v>
      </c>
      <c r="E1117" s="3" t="s">
        <v>1127</v>
      </c>
      <c r="F1117" s="2" t="s">
        <v>1091</v>
      </c>
      <c r="G1117" s="19">
        <v>250000</v>
      </c>
      <c r="H1117" s="4"/>
    </row>
    <row r="1118" spans="4:8">
      <c r="D1118" s="5">
        <v>43</v>
      </c>
      <c r="E1118" s="3" t="s">
        <v>1128</v>
      </c>
      <c r="F1118" s="2" t="s">
        <v>1091</v>
      </c>
      <c r="G1118" s="19">
        <v>340000</v>
      </c>
      <c r="H1118" s="4"/>
    </row>
    <row r="1119" spans="4:8">
      <c r="D1119" s="5">
        <v>44</v>
      </c>
      <c r="E1119" s="3" t="s">
        <v>1129</v>
      </c>
      <c r="F1119" s="2" t="s">
        <v>139</v>
      </c>
      <c r="G1119" s="19">
        <v>450000</v>
      </c>
      <c r="H1119" s="4"/>
    </row>
    <row r="1120" spans="4:8">
      <c r="D1120" s="5">
        <v>45</v>
      </c>
      <c r="E1120" s="3" t="s">
        <v>1130</v>
      </c>
      <c r="F1120" s="2" t="s">
        <v>1085</v>
      </c>
      <c r="G1120" s="19">
        <v>325000</v>
      </c>
      <c r="H1120" s="4"/>
    </row>
    <row r="1121" spans="4:8">
      <c r="D1121" s="5">
        <v>46</v>
      </c>
      <c r="E1121" s="3" t="s">
        <v>1131</v>
      </c>
      <c r="F1121" s="2" t="s">
        <v>1085</v>
      </c>
      <c r="G1121" s="19">
        <v>350000</v>
      </c>
      <c r="H1121" s="4"/>
    </row>
    <row r="1122" spans="4:8">
      <c r="D1122" s="5">
        <v>47</v>
      </c>
      <c r="E1122" s="3" t="s">
        <v>1132</v>
      </c>
      <c r="F1122" s="2" t="s">
        <v>1085</v>
      </c>
      <c r="G1122" s="19">
        <v>415000</v>
      </c>
      <c r="H1122" s="4"/>
    </row>
    <row r="1123" spans="4:8">
      <c r="D1123" s="5">
        <v>48</v>
      </c>
      <c r="E1123" s="3" t="s">
        <v>1133</v>
      </c>
      <c r="F1123" s="2" t="s">
        <v>139</v>
      </c>
      <c r="G1123" s="19">
        <v>50000</v>
      </c>
      <c r="H1123" s="4"/>
    </row>
    <row r="1124" spans="4:8">
      <c r="D1124" s="5">
        <v>49</v>
      </c>
      <c r="E1124" s="3" t="s">
        <v>1134</v>
      </c>
      <c r="F1124" s="2" t="s">
        <v>1091</v>
      </c>
      <c r="G1124" s="19">
        <v>150000</v>
      </c>
      <c r="H1124" s="4"/>
    </row>
    <row r="1125" spans="4:8">
      <c r="D1125" s="5">
        <v>50</v>
      </c>
      <c r="E1125" s="3" t="s">
        <v>1135</v>
      </c>
      <c r="F1125" s="2" t="s">
        <v>1085</v>
      </c>
      <c r="G1125" s="19">
        <v>45000</v>
      </c>
      <c r="H1125" s="4"/>
    </row>
    <row r="1126" spans="4:8">
      <c r="D1126" s="5">
        <v>51</v>
      </c>
      <c r="E1126" s="3" t="s">
        <v>1136</v>
      </c>
      <c r="F1126" s="2" t="s">
        <v>1085</v>
      </c>
      <c r="G1126" s="19">
        <v>548600</v>
      </c>
      <c r="H1126" s="4"/>
    </row>
    <row r="1127" spans="4:8">
      <c r="D1127" s="5">
        <v>52</v>
      </c>
      <c r="E1127" s="3" t="s">
        <v>1137</v>
      </c>
      <c r="F1127" s="2" t="s">
        <v>1085</v>
      </c>
      <c r="G1127" s="19">
        <v>99800</v>
      </c>
      <c r="H1127" s="4"/>
    </row>
    <row r="1128" spans="4:8">
      <c r="D1128" s="5">
        <v>53</v>
      </c>
      <c r="E1128" s="3" t="s">
        <v>1138</v>
      </c>
      <c r="F1128" s="2" t="s">
        <v>1085</v>
      </c>
      <c r="G1128" s="19">
        <v>153400</v>
      </c>
      <c r="H1128" s="4"/>
    </row>
    <row r="1129" spans="4:8">
      <c r="D1129" s="5">
        <v>54</v>
      </c>
      <c r="E1129" s="3" t="s">
        <v>1139</v>
      </c>
      <c r="F1129" s="2" t="s">
        <v>1085</v>
      </c>
      <c r="G1129" s="19">
        <v>491000</v>
      </c>
      <c r="H1129" s="4"/>
    </row>
    <row r="1130" spans="4:8">
      <c r="D1130" s="5">
        <v>55</v>
      </c>
      <c r="E1130" s="3" t="s">
        <v>1140</v>
      </c>
      <c r="F1130" s="2" t="s">
        <v>1091</v>
      </c>
      <c r="G1130" s="19">
        <v>6600000</v>
      </c>
      <c r="H1130" s="4"/>
    </row>
    <row r="1131" spans="4:8">
      <c r="D1131" s="5">
        <v>56</v>
      </c>
      <c r="E1131" s="3" t="s">
        <v>1141</v>
      </c>
      <c r="F1131" s="2" t="s">
        <v>1091</v>
      </c>
      <c r="G1131" s="19">
        <v>6300000</v>
      </c>
      <c r="H1131" s="4"/>
    </row>
    <row r="1132" spans="4:8">
      <c r="D1132" s="5">
        <v>57</v>
      </c>
      <c r="E1132" s="3" t="s">
        <v>1142</v>
      </c>
      <c r="F1132" s="2" t="s">
        <v>1091</v>
      </c>
      <c r="G1132" s="19">
        <v>8000000</v>
      </c>
      <c r="H1132" s="4"/>
    </row>
    <row r="1133" spans="4:8">
      <c r="D1133" s="5">
        <v>58</v>
      </c>
      <c r="E1133" s="3" t="s">
        <v>1143</v>
      </c>
      <c r="F1133" s="2" t="s">
        <v>1091</v>
      </c>
      <c r="G1133" s="19">
        <v>6000000</v>
      </c>
      <c r="H1133" s="4"/>
    </row>
    <row r="1134" spans="4:8">
      <c r="D1134" s="5">
        <v>59</v>
      </c>
      <c r="E1134" s="3" t="s">
        <v>1144</v>
      </c>
      <c r="F1134" s="2" t="s">
        <v>139</v>
      </c>
      <c r="G1134" s="19">
        <v>300000</v>
      </c>
      <c r="H1134" s="4"/>
    </row>
    <row r="1135" spans="4:8">
      <c r="D1135" s="5">
        <v>60</v>
      </c>
      <c r="E1135" s="3" t="s">
        <v>1145</v>
      </c>
      <c r="F1135" s="2" t="s">
        <v>139</v>
      </c>
      <c r="G1135" s="19">
        <v>160000</v>
      </c>
      <c r="H1135" s="4"/>
    </row>
    <row r="1136" spans="4:8">
      <c r="D1136" s="5">
        <v>61</v>
      </c>
      <c r="E1136" s="3" t="s">
        <v>1146</v>
      </c>
      <c r="F1136" s="2" t="s">
        <v>1085</v>
      </c>
      <c r="G1136" s="19">
        <v>491000</v>
      </c>
      <c r="H1136" s="4"/>
    </row>
    <row r="1137" spans="4:8">
      <c r="D1137" s="5">
        <v>62</v>
      </c>
      <c r="E1137" s="3" t="s">
        <v>1147</v>
      </c>
      <c r="F1137" s="2" t="s">
        <v>1091</v>
      </c>
      <c r="G1137" s="19">
        <v>25000</v>
      </c>
      <c r="H1137" s="4"/>
    </row>
    <row r="1138" spans="4:8">
      <c r="D1138" s="5">
        <v>63</v>
      </c>
      <c r="E1138" s="3" t="s">
        <v>1148</v>
      </c>
      <c r="F1138" s="2" t="s">
        <v>1091</v>
      </c>
      <c r="G1138" s="19">
        <v>25000</v>
      </c>
      <c r="H1138" s="4"/>
    </row>
    <row r="1139" spans="4:8">
      <c r="D1139" s="5">
        <v>64</v>
      </c>
      <c r="E1139" s="3" t="s">
        <v>1149</v>
      </c>
      <c r="F1139" s="2" t="s">
        <v>1091</v>
      </c>
      <c r="G1139" s="19">
        <v>150000</v>
      </c>
      <c r="H1139" s="4"/>
    </row>
    <row r="1140" spans="4:8">
      <c r="D1140" s="5">
        <v>65</v>
      </c>
      <c r="E1140" s="3" t="s">
        <v>1150</v>
      </c>
      <c r="F1140" s="2"/>
      <c r="G1140" s="19"/>
      <c r="H1140" s="4"/>
    </row>
    <row r="1141" spans="4:8" hidden="1">
      <c r="D1141" s="5"/>
      <c r="E1141" s="3" t="e">
        <f t="array" ref="E1141">- Scaffolding Main frame T-190</f>
        <v>#NAME?</v>
      </c>
      <c r="F1141" s="2" t="s">
        <v>1151</v>
      </c>
      <c r="G1141" s="19">
        <v>8800</v>
      </c>
      <c r="H1141" s="4"/>
    </row>
    <row r="1142" spans="4:8" hidden="1">
      <c r="D1142" s="5"/>
      <c r="E1142" s="3" t="e">
        <f t="array" ref="E1142">- Scaffolding Main frame T-170</f>
        <v>#NAME?</v>
      </c>
      <c r="F1142" s="2" t="s">
        <v>1151</v>
      </c>
      <c r="G1142" s="19">
        <v>8300</v>
      </c>
      <c r="H1142" s="4"/>
    </row>
    <row r="1143" spans="4:8" hidden="1">
      <c r="D1143" s="5"/>
      <c r="E1143" s="3" t="e">
        <f t="array" ref="E1143">- Scaffolding Leader frame T-90</f>
        <v>#NAME?</v>
      </c>
      <c r="F1143" s="2" t="s">
        <v>1151</v>
      </c>
      <c r="G1143" s="19">
        <v>5400</v>
      </c>
      <c r="H1143" s="4"/>
    </row>
    <row r="1144" spans="4:8" hidden="1">
      <c r="D1144" s="5"/>
      <c r="E1144" s="3" t="e">
        <f t="array" ref="E1144">- Scaffolding Cross  brass  T-220</f>
        <v>#NAME?</v>
      </c>
      <c r="F1144" s="2" t="s">
        <v>1151</v>
      </c>
      <c r="G1144" s="19">
        <v>4100</v>
      </c>
      <c r="H1144" s="4"/>
    </row>
    <row r="1145" spans="4:8" hidden="1">
      <c r="D1145" s="5"/>
      <c r="E1145" s="3" t="e">
        <f t="array" ref="E1145">- Scaffolding Cross  brass  T-193</f>
        <v>#NAME?</v>
      </c>
      <c r="F1145" s="2" t="s">
        <v>1151</v>
      </c>
      <c r="G1145" s="19">
        <v>3800</v>
      </c>
      <c r="H1145" s="4"/>
    </row>
    <row r="1146" spans="4:8" hidden="1">
      <c r="D1146" s="5"/>
      <c r="E1146" s="3" t="e">
        <f t="array" ref="E1146">- Scaffolding Joint  pin</f>
        <v>#NAME?</v>
      </c>
      <c r="F1146" s="2" t="s">
        <v>1151</v>
      </c>
      <c r="G1146" s="19">
        <v>1500</v>
      </c>
      <c r="H1146" s="4"/>
    </row>
    <row r="1147" spans="4:8" hidden="1">
      <c r="D1147" s="5"/>
      <c r="E1147" s="3" t="e">
        <f t="array" ref="E1147">- Scaffolding Jack base T-40</f>
        <v>#NAME?</v>
      </c>
      <c r="F1147" s="2" t="s">
        <v>1151</v>
      </c>
      <c r="G1147" s="19">
        <v>4100</v>
      </c>
      <c r="H1147" s="4"/>
    </row>
    <row r="1148" spans="4:8" hidden="1">
      <c r="D1148" s="5"/>
      <c r="E1148" s="3" t="e">
        <f t="array" ref="E1148">- Scaffolding Jack base T-60</f>
        <v>#NAME?</v>
      </c>
      <c r="F1148" s="2" t="s">
        <v>1151</v>
      </c>
      <c r="G1148" s="19">
        <v>4300</v>
      </c>
      <c r="H1148" s="4"/>
    </row>
    <row r="1149" spans="4:8" hidden="1">
      <c r="D1149" s="5"/>
      <c r="E1149" s="3" t="e">
        <f t="array" ref="E1149">- Scaffolding U  head Jack   T-40</f>
        <v>#NAME?</v>
      </c>
      <c r="F1149" s="2" t="s">
        <v>1151</v>
      </c>
      <c r="G1149" s="19">
        <v>4100</v>
      </c>
      <c r="H1149" s="4"/>
    </row>
    <row r="1150" spans="4:8" hidden="1">
      <c r="D1150" s="5"/>
      <c r="E1150" s="3" t="e">
        <f t="array" ref="E1150">- Scaffolding U  head Jack   T-60</f>
        <v>#NAME?</v>
      </c>
      <c r="F1150" s="2" t="s">
        <v>1151</v>
      </c>
      <c r="G1150" s="19">
        <v>4300</v>
      </c>
      <c r="H1150" s="4"/>
    </row>
    <row r="1151" spans="4:8" hidden="1">
      <c r="D1151" s="5"/>
      <c r="E1151" s="3" t="e">
        <f t="array" ref="E1151">- Scaffolding Pipe support</f>
        <v>#NAME?</v>
      </c>
      <c r="F1151" s="2" t="s">
        <v>1151</v>
      </c>
      <c r="G1151" s="19">
        <v>8500</v>
      </c>
      <c r="H1151" s="4"/>
    </row>
    <row r="1152" spans="4:8" hidden="1">
      <c r="D1152" s="5"/>
      <c r="E1152" s="3" t="e">
        <f t="array" ref="E1152">- Scaffolding Horizontal frame</f>
        <v>#NAME?</v>
      </c>
      <c r="F1152" s="2" t="s">
        <v>1151</v>
      </c>
      <c r="G1152" s="19">
        <v>7700</v>
      </c>
      <c r="H1152" s="4"/>
    </row>
    <row r="1153" spans="4:8" hidden="1">
      <c r="D1153" s="5"/>
      <c r="E1153" s="3" t="e">
        <f t="array" ref="E1153">- Scaffolding Cat  walk</f>
        <v>#NAME?</v>
      </c>
      <c r="F1153" s="2" t="s">
        <v>1151</v>
      </c>
      <c r="G1153" s="19">
        <v>26900</v>
      </c>
      <c r="H1153" s="4"/>
    </row>
    <row r="1154" spans="4:8">
      <c r="D1154" s="5"/>
      <c r="E1154" s="3" t="s">
        <v>1152</v>
      </c>
      <c r="F1154" s="2" t="s">
        <v>1151</v>
      </c>
      <c r="G1154" s="19">
        <v>8800</v>
      </c>
      <c r="H1154" s="4"/>
    </row>
    <row r="1155" spans="4:8">
      <c r="D1155" s="5"/>
      <c r="E1155" s="3" t="s">
        <v>1153</v>
      </c>
      <c r="F1155" s="2" t="s">
        <v>1151</v>
      </c>
      <c r="G1155" s="19">
        <v>17600</v>
      </c>
      <c r="H1155" s="4"/>
    </row>
    <row r="1156" spans="4:8" hidden="1">
      <c r="D1156" s="5"/>
      <c r="E1156" s="3" t="e">
        <f t="array" ref="E1156">- Scaffolding Swipel clamb</f>
        <v>#NAME?</v>
      </c>
      <c r="F1156" s="2" t="s">
        <v>1151</v>
      </c>
      <c r="G1156" s="19">
        <v>5100</v>
      </c>
      <c r="H1156" s="4"/>
    </row>
    <row r="1157" spans="4:8" hidden="1">
      <c r="D1157" s="5"/>
      <c r="E1157" s="3" t="e">
        <f t="array" ref="E1157">- Scaffolding Roda custer (satu set)</f>
        <v>#NAME?</v>
      </c>
      <c r="F1157" s="2" t="s">
        <v>1151</v>
      </c>
      <c r="G1157" s="19">
        <v>64300</v>
      </c>
      <c r="H1157" s="4"/>
    </row>
    <row r="1158" spans="4:8">
      <c r="D1158" s="5">
        <v>66</v>
      </c>
      <c r="E1158" s="3" t="s">
        <v>1154</v>
      </c>
      <c r="F1158" s="2" t="s">
        <v>1085</v>
      </c>
      <c r="G1158" s="19">
        <v>35000</v>
      </c>
      <c r="H1158" s="4"/>
    </row>
    <row r="1159" spans="4:8">
      <c r="D1159" s="5">
        <v>67</v>
      </c>
      <c r="E1159" s="3" t="s">
        <v>1155</v>
      </c>
      <c r="F1159" s="2" t="s">
        <v>1091</v>
      </c>
      <c r="G1159" s="19">
        <v>95000</v>
      </c>
      <c r="H1159" s="4"/>
    </row>
    <row r="1160" spans="4:8">
      <c r="D1160" s="5">
        <v>68</v>
      </c>
      <c r="E1160" s="3" t="s">
        <v>1156</v>
      </c>
      <c r="F1160" s="2" t="s">
        <v>1085</v>
      </c>
      <c r="G1160" s="19">
        <v>799500</v>
      </c>
      <c r="H1160" s="4"/>
    </row>
    <row r="1161" spans="4:8">
      <c r="D1161" s="5">
        <v>69</v>
      </c>
      <c r="E1161" s="3" t="s">
        <v>1157</v>
      </c>
      <c r="F1161" s="2" t="s">
        <v>1085</v>
      </c>
      <c r="G1161" s="19">
        <v>469500</v>
      </c>
      <c r="H1161" s="4"/>
    </row>
    <row r="1162" spans="4:8">
      <c r="D1162" s="5">
        <v>70</v>
      </c>
      <c r="E1162" s="3" t="s">
        <v>1158</v>
      </c>
      <c r="F1162" s="2" t="s">
        <v>1091</v>
      </c>
      <c r="G1162" s="19">
        <v>150000</v>
      </c>
      <c r="H1162" s="4"/>
    </row>
    <row r="1163" spans="4:8">
      <c r="D1163" s="5">
        <v>71</v>
      </c>
      <c r="E1163" s="3" t="s">
        <v>1159</v>
      </c>
      <c r="F1163" s="2" t="s">
        <v>1085</v>
      </c>
      <c r="G1163" s="19">
        <v>262300</v>
      </c>
      <c r="H1163" s="4"/>
    </row>
    <row r="1164" spans="4:8">
      <c r="D1164" s="5">
        <v>72</v>
      </c>
      <c r="E1164" s="3" t="s">
        <v>1160</v>
      </c>
      <c r="F1164" s="2" t="s">
        <v>1091</v>
      </c>
      <c r="G1164" s="19">
        <v>3442900</v>
      </c>
      <c r="H1164" s="4"/>
    </row>
    <row r="1165" spans="4:8">
      <c r="D1165" s="5">
        <v>73</v>
      </c>
      <c r="E1165" s="3" t="s">
        <v>1161</v>
      </c>
      <c r="F1165" s="2" t="s">
        <v>139</v>
      </c>
      <c r="G1165" s="19">
        <v>500000</v>
      </c>
      <c r="H1165" s="4"/>
    </row>
    <row r="1166" spans="4:8">
      <c r="D1166" s="5">
        <v>74</v>
      </c>
      <c r="E1166" s="3" t="s">
        <v>1162</v>
      </c>
      <c r="F1166" s="2" t="s">
        <v>1085</v>
      </c>
      <c r="G1166" s="19">
        <v>58800</v>
      </c>
      <c r="H1166" s="4"/>
    </row>
    <row r="1167" spans="4:8">
      <c r="D1167" s="5">
        <v>75</v>
      </c>
      <c r="E1167" s="3" t="s">
        <v>1163</v>
      </c>
      <c r="F1167" s="2" t="s">
        <v>1085</v>
      </c>
      <c r="G1167" s="19">
        <v>95000</v>
      </c>
      <c r="H1167" s="4"/>
    </row>
    <row r="1168" spans="4:8">
      <c r="D1168" s="5">
        <v>76</v>
      </c>
      <c r="E1168" s="3" t="s">
        <v>1164</v>
      </c>
      <c r="F1168" s="2" t="s">
        <v>1085</v>
      </c>
      <c r="G1168" s="19">
        <v>392200</v>
      </c>
      <c r="H1168" s="4"/>
    </row>
    <row r="1169" spans="4:8">
      <c r="D1169" s="5">
        <v>77</v>
      </c>
      <c r="E1169" s="3" t="s">
        <v>1165</v>
      </c>
      <c r="F1169" s="2" t="s">
        <v>1085</v>
      </c>
      <c r="G1169" s="19">
        <v>71700</v>
      </c>
      <c r="H1169" s="4"/>
    </row>
    <row r="1170" spans="4:8">
      <c r="D1170" s="5">
        <v>78</v>
      </c>
      <c r="E1170" s="3" t="s">
        <v>1166</v>
      </c>
      <c r="F1170" s="2" t="s">
        <v>1085</v>
      </c>
      <c r="G1170" s="19">
        <v>255200</v>
      </c>
      <c r="H1170" s="4"/>
    </row>
    <row r="1171" spans="4:8">
      <c r="D1171" s="5">
        <v>79</v>
      </c>
      <c r="E1171" s="3" t="s">
        <v>1167</v>
      </c>
      <c r="F1171" s="2" t="s">
        <v>1091</v>
      </c>
      <c r="G1171" s="19">
        <v>75000</v>
      </c>
      <c r="H1171" s="4"/>
    </row>
    <row r="1172" spans="4:8">
      <c r="D1172" s="5">
        <v>80</v>
      </c>
      <c r="E1172" s="3" t="s">
        <v>1168</v>
      </c>
      <c r="F1172" s="2" t="s">
        <v>1085</v>
      </c>
      <c r="G1172" s="19">
        <v>472400</v>
      </c>
      <c r="H1172" s="4"/>
    </row>
    <row r="1173" spans="4:8">
      <c r="D1173" s="5">
        <v>81</v>
      </c>
      <c r="E1173" s="3" t="s">
        <v>1169</v>
      </c>
      <c r="F1173" s="2" t="s">
        <v>1091</v>
      </c>
      <c r="G1173" s="19">
        <v>350000</v>
      </c>
      <c r="H1173" s="4"/>
    </row>
    <row r="1174" spans="4:8">
      <c r="D1174" s="5">
        <v>82</v>
      </c>
      <c r="E1174" s="3" t="s">
        <v>1170</v>
      </c>
      <c r="F1174" s="2" t="s">
        <v>1091</v>
      </c>
      <c r="G1174" s="19">
        <v>350000</v>
      </c>
      <c r="H1174" s="4"/>
    </row>
    <row r="1175" spans="4:8">
      <c r="D1175" s="5">
        <v>83</v>
      </c>
      <c r="E1175" s="3" t="s">
        <v>1171</v>
      </c>
      <c r="F1175" s="2" t="s">
        <v>639</v>
      </c>
      <c r="G1175" s="19">
        <v>45000</v>
      </c>
      <c r="H1175" s="4"/>
    </row>
    <row r="1176" spans="4:8">
      <c r="D1176" s="5">
        <v>84</v>
      </c>
      <c r="E1176" s="3" t="s">
        <v>1172</v>
      </c>
      <c r="F1176" s="2" t="s">
        <v>107</v>
      </c>
      <c r="G1176" s="19">
        <v>52000</v>
      </c>
      <c r="H1176" s="4"/>
    </row>
    <row r="1177" spans="4:8">
      <c r="D1177" s="5">
        <v>85</v>
      </c>
      <c r="E1177" s="3" t="s">
        <v>1173</v>
      </c>
      <c r="F1177" s="2" t="s">
        <v>1174</v>
      </c>
      <c r="G1177" s="19">
        <v>969</v>
      </c>
      <c r="H1177" s="4"/>
    </row>
    <row r="1178" spans="4:8">
      <c r="D1178" s="5">
        <v>86</v>
      </c>
      <c r="E1178" s="3" t="s">
        <v>1175</v>
      </c>
      <c r="F1178" s="2" t="s">
        <v>44</v>
      </c>
      <c r="G1178" s="19">
        <v>15000</v>
      </c>
      <c r="H1178" s="4"/>
    </row>
    <row r="1179" spans="4:8">
      <c r="D1179" s="5">
        <v>87</v>
      </c>
      <c r="E1179" s="3" t="s">
        <v>1176</v>
      </c>
      <c r="F1179" s="2" t="s">
        <v>44</v>
      </c>
      <c r="G1179" s="19">
        <v>3500</v>
      </c>
      <c r="H1179" s="4"/>
    </row>
    <row r="1180" spans="4:8">
      <c r="D1180" s="5">
        <v>88</v>
      </c>
      <c r="E1180" s="3" t="s">
        <v>1177</v>
      </c>
      <c r="F1180" s="2" t="s">
        <v>1174</v>
      </c>
      <c r="G1180" s="19">
        <v>850</v>
      </c>
      <c r="H1180" s="4"/>
    </row>
    <row r="1181" spans="4:8">
      <c r="D1181" s="5">
        <v>89</v>
      </c>
      <c r="E1181" s="3" t="s">
        <v>1178</v>
      </c>
      <c r="F1181" s="2" t="s">
        <v>44</v>
      </c>
      <c r="G1181" s="19">
        <v>30000</v>
      </c>
      <c r="H1181" s="4"/>
    </row>
    <row r="1182" spans="4:8">
      <c r="D1182" s="5">
        <v>90</v>
      </c>
      <c r="E1182" s="196" t="s">
        <v>1409</v>
      </c>
      <c r="F1182" s="2" t="s">
        <v>1085</v>
      </c>
      <c r="G1182" s="19">
        <v>85000</v>
      </c>
      <c r="H1182" s="4"/>
    </row>
    <row r="1183" spans="4:8">
      <c r="D1183" s="5">
        <v>91</v>
      </c>
      <c r="E1183" s="3" t="s">
        <v>1179</v>
      </c>
      <c r="F1183" s="2" t="s">
        <v>1091</v>
      </c>
      <c r="G1183" s="19">
        <v>300000</v>
      </c>
      <c r="H1183" s="4"/>
    </row>
    <row r="1184" spans="4:8">
      <c r="D1184" s="5">
        <v>92</v>
      </c>
      <c r="E1184" s="3" t="s">
        <v>1180</v>
      </c>
      <c r="F1184" s="2" t="s">
        <v>44</v>
      </c>
      <c r="G1184" s="19">
        <v>15000</v>
      </c>
      <c r="H1184" s="4"/>
    </row>
    <row r="1185" spans="4:8">
      <c r="D1185" s="5">
        <v>93</v>
      </c>
      <c r="E1185" s="3" t="s">
        <v>1181</v>
      </c>
      <c r="F1185" s="2" t="s">
        <v>44</v>
      </c>
      <c r="G1185" s="19">
        <v>25000</v>
      </c>
      <c r="H1185" s="4"/>
    </row>
    <row r="1186" spans="4:8">
      <c r="D1186" s="5">
        <v>94</v>
      </c>
      <c r="E1186" s="3" t="s">
        <v>1182</v>
      </c>
      <c r="F1186" s="2" t="s">
        <v>1183</v>
      </c>
      <c r="G1186" s="19">
        <v>20000</v>
      </c>
      <c r="H1186" s="4"/>
    </row>
    <row r="1187" spans="4:8">
      <c r="D1187" s="5">
        <v>95</v>
      </c>
      <c r="E1187" s="3" t="s">
        <v>1184</v>
      </c>
      <c r="F1187" s="2" t="s">
        <v>44</v>
      </c>
      <c r="G1187" s="19">
        <v>52000</v>
      </c>
      <c r="H1187" s="4"/>
    </row>
    <row r="1188" spans="4:8">
      <c r="D1188" s="5">
        <v>96</v>
      </c>
      <c r="E1188" s="3" t="s">
        <v>1185</v>
      </c>
      <c r="F1188" s="2" t="s">
        <v>1091</v>
      </c>
      <c r="G1188" s="19">
        <v>500000</v>
      </c>
      <c r="H1188" s="4"/>
    </row>
    <row r="1189" spans="4:8">
      <c r="D1189" s="5">
        <v>97</v>
      </c>
      <c r="E1189" s="3" t="s">
        <v>1186</v>
      </c>
      <c r="F1189" s="2" t="s">
        <v>1091</v>
      </c>
      <c r="G1189" s="19">
        <v>1000000</v>
      </c>
      <c r="H1189" s="4"/>
    </row>
    <row r="1190" spans="4:8">
      <c r="D1190" s="5">
        <v>98</v>
      </c>
      <c r="E1190" s="3" t="s">
        <v>1187</v>
      </c>
      <c r="F1190" s="2" t="s">
        <v>1091</v>
      </c>
      <c r="G1190" s="19">
        <v>250000</v>
      </c>
      <c r="H1190" s="4"/>
    </row>
    <row r="1191" spans="4:8">
      <c r="D1191" s="5">
        <v>99</v>
      </c>
      <c r="E1191" s="3" t="s">
        <v>1188</v>
      </c>
      <c r="F1191" s="2" t="s">
        <v>139</v>
      </c>
      <c r="G1191" s="19">
        <v>1920000</v>
      </c>
      <c r="H1191" s="4"/>
    </row>
    <row r="1192" spans="4:8">
      <c r="D1192" s="5">
        <v>100</v>
      </c>
      <c r="E1192" s="3" t="s">
        <v>1189</v>
      </c>
      <c r="F1192" s="2" t="s">
        <v>1085</v>
      </c>
      <c r="G1192" s="19">
        <v>42000</v>
      </c>
      <c r="H1192" s="4"/>
    </row>
    <row r="1193" spans="4:8">
      <c r="D1193" s="5">
        <v>101</v>
      </c>
      <c r="E1193" s="3" t="s">
        <v>1190</v>
      </c>
      <c r="F1193" s="2" t="s">
        <v>1091</v>
      </c>
      <c r="G1193" s="19">
        <v>44000</v>
      </c>
      <c r="H1193" s="4"/>
    </row>
    <row r="1194" spans="4:8">
      <c r="D1194" s="5">
        <v>102</v>
      </c>
      <c r="E1194" s="3" t="s">
        <v>1191</v>
      </c>
      <c r="F1194" s="2" t="s">
        <v>1091</v>
      </c>
      <c r="G1194" s="19">
        <v>7500</v>
      </c>
      <c r="H1194" s="4"/>
    </row>
    <row r="1195" spans="4:8">
      <c r="D1195" s="5">
        <v>103</v>
      </c>
      <c r="E1195" s="3" t="s">
        <v>1192</v>
      </c>
      <c r="F1195" s="2" t="s">
        <v>1091</v>
      </c>
      <c r="G1195" s="19">
        <v>7500</v>
      </c>
      <c r="H1195" s="4"/>
    </row>
    <row r="1196" spans="4:8">
      <c r="D1196" s="5">
        <v>104</v>
      </c>
      <c r="E1196" s="3" t="s">
        <v>1149</v>
      </c>
      <c r="F1196" s="2" t="s">
        <v>1091</v>
      </c>
      <c r="G1196" s="19">
        <v>150000</v>
      </c>
      <c r="H1196" s="4"/>
    </row>
    <row r="1197" spans="4:8">
      <c r="D1197" s="5">
        <v>105</v>
      </c>
      <c r="E1197" s="3" t="s">
        <v>1193</v>
      </c>
      <c r="F1197" s="2" t="s">
        <v>1091</v>
      </c>
      <c r="G1197" s="19">
        <v>1450000</v>
      </c>
      <c r="H1197" s="4"/>
    </row>
    <row r="1198" spans="4:8">
      <c r="D1198" s="5">
        <v>106</v>
      </c>
      <c r="E1198" s="3" t="s">
        <v>1194</v>
      </c>
      <c r="F1198" s="2" t="s">
        <v>1091</v>
      </c>
      <c r="G1198" s="19">
        <v>3400000</v>
      </c>
      <c r="H1198" s="4"/>
    </row>
    <row r="1199" spans="4:8">
      <c r="D1199" s="5">
        <v>107</v>
      </c>
      <c r="E1199" s="3" t="s">
        <v>1195</v>
      </c>
      <c r="F1199" s="2" t="s">
        <v>1091</v>
      </c>
      <c r="G1199" s="19">
        <v>6250000</v>
      </c>
      <c r="H1199" s="4"/>
    </row>
    <row r="1200" spans="4:8">
      <c r="D1200" s="5">
        <v>108</v>
      </c>
      <c r="E1200" s="3" t="s">
        <v>1196</v>
      </c>
      <c r="F1200" s="2" t="s">
        <v>1091</v>
      </c>
      <c r="G1200" s="19">
        <v>1450000</v>
      </c>
      <c r="H1200" s="4"/>
    </row>
    <row r="1201" spans="4:8">
      <c r="D1201" s="5">
        <v>109</v>
      </c>
      <c r="E1201" s="3" t="s">
        <v>1197</v>
      </c>
      <c r="F1201" s="2" t="s">
        <v>44</v>
      </c>
      <c r="G1201" s="19">
        <v>50000</v>
      </c>
      <c r="H1201" s="4"/>
    </row>
    <row r="1202" spans="4:8">
      <c r="D1202" s="5">
        <v>110</v>
      </c>
      <c r="E1202" s="3" t="s">
        <v>1197</v>
      </c>
      <c r="F1202" s="2" t="s">
        <v>1091</v>
      </c>
      <c r="G1202" s="19">
        <v>50000</v>
      </c>
      <c r="H1202" s="4"/>
    </row>
    <row r="1203" spans="4:8">
      <c r="D1203" s="5">
        <v>111</v>
      </c>
      <c r="E1203" s="3" t="s">
        <v>1198</v>
      </c>
      <c r="F1203" s="2" t="s">
        <v>1174</v>
      </c>
      <c r="G1203" s="19">
        <v>30</v>
      </c>
      <c r="H1203" s="4"/>
    </row>
    <row r="1204" spans="4:8">
      <c r="D1204" s="5">
        <v>112</v>
      </c>
      <c r="E1204" s="3" t="s">
        <v>1199</v>
      </c>
      <c r="F1204" s="2" t="s">
        <v>1091</v>
      </c>
      <c r="G1204" s="19">
        <v>250000</v>
      </c>
      <c r="H1204" s="4"/>
    </row>
    <row r="1205" spans="4:8">
      <c r="D1205" s="5">
        <v>113</v>
      </c>
      <c r="E1205" s="3" t="s">
        <v>1200</v>
      </c>
      <c r="F1205" s="2" t="s">
        <v>1085</v>
      </c>
      <c r="G1205" s="19">
        <v>525000</v>
      </c>
      <c r="H1205" s="4"/>
    </row>
    <row r="1206" spans="4:8">
      <c r="D1206" s="5">
        <v>114</v>
      </c>
      <c r="E1206" s="3" t="s">
        <v>1201</v>
      </c>
      <c r="F1206" s="2" t="s">
        <v>1174</v>
      </c>
      <c r="G1206" s="19">
        <v>165</v>
      </c>
      <c r="H1206" s="4"/>
    </row>
    <row r="1207" spans="4:8">
      <c r="D1207" s="5">
        <v>115</v>
      </c>
      <c r="E1207" s="196" t="s">
        <v>1329</v>
      </c>
      <c r="F1207" s="197" t="s">
        <v>1348</v>
      </c>
      <c r="G1207" s="19">
        <v>25000</v>
      </c>
      <c r="H1207" s="4"/>
    </row>
    <row r="1208" spans="4:8">
      <c r="D1208" s="5">
        <v>116</v>
      </c>
      <c r="E1208" s="196" t="s">
        <v>1334</v>
      </c>
      <c r="F1208" s="197" t="s">
        <v>1348</v>
      </c>
      <c r="G1208" s="19">
        <v>30700</v>
      </c>
      <c r="H1208" s="4"/>
    </row>
    <row r="1209" spans="4:8">
      <c r="D1209" s="5">
        <v>117</v>
      </c>
      <c r="E1209" s="196" t="s">
        <v>1339</v>
      </c>
      <c r="F1209" s="197" t="s">
        <v>1348</v>
      </c>
      <c r="G1209" s="19">
        <v>43500</v>
      </c>
      <c r="H1209" s="4"/>
    </row>
    <row r="1210" spans="4:8">
      <c r="D1210" s="5">
        <v>118</v>
      </c>
      <c r="E1210" s="196" t="s">
        <v>1344</v>
      </c>
      <c r="F1210" s="197" t="s">
        <v>1348</v>
      </c>
      <c r="G1210" s="19">
        <v>55800</v>
      </c>
      <c r="H1210" s="4"/>
    </row>
    <row r="1211" spans="4:8">
      <c r="D1211" s="5">
        <v>119</v>
      </c>
      <c r="E1211" s="196" t="s">
        <v>1678</v>
      </c>
      <c r="F1211" s="197" t="s">
        <v>1679</v>
      </c>
      <c r="G1211" s="19">
        <v>332</v>
      </c>
      <c r="H1211" s="4"/>
    </row>
    <row r="1212" spans="4:8">
      <c r="D1212" s="5"/>
      <c r="E1212" s="196"/>
      <c r="F1212" s="197"/>
      <c r="G1212" s="19"/>
      <c r="H1212" s="4"/>
    </row>
    <row r="1213" spans="4:8">
      <c r="D1213" s="5"/>
      <c r="E1213" s="196"/>
      <c r="F1213" s="197"/>
      <c r="G1213" s="19"/>
      <c r="H1213" s="4"/>
    </row>
    <row r="1214" spans="4:8">
      <c r="D1214" s="5"/>
      <c r="E1214" s="196"/>
      <c r="F1214" s="197"/>
      <c r="G1214" s="19"/>
      <c r="H1214" s="4"/>
    </row>
    <row r="1215" spans="4:8">
      <c r="D1215" s="5"/>
      <c r="E1215" s="196"/>
      <c r="F1215" s="197"/>
      <c r="G1215" s="19"/>
      <c r="H1215" s="4"/>
    </row>
    <row r="1216" spans="4:8">
      <c r="D1216" s="5"/>
      <c r="E1216" s="3"/>
      <c r="F1216" s="2"/>
      <c r="G1216" s="19"/>
      <c r="H1216" s="4"/>
    </row>
    <row r="1217" spans="4:8" ht="13.5" thickBot="1">
      <c r="D1217" s="6"/>
      <c r="E1217" s="7"/>
      <c r="F1217" s="18"/>
      <c r="G1217" s="21"/>
      <c r="H1217" s="8"/>
    </row>
    <row r="1218" spans="4:8" ht="13.5" thickTop="1"/>
  </sheetData>
  <mergeCells count="1">
    <mergeCell ref="D4:H4"/>
  </mergeCells>
  <pageMargins left="0.74791666666666667" right="0.74791666666666667" top="0.98402777777777783" bottom="0.98402777777777783" header="0.51180555555555562" footer="0.51180555555555562"/>
  <pageSetup paperSize="256" fitToWidth="0" fitToHeight="0"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C1:N393"/>
  <sheetViews>
    <sheetView topLeftCell="A361" zoomScaleNormal="100" zoomScaleSheetLayoutView="100" workbookViewId="0">
      <selection activeCell="I384" sqref="I384"/>
    </sheetView>
    <sheetView tabSelected="1" workbookViewId="1">
      <selection activeCell="F23" sqref="F23"/>
    </sheetView>
  </sheetViews>
  <sheetFormatPr defaultColWidth="9.140625" defaultRowHeight="14.25"/>
  <cols>
    <col min="1" max="2" width="2.85546875" style="56" customWidth="1"/>
    <col min="3" max="3" width="8.28515625" style="56" customWidth="1"/>
    <col min="4" max="4" width="39.28515625" style="56" bestFit="1" customWidth="1"/>
    <col min="5" max="5" width="9.140625" style="56"/>
    <col min="6" max="6" width="9.85546875" style="56" customWidth="1"/>
    <col min="7" max="7" width="16.28515625" style="56" customWidth="1"/>
    <col min="8" max="8" width="17.28515625" style="216" customWidth="1"/>
    <col min="9" max="9" width="14.42578125" style="56" customWidth="1"/>
    <col min="10" max="10" width="9.140625" style="56"/>
    <col min="11" max="11" width="12.140625" style="56" bestFit="1" customWidth="1"/>
    <col min="12" max="12" width="9.140625" style="56"/>
    <col min="13" max="13" width="15" style="56" bestFit="1" customWidth="1"/>
    <col min="14" max="16384" width="9.140625" style="56"/>
  </cols>
  <sheetData>
    <row r="1" spans="3:14" ht="9" customHeight="1"/>
    <row r="2" spans="3:14" ht="9" customHeight="1"/>
    <row r="3" spans="3:14" ht="15">
      <c r="C3" s="53" t="s">
        <v>1213</v>
      </c>
      <c r="D3" s="54" t="s">
        <v>1264</v>
      </c>
      <c r="E3" s="54"/>
      <c r="F3" s="54"/>
      <c r="G3" s="54"/>
      <c r="H3" s="209"/>
      <c r="I3" s="55"/>
    </row>
    <row r="4" spans="3:14" ht="15.75" thickBot="1">
      <c r="C4" s="55" t="s">
        <v>1206</v>
      </c>
      <c r="D4" s="55"/>
      <c r="E4" s="119"/>
      <c r="F4" s="119"/>
      <c r="G4" s="119"/>
      <c r="H4" s="210"/>
      <c r="I4" s="57">
        <f>ROUNDDOWN(H27,-2)</f>
        <v>792200</v>
      </c>
      <c r="K4" s="160">
        <v>799800</v>
      </c>
    </row>
    <row r="5" spans="3:14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211" t="s">
        <v>1212</v>
      </c>
      <c r="I5" s="58"/>
    </row>
    <row r="6" spans="3:14">
      <c r="C6" s="123" t="s">
        <v>1213</v>
      </c>
      <c r="D6" s="60" t="s">
        <v>1214</v>
      </c>
      <c r="E6" s="61"/>
      <c r="F6" s="62"/>
      <c r="G6" s="62"/>
      <c r="H6" s="128"/>
      <c r="I6" s="63"/>
      <c r="K6" s="56" t="s">
        <v>1265</v>
      </c>
    </row>
    <row r="7" spans="3:14">
      <c r="C7" s="124" t="s">
        <v>1215</v>
      </c>
      <c r="D7" s="61" t="s">
        <v>5</v>
      </c>
      <c r="E7" s="59" t="s">
        <v>6</v>
      </c>
      <c r="F7" s="64">
        <v>0.6</v>
      </c>
      <c r="G7" s="65">
        <f>VLOOKUP(D7,upahbahan,3,FALSE)</f>
        <v>100000</v>
      </c>
      <c r="H7" s="125">
        <f>F7*G7</f>
        <v>60000</v>
      </c>
      <c r="I7" s="63"/>
      <c r="K7" s="56" t="s">
        <v>1266</v>
      </c>
      <c r="N7" s="66">
        <v>0.1</v>
      </c>
    </row>
    <row r="8" spans="3:14">
      <c r="C8" s="124" t="s">
        <v>1216</v>
      </c>
      <c r="D8" s="60" t="s">
        <v>8</v>
      </c>
      <c r="E8" s="59" t="s">
        <v>6</v>
      </c>
      <c r="F8" s="64">
        <v>0.2</v>
      </c>
      <c r="G8" s="65">
        <f>VLOOKUP(D8,upahbahan,3,FALSE)</f>
        <v>145000</v>
      </c>
      <c r="H8" s="125">
        <f>F8*G8</f>
        <v>29000</v>
      </c>
      <c r="I8" s="63"/>
    </row>
    <row r="9" spans="3:14">
      <c r="C9" s="124" t="s">
        <v>1217</v>
      </c>
      <c r="D9" s="61" t="s">
        <v>7</v>
      </c>
      <c r="E9" s="59" t="s">
        <v>6</v>
      </c>
      <c r="F9" s="64">
        <v>0.2</v>
      </c>
      <c r="G9" s="65">
        <f>VLOOKUP(D9,upahbahan,3,FALSE)</f>
        <v>145000</v>
      </c>
      <c r="H9" s="125">
        <f>F9*G9</f>
        <v>29000</v>
      </c>
      <c r="I9" s="63"/>
    </row>
    <row r="10" spans="3:14">
      <c r="C10" s="124" t="s">
        <v>1218</v>
      </c>
      <c r="D10" s="60" t="s">
        <v>18</v>
      </c>
      <c r="E10" s="59" t="s">
        <v>6</v>
      </c>
      <c r="F10" s="64">
        <v>0.04</v>
      </c>
      <c r="G10" s="65">
        <f>VLOOKUP(D10,upahbahan,3,FALSE)</f>
        <v>150000</v>
      </c>
      <c r="H10" s="125">
        <f>F10*G10</f>
        <v>6000</v>
      </c>
      <c r="I10" s="63"/>
    </row>
    <row r="11" spans="3:14">
      <c r="C11" s="124" t="s">
        <v>1219</v>
      </c>
      <c r="D11" s="61" t="s">
        <v>19</v>
      </c>
      <c r="E11" s="59" t="s">
        <v>6</v>
      </c>
      <c r="F11" s="64">
        <v>1.2999999999999999E-2</v>
      </c>
      <c r="G11" s="65">
        <f>VLOOKUP(D11,upahbahan,3,FALSE)</f>
        <v>145000</v>
      </c>
      <c r="H11" s="125">
        <f>F11*G11</f>
        <v>1885</v>
      </c>
      <c r="I11" s="63"/>
    </row>
    <row r="12" spans="3:14">
      <c r="C12" s="126" t="s">
        <v>1220</v>
      </c>
      <c r="D12" s="504"/>
      <c r="E12" s="504"/>
      <c r="F12" s="504"/>
      <c r="G12" s="505"/>
      <c r="H12" s="506">
        <f>SUM(H7:H11)</f>
        <v>125885</v>
      </c>
      <c r="I12" s="63"/>
    </row>
    <row r="13" spans="3:14">
      <c r="C13" s="123" t="s">
        <v>1221</v>
      </c>
      <c r="D13" s="60" t="s">
        <v>1222</v>
      </c>
      <c r="E13" s="61"/>
      <c r="F13" s="68"/>
      <c r="G13" s="109"/>
      <c r="H13" s="128"/>
      <c r="I13" s="63"/>
    </row>
    <row r="14" spans="3:14">
      <c r="C14" s="129" t="s">
        <v>1215</v>
      </c>
      <c r="D14" s="61" t="s">
        <v>119</v>
      </c>
      <c r="E14" s="69" t="s">
        <v>42</v>
      </c>
      <c r="F14" s="64">
        <v>3.9E-2</v>
      </c>
      <c r="G14" s="65">
        <f t="shared" ref="G14:G21" si="0">VLOOKUP(D14,upahbahan,3,FALSE)</f>
        <v>10214200</v>
      </c>
      <c r="H14" s="125">
        <f t="shared" ref="H14:H21" si="1">F14*G14</f>
        <v>398353.8</v>
      </c>
      <c r="I14" s="63"/>
    </row>
    <row r="15" spans="3:14">
      <c r="C15" s="129" t="s">
        <v>1216</v>
      </c>
      <c r="D15" s="61" t="s">
        <v>123</v>
      </c>
      <c r="E15" s="69" t="s">
        <v>42</v>
      </c>
      <c r="F15" s="64">
        <v>0.04</v>
      </c>
      <c r="G15" s="65">
        <f t="shared" si="0"/>
        <v>2500000</v>
      </c>
      <c r="H15" s="125">
        <f t="shared" si="1"/>
        <v>100000</v>
      </c>
      <c r="I15" s="63"/>
    </row>
    <row r="16" spans="3:14">
      <c r="C16" s="129" t="s">
        <v>1217</v>
      </c>
      <c r="D16" s="61" t="s">
        <v>267</v>
      </c>
      <c r="E16" s="59" t="s">
        <v>66</v>
      </c>
      <c r="F16" s="64">
        <v>0.58699999999999997</v>
      </c>
      <c r="G16" s="65">
        <f t="shared" si="0"/>
        <v>20000</v>
      </c>
      <c r="H16" s="125">
        <f t="shared" si="1"/>
        <v>11740</v>
      </c>
      <c r="I16" s="63"/>
    </row>
    <row r="17" spans="3:11">
      <c r="C17" s="129" t="s">
        <v>1218</v>
      </c>
      <c r="D17" s="61" t="s">
        <v>568</v>
      </c>
      <c r="E17" s="59" t="s">
        <v>66</v>
      </c>
      <c r="F17" s="64">
        <v>26.405999999999999</v>
      </c>
      <c r="G17" s="65">
        <f t="shared" si="0"/>
        <v>1300</v>
      </c>
      <c r="H17" s="125">
        <f t="shared" si="1"/>
        <v>34327.799999999996</v>
      </c>
      <c r="I17" s="63"/>
    </row>
    <row r="18" spans="3:11">
      <c r="C18" s="129" t="s">
        <v>1219</v>
      </c>
      <c r="D18" s="61" t="s">
        <v>83</v>
      </c>
      <c r="E18" s="69" t="s">
        <v>42</v>
      </c>
      <c r="F18" s="64">
        <f>61.56/1400</f>
        <v>4.3971428571428571E-2</v>
      </c>
      <c r="G18" s="65">
        <f t="shared" si="0"/>
        <v>370200</v>
      </c>
      <c r="H18" s="125">
        <f t="shared" si="1"/>
        <v>16278.222857142857</v>
      </c>
      <c r="I18" s="63"/>
    </row>
    <row r="19" spans="3:11">
      <c r="C19" s="129" t="s">
        <v>1223</v>
      </c>
      <c r="D19" s="60" t="s">
        <v>73</v>
      </c>
      <c r="E19" s="69" t="s">
        <v>42</v>
      </c>
      <c r="F19" s="64">
        <f>83.349/1350</f>
        <v>6.1740000000000003E-2</v>
      </c>
      <c r="G19" s="65">
        <f t="shared" si="0"/>
        <v>352300</v>
      </c>
      <c r="H19" s="125">
        <f t="shared" si="1"/>
        <v>21751.002</v>
      </c>
      <c r="I19" s="63"/>
    </row>
    <row r="20" spans="3:11">
      <c r="C20" s="129" t="s">
        <v>1224</v>
      </c>
      <c r="D20" s="61" t="s">
        <v>970</v>
      </c>
      <c r="E20" s="59" t="s">
        <v>535</v>
      </c>
      <c r="F20" s="64">
        <v>17.414999999999999</v>
      </c>
      <c r="G20" s="65">
        <f t="shared" si="0"/>
        <v>200</v>
      </c>
      <c r="H20" s="125">
        <f t="shared" si="1"/>
        <v>3483</v>
      </c>
      <c r="I20" s="63"/>
    </row>
    <row r="21" spans="3:11">
      <c r="C21" s="129" t="s">
        <v>1225</v>
      </c>
      <c r="D21" s="61" t="s">
        <v>772</v>
      </c>
      <c r="E21" s="59" t="s">
        <v>535</v>
      </c>
      <c r="F21" s="64">
        <v>0.4</v>
      </c>
      <c r="G21" s="65">
        <f t="shared" si="0"/>
        <v>21000</v>
      </c>
      <c r="H21" s="125">
        <f t="shared" si="1"/>
        <v>8400</v>
      </c>
      <c r="I21" s="63"/>
    </row>
    <row r="22" spans="3:11">
      <c r="C22" s="126" t="s">
        <v>1226</v>
      </c>
      <c r="D22" s="504"/>
      <c r="E22" s="504"/>
      <c r="F22" s="504"/>
      <c r="G22" s="505"/>
      <c r="H22" s="506">
        <f>SUM(H14:H21)</f>
        <v>594333.82485714287</v>
      </c>
      <c r="I22" s="63"/>
    </row>
    <row r="23" spans="3:11">
      <c r="C23" s="123" t="s">
        <v>1227</v>
      </c>
      <c r="D23" s="60" t="s">
        <v>1228</v>
      </c>
      <c r="E23" s="61"/>
      <c r="F23" s="68"/>
      <c r="G23" s="109"/>
      <c r="H23" s="128"/>
      <c r="I23" s="63"/>
    </row>
    <row r="24" spans="3:11">
      <c r="C24" s="126" t="s">
        <v>1229</v>
      </c>
      <c r="D24" s="67"/>
      <c r="E24" s="67"/>
      <c r="F24" s="67"/>
      <c r="G24" s="118"/>
      <c r="H24" s="130">
        <v>0</v>
      </c>
      <c r="I24" s="63"/>
    </row>
    <row r="25" spans="3:11">
      <c r="C25" s="123" t="s">
        <v>1230</v>
      </c>
      <c r="D25" s="70" t="s">
        <v>1231</v>
      </c>
      <c r="E25" s="71"/>
      <c r="F25" s="71"/>
      <c r="G25" s="108"/>
      <c r="H25" s="125">
        <f>H12+H22+H24</f>
        <v>720218.82485714287</v>
      </c>
      <c r="I25" s="63"/>
    </row>
    <row r="26" spans="3:11">
      <c r="C26" s="123" t="s">
        <v>1232</v>
      </c>
      <c r="D26" s="70" t="s">
        <v>1267</v>
      </c>
      <c r="E26" s="71"/>
      <c r="F26" s="72"/>
      <c r="G26" s="96">
        <f>$N$7</f>
        <v>0.1</v>
      </c>
      <c r="H26" s="125">
        <f>H25*G26</f>
        <v>72021.88248571429</v>
      </c>
      <c r="I26" s="63"/>
    </row>
    <row r="27" spans="3:11" ht="15.75" thickBot="1">
      <c r="C27" s="507" t="s">
        <v>1233</v>
      </c>
      <c r="D27" s="508" t="s">
        <v>1234</v>
      </c>
      <c r="E27" s="509"/>
      <c r="F27" s="509"/>
      <c r="G27" s="510"/>
      <c r="H27" s="511">
        <f>SUM(H25:H26)</f>
        <v>792240.70734285715</v>
      </c>
      <c r="I27" s="63"/>
    </row>
    <row r="28" spans="3:11" ht="15.75" thickTop="1">
      <c r="C28" s="54"/>
      <c r="D28" s="54"/>
      <c r="E28" s="54"/>
      <c r="F28" s="54"/>
      <c r="G28" s="101"/>
      <c r="H28" s="209"/>
      <c r="I28" s="55"/>
    </row>
    <row r="29" spans="3:11" ht="15.75" thickBot="1">
      <c r="C29" s="136" t="s">
        <v>1235</v>
      </c>
      <c r="D29" s="55"/>
      <c r="E29" s="119"/>
      <c r="F29" s="119"/>
      <c r="G29" s="137"/>
      <c r="H29" s="210"/>
      <c r="I29" s="57">
        <f>ROUNDDOWN(H51,-2)</f>
        <v>636600</v>
      </c>
      <c r="K29" s="160">
        <v>639300</v>
      </c>
    </row>
    <row r="30" spans="3:11" ht="29.25" thickTop="1">
      <c r="C30" s="120" t="s">
        <v>1207</v>
      </c>
      <c r="D30" s="121" t="s">
        <v>1208</v>
      </c>
      <c r="E30" s="121" t="s">
        <v>1209</v>
      </c>
      <c r="F30" s="121" t="s">
        <v>1210</v>
      </c>
      <c r="G30" s="138" t="s">
        <v>1211</v>
      </c>
      <c r="H30" s="211" t="s">
        <v>1212</v>
      </c>
      <c r="I30" s="58"/>
    </row>
    <row r="31" spans="3:11">
      <c r="C31" s="123" t="s">
        <v>1213</v>
      </c>
      <c r="D31" s="60" t="s">
        <v>1214</v>
      </c>
      <c r="E31" s="61"/>
      <c r="F31" s="62"/>
      <c r="G31" s="99"/>
      <c r="H31" s="128"/>
      <c r="I31" s="63"/>
    </row>
    <row r="32" spans="3:11">
      <c r="C32" s="123" t="s">
        <v>1215</v>
      </c>
      <c r="D32" s="61" t="s">
        <v>5</v>
      </c>
      <c r="E32" s="59" t="s">
        <v>6</v>
      </c>
      <c r="F32" s="64">
        <v>0.25</v>
      </c>
      <c r="G32" s="65">
        <f>VLOOKUP(D32,upahbahan,3,FALSE)</f>
        <v>100000</v>
      </c>
      <c r="H32" s="125">
        <f>F32*G32</f>
        <v>25000</v>
      </c>
      <c r="I32" s="63"/>
    </row>
    <row r="33" spans="3:9">
      <c r="C33" s="123" t="s">
        <v>1216</v>
      </c>
      <c r="D33" s="60" t="s">
        <v>8</v>
      </c>
      <c r="E33" s="59" t="s">
        <v>6</v>
      </c>
      <c r="F33" s="64">
        <v>0.125</v>
      </c>
      <c r="G33" s="65">
        <f>VLOOKUP(D33,upahbahan,3,FALSE)</f>
        <v>145000</v>
      </c>
      <c r="H33" s="125">
        <f>F33*G33</f>
        <v>18125</v>
      </c>
      <c r="I33" s="63"/>
    </row>
    <row r="34" spans="3:9">
      <c r="C34" s="123" t="s">
        <v>1217</v>
      </c>
      <c r="D34" s="61" t="s">
        <v>7</v>
      </c>
      <c r="E34" s="59" t="s">
        <v>6</v>
      </c>
      <c r="F34" s="64">
        <v>0.125</v>
      </c>
      <c r="G34" s="65">
        <f>VLOOKUP(D34,upahbahan,3,FALSE)</f>
        <v>145000</v>
      </c>
      <c r="H34" s="125">
        <f>F34*G34</f>
        <v>18125</v>
      </c>
      <c r="I34" s="63"/>
    </row>
    <row r="35" spans="3:9">
      <c r="C35" s="123" t="s">
        <v>1218</v>
      </c>
      <c r="D35" s="60" t="s">
        <v>18</v>
      </c>
      <c r="E35" s="59" t="s">
        <v>6</v>
      </c>
      <c r="F35" s="64">
        <v>2.5000000000000001E-2</v>
      </c>
      <c r="G35" s="65">
        <f>VLOOKUP(D35,upahbahan,3,FALSE)</f>
        <v>150000</v>
      </c>
      <c r="H35" s="125">
        <f>F35*G35</f>
        <v>3750</v>
      </c>
      <c r="I35" s="63"/>
    </row>
    <row r="36" spans="3:9">
      <c r="C36" s="123" t="s">
        <v>1219</v>
      </c>
      <c r="D36" s="61" t="s">
        <v>19</v>
      </c>
      <c r="E36" s="59" t="s">
        <v>6</v>
      </c>
      <c r="F36" s="64">
        <v>8.0000000000000002E-3</v>
      </c>
      <c r="G36" s="65">
        <f>VLOOKUP(D36,upahbahan,3,FALSE)</f>
        <v>145000</v>
      </c>
      <c r="H36" s="125">
        <f>F36*G36</f>
        <v>1160</v>
      </c>
      <c r="I36" s="63"/>
    </row>
    <row r="37" spans="3:9">
      <c r="C37" s="126" t="s">
        <v>1220</v>
      </c>
      <c r="D37" s="67"/>
      <c r="E37" s="67"/>
      <c r="F37" s="67"/>
      <c r="G37" s="118"/>
      <c r="H37" s="127">
        <f>SUM(H32:H36)</f>
        <v>66160</v>
      </c>
      <c r="I37" s="63"/>
    </row>
    <row r="38" spans="3:9">
      <c r="C38" s="123" t="s">
        <v>1221</v>
      </c>
      <c r="D38" s="60" t="s">
        <v>1222</v>
      </c>
      <c r="E38" s="61"/>
      <c r="F38" s="68"/>
      <c r="G38" s="109"/>
      <c r="H38" s="128"/>
      <c r="I38" s="63"/>
    </row>
    <row r="39" spans="3:9">
      <c r="C39" s="129" t="s">
        <v>1215</v>
      </c>
      <c r="D39" s="61" t="s">
        <v>119</v>
      </c>
      <c r="E39" s="69" t="s">
        <v>42</v>
      </c>
      <c r="F39" s="64">
        <v>3.1E-2</v>
      </c>
      <c r="G39" s="65">
        <f t="shared" ref="G39:G45" si="2">VLOOKUP(D39,upahbahan,3,FALSE)</f>
        <v>10214200</v>
      </c>
      <c r="H39" s="125">
        <f t="shared" ref="H39:H45" si="3">F39*G39</f>
        <v>316640.2</v>
      </c>
      <c r="I39" s="63"/>
    </row>
    <row r="40" spans="3:9">
      <c r="C40" s="129" t="s">
        <v>1216</v>
      </c>
      <c r="D40" s="61" t="s">
        <v>369</v>
      </c>
      <c r="E40" s="69" t="s">
        <v>133</v>
      </c>
      <c r="F40" s="64">
        <v>1.3129999999999999</v>
      </c>
      <c r="G40" s="65">
        <f t="shared" si="2"/>
        <v>85000</v>
      </c>
      <c r="H40" s="125">
        <f t="shared" si="3"/>
        <v>111605</v>
      </c>
      <c r="I40" s="63"/>
    </row>
    <row r="41" spans="3:9">
      <c r="C41" s="129" t="s">
        <v>1217</v>
      </c>
      <c r="D41" s="61" t="s">
        <v>267</v>
      </c>
      <c r="E41" s="59" t="s">
        <v>66</v>
      </c>
      <c r="F41" s="64">
        <v>0.42699999999999999</v>
      </c>
      <c r="G41" s="65">
        <f t="shared" si="2"/>
        <v>20000</v>
      </c>
      <c r="H41" s="125">
        <f t="shared" si="3"/>
        <v>8540</v>
      </c>
      <c r="I41" s="63"/>
    </row>
    <row r="42" spans="3:9">
      <c r="C42" s="129" t="s">
        <v>1218</v>
      </c>
      <c r="D42" s="61" t="s">
        <v>568</v>
      </c>
      <c r="E42" s="59" t="s">
        <v>66</v>
      </c>
      <c r="F42" s="64">
        <v>26.405999999999999</v>
      </c>
      <c r="G42" s="65">
        <f t="shared" si="2"/>
        <v>1300</v>
      </c>
      <c r="H42" s="125">
        <f t="shared" si="3"/>
        <v>34327.799999999996</v>
      </c>
      <c r="I42" s="63"/>
    </row>
    <row r="43" spans="3:9">
      <c r="C43" s="129" t="s">
        <v>1219</v>
      </c>
      <c r="D43" s="61" t="s">
        <v>83</v>
      </c>
      <c r="E43" s="69" t="s">
        <v>42</v>
      </c>
      <c r="F43" s="64">
        <f>61.56/1400</f>
        <v>4.3971428571428571E-2</v>
      </c>
      <c r="G43" s="65">
        <f t="shared" si="2"/>
        <v>370200</v>
      </c>
      <c r="H43" s="125">
        <f t="shared" si="3"/>
        <v>16278.222857142857</v>
      </c>
      <c r="I43" s="63"/>
    </row>
    <row r="44" spans="3:9">
      <c r="C44" s="129" t="s">
        <v>1223</v>
      </c>
      <c r="D44" s="60" t="s">
        <v>73</v>
      </c>
      <c r="E44" s="69" t="s">
        <v>42</v>
      </c>
      <c r="F44" s="64">
        <f>83.349/1350</f>
        <v>6.1740000000000003E-2</v>
      </c>
      <c r="G44" s="65">
        <f t="shared" si="2"/>
        <v>352300</v>
      </c>
      <c r="H44" s="125">
        <f t="shared" si="3"/>
        <v>21751.002</v>
      </c>
      <c r="I44" s="63"/>
    </row>
    <row r="45" spans="3:9">
      <c r="C45" s="129" t="s">
        <v>1224</v>
      </c>
      <c r="D45" s="61" t="s">
        <v>970</v>
      </c>
      <c r="E45" s="59" t="s">
        <v>535</v>
      </c>
      <c r="F45" s="64">
        <v>17.414999999999999</v>
      </c>
      <c r="G45" s="65">
        <f t="shared" si="2"/>
        <v>200</v>
      </c>
      <c r="H45" s="125">
        <f t="shared" si="3"/>
        <v>3483</v>
      </c>
      <c r="I45" s="63"/>
    </row>
    <row r="46" spans="3:9">
      <c r="C46" s="126" t="s">
        <v>1226</v>
      </c>
      <c r="D46" s="67"/>
      <c r="E46" s="67"/>
      <c r="F46" s="67"/>
      <c r="G46" s="118"/>
      <c r="H46" s="127">
        <f>SUM(H39:H45)</f>
        <v>512625.22485714284</v>
      </c>
      <c r="I46" s="63"/>
    </row>
    <row r="47" spans="3:9">
      <c r="C47" s="123" t="s">
        <v>1227</v>
      </c>
      <c r="D47" s="60" t="s">
        <v>1228</v>
      </c>
      <c r="E47" s="61"/>
      <c r="F47" s="68"/>
      <c r="G47" s="109"/>
      <c r="H47" s="128"/>
      <c r="I47" s="63"/>
    </row>
    <row r="48" spans="3:9">
      <c r="C48" s="126" t="s">
        <v>1229</v>
      </c>
      <c r="D48" s="67"/>
      <c r="E48" s="67"/>
      <c r="F48" s="67"/>
      <c r="G48" s="118"/>
      <c r="H48" s="130">
        <v>0</v>
      </c>
      <c r="I48" s="63"/>
    </row>
    <row r="49" spans="3:9">
      <c r="C49" s="123" t="s">
        <v>1230</v>
      </c>
      <c r="D49" s="70" t="s">
        <v>1231</v>
      </c>
      <c r="E49" s="71"/>
      <c r="F49" s="71"/>
      <c r="G49" s="108"/>
      <c r="H49" s="125">
        <f>H37+H46+H48</f>
        <v>578785.22485714289</v>
      </c>
      <c r="I49" s="63"/>
    </row>
    <row r="50" spans="3:9">
      <c r="C50" s="123" t="s">
        <v>1232</v>
      </c>
      <c r="D50" s="70" t="s">
        <v>1267</v>
      </c>
      <c r="E50" s="71"/>
      <c r="F50" s="72"/>
      <c r="G50" s="96">
        <f>$N$7</f>
        <v>0.1</v>
      </c>
      <c r="H50" s="125">
        <f>H49*G50</f>
        <v>57878.522485714289</v>
      </c>
      <c r="I50" s="63"/>
    </row>
    <row r="51" spans="3:9" ht="15.75" thickBot="1">
      <c r="C51" s="131" t="s">
        <v>1233</v>
      </c>
      <c r="D51" s="132" t="s">
        <v>1234</v>
      </c>
      <c r="E51" s="133"/>
      <c r="F51" s="133"/>
      <c r="G51" s="134"/>
      <c r="H51" s="135">
        <f>SUM(H49:H50)</f>
        <v>636663.74734285718</v>
      </c>
      <c r="I51" s="63"/>
    </row>
    <row r="52" spans="3:9" ht="15.75" thickTop="1">
      <c r="C52" s="54"/>
      <c r="D52" s="54"/>
      <c r="E52" s="54"/>
      <c r="F52" s="54"/>
      <c r="G52" s="101"/>
      <c r="H52" s="209"/>
      <c r="I52" s="55"/>
    </row>
    <row r="53" spans="3:9" ht="15.75" thickBot="1">
      <c r="C53" s="136" t="s">
        <v>1236</v>
      </c>
      <c r="D53" s="55"/>
      <c r="E53" s="119"/>
      <c r="F53" s="119"/>
      <c r="G53" s="137"/>
      <c r="H53" s="210"/>
      <c r="I53" s="57">
        <f>ROUNDDOWN(H75,-2)</f>
        <v>380100</v>
      </c>
    </row>
    <row r="54" spans="3:9" ht="29.25" thickTop="1">
      <c r="C54" s="120" t="s">
        <v>1207</v>
      </c>
      <c r="D54" s="121" t="s">
        <v>1208</v>
      </c>
      <c r="E54" s="121" t="s">
        <v>1209</v>
      </c>
      <c r="F54" s="121" t="s">
        <v>1210</v>
      </c>
      <c r="G54" s="138" t="s">
        <v>1211</v>
      </c>
      <c r="H54" s="211" t="s">
        <v>1212</v>
      </c>
      <c r="I54" s="58"/>
    </row>
    <row r="55" spans="3:9">
      <c r="C55" s="123" t="s">
        <v>1213</v>
      </c>
      <c r="D55" s="60" t="s">
        <v>1214</v>
      </c>
      <c r="E55" s="61"/>
      <c r="F55" s="62"/>
      <c r="G55" s="99"/>
      <c r="H55" s="128"/>
      <c r="I55" s="63"/>
    </row>
    <row r="56" spans="3:9">
      <c r="C56" s="123" t="s">
        <v>1215</v>
      </c>
      <c r="D56" s="61" t="s">
        <v>5</v>
      </c>
      <c r="E56" s="59" t="s">
        <v>6</v>
      </c>
      <c r="F56" s="64">
        <v>0.308</v>
      </c>
      <c r="G56" s="65">
        <f>VLOOKUP(D56,upahbahan,3,FALSE)</f>
        <v>100000</v>
      </c>
      <c r="H56" s="125">
        <f>F56*G56</f>
        <v>30800</v>
      </c>
      <c r="I56" s="63"/>
    </row>
    <row r="57" spans="3:9">
      <c r="C57" s="123" t="s">
        <v>1216</v>
      </c>
      <c r="D57" s="60" t="s">
        <v>8</v>
      </c>
      <c r="E57" s="59" t="s">
        <v>6</v>
      </c>
      <c r="F57" s="64">
        <v>0.154</v>
      </c>
      <c r="G57" s="65">
        <f>VLOOKUP(D57,upahbahan,3,FALSE)</f>
        <v>145000</v>
      </c>
      <c r="H57" s="125">
        <f>F57*G57</f>
        <v>22330</v>
      </c>
      <c r="I57" s="63"/>
    </row>
    <row r="58" spans="3:9">
      <c r="C58" s="123" t="s">
        <v>1217</v>
      </c>
      <c r="D58" s="61" t="s">
        <v>7</v>
      </c>
      <c r="E58" s="59" t="s">
        <v>6</v>
      </c>
      <c r="F58" s="64">
        <v>0.154</v>
      </c>
      <c r="G58" s="65">
        <f>VLOOKUP(D58,upahbahan,3,FALSE)</f>
        <v>145000</v>
      </c>
      <c r="H58" s="125">
        <f>F58*G58</f>
        <v>22330</v>
      </c>
      <c r="I58" s="63"/>
    </row>
    <row r="59" spans="3:9">
      <c r="C59" s="123" t="s">
        <v>1218</v>
      </c>
      <c r="D59" s="60" t="s">
        <v>18</v>
      </c>
      <c r="E59" s="59" t="s">
        <v>6</v>
      </c>
      <c r="F59" s="64">
        <v>3.1E-2</v>
      </c>
      <c r="G59" s="65">
        <f>VLOOKUP(D59,upahbahan,3,FALSE)</f>
        <v>150000</v>
      </c>
      <c r="H59" s="125">
        <f>F59*G59</f>
        <v>4650</v>
      </c>
      <c r="I59" s="63"/>
    </row>
    <row r="60" spans="3:9">
      <c r="C60" s="123" t="s">
        <v>1219</v>
      </c>
      <c r="D60" s="61" t="s">
        <v>19</v>
      </c>
      <c r="E60" s="59" t="s">
        <v>6</v>
      </c>
      <c r="F60" s="64">
        <v>0.01</v>
      </c>
      <c r="G60" s="65">
        <f>VLOOKUP(D60,upahbahan,3,FALSE)</f>
        <v>145000</v>
      </c>
      <c r="H60" s="125">
        <f>F60*G60</f>
        <v>1450</v>
      </c>
      <c r="I60" s="63"/>
    </row>
    <row r="61" spans="3:9">
      <c r="C61" s="126" t="s">
        <v>1220</v>
      </c>
      <c r="D61" s="67"/>
      <c r="E61" s="67"/>
      <c r="F61" s="67"/>
      <c r="G61" s="118"/>
      <c r="H61" s="127">
        <f>SUM(H56:H60)</f>
        <v>81560</v>
      </c>
      <c r="I61" s="63"/>
    </row>
    <row r="62" spans="3:9">
      <c r="C62" s="123" t="s">
        <v>1221</v>
      </c>
      <c r="D62" s="60" t="s">
        <v>1222</v>
      </c>
      <c r="E62" s="61"/>
      <c r="F62" s="68"/>
      <c r="G62" s="109"/>
      <c r="H62" s="128"/>
      <c r="I62" s="63"/>
    </row>
    <row r="63" spans="3:9">
      <c r="C63" s="129" t="s">
        <v>1215</v>
      </c>
      <c r="D63" s="61" t="s">
        <v>119</v>
      </c>
      <c r="E63" s="69" t="s">
        <v>42</v>
      </c>
      <c r="F63" s="68">
        <v>1.4E-2</v>
      </c>
      <c r="G63" s="65">
        <f t="shared" ref="G63:G69" si="4">VLOOKUP(D63,upahbahan,3,FALSE)</f>
        <v>10214200</v>
      </c>
      <c r="H63" s="125">
        <f t="shared" ref="H63:H69" si="5">F63*G63</f>
        <v>142998.80000000002</v>
      </c>
      <c r="I63" s="63"/>
    </row>
    <row r="64" spans="3:9">
      <c r="C64" s="129" t="s">
        <v>1216</v>
      </c>
      <c r="D64" s="61" t="s">
        <v>256</v>
      </c>
      <c r="E64" s="69" t="s">
        <v>114</v>
      </c>
      <c r="F64" s="68">
        <v>20.446000000000002</v>
      </c>
      <c r="G64" s="65">
        <f t="shared" si="4"/>
        <v>1750</v>
      </c>
      <c r="H64" s="125">
        <f t="shared" si="5"/>
        <v>35780.5</v>
      </c>
      <c r="I64" s="63"/>
    </row>
    <row r="65" spans="3:9">
      <c r="C65" s="129" t="s">
        <v>1217</v>
      </c>
      <c r="D65" s="61" t="s">
        <v>267</v>
      </c>
      <c r="E65" s="59" t="s">
        <v>66</v>
      </c>
      <c r="F65" s="68">
        <v>0.47199999999999998</v>
      </c>
      <c r="G65" s="65">
        <f t="shared" si="4"/>
        <v>20000</v>
      </c>
      <c r="H65" s="125">
        <f t="shared" si="5"/>
        <v>9440</v>
      </c>
      <c r="I65" s="63"/>
    </row>
    <row r="66" spans="3:9">
      <c r="C66" s="129" t="s">
        <v>1218</v>
      </c>
      <c r="D66" s="61" t="s">
        <v>568</v>
      </c>
      <c r="E66" s="59" t="s">
        <v>66</v>
      </c>
      <c r="F66" s="68">
        <v>26.405999999999999</v>
      </c>
      <c r="G66" s="65">
        <f t="shared" si="4"/>
        <v>1300</v>
      </c>
      <c r="H66" s="125">
        <f t="shared" si="5"/>
        <v>34327.799999999996</v>
      </c>
      <c r="I66" s="63"/>
    </row>
    <row r="67" spans="3:9">
      <c r="C67" s="129" t="s">
        <v>1219</v>
      </c>
      <c r="D67" s="61" t="s">
        <v>83</v>
      </c>
      <c r="E67" s="69" t="s">
        <v>42</v>
      </c>
      <c r="F67" s="64">
        <f>F43</f>
        <v>4.3971428571428571E-2</v>
      </c>
      <c r="G67" s="65">
        <f t="shared" si="4"/>
        <v>370200</v>
      </c>
      <c r="H67" s="125">
        <f t="shared" si="5"/>
        <v>16278.222857142857</v>
      </c>
      <c r="I67" s="63"/>
    </row>
    <row r="68" spans="3:9">
      <c r="C68" s="129" t="s">
        <v>1223</v>
      </c>
      <c r="D68" s="60" t="s">
        <v>73</v>
      </c>
      <c r="E68" s="69" t="s">
        <v>42</v>
      </c>
      <c r="F68" s="64">
        <f>F44</f>
        <v>6.1740000000000003E-2</v>
      </c>
      <c r="G68" s="65">
        <f t="shared" si="4"/>
        <v>352300</v>
      </c>
      <c r="H68" s="125">
        <f t="shared" si="5"/>
        <v>21751.002</v>
      </c>
      <c r="I68" s="63"/>
    </row>
    <row r="69" spans="3:9">
      <c r="C69" s="129" t="s">
        <v>1224</v>
      </c>
      <c r="D69" s="61" t="s">
        <v>970</v>
      </c>
      <c r="E69" s="59" t="s">
        <v>535</v>
      </c>
      <c r="F69" s="68">
        <v>17.414999999999999</v>
      </c>
      <c r="G69" s="65">
        <f t="shared" si="4"/>
        <v>200</v>
      </c>
      <c r="H69" s="125">
        <f t="shared" si="5"/>
        <v>3483</v>
      </c>
      <c r="I69" s="63"/>
    </row>
    <row r="70" spans="3:9">
      <c r="C70" s="126" t="s">
        <v>1226</v>
      </c>
      <c r="D70" s="67"/>
      <c r="E70" s="67"/>
      <c r="F70" s="67"/>
      <c r="G70" s="118"/>
      <c r="H70" s="127">
        <f>SUM(H63:H69)</f>
        <v>264059.32485714287</v>
      </c>
      <c r="I70" s="63"/>
    </row>
    <row r="71" spans="3:9">
      <c r="C71" s="123" t="s">
        <v>1227</v>
      </c>
      <c r="D71" s="60" t="s">
        <v>1228</v>
      </c>
      <c r="E71" s="61"/>
      <c r="F71" s="68"/>
      <c r="G71" s="99"/>
      <c r="H71" s="128"/>
      <c r="I71" s="63"/>
    </row>
    <row r="72" spans="3:9">
      <c r="C72" s="126" t="s">
        <v>1229</v>
      </c>
      <c r="D72" s="67"/>
      <c r="E72" s="67"/>
      <c r="F72" s="67"/>
      <c r="G72" s="98"/>
      <c r="H72" s="130">
        <v>0</v>
      </c>
      <c r="I72" s="63"/>
    </row>
    <row r="73" spans="3:9">
      <c r="C73" s="123" t="s">
        <v>1230</v>
      </c>
      <c r="D73" s="70" t="s">
        <v>1231</v>
      </c>
      <c r="E73" s="71"/>
      <c r="F73" s="71"/>
      <c r="G73" s="100"/>
      <c r="H73" s="125">
        <f>H61+H70+H72</f>
        <v>345619.32485714287</v>
      </c>
      <c r="I73" s="63"/>
    </row>
    <row r="74" spans="3:9">
      <c r="C74" s="123" t="s">
        <v>1232</v>
      </c>
      <c r="D74" s="70" t="s">
        <v>1267</v>
      </c>
      <c r="E74" s="71"/>
      <c r="F74" s="72"/>
      <c r="G74" s="96">
        <f>$N$7</f>
        <v>0.1</v>
      </c>
      <c r="H74" s="125">
        <f>H73*G74</f>
        <v>34561.932485714286</v>
      </c>
      <c r="I74" s="63"/>
    </row>
    <row r="75" spans="3:9" ht="15.75" thickBot="1">
      <c r="C75" s="131" t="s">
        <v>1233</v>
      </c>
      <c r="D75" s="132" t="s">
        <v>1234</v>
      </c>
      <c r="E75" s="133"/>
      <c r="F75" s="133"/>
      <c r="G75" s="139"/>
      <c r="H75" s="135">
        <f>SUM(H73:H74)</f>
        <v>380181.25734285713</v>
      </c>
      <c r="I75" s="63"/>
    </row>
    <row r="76" spans="3:9" ht="15.75" thickTop="1">
      <c r="C76" s="54"/>
      <c r="D76" s="54"/>
      <c r="E76" s="54"/>
      <c r="F76" s="54"/>
      <c r="G76" s="101"/>
      <c r="H76" s="209"/>
      <c r="I76" s="55"/>
    </row>
    <row r="77" spans="3:9" ht="15.75" thickBot="1">
      <c r="C77" s="136" t="s">
        <v>1237</v>
      </c>
      <c r="D77" s="55"/>
      <c r="E77" s="140"/>
      <c r="F77" s="140"/>
      <c r="G77" s="141"/>
      <c r="H77" s="212"/>
      <c r="I77" s="57">
        <f>ROUNDDOWN(H92,-2)</f>
        <v>17200</v>
      </c>
    </row>
    <row r="78" spans="3:9" ht="29.25" thickTop="1">
      <c r="C78" s="120" t="s">
        <v>1207</v>
      </c>
      <c r="D78" s="121" t="s">
        <v>1208</v>
      </c>
      <c r="E78" s="121" t="s">
        <v>1209</v>
      </c>
      <c r="F78" s="121" t="s">
        <v>1210</v>
      </c>
      <c r="G78" s="138" t="s">
        <v>1211</v>
      </c>
      <c r="H78" s="211" t="s">
        <v>1212</v>
      </c>
      <c r="I78" s="58"/>
    </row>
    <row r="79" spans="3:9">
      <c r="C79" s="142" t="s">
        <v>1213</v>
      </c>
      <c r="D79" s="60" t="s">
        <v>1214</v>
      </c>
      <c r="E79" s="74"/>
      <c r="F79" s="74"/>
      <c r="G79" s="102"/>
      <c r="H79" s="152"/>
      <c r="I79" s="63"/>
    </row>
    <row r="80" spans="3:9">
      <c r="C80" s="143">
        <v>1</v>
      </c>
      <c r="D80" s="60" t="s">
        <v>5</v>
      </c>
      <c r="E80" s="73" t="s">
        <v>6</v>
      </c>
      <c r="F80" s="75">
        <v>4.2000000000000003E-2</v>
      </c>
      <c r="G80" s="65">
        <f>VLOOKUP(D80,upahbahan,3,FALSE)</f>
        <v>100000</v>
      </c>
      <c r="H80" s="125">
        <f>F80*G80</f>
        <v>4200</v>
      </c>
      <c r="I80" s="63"/>
    </row>
    <row r="81" spans="3:9">
      <c r="C81" s="143">
        <v>2</v>
      </c>
      <c r="D81" s="60" t="s">
        <v>8</v>
      </c>
      <c r="E81" s="73" t="s">
        <v>6</v>
      </c>
      <c r="F81" s="75">
        <v>0.04</v>
      </c>
      <c r="G81" s="65">
        <f>VLOOKUP(D81,upahbahan,3,FALSE)</f>
        <v>145000</v>
      </c>
      <c r="H81" s="125">
        <f>F81*G81</f>
        <v>5800</v>
      </c>
    </row>
    <row r="82" spans="3:9">
      <c r="C82" s="143">
        <v>3</v>
      </c>
      <c r="D82" s="60" t="s">
        <v>18</v>
      </c>
      <c r="E82" s="73" t="s">
        <v>6</v>
      </c>
      <c r="F82" s="75">
        <v>4.0000000000000001E-3</v>
      </c>
      <c r="G82" s="65">
        <f>VLOOKUP(D82,upahbahan,3,FALSE)</f>
        <v>150000</v>
      </c>
      <c r="H82" s="125">
        <f>F82*G82</f>
        <v>600</v>
      </c>
    </row>
    <row r="83" spans="3:9">
      <c r="C83" s="143">
        <v>4</v>
      </c>
      <c r="D83" s="60" t="s">
        <v>19</v>
      </c>
      <c r="E83" s="73" t="s">
        <v>6</v>
      </c>
      <c r="F83" s="75">
        <v>1E-3</v>
      </c>
      <c r="G83" s="65">
        <f>VLOOKUP(D83,upahbahan,3,FALSE)</f>
        <v>145000</v>
      </c>
      <c r="H83" s="125">
        <f>F83*G83</f>
        <v>145</v>
      </c>
      <c r="I83" s="63"/>
    </row>
    <row r="84" spans="3:9">
      <c r="C84" s="126" t="s">
        <v>1220</v>
      </c>
      <c r="D84" s="76"/>
      <c r="E84" s="76"/>
      <c r="F84" s="76"/>
      <c r="G84" s="111"/>
      <c r="H84" s="125">
        <f>SUM(H80:H83)</f>
        <v>10745</v>
      </c>
      <c r="I84" s="63"/>
    </row>
    <row r="85" spans="3:9">
      <c r="C85" s="142" t="s">
        <v>1221</v>
      </c>
      <c r="D85" s="60" t="s">
        <v>1222</v>
      </c>
      <c r="E85" s="77"/>
      <c r="F85" s="77"/>
      <c r="G85" s="107"/>
      <c r="H85" s="144"/>
      <c r="I85" s="63"/>
    </row>
    <row r="86" spans="3:9" ht="16.899999999999999" customHeight="1">
      <c r="C86" s="142">
        <v>1</v>
      </c>
      <c r="D86" s="60" t="s">
        <v>1205</v>
      </c>
      <c r="E86" s="79" t="s">
        <v>133</v>
      </c>
      <c r="F86" s="80">
        <v>1.6490000000000001E-2</v>
      </c>
      <c r="G86" s="65">
        <f>VLOOKUP(D86,upahbahan,3,FALSE)</f>
        <v>300000</v>
      </c>
      <c r="H86" s="125">
        <f>F86*G86</f>
        <v>4947</v>
      </c>
      <c r="I86" s="63"/>
    </row>
    <row r="87" spans="3:9">
      <c r="C87" s="126" t="s">
        <v>1226</v>
      </c>
      <c r="D87" s="81"/>
      <c r="E87" s="81"/>
      <c r="F87" s="81"/>
      <c r="G87" s="110"/>
      <c r="H87" s="125">
        <f>SUM(H86:H86)</f>
        <v>4947</v>
      </c>
      <c r="I87" s="63"/>
    </row>
    <row r="88" spans="3:9">
      <c r="C88" s="142" t="s">
        <v>1227</v>
      </c>
      <c r="D88" s="60" t="s">
        <v>1228</v>
      </c>
      <c r="E88" s="77"/>
      <c r="F88" s="77"/>
      <c r="G88" s="107"/>
      <c r="H88" s="144"/>
      <c r="I88" s="63"/>
    </row>
    <row r="89" spans="3:9">
      <c r="C89" s="126" t="s">
        <v>1229</v>
      </c>
      <c r="D89" s="81"/>
      <c r="E89" s="81"/>
      <c r="F89" s="81"/>
      <c r="G89" s="110"/>
      <c r="H89" s="130">
        <v>0</v>
      </c>
      <c r="I89" s="63"/>
    </row>
    <row r="90" spans="3:9">
      <c r="C90" s="123" t="s">
        <v>1230</v>
      </c>
      <c r="D90" s="70" t="s">
        <v>1231</v>
      </c>
      <c r="E90" s="71"/>
      <c r="F90" s="71"/>
      <c r="G90" s="108"/>
      <c r="H90" s="125">
        <f>H84+H87+H89</f>
        <v>15692</v>
      </c>
      <c r="I90" s="63"/>
    </row>
    <row r="91" spans="3:9">
      <c r="C91" s="123" t="s">
        <v>1232</v>
      </c>
      <c r="D91" s="70" t="s">
        <v>1267</v>
      </c>
      <c r="E91" s="71"/>
      <c r="F91" s="72"/>
      <c r="G91" s="96">
        <f>$N$7</f>
        <v>0.1</v>
      </c>
      <c r="H91" s="125">
        <f>H90*G91</f>
        <v>1569.2</v>
      </c>
      <c r="I91" s="63"/>
    </row>
    <row r="92" spans="3:9" ht="15.75" thickBot="1">
      <c r="C92" s="131" t="s">
        <v>1233</v>
      </c>
      <c r="D92" s="132" t="s">
        <v>1234</v>
      </c>
      <c r="E92" s="133"/>
      <c r="F92" s="133"/>
      <c r="G92" s="134"/>
      <c r="H92" s="135">
        <f>SUM(H90:H91)</f>
        <v>17261.2</v>
      </c>
      <c r="I92" s="63"/>
    </row>
    <row r="93" spans="3:9" ht="15.75" thickTop="1">
      <c r="C93" s="58"/>
      <c r="D93" s="82"/>
      <c r="E93" s="82"/>
      <c r="F93" s="82"/>
      <c r="G93" s="103"/>
      <c r="H93" s="83"/>
      <c r="I93" s="63"/>
    </row>
    <row r="94" spans="3:9" ht="15.75" thickBot="1">
      <c r="C94" s="136" t="s">
        <v>1238</v>
      </c>
      <c r="D94" s="55"/>
      <c r="E94" s="140"/>
      <c r="F94" s="140"/>
      <c r="G94" s="141"/>
      <c r="H94" s="212"/>
      <c r="I94" s="57">
        <f>ROUNDDOWN(H113,-2)</f>
        <v>463200</v>
      </c>
    </row>
    <row r="95" spans="3:9" ht="29.25" thickTop="1">
      <c r="C95" s="120" t="s">
        <v>1207</v>
      </c>
      <c r="D95" s="121" t="s">
        <v>1208</v>
      </c>
      <c r="E95" s="121" t="s">
        <v>1209</v>
      </c>
      <c r="F95" s="121" t="s">
        <v>1210</v>
      </c>
      <c r="G95" s="138" t="s">
        <v>1211</v>
      </c>
      <c r="H95" s="211" t="s">
        <v>1212</v>
      </c>
      <c r="I95" s="58"/>
    </row>
    <row r="96" spans="3:9">
      <c r="C96" s="142" t="s">
        <v>1213</v>
      </c>
      <c r="D96" s="60" t="s">
        <v>1214</v>
      </c>
      <c r="E96" s="74"/>
      <c r="F96" s="74"/>
      <c r="G96" s="102"/>
      <c r="H96" s="152"/>
      <c r="I96" s="63"/>
    </row>
    <row r="97" spans="3:9">
      <c r="C97" s="143">
        <v>1</v>
      </c>
      <c r="D97" s="60" t="s">
        <v>5</v>
      </c>
      <c r="E97" s="73" t="s">
        <v>6</v>
      </c>
      <c r="F97" s="75">
        <v>0.375</v>
      </c>
      <c r="G97" s="65">
        <f>VLOOKUP(D97,upahbahan,3,FALSE)</f>
        <v>100000</v>
      </c>
      <c r="H97" s="125">
        <f>F97*G97</f>
        <v>37500</v>
      </c>
      <c r="I97" s="63"/>
    </row>
    <row r="98" spans="3:9">
      <c r="C98" s="143">
        <v>2</v>
      </c>
      <c r="D98" s="60" t="s">
        <v>7</v>
      </c>
      <c r="E98" s="73" t="s">
        <v>6</v>
      </c>
      <c r="F98" s="75">
        <v>0.125</v>
      </c>
      <c r="G98" s="65">
        <f>VLOOKUP(D98,upahbahan,3,FALSE)</f>
        <v>145000</v>
      </c>
      <c r="H98" s="125">
        <f>F98*G98</f>
        <v>18125</v>
      </c>
    </row>
    <row r="99" spans="3:9">
      <c r="C99" s="143">
        <v>3</v>
      </c>
      <c r="D99" s="60" t="s">
        <v>18</v>
      </c>
      <c r="E99" s="73" t="s">
        <v>6</v>
      </c>
      <c r="F99" s="75">
        <v>1.2999999999999999E-2</v>
      </c>
      <c r="G99" s="65">
        <f>VLOOKUP(D99,upahbahan,3,FALSE)</f>
        <v>150000</v>
      </c>
      <c r="H99" s="125">
        <f>F99*G99</f>
        <v>1950</v>
      </c>
    </row>
    <row r="100" spans="3:9">
      <c r="C100" s="143">
        <v>4</v>
      </c>
      <c r="D100" s="60" t="s">
        <v>19</v>
      </c>
      <c r="E100" s="73" t="s">
        <v>6</v>
      </c>
      <c r="F100" s="75">
        <v>4.0000000000000001E-3</v>
      </c>
      <c r="G100" s="65">
        <f>VLOOKUP(D100,upahbahan,3,FALSE)</f>
        <v>145000</v>
      </c>
      <c r="H100" s="125">
        <f>F100*G100</f>
        <v>580</v>
      </c>
      <c r="I100" s="63"/>
    </row>
    <row r="101" spans="3:9">
      <c r="C101" s="145" t="s">
        <v>1239</v>
      </c>
      <c r="D101" s="76"/>
      <c r="E101" s="76"/>
      <c r="F101" s="76"/>
      <c r="G101" s="111"/>
      <c r="H101" s="125">
        <f>SUM(H97:H100)</f>
        <v>58155</v>
      </c>
      <c r="I101" s="63"/>
    </row>
    <row r="102" spans="3:9">
      <c r="C102" s="142" t="s">
        <v>1221</v>
      </c>
      <c r="D102" s="60" t="s">
        <v>1222</v>
      </c>
      <c r="E102" s="77"/>
      <c r="F102" s="77"/>
      <c r="G102" s="65"/>
      <c r="H102" s="144"/>
      <c r="I102" s="63"/>
    </row>
    <row r="103" spans="3:9">
      <c r="C103" s="146" t="s">
        <v>1215</v>
      </c>
      <c r="D103" s="60" t="s">
        <v>555</v>
      </c>
      <c r="E103" s="79" t="s">
        <v>133</v>
      </c>
      <c r="F103" s="85">
        <v>0.98599999999999999</v>
      </c>
      <c r="G103" s="65">
        <f>VLOOKUP(D103,upahbahan,3,FALSE)</f>
        <v>125000</v>
      </c>
      <c r="H103" s="125">
        <f>F103*G103</f>
        <v>123250</v>
      </c>
      <c r="I103" s="63"/>
    </row>
    <row r="104" spans="3:9">
      <c r="C104" s="146" t="s">
        <v>1216</v>
      </c>
      <c r="D104" s="60" t="s">
        <v>554</v>
      </c>
      <c r="E104" s="79" t="s">
        <v>107</v>
      </c>
      <c r="F104" s="85">
        <v>0.52500000000000002</v>
      </c>
      <c r="G104" s="65">
        <f>VLOOKUP(D104,upahbahan,3,FALSE)</f>
        <v>282000</v>
      </c>
      <c r="H104" s="125">
        <f>F104*G104</f>
        <v>148050</v>
      </c>
      <c r="I104" s="63"/>
    </row>
    <row r="105" spans="3:9">
      <c r="C105" s="146" t="s">
        <v>1217</v>
      </c>
      <c r="D105" s="60" t="s">
        <v>568</v>
      </c>
      <c r="E105" s="79" t="s">
        <v>66</v>
      </c>
      <c r="F105" s="86">
        <v>45</v>
      </c>
      <c r="G105" s="65">
        <f>VLOOKUP(D105,upahbahan,3,FALSE)</f>
        <v>1300</v>
      </c>
      <c r="H105" s="125">
        <f>F105*G105</f>
        <v>58500</v>
      </c>
      <c r="I105" s="63"/>
    </row>
    <row r="106" spans="3:9">
      <c r="C106" s="146" t="s">
        <v>1218</v>
      </c>
      <c r="D106" s="60" t="s">
        <v>83</v>
      </c>
      <c r="E106" s="79" t="s">
        <v>42</v>
      </c>
      <c r="F106" s="86">
        <v>7.3999999999999996E-2</v>
      </c>
      <c r="G106" s="65">
        <f>VLOOKUP(D106,upahbahan,3,FALSE)</f>
        <v>370200</v>
      </c>
      <c r="H106" s="125">
        <f>F106*G106</f>
        <v>27394.799999999999</v>
      </c>
      <c r="I106" s="63"/>
    </row>
    <row r="107" spans="3:9">
      <c r="C107" s="146" t="s">
        <v>1219</v>
      </c>
      <c r="D107" s="78" t="s">
        <v>73</v>
      </c>
      <c r="E107" s="79" t="s">
        <v>42</v>
      </c>
      <c r="F107" s="86">
        <v>1.6490000000000001E-2</v>
      </c>
      <c r="G107" s="65">
        <f>VLOOKUP(D107,upahbahan,3,FALSE)</f>
        <v>352300</v>
      </c>
      <c r="H107" s="125">
        <f>F107*G107</f>
        <v>5809.4270000000006</v>
      </c>
      <c r="I107" s="63"/>
    </row>
    <row r="108" spans="3:9">
      <c r="C108" s="145" t="s">
        <v>1240</v>
      </c>
      <c r="D108" s="81"/>
      <c r="E108" s="81"/>
      <c r="F108" s="81"/>
      <c r="G108" s="110"/>
      <c r="H108" s="125">
        <f>SUM(H103:H107)</f>
        <v>363004.22700000001</v>
      </c>
      <c r="I108" s="63"/>
    </row>
    <row r="109" spans="3:9">
      <c r="C109" s="142" t="s">
        <v>1227</v>
      </c>
      <c r="D109" s="60" t="s">
        <v>1228</v>
      </c>
      <c r="E109" s="77"/>
      <c r="F109" s="77"/>
      <c r="G109" s="107"/>
      <c r="H109" s="144"/>
      <c r="I109" s="63"/>
    </row>
    <row r="110" spans="3:9">
      <c r="C110" s="145" t="s">
        <v>1241</v>
      </c>
      <c r="D110" s="81"/>
      <c r="E110" s="81"/>
      <c r="F110" s="81"/>
      <c r="G110" s="110"/>
      <c r="H110" s="130">
        <v>0</v>
      </c>
      <c r="I110" s="63"/>
    </row>
    <row r="111" spans="3:9">
      <c r="C111" s="123" t="s">
        <v>1230</v>
      </c>
      <c r="D111" s="70" t="s">
        <v>1231</v>
      </c>
      <c r="E111" s="71"/>
      <c r="F111" s="71"/>
      <c r="G111" s="108"/>
      <c r="H111" s="125">
        <f>H101+H108+H110</f>
        <v>421159.22700000001</v>
      </c>
      <c r="I111" s="63"/>
    </row>
    <row r="112" spans="3:9">
      <c r="C112" s="123" t="s">
        <v>1232</v>
      </c>
      <c r="D112" s="70" t="s">
        <v>1267</v>
      </c>
      <c r="E112" s="71"/>
      <c r="F112" s="72"/>
      <c r="G112" s="96">
        <f>$N$7</f>
        <v>0.1</v>
      </c>
      <c r="H112" s="125">
        <f>H111*G112</f>
        <v>42115.922700000003</v>
      </c>
      <c r="I112" s="63"/>
    </row>
    <row r="113" spans="3:9" ht="15.75" thickBot="1">
      <c r="C113" s="131" t="s">
        <v>1233</v>
      </c>
      <c r="D113" s="132" t="s">
        <v>1234</v>
      </c>
      <c r="E113" s="133"/>
      <c r="F113" s="133"/>
      <c r="G113" s="134"/>
      <c r="H113" s="135">
        <f>SUM(H111:H112)</f>
        <v>463275.14970000001</v>
      </c>
      <c r="I113" s="63"/>
    </row>
    <row r="114" spans="3:9" ht="15.75" thickTop="1">
      <c r="C114" s="58"/>
      <c r="D114" s="82"/>
      <c r="E114" s="82"/>
      <c r="F114" s="82"/>
      <c r="G114" s="82"/>
      <c r="H114" s="83"/>
      <c r="I114" s="63"/>
    </row>
    <row r="115" spans="3:9" ht="29.45" customHeight="1" thickBot="1">
      <c r="C115" s="516" t="s">
        <v>1242</v>
      </c>
      <c r="D115" s="516"/>
      <c r="E115" s="516"/>
      <c r="F115" s="516"/>
      <c r="G115" s="516"/>
      <c r="H115" s="516"/>
      <c r="I115" s="57">
        <f>ROUNDDOWN(H144,-2)</f>
        <v>1928800</v>
      </c>
    </row>
    <row r="116" spans="3:9" ht="29.25" thickTop="1">
      <c r="C116" s="120" t="s">
        <v>1207</v>
      </c>
      <c r="D116" s="121" t="s">
        <v>1208</v>
      </c>
      <c r="E116" s="121" t="s">
        <v>1209</v>
      </c>
      <c r="F116" s="121" t="s">
        <v>1210</v>
      </c>
      <c r="G116" s="121" t="s">
        <v>1211</v>
      </c>
      <c r="H116" s="211" t="s">
        <v>1212</v>
      </c>
      <c r="I116" s="58"/>
    </row>
    <row r="117" spans="3:9">
      <c r="C117" s="142" t="s">
        <v>1213</v>
      </c>
      <c r="D117" s="60" t="s">
        <v>1214</v>
      </c>
      <c r="E117" s="74"/>
      <c r="F117" s="74"/>
      <c r="G117" s="74"/>
      <c r="H117" s="152"/>
      <c r="I117" s="63"/>
    </row>
    <row r="118" spans="3:9">
      <c r="C118" s="129" t="s">
        <v>1215</v>
      </c>
      <c r="D118" s="60" t="s">
        <v>5</v>
      </c>
      <c r="E118" s="73" t="s">
        <v>6</v>
      </c>
      <c r="F118" s="87">
        <v>2</v>
      </c>
      <c r="G118" s="112">
        <f>VLOOKUP(D118,upahbahan,3,FALSE)</f>
        <v>100000</v>
      </c>
      <c r="H118" s="213">
        <f>F118*G118</f>
        <v>200000</v>
      </c>
      <c r="I118" s="63"/>
    </row>
    <row r="119" spans="3:9">
      <c r="C119" s="129" t="s">
        <v>1216</v>
      </c>
      <c r="D119" s="60" t="s">
        <v>8</v>
      </c>
      <c r="E119" s="73" t="s">
        <v>6</v>
      </c>
      <c r="F119" s="87">
        <v>2</v>
      </c>
      <c r="G119" s="112">
        <f>VLOOKUP(D119,upahbahan,3,FALSE)</f>
        <v>145000</v>
      </c>
      <c r="H119" s="213">
        <f>F119*G119</f>
        <v>290000</v>
      </c>
      <c r="I119" s="63"/>
    </row>
    <row r="120" spans="3:9">
      <c r="C120" s="129" t="s">
        <v>1217</v>
      </c>
      <c r="D120" s="60" t="s">
        <v>7</v>
      </c>
      <c r="E120" s="73" t="s">
        <v>6</v>
      </c>
      <c r="F120" s="87">
        <v>1</v>
      </c>
      <c r="G120" s="112">
        <f>VLOOKUP(D120,upahbahan,3,FALSE)</f>
        <v>145000</v>
      </c>
      <c r="H120" s="213">
        <f>F120*G120</f>
        <v>145000</v>
      </c>
      <c r="I120" s="63"/>
    </row>
    <row r="121" spans="3:9">
      <c r="C121" s="129" t="s">
        <v>1218</v>
      </c>
      <c r="D121" s="60" t="s">
        <v>18</v>
      </c>
      <c r="E121" s="73" t="s">
        <v>6</v>
      </c>
      <c r="F121" s="87">
        <v>0.3</v>
      </c>
      <c r="G121" s="112">
        <f>VLOOKUP(D121,upahbahan,3,FALSE)</f>
        <v>150000</v>
      </c>
      <c r="H121" s="213">
        <f>F121*G121</f>
        <v>45000</v>
      </c>
      <c r="I121" s="63"/>
    </row>
    <row r="122" spans="3:9">
      <c r="C122" s="129" t="s">
        <v>1219</v>
      </c>
      <c r="D122" s="60" t="s">
        <v>19</v>
      </c>
      <c r="E122" s="73" t="s">
        <v>6</v>
      </c>
      <c r="F122" s="87">
        <v>0.1</v>
      </c>
      <c r="G122" s="112">
        <f>VLOOKUP(D122,upahbahan,3,FALSE)</f>
        <v>145000</v>
      </c>
      <c r="H122" s="213">
        <f>F122*G122</f>
        <v>14500</v>
      </c>
      <c r="I122" s="63"/>
    </row>
    <row r="123" spans="3:9">
      <c r="C123" s="145" t="s">
        <v>1220</v>
      </c>
      <c r="D123" s="76"/>
      <c r="E123" s="76"/>
      <c r="F123" s="76"/>
      <c r="G123" s="113"/>
      <c r="H123" s="213">
        <f>SUM(H118:H122)</f>
        <v>694500</v>
      </c>
      <c r="I123" s="63"/>
    </row>
    <row r="124" spans="3:9">
      <c r="C124" s="142" t="s">
        <v>1221</v>
      </c>
      <c r="D124" s="60" t="s">
        <v>1222</v>
      </c>
      <c r="E124" s="77"/>
      <c r="F124" s="77"/>
      <c r="G124" s="114"/>
      <c r="H124" s="144"/>
      <c r="I124" s="63"/>
    </row>
    <row r="125" spans="3:9">
      <c r="C125" s="129" t="s">
        <v>1215</v>
      </c>
      <c r="D125" s="61" t="s">
        <v>113</v>
      </c>
      <c r="E125" s="88" t="s">
        <v>114</v>
      </c>
      <c r="F125" s="87">
        <v>1.25</v>
      </c>
      <c r="G125" s="114">
        <f t="shared" ref="G125:G138" si="6">VLOOKUP(D125,upahbahan,3,FALSE)</f>
        <v>5000</v>
      </c>
      <c r="H125" s="125">
        <f t="shared" ref="H125:H138" si="7">F125*G125</f>
        <v>6250</v>
      </c>
      <c r="I125" s="63"/>
    </row>
    <row r="126" spans="3:9">
      <c r="C126" s="129" t="s">
        <v>1216</v>
      </c>
      <c r="D126" s="60" t="s">
        <v>128</v>
      </c>
      <c r="E126" s="79" t="s">
        <v>42</v>
      </c>
      <c r="F126" s="87">
        <v>0.18</v>
      </c>
      <c r="G126" s="114">
        <f t="shared" si="6"/>
        <v>4000000</v>
      </c>
      <c r="H126" s="125">
        <f t="shared" si="7"/>
        <v>720000</v>
      </c>
      <c r="I126" s="63"/>
    </row>
    <row r="127" spans="3:9">
      <c r="C127" s="129" t="s">
        <v>1217</v>
      </c>
      <c r="D127" s="61" t="s">
        <v>267</v>
      </c>
      <c r="E127" s="73" t="s">
        <v>66</v>
      </c>
      <c r="F127" s="87">
        <v>0.08</v>
      </c>
      <c r="G127" s="114">
        <f t="shared" si="6"/>
        <v>20000</v>
      </c>
      <c r="H127" s="125">
        <f t="shared" si="7"/>
        <v>1600</v>
      </c>
      <c r="I127" s="63"/>
    </row>
    <row r="128" spans="3:9">
      <c r="C128" s="129" t="s">
        <v>1218</v>
      </c>
      <c r="D128" s="60" t="s">
        <v>235</v>
      </c>
      <c r="E128" s="73" t="s">
        <v>66</v>
      </c>
      <c r="F128" s="87">
        <v>1.1000000000000001</v>
      </c>
      <c r="G128" s="114">
        <f t="shared" si="6"/>
        <v>7500</v>
      </c>
      <c r="H128" s="125">
        <f t="shared" si="7"/>
        <v>8250</v>
      </c>
      <c r="I128" s="63"/>
    </row>
    <row r="129" spans="3:9">
      <c r="C129" s="129" t="s">
        <v>1219</v>
      </c>
      <c r="D129" s="60" t="s">
        <v>1243</v>
      </c>
      <c r="E129" s="73" t="s">
        <v>66</v>
      </c>
      <c r="F129" s="87">
        <v>35</v>
      </c>
      <c r="G129" s="114">
        <f t="shared" si="6"/>
        <v>1300</v>
      </c>
      <c r="H129" s="125">
        <f t="shared" si="7"/>
        <v>45500</v>
      </c>
      <c r="I129" s="63"/>
    </row>
    <row r="130" spans="3:9">
      <c r="C130" s="129" t="s">
        <v>1223</v>
      </c>
      <c r="D130" s="60" t="s">
        <v>86</v>
      </c>
      <c r="E130" s="79" t="s">
        <v>42</v>
      </c>
      <c r="F130" s="87">
        <v>0.15</v>
      </c>
      <c r="G130" s="114">
        <f t="shared" si="6"/>
        <v>275000</v>
      </c>
      <c r="H130" s="125">
        <f t="shared" si="7"/>
        <v>41250</v>
      </c>
      <c r="I130" s="63"/>
    </row>
    <row r="131" spans="3:9">
      <c r="C131" s="129" t="s">
        <v>1224</v>
      </c>
      <c r="D131" s="60" t="s">
        <v>83</v>
      </c>
      <c r="E131" s="79" t="s">
        <v>42</v>
      </c>
      <c r="F131" s="87">
        <v>0.1</v>
      </c>
      <c r="G131" s="114">
        <f t="shared" si="6"/>
        <v>370200</v>
      </c>
      <c r="H131" s="125">
        <f t="shared" si="7"/>
        <v>37020</v>
      </c>
      <c r="I131" s="63"/>
    </row>
    <row r="132" spans="3:9">
      <c r="C132" s="129" t="s">
        <v>1225</v>
      </c>
      <c r="D132" s="60" t="s">
        <v>72</v>
      </c>
      <c r="E132" s="79" t="s">
        <v>42</v>
      </c>
      <c r="F132" s="87">
        <v>0.15</v>
      </c>
      <c r="G132" s="114">
        <f t="shared" si="6"/>
        <v>370200</v>
      </c>
      <c r="H132" s="125">
        <f t="shared" si="7"/>
        <v>55530</v>
      </c>
      <c r="I132" s="63"/>
    </row>
    <row r="133" spans="3:9">
      <c r="C133" s="129" t="s">
        <v>1244</v>
      </c>
      <c r="D133" s="60" t="s">
        <v>43</v>
      </c>
      <c r="E133" s="73" t="s">
        <v>44</v>
      </c>
      <c r="F133" s="87">
        <v>30</v>
      </c>
      <c r="G133" s="114">
        <f t="shared" si="6"/>
        <v>700</v>
      </c>
      <c r="H133" s="125">
        <f t="shared" si="7"/>
        <v>21000</v>
      </c>
      <c r="I133" s="63"/>
    </row>
    <row r="134" spans="3:9">
      <c r="C134" s="129" t="s">
        <v>1245</v>
      </c>
      <c r="D134" s="60" t="s">
        <v>377</v>
      </c>
      <c r="E134" s="73" t="s">
        <v>133</v>
      </c>
      <c r="F134" s="87">
        <v>0.25</v>
      </c>
      <c r="G134" s="114">
        <f t="shared" si="6"/>
        <v>74400</v>
      </c>
      <c r="H134" s="125">
        <f t="shared" si="7"/>
        <v>18600</v>
      </c>
      <c r="I134" s="63"/>
    </row>
    <row r="135" spans="3:9">
      <c r="C135" s="129" t="s">
        <v>1246</v>
      </c>
      <c r="D135" s="60" t="s">
        <v>645</v>
      </c>
      <c r="E135" s="73" t="s">
        <v>44</v>
      </c>
      <c r="F135" s="87">
        <v>0.2</v>
      </c>
      <c r="G135" s="114">
        <f t="shared" si="6"/>
        <v>400000</v>
      </c>
      <c r="H135" s="125">
        <f t="shared" si="7"/>
        <v>80000</v>
      </c>
      <c r="I135" s="63"/>
    </row>
    <row r="136" spans="3:9">
      <c r="C136" s="129" t="s">
        <v>1247</v>
      </c>
      <c r="D136" s="60" t="s">
        <v>659</v>
      </c>
      <c r="E136" s="89" t="s">
        <v>63</v>
      </c>
      <c r="F136" s="87">
        <v>0.08</v>
      </c>
      <c r="G136" s="114">
        <f t="shared" si="6"/>
        <v>120000</v>
      </c>
      <c r="H136" s="125">
        <f t="shared" si="7"/>
        <v>9600</v>
      </c>
      <c r="I136" s="63"/>
    </row>
    <row r="137" spans="3:9">
      <c r="C137" s="129" t="s">
        <v>1248</v>
      </c>
      <c r="D137" s="60" t="s">
        <v>633</v>
      </c>
      <c r="E137" s="73" t="s">
        <v>44</v>
      </c>
      <c r="F137" s="87">
        <v>0.15</v>
      </c>
      <c r="G137" s="114">
        <f t="shared" si="6"/>
        <v>65800</v>
      </c>
      <c r="H137" s="125">
        <f t="shared" si="7"/>
        <v>9870</v>
      </c>
      <c r="I137" s="63"/>
    </row>
    <row r="138" spans="3:9">
      <c r="C138" s="129" t="s">
        <v>1249</v>
      </c>
      <c r="D138" s="60" t="s">
        <v>1268</v>
      </c>
      <c r="E138" s="73" t="s">
        <v>133</v>
      </c>
      <c r="F138" s="87">
        <v>0.06</v>
      </c>
      <c r="G138" s="114">
        <f t="shared" si="6"/>
        <v>75000</v>
      </c>
      <c r="H138" s="125">
        <f t="shared" si="7"/>
        <v>4500</v>
      </c>
      <c r="I138" s="63"/>
    </row>
    <row r="139" spans="3:9">
      <c r="C139" s="145" t="s">
        <v>1226</v>
      </c>
      <c r="D139" s="81"/>
      <c r="E139" s="81"/>
      <c r="F139" s="81"/>
      <c r="G139" s="115"/>
      <c r="H139" s="125">
        <f>SUM(H125:H138)</f>
        <v>1058970</v>
      </c>
      <c r="I139" s="63"/>
    </row>
    <row r="140" spans="3:9">
      <c r="C140" s="142" t="s">
        <v>1227</v>
      </c>
      <c r="D140" s="60" t="s">
        <v>1228</v>
      </c>
      <c r="E140" s="77"/>
      <c r="F140" s="77"/>
      <c r="G140" s="116"/>
      <c r="H140" s="144"/>
      <c r="I140" s="63"/>
    </row>
    <row r="141" spans="3:9">
      <c r="C141" s="145" t="s">
        <v>1229</v>
      </c>
      <c r="D141" s="81"/>
      <c r="E141" s="81"/>
      <c r="F141" s="81"/>
      <c r="G141" s="115"/>
      <c r="H141" s="130">
        <v>0</v>
      </c>
      <c r="I141" s="63"/>
    </row>
    <row r="142" spans="3:9">
      <c r="C142" s="123" t="s">
        <v>1230</v>
      </c>
      <c r="D142" s="70" t="s">
        <v>1231</v>
      </c>
      <c r="E142" s="71"/>
      <c r="F142" s="71"/>
      <c r="G142" s="117"/>
      <c r="H142" s="125">
        <f>H123+H139+H141</f>
        <v>1753470</v>
      </c>
      <c r="I142" s="63"/>
    </row>
    <row r="143" spans="3:9">
      <c r="C143" s="123" t="s">
        <v>1232</v>
      </c>
      <c r="D143" s="70" t="s">
        <v>1267</v>
      </c>
      <c r="E143" s="71"/>
      <c r="F143" s="72"/>
      <c r="G143" s="96">
        <f>$N$7</f>
        <v>0.1</v>
      </c>
      <c r="H143" s="125">
        <f>H142*G143</f>
        <v>175347</v>
      </c>
      <c r="I143" s="63"/>
    </row>
    <row r="144" spans="3:9" ht="15.75" thickBot="1">
      <c r="C144" s="131" t="s">
        <v>1233</v>
      </c>
      <c r="D144" s="132" t="s">
        <v>1234</v>
      </c>
      <c r="E144" s="133"/>
      <c r="F144" s="133"/>
      <c r="G144" s="148"/>
      <c r="H144" s="135">
        <f>SUM(H142:H143)</f>
        <v>1928817</v>
      </c>
      <c r="I144" s="63"/>
    </row>
    <row r="145" spans="3:9" ht="15.75" thickTop="1">
      <c r="C145" s="58"/>
      <c r="D145" s="82"/>
      <c r="E145" s="82"/>
      <c r="F145" s="82"/>
      <c r="G145" s="103"/>
      <c r="H145" s="83"/>
      <c r="I145" s="63"/>
    </row>
    <row r="146" spans="3:9" ht="15.75" thickBot="1">
      <c r="C146" s="136" t="s">
        <v>1250</v>
      </c>
      <c r="D146" s="55"/>
      <c r="E146" s="149"/>
      <c r="F146" s="149"/>
      <c r="G146" s="150"/>
      <c r="H146" s="214"/>
      <c r="I146" s="57">
        <f>ROUNDDOWN(H158,-2)</f>
        <v>11700</v>
      </c>
    </row>
    <row r="147" spans="3:9" ht="29.25" thickTop="1">
      <c r="C147" s="120" t="s">
        <v>1207</v>
      </c>
      <c r="D147" s="121" t="s">
        <v>1208</v>
      </c>
      <c r="E147" s="121" t="s">
        <v>1209</v>
      </c>
      <c r="F147" s="121" t="s">
        <v>1210</v>
      </c>
      <c r="G147" s="138" t="s">
        <v>1211</v>
      </c>
      <c r="H147" s="211" t="s">
        <v>1212</v>
      </c>
      <c r="I147" s="58"/>
    </row>
    <row r="148" spans="3:9">
      <c r="C148" s="142" t="s">
        <v>1213</v>
      </c>
      <c r="D148" s="60" t="s">
        <v>1214</v>
      </c>
      <c r="E148" s="74"/>
      <c r="F148" s="74"/>
      <c r="G148" s="102"/>
      <c r="H148" s="152"/>
      <c r="I148" s="63"/>
    </row>
    <row r="149" spans="3:9">
      <c r="C149" s="143">
        <v>1</v>
      </c>
      <c r="D149" s="60" t="s">
        <v>5</v>
      </c>
      <c r="E149" s="73" t="s">
        <v>6</v>
      </c>
      <c r="F149" s="75">
        <v>0.1</v>
      </c>
      <c r="G149" s="65">
        <f>VLOOKUP(D149,upahbahan,3,FALSE)</f>
        <v>100000</v>
      </c>
      <c r="H149" s="125">
        <f>F149*G149</f>
        <v>10000</v>
      </c>
      <c r="I149" s="63"/>
    </row>
    <row r="150" spans="3:9">
      <c r="C150" s="143">
        <v>2</v>
      </c>
      <c r="D150" s="60" t="s">
        <v>19</v>
      </c>
      <c r="E150" s="73" t="s">
        <v>6</v>
      </c>
      <c r="F150" s="75">
        <v>5.0000000000000001E-3</v>
      </c>
      <c r="G150" s="65">
        <f>VLOOKUP(D150,upahbahan,3,FALSE)</f>
        <v>145000</v>
      </c>
      <c r="H150" s="125">
        <f>F150*G150</f>
        <v>725</v>
      </c>
      <c r="I150" s="63"/>
    </row>
    <row r="151" spans="3:9">
      <c r="C151" s="145" t="s">
        <v>1220</v>
      </c>
      <c r="D151" s="76"/>
      <c r="E151" s="76"/>
      <c r="F151" s="76"/>
      <c r="G151" s="111"/>
      <c r="H151" s="125">
        <f>SUM(H149:H150)</f>
        <v>10725</v>
      </c>
      <c r="I151" s="63"/>
    </row>
    <row r="152" spans="3:9">
      <c r="C152" s="151" t="s">
        <v>1221</v>
      </c>
      <c r="D152" s="60" t="s">
        <v>1222</v>
      </c>
      <c r="E152" s="74"/>
      <c r="F152" s="74"/>
      <c r="G152" s="106"/>
      <c r="H152" s="152"/>
      <c r="I152" s="63"/>
    </row>
    <row r="153" spans="3:9">
      <c r="C153" s="145" t="s">
        <v>1226</v>
      </c>
      <c r="D153" s="84"/>
      <c r="E153" s="76"/>
      <c r="F153" s="76"/>
      <c r="G153" s="111"/>
      <c r="H153" s="152"/>
      <c r="I153" s="63"/>
    </row>
    <row r="154" spans="3:9">
      <c r="C154" s="142" t="s">
        <v>1227</v>
      </c>
      <c r="D154" s="60" t="s">
        <v>1228</v>
      </c>
      <c r="E154" s="77"/>
      <c r="F154" s="77"/>
      <c r="G154" s="107"/>
      <c r="H154" s="144"/>
      <c r="I154" s="63"/>
    </row>
    <row r="155" spans="3:9">
      <c r="C155" s="145" t="s">
        <v>1229</v>
      </c>
      <c r="D155" s="76"/>
      <c r="E155" s="76"/>
      <c r="F155" s="76"/>
      <c r="G155" s="111"/>
      <c r="H155" s="130">
        <v>0</v>
      </c>
      <c r="I155" s="63"/>
    </row>
    <row r="156" spans="3:9">
      <c r="C156" s="123" t="s">
        <v>1230</v>
      </c>
      <c r="D156" s="70" t="s">
        <v>1231</v>
      </c>
      <c r="E156" s="71"/>
      <c r="F156" s="71"/>
      <c r="G156" s="108"/>
      <c r="H156" s="125">
        <f>H151+H153+H155</f>
        <v>10725</v>
      </c>
      <c r="I156" s="63"/>
    </row>
    <row r="157" spans="3:9">
      <c r="C157" s="123" t="s">
        <v>1232</v>
      </c>
      <c r="D157" s="70" t="s">
        <v>1267</v>
      </c>
      <c r="E157" s="71"/>
      <c r="F157" s="72"/>
      <c r="G157" s="109">
        <f>$N$7</f>
        <v>0.1</v>
      </c>
      <c r="H157" s="125">
        <f>H156*10%</f>
        <v>1072.5</v>
      </c>
      <c r="I157" s="63"/>
    </row>
    <row r="158" spans="3:9" ht="15.75" thickBot="1">
      <c r="C158" s="131" t="s">
        <v>1233</v>
      </c>
      <c r="D158" s="132" t="s">
        <v>1234</v>
      </c>
      <c r="E158" s="133"/>
      <c r="F158" s="133"/>
      <c r="G158" s="134"/>
      <c r="H158" s="135">
        <f>SUM(H156:H157)</f>
        <v>11797.5</v>
      </c>
      <c r="I158" s="63"/>
    </row>
    <row r="159" spans="3:9" ht="15.75" thickTop="1">
      <c r="C159" s="90"/>
      <c r="D159" s="91"/>
      <c r="E159" s="91"/>
      <c r="F159" s="91"/>
      <c r="G159" s="104"/>
      <c r="H159" s="92"/>
      <c r="I159" s="63"/>
    </row>
    <row r="160" spans="3:9" ht="15.75" thickBot="1">
      <c r="C160" s="136" t="s">
        <v>1251</v>
      </c>
      <c r="D160" s="55"/>
      <c r="E160" s="149"/>
      <c r="F160" s="149"/>
      <c r="G160" s="150"/>
      <c r="H160" s="214"/>
      <c r="I160" s="57">
        <f>ROUNDDOWN(H172,-2)</f>
        <v>3700</v>
      </c>
    </row>
    <row r="161" spans="3:9" ht="29.25" thickTop="1">
      <c r="C161" s="120" t="s">
        <v>1207</v>
      </c>
      <c r="D161" s="121" t="s">
        <v>1208</v>
      </c>
      <c r="E161" s="121" t="s">
        <v>1209</v>
      </c>
      <c r="F161" s="121" t="s">
        <v>1210</v>
      </c>
      <c r="G161" s="138" t="s">
        <v>1211</v>
      </c>
      <c r="H161" s="211" t="s">
        <v>1212</v>
      </c>
      <c r="I161" s="58"/>
    </row>
    <row r="162" spans="3:9">
      <c r="C162" s="142" t="s">
        <v>1213</v>
      </c>
      <c r="D162" s="60" t="s">
        <v>1214</v>
      </c>
      <c r="E162" s="74"/>
      <c r="F162" s="74"/>
      <c r="G162" s="106"/>
      <c r="H162" s="152"/>
      <c r="I162" s="63"/>
    </row>
    <row r="163" spans="3:9">
      <c r="C163" s="143">
        <v>1</v>
      </c>
      <c r="D163" s="60" t="s">
        <v>5</v>
      </c>
      <c r="E163" s="73" t="s">
        <v>6</v>
      </c>
      <c r="F163" s="75">
        <v>0.03</v>
      </c>
      <c r="G163" s="65">
        <f>VLOOKUP(D163,upahbahan,3,FALSE)</f>
        <v>100000</v>
      </c>
      <c r="H163" s="125">
        <f>F163*G163</f>
        <v>3000</v>
      </c>
      <c r="I163" s="63"/>
    </row>
    <row r="164" spans="3:9">
      <c r="C164" s="143">
        <v>2</v>
      </c>
      <c r="D164" s="60" t="s">
        <v>19</v>
      </c>
      <c r="E164" s="73" t="s">
        <v>6</v>
      </c>
      <c r="F164" s="75">
        <v>3.0000000000000001E-3</v>
      </c>
      <c r="G164" s="65">
        <f>VLOOKUP(D164,upahbahan,3,FALSE)</f>
        <v>145000</v>
      </c>
      <c r="H164" s="125">
        <f>F164*G164</f>
        <v>435</v>
      </c>
      <c r="I164" s="63"/>
    </row>
    <row r="165" spans="3:9">
      <c r="C165" s="145" t="s">
        <v>1220</v>
      </c>
      <c r="D165" s="81"/>
      <c r="E165" s="81"/>
      <c r="F165" s="81"/>
      <c r="G165" s="110"/>
      <c r="H165" s="125">
        <f>SUM(H163:H164)</f>
        <v>3435</v>
      </c>
      <c r="I165" s="63"/>
    </row>
    <row r="166" spans="3:9">
      <c r="C166" s="153" t="s">
        <v>1221</v>
      </c>
      <c r="D166" s="60" t="s">
        <v>1222</v>
      </c>
      <c r="E166" s="74"/>
      <c r="F166" s="74"/>
      <c r="G166" s="106"/>
      <c r="H166" s="152"/>
      <c r="I166" s="63"/>
    </row>
    <row r="167" spans="3:9">
      <c r="C167" s="145" t="s">
        <v>1226</v>
      </c>
      <c r="D167" s="81"/>
      <c r="E167" s="81"/>
      <c r="F167" s="81"/>
      <c r="G167" s="110"/>
      <c r="H167" s="130">
        <v>0</v>
      </c>
      <c r="I167" s="63"/>
    </row>
    <row r="168" spans="3:9">
      <c r="C168" s="142" t="s">
        <v>1227</v>
      </c>
      <c r="D168" s="60" t="s">
        <v>1228</v>
      </c>
      <c r="E168" s="77"/>
      <c r="F168" s="77"/>
      <c r="G168" s="107"/>
      <c r="H168" s="144"/>
      <c r="I168" s="63"/>
    </row>
    <row r="169" spans="3:9">
      <c r="C169" s="145" t="s">
        <v>1229</v>
      </c>
      <c r="D169" s="81"/>
      <c r="E169" s="81"/>
      <c r="F169" s="81"/>
      <c r="G169" s="110"/>
      <c r="H169" s="130">
        <v>0</v>
      </c>
      <c r="I169" s="63"/>
    </row>
    <row r="170" spans="3:9">
      <c r="C170" s="123" t="s">
        <v>1230</v>
      </c>
      <c r="D170" s="70" t="s">
        <v>1231</v>
      </c>
      <c r="E170" s="71"/>
      <c r="F170" s="71"/>
      <c r="G170" s="108"/>
      <c r="H170" s="125">
        <f>H165+H167+H169</f>
        <v>3435</v>
      </c>
      <c r="I170" s="63"/>
    </row>
    <row r="171" spans="3:9">
      <c r="C171" s="123" t="s">
        <v>1232</v>
      </c>
      <c r="D171" s="70" t="s">
        <v>1267</v>
      </c>
      <c r="E171" s="71"/>
      <c r="F171" s="72"/>
      <c r="G171" s="96">
        <f>$N$7</f>
        <v>0.1</v>
      </c>
      <c r="H171" s="125">
        <f>H170*G171</f>
        <v>343.5</v>
      </c>
      <c r="I171" s="63"/>
    </row>
    <row r="172" spans="3:9" ht="15.75" thickBot="1">
      <c r="C172" s="131" t="s">
        <v>1233</v>
      </c>
      <c r="D172" s="132" t="s">
        <v>1234</v>
      </c>
      <c r="E172" s="133"/>
      <c r="F172" s="133"/>
      <c r="G172" s="134"/>
      <c r="H172" s="135">
        <f>SUM(H170:H171)</f>
        <v>3778.5</v>
      </c>
      <c r="I172" s="63"/>
    </row>
    <row r="173" spans="3:9" ht="15.75" thickTop="1">
      <c r="C173" s="90"/>
      <c r="D173" s="91"/>
      <c r="E173" s="91"/>
      <c r="F173" s="91"/>
      <c r="G173" s="104"/>
      <c r="H173" s="92"/>
      <c r="I173" s="63"/>
    </row>
    <row r="174" spans="3:9" ht="15.75" thickBot="1">
      <c r="C174" s="136" t="s">
        <v>1252</v>
      </c>
      <c r="D174" s="55"/>
      <c r="E174" s="149"/>
      <c r="F174" s="149"/>
      <c r="G174" s="150"/>
      <c r="H174" s="214"/>
      <c r="I174" s="57">
        <f>ROUNDDOWN(H186,-2)</f>
        <v>6200</v>
      </c>
    </row>
    <row r="175" spans="3:9" ht="29.25" thickTop="1">
      <c r="C175" s="120" t="s">
        <v>1207</v>
      </c>
      <c r="D175" s="121" t="s">
        <v>1208</v>
      </c>
      <c r="E175" s="121" t="s">
        <v>1209</v>
      </c>
      <c r="F175" s="121" t="s">
        <v>1210</v>
      </c>
      <c r="G175" s="138" t="s">
        <v>1211</v>
      </c>
      <c r="H175" s="211" t="s">
        <v>1212</v>
      </c>
      <c r="I175" s="58"/>
    </row>
    <row r="176" spans="3:9">
      <c r="C176" s="142" t="s">
        <v>1213</v>
      </c>
      <c r="D176" s="60" t="s">
        <v>1214</v>
      </c>
      <c r="E176" s="74"/>
      <c r="F176" s="74"/>
      <c r="G176" s="102"/>
      <c r="H176" s="152"/>
      <c r="I176" s="63"/>
    </row>
    <row r="177" spans="3:9">
      <c r="C177" s="143">
        <v>1</v>
      </c>
      <c r="D177" s="60" t="s">
        <v>5</v>
      </c>
      <c r="E177" s="73" t="s">
        <v>6</v>
      </c>
      <c r="F177" s="75">
        <v>0.05</v>
      </c>
      <c r="G177" s="65">
        <f>VLOOKUP(D177,upahbahan,3,FALSE)</f>
        <v>100000</v>
      </c>
      <c r="H177" s="125">
        <f>F177*G177</f>
        <v>5000</v>
      </c>
      <c r="I177" s="63"/>
    </row>
    <row r="178" spans="3:9">
      <c r="C178" s="143">
        <v>2</v>
      </c>
      <c r="D178" s="60" t="s">
        <v>19</v>
      </c>
      <c r="E178" s="73" t="s">
        <v>6</v>
      </c>
      <c r="F178" s="75">
        <v>5.0000000000000001E-3</v>
      </c>
      <c r="G178" s="65">
        <f>VLOOKUP(D178,upahbahan,3,FALSE)</f>
        <v>145000</v>
      </c>
      <c r="H178" s="125">
        <f>F178*G178</f>
        <v>725</v>
      </c>
      <c r="I178" s="63"/>
    </row>
    <row r="179" spans="3:9">
      <c r="C179" s="145" t="s">
        <v>1220</v>
      </c>
      <c r="D179" s="81"/>
      <c r="E179" s="81"/>
      <c r="F179" s="81"/>
      <c r="G179" s="110"/>
      <c r="H179" s="125">
        <f>SUM(H177:H178)</f>
        <v>5725</v>
      </c>
      <c r="I179" s="63"/>
    </row>
    <row r="180" spans="3:9">
      <c r="C180" s="153" t="s">
        <v>1221</v>
      </c>
      <c r="D180" s="60" t="s">
        <v>1222</v>
      </c>
      <c r="E180" s="74"/>
      <c r="F180" s="74"/>
      <c r="G180" s="106"/>
      <c r="H180" s="152"/>
      <c r="I180" s="63"/>
    </row>
    <row r="181" spans="3:9">
      <c r="C181" s="145" t="s">
        <v>1226</v>
      </c>
      <c r="D181" s="81"/>
      <c r="E181" s="81"/>
      <c r="F181" s="81"/>
      <c r="G181" s="110"/>
      <c r="H181" s="130">
        <v>0</v>
      </c>
      <c r="I181" s="63"/>
    </row>
    <row r="182" spans="3:9">
      <c r="C182" s="142" t="s">
        <v>1227</v>
      </c>
      <c r="D182" s="60" t="s">
        <v>1228</v>
      </c>
      <c r="E182" s="77"/>
      <c r="F182" s="77"/>
      <c r="G182" s="107"/>
      <c r="H182" s="144"/>
      <c r="I182" s="63"/>
    </row>
    <row r="183" spans="3:9">
      <c r="C183" s="145" t="s">
        <v>1229</v>
      </c>
      <c r="D183" s="81"/>
      <c r="E183" s="81"/>
      <c r="F183" s="81"/>
      <c r="G183" s="110"/>
      <c r="H183" s="130">
        <v>0</v>
      </c>
      <c r="I183" s="63"/>
    </row>
    <row r="184" spans="3:9">
      <c r="C184" s="123" t="s">
        <v>1230</v>
      </c>
      <c r="D184" s="70" t="s">
        <v>1231</v>
      </c>
      <c r="E184" s="71"/>
      <c r="F184" s="71"/>
      <c r="G184" s="108"/>
      <c r="H184" s="125">
        <f>H179+H181+H183</f>
        <v>5725</v>
      </c>
      <c r="I184" s="63"/>
    </row>
    <row r="185" spans="3:9">
      <c r="C185" s="123" t="s">
        <v>1232</v>
      </c>
      <c r="D185" s="70" t="s">
        <v>1267</v>
      </c>
      <c r="E185" s="71"/>
      <c r="F185" s="72"/>
      <c r="G185" s="96">
        <f>$N$7</f>
        <v>0.1</v>
      </c>
      <c r="H185" s="125">
        <f>H184*G185</f>
        <v>572.5</v>
      </c>
      <c r="I185" s="63"/>
    </row>
    <row r="186" spans="3:9" ht="15.75" thickBot="1">
      <c r="C186" s="131" t="s">
        <v>1233</v>
      </c>
      <c r="D186" s="132" t="s">
        <v>1234</v>
      </c>
      <c r="E186" s="133"/>
      <c r="F186" s="133"/>
      <c r="G186" s="134"/>
      <c r="H186" s="135">
        <f>SUM(H184:H185)</f>
        <v>6297.5</v>
      </c>
      <c r="I186" s="63"/>
    </row>
    <row r="187" spans="3:9" ht="15.75" thickTop="1">
      <c r="C187" s="90"/>
      <c r="D187" s="91"/>
      <c r="E187" s="91"/>
      <c r="F187" s="91"/>
      <c r="G187" s="104"/>
      <c r="H187" s="92"/>
      <c r="I187" s="63"/>
    </row>
    <row r="188" spans="3:9" ht="15.75" thickBot="1">
      <c r="C188" s="136" t="s">
        <v>1253</v>
      </c>
      <c r="D188" s="55"/>
      <c r="E188" s="149"/>
      <c r="F188" s="149"/>
      <c r="G188" s="150"/>
      <c r="H188" s="214"/>
      <c r="I188" s="57">
        <f>ROUNDDOWN(H201,-2)</f>
        <v>21800</v>
      </c>
    </row>
    <row r="189" spans="3:9" ht="29.25" thickTop="1">
      <c r="C189" s="120" t="s">
        <v>1207</v>
      </c>
      <c r="D189" s="121" t="s">
        <v>1208</v>
      </c>
      <c r="E189" s="121" t="s">
        <v>1209</v>
      </c>
      <c r="F189" s="121" t="s">
        <v>1210</v>
      </c>
      <c r="G189" s="138" t="s">
        <v>1211</v>
      </c>
      <c r="H189" s="211" t="s">
        <v>1212</v>
      </c>
      <c r="I189" s="58"/>
    </row>
    <row r="190" spans="3:9">
      <c r="C190" s="142" t="s">
        <v>1213</v>
      </c>
      <c r="D190" s="60" t="s">
        <v>1214</v>
      </c>
      <c r="E190" s="74"/>
      <c r="F190" s="74"/>
      <c r="G190" s="102"/>
      <c r="H190" s="152"/>
      <c r="I190" s="63"/>
    </row>
    <row r="191" spans="3:9">
      <c r="C191" s="143">
        <v>1</v>
      </c>
      <c r="D191" s="60" t="s">
        <v>5</v>
      </c>
      <c r="E191" s="73" t="s">
        <v>6</v>
      </c>
      <c r="F191" s="75">
        <v>0.08</v>
      </c>
      <c r="G191" s="65">
        <f>VLOOKUP(D191,upahbahan,3,FALSE)</f>
        <v>100000</v>
      </c>
      <c r="H191" s="125">
        <f>F191*G191</f>
        <v>8000</v>
      </c>
      <c r="I191" s="63"/>
    </row>
    <row r="192" spans="3:9">
      <c r="C192" s="143">
        <v>2</v>
      </c>
      <c r="D192" s="60" t="s">
        <v>19</v>
      </c>
      <c r="E192" s="73" t="s">
        <v>6</v>
      </c>
      <c r="F192" s="75">
        <v>8.0000000000000002E-3</v>
      </c>
      <c r="G192" s="65">
        <f>VLOOKUP(D192,upahbahan,3,FALSE)</f>
        <v>145000</v>
      </c>
      <c r="H192" s="125">
        <f>F192*G192</f>
        <v>1160</v>
      </c>
      <c r="I192" s="63"/>
    </row>
    <row r="193" spans="3:9">
      <c r="C193" s="145" t="s">
        <v>1220</v>
      </c>
      <c r="D193" s="81"/>
      <c r="E193" s="81"/>
      <c r="F193" s="81"/>
      <c r="G193" s="110"/>
      <c r="H193" s="125">
        <f>SUM(H191:H192)</f>
        <v>9160</v>
      </c>
      <c r="I193" s="63"/>
    </row>
    <row r="194" spans="3:9">
      <c r="C194" s="153" t="s">
        <v>1221</v>
      </c>
      <c r="D194" s="60" t="s">
        <v>1222</v>
      </c>
      <c r="E194" s="74"/>
      <c r="F194" s="74"/>
      <c r="G194" s="106"/>
      <c r="H194" s="152"/>
      <c r="I194" s="63"/>
    </row>
    <row r="195" spans="3:9">
      <c r="C195" s="145" t="s">
        <v>1226</v>
      </c>
      <c r="D195" s="81"/>
      <c r="E195" s="81"/>
      <c r="F195" s="81"/>
      <c r="G195" s="110"/>
      <c r="H195" s="130">
        <v>0</v>
      </c>
      <c r="I195" s="63"/>
    </row>
    <row r="196" spans="3:9">
      <c r="C196" s="142" t="s">
        <v>1227</v>
      </c>
      <c r="D196" s="60" t="s">
        <v>1228</v>
      </c>
      <c r="E196" s="77"/>
      <c r="F196" s="77"/>
      <c r="G196" s="107"/>
      <c r="H196" s="144"/>
      <c r="I196" s="63"/>
    </row>
    <row r="197" spans="3:9">
      <c r="C197" s="142">
        <v>1</v>
      </c>
      <c r="D197" s="60" t="s">
        <v>1096</v>
      </c>
      <c r="E197" s="79" t="s">
        <v>1091</v>
      </c>
      <c r="F197" s="85">
        <v>3.5700000000000003E-2</v>
      </c>
      <c r="G197" s="65">
        <f>VLOOKUP(D197,upahbahan,3,FALSE)</f>
        <v>300000</v>
      </c>
      <c r="H197" s="125">
        <f>F197*G197</f>
        <v>10710</v>
      </c>
      <c r="I197" s="63"/>
    </row>
    <row r="198" spans="3:9">
      <c r="C198" s="145" t="s">
        <v>1229</v>
      </c>
      <c r="D198" s="81"/>
      <c r="E198" s="81"/>
      <c r="F198" s="81"/>
      <c r="G198" s="110"/>
      <c r="H198" s="125">
        <f>SUM(H197)</f>
        <v>10710</v>
      </c>
      <c r="I198" s="63"/>
    </row>
    <row r="199" spans="3:9">
      <c r="C199" s="123" t="s">
        <v>1230</v>
      </c>
      <c r="D199" s="70" t="s">
        <v>1231</v>
      </c>
      <c r="E199" s="71"/>
      <c r="F199" s="71"/>
      <c r="G199" s="108"/>
      <c r="H199" s="125">
        <f>H193+H195+H198</f>
        <v>19870</v>
      </c>
      <c r="I199" s="63"/>
    </row>
    <row r="200" spans="3:9">
      <c r="C200" s="123" t="s">
        <v>1232</v>
      </c>
      <c r="D200" s="70" t="s">
        <v>1267</v>
      </c>
      <c r="E200" s="71"/>
      <c r="F200" s="72"/>
      <c r="G200" s="96">
        <f>$N$7</f>
        <v>0.1</v>
      </c>
      <c r="H200" s="125">
        <f>H199*G200</f>
        <v>1987</v>
      </c>
      <c r="I200" s="63"/>
    </row>
    <row r="201" spans="3:9" ht="15.75" thickBot="1">
      <c r="C201" s="131" t="s">
        <v>1233</v>
      </c>
      <c r="D201" s="132" t="s">
        <v>1234</v>
      </c>
      <c r="E201" s="133"/>
      <c r="F201" s="133"/>
      <c r="G201" s="134"/>
      <c r="H201" s="135">
        <f>SUM(H199:H200)</f>
        <v>21857</v>
      </c>
      <c r="I201" s="63"/>
    </row>
    <row r="202" spans="3:9" ht="15.75" thickTop="1">
      <c r="C202" s="90"/>
      <c r="D202" s="91"/>
      <c r="E202" s="91"/>
      <c r="F202" s="91"/>
      <c r="G202" s="104"/>
      <c r="H202" s="92"/>
      <c r="I202" s="63"/>
    </row>
    <row r="203" spans="3:9" ht="15.75" thickBot="1">
      <c r="C203" s="136" t="s">
        <v>1254</v>
      </c>
      <c r="D203" s="55"/>
      <c r="E203" s="149"/>
      <c r="F203" s="149"/>
      <c r="G203" s="150"/>
      <c r="H203" s="214"/>
      <c r="I203" s="57">
        <f>ROUNDDOWN(H216,-2)</f>
        <v>22100</v>
      </c>
    </row>
    <row r="204" spans="3:9" ht="29.25" thickTop="1">
      <c r="C204" s="120" t="s">
        <v>1207</v>
      </c>
      <c r="D204" s="121" t="s">
        <v>1208</v>
      </c>
      <c r="E204" s="121" t="s">
        <v>1209</v>
      </c>
      <c r="F204" s="121" t="s">
        <v>1210</v>
      </c>
      <c r="G204" s="138" t="s">
        <v>1211</v>
      </c>
      <c r="H204" s="211" t="s">
        <v>1212</v>
      </c>
      <c r="I204" s="93"/>
    </row>
    <row r="205" spans="3:9">
      <c r="C205" s="142" t="s">
        <v>1213</v>
      </c>
      <c r="D205" s="60" t="s">
        <v>1214</v>
      </c>
      <c r="E205" s="74"/>
      <c r="F205" s="74"/>
      <c r="G205" s="102"/>
      <c r="H205" s="152"/>
      <c r="I205" s="63"/>
    </row>
    <row r="206" spans="3:9">
      <c r="C206" s="143">
        <v>1</v>
      </c>
      <c r="D206" s="60" t="s">
        <v>5</v>
      </c>
      <c r="E206" s="73" t="s">
        <v>6</v>
      </c>
      <c r="F206" s="75">
        <v>1.2E-2</v>
      </c>
      <c r="G206" s="65">
        <f>VLOOKUP(D206,upahbahan,3,FALSE)</f>
        <v>100000</v>
      </c>
      <c r="H206" s="125">
        <f>F206*G206</f>
        <v>1200</v>
      </c>
      <c r="I206" s="63"/>
    </row>
    <row r="207" spans="3:9">
      <c r="C207" s="143">
        <v>2</v>
      </c>
      <c r="D207" s="60" t="s">
        <v>19</v>
      </c>
      <c r="E207" s="73" t="s">
        <v>6</v>
      </c>
      <c r="F207" s="94">
        <v>1.1999999999999999E-3</v>
      </c>
      <c r="G207" s="65">
        <f>VLOOKUP(D207,upahbahan,3,FALSE)</f>
        <v>145000</v>
      </c>
      <c r="H207" s="125">
        <f>F207*G207</f>
        <v>173.99999999999997</v>
      </c>
      <c r="I207" s="63"/>
    </row>
    <row r="208" spans="3:9">
      <c r="C208" s="145" t="s">
        <v>1220</v>
      </c>
      <c r="D208" s="81"/>
      <c r="E208" s="81"/>
      <c r="F208" s="81"/>
      <c r="G208" s="110"/>
      <c r="H208" s="125">
        <f>SUM(H206:H207)</f>
        <v>1374</v>
      </c>
      <c r="I208" s="63"/>
    </row>
    <row r="209" spans="3:9">
      <c r="C209" s="153" t="s">
        <v>1221</v>
      </c>
      <c r="D209" s="60" t="s">
        <v>1222</v>
      </c>
      <c r="E209" s="74"/>
      <c r="F209" s="74"/>
      <c r="G209" s="106"/>
      <c r="H209" s="152"/>
      <c r="I209" s="63"/>
    </row>
    <row r="210" spans="3:9">
      <c r="C210" s="145" t="s">
        <v>1226</v>
      </c>
      <c r="D210" s="81"/>
      <c r="E210" s="81"/>
      <c r="F210" s="81"/>
      <c r="G210" s="110"/>
      <c r="H210" s="130">
        <v>0</v>
      </c>
      <c r="I210" s="63"/>
    </row>
    <row r="211" spans="3:9">
      <c r="C211" s="142" t="s">
        <v>1227</v>
      </c>
      <c r="D211" s="60" t="s">
        <v>1228</v>
      </c>
      <c r="E211" s="77"/>
      <c r="F211" s="77"/>
      <c r="G211" s="107"/>
      <c r="H211" s="144"/>
      <c r="I211" s="63"/>
    </row>
    <row r="212" spans="3:9">
      <c r="C212" s="142">
        <v>1</v>
      </c>
      <c r="D212" s="60" t="s">
        <v>1096</v>
      </c>
      <c r="E212" s="79" t="s">
        <v>1091</v>
      </c>
      <c r="F212" s="85">
        <v>6.25E-2</v>
      </c>
      <c r="G212" s="65">
        <f>VLOOKUP(D212,upahbahan,3,FALSE)</f>
        <v>300000</v>
      </c>
      <c r="H212" s="125">
        <f>F212*G212</f>
        <v>18750</v>
      </c>
      <c r="I212" s="63"/>
    </row>
    <row r="213" spans="3:9">
      <c r="C213" s="145" t="s">
        <v>1229</v>
      </c>
      <c r="D213" s="81"/>
      <c r="E213" s="81"/>
      <c r="F213" s="81"/>
      <c r="G213" s="110"/>
      <c r="H213" s="125">
        <f>SUM(H212)</f>
        <v>18750</v>
      </c>
      <c r="I213" s="63"/>
    </row>
    <row r="214" spans="3:9">
      <c r="C214" s="123" t="s">
        <v>1230</v>
      </c>
      <c r="D214" s="70" t="s">
        <v>1231</v>
      </c>
      <c r="E214" s="71"/>
      <c r="F214" s="71"/>
      <c r="G214" s="108"/>
      <c r="H214" s="125">
        <f>H208+H210+H213</f>
        <v>20124</v>
      </c>
      <c r="I214" s="63"/>
    </row>
    <row r="215" spans="3:9">
      <c r="C215" s="123" t="s">
        <v>1232</v>
      </c>
      <c r="D215" s="70" t="s">
        <v>1267</v>
      </c>
      <c r="E215" s="71"/>
      <c r="F215" s="72"/>
      <c r="G215" s="96">
        <f>$N$7</f>
        <v>0.1</v>
      </c>
      <c r="H215" s="125">
        <f>H214*G215</f>
        <v>2012.4</v>
      </c>
      <c r="I215" s="63"/>
    </row>
    <row r="216" spans="3:9" ht="15.75" thickBot="1">
      <c r="C216" s="131" t="s">
        <v>1233</v>
      </c>
      <c r="D216" s="132" t="s">
        <v>1234</v>
      </c>
      <c r="E216" s="133"/>
      <c r="F216" s="133"/>
      <c r="G216" s="134"/>
      <c r="H216" s="135">
        <f>SUM(H214:H215)</f>
        <v>22136.400000000001</v>
      </c>
      <c r="I216" s="63"/>
    </row>
    <row r="217" spans="3:9" ht="15.75" thickTop="1">
      <c r="C217" s="90"/>
      <c r="D217" s="91"/>
      <c r="E217" s="91"/>
      <c r="F217" s="91"/>
      <c r="G217" s="91"/>
      <c r="H217" s="92"/>
      <c r="I217" s="63"/>
    </row>
    <row r="218" spans="3:9" ht="27" customHeight="1" thickBot="1">
      <c r="C218" s="516" t="s">
        <v>1255</v>
      </c>
      <c r="D218" s="516"/>
      <c r="E218" s="516"/>
      <c r="F218" s="516"/>
      <c r="G218" s="516"/>
      <c r="H218" s="516"/>
      <c r="I218" s="57">
        <f>ROUNDDOWN(H231,-2)</f>
        <v>47800</v>
      </c>
    </row>
    <row r="219" spans="3:9" ht="29.25" thickTop="1">
      <c r="C219" s="120" t="s">
        <v>1207</v>
      </c>
      <c r="D219" s="121" t="s">
        <v>1208</v>
      </c>
      <c r="E219" s="121" t="s">
        <v>1209</v>
      </c>
      <c r="F219" s="121" t="s">
        <v>1210</v>
      </c>
      <c r="G219" s="121" t="s">
        <v>1211</v>
      </c>
      <c r="H219" s="211" t="s">
        <v>1212</v>
      </c>
      <c r="I219" s="58"/>
    </row>
    <row r="220" spans="3:9">
      <c r="C220" s="142" t="s">
        <v>1213</v>
      </c>
      <c r="D220" s="60" t="s">
        <v>1214</v>
      </c>
      <c r="E220" s="74"/>
      <c r="F220" s="74"/>
      <c r="G220" s="74"/>
      <c r="H220" s="152"/>
      <c r="I220" s="63"/>
    </row>
    <row r="221" spans="3:9">
      <c r="C221" s="143">
        <v>1</v>
      </c>
      <c r="D221" s="60" t="s">
        <v>5</v>
      </c>
      <c r="E221" s="73" t="s">
        <v>6</v>
      </c>
      <c r="F221" s="75">
        <v>0.17</v>
      </c>
      <c r="G221" s="65">
        <f>VLOOKUP(D221,upahbahan,3,FALSE)</f>
        <v>100000</v>
      </c>
      <c r="H221" s="125">
        <f>F221*G221</f>
        <v>17000</v>
      </c>
      <c r="I221" s="63"/>
    </row>
    <row r="222" spans="3:9">
      <c r="C222" s="143">
        <v>2</v>
      </c>
      <c r="D222" s="60" t="s">
        <v>19</v>
      </c>
      <c r="E222" s="73" t="s">
        <v>6</v>
      </c>
      <c r="F222" s="75">
        <v>1.7000000000000001E-2</v>
      </c>
      <c r="G222" s="65">
        <f>VLOOKUP(D222,upahbahan,3,FALSE)</f>
        <v>145000</v>
      </c>
      <c r="H222" s="125">
        <f>F222*G222</f>
        <v>2465</v>
      </c>
      <c r="I222" s="63"/>
    </row>
    <row r="223" spans="3:9">
      <c r="C223" s="145" t="s">
        <v>1220</v>
      </c>
      <c r="D223" s="81"/>
      <c r="E223" s="81"/>
      <c r="F223" s="81"/>
      <c r="G223" s="110"/>
      <c r="H223" s="125">
        <f>SUM(H221:H222)</f>
        <v>19465</v>
      </c>
      <c r="I223" s="63"/>
    </row>
    <row r="224" spans="3:9">
      <c r="C224" s="153" t="s">
        <v>1221</v>
      </c>
      <c r="D224" s="60" t="s">
        <v>1222</v>
      </c>
      <c r="E224" s="74"/>
      <c r="F224" s="74"/>
      <c r="G224" s="106"/>
      <c r="H224" s="152"/>
      <c r="I224" s="63"/>
    </row>
    <row r="225" spans="3:9">
      <c r="C225" s="145" t="s">
        <v>1226</v>
      </c>
      <c r="D225" s="81"/>
      <c r="E225" s="81"/>
      <c r="F225" s="81"/>
      <c r="G225" s="110"/>
      <c r="H225" s="130">
        <v>0</v>
      </c>
      <c r="I225" s="63"/>
    </row>
    <row r="226" spans="3:9">
      <c r="C226" s="142" t="s">
        <v>1227</v>
      </c>
      <c r="D226" s="60" t="s">
        <v>1228</v>
      </c>
      <c r="E226" s="77"/>
      <c r="F226" s="77"/>
      <c r="G226" s="107"/>
      <c r="H226" s="144"/>
      <c r="I226" s="63"/>
    </row>
    <row r="227" spans="3:9">
      <c r="C227" s="142">
        <v>1</v>
      </c>
      <c r="D227" s="60" t="s">
        <v>1096</v>
      </c>
      <c r="E227" s="79" t="s">
        <v>1091</v>
      </c>
      <c r="F227" s="85">
        <v>0.08</v>
      </c>
      <c r="G227" s="65">
        <f>VLOOKUP(D227,upahbahan,3,FALSE)</f>
        <v>300000</v>
      </c>
      <c r="H227" s="125">
        <f>F227*G227</f>
        <v>24000</v>
      </c>
      <c r="I227" s="63"/>
    </row>
    <row r="228" spans="3:9">
      <c r="C228" s="145" t="s">
        <v>1229</v>
      </c>
      <c r="D228" s="81"/>
      <c r="E228" s="81"/>
      <c r="F228" s="81"/>
      <c r="G228" s="110"/>
      <c r="H228" s="125">
        <f>SUM(H227)</f>
        <v>24000</v>
      </c>
      <c r="I228" s="63"/>
    </row>
    <row r="229" spans="3:9">
      <c r="C229" s="123" t="s">
        <v>1230</v>
      </c>
      <c r="D229" s="70" t="s">
        <v>1231</v>
      </c>
      <c r="E229" s="71"/>
      <c r="F229" s="71"/>
      <c r="G229" s="108"/>
      <c r="H229" s="125">
        <f>H223+H225+H228</f>
        <v>43465</v>
      </c>
      <c r="I229" s="63"/>
    </row>
    <row r="230" spans="3:9">
      <c r="C230" s="123" t="s">
        <v>1232</v>
      </c>
      <c r="D230" s="70" t="s">
        <v>1267</v>
      </c>
      <c r="E230" s="71"/>
      <c r="F230" s="72"/>
      <c r="G230" s="96">
        <f>$N$7</f>
        <v>0.1</v>
      </c>
      <c r="H230" s="125">
        <f>H229*G230</f>
        <v>4346.5</v>
      </c>
      <c r="I230" s="63"/>
    </row>
    <row r="231" spans="3:9" ht="15.75" thickBot="1">
      <c r="C231" s="131" t="s">
        <v>1233</v>
      </c>
      <c r="D231" s="132" t="s">
        <v>1234</v>
      </c>
      <c r="E231" s="133"/>
      <c r="F231" s="133"/>
      <c r="G231" s="134"/>
      <c r="H231" s="135">
        <f>SUM(H229:H230)</f>
        <v>47811.5</v>
      </c>
      <c r="I231" s="63"/>
    </row>
    <row r="232" spans="3:9" ht="15.75" thickTop="1">
      <c r="C232" s="90"/>
      <c r="D232" s="91"/>
      <c r="E232" s="91"/>
      <c r="F232" s="91"/>
      <c r="G232" s="104"/>
      <c r="H232" s="92"/>
      <c r="I232" s="63"/>
    </row>
    <row r="233" spans="3:9" ht="15.75" thickBot="1">
      <c r="C233" s="516" t="s">
        <v>1256</v>
      </c>
      <c r="D233" s="516"/>
      <c r="E233" s="516"/>
      <c r="F233" s="516"/>
      <c r="G233" s="517"/>
      <c r="H233" s="517"/>
      <c r="I233" s="57">
        <f>ROUNDDOWN(H246,-2)</f>
        <v>61100</v>
      </c>
    </row>
    <row r="234" spans="3:9" ht="29.25" thickTop="1">
      <c r="C234" s="166" t="s">
        <v>1207</v>
      </c>
      <c r="D234" s="167" t="s">
        <v>1208</v>
      </c>
      <c r="E234" s="167" t="s">
        <v>1209</v>
      </c>
      <c r="F234" s="167" t="s">
        <v>1210</v>
      </c>
      <c r="G234" s="168" t="s">
        <v>1211</v>
      </c>
      <c r="H234" s="215" t="s">
        <v>1212</v>
      </c>
      <c r="I234" s="58"/>
    </row>
    <row r="235" spans="3:9">
      <c r="C235" s="142" t="s">
        <v>1213</v>
      </c>
      <c r="D235" s="60" t="s">
        <v>1214</v>
      </c>
      <c r="E235" s="74"/>
      <c r="F235" s="74"/>
      <c r="G235" s="102"/>
      <c r="H235" s="152"/>
      <c r="I235" s="63"/>
    </row>
    <row r="236" spans="3:9">
      <c r="C236" s="143">
        <v>1</v>
      </c>
      <c r="D236" s="60" t="s">
        <v>5</v>
      </c>
      <c r="E236" s="73" t="s">
        <v>6</v>
      </c>
      <c r="F236" s="75">
        <v>0.25</v>
      </c>
      <c r="G236" s="65">
        <f>VLOOKUP(D236,upahbahan,3,FALSE)</f>
        <v>100000</v>
      </c>
      <c r="H236" s="125">
        <f>F236*G236</f>
        <v>25000</v>
      </c>
      <c r="I236" s="63"/>
    </row>
    <row r="237" spans="3:9">
      <c r="C237" s="143">
        <v>2</v>
      </c>
      <c r="D237" s="60" t="s">
        <v>19</v>
      </c>
      <c r="E237" s="73" t="s">
        <v>6</v>
      </c>
      <c r="F237" s="75">
        <v>2.5000000000000001E-2</v>
      </c>
      <c r="G237" s="65">
        <f>VLOOKUP(D237,upahbahan,3,FALSE)</f>
        <v>145000</v>
      </c>
      <c r="H237" s="125">
        <f>F237*G237</f>
        <v>3625</v>
      </c>
      <c r="I237" s="63"/>
    </row>
    <row r="238" spans="3:9">
      <c r="C238" s="145" t="s">
        <v>1220</v>
      </c>
      <c r="D238" s="81"/>
      <c r="E238" s="81"/>
      <c r="F238" s="81"/>
      <c r="G238" s="110"/>
      <c r="H238" s="125">
        <f>SUM(H236:H237)</f>
        <v>28625</v>
      </c>
      <c r="I238" s="63"/>
    </row>
    <row r="239" spans="3:9">
      <c r="C239" s="153" t="s">
        <v>1221</v>
      </c>
      <c r="D239" s="60" t="s">
        <v>1222</v>
      </c>
      <c r="E239" s="74"/>
      <c r="F239" s="74"/>
      <c r="G239" s="106"/>
      <c r="H239" s="152"/>
      <c r="I239" s="63"/>
    </row>
    <row r="240" spans="3:9">
      <c r="C240" s="145" t="s">
        <v>1226</v>
      </c>
      <c r="D240" s="81"/>
      <c r="E240" s="81"/>
      <c r="F240" s="81"/>
      <c r="G240" s="110"/>
      <c r="H240" s="130">
        <v>0</v>
      </c>
      <c r="I240" s="63"/>
    </row>
    <row r="241" spans="3:9">
      <c r="C241" s="142" t="s">
        <v>1227</v>
      </c>
      <c r="D241" s="60" t="s">
        <v>1228</v>
      </c>
      <c r="E241" s="77"/>
      <c r="F241" s="77"/>
      <c r="G241" s="107"/>
      <c r="H241" s="144"/>
      <c r="I241" s="63"/>
    </row>
    <row r="242" spans="3:9">
      <c r="C242" s="142">
        <v>1</v>
      </c>
      <c r="D242" s="60" t="s">
        <v>1096</v>
      </c>
      <c r="E242" s="79" t="s">
        <v>1091</v>
      </c>
      <c r="F242" s="85">
        <v>0.09</v>
      </c>
      <c r="G242" s="65">
        <f>VLOOKUP(D242,upahbahan,3,FALSE)</f>
        <v>300000</v>
      </c>
      <c r="H242" s="125">
        <f>F242*G242</f>
        <v>27000</v>
      </c>
      <c r="I242" s="63"/>
    </row>
    <row r="243" spans="3:9">
      <c r="C243" s="145" t="s">
        <v>1229</v>
      </c>
      <c r="D243" s="81"/>
      <c r="E243" s="81"/>
      <c r="F243" s="81"/>
      <c r="G243" s="110"/>
      <c r="H243" s="125">
        <f>SUM(H242)</f>
        <v>27000</v>
      </c>
      <c r="I243" s="63"/>
    </row>
    <row r="244" spans="3:9">
      <c r="C244" s="123" t="s">
        <v>1230</v>
      </c>
      <c r="D244" s="70" t="s">
        <v>1231</v>
      </c>
      <c r="E244" s="71"/>
      <c r="F244" s="71"/>
      <c r="G244" s="108"/>
      <c r="H244" s="125">
        <f>H238+H240+H243</f>
        <v>55625</v>
      </c>
      <c r="I244" s="63"/>
    </row>
    <row r="245" spans="3:9">
      <c r="C245" s="123" t="s">
        <v>1232</v>
      </c>
      <c r="D245" s="70" t="s">
        <v>1267</v>
      </c>
      <c r="E245" s="71"/>
      <c r="F245" s="72"/>
      <c r="G245" s="96">
        <f>$N$7</f>
        <v>0.1</v>
      </c>
      <c r="H245" s="125">
        <f>H244*G245</f>
        <v>5562.5</v>
      </c>
      <c r="I245" s="63"/>
    </row>
    <row r="246" spans="3:9" ht="15.75" thickBot="1">
      <c r="C246" s="131" t="s">
        <v>1233</v>
      </c>
      <c r="D246" s="132" t="s">
        <v>1234</v>
      </c>
      <c r="E246" s="133"/>
      <c r="F246" s="133"/>
      <c r="G246" s="134"/>
      <c r="H246" s="135">
        <f>SUM(H244:H245)</f>
        <v>61187.5</v>
      </c>
      <c r="I246" s="63"/>
    </row>
    <row r="247" spans="3:9" ht="15.75" thickTop="1">
      <c r="C247" s="90"/>
      <c r="D247" s="91"/>
      <c r="E247" s="91"/>
      <c r="F247" s="91"/>
      <c r="G247" s="104"/>
      <c r="H247" s="92"/>
      <c r="I247" s="63"/>
    </row>
    <row r="248" spans="3:9" ht="15.75" thickBot="1">
      <c r="C248" s="516" t="s">
        <v>1257</v>
      </c>
      <c r="D248" s="516"/>
      <c r="E248" s="516"/>
      <c r="F248" s="516"/>
      <c r="G248" s="517"/>
      <c r="H248" s="517"/>
      <c r="I248" s="57">
        <f>ROUNDDOWN(H261,-2)</f>
        <v>47600</v>
      </c>
    </row>
    <row r="249" spans="3:9" ht="29.25" thickTop="1">
      <c r="C249" s="120" t="s">
        <v>1207</v>
      </c>
      <c r="D249" s="121" t="s">
        <v>1208</v>
      </c>
      <c r="E249" s="121" t="s">
        <v>1209</v>
      </c>
      <c r="F249" s="121" t="s">
        <v>1210</v>
      </c>
      <c r="G249" s="138" t="s">
        <v>1211</v>
      </c>
      <c r="H249" s="211" t="s">
        <v>1212</v>
      </c>
      <c r="I249" s="58"/>
    </row>
    <row r="250" spans="3:9">
      <c r="C250" s="142" t="s">
        <v>1213</v>
      </c>
      <c r="D250" s="60" t="s">
        <v>1214</v>
      </c>
      <c r="E250" s="74"/>
      <c r="F250" s="74"/>
      <c r="G250" s="102"/>
      <c r="H250" s="152"/>
      <c r="I250" s="63"/>
    </row>
    <row r="251" spans="3:9">
      <c r="C251" s="143">
        <v>1</v>
      </c>
      <c r="D251" s="60" t="s">
        <v>5</v>
      </c>
      <c r="E251" s="73" t="s">
        <v>6</v>
      </c>
      <c r="F251" s="94">
        <v>0.1429</v>
      </c>
      <c r="G251" s="65">
        <f>VLOOKUP(D251,upahbahan,3,FALSE)</f>
        <v>100000</v>
      </c>
      <c r="H251" s="125">
        <f>F251*G251</f>
        <v>14290</v>
      </c>
      <c r="I251" s="63"/>
    </row>
    <row r="252" spans="3:9">
      <c r="C252" s="143">
        <v>2</v>
      </c>
      <c r="D252" s="60" t="s">
        <v>19</v>
      </c>
      <c r="E252" s="73" t="s">
        <v>6</v>
      </c>
      <c r="F252" s="94">
        <v>1.43E-2</v>
      </c>
      <c r="G252" s="65">
        <f>VLOOKUP(D252,upahbahan,3,FALSE)</f>
        <v>145000</v>
      </c>
      <c r="H252" s="125">
        <f>F252*G252</f>
        <v>2073.5</v>
      </c>
      <c r="I252" s="63"/>
    </row>
    <row r="253" spans="3:9">
      <c r="C253" s="145" t="s">
        <v>1220</v>
      </c>
      <c r="D253" s="81"/>
      <c r="E253" s="81"/>
      <c r="F253" s="81"/>
      <c r="G253" s="110"/>
      <c r="H253" s="125">
        <f>SUM(H251:H252)</f>
        <v>16363.5</v>
      </c>
      <c r="I253" s="63"/>
    </row>
    <row r="254" spans="3:9">
      <c r="C254" s="153" t="s">
        <v>1221</v>
      </c>
      <c r="D254" s="60" t="s">
        <v>1222</v>
      </c>
      <c r="E254" s="74"/>
      <c r="F254" s="74"/>
      <c r="G254" s="106"/>
      <c r="H254" s="152"/>
      <c r="I254" s="63"/>
    </row>
    <row r="255" spans="3:9">
      <c r="C255" s="145" t="s">
        <v>1226</v>
      </c>
      <c r="D255" s="81"/>
      <c r="E255" s="81"/>
      <c r="F255" s="81"/>
      <c r="G255" s="110"/>
      <c r="H255" s="130">
        <v>0</v>
      </c>
      <c r="I255" s="63"/>
    </row>
    <row r="256" spans="3:9">
      <c r="C256" s="142" t="s">
        <v>1227</v>
      </c>
      <c r="D256" s="60" t="s">
        <v>1228</v>
      </c>
      <c r="E256" s="77"/>
      <c r="F256" s="77"/>
      <c r="G256" s="107"/>
      <c r="H256" s="144"/>
      <c r="I256" s="63"/>
    </row>
    <row r="257" spans="3:9">
      <c r="C257" s="142">
        <v>1</v>
      </c>
      <c r="D257" s="60" t="s">
        <v>1096</v>
      </c>
      <c r="E257" s="79" t="s">
        <v>1091</v>
      </c>
      <c r="F257" s="85">
        <v>0.09</v>
      </c>
      <c r="G257" s="65">
        <f>VLOOKUP(D257,upahbahan,3,FALSE)</f>
        <v>300000</v>
      </c>
      <c r="H257" s="125">
        <f>F257*G257</f>
        <v>27000</v>
      </c>
      <c r="I257" s="63"/>
    </row>
    <row r="258" spans="3:9">
      <c r="C258" s="145" t="s">
        <v>1229</v>
      </c>
      <c r="D258" s="84"/>
      <c r="E258" s="84"/>
      <c r="F258" s="84"/>
      <c r="G258" s="105"/>
      <c r="H258" s="125">
        <f>SUM(H257)</f>
        <v>27000</v>
      </c>
      <c r="I258" s="63"/>
    </row>
    <row r="259" spans="3:9">
      <c r="C259" s="123" t="s">
        <v>1230</v>
      </c>
      <c r="D259" s="70" t="s">
        <v>1231</v>
      </c>
      <c r="E259" s="71"/>
      <c r="F259" s="71"/>
      <c r="G259" s="108"/>
      <c r="H259" s="125">
        <f>H253+H255+H258</f>
        <v>43363.5</v>
      </c>
      <c r="I259" s="63"/>
    </row>
    <row r="260" spans="3:9">
      <c r="C260" s="123" t="s">
        <v>1232</v>
      </c>
      <c r="D260" s="70" t="s">
        <v>1267</v>
      </c>
      <c r="E260" s="71"/>
      <c r="F260" s="72"/>
      <c r="G260" s="96">
        <f>$N$7</f>
        <v>0.1</v>
      </c>
      <c r="H260" s="125">
        <f>H259*G260</f>
        <v>4336.3500000000004</v>
      </c>
      <c r="I260" s="63"/>
    </row>
    <row r="261" spans="3:9" ht="15.75" thickBot="1">
      <c r="C261" s="131" t="s">
        <v>1233</v>
      </c>
      <c r="D261" s="132" t="s">
        <v>1234</v>
      </c>
      <c r="E261" s="133"/>
      <c r="F261" s="133"/>
      <c r="G261" s="134"/>
      <c r="H261" s="135">
        <f>SUM(H259:H260)</f>
        <v>47699.85</v>
      </c>
      <c r="I261" s="63"/>
    </row>
    <row r="262" spans="3:9" ht="15.75" thickTop="1">
      <c r="C262" s="90"/>
      <c r="D262" s="91"/>
      <c r="E262" s="91"/>
      <c r="F262" s="91"/>
      <c r="G262" s="91"/>
      <c r="H262" s="92"/>
      <c r="I262" s="63"/>
    </row>
    <row r="263" spans="3:9" ht="30" customHeight="1" thickBot="1">
      <c r="C263" s="516" t="s">
        <v>1258</v>
      </c>
      <c r="D263" s="516"/>
      <c r="E263" s="516"/>
      <c r="F263" s="516"/>
      <c r="G263" s="516"/>
      <c r="H263" s="516"/>
      <c r="I263" s="57">
        <f>ROUNDDOWN(H276,-2)</f>
        <v>67300</v>
      </c>
    </row>
    <row r="264" spans="3:9" ht="29.25" thickTop="1">
      <c r="C264" s="120" t="s">
        <v>1207</v>
      </c>
      <c r="D264" s="121" t="s">
        <v>1208</v>
      </c>
      <c r="E264" s="121" t="s">
        <v>1209</v>
      </c>
      <c r="F264" s="121" t="s">
        <v>1210</v>
      </c>
      <c r="G264" s="121" t="s">
        <v>1211</v>
      </c>
      <c r="H264" s="211" t="s">
        <v>1212</v>
      </c>
      <c r="I264" s="93"/>
    </row>
    <row r="265" spans="3:9">
      <c r="C265" s="142" t="s">
        <v>1213</v>
      </c>
      <c r="D265" s="60" t="s">
        <v>1214</v>
      </c>
      <c r="E265" s="74"/>
      <c r="F265" s="74"/>
      <c r="G265" s="74"/>
      <c r="H265" s="152"/>
      <c r="I265" s="63"/>
    </row>
    <row r="266" spans="3:9">
      <c r="C266" s="143">
        <v>1</v>
      </c>
      <c r="D266" s="60" t="s">
        <v>5</v>
      </c>
      <c r="E266" s="73" t="s">
        <v>6</v>
      </c>
      <c r="F266" s="94">
        <v>0.16750000000000001</v>
      </c>
      <c r="G266" s="65">
        <f>VLOOKUP(D266,upahbahan,3,FALSE)</f>
        <v>100000</v>
      </c>
      <c r="H266" s="125">
        <f>F266*G266</f>
        <v>16750</v>
      </c>
      <c r="I266" s="63"/>
    </row>
    <row r="267" spans="3:9">
      <c r="C267" s="143">
        <v>2</v>
      </c>
      <c r="D267" s="60" t="s">
        <v>19</v>
      </c>
      <c r="E267" s="73" t="s">
        <v>6</v>
      </c>
      <c r="F267" s="94">
        <v>1.6799999999999999E-2</v>
      </c>
      <c r="G267" s="65">
        <f>VLOOKUP(D267,upahbahan,3,FALSE)</f>
        <v>145000</v>
      </c>
      <c r="H267" s="125">
        <f>F267*G267</f>
        <v>2436</v>
      </c>
      <c r="I267" s="63"/>
    </row>
    <row r="268" spans="3:9">
      <c r="C268" s="145" t="s">
        <v>1220</v>
      </c>
      <c r="D268" s="84"/>
      <c r="E268" s="84"/>
      <c r="F268" s="84"/>
      <c r="G268" s="105"/>
      <c r="H268" s="125">
        <f>SUM(H266:H267)</f>
        <v>19186</v>
      </c>
      <c r="I268" s="63"/>
    </row>
    <row r="269" spans="3:9">
      <c r="C269" s="153" t="s">
        <v>1221</v>
      </c>
      <c r="D269" s="60" t="s">
        <v>1222</v>
      </c>
      <c r="E269" s="74"/>
      <c r="F269" s="74"/>
      <c r="G269" s="106"/>
      <c r="H269" s="152"/>
      <c r="I269" s="63"/>
    </row>
    <row r="270" spans="3:9">
      <c r="C270" s="145" t="s">
        <v>1226</v>
      </c>
      <c r="D270" s="84"/>
      <c r="E270" s="84"/>
      <c r="F270" s="84"/>
      <c r="G270" s="105"/>
      <c r="H270" s="130">
        <v>0</v>
      </c>
      <c r="I270" s="63"/>
    </row>
    <row r="271" spans="3:9">
      <c r="C271" s="142" t="s">
        <v>1227</v>
      </c>
      <c r="D271" s="60" t="s">
        <v>1228</v>
      </c>
      <c r="E271" s="77"/>
      <c r="F271" s="77"/>
      <c r="G271" s="107"/>
      <c r="H271" s="144"/>
      <c r="I271" s="63"/>
    </row>
    <row r="272" spans="3:9">
      <c r="C272" s="142">
        <v>1</v>
      </c>
      <c r="D272" s="60" t="s">
        <v>1096</v>
      </c>
      <c r="E272" s="79" t="s">
        <v>1091</v>
      </c>
      <c r="F272" s="85">
        <v>0.14000000000000001</v>
      </c>
      <c r="G272" s="65">
        <f>VLOOKUP(D272,upahbahan,3,FALSE)</f>
        <v>300000</v>
      </c>
      <c r="H272" s="125">
        <f>F272*G272</f>
        <v>42000.000000000007</v>
      </c>
      <c r="I272" s="63"/>
    </row>
    <row r="273" spans="3:9">
      <c r="C273" s="145" t="s">
        <v>1229</v>
      </c>
      <c r="D273" s="84"/>
      <c r="E273" s="84"/>
      <c r="F273" s="84"/>
      <c r="G273" s="105"/>
      <c r="H273" s="125">
        <f>SUM(H272)</f>
        <v>42000.000000000007</v>
      </c>
      <c r="I273" s="63"/>
    </row>
    <row r="274" spans="3:9">
      <c r="C274" s="123" t="s">
        <v>1230</v>
      </c>
      <c r="D274" s="70" t="s">
        <v>1231</v>
      </c>
      <c r="E274" s="71"/>
      <c r="F274" s="71"/>
      <c r="G274" s="108"/>
      <c r="H274" s="125">
        <f>H268+H270+H273</f>
        <v>61186.000000000007</v>
      </c>
      <c r="I274" s="63"/>
    </row>
    <row r="275" spans="3:9">
      <c r="C275" s="123" t="s">
        <v>1232</v>
      </c>
      <c r="D275" s="70" t="s">
        <v>1267</v>
      </c>
      <c r="E275" s="71"/>
      <c r="F275" s="72"/>
      <c r="G275" s="96">
        <f>$N$7</f>
        <v>0.1</v>
      </c>
      <c r="H275" s="125">
        <f>H274*G275</f>
        <v>6118.6000000000013</v>
      </c>
      <c r="I275" s="63"/>
    </row>
    <row r="276" spans="3:9" ht="15.75" thickBot="1">
      <c r="C276" s="131" t="s">
        <v>1233</v>
      </c>
      <c r="D276" s="132" t="s">
        <v>1234</v>
      </c>
      <c r="E276" s="133"/>
      <c r="F276" s="133"/>
      <c r="G276" s="134"/>
      <c r="H276" s="135">
        <f>SUM(H274:H275)</f>
        <v>67304.600000000006</v>
      </c>
      <c r="I276" s="63"/>
    </row>
    <row r="277" spans="3:9" ht="15.75" thickTop="1">
      <c r="C277" s="90"/>
      <c r="D277" s="91"/>
      <c r="E277" s="91"/>
      <c r="F277" s="91"/>
      <c r="G277" s="91"/>
      <c r="H277" s="92"/>
      <c r="I277" s="63"/>
    </row>
    <row r="278" spans="3:9" ht="15.75" thickBot="1">
      <c r="C278" s="516" t="s">
        <v>1259</v>
      </c>
      <c r="D278" s="516"/>
      <c r="E278" s="516"/>
      <c r="F278" s="516"/>
      <c r="G278" s="516"/>
      <c r="H278" s="516"/>
      <c r="I278" s="57">
        <f>ROUNDDOWN(H291,-2)</f>
        <v>95500</v>
      </c>
    </row>
    <row r="279" spans="3:9" ht="29.25" thickTop="1">
      <c r="C279" s="120" t="s">
        <v>1207</v>
      </c>
      <c r="D279" s="121" t="s">
        <v>1208</v>
      </c>
      <c r="E279" s="121" t="s">
        <v>1209</v>
      </c>
      <c r="F279" s="121" t="s">
        <v>1210</v>
      </c>
      <c r="G279" s="121" t="s">
        <v>1211</v>
      </c>
      <c r="H279" s="211" t="s">
        <v>1212</v>
      </c>
      <c r="I279" s="93"/>
    </row>
    <row r="280" spans="3:9">
      <c r="C280" s="142" t="s">
        <v>1213</v>
      </c>
      <c r="D280" s="60" t="s">
        <v>1214</v>
      </c>
      <c r="E280" s="74"/>
      <c r="F280" s="74"/>
      <c r="G280" s="74"/>
      <c r="H280" s="152"/>
      <c r="I280" s="63"/>
    </row>
    <row r="281" spans="3:9">
      <c r="C281" s="143">
        <v>1</v>
      </c>
      <c r="D281" s="60" t="s">
        <v>5</v>
      </c>
      <c r="E281" s="73" t="s">
        <v>6</v>
      </c>
      <c r="F281" s="94">
        <v>0.1825</v>
      </c>
      <c r="G281" s="65">
        <f>VLOOKUP(D281,upahbahan,3,FALSE)</f>
        <v>100000</v>
      </c>
      <c r="H281" s="125">
        <f>F281*G281</f>
        <v>18250</v>
      </c>
      <c r="I281" s="63"/>
    </row>
    <row r="282" spans="3:9">
      <c r="C282" s="143">
        <v>2</v>
      </c>
      <c r="D282" s="60" t="s">
        <v>19</v>
      </c>
      <c r="E282" s="73" t="s">
        <v>6</v>
      </c>
      <c r="F282" s="94">
        <v>1.8200000000000001E-2</v>
      </c>
      <c r="G282" s="65">
        <f>VLOOKUP(D282,upahbahan,3,FALSE)</f>
        <v>145000</v>
      </c>
      <c r="H282" s="125">
        <f>F282*G282</f>
        <v>2639</v>
      </c>
      <c r="I282" s="63"/>
    </row>
    <row r="283" spans="3:9">
      <c r="C283" s="145" t="s">
        <v>1220</v>
      </c>
      <c r="D283" s="84"/>
      <c r="E283" s="84"/>
      <c r="F283" s="84"/>
      <c r="G283" s="105"/>
      <c r="H283" s="125">
        <f>SUM(H281:H282)</f>
        <v>20889</v>
      </c>
      <c r="I283" s="63"/>
    </row>
    <row r="284" spans="3:9">
      <c r="C284" s="153" t="s">
        <v>1221</v>
      </c>
      <c r="D284" s="60" t="s">
        <v>1222</v>
      </c>
      <c r="E284" s="74"/>
      <c r="F284" s="74"/>
      <c r="G284" s="106"/>
      <c r="H284" s="152"/>
      <c r="I284" s="63"/>
    </row>
    <row r="285" spans="3:9">
      <c r="C285" s="145" t="s">
        <v>1226</v>
      </c>
      <c r="D285" s="84"/>
      <c r="E285" s="84"/>
      <c r="F285" s="84"/>
      <c r="G285" s="105"/>
      <c r="H285" s="130">
        <v>0</v>
      </c>
      <c r="I285" s="63"/>
    </row>
    <row r="286" spans="3:9">
      <c r="C286" s="142" t="s">
        <v>1227</v>
      </c>
      <c r="D286" s="60" t="s">
        <v>1228</v>
      </c>
      <c r="E286" s="77"/>
      <c r="F286" s="77"/>
      <c r="G286" s="107"/>
      <c r="H286" s="144"/>
      <c r="I286" s="63"/>
    </row>
    <row r="287" spans="3:9">
      <c r="C287" s="142">
        <v>1</v>
      </c>
      <c r="D287" s="60" t="s">
        <v>1096</v>
      </c>
      <c r="E287" s="79" t="s">
        <v>1091</v>
      </c>
      <c r="F287" s="85">
        <v>0.22</v>
      </c>
      <c r="G287" s="65">
        <f>VLOOKUP(D287,upahbahan,3,FALSE)</f>
        <v>300000</v>
      </c>
      <c r="H287" s="125">
        <f>F287*G287</f>
        <v>66000</v>
      </c>
      <c r="I287" s="63"/>
    </row>
    <row r="288" spans="3:9">
      <c r="C288" s="145" t="s">
        <v>1229</v>
      </c>
      <c r="D288" s="84"/>
      <c r="E288" s="84"/>
      <c r="F288" s="84"/>
      <c r="G288" s="105"/>
      <c r="H288" s="125">
        <f>SUM(H287)</f>
        <v>66000</v>
      </c>
      <c r="I288" s="63"/>
    </row>
    <row r="289" spans="3:9">
      <c r="C289" s="123" t="s">
        <v>1230</v>
      </c>
      <c r="D289" s="70" t="s">
        <v>1231</v>
      </c>
      <c r="E289" s="71"/>
      <c r="F289" s="71"/>
      <c r="G289" s="108"/>
      <c r="H289" s="125">
        <f>H283+H285+H288</f>
        <v>86889</v>
      </c>
      <c r="I289" s="63"/>
    </row>
    <row r="290" spans="3:9">
      <c r="C290" s="123" t="s">
        <v>1232</v>
      </c>
      <c r="D290" s="70" t="s">
        <v>1267</v>
      </c>
      <c r="E290" s="71"/>
      <c r="F290" s="72"/>
      <c r="G290" s="96">
        <f>$N$7</f>
        <v>0.1</v>
      </c>
      <c r="H290" s="125">
        <f>H289*G290</f>
        <v>8688.9</v>
      </c>
      <c r="I290" s="63"/>
    </row>
    <row r="291" spans="3:9" ht="15.75" thickBot="1">
      <c r="C291" s="131" t="s">
        <v>1233</v>
      </c>
      <c r="D291" s="132" t="s">
        <v>1234</v>
      </c>
      <c r="E291" s="133"/>
      <c r="F291" s="133"/>
      <c r="G291" s="134"/>
      <c r="H291" s="135">
        <f>SUM(H289:H290)</f>
        <v>95577.9</v>
      </c>
      <c r="I291" s="63"/>
    </row>
    <row r="292" spans="3:9" ht="15.75" thickTop="1">
      <c r="C292" s="90"/>
      <c r="D292" s="91"/>
      <c r="E292" s="91"/>
      <c r="F292" s="91"/>
      <c r="G292" s="91"/>
      <c r="H292" s="92"/>
      <c r="I292" s="63"/>
    </row>
    <row r="293" spans="3:9" ht="27.6" customHeight="1" thickBot="1">
      <c r="C293" s="515" t="s">
        <v>1270</v>
      </c>
      <c r="D293" s="515"/>
      <c r="E293" s="515"/>
      <c r="F293" s="515"/>
      <c r="G293" s="515"/>
      <c r="H293" s="515"/>
      <c r="I293" s="57">
        <f>ROUNDDOWN(H306,-2)</f>
        <v>148400</v>
      </c>
    </row>
    <row r="294" spans="3:9" ht="29.25" thickTop="1">
      <c r="C294" s="120" t="s">
        <v>1207</v>
      </c>
      <c r="D294" s="121" t="s">
        <v>1208</v>
      </c>
      <c r="E294" s="121" t="s">
        <v>1209</v>
      </c>
      <c r="F294" s="121" t="s">
        <v>1210</v>
      </c>
      <c r="G294" s="121" t="s">
        <v>1211</v>
      </c>
      <c r="H294" s="211" t="s">
        <v>1212</v>
      </c>
      <c r="I294" s="93"/>
    </row>
    <row r="295" spans="3:9">
      <c r="C295" s="142" t="s">
        <v>1213</v>
      </c>
      <c r="D295" s="60" t="s">
        <v>1214</v>
      </c>
      <c r="E295" s="74"/>
      <c r="F295" s="74"/>
      <c r="G295" s="74"/>
      <c r="H295" s="152"/>
      <c r="I295" s="63"/>
    </row>
    <row r="296" spans="3:9">
      <c r="C296" s="143">
        <v>1</v>
      </c>
      <c r="D296" s="60" t="s">
        <v>5</v>
      </c>
      <c r="E296" s="73" t="s">
        <v>6</v>
      </c>
      <c r="F296" s="94">
        <v>0.26129999999999998</v>
      </c>
      <c r="G296" s="65">
        <f>VLOOKUP(D296,upahbahan,3,FALSE)</f>
        <v>100000</v>
      </c>
      <c r="H296" s="125">
        <f>F296*G296</f>
        <v>26129.999999999996</v>
      </c>
      <c r="I296" s="63"/>
    </row>
    <row r="297" spans="3:9">
      <c r="C297" s="143">
        <v>2</v>
      </c>
      <c r="D297" s="60" t="s">
        <v>19</v>
      </c>
      <c r="E297" s="73" t="s">
        <v>6</v>
      </c>
      <c r="F297" s="94">
        <v>2.6100000000000002E-2</v>
      </c>
      <c r="G297" s="65">
        <f>VLOOKUP(D297,upahbahan,3,FALSE)</f>
        <v>145000</v>
      </c>
      <c r="H297" s="125">
        <f>F297*G297</f>
        <v>3784.5000000000005</v>
      </c>
      <c r="I297" s="63"/>
    </row>
    <row r="298" spans="3:9">
      <c r="C298" s="145" t="s">
        <v>1220</v>
      </c>
      <c r="D298" s="84"/>
      <c r="E298" s="84"/>
      <c r="F298" s="84"/>
      <c r="G298" s="105"/>
      <c r="H298" s="125">
        <f>SUM(H296:H297)</f>
        <v>29914.499999999996</v>
      </c>
      <c r="I298" s="63"/>
    </row>
    <row r="299" spans="3:9">
      <c r="C299" s="153" t="s">
        <v>1221</v>
      </c>
      <c r="D299" s="60" t="s">
        <v>1222</v>
      </c>
      <c r="E299" s="74"/>
      <c r="F299" s="74"/>
      <c r="G299" s="106"/>
      <c r="H299" s="152"/>
      <c r="I299" s="63"/>
    </row>
    <row r="300" spans="3:9">
      <c r="C300" s="145" t="s">
        <v>1226</v>
      </c>
      <c r="D300" s="84"/>
      <c r="E300" s="84"/>
      <c r="F300" s="84"/>
      <c r="G300" s="105"/>
      <c r="H300" s="130">
        <v>0</v>
      </c>
      <c r="I300" s="63"/>
    </row>
    <row r="301" spans="3:9">
      <c r="C301" s="142" t="s">
        <v>1227</v>
      </c>
      <c r="D301" s="60" t="s">
        <v>1228</v>
      </c>
      <c r="E301" s="77"/>
      <c r="F301" s="77"/>
      <c r="G301" s="107"/>
      <c r="H301" s="144"/>
      <c r="I301" s="63"/>
    </row>
    <row r="302" spans="3:9">
      <c r="C302" s="142">
        <v>1</v>
      </c>
      <c r="D302" s="60" t="s">
        <v>1096</v>
      </c>
      <c r="E302" s="79" t="s">
        <v>1091</v>
      </c>
      <c r="F302" s="85">
        <v>0.35</v>
      </c>
      <c r="G302" s="65">
        <f>VLOOKUP(D302,upahbahan,3,FALSE)</f>
        <v>300000</v>
      </c>
      <c r="H302" s="125">
        <f>F302*G302</f>
        <v>105000</v>
      </c>
      <c r="I302" s="63"/>
    </row>
    <row r="303" spans="3:9">
      <c r="C303" s="145" t="s">
        <v>1229</v>
      </c>
      <c r="D303" s="84"/>
      <c r="E303" s="84"/>
      <c r="F303" s="84"/>
      <c r="G303" s="105"/>
      <c r="H303" s="125">
        <f>SUM(H302)</f>
        <v>105000</v>
      </c>
      <c r="I303" s="63"/>
    </row>
    <row r="304" spans="3:9">
      <c r="C304" s="123" t="s">
        <v>1230</v>
      </c>
      <c r="D304" s="70" t="s">
        <v>1231</v>
      </c>
      <c r="E304" s="71"/>
      <c r="F304" s="71"/>
      <c r="G304" s="108"/>
      <c r="H304" s="125">
        <f>H298+H300+H303</f>
        <v>134914.5</v>
      </c>
      <c r="I304" s="63"/>
    </row>
    <row r="305" spans="3:9">
      <c r="C305" s="123" t="s">
        <v>1232</v>
      </c>
      <c r="D305" s="70" t="s">
        <v>1267</v>
      </c>
      <c r="E305" s="71"/>
      <c r="F305" s="72"/>
      <c r="G305" s="96">
        <f>$N$7</f>
        <v>0.1</v>
      </c>
      <c r="H305" s="125">
        <f>H304*G305</f>
        <v>13491.45</v>
      </c>
      <c r="I305" s="63"/>
    </row>
    <row r="306" spans="3:9" ht="15.75" thickBot="1">
      <c r="C306" s="131" t="s">
        <v>1233</v>
      </c>
      <c r="D306" s="132" t="s">
        <v>1234</v>
      </c>
      <c r="E306" s="133"/>
      <c r="F306" s="133"/>
      <c r="G306" s="134"/>
      <c r="H306" s="135">
        <f>SUM(H304:H305)</f>
        <v>148405.95000000001</v>
      </c>
      <c r="I306" s="63"/>
    </row>
    <row r="307" spans="3:9" ht="15.75" thickTop="1">
      <c r="C307" s="90"/>
      <c r="D307" s="91"/>
      <c r="E307" s="91"/>
      <c r="F307" s="91"/>
      <c r="G307" s="91"/>
      <c r="H307" s="92"/>
      <c r="I307" s="63"/>
    </row>
    <row r="308" spans="3:9" ht="30.6" customHeight="1" thickBot="1">
      <c r="C308" s="516" t="s">
        <v>1260</v>
      </c>
      <c r="D308" s="516"/>
      <c r="E308" s="516"/>
      <c r="F308" s="516"/>
      <c r="G308" s="516"/>
      <c r="H308" s="516"/>
      <c r="I308" s="57">
        <f>ROUNDDOWN(H321,-2)</f>
        <v>216100</v>
      </c>
    </row>
    <row r="309" spans="3:9" ht="29.25" thickTop="1">
      <c r="C309" s="120" t="s">
        <v>1207</v>
      </c>
      <c r="D309" s="121" t="s">
        <v>1208</v>
      </c>
      <c r="E309" s="121" t="s">
        <v>1209</v>
      </c>
      <c r="F309" s="121" t="s">
        <v>1210</v>
      </c>
      <c r="G309" s="121" t="s">
        <v>1211</v>
      </c>
      <c r="H309" s="211" t="s">
        <v>1212</v>
      </c>
      <c r="I309" s="93"/>
    </row>
    <row r="310" spans="3:9">
      <c r="C310" s="142" t="s">
        <v>1213</v>
      </c>
      <c r="D310" s="60" t="s">
        <v>1214</v>
      </c>
      <c r="E310" s="74"/>
      <c r="F310" s="74"/>
      <c r="G310" s="74"/>
      <c r="H310" s="152"/>
      <c r="I310" s="63"/>
    </row>
    <row r="311" spans="3:9">
      <c r="C311" s="143">
        <v>1</v>
      </c>
      <c r="D311" s="60" t="s">
        <v>5</v>
      </c>
      <c r="E311" s="73" t="s">
        <v>6</v>
      </c>
      <c r="F311" s="94">
        <v>0.34329999999999999</v>
      </c>
      <c r="G311" s="65">
        <f>VLOOKUP(D311,upahbahan,3,FALSE)</f>
        <v>100000</v>
      </c>
      <c r="H311" s="125">
        <f>F311*G311</f>
        <v>34330</v>
      </c>
      <c r="I311" s="63"/>
    </row>
    <row r="312" spans="3:9">
      <c r="C312" s="143">
        <v>2</v>
      </c>
      <c r="D312" s="60" t="s">
        <v>19</v>
      </c>
      <c r="E312" s="73" t="s">
        <v>6</v>
      </c>
      <c r="F312" s="94">
        <v>3.4299999999999997E-2</v>
      </c>
      <c r="G312" s="65">
        <f>VLOOKUP(D312,upahbahan,3,FALSE)</f>
        <v>145000</v>
      </c>
      <c r="H312" s="125">
        <f>F312*G312</f>
        <v>4973.5</v>
      </c>
      <c r="I312" s="63"/>
    </row>
    <row r="313" spans="3:9">
      <c r="C313" s="145" t="s">
        <v>1220</v>
      </c>
      <c r="D313" s="84"/>
      <c r="E313" s="84"/>
      <c r="F313" s="84"/>
      <c r="G313" s="84"/>
      <c r="H313" s="125">
        <f>SUM(H311:H312)</f>
        <v>39303.5</v>
      </c>
      <c r="I313" s="63"/>
    </row>
    <row r="314" spans="3:9">
      <c r="C314" s="153" t="s">
        <v>1221</v>
      </c>
      <c r="D314" s="60" t="s">
        <v>1222</v>
      </c>
      <c r="E314" s="74"/>
      <c r="F314" s="74"/>
      <c r="G314" s="74"/>
      <c r="H314" s="152"/>
      <c r="I314" s="63"/>
    </row>
    <row r="315" spans="3:9">
      <c r="C315" s="145" t="s">
        <v>1226</v>
      </c>
      <c r="D315" s="84"/>
      <c r="E315" s="84"/>
      <c r="F315" s="84"/>
      <c r="G315" s="84"/>
      <c r="H315" s="130">
        <v>0</v>
      </c>
      <c r="I315" s="63"/>
    </row>
    <row r="316" spans="3:9">
      <c r="C316" s="142" t="s">
        <v>1227</v>
      </c>
      <c r="D316" s="60" t="s">
        <v>1228</v>
      </c>
      <c r="E316" s="77"/>
      <c r="F316" s="77"/>
      <c r="G316" s="77"/>
      <c r="H316" s="144"/>
      <c r="I316" s="63"/>
    </row>
    <row r="317" spans="3:9">
      <c r="C317" s="142">
        <v>1</v>
      </c>
      <c r="D317" s="60" t="s">
        <v>1096</v>
      </c>
      <c r="E317" s="79" t="s">
        <v>1091</v>
      </c>
      <c r="F317" s="85">
        <v>0.52400000000000002</v>
      </c>
      <c r="G317" s="65">
        <f>VLOOKUP(D317,upahbahan,3,FALSE)</f>
        <v>300000</v>
      </c>
      <c r="H317" s="125">
        <f>F317*G317</f>
        <v>157200</v>
      </c>
      <c r="I317" s="63"/>
    </row>
    <row r="318" spans="3:9">
      <c r="C318" s="145" t="s">
        <v>1229</v>
      </c>
      <c r="D318" s="84"/>
      <c r="E318" s="84"/>
      <c r="F318" s="84"/>
      <c r="G318" s="84"/>
      <c r="H318" s="125">
        <f>SUM(H317)</f>
        <v>157200</v>
      </c>
      <c r="I318" s="63"/>
    </row>
    <row r="319" spans="3:9">
      <c r="C319" s="123" t="s">
        <v>1230</v>
      </c>
      <c r="D319" s="70" t="s">
        <v>1231</v>
      </c>
      <c r="E319" s="71"/>
      <c r="F319" s="71"/>
      <c r="G319" s="72"/>
      <c r="H319" s="125">
        <f>H313+H315+H318</f>
        <v>196503.5</v>
      </c>
      <c r="I319" s="63"/>
    </row>
    <row r="320" spans="3:9">
      <c r="C320" s="123" t="s">
        <v>1232</v>
      </c>
      <c r="D320" s="70" t="s">
        <v>1267</v>
      </c>
      <c r="E320" s="71"/>
      <c r="F320" s="72"/>
      <c r="G320" s="96">
        <f>$N$7</f>
        <v>0.1</v>
      </c>
      <c r="H320" s="125">
        <f>H319*G320</f>
        <v>19650.350000000002</v>
      </c>
      <c r="I320" s="63"/>
    </row>
    <row r="321" spans="3:9" ht="15.75" thickBot="1">
      <c r="C321" s="131" t="s">
        <v>1233</v>
      </c>
      <c r="D321" s="132" t="s">
        <v>1234</v>
      </c>
      <c r="E321" s="133"/>
      <c r="F321" s="133"/>
      <c r="G321" s="156"/>
      <c r="H321" s="135">
        <f>SUM(H319:H320)</f>
        <v>216153.85</v>
      </c>
      <c r="I321" s="63"/>
    </row>
    <row r="322" spans="3:9" ht="15.75" thickTop="1">
      <c r="C322" s="90"/>
      <c r="D322" s="91"/>
      <c r="E322" s="91"/>
      <c r="F322" s="91"/>
      <c r="G322" s="91"/>
      <c r="H322" s="92"/>
      <c r="I322" s="63"/>
    </row>
    <row r="323" spans="3:9" ht="30" customHeight="1" thickBot="1">
      <c r="C323" s="516" t="s">
        <v>1261</v>
      </c>
      <c r="D323" s="516"/>
      <c r="E323" s="516"/>
      <c r="F323" s="516"/>
      <c r="G323" s="516"/>
      <c r="H323" s="516"/>
      <c r="I323" s="57">
        <f>ROUNDDOWN(H336,-2)</f>
        <v>48600</v>
      </c>
    </row>
    <row r="324" spans="3:9" ht="29.25" thickTop="1">
      <c r="C324" s="120" t="s">
        <v>1207</v>
      </c>
      <c r="D324" s="121" t="s">
        <v>1208</v>
      </c>
      <c r="E324" s="121" t="s">
        <v>1209</v>
      </c>
      <c r="F324" s="121" t="s">
        <v>1210</v>
      </c>
      <c r="G324" s="121" t="s">
        <v>1211</v>
      </c>
      <c r="H324" s="211" t="s">
        <v>1212</v>
      </c>
      <c r="I324" s="93"/>
    </row>
    <row r="325" spans="3:9">
      <c r="C325" s="142" t="s">
        <v>1213</v>
      </c>
      <c r="D325" s="60" t="s">
        <v>1214</v>
      </c>
      <c r="E325" s="74"/>
      <c r="F325" s="74"/>
      <c r="G325" s="74"/>
      <c r="H325" s="152"/>
      <c r="I325" s="63"/>
    </row>
    <row r="326" spans="3:9">
      <c r="C326" s="143">
        <v>1</v>
      </c>
      <c r="D326" s="60" t="s">
        <v>5</v>
      </c>
      <c r="E326" s="73" t="s">
        <v>6</v>
      </c>
      <c r="F326" s="94">
        <v>0.1507</v>
      </c>
      <c r="G326" s="65">
        <f>VLOOKUP(D326,upahbahan,3,FALSE)</f>
        <v>100000</v>
      </c>
      <c r="H326" s="125">
        <f>F326*G326</f>
        <v>15070</v>
      </c>
      <c r="I326" s="63"/>
    </row>
    <row r="327" spans="3:9">
      <c r="C327" s="143">
        <v>2</v>
      </c>
      <c r="D327" s="60" t="s">
        <v>19</v>
      </c>
      <c r="E327" s="73" t="s">
        <v>6</v>
      </c>
      <c r="F327" s="94">
        <v>1.5100000000000001E-2</v>
      </c>
      <c r="G327" s="65">
        <f>VLOOKUP(D327,upahbahan,3,FALSE)</f>
        <v>145000</v>
      </c>
      <c r="H327" s="125">
        <f>F327*G327</f>
        <v>2189.5</v>
      </c>
      <c r="I327" s="63"/>
    </row>
    <row r="328" spans="3:9">
      <c r="C328" s="145" t="s">
        <v>1220</v>
      </c>
      <c r="D328" s="84"/>
      <c r="E328" s="84"/>
      <c r="F328" s="84"/>
      <c r="G328" s="84"/>
      <c r="H328" s="125">
        <f>SUM(H326:H327)</f>
        <v>17259.5</v>
      </c>
      <c r="I328" s="63"/>
    </row>
    <row r="329" spans="3:9">
      <c r="C329" s="153" t="s">
        <v>1221</v>
      </c>
      <c r="D329" s="60" t="s">
        <v>1222</v>
      </c>
      <c r="E329" s="74"/>
      <c r="F329" s="74"/>
      <c r="G329" s="74"/>
      <c r="H329" s="152"/>
      <c r="I329" s="63"/>
    </row>
    <row r="330" spans="3:9">
      <c r="C330" s="145" t="s">
        <v>1226</v>
      </c>
      <c r="D330" s="84"/>
      <c r="E330" s="84"/>
      <c r="F330" s="84"/>
      <c r="G330" s="84"/>
      <c r="H330" s="130">
        <v>0</v>
      </c>
      <c r="I330" s="63"/>
    </row>
    <row r="331" spans="3:9">
      <c r="C331" s="142" t="s">
        <v>1227</v>
      </c>
      <c r="D331" s="60" t="s">
        <v>1228</v>
      </c>
      <c r="E331" s="77"/>
      <c r="F331" s="77"/>
      <c r="G331" s="77"/>
      <c r="H331" s="144"/>
      <c r="I331" s="63"/>
    </row>
    <row r="332" spans="3:9">
      <c r="C332" s="142">
        <v>1</v>
      </c>
      <c r="D332" s="60" t="s">
        <v>1096</v>
      </c>
      <c r="E332" s="79" t="s">
        <v>1091</v>
      </c>
      <c r="F332" s="85">
        <v>0.09</v>
      </c>
      <c r="G332" s="65">
        <f>VLOOKUP(D332,upahbahan,3,FALSE)</f>
        <v>300000</v>
      </c>
      <c r="H332" s="125">
        <f>F332*G332</f>
        <v>27000</v>
      </c>
      <c r="I332" s="63"/>
    </row>
    <row r="333" spans="3:9">
      <c r="C333" s="145" t="s">
        <v>1229</v>
      </c>
      <c r="D333" s="84"/>
      <c r="E333" s="84"/>
      <c r="F333" s="84"/>
      <c r="G333" s="84"/>
      <c r="H333" s="125">
        <f>SUM(H332)</f>
        <v>27000</v>
      </c>
      <c r="I333" s="63"/>
    </row>
    <row r="334" spans="3:9">
      <c r="C334" s="123" t="s">
        <v>1230</v>
      </c>
      <c r="D334" s="70" t="s">
        <v>1231</v>
      </c>
      <c r="E334" s="71"/>
      <c r="F334" s="71"/>
      <c r="G334" s="72"/>
      <c r="H334" s="125">
        <f>H328+H330+H333</f>
        <v>44259.5</v>
      </c>
      <c r="I334" s="63"/>
    </row>
    <row r="335" spans="3:9">
      <c r="C335" s="123" t="s">
        <v>1232</v>
      </c>
      <c r="D335" s="70" t="s">
        <v>1267</v>
      </c>
      <c r="E335" s="71"/>
      <c r="F335" s="72"/>
      <c r="G335" s="96">
        <f>$N$7</f>
        <v>0.1</v>
      </c>
      <c r="H335" s="125">
        <f>H334*G335</f>
        <v>4425.95</v>
      </c>
      <c r="I335" s="63"/>
    </row>
    <row r="336" spans="3:9" ht="15.75" thickBot="1">
      <c r="C336" s="131" t="s">
        <v>1233</v>
      </c>
      <c r="D336" s="132" t="s">
        <v>1234</v>
      </c>
      <c r="E336" s="133"/>
      <c r="F336" s="133"/>
      <c r="G336" s="156"/>
      <c r="H336" s="135">
        <f>SUM(H334:H335)</f>
        <v>48685.45</v>
      </c>
      <c r="I336" s="63"/>
    </row>
    <row r="337" spans="3:9" ht="15.75" thickTop="1">
      <c r="C337" s="90"/>
      <c r="D337" s="91"/>
      <c r="E337" s="91"/>
      <c r="F337" s="91"/>
      <c r="G337" s="91"/>
      <c r="H337" s="92"/>
      <c r="I337" s="63"/>
    </row>
    <row r="338" spans="3:9" ht="28.15" customHeight="1" thickBot="1">
      <c r="C338" s="516" t="s">
        <v>1271</v>
      </c>
      <c r="D338" s="516"/>
      <c r="E338" s="516"/>
      <c r="F338" s="516"/>
      <c r="G338" s="516"/>
      <c r="H338" s="516"/>
      <c r="I338" s="57">
        <f>ROUNDDOWN(H351,-2)</f>
        <v>77600</v>
      </c>
    </row>
    <row r="339" spans="3:9" ht="29.25" thickTop="1">
      <c r="C339" s="120" t="s">
        <v>1207</v>
      </c>
      <c r="D339" s="121" t="s">
        <v>1208</v>
      </c>
      <c r="E339" s="121" t="s">
        <v>1209</v>
      </c>
      <c r="F339" s="121" t="s">
        <v>1210</v>
      </c>
      <c r="G339" s="121" t="s">
        <v>1211</v>
      </c>
      <c r="H339" s="211" t="s">
        <v>1212</v>
      </c>
      <c r="I339" s="58"/>
    </row>
    <row r="340" spans="3:9">
      <c r="C340" s="142" t="s">
        <v>1213</v>
      </c>
      <c r="D340" s="60" t="s">
        <v>1214</v>
      </c>
      <c r="E340" s="74"/>
      <c r="F340" s="74"/>
      <c r="G340" s="74"/>
      <c r="H340" s="152"/>
      <c r="I340" s="63"/>
    </row>
    <row r="341" spans="3:9">
      <c r="C341" s="143">
        <v>1</v>
      </c>
      <c r="D341" s="60" t="s">
        <v>5</v>
      </c>
      <c r="E341" s="73" t="s">
        <v>6</v>
      </c>
      <c r="F341" s="75">
        <v>0.2495</v>
      </c>
      <c r="G341" s="65">
        <f>VLOOKUP(D341,upahbahan,3,FALSE)</f>
        <v>100000</v>
      </c>
      <c r="H341" s="125">
        <f>F341*G341</f>
        <v>24950</v>
      </c>
      <c r="I341" s="63"/>
    </row>
    <row r="342" spans="3:9">
      <c r="C342" s="143">
        <v>2</v>
      </c>
      <c r="D342" s="60" t="s">
        <v>19</v>
      </c>
      <c r="E342" s="73" t="s">
        <v>6</v>
      </c>
      <c r="F342" s="75">
        <v>2.5000000000000001E-2</v>
      </c>
      <c r="G342" s="65">
        <f>VLOOKUP(D342,upahbahan,3,FALSE)</f>
        <v>145000</v>
      </c>
      <c r="H342" s="125">
        <f>F342*G342</f>
        <v>3625</v>
      </c>
      <c r="I342" s="63"/>
    </row>
    <row r="343" spans="3:9">
      <c r="C343" s="145" t="s">
        <v>1220</v>
      </c>
      <c r="D343" s="84"/>
      <c r="E343" s="84"/>
      <c r="F343" s="84"/>
      <c r="G343" s="84"/>
      <c r="H343" s="125">
        <f>SUM(H341:H342)</f>
        <v>28575</v>
      </c>
      <c r="I343" s="63"/>
    </row>
    <row r="344" spans="3:9">
      <c r="C344" s="153" t="s">
        <v>1221</v>
      </c>
      <c r="D344" s="60" t="s">
        <v>1222</v>
      </c>
      <c r="E344" s="74"/>
      <c r="F344" s="74"/>
      <c r="G344" s="74"/>
      <c r="H344" s="152"/>
      <c r="I344" s="63"/>
    </row>
    <row r="345" spans="3:9">
      <c r="C345" s="145" t="s">
        <v>1226</v>
      </c>
      <c r="D345" s="84"/>
      <c r="E345" s="84"/>
      <c r="F345" s="84"/>
      <c r="G345" s="84"/>
      <c r="H345" s="130">
        <v>0</v>
      </c>
      <c r="I345" s="63"/>
    </row>
    <row r="346" spans="3:9">
      <c r="C346" s="142" t="s">
        <v>1227</v>
      </c>
      <c r="D346" s="60" t="s">
        <v>1228</v>
      </c>
      <c r="E346" s="77"/>
      <c r="F346" s="77"/>
      <c r="G346" s="77"/>
      <c r="H346" s="144"/>
      <c r="I346" s="63"/>
    </row>
    <row r="347" spans="3:9">
      <c r="C347" s="142">
        <v>1</v>
      </c>
      <c r="D347" s="60" t="s">
        <v>1096</v>
      </c>
      <c r="E347" s="79" t="s">
        <v>1091</v>
      </c>
      <c r="F347" s="85">
        <v>0.14000000000000001</v>
      </c>
      <c r="G347" s="65">
        <f>VLOOKUP(D347,upahbahan,3,FALSE)</f>
        <v>300000</v>
      </c>
      <c r="H347" s="125">
        <f>F347*G347</f>
        <v>42000.000000000007</v>
      </c>
      <c r="I347" s="63"/>
    </row>
    <row r="348" spans="3:9">
      <c r="C348" s="145" t="s">
        <v>1229</v>
      </c>
      <c r="D348" s="84"/>
      <c r="E348" s="84"/>
      <c r="F348" s="84"/>
      <c r="G348" s="84"/>
      <c r="H348" s="125">
        <f>SUM(H347)</f>
        <v>42000.000000000007</v>
      </c>
      <c r="I348" s="63"/>
    </row>
    <row r="349" spans="3:9">
      <c r="C349" s="123" t="s">
        <v>1230</v>
      </c>
      <c r="D349" s="70" t="s">
        <v>1231</v>
      </c>
      <c r="E349" s="71"/>
      <c r="F349" s="71"/>
      <c r="G349" s="72"/>
      <c r="H349" s="125">
        <f>H343+H345+H348</f>
        <v>70575</v>
      </c>
      <c r="I349" s="63"/>
    </row>
    <row r="350" spans="3:9">
      <c r="C350" s="123" t="s">
        <v>1232</v>
      </c>
      <c r="D350" s="70" t="s">
        <v>1267</v>
      </c>
      <c r="E350" s="71"/>
      <c r="F350" s="72"/>
      <c r="G350" s="96">
        <f>$N$7</f>
        <v>0.1</v>
      </c>
      <c r="H350" s="125">
        <f>H349*G350</f>
        <v>7057.5</v>
      </c>
      <c r="I350" s="63"/>
    </row>
    <row r="351" spans="3:9" ht="15.75" thickBot="1">
      <c r="C351" s="131" t="s">
        <v>1233</v>
      </c>
      <c r="D351" s="132" t="s">
        <v>1234</v>
      </c>
      <c r="E351" s="133"/>
      <c r="F351" s="133"/>
      <c r="G351" s="156"/>
      <c r="H351" s="135">
        <f>SUM(H349:H350)</f>
        <v>77632.5</v>
      </c>
      <c r="I351" s="63"/>
    </row>
    <row r="352" spans="3:9" ht="15.75" thickTop="1">
      <c r="C352" s="90"/>
      <c r="D352" s="91"/>
      <c r="E352" s="91"/>
      <c r="F352" s="91"/>
      <c r="G352" s="91"/>
      <c r="H352" s="92"/>
      <c r="I352" s="63"/>
    </row>
    <row r="353" spans="3:9" ht="15.75" thickBot="1">
      <c r="C353" s="136" t="s">
        <v>1262</v>
      </c>
      <c r="D353" s="157"/>
      <c r="E353" s="119"/>
      <c r="F353" s="119"/>
      <c r="G353" s="119"/>
      <c r="H353" s="210"/>
      <c r="I353" s="57">
        <f>ROUNDDOWN(H372,-2)</f>
        <v>3277000</v>
      </c>
    </row>
    <row r="354" spans="3:9" ht="29.25" thickTop="1">
      <c r="C354" s="120" t="s">
        <v>1207</v>
      </c>
      <c r="D354" s="121" t="s">
        <v>1208</v>
      </c>
      <c r="E354" s="121" t="s">
        <v>1209</v>
      </c>
      <c r="F354" s="121" t="s">
        <v>1210</v>
      </c>
      <c r="G354" s="121" t="s">
        <v>1211</v>
      </c>
      <c r="H354" s="211" t="s">
        <v>1212</v>
      </c>
      <c r="I354" s="58"/>
    </row>
    <row r="355" spans="3:9">
      <c r="C355" s="123" t="s">
        <v>1213</v>
      </c>
      <c r="D355" s="60" t="s">
        <v>1214</v>
      </c>
      <c r="E355" s="61"/>
      <c r="F355" s="62"/>
      <c r="G355" s="62"/>
      <c r="H355" s="128"/>
      <c r="I355" s="63"/>
    </row>
    <row r="356" spans="3:9">
      <c r="C356" s="129" t="s">
        <v>1215</v>
      </c>
      <c r="D356" s="61" t="s">
        <v>5</v>
      </c>
      <c r="E356" s="59" t="s">
        <v>6</v>
      </c>
      <c r="F356" s="95">
        <v>0.125</v>
      </c>
      <c r="G356" s="65">
        <f>VLOOKUP(D356,upahbahan,3,FALSE)</f>
        <v>100000</v>
      </c>
      <c r="H356" s="125">
        <f>F356*G356</f>
        <v>12500</v>
      </c>
      <c r="I356" s="63"/>
    </row>
    <row r="357" spans="3:9">
      <c r="C357" s="129" t="s">
        <v>1216</v>
      </c>
      <c r="D357" s="60" t="s">
        <v>26</v>
      </c>
      <c r="E357" s="59" t="s">
        <v>6</v>
      </c>
      <c r="F357" s="95">
        <v>0.25</v>
      </c>
      <c r="G357" s="65">
        <f>VLOOKUP(D357,upahbahan,3,FALSE)</f>
        <v>175000</v>
      </c>
      <c r="H357" s="125">
        <f>F357*G357</f>
        <v>43750</v>
      </c>
      <c r="I357" s="63"/>
    </row>
    <row r="358" spans="3:9">
      <c r="C358" s="129" t="s">
        <v>1217</v>
      </c>
      <c r="D358" s="60" t="s">
        <v>33</v>
      </c>
      <c r="E358" s="59" t="s">
        <v>6</v>
      </c>
      <c r="F358" s="95">
        <v>0.25</v>
      </c>
      <c r="G358" s="65">
        <f>VLOOKUP(D358,upahbahan,3,FALSE)</f>
        <v>150000</v>
      </c>
      <c r="H358" s="125">
        <f>F358*G358</f>
        <v>37500</v>
      </c>
      <c r="I358" s="63"/>
    </row>
    <row r="359" spans="3:9">
      <c r="C359" s="129" t="s">
        <v>1218</v>
      </c>
      <c r="D359" s="60" t="s">
        <v>25</v>
      </c>
      <c r="E359" s="59" t="s">
        <v>6</v>
      </c>
      <c r="F359" s="95">
        <v>2</v>
      </c>
      <c r="G359" s="65">
        <f>VLOOKUP(D359,upahbahan,3,FALSE)</f>
        <v>150000</v>
      </c>
      <c r="H359" s="125">
        <f>F359*G359</f>
        <v>300000</v>
      </c>
      <c r="I359" s="63"/>
    </row>
    <row r="360" spans="3:9">
      <c r="C360" s="129" t="s">
        <v>1219</v>
      </c>
      <c r="D360" s="60" t="s">
        <v>22</v>
      </c>
      <c r="E360" s="59" t="s">
        <v>6</v>
      </c>
      <c r="F360" s="95">
        <v>2</v>
      </c>
      <c r="G360" s="65">
        <f>VLOOKUP(D360,upahbahan,3,FALSE)</f>
        <v>400000</v>
      </c>
      <c r="H360" s="125">
        <f>F360*G360</f>
        <v>800000</v>
      </c>
      <c r="I360" s="63"/>
    </row>
    <row r="361" spans="3:9">
      <c r="C361" s="145" t="s">
        <v>1220</v>
      </c>
      <c r="D361" s="67"/>
      <c r="E361" s="67"/>
      <c r="F361" s="67"/>
      <c r="G361" s="67"/>
      <c r="H361" s="127">
        <f>SUM(H356:H360)</f>
        <v>1193750</v>
      </c>
      <c r="I361" s="63"/>
    </row>
    <row r="362" spans="3:9">
      <c r="C362" s="123" t="s">
        <v>1221</v>
      </c>
      <c r="D362" s="60" t="s">
        <v>1222</v>
      </c>
      <c r="E362" s="61"/>
      <c r="F362" s="68"/>
      <c r="G362" s="62"/>
      <c r="H362" s="128"/>
      <c r="I362" s="63"/>
    </row>
    <row r="363" spans="3:9">
      <c r="C363" s="129" t="s">
        <v>1215</v>
      </c>
      <c r="D363" s="61" t="s">
        <v>119</v>
      </c>
      <c r="E363" s="69" t="s">
        <v>42</v>
      </c>
      <c r="F363" s="64">
        <v>0.151</v>
      </c>
      <c r="G363" s="65">
        <f>VLOOKUP(D363,upahbahan,3,FALSE)</f>
        <v>10214200</v>
      </c>
      <c r="H363" s="125">
        <f>F363*G363</f>
        <v>1542344.2</v>
      </c>
      <c r="I363" s="63"/>
    </row>
    <row r="364" spans="3:9">
      <c r="C364" s="129" t="s">
        <v>1216</v>
      </c>
      <c r="D364" s="61" t="s">
        <v>271</v>
      </c>
      <c r="E364" s="59" t="s">
        <v>66</v>
      </c>
      <c r="F364" s="64">
        <v>0.50800000000000001</v>
      </c>
      <c r="G364" s="65">
        <f>VLOOKUP(D364,upahbahan,3,FALSE)</f>
        <v>35590</v>
      </c>
      <c r="H364" s="125">
        <f>F364*G364</f>
        <v>18079.72</v>
      </c>
      <c r="I364" s="63"/>
    </row>
    <row r="365" spans="3:9">
      <c r="C365" s="145" t="s">
        <v>1226</v>
      </c>
      <c r="D365" s="67"/>
      <c r="E365" s="67"/>
      <c r="F365" s="67"/>
      <c r="G365" s="67"/>
      <c r="H365" s="127">
        <f>SUM(H363:H364)</f>
        <v>1560423.92</v>
      </c>
      <c r="I365" s="63"/>
    </row>
    <row r="366" spans="3:9">
      <c r="C366" s="123" t="s">
        <v>1227</v>
      </c>
      <c r="D366" s="60" t="s">
        <v>1228</v>
      </c>
      <c r="E366" s="61"/>
      <c r="F366" s="68"/>
      <c r="G366" s="62"/>
      <c r="H366" s="128"/>
      <c r="I366" s="63"/>
    </row>
    <row r="367" spans="3:9">
      <c r="C367" s="158">
        <v>1</v>
      </c>
      <c r="D367" s="60" t="s">
        <v>1167</v>
      </c>
      <c r="E367" s="59" t="s">
        <v>1091</v>
      </c>
      <c r="F367" s="64">
        <v>1</v>
      </c>
      <c r="G367" s="65">
        <f>VLOOKUP(D367,upahbahan,3,FALSE)</f>
        <v>75000</v>
      </c>
      <c r="H367" s="125">
        <f>F367*G367</f>
        <v>75000</v>
      </c>
      <c r="I367" s="63"/>
    </row>
    <row r="368" spans="3:9">
      <c r="C368" s="123">
        <v>2</v>
      </c>
      <c r="D368" s="60" t="s">
        <v>1158</v>
      </c>
      <c r="E368" s="59" t="s">
        <v>1091</v>
      </c>
      <c r="F368" s="64">
        <v>1</v>
      </c>
      <c r="G368" s="65">
        <f>VLOOKUP(D368,upahbahan,3,FALSE)</f>
        <v>150000</v>
      </c>
      <c r="H368" s="125">
        <f>F368*G368</f>
        <v>150000</v>
      </c>
      <c r="I368" s="63"/>
    </row>
    <row r="369" spans="3:13">
      <c r="C369" s="159" t="s">
        <v>1229</v>
      </c>
      <c r="D369" s="67"/>
      <c r="E369" s="67"/>
      <c r="F369" s="67"/>
      <c r="G369" s="67"/>
      <c r="H369" s="127">
        <f>SUM(H367:H368)</f>
        <v>225000</v>
      </c>
      <c r="I369" s="63"/>
    </row>
    <row r="370" spans="3:13">
      <c r="C370" s="123" t="s">
        <v>1230</v>
      </c>
      <c r="D370" s="70" t="s">
        <v>1231</v>
      </c>
      <c r="E370" s="71"/>
      <c r="F370" s="71"/>
      <c r="G370" s="72"/>
      <c r="H370" s="125">
        <f>H361+H365+H369</f>
        <v>2979173.92</v>
      </c>
      <c r="I370" s="63"/>
    </row>
    <row r="371" spans="3:13">
      <c r="C371" s="123" t="s">
        <v>1232</v>
      </c>
      <c r="D371" s="70" t="s">
        <v>1267</v>
      </c>
      <c r="E371" s="71"/>
      <c r="F371" s="72"/>
      <c r="G371" s="96">
        <f>$N$7</f>
        <v>0.1</v>
      </c>
      <c r="H371" s="125">
        <f>H370*G371</f>
        <v>297917.39199999999</v>
      </c>
      <c r="I371" s="63"/>
    </row>
    <row r="372" spans="3:13" ht="15.75" thickBot="1">
      <c r="C372" s="131" t="s">
        <v>1233</v>
      </c>
      <c r="D372" s="132" t="s">
        <v>1234</v>
      </c>
      <c r="E372" s="133"/>
      <c r="F372" s="133"/>
      <c r="G372" s="156"/>
      <c r="H372" s="135">
        <f>SUM(H370:H371)</f>
        <v>3277091.3119999999</v>
      </c>
      <c r="I372" s="63"/>
    </row>
    <row r="373" spans="3:13" ht="15.75" thickTop="1">
      <c r="C373" s="90"/>
      <c r="D373" s="91"/>
      <c r="E373" s="91"/>
      <c r="F373" s="91"/>
      <c r="G373" s="91"/>
      <c r="H373" s="92"/>
      <c r="I373" s="63"/>
    </row>
    <row r="374" spans="3:13" ht="15.75" thickBot="1">
      <c r="C374" s="136" t="s">
        <v>1263</v>
      </c>
      <c r="D374" s="157"/>
      <c r="E374" s="119"/>
      <c r="F374" s="119"/>
      <c r="G374" s="119"/>
      <c r="H374" s="210"/>
      <c r="I374" s="57">
        <f>ROUNDDOWN(H392,-2)</f>
        <v>171400</v>
      </c>
    </row>
    <row r="375" spans="3:13" ht="29.25" thickTop="1">
      <c r="C375" s="120" t="s">
        <v>1207</v>
      </c>
      <c r="D375" s="121" t="s">
        <v>1208</v>
      </c>
      <c r="E375" s="121" t="s">
        <v>1209</v>
      </c>
      <c r="F375" s="121" t="s">
        <v>1210</v>
      </c>
      <c r="G375" s="121" t="s">
        <v>1211</v>
      </c>
      <c r="H375" s="211" t="s">
        <v>1212</v>
      </c>
      <c r="I375" s="58"/>
    </row>
    <row r="376" spans="3:13">
      <c r="C376" s="123" t="s">
        <v>1213</v>
      </c>
      <c r="D376" s="60" t="s">
        <v>1214</v>
      </c>
      <c r="E376" s="61"/>
      <c r="F376" s="62"/>
      <c r="G376" s="62"/>
      <c r="H376" s="128"/>
      <c r="I376" s="63"/>
      <c r="M376" s="160"/>
    </row>
    <row r="377" spans="3:13">
      <c r="C377" s="129" t="s">
        <v>1215</v>
      </c>
      <c r="D377" s="61" t="s">
        <v>5</v>
      </c>
      <c r="E377" s="59" t="s">
        <v>6</v>
      </c>
      <c r="F377" s="95">
        <v>1.2E-2</v>
      </c>
      <c r="G377" s="65">
        <f>VLOOKUP(D377,upahbahan,3,FALSE)</f>
        <v>100000</v>
      </c>
      <c r="H377" s="125">
        <f>F377*G377</f>
        <v>1200</v>
      </c>
      <c r="I377" s="63"/>
    </row>
    <row r="378" spans="3:13">
      <c r="C378" s="129" t="s">
        <v>1216</v>
      </c>
      <c r="D378" s="60" t="s">
        <v>8</v>
      </c>
      <c r="E378" s="59" t="s">
        <v>6</v>
      </c>
      <c r="F378" s="95">
        <v>6.0000000000000001E-3</v>
      </c>
      <c r="G378" s="65">
        <f>VLOOKUP(D378,upahbahan,3,FALSE)</f>
        <v>145000</v>
      </c>
      <c r="H378" s="125">
        <f>F378*G378</f>
        <v>870</v>
      </c>
      <c r="I378" s="63"/>
    </row>
    <row r="379" spans="3:13">
      <c r="C379" s="129" t="s">
        <v>1217</v>
      </c>
      <c r="D379" s="60" t="s">
        <v>18</v>
      </c>
      <c r="E379" s="59" t="s">
        <v>6</v>
      </c>
      <c r="F379" s="95">
        <v>5.9999999999999995E-4</v>
      </c>
      <c r="G379" s="65">
        <f>VLOOKUP(D379,upahbahan,3,FALSE)</f>
        <v>150000</v>
      </c>
      <c r="H379" s="125">
        <f>F379*G379</f>
        <v>89.999999999999986</v>
      </c>
      <c r="I379" s="63"/>
    </row>
    <row r="380" spans="3:13">
      <c r="C380" s="129" t="s">
        <v>1218</v>
      </c>
      <c r="D380" s="61" t="s">
        <v>19</v>
      </c>
      <c r="E380" s="59" t="s">
        <v>6</v>
      </c>
      <c r="F380" s="95">
        <v>1.1999999999999999E-3</v>
      </c>
      <c r="G380" s="65">
        <f>VLOOKUP(D380,upahbahan,3,FALSE)</f>
        <v>145000</v>
      </c>
      <c r="H380" s="125">
        <f>F380*G380</f>
        <v>173.99999999999997</v>
      </c>
      <c r="I380" s="63"/>
    </row>
    <row r="381" spans="3:13">
      <c r="C381" s="145" t="s">
        <v>1220</v>
      </c>
      <c r="D381" s="67"/>
      <c r="E381" s="67"/>
      <c r="F381" s="67"/>
      <c r="G381" s="67"/>
      <c r="H381" s="127">
        <f>SUM(H377:H380)</f>
        <v>2334</v>
      </c>
      <c r="I381" s="63"/>
    </row>
    <row r="382" spans="3:13">
      <c r="C382" s="123" t="s">
        <v>1221</v>
      </c>
      <c r="D382" s="60" t="s">
        <v>1222</v>
      </c>
      <c r="E382" s="61"/>
      <c r="F382" s="68"/>
      <c r="G382" s="62"/>
      <c r="H382" s="128"/>
      <c r="I382" s="63"/>
    </row>
    <row r="383" spans="3:13">
      <c r="C383" s="129" t="s">
        <v>1215</v>
      </c>
      <c r="D383" s="61" t="s">
        <v>119</v>
      </c>
      <c r="E383" s="69" t="s">
        <v>42</v>
      </c>
      <c r="F383" s="64">
        <v>1.2999999999999999E-2</v>
      </c>
      <c r="G383" s="65">
        <f>VLOOKUP(D383,upahbahan,3,FALSE)</f>
        <v>10214200</v>
      </c>
      <c r="H383" s="125">
        <f>F383*G383</f>
        <v>132784.6</v>
      </c>
      <c r="I383" s="63"/>
    </row>
    <row r="384" spans="3:13">
      <c r="C384" s="129" t="s">
        <v>1216</v>
      </c>
      <c r="D384" s="61" t="s">
        <v>124</v>
      </c>
      <c r="E384" s="69" t="s">
        <v>42</v>
      </c>
      <c r="F384" s="64">
        <v>7.0000000000000001E-3</v>
      </c>
      <c r="G384" s="65">
        <f>VLOOKUP(D384,upahbahan,3,FALSE)</f>
        <v>2825000</v>
      </c>
      <c r="H384" s="125">
        <f>F384*G384</f>
        <v>19775</v>
      </c>
      <c r="I384" s="63"/>
    </row>
    <row r="385" spans="3:9">
      <c r="C385" s="129" t="s">
        <v>1217</v>
      </c>
      <c r="D385" s="61" t="s">
        <v>265</v>
      </c>
      <c r="E385" s="59" t="s">
        <v>66</v>
      </c>
      <c r="F385" s="64">
        <v>0.02</v>
      </c>
      <c r="G385" s="65">
        <f>VLOOKUP(D385,upahbahan,3,FALSE)</f>
        <v>18000</v>
      </c>
      <c r="H385" s="125">
        <f>F385*G385</f>
        <v>360</v>
      </c>
      <c r="I385" s="63"/>
    </row>
    <row r="386" spans="3:9">
      <c r="C386" s="145" t="s">
        <v>1226</v>
      </c>
      <c r="D386" s="67"/>
      <c r="E386" s="67"/>
      <c r="F386" s="67"/>
      <c r="G386" s="67"/>
      <c r="H386" s="127">
        <f>SUM(H383:H385)</f>
        <v>152919.6</v>
      </c>
      <c r="I386" s="63"/>
    </row>
    <row r="387" spans="3:9">
      <c r="C387" s="123" t="s">
        <v>1227</v>
      </c>
      <c r="D387" s="60" t="s">
        <v>1228</v>
      </c>
      <c r="E387" s="61"/>
      <c r="F387" s="68"/>
      <c r="G387" s="62"/>
      <c r="H387" s="128"/>
      <c r="I387" s="63"/>
    </row>
    <row r="388" spans="3:9">
      <c r="C388" s="158">
        <v>1</v>
      </c>
      <c r="D388" s="60" t="s">
        <v>1167</v>
      </c>
      <c r="E388" s="59" t="s">
        <v>1091</v>
      </c>
      <c r="F388" s="68">
        <v>6.0000000000000001E-3</v>
      </c>
      <c r="G388" s="65">
        <f>VLOOKUP(D356,upahbahan,3,FALSE)</f>
        <v>100000</v>
      </c>
      <c r="H388" s="125">
        <f>F388*G388</f>
        <v>600</v>
      </c>
      <c r="I388" s="63"/>
    </row>
    <row r="389" spans="3:9">
      <c r="C389" s="145" t="s">
        <v>1229</v>
      </c>
      <c r="D389" s="67"/>
      <c r="E389" s="67"/>
      <c r="F389" s="67"/>
      <c r="G389" s="67"/>
      <c r="H389" s="127">
        <f>SUM(H388)</f>
        <v>600</v>
      </c>
      <c r="I389" s="63"/>
    </row>
    <row r="390" spans="3:9">
      <c r="C390" s="123" t="s">
        <v>1230</v>
      </c>
      <c r="D390" s="70" t="s">
        <v>1231</v>
      </c>
      <c r="E390" s="71"/>
      <c r="F390" s="71"/>
      <c r="G390" s="72"/>
      <c r="H390" s="125">
        <f>H381+H386+H389</f>
        <v>155853.6</v>
      </c>
      <c r="I390" s="63"/>
    </row>
    <row r="391" spans="3:9">
      <c r="C391" s="123" t="s">
        <v>1232</v>
      </c>
      <c r="D391" s="70" t="s">
        <v>1267</v>
      </c>
      <c r="E391" s="71"/>
      <c r="F391" s="72"/>
      <c r="G391" s="96">
        <f>$N$7</f>
        <v>0.1</v>
      </c>
      <c r="H391" s="125">
        <f>H390*G391</f>
        <v>15585.36</v>
      </c>
      <c r="I391" s="63"/>
    </row>
    <row r="392" spans="3:9" ht="15.75" thickBot="1">
      <c r="C392" s="131" t="s">
        <v>1233</v>
      </c>
      <c r="D392" s="132" t="s">
        <v>1234</v>
      </c>
      <c r="E392" s="133"/>
      <c r="F392" s="133"/>
      <c r="G392" s="156"/>
      <c r="H392" s="135">
        <f>SUM(H390:H391)</f>
        <v>171438.96000000002</v>
      </c>
      <c r="I392" s="63"/>
    </row>
    <row r="393" spans="3:9" ht="15.75" thickTop="1">
      <c r="C393" s="90"/>
      <c r="D393" s="91"/>
      <c r="E393" s="91"/>
      <c r="F393" s="91"/>
      <c r="G393" s="91"/>
      <c r="H393" s="92"/>
      <c r="I393" s="63"/>
    </row>
  </sheetData>
  <mergeCells count="10">
    <mergeCell ref="C293:H293"/>
    <mergeCell ref="C308:H308"/>
    <mergeCell ref="C323:H323"/>
    <mergeCell ref="C338:H338"/>
    <mergeCell ref="C115:H115"/>
    <mergeCell ref="C218:H218"/>
    <mergeCell ref="C233:H233"/>
    <mergeCell ref="C248:H248"/>
    <mergeCell ref="C263:H263"/>
    <mergeCell ref="C278:H278"/>
  </mergeCells>
  <pageMargins left="0.74803149606299213" right="0.74803149606299213" top="0.98425196850393704" bottom="0.98425196850393704" header="0.51181102362204722" footer="0.51181102362204722"/>
  <pageSetup paperSize="9" scale="80" fitToWidth="0" fitToHeight="0" orientation="portrait" useFirstPageNumber="1" errors="NA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N199"/>
  <sheetViews>
    <sheetView zoomScaleSheetLayoutView="100" workbookViewId="0">
      <selection activeCell="H18" sqref="H18"/>
    </sheetView>
    <sheetView workbookViewId="1"/>
  </sheetViews>
  <sheetFormatPr defaultColWidth="9.28515625" defaultRowHeight="15"/>
  <cols>
    <col min="1" max="2" width="2.85546875" style="63" customWidth="1"/>
    <col min="3" max="3" width="6" style="58" customWidth="1"/>
    <col min="4" max="4" width="36.7109375" style="63" customWidth="1"/>
    <col min="5" max="5" width="7.7109375" style="63" customWidth="1"/>
    <col min="6" max="6" width="10.7109375" style="63" customWidth="1"/>
    <col min="7" max="7" width="15.7109375" style="63" customWidth="1"/>
    <col min="8" max="8" width="18.140625" style="63" customWidth="1"/>
    <col min="9" max="9" width="16" style="55" bestFit="1" customWidth="1"/>
    <col min="10" max="16384" width="9.28515625" style="63"/>
  </cols>
  <sheetData>
    <row r="3" spans="3:14" s="55" customFormat="1" ht="15.75" customHeight="1">
      <c r="C3" s="53" t="s">
        <v>1221</v>
      </c>
      <c r="D3" s="54" t="str">
        <f>'[1]Daftar HSP'!B29</f>
        <v>PEKERJAAN GALIAN TANAH</v>
      </c>
      <c r="E3" s="54"/>
      <c r="F3" s="54"/>
      <c r="G3" s="54"/>
      <c r="H3" s="54"/>
    </row>
    <row r="4" spans="3:14" s="55" customFormat="1" ht="15.75" thickBot="1">
      <c r="C4" s="169" t="s">
        <v>1280</v>
      </c>
      <c r="E4" s="119"/>
      <c r="F4" s="119"/>
      <c r="G4" s="119"/>
      <c r="H4" s="119"/>
      <c r="I4" s="57">
        <f>ROUNDDOWN(H16,-2)</f>
        <v>88500</v>
      </c>
    </row>
    <row r="5" spans="3:14" s="58" customFormat="1" ht="31.5" customHeight="1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  <c r="I5" s="161"/>
    </row>
    <row r="6" spans="3:14">
      <c r="C6" s="142" t="s">
        <v>1213</v>
      </c>
      <c r="D6" s="60" t="s">
        <v>1214</v>
      </c>
      <c r="E6" s="74"/>
      <c r="F6" s="74"/>
      <c r="G6" s="74"/>
      <c r="H6" s="147"/>
      <c r="K6" s="56" t="s">
        <v>1265</v>
      </c>
      <c r="L6" s="56"/>
      <c r="M6" s="56"/>
      <c r="N6" s="56"/>
    </row>
    <row r="7" spans="3:14">
      <c r="C7" s="143">
        <v>1</v>
      </c>
      <c r="D7" s="60" t="s">
        <v>5</v>
      </c>
      <c r="E7" s="73" t="s">
        <v>6</v>
      </c>
      <c r="F7" s="75">
        <v>0.75</v>
      </c>
      <c r="G7" s="65">
        <f>VLOOKUP(D7,upahbahan,3,FALSE)</f>
        <v>100000</v>
      </c>
      <c r="H7" s="125">
        <f>F7*G7</f>
        <v>75000</v>
      </c>
      <c r="K7" s="56" t="s">
        <v>1266</v>
      </c>
      <c r="L7" s="56"/>
      <c r="M7" s="56"/>
      <c r="N7" s="66">
        <v>0.1</v>
      </c>
    </row>
    <row r="8" spans="3:14">
      <c r="C8" s="143">
        <v>2</v>
      </c>
      <c r="D8" s="60" t="s">
        <v>19</v>
      </c>
      <c r="E8" s="73" t="s">
        <v>6</v>
      </c>
      <c r="F8" s="75">
        <v>3.7999999999999999E-2</v>
      </c>
      <c r="G8" s="65">
        <f>VLOOKUP(D8,upahbahan,3,FALSE)</f>
        <v>145000</v>
      </c>
      <c r="H8" s="125">
        <f>F8*G8</f>
        <v>5510</v>
      </c>
    </row>
    <row r="9" spans="3:14" ht="15.75" customHeight="1">
      <c r="C9" s="145" t="s">
        <v>1220</v>
      </c>
      <c r="D9" s="76"/>
      <c r="E9" s="76"/>
      <c r="F9" s="76"/>
      <c r="G9" s="162"/>
      <c r="H9" s="125">
        <f>SUM(H7:H8)</f>
        <v>80510</v>
      </c>
    </row>
    <row r="10" spans="3:14">
      <c r="C10" s="142" t="s">
        <v>1221</v>
      </c>
      <c r="D10" s="60" t="s">
        <v>1222</v>
      </c>
      <c r="E10" s="74"/>
      <c r="F10" s="74"/>
      <c r="G10" s="74"/>
      <c r="H10" s="147"/>
    </row>
    <row r="11" spans="3:14" ht="15.75" customHeight="1">
      <c r="C11" s="145" t="s">
        <v>1226</v>
      </c>
      <c r="D11" s="81"/>
      <c r="E11" s="81"/>
      <c r="F11" s="81"/>
      <c r="G11" s="163"/>
      <c r="H11" s="154">
        <v>0</v>
      </c>
    </row>
    <row r="12" spans="3:14">
      <c r="C12" s="142" t="s">
        <v>1227</v>
      </c>
      <c r="D12" s="60" t="s">
        <v>1228</v>
      </c>
      <c r="E12" s="74"/>
      <c r="F12" s="74"/>
      <c r="G12" s="74"/>
      <c r="H12" s="147"/>
    </row>
    <row r="13" spans="3:14" ht="15.75" customHeight="1">
      <c r="C13" s="145" t="s">
        <v>1229</v>
      </c>
      <c r="D13" s="81"/>
      <c r="E13" s="81"/>
      <c r="F13" s="81"/>
      <c r="G13" s="163"/>
      <c r="H13" s="154">
        <v>0</v>
      </c>
    </row>
    <row r="14" spans="3:14" s="164" customFormat="1">
      <c r="C14" s="123" t="s">
        <v>1230</v>
      </c>
      <c r="D14" s="70" t="s">
        <v>1231</v>
      </c>
      <c r="E14" s="71"/>
      <c r="F14" s="71"/>
      <c r="G14" s="72"/>
      <c r="H14" s="125">
        <f>H9+H11+H13</f>
        <v>80510</v>
      </c>
      <c r="I14" s="55"/>
    </row>
    <row r="15" spans="3:14" s="164" customFormat="1">
      <c r="C15" s="123" t="s">
        <v>1232</v>
      </c>
      <c r="D15" s="70" t="s">
        <v>1267</v>
      </c>
      <c r="E15" s="71"/>
      <c r="F15" s="72"/>
      <c r="G15" s="96">
        <f>$N$7</f>
        <v>0.1</v>
      </c>
      <c r="H15" s="125">
        <f>H14*G15</f>
        <v>8051</v>
      </c>
      <c r="I15" s="55"/>
    </row>
    <row r="16" spans="3:14" s="164" customFormat="1" ht="15.75" thickBot="1">
      <c r="C16" s="131" t="s">
        <v>1233</v>
      </c>
      <c r="D16" s="132" t="s">
        <v>1234</v>
      </c>
      <c r="E16" s="133"/>
      <c r="F16" s="133"/>
      <c r="G16" s="156"/>
      <c r="H16" s="135">
        <f>SUM(H14:H15)</f>
        <v>88561</v>
      </c>
      <c r="I16" s="55"/>
    </row>
    <row r="17" spans="3:9" ht="15.75" thickTop="1">
      <c r="C17" s="90"/>
      <c r="D17" s="91"/>
      <c r="E17" s="91"/>
      <c r="F17" s="91"/>
      <c r="G17" s="91"/>
      <c r="H17" s="92"/>
    </row>
    <row r="18" spans="3:9" ht="15.75" thickBot="1">
      <c r="C18" s="169" t="s">
        <v>1281</v>
      </c>
      <c r="D18" s="55"/>
      <c r="E18" s="149"/>
      <c r="F18" s="149"/>
      <c r="G18" s="149"/>
      <c r="H18" s="149"/>
      <c r="I18" s="57">
        <f>ROUNDDOWN(H30,-2)</f>
        <v>70900</v>
      </c>
    </row>
    <row r="19" spans="3:9" s="93" customFormat="1" ht="29.25" thickTop="1">
      <c r="C19" s="120" t="s">
        <v>1207</v>
      </c>
      <c r="D19" s="121" t="s">
        <v>1208</v>
      </c>
      <c r="E19" s="121" t="s">
        <v>1209</v>
      </c>
      <c r="F19" s="121" t="s">
        <v>1210</v>
      </c>
      <c r="G19" s="121" t="s">
        <v>1211</v>
      </c>
      <c r="H19" s="122" t="s">
        <v>1212</v>
      </c>
      <c r="I19" s="165"/>
    </row>
    <row r="20" spans="3:9">
      <c r="C20" s="142" t="s">
        <v>1213</v>
      </c>
      <c r="D20" s="60" t="s">
        <v>1214</v>
      </c>
      <c r="E20" s="74"/>
      <c r="F20" s="74"/>
      <c r="G20" s="74"/>
      <c r="H20" s="147"/>
    </row>
    <row r="21" spans="3:9">
      <c r="C21" s="143">
        <v>1</v>
      </c>
      <c r="D21" s="60" t="s">
        <v>5</v>
      </c>
      <c r="E21" s="73" t="s">
        <v>6</v>
      </c>
      <c r="F21" s="94">
        <v>0.56299999999999994</v>
      </c>
      <c r="G21" s="65">
        <f>VLOOKUP(D21,upahbahan,3,FALSE)</f>
        <v>100000</v>
      </c>
      <c r="H21" s="125">
        <f>F21*G21</f>
        <v>56299.999999999993</v>
      </c>
    </row>
    <row r="22" spans="3:9">
      <c r="C22" s="143">
        <v>2</v>
      </c>
      <c r="D22" s="60" t="s">
        <v>19</v>
      </c>
      <c r="E22" s="73" t="s">
        <v>6</v>
      </c>
      <c r="F22" s="94">
        <v>5.6300000000000003E-2</v>
      </c>
      <c r="G22" s="65">
        <f>VLOOKUP(D22,upahbahan,3,FALSE)</f>
        <v>145000</v>
      </c>
      <c r="H22" s="125">
        <f>F22*G22</f>
        <v>8163.5</v>
      </c>
    </row>
    <row r="23" spans="3:9" ht="15.75" customHeight="1">
      <c r="C23" s="145" t="s">
        <v>1220</v>
      </c>
      <c r="D23" s="81"/>
      <c r="E23" s="81"/>
      <c r="F23" s="81"/>
      <c r="G23" s="163"/>
      <c r="H23" s="125">
        <f>SUM(H21:H22)</f>
        <v>64463.499999999993</v>
      </c>
    </row>
    <row r="24" spans="3:9">
      <c r="C24" s="142" t="s">
        <v>1221</v>
      </c>
      <c r="D24" s="60" t="s">
        <v>1222</v>
      </c>
      <c r="E24" s="74"/>
      <c r="F24" s="74"/>
      <c r="G24" s="74"/>
      <c r="H24" s="147"/>
    </row>
    <row r="25" spans="3:9" ht="15.75" customHeight="1">
      <c r="C25" s="145" t="s">
        <v>1226</v>
      </c>
      <c r="D25" s="81"/>
      <c r="E25" s="81"/>
      <c r="F25" s="81"/>
      <c r="G25" s="163"/>
      <c r="H25" s="154">
        <v>0</v>
      </c>
    </row>
    <row r="26" spans="3:9">
      <c r="C26" s="142" t="s">
        <v>1227</v>
      </c>
      <c r="D26" s="60" t="s">
        <v>1228</v>
      </c>
      <c r="E26" s="77"/>
      <c r="F26" s="77"/>
      <c r="G26" s="77"/>
      <c r="H26" s="147"/>
    </row>
    <row r="27" spans="3:9" ht="15.75" customHeight="1">
      <c r="C27" s="145" t="s">
        <v>1229</v>
      </c>
      <c r="D27" s="81"/>
      <c r="E27" s="81"/>
      <c r="F27" s="81"/>
      <c r="G27" s="163"/>
      <c r="H27" s="154">
        <v>0</v>
      </c>
    </row>
    <row r="28" spans="3:9" s="164" customFormat="1">
      <c r="C28" s="123" t="s">
        <v>1230</v>
      </c>
      <c r="D28" s="70" t="s">
        <v>1231</v>
      </c>
      <c r="E28" s="71"/>
      <c r="F28" s="71"/>
      <c r="G28" s="72"/>
      <c r="H28" s="125">
        <f>H23+H25+H27</f>
        <v>64463.499999999993</v>
      </c>
      <c r="I28" s="55"/>
    </row>
    <row r="29" spans="3:9" s="164" customFormat="1">
      <c r="C29" s="123" t="s">
        <v>1232</v>
      </c>
      <c r="D29" s="70" t="s">
        <v>1267</v>
      </c>
      <c r="E29" s="71"/>
      <c r="F29" s="72"/>
      <c r="G29" s="96">
        <f>$N$7</f>
        <v>0.1</v>
      </c>
      <c r="H29" s="125">
        <f>H28*G29</f>
        <v>6446.3499999999995</v>
      </c>
      <c r="I29" s="55"/>
    </row>
    <row r="30" spans="3:9" s="164" customFormat="1" ht="15.75" thickBot="1">
      <c r="C30" s="131" t="s">
        <v>1233</v>
      </c>
      <c r="D30" s="132" t="s">
        <v>1234</v>
      </c>
      <c r="E30" s="133"/>
      <c r="F30" s="133"/>
      <c r="G30" s="156"/>
      <c r="H30" s="135">
        <f>SUM(H28:H29)</f>
        <v>70909.849999999991</v>
      </c>
      <c r="I30" s="55"/>
    </row>
    <row r="31" spans="3:9" s="164" customFormat="1" ht="15.75" thickTop="1">
      <c r="C31" s="58"/>
      <c r="D31" s="82"/>
      <c r="E31" s="82"/>
      <c r="F31" s="82"/>
      <c r="G31" s="82"/>
      <c r="H31" s="83"/>
      <c r="I31" s="55"/>
    </row>
    <row r="32" spans="3:9" ht="15.75" thickBot="1">
      <c r="C32" s="169" t="s">
        <v>1282</v>
      </c>
      <c r="D32" s="55"/>
      <c r="E32" s="149"/>
      <c r="F32" s="149"/>
      <c r="G32" s="149"/>
      <c r="H32" s="149"/>
      <c r="I32" s="57">
        <f>ROUNDDOWN(H44,-2)</f>
        <v>50300</v>
      </c>
    </row>
    <row r="33" spans="3:9" s="93" customFormat="1" ht="29.25" thickTop="1">
      <c r="C33" s="120" t="s">
        <v>1207</v>
      </c>
      <c r="D33" s="121" t="s">
        <v>1208</v>
      </c>
      <c r="E33" s="121" t="s">
        <v>1209</v>
      </c>
      <c r="F33" s="121" t="s">
        <v>1210</v>
      </c>
      <c r="G33" s="121" t="s">
        <v>1211</v>
      </c>
      <c r="H33" s="122" t="s">
        <v>1212</v>
      </c>
      <c r="I33" s="165"/>
    </row>
    <row r="34" spans="3:9">
      <c r="C34" s="142" t="s">
        <v>1213</v>
      </c>
      <c r="D34" s="60" t="s">
        <v>1214</v>
      </c>
      <c r="E34" s="74"/>
      <c r="F34" s="74"/>
      <c r="G34" s="74"/>
      <c r="H34" s="147"/>
    </row>
    <row r="35" spans="3:9">
      <c r="C35" s="143">
        <v>1</v>
      </c>
      <c r="D35" s="60" t="s">
        <v>5</v>
      </c>
      <c r="E35" s="73" t="s">
        <v>6</v>
      </c>
      <c r="F35" s="94">
        <v>0.4</v>
      </c>
      <c r="G35" s="65">
        <f>VLOOKUP(D35,upahbahan,3,FALSE)</f>
        <v>100000</v>
      </c>
      <c r="H35" s="125">
        <f>F35*G35</f>
        <v>40000</v>
      </c>
    </row>
    <row r="36" spans="3:9">
      <c r="C36" s="143">
        <v>2</v>
      </c>
      <c r="D36" s="60" t="s">
        <v>19</v>
      </c>
      <c r="E36" s="73" t="s">
        <v>6</v>
      </c>
      <c r="F36" s="94">
        <v>0.04</v>
      </c>
      <c r="G36" s="65">
        <f>VLOOKUP(D36,upahbahan,3,FALSE)</f>
        <v>145000</v>
      </c>
      <c r="H36" s="125">
        <f>F36*G36</f>
        <v>5800</v>
      </c>
    </row>
    <row r="37" spans="3:9" ht="15.75" customHeight="1">
      <c r="C37" s="145" t="s">
        <v>1220</v>
      </c>
      <c r="D37" s="81"/>
      <c r="E37" s="81"/>
      <c r="F37" s="81"/>
      <c r="G37" s="163"/>
      <c r="H37" s="125">
        <f>SUM(H35:H36)</f>
        <v>45800</v>
      </c>
    </row>
    <row r="38" spans="3:9">
      <c r="C38" s="142" t="s">
        <v>1221</v>
      </c>
      <c r="D38" s="60" t="s">
        <v>1222</v>
      </c>
      <c r="E38" s="74"/>
      <c r="F38" s="74"/>
      <c r="G38" s="74"/>
      <c r="H38" s="147"/>
    </row>
    <row r="39" spans="3:9" ht="15.75" customHeight="1">
      <c r="C39" s="145" t="s">
        <v>1226</v>
      </c>
      <c r="D39" s="81"/>
      <c r="E39" s="81"/>
      <c r="F39" s="81"/>
      <c r="G39" s="163"/>
      <c r="H39" s="154">
        <v>0</v>
      </c>
    </row>
    <row r="40" spans="3:9">
      <c r="C40" s="142" t="s">
        <v>1227</v>
      </c>
      <c r="D40" s="60" t="s">
        <v>1228</v>
      </c>
      <c r="E40" s="77"/>
      <c r="F40" s="77"/>
      <c r="G40" s="77"/>
      <c r="H40" s="147"/>
    </row>
    <row r="41" spans="3:9" ht="15.75" customHeight="1">
      <c r="C41" s="145" t="s">
        <v>1229</v>
      </c>
      <c r="D41" s="81"/>
      <c r="E41" s="81"/>
      <c r="F41" s="81"/>
      <c r="G41" s="163"/>
      <c r="H41" s="154">
        <v>0</v>
      </c>
    </row>
    <row r="42" spans="3:9" s="164" customFormat="1">
      <c r="C42" s="123" t="s">
        <v>1230</v>
      </c>
      <c r="D42" s="70" t="s">
        <v>1231</v>
      </c>
      <c r="E42" s="71"/>
      <c r="F42" s="71"/>
      <c r="G42" s="72"/>
      <c r="H42" s="125">
        <f>H37+H39+H41</f>
        <v>45800</v>
      </c>
      <c r="I42" s="55"/>
    </row>
    <row r="43" spans="3:9" s="164" customFormat="1">
      <c r="C43" s="123" t="s">
        <v>1232</v>
      </c>
      <c r="D43" s="70" t="s">
        <v>1267</v>
      </c>
      <c r="E43" s="71"/>
      <c r="F43" s="72"/>
      <c r="G43" s="96">
        <f>$N$7</f>
        <v>0.1</v>
      </c>
      <c r="H43" s="125">
        <f>H42*G43</f>
        <v>4580</v>
      </c>
      <c r="I43" s="55"/>
    </row>
    <row r="44" spans="3:9" s="164" customFormat="1" ht="15.75" thickBot="1">
      <c r="C44" s="131" t="s">
        <v>1233</v>
      </c>
      <c r="D44" s="132" t="s">
        <v>1234</v>
      </c>
      <c r="E44" s="133"/>
      <c r="F44" s="133"/>
      <c r="G44" s="156"/>
      <c r="H44" s="135">
        <f>SUM(H42:H43)</f>
        <v>50380</v>
      </c>
      <c r="I44" s="55"/>
    </row>
    <row r="45" spans="3:9" s="164" customFormat="1" ht="15.75" thickTop="1">
      <c r="C45" s="58"/>
      <c r="D45" s="82"/>
      <c r="E45" s="82"/>
      <c r="F45" s="82"/>
      <c r="G45" s="82"/>
      <c r="H45" s="83"/>
      <c r="I45" s="55"/>
    </row>
    <row r="46" spans="3:9" ht="15.75" thickBot="1">
      <c r="C46" s="169" t="s">
        <v>1283</v>
      </c>
      <c r="D46" s="55"/>
      <c r="E46" s="149"/>
      <c r="F46" s="149"/>
      <c r="G46" s="149"/>
      <c r="H46" s="149"/>
      <c r="I46" s="57">
        <f>ROUNDDOWN(H58,-2)</f>
        <v>106100</v>
      </c>
    </row>
    <row r="47" spans="3:9" s="93" customFormat="1" ht="29.25" thickTop="1">
      <c r="C47" s="120" t="s">
        <v>1207</v>
      </c>
      <c r="D47" s="121" t="s">
        <v>1208</v>
      </c>
      <c r="E47" s="121" t="s">
        <v>1209</v>
      </c>
      <c r="F47" s="121" t="s">
        <v>1210</v>
      </c>
      <c r="G47" s="121" t="s">
        <v>1211</v>
      </c>
      <c r="H47" s="122" t="s">
        <v>1212</v>
      </c>
      <c r="I47" s="165"/>
    </row>
    <row r="48" spans="3:9">
      <c r="C48" s="142" t="s">
        <v>1213</v>
      </c>
      <c r="D48" s="60" t="s">
        <v>1214</v>
      </c>
      <c r="E48" s="74"/>
      <c r="F48" s="74"/>
      <c r="G48" s="74"/>
      <c r="H48" s="147"/>
    </row>
    <row r="49" spans="3:9">
      <c r="C49" s="143">
        <v>1</v>
      </c>
      <c r="D49" s="60" t="s">
        <v>5</v>
      </c>
      <c r="E49" s="73" t="s">
        <v>6</v>
      </c>
      <c r="F49" s="94">
        <v>0.9</v>
      </c>
      <c r="G49" s="65">
        <f>VLOOKUP(D49,upahbahan,3,FALSE)</f>
        <v>100000</v>
      </c>
      <c r="H49" s="125">
        <f>F49*G49</f>
        <v>90000</v>
      </c>
    </row>
    <row r="50" spans="3:9">
      <c r="C50" s="143">
        <v>2</v>
      </c>
      <c r="D50" s="60" t="s">
        <v>19</v>
      </c>
      <c r="E50" s="73" t="s">
        <v>6</v>
      </c>
      <c r="F50" s="94">
        <v>4.4999999999999998E-2</v>
      </c>
      <c r="G50" s="65">
        <f>VLOOKUP(D50,upahbahan,3,FALSE)</f>
        <v>145000</v>
      </c>
      <c r="H50" s="125">
        <f>F50*G50</f>
        <v>6525</v>
      </c>
    </row>
    <row r="51" spans="3:9" ht="15.75" customHeight="1">
      <c r="C51" s="145" t="s">
        <v>1220</v>
      </c>
      <c r="D51" s="81"/>
      <c r="E51" s="81"/>
      <c r="F51" s="81"/>
      <c r="G51" s="163"/>
      <c r="H51" s="125">
        <f>SUM(H49:H50)</f>
        <v>96525</v>
      </c>
    </row>
    <row r="52" spans="3:9">
      <c r="C52" s="142" t="s">
        <v>1221</v>
      </c>
      <c r="D52" s="60" t="s">
        <v>1222</v>
      </c>
      <c r="E52" s="74"/>
      <c r="F52" s="74"/>
      <c r="G52" s="74"/>
      <c r="H52" s="147"/>
    </row>
    <row r="53" spans="3:9" ht="15.75" customHeight="1">
      <c r="C53" s="145" t="s">
        <v>1226</v>
      </c>
      <c r="D53" s="81"/>
      <c r="E53" s="81"/>
      <c r="F53" s="81"/>
      <c r="G53" s="163"/>
      <c r="H53" s="154">
        <v>0</v>
      </c>
    </row>
    <row r="54" spans="3:9">
      <c r="C54" s="142" t="s">
        <v>1227</v>
      </c>
      <c r="D54" s="60" t="s">
        <v>1228</v>
      </c>
      <c r="E54" s="77"/>
      <c r="F54" s="77"/>
      <c r="G54" s="77"/>
      <c r="H54" s="147"/>
    </row>
    <row r="55" spans="3:9" ht="15.75" customHeight="1">
      <c r="C55" s="145" t="s">
        <v>1229</v>
      </c>
      <c r="D55" s="81"/>
      <c r="E55" s="81"/>
      <c r="F55" s="81"/>
      <c r="G55" s="163"/>
      <c r="H55" s="154">
        <v>0</v>
      </c>
    </row>
    <row r="56" spans="3:9" s="164" customFormat="1">
      <c r="C56" s="123" t="s">
        <v>1230</v>
      </c>
      <c r="D56" s="70" t="s">
        <v>1231</v>
      </c>
      <c r="E56" s="71"/>
      <c r="F56" s="71"/>
      <c r="G56" s="72"/>
      <c r="H56" s="125">
        <f>H51+H53+H55</f>
        <v>96525</v>
      </c>
      <c r="I56" s="55"/>
    </row>
    <row r="57" spans="3:9" s="164" customFormat="1">
      <c r="C57" s="123" t="s">
        <v>1232</v>
      </c>
      <c r="D57" s="70" t="s">
        <v>1267</v>
      </c>
      <c r="E57" s="71"/>
      <c r="F57" s="72"/>
      <c r="G57" s="96">
        <f>$N$7</f>
        <v>0.1</v>
      </c>
      <c r="H57" s="125">
        <f>H56*G57</f>
        <v>9652.5</v>
      </c>
      <c r="I57" s="55"/>
    </row>
    <row r="58" spans="3:9" s="164" customFormat="1" ht="15.75" thickBot="1">
      <c r="C58" s="131" t="s">
        <v>1233</v>
      </c>
      <c r="D58" s="132" t="s">
        <v>1234</v>
      </c>
      <c r="E58" s="133"/>
      <c r="F58" s="133"/>
      <c r="G58" s="156"/>
      <c r="H58" s="135">
        <f>SUM(H56:H57)</f>
        <v>106177.5</v>
      </c>
      <c r="I58" s="55"/>
    </row>
    <row r="59" spans="3:9" s="164" customFormat="1" ht="15.75" thickTop="1">
      <c r="C59" s="58"/>
      <c r="D59" s="82"/>
      <c r="E59" s="82"/>
      <c r="F59" s="82"/>
      <c r="G59" s="82"/>
      <c r="H59" s="83"/>
      <c r="I59" s="55"/>
    </row>
    <row r="60" spans="3:9" ht="15.75" thickBot="1">
      <c r="C60" s="169" t="s">
        <v>1284</v>
      </c>
      <c r="D60" s="55"/>
      <c r="E60" s="149"/>
      <c r="F60" s="149"/>
      <c r="G60" s="149"/>
      <c r="H60" s="149"/>
      <c r="I60" s="57">
        <f>ROUNDDOWN(H72,-2)</f>
        <v>85000</v>
      </c>
    </row>
    <row r="61" spans="3:9" s="93" customFormat="1" ht="29.25" thickTop="1">
      <c r="C61" s="120" t="s">
        <v>1207</v>
      </c>
      <c r="D61" s="121" t="s">
        <v>1208</v>
      </c>
      <c r="E61" s="121" t="s">
        <v>1209</v>
      </c>
      <c r="F61" s="121" t="s">
        <v>1210</v>
      </c>
      <c r="G61" s="121" t="s">
        <v>1211</v>
      </c>
      <c r="H61" s="122" t="s">
        <v>1212</v>
      </c>
      <c r="I61" s="165"/>
    </row>
    <row r="62" spans="3:9">
      <c r="C62" s="142" t="s">
        <v>1213</v>
      </c>
      <c r="D62" s="60" t="s">
        <v>1214</v>
      </c>
      <c r="E62" s="74"/>
      <c r="F62" s="74"/>
      <c r="G62" s="74"/>
      <c r="H62" s="147"/>
    </row>
    <row r="63" spans="3:9">
      <c r="C63" s="143">
        <v>1</v>
      </c>
      <c r="D63" s="60" t="s">
        <v>5</v>
      </c>
      <c r="E63" s="73" t="s">
        <v>6</v>
      </c>
      <c r="F63" s="94">
        <v>0.67500000000000004</v>
      </c>
      <c r="G63" s="65">
        <f>VLOOKUP(D63,upahbahan,3,FALSE)</f>
        <v>100000</v>
      </c>
      <c r="H63" s="125">
        <f>F63*G63</f>
        <v>67500</v>
      </c>
    </row>
    <row r="64" spans="3:9">
      <c r="C64" s="143">
        <v>2</v>
      </c>
      <c r="D64" s="60" t="s">
        <v>19</v>
      </c>
      <c r="E64" s="73" t="s">
        <v>6</v>
      </c>
      <c r="F64" s="94">
        <v>6.7500000000000004E-2</v>
      </c>
      <c r="G64" s="65">
        <f>VLOOKUP(D64,upahbahan,3,FALSE)</f>
        <v>145000</v>
      </c>
      <c r="H64" s="125">
        <f>F64*G64</f>
        <v>9787.5</v>
      </c>
    </row>
    <row r="65" spans="3:9" ht="15.75" customHeight="1">
      <c r="C65" s="145" t="s">
        <v>1220</v>
      </c>
      <c r="D65" s="81"/>
      <c r="E65" s="81"/>
      <c r="F65" s="81"/>
      <c r="G65" s="163"/>
      <c r="H65" s="125">
        <f>SUM(H63:H64)</f>
        <v>77287.5</v>
      </c>
    </row>
    <row r="66" spans="3:9">
      <c r="C66" s="142" t="s">
        <v>1221</v>
      </c>
      <c r="D66" s="60" t="s">
        <v>1222</v>
      </c>
      <c r="E66" s="74"/>
      <c r="F66" s="74"/>
      <c r="G66" s="74"/>
      <c r="H66" s="147"/>
    </row>
    <row r="67" spans="3:9" ht="15.75" customHeight="1">
      <c r="C67" s="145" t="s">
        <v>1226</v>
      </c>
      <c r="D67" s="81"/>
      <c r="E67" s="81"/>
      <c r="F67" s="81"/>
      <c r="G67" s="163"/>
      <c r="H67" s="154">
        <v>0</v>
      </c>
    </row>
    <row r="68" spans="3:9">
      <c r="C68" s="142" t="s">
        <v>1227</v>
      </c>
      <c r="D68" s="60" t="s">
        <v>1228</v>
      </c>
      <c r="E68" s="77"/>
      <c r="F68" s="77"/>
      <c r="G68" s="77"/>
      <c r="H68" s="147"/>
    </row>
    <row r="69" spans="3:9" ht="15.75" customHeight="1">
      <c r="C69" s="145" t="s">
        <v>1229</v>
      </c>
      <c r="D69" s="81"/>
      <c r="E69" s="81"/>
      <c r="F69" s="81"/>
      <c r="G69" s="163"/>
      <c r="H69" s="154">
        <v>0</v>
      </c>
    </row>
    <row r="70" spans="3:9" s="164" customFormat="1">
      <c r="C70" s="123" t="s">
        <v>1230</v>
      </c>
      <c r="D70" s="70" t="s">
        <v>1231</v>
      </c>
      <c r="E70" s="71"/>
      <c r="F70" s="71"/>
      <c r="G70" s="72"/>
      <c r="H70" s="125">
        <f>H65+H67+H69</f>
        <v>77287.5</v>
      </c>
      <c r="I70" s="55"/>
    </row>
    <row r="71" spans="3:9" s="164" customFormat="1">
      <c r="C71" s="123" t="s">
        <v>1232</v>
      </c>
      <c r="D71" s="70" t="s">
        <v>1267</v>
      </c>
      <c r="E71" s="71"/>
      <c r="F71" s="72"/>
      <c r="G71" s="96">
        <f>$N$7</f>
        <v>0.1</v>
      </c>
      <c r="H71" s="125">
        <f>H70*G71</f>
        <v>7728.75</v>
      </c>
      <c r="I71" s="55"/>
    </row>
    <row r="72" spans="3:9" s="164" customFormat="1" ht="15.75" thickBot="1">
      <c r="C72" s="131" t="s">
        <v>1233</v>
      </c>
      <c r="D72" s="132" t="s">
        <v>1234</v>
      </c>
      <c r="E72" s="133"/>
      <c r="F72" s="133"/>
      <c r="G72" s="156"/>
      <c r="H72" s="135">
        <f>SUM(H70:H71)</f>
        <v>85016.25</v>
      </c>
      <c r="I72" s="55"/>
    </row>
    <row r="73" spans="3:9" s="164" customFormat="1" ht="15.75" thickTop="1">
      <c r="C73" s="58"/>
      <c r="D73" s="82"/>
      <c r="E73" s="82"/>
      <c r="F73" s="82"/>
      <c r="G73" s="82"/>
      <c r="H73" s="83"/>
      <c r="I73" s="55"/>
    </row>
    <row r="74" spans="3:9" ht="15.75" thickBot="1">
      <c r="C74" s="169" t="s">
        <v>1285</v>
      </c>
      <c r="D74" s="55"/>
      <c r="E74" s="149"/>
      <c r="F74" s="149"/>
      <c r="G74" s="149"/>
      <c r="H74" s="149"/>
      <c r="I74" s="57">
        <f>ROUNDDOWN(H86,-2)</f>
        <v>126100</v>
      </c>
    </row>
    <row r="75" spans="3:9" s="93" customFormat="1" ht="29.25" thickTop="1">
      <c r="C75" s="120" t="s">
        <v>1207</v>
      </c>
      <c r="D75" s="121" t="s">
        <v>1208</v>
      </c>
      <c r="E75" s="121" t="s">
        <v>1209</v>
      </c>
      <c r="F75" s="121" t="s">
        <v>1210</v>
      </c>
      <c r="G75" s="121" t="s">
        <v>1211</v>
      </c>
      <c r="H75" s="122" t="s">
        <v>1212</v>
      </c>
      <c r="I75" s="165"/>
    </row>
    <row r="76" spans="3:9">
      <c r="C76" s="142" t="s">
        <v>1213</v>
      </c>
      <c r="D76" s="60" t="s">
        <v>1214</v>
      </c>
      <c r="E76" s="74"/>
      <c r="F76" s="74"/>
      <c r="G76" s="74"/>
      <c r="H76" s="147"/>
    </row>
    <row r="77" spans="3:9">
      <c r="C77" s="143">
        <v>1</v>
      </c>
      <c r="D77" s="60" t="s">
        <v>5</v>
      </c>
      <c r="E77" s="73" t="s">
        <v>6</v>
      </c>
      <c r="F77" s="94">
        <v>1.05</v>
      </c>
      <c r="G77" s="65">
        <f>VLOOKUP(D77,upahbahan,3,FALSE)</f>
        <v>100000</v>
      </c>
      <c r="H77" s="125">
        <f>F77*G77</f>
        <v>105000</v>
      </c>
    </row>
    <row r="78" spans="3:9">
      <c r="C78" s="143">
        <v>2</v>
      </c>
      <c r="D78" s="60" t="s">
        <v>19</v>
      </c>
      <c r="E78" s="73" t="s">
        <v>6</v>
      </c>
      <c r="F78" s="94">
        <v>6.7000000000000004E-2</v>
      </c>
      <c r="G78" s="65">
        <f>VLOOKUP(D78,upahbahan,3,FALSE)</f>
        <v>145000</v>
      </c>
      <c r="H78" s="125">
        <f>F78*G78</f>
        <v>9715</v>
      </c>
    </row>
    <row r="79" spans="3:9" ht="15.75" customHeight="1">
      <c r="C79" s="145" t="s">
        <v>1220</v>
      </c>
      <c r="D79" s="81"/>
      <c r="E79" s="81"/>
      <c r="F79" s="81"/>
      <c r="G79" s="163"/>
      <c r="H79" s="125">
        <f>SUM(H77:H78)</f>
        <v>114715</v>
      </c>
    </row>
    <row r="80" spans="3:9">
      <c r="C80" s="142" t="s">
        <v>1221</v>
      </c>
      <c r="D80" s="60" t="s">
        <v>1222</v>
      </c>
      <c r="E80" s="74"/>
      <c r="F80" s="74"/>
      <c r="G80" s="74"/>
      <c r="H80" s="147"/>
    </row>
    <row r="81" spans="3:9" ht="15.75" customHeight="1">
      <c r="C81" s="145" t="s">
        <v>1226</v>
      </c>
      <c r="D81" s="81"/>
      <c r="E81" s="81"/>
      <c r="F81" s="81"/>
      <c r="G81" s="163"/>
      <c r="H81" s="154">
        <v>0</v>
      </c>
    </row>
    <row r="82" spans="3:9">
      <c r="C82" s="142" t="s">
        <v>1227</v>
      </c>
      <c r="D82" s="60" t="s">
        <v>1228</v>
      </c>
      <c r="E82" s="77"/>
      <c r="F82" s="77"/>
      <c r="G82" s="77"/>
      <c r="H82" s="147"/>
    </row>
    <row r="83" spans="3:9" ht="15.75" customHeight="1">
      <c r="C83" s="145" t="s">
        <v>1229</v>
      </c>
      <c r="D83" s="81"/>
      <c r="E83" s="81"/>
      <c r="F83" s="81"/>
      <c r="G83" s="163"/>
      <c r="H83" s="154">
        <v>0</v>
      </c>
    </row>
    <row r="84" spans="3:9" s="164" customFormat="1">
      <c r="C84" s="123" t="s">
        <v>1230</v>
      </c>
      <c r="D84" s="70" t="s">
        <v>1231</v>
      </c>
      <c r="E84" s="71"/>
      <c r="F84" s="71"/>
      <c r="G84" s="72"/>
      <c r="H84" s="125">
        <f>H79+H81+H83</f>
        <v>114715</v>
      </c>
      <c r="I84" s="55"/>
    </row>
    <row r="85" spans="3:9" s="164" customFormat="1">
      <c r="C85" s="123" t="s">
        <v>1232</v>
      </c>
      <c r="D85" s="70" t="s">
        <v>1267</v>
      </c>
      <c r="E85" s="71"/>
      <c r="F85" s="72"/>
      <c r="G85" s="96">
        <f>$N$7</f>
        <v>0.1</v>
      </c>
      <c r="H85" s="125">
        <f>H84*G85</f>
        <v>11471.5</v>
      </c>
      <c r="I85" s="55"/>
    </row>
    <row r="86" spans="3:9" s="164" customFormat="1" ht="15.75" thickBot="1">
      <c r="C86" s="131" t="s">
        <v>1233</v>
      </c>
      <c r="D86" s="132" t="s">
        <v>1234</v>
      </c>
      <c r="E86" s="133"/>
      <c r="F86" s="133"/>
      <c r="G86" s="156"/>
      <c r="H86" s="135">
        <f>SUM(H84:H85)</f>
        <v>126186.5</v>
      </c>
      <c r="I86" s="55"/>
    </row>
    <row r="87" spans="3:9" ht="15.75" thickTop="1">
      <c r="C87" s="90"/>
      <c r="D87" s="91"/>
      <c r="E87" s="91"/>
      <c r="F87" s="91"/>
      <c r="G87" s="91"/>
      <c r="H87" s="92"/>
    </row>
    <row r="88" spans="3:9" ht="15.75" thickBot="1">
      <c r="C88" s="169" t="s">
        <v>1286</v>
      </c>
      <c r="D88" s="55"/>
      <c r="E88" s="149"/>
      <c r="F88" s="149"/>
      <c r="G88" s="149"/>
      <c r="H88" s="149"/>
      <c r="I88" s="57">
        <f>ROUNDDOWN(H100,-2)</f>
        <v>95700</v>
      </c>
    </row>
    <row r="89" spans="3:9" s="93" customFormat="1" ht="29.25" thickTop="1">
      <c r="C89" s="120" t="s">
        <v>1207</v>
      </c>
      <c r="D89" s="121" t="s">
        <v>1208</v>
      </c>
      <c r="E89" s="121" t="s">
        <v>1209</v>
      </c>
      <c r="F89" s="121" t="s">
        <v>1210</v>
      </c>
      <c r="G89" s="121" t="s">
        <v>1211</v>
      </c>
      <c r="H89" s="122" t="s">
        <v>1212</v>
      </c>
      <c r="I89" s="165"/>
    </row>
    <row r="90" spans="3:9">
      <c r="C90" s="142" t="s">
        <v>1213</v>
      </c>
      <c r="D90" s="60" t="s">
        <v>1214</v>
      </c>
      <c r="E90" s="74"/>
      <c r="F90" s="74"/>
      <c r="G90" s="74"/>
      <c r="H90" s="147"/>
    </row>
    <row r="91" spans="3:9">
      <c r="C91" s="143">
        <v>1</v>
      </c>
      <c r="D91" s="60" t="s">
        <v>5</v>
      </c>
      <c r="E91" s="73" t="s">
        <v>6</v>
      </c>
      <c r="F91" s="94">
        <v>0.76</v>
      </c>
      <c r="G91" s="65">
        <f>VLOOKUP(D91,upahbahan,3,FALSE)</f>
        <v>100000</v>
      </c>
      <c r="H91" s="125">
        <f>F91*G91</f>
        <v>76000</v>
      </c>
    </row>
    <row r="92" spans="3:9">
      <c r="C92" s="143">
        <v>2</v>
      </c>
      <c r="D92" s="60" t="s">
        <v>19</v>
      </c>
      <c r="E92" s="73" t="s">
        <v>6</v>
      </c>
      <c r="F92" s="94">
        <v>7.5999999999999998E-2</v>
      </c>
      <c r="G92" s="65">
        <f>VLOOKUP(D92,upahbahan,3,FALSE)</f>
        <v>145000</v>
      </c>
      <c r="H92" s="125">
        <f>F92*G92</f>
        <v>11020</v>
      </c>
    </row>
    <row r="93" spans="3:9" ht="15.75" customHeight="1">
      <c r="C93" s="145" t="s">
        <v>1220</v>
      </c>
      <c r="D93" s="81"/>
      <c r="E93" s="81"/>
      <c r="F93" s="81"/>
      <c r="G93" s="163"/>
      <c r="H93" s="125">
        <f>SUM(H91:H92)</f>
        <v>87020</v>
      </c>
    </row>
    <row r="94" spans="3:9">
      <c r="C94" s="142" t="s">
        <v>1221</v>
      </c>
      <c r="D94" s="60" t="s">
        <v>1222</v>
      </c>
      <c r="E94" s="74"/>
      <c r="F94" s="74"/>
      <c r="G94" s="74"/>
      <c r="H94" s="147"/>
    </row>
    <row r="95" spans="3:9" ht="15.75" customHeight="1">
      <c r="C95" s="145" t="s">
        <v>1226</v>
      </c>
      <c r="D95" s="81"/>
      <c r="E95" s="81"/>
      <c r="F95" s="81"/>
      <c r="G95" s="163"/>
      <c r="H95" s="154">
        <v>0</v>
      </c>
    </row>
    <row r="96" spans="3:9">
      <c r="C96" s="142" t="s">
        <v>1227</v>
      </c>
      <c r="D96" s="60" t="s">
        <v>1228</v>
      </c>
      <c r="E96" s="77"/>
      <c r="F96" s="77"/>
      <c r="G96" s="77"/>
      <c r="H96" s="147"/>
    </row>
    <row r="97" spans="3:9" ht="15.75" customHeight="1">
      <c r="C97" s="145" t="s">
        <v>1229</v>
      </c>
      <c r="D97" s="81"/>
      <c r="E97" s="81"/>
      <c r="F97" s="81"/>
      <c r="G97" s="163"/>
      <c r="H97" s="154">
        <v>0</v>
      </c>
    </row>
    <row r="98" spans="3:9" s="164" customFormat="1">
      <c r="C98" s="123" t="s">
        <v>1230</v>
      </c>
      <c r="D98" s="70" t="s">
        <v>1231</v>
      </c>
      <c r="E98" s="71"/>
      <c r="F98" s="71"/>
      <c r="G98" s="72"/>
      <c r="H98" s="125">
        <f>H93+H95+H97</f>
        <v>87020</v>
      </c>
      <c r="I98" s="55"/>
    </row>
    <row r="99" spans="3:9" s="164" customFormat="1">
      <c r="C99" s="123" t="s">
        <v>1232</v>
      </c>
      <c r="D99" s="70" t="s">
        <v>1267</v>
      </c>
      <c r="E99" s="71"/>
      <c r="F99" s="72"/>
      <c r="G99" s="96">
        <f>$N$7</f>
        <v>0.1</v>
      </c>
      <c r="H99" s="125">
        <f>H98*G99</f>
        <v>8702</v>
      </c>
      <c r="I99" s="55"/>
    </row>
    <row r="100" spans="3:9" s="164" customFormat="1" ht="15.75" thickBot="1">
      <c r="C100" s="131" t="s">
        <v>1233</v>
      </c>
      <c r="D100" s="132" t="s">
        <v>1234</v>
      </c>
      <c r="E100" s="133"/>
      <c r="F100" s="133"/>
      <c r="G100" s="156"/>
      <c r="H100" s="135">
        <f>SUM(H98:H99)</f>
        <v>95722</v>
      </c>
      <c r="I100" s="55"/>
    </row>
    <row r="101" spans="3:9" ht="15.75" thickTop="1">
      <c r="C101" s="90"/>
      <c r="D101" s="91"/>
      <c r="E101" s="91"/>
      <c r="F101" s="91"/>
      <c r="G101" s="91"/>
      <c r="H101" s="92"/>
    </row>
    <row r="102" spans="3:9" ht="15.75" thickBot="1">
      <c r="C102" s="169" t="s">
        <v>1287</v>
      </c>
      <c r="D102" s="55"/>
      <c r="E102" s="149"/>
      <c r="F102" s="149"/>
      <c r="G102" s="149"/>
      <c r="H102" s="149"/>
      <c r="I102" s="57">
        <f>ROUNDDOWN(H114,-2)</f>
        <v>9400</v>
      </c>
    </row>
    <row r="103" spans="3:9" s="93" customFormat="1" ht="29.25" thickTop="1">
      <c r="C103" s="120" t="s">
        <v>1207</v>
      </c>
      <c r="D103" s="121" t="s">
        <v>1208</v>
      </c>
      <c r="E103" s="121" t="s">
        <v>1209</v>
      </c>
      <c r="F103" s="121" t="s">
        <v>1210</v>
      </c>
      <c r="G103" s="121" t="s">
        <v>1211</v>
      </c>
      <c r="H103" s="122" t="s">
        <v>1212</v>
      </c>
      <c r="I103" s="165"/>
    </row>
    <row r="104" spans="3:9">
      <c r="C104" s="142" t="s">
        <v>1213</v>
      </c>
      <c r="D104" s="60" t="s">
        <v>1214</v>
      </c>
      <c r="E104" s="74"/>
      <c r="F104" s="74"/>
      <c r="G104" s="74"/>
      <c r="H104" s="147"/>
    </row>
    <row r="105" spans="3:9">
      <c r="C105" s="143">
        <v>1</v>
      </c>
      <c r="D105" s="60" t="s">
        <v>5</v>
      </c>
      <c r="E105" s="73" t="s">
        <v>6</v>
      </c>
      <c r="F105" s="94">
        <v>7.4999999999999997E-2</v>
      </c>
      <c r="G105" s="65">
        <f>VLOOKUP(D105,upahbahan,3,FALSE)</f>
        <v>100000</v>
      </c>
      <c r="H105" s="125">
        <f>F105*G105</f>
        <v>7500</v>
      </c>
    </row>
    <row r="106" spans="3:9">
      <c r="C106" s="143">
        <v>2</v>
      </c>
      <c r="D106" s="60" t="s">
        <v>19</v>
      </c>
      <c r="E106" s="73" t="s">
        <v>6</v>
      </c>
      <c r="F106" s="94">
        <v>7.4999999999999997E-3</v>
      </c>
      <c r="G106" s="65">
        <f>VLOOKUP(D106,upahbahan,3,FALSE)</f>
        <v>145000</v>
      </c>
      <c r="H106" s="125">
        <f>F106*G106</f>
        <v>1087.5</v>
      </c>
    </row>
    <row r="107" spans="3:9" ht="15.75" customHeight="1">
      <c r="C107" s="145" t="s">
        <v>1220</v>
      </c>
      <c r="D107" s="81"/>
      <c r="E107" s="81"/>
      <c r="F107" s="81"/>
      <c r="G107" s="163"/>
      <c r="H107" s="125">
        <f>SUM(H105:H106)</f>
        <v>8587.5</v>
      </c>
    </row>
    <row r="108" spans="3:9">
      <c r="C108" s="142" t="s">
        <v>1221</v>
      </c>
      <c r="D108" s="60" t="s">
        <v>1222</v>
      </c>
      <c r="E108" s="74"/>
      <c r="F108" s="74"/>
      <c r="G108" s="74"/>
      <c r="H108" s="147"/>
    </row>
    <row r="109" spans="3:9" ht="15.75" customHeight="1">
      <c r="C109" s="145" t="s">
        <v>1226</v>
      </c>
      <c r="D109" s="81"/>
      <c r="E109" s="81"/>
      <c r="F109" s="81"/>
      <c r="G109" s="163"/>
      <c r="H109" s="154">
        <v>0</v>
      </c>
    </row>
    <row r="110" spans="3:9">
      <c r="C110" s="142" t="s">
        <v>1227</v>
      </c>
      <c r="D110" s="60" t="s">
        <v>1228</v>
      </c>
      <c r="E110" s="77"/>
      <c r="F110" s="77"/>
      <c r="G110" s="77"/>
      <c r="H110" s="147"/>
    </row>
    <row r="111" spans="3:9" ht="15.75" customHeight="1">
      <c r="C111" s="145" t="s">
        <v>1229</v>
      </c>
      <c r="D111" s="81"/>
      <c r="E111" s="81"/>
      <c r="F111" s="81"/>
      <c r="G111" s="163"/>
      <c r="H111" s="154">
        <v>0</v>
      </c>
    </row>
    <row r="112" spans="3:9" s="164" customFormat="1">
      <c r="C112" s="123" t="s">
        <v>1230</v>
      </c>
      <c r="D112" s="70" t="s">
        <v>1231</v>
      </c>
      <c r="E112" s="71"/>
      <c r="F112" s="71"/>
      <c r="G112" s="72"/>
      <c r="H112" s="125">
        <f>H107+H109+H111</f>
        <v>8587.5</v>
      </c>
      <c r="I112" s="55"/>
    </row>
    <row r="113" spans="3:9" s="164" customFormat="1">
      <c r="C113" s="123" t="s">
        <v>1232</v>
      </c>
      <c r="D113" s="70" t="s">
        <v>1267</v>
      </c>
      <c r="E113" s="71"/>
      <c r="F113" s="72"/>
      <c r="G113" s="96">
        <f>$N$7</f>
        <v>0.1</v>
      </c>
      <c r="H113" s="125">
        <f>H112*G113</f>
        <v>858.75</v>
      </c>
      <c r="I113" s="55"/>
    </row>
    <row r="114" spans="3:9" s="164" customFormat="1" ht="15.75" thickBot="1">
      <c r="C114" s="131" t="s">
        <v>1233</v>
      </c>
      <c r="D114" s="132" t="s">
        <v>1234</v>
      </c>
      <c r="E114" s="133"/>
      <c r="F114" s="133"/>
      <c r="G114" s="156"/>
      <c r="H114" s="135">
        <f>SUM(H112:H113)</f>
        <v>9446.25</v>
      </c>
      <c r="I114" s="55"/>
    </row>
    <row r="115" spans="3:9" ht="15.75" thickTop="1">
      <c r="C115" s="90"/>
      <c r="D115" s="91"/>
      <c r="E115" s="91"/>
      <c r="F115" s="91"/>
      <c r="G115" s="91"/>
      <c r="H115" s="92"/>
    </row>
    <row r="116" spans="3:9" ht="15.75" thickBot="1">
      <c r="C116" s="169" t="s">
        <v>1288</v>
      </c>
      <c r="D116" s="55"/>
      <c r="E116" s="149"/>
      <c r="F116" s="149"/>
      <c r="G116" s="149"/>
      <c r="H116" s="149"/>
      <c r="I116" s="57">
        <f>ROUNDDOWN(H128,-2)</f>
        <v>176900</v>
      </c>
    </row>
    <row r="117" spans="3:9" s="93" customFormat="1" ht="29.25" thickTop="1">
      <c r="C117" s="120" t="s">
        <v>1207</v>
      </c>
      <c r="D117" s="121" t="s">
        <v>1208</v>
      </c>
      <c r="E117" s="121" t="s">
        <v>1209</v>
      </c>
      <c r="F117" s="121" t="s">
        <v>1210</v>
      </c>
      <c r="G117" s="121" t="s">
        <v>1211</v>
      </c>
      <c r="H117" s="122" t="s">
        <v>1212</v>
      </c>
      <c r="I117" s="165"/>
    </row>
    <row r="118" spans="3:9">
      <c r="C118" s="142" t="s">
        <v>1213</v>
      </c>
      <c r="D118" s="60" t="s">
        <v>1214</v>
      </c>
      <c r="E118" s="74"/>
      <c r="F118" s="74"/>
      <c r="G118" s="74"/>
      <c r="H118" s="147"/>
    </row>
    <row r="119" spans="3:9">
      <c r="C119" s="143">
        <v>1</v>
      </c>
      <c r="D119" s="60" t="s">
        <v>5</v>
      </c>
      <c r="E119" s="73" t="s">
        <v>6</v>
      </c>
      <c r="F119" s="94">
        <v>1.5</v>
      </c>
      <c r="G119" s="65">
        <f>VLOOKUP(D119,upahbahan,3,FALSE)</f>
        <v>100000</v>
      </c>
      <c r="H119" s="125">
        <f>F119*G119</f>
        <v>150000</v>
      </c>
    </row>
    <row r="120" spans="3:9">
      <c r="C120" s="143">
        <v>2</v>
      </c>
      <c r="D120" s="60" t="s">
        <v>19</v>
      </c>
      <c r="E120" s="73" t="s">
        <v>6</v>
      </c>
      <c r="F120" s="94">
        <v>7.4999999999999997E-2</v>
      </c>
      <c r="G120" s="65">
        <f>VLOOKUP(D120,upahbahan,3,FALSE)</f>
        <v>145000</v>
      </c>
      <c r="H120" s="125">
        <f>F120*G120</f>
        <v>10875</v>
      </c>
    </row>
    <row r="121" spans="3:9" ht="15.75" customHeight="1">
      <c r="C121" s="145" t="s">
        <v>1220</v>
      </c>
      <c r="D121" s="81"/>
      <c r="E121" s="81"/>
      <c r="F121" s="81"/>
      <c r="G121" s="163"/>
      <c r="H121" s="125">
        <f>SUM(H119:H120)</f>
        <v>160875</v>
      </c>
    </row>
    <row r="122" spans="3:9">
      <c r="C122" s="142" t="s">
        <v>1221</v>
      </c>
      <c r="D122" s="60" t="s">
        <v>1222</v>
      </c>
      <c r="E122" s="74"/>
      <c r="F122" s="74"/>
      <c r="G122" s="74"/>
      <c r="H122" s="147"/>
    </row>
    <row r="123" spans="3:9" ht="15.75" customHeight="1">
      <c r="C123" s="145" t="s">
        <v>1226</v>
      </c>
      <c r="D123" s="81"/>
      <c r="E123" s="81"/>
      <c r="F123" s="81"/>
      <c r="G123" s="163"/>
      <c r="H123" s="154">
        <v>0</v>
      </c>
    </row>
    <row r="124" spans="3:9">
      <c r="C124" s="142" t="s">
        <v>1227</v>
      </c>
      <c r="D124" s="60" t="s">
        <v>1228</v>
      </c>
      <c r="E124" s="77"/>
      <c r="F124" s="77"/>
      <c r="G124" s="77"/>
      <c r="H124" s="147"/>
    </row>
    <row r="125" spans="3:9" ht="15.75" customHeight="1">
      <c r="C125" s="145" t="s">
        <v>1229</v>
      </c>
      <c r="D125" s="81"/>
      <c r="E125" s="81"/>
      <c r="F125" s="81"/>
      <c r="G125" s="163"/>
      <c r="H125" s="154">
        <v>0</v>
      </c>
    </row>
    <row r="126" spans="3:9" s="164" customFormat="1">
      <c r="C126" s="123" t="s">
        <v>1230</v>
      </c>
      <c r="D126" s="70" t="s">
        <v>1231</v>
      </c>
      <c r="E126" s="71"/>
      <c r="F126" s="71"/>
      <c r="G126" s="72"/>
      <c r="H126" s="125">
        <f>H121+H123+H125</f>
        <v>160875</v>
      </c>
      <c r="I126" s="55"/>
    </row>
    <row r="127" spans="3:9" s="164" customFormat="1">
      <c r="C127" s="123" t="s">
        <v>1232</v>
      </c>
      <c r="D127" s="70" t="s">
        <v>1267</v>
      </c>
      <c r="E127" s="71"/>
      <c r="F127" s="72"/>
      <c r="G127" s="96">
        <f>$N$7</f>
        <v>0.1</v>
      </c>
      <c r="H127" s="125">
        <f>H126*G127</f>
        <v>16087.5</v>
      </c>
      <c r="I127" s="55"/>
    </row>
    <row r="128" spans="3:9" s="164" customFormat="1" ht="15.75" thickBot="1">
      <c r="C128" s="131" t="s">
        <v>1233</v>
      </c>
      <c r="D128" s="132" t="s">
        <v>1234</v>
      </c>
      <c r="E128" s="133"/>
      <c r="F128" s="133"/>
      <c r="G128" s="156"/>
      <c r="H128" s="135">
        <f>SUM(H126:H127)</f>
        <v>176962.5</v>
      </c>
      <c r="I128" s="55"/>
    </row>
    <row r="129" spans="3:9" ht="15.75" thickTop="1">
      <c r="C129" s="90"/>
      <c r="D129" s="91"/>
      <c r="E129" s="91"/>
      <c r="F129" s="91"/>
      <c r="G129" s="91"/>
      <c r="H129" s="92"/>
    </row>
    <row r="130" spans="3:9" ht="15.75" thickBot="1">
      <c r="C130" s="169" t="s">
        <v>1289</v>
      </c>
      <c r="D130" s="55"/>
      <c r="E130" s="149"/>
      <c r="F130" s="149"/>
      <c r="G130" s="149"/>
      <c r="H130" s="149"/>
      <c r="I130" s="57">
        <f>ROUNDDOWN(H142,-2)</f>
        <v>157400</v>
      </c>
    </row>
    <row r="131" spans="3:9" s="93" customFormat="1" ht="29.25" thickTop="1">
      <c r="C131" s="120" t="s">
        <v>1207</v>
      </c>
      <c r="D131" s="121" t="s">
        <v>1208</v>
      </c>
      <c r="E131" s="121" t="s">
        <v>1209</v>
      </c>
      <c r="F131" s="121" t="s">
        <v>1210</v>
      </c>
      <c r="G131" s="121" t="s">
        <v>1211</v>
      </c>
      <c r="H131" s="122" t="s">
        <v>1212</v>
      </c>
      <c r="I131" s="165"/>
    </row>
    <row r="132" spans="3:9">
      <c r="C132" s="142" t="s">
        <v>1213</v>
      </c>
      <c r="D132" s="60" t="s">
        <v>1214</v>
      </c>
      <c r="E132" s="74"/>
      <c r="F132" s="74"/>
      <c r="G132" s="74"/>
      <c r="H132" s="147"/>
    </row>
    <row r="133" spans="3:9">
      <c r="C133" s="143">
        <v>1</v>
      </c>
      <c r="D133" s="60" t="s">
        <v>5</v>
      </c>
      <c r="E133" s="73" t="s">
        <v>6</v>
      </c>
      <c r="F133" s="94">
        <v>1.25</v>
      </c>
      <c r="G133" s="65">
        <f>VLOOKUP(D133,upahbahan,3,FALSE)</f>
        <v>100000</v>
      </c>
      <c r="H133" s="125">
        <f>F133*G133</f>
        <v>125000</v>
      </c>
    </row>
    <row r="134" spans="3:9">
      <c r="C134" s="143">
        <v>2</v>
      </c>
      <c r="D134" s="60" t="s">
        <v>19</v>
      </c>
      <c r="E134" s="73" t="s">
        <v>6</v>
      </c>
      <c r="F134" s="94">
        <v>0.125</v>
      </c>
      <c r="G134" s="65">
        <f>VLOOKUP(D134,upahbahan,3,FALSE)</f>
        <v>145000</v>
      </c>
      <c r="H134" s="125">
        <f>F134*G134</f>
        <v>18125</v>
      </c>
    </row>
    <row r="135" spans="3:9" ht="15.75" customHeight="1">
      <c r="C135" s="145" t="s">
        <v>1220</v>
      </c>
      <c r="D135" s="81"/>
      <c r="E135" s="81"/>
      <c r="F135" s="81"/>
      <c r="G135" s="163"/>
      <c r="H135" s="125">
        <f>SUM(H133:H134)</f>
        <v>143125</v>
      </c>
    </row>
    <row r="136" spans="3:9">
      <c r="C136" s="142" t="s">
        <v>1221</v>
      </c>
      <c r="D136" s="60" t="s">
        <v>1222</v>
      </c>
      <c r="E136" s="74"/>
      <c r="F136" s="74"/>
      <c r="G136" s="74"/>
      <c r="H136" s="147"/>
    </row>
    <row r="137" spans="3:9" ht="15.75" customHeight="1">
      <c r="C137" s="145" t="s">
        <v>1226</v>
      </c>
      <c r="D137" s="81"/>
      <c r="E137" s="81"/>
      <c r="F137" s="81"/>
      <c r="G137" s="163"/>
      <c r="H137" s="154">
        <v>0</v>
      </c>
    </row>
    <row r="138" spans="3:9">
      <c r="C138" s="142" t="s">
        <v>1227</v>
      </c>
      <c r="D138" s="60" t="s">
        <v>1228</v>
      </c>
      <c r="E138" s="77"/>
      <c r="F138" s="77"/>
      <c r="G138" s="77"/>
      <c r="H138" s="147"/>
    </row>
    <row r="139" spans="3:9" ht="15.75" customHeight="1">
      <c r="C139" s="145" t="s">
        <v>1229</v>
      </c>
      <c r="D139" s="81"/>
      <c r="E139" s="81"/>
      <c r="F139" s="81"/>
      <c r="G139" s="163"/>
      <c r="H139" s="154">
        <v>0</v>
      </c>
    </row>
    <row r="140" spans="3:9" s="164" customFormat="1">
      <c r="C140" s="123" t="s">
        <v>1230</v>
      </c>
      <c r="D140" s="70" t="s">
        <v>1231</v>
      </c>
      <c r="E140" s="71"/>
      <c r="F140" s="71"/>
      <c r="G140" s="72"/>
      <c r="H140" s="125">
        <f>H135+H137+H139</f>
        <v>143125</v>
      </c>
      <c r="I140" s="55"/>
    </row>
    <row r="141" spans="3:9" s="164" customFormat="1">
      <c r="C141" s="123" t="s">
        <v>1232</v>
      </c>
      <c r="D141" s="70" t="s">
        <v>1267</v>
      </c>
      <c r="E141" s="71"/>
      <c r="F141" s="72"/>
      <c r="G141" s="96">
        <f>$N$7</f>
        <v>0.1</v>
      </c>
      <c r="H141" s="125">
        <f>H140*G141</f>
        <v>14312.5</v>
      </c>
      <c r="I141" s="55"/>
    </row>
    <row r="142" spans="3:9" s="164" customFormat="1" ht="15.75" thickBot="1">
      <c r="C142" s="131" t="s">
        <v>1233</v>
      </c>
      <c r="D142" s="132" t="s">
        <v>1234</v>
      </c>
      <c r="E142" s="133"/>
      <c r="F142" s="133"/>
      <c r="G142" s="156"/>
      <c r="H142" s="135">
        <f>SUM(H140:H141)</f>
        <v>157437.5</v>
      </c>
      <c r="I142" s="55"/>
    </row>
    <row r="143" spans="3:9" ht="15.75" thickTop="1">
      <c r="C143" s="90"/>
      <c r="D143" s="91"/>
      <c r="E143" s="91"/>
      <c r="F143" s="91"/>
      <c r="G143" s="91"/>
      <c r="H143" s="92"/>
    </row>
    <row r="144" spans="3:9" ht="15.75" thickBot="1">
      <c r="C144" s="169" t="s">
        <v>1290</v>
      </c>
      <c r="D144" s="55"/>
      <c r="E144" s="149"/>
      <c r="F144" s="149"/>
      <c r="G144" s="149"/>
      <c r="H144" s="149"/>
      <c r="I144" s="57">
        <f>ROUNDDOWN(H156,-2)</f>
        <v>174500</v>
      </c>
    </row>
    <row r="145" spans="3:9" s="93" customFormat="1" ht="29.25" thickTop="1">
      <c r="C145" s="120" t="s">
        <v>1207</v>
      </c>
      <c r="D145" s="121" t="s">
        <v>1208</v>
      </c>
      <c r="E145" s="121" t="s">
        <v>1209</v>
      </c>
      <c r="F145" s="121" t="s">
        <v>1210</v>
      </c>
      <c r="G145" s="121" t="s">
        <v>1211</v>
      </c>
      <c r="H145" s="122" t="s">
        <v>1212</v>
      </c>
      <c r="I145" s="165"/>
    </row>
    <row r="146" spans="3:9">
      <c r="C146" s="142" t="s">
        <v>1213</v>
      </c>
      <c r="D146" s="60" t="s">
        <v>1214</v>
      </c>
      <c r="E146" s="74"/>
      <c r="F146" s="74"/>
      <c r="G146" s="74"/>
      <c r="H146" s="147"/>
    </row>
    <row r="147" spans="3:9">
      <c r="C147" s="143">
        <v>1</v>
      </c>
      <c r="D147" s="60" t="s">
        <v>5</v>
      </c>
      <c r="E147" s="73" t="s">
        <v>6</v>
      </c>
      <c r="F147" s="94">
        <v>1.5</v>
      </c>
      <c r="G147" s="65">
        <f>VLOOKUP(D147,upahbahan,3,FALSE)</f>
        <v>100000</v>
      </c>
      <c r="H147" s="125">
        <f>F147*G147</f>
        <v>150000</v>
      </c>
    </row>
    <row r="148" spans="3:9">
      <c r="C148" s="143">
        <v>2</v>
      </c>
      <c r="D148" s="60" t="s">
        <v>19</v>
      </c>
      <c r="E148" s="73" t="s">
        <v>6</v>
      </c>
      <c r="F148" s="94">
        <v>0.06</v>
      </c>
      <c r="G148" s="65">
        <f>VLOOKUP(D148,upahbahan,3,FALSE)</f>
        <v>145000</v>
      </c>
      <c r="H148" s="125">
        <f>F148*G148</f>
        <v>8700</v>
      </c>
    </row>
    <row r="149" spans="3:9" ht="15.75" customHeight="1">
      <c r="C149" s="145" t="s">
        <v>1220</v>
      </c>
      <c r="D149" s="81"/>
      <c r="E149" s="81"/>
      <c r="F149" s="81"/>
      <c r="G149" s="163"/>
      <c r="H149" s="125">
        <f>SUM(H147:H148)</f>
        <v>158700</v>
      </c>
    </row>
    <row r="150" spans="3:9">
      <c r="C150" s="142" t="s">
        <v>1221</v>
      </c>
      <c r="D150" s="60" t="s">
        <v>1222</v>
      </c>
      <c r="E150" s="74"/>
      <c r="F150" s="74"/>
      <c r="G150" s="74"/>
      <c r="H150" s="147"/>
    </row>
    <row r="151" spans="3:9" ht="15.75" customHeight="1">
      <c r="C151" s="145" t="s">
        <v>1226</v>
      </c>
      <c r="D151" s="81"/>
      <c r="E151" s="81"/>
      <c r="F151" s="81"/>
      <c r="G151" s="163"/>
      <c r="H151" s="154">
        <v>0</v>
      </c>
    </row>
    <row r="152" spans="3:9">
      <c r="C152" s="142" t="s">
        <v>1227</v>
      </c>
      <c r="D152" s="60" t="s">
        <v>1228</v>
      </c>
      <c r="E152" s="77"/>
      <c r="F152" s="77"/>
      <c r="G152" s="77"/>
      <c r="H152" s="147"/>
    </row>
    <row r="153" spans="3:9" ht="15.75" customHeight="1">
      <c r="C153" s="145" t="s">
        <v>1229</v>
      </c>
      <c r="D153" s="81"/>
      <c r="E153" s="81"/>
      <c r="F153" s="81"/>
      <c r="G153" s="163"/>
      <c r="H153" s="154">
        <v>0</v>
      </c>
    </row>
    <row r="154" spans="3:9" s="164" customFormat="1">
      <c r="C154" s="123" t="s">
        <v>1230</v>
      </c>
      <c r="D154" s="70" t="s">
        <v>1231</v>
      </c>
      <c r="E154" s="71"/>
      <c r="F154" s="71"/>
      <c r="G154" s="72"/>
      <c r="H154" s="125">
        <f>H149+H151+H153</f>
        <v>158700</v>
      </c>
      <c r="I154" s="55"/>
    </row>
    <row r="155" spans="3:9" s="164" customFormat="1">
      <c r="C155" s="123" t="s">
        <v>1232</v>
      </c>
      <c r="D155" s="70" t="s">
        <v>1267</v>
      </c>
      <c r="E155" s="71"/>
      <c r="F155" s="72"/>
      <c r="G155" s="96">
        <f>$N$7</f>
        <v>0.1</v>
      </c>
      <c r="H155" s="125">
        <f>H154*G155</f>
        <v>15870</v>
      </c>
      <c r="I155" s="55"/>
    </row>
    <row r="156" spans="3:9" s="164" customFormat="1" ht="15.75" thickBot="1">
      <c r="C156" s="131" t="s">
        <v>1233</v>
      </c>
      <c r="D156" s="132" t="s">
        <v>1234</v>
      </c>
      <c r="E156" s="133"/>
      <c r="F156" s="133"/>
      <c r="G156" s="156"/>
      <c r="H156" s="135">
        <f>SUM(H154:H155)</f>
        <v>174570</v>
      </c>
      <c r="I156" s="55"/>
    </row>
    <row r="157" spans="3:9" ht="15.75" thickTop="1">
      <c r="C157" s="90"/>
      <c r="D157" s="91"/>
      <c r="E157" s="91"/>
      <c r="F157" s="91"/>
      <c r="G157" s="91"/>
      <c r="H157" s="92"/>
    </row>
    <row r="158" spans="3:9" ht="15.75" thickBot="1">
      <c r="C158" s="169" t="s">
        <v>1291</v>
      </c>
      <c r="D158" s="55"/>
      <c r="E158" s="149"/>
      <c r="F158" s="149"/>
      <c r="G158" s="149"/>
      <c r="H158" s="149"/>
      <c r="I158" s="57">
        <f>ROUNDDOWN(H170,-2)</f>
        <v>175300</v>
      </c>
    </row>
    <row r="159" spans="3:9" s="93" customFormat="1" ht="29.25" thickTop="1">
      <c r="C159" s="120" t="s">
        <v>1207</v>
      </c>
      <c r="D159" s="121" t="s">
        <v>1208</v>
      </c>
      <c r="E159" s="121" t="s">
        <v>1209</v>
      </c>
      <c r="F159" s="121" t="s">
        <v>1210</v>
      </c>
      <c r="G159" s="121" t="s">
        <v>1211</v>
      </c>
      <c r="H159" s="122" t="s">
        <v>1212</v>
      </c>
      <c r="I159" s="165"/>
    </row>
    <row r="160" spans="3:9">
      <c r="C160" s="142" t="s">
        <v>1213</v>
      </c>
      <c r="D160" s="60" t="s">
        <v>1214</v>
      </c>
      <c r="E160" s="74"/>
      <c r="F160" s="74"/>
      <c r="G160" s="74"/>
      <c r="H160" s="147"/>
    </row>
    <row r="161" spans="3:9">
      <c r="C161" s="143">
        <v>1</v>
      </c>
      <c r="D161" s="60" t="s">
        <v>5</v>
      </c>
      <c r="E161" s="73" t="s">
        <v>6</v>
      </c>
      <c r="F161" s="94">
        <v>1.3919999999999999</v>
      </c>
      <c r="G161" s="65">
        <f>VLOOKUP(D161,upahbahan,3,FALSE)</f>
        <v>100000</v>
      </c>
      <c r="H161" s="125">
        <f>F161*G161</f>
        <v>139200</v>
      </c>
    </row>
    <row r="162" spans="3:9">
      <c r="C162" s="143">
        <v>2</v>
      </c>
      <c r="D162" s="60" t="s">
        <v>19</v>
      </c>
      <c r="E162" s="73" t="s">
        <v>6</v>
      </c>
      <c r="F162" s="94">
        <v>0.13919999999999999</v>
      </c>
      <c r="G162" s="65">
        <f>VLOOKUP(D162,upahbahan,3,FALSE)</f>
        <v>145000</v>
      </c>
      <c r="H162" s="125">
        <f>F162*G162</f>
        <v>20184</v>
      </c>
    </row>
    <row r="163" spans="3:9" ht="15.75" customHeight="1">
      <c r="C163" s="145" t="s">
        <v>1220</v>
      </c>
      <c r="D163" s="81"/>
      <c r="E163" s="81"/>
      <c r="F163" s="81"/>
      <c r="G163" s="163"/>
      <c r="H163" s="125">
        <f>SUM(H161:H162)</f>
        <v>159384</v>
      </c>
    </row>
    <row r="164" spans="3:9">
      <c r="C164" s="142" t="s">
        <v>1221</v>
      </c>
      <c r="D164" s="60" t="s">
        <v>1222</v>
      </c>
      <c r="E164" s="74"/>
      <c r="F164" s="74"/>
      <c r="G164" s="74"/>
      <c r="H164" s="147"/>
    </row>
    <row r="165" spans="3:9" ht="15.75" customHeight="1">
      <c r="C165" s="145" t="s">
        <v>1226</v>
      </c>
      <c r="D165" s="81"/>
      <c r="E165" s="81"/>
      <c r="F165" s="81"/>
      <c r="G165" s="163"/>
      <c r="H165" s="154">
        <v>0</v>
      </c>
    </row>
    <row r="166" spans="3:9">
      <c r="C166" s="142" t="s">
        <v>1227</v>
      </c>
      <c r="D166" s="60" t="s">
        <v>1228</v>
      </c>
      <c r="E166" s="77"/>
      <c r="F166" s="77"/>
      <c r="G166" s="77"/>
      <c r="H166" s="147"/>
    </row>
    <row r="167" spans="3:9" ht="15.75" customHeight="1">
      <c r="C167" s="145" t="s">
        <v>1229</v>
      </c>
      <c r="D167" s="81"/>
      <c r="E167" s="81"/>
      <c r="F167" s="81"/>
      <c r="G167" s="163"/>
      <c r="H167" s="154">
        <v>0</v>
      </c>
    </row>
    <row r="168" spans="3:9" s="164" customFormat="1">
      <c r="C168" s="123" t="s">
        <v>1230</v>
      </c>
      <c r="D168" s="70" t="s">
        <v>1231</v>
      </c>
      <c r="E168" s="71"/>
      <c r="F168" s="71"/>
      <c r="G168" s="72"/>
      <c r="H168" s="125">
        <f>H163+H165+H167</f>
        <v>159384</v>
      </c>
      <c r="I168" s="55"/>
    </row>
    <row r="169" spans="3:9" s="164" customFormat="1">
      <c r="C169" s="123" t="s">
        <v>1232</v>
      </c>
      <c r="D169" s="70" t="s">
        <v>1267</v>
      </c>
      <c r="E169" s="71"/>
      <c r="F169" s="72"/>
      <c r="G169" s="96">
        <f>$N$7</f>
        <v>0.1</v>
      </c>
      <c r="H169" s="125">
        <f>H168*G169</f>
        <v>15938.400000000001</v>
      </c>
      <c r="I169" s="55"/>
    </row>
    <row r="170" spans="3:9" s="164" customFormat="1" ht="15.75" thickBot="1">
      <c r="C170" s="131" t="s">
        <v>1233</v>
      </c>
      <c r="D170" s="132" t="s">
        <v>1234</v>
      </c>
      <c r="E170" s="133"/>
      <c r="F170" s="133"/>
      <c r="G170" s="156"/>
      <c r="H170" s="135">
        <f>SUM(H168:H169)</f>
        <v>175322.4</v>
      </c>
      <c r="I170" s="55"/>
    </row>
    <row r="171" spans="3:9" ht="15.75" thickTop="1">
      <c r="C171" s="90"/>
      <c r="D171" s="91"/>
      <c r="E171" s="91"/>
      <c r="F171" s="91"/>
      <c r="G171" s="91"/>
      <c r="H171" s="92"/>
    </row>
    <row r="172" spans="3:9" ht="15.75" thickBot="1">
      <c r="C172" s="169" t="s">
        <v>1292</v>
      </c>
      <c r="D172" s="55"/>
      <c r="E172" s="149"/>
      <c r="F172" s="149"/>
      <c r="G172" s="149"/>
      <c r="H172" s="149"/>
      <c r="I172" s="57">
        <f>ROUNDDOWN(H184,-2)</f>
        <v>188900</v>
      </c>
    </row>
    <row r="173" spans="3:9" s="93" customFormat="1" ht="29.25" thickTop="1">
      <c r="C173" s="120" t="s">
        <v>1207</v>
      </c>
      <c r="D173" s="121" t="s">
        <v>1208</v>
      </c>
      <c r="E173" s="121" t="s">
        <v>1209</v>
      </c>
      <c r="F173" s="121" t="s">
        <v>1210</v>
      </c>
      <c r="G173" s="121" t="s">
        <v>1211</v>
      </c>
      <c r="H173" s="122" t="s">
        <v>1212</v>
      </c>
      <c r="I173" s="165"/>
    </row>
    <row r="174" spans="3:9">
      <c r="C174" s="142" t="s">
        <v>1213</v>
      </c>
      <c r="D174" s="60" t="s">
        <v>1214</v>
      </c>
      <c r="E174" s="74"/>
      <c r="F174" s="74"/>
      <c r="G174" s="74"/>
      <c r="H174" s="147"/>
    </row>
    <row r="175" spans="3:9">
      <c r="C175" s="143">
        <v>1</v>
      </c>
      <c r="D175" s="60" t="s">
        <v>5</v>
      </c>
      <c r="E175" s="73" t="s">
        <v>6</v>
      </c>
      <c r="F175" s="94">
        <v>1.5</v>
      </c>
      <c r="G175" s="65">
        <f>VLOOKUP(D175,upahbahan,3,FALSE)</f>
        <v>100000</v>
      </c>
      <c r="H175" s="125">
        <f>F175*G175</f>
        <v>150000</v>
      </c>
    </row>
    <row r="176" spans="3:9">
      <c r="C176" s="143">
        <v>2</v>
      </c>
      <c r="D176" s="60" t="s">
        <v>19</v>
      </c>
      <c r="E176" s="73" t="s">
        <v>6</v>
      </c>
      <c r="F176" s="94">
        <v>0.15</v>
      </c>
      <c r="G176" s="65">
        <f>VLOOKUP(D176,upahbahan,3,FALSE)</f>
        <v>145000</v>
      </c>
      <c r="H176" s="125">
        <f>F176*G176</f>
        <v>21750</v>
      </c>
    </row>
    <row r="177" spans="3:9" ht="15.75" customHeight="1">
      <c r="C177" s="145" t="s">
        <v>1220</v>
      </c>
      <c r="D177" s="81"/>
      <c r="E177" s="81"/>
      <c r="F177" s="81"/>
      <c r="G177" s="163"/>
      <c r="H177" s="125">
        <f>SUM(H175:H176)</f>
        <v>171750</v>
      </c>
    </row>
    <row r="178" spans="3:9">
      <c r="C178" s="142" t="s">
        <v>1221</v>
      </c>
      <c r="D178" s="60" t="s">
        <v>1222</v>
      </c>
      <c r="E178" s="74"/>
      <c r="F178" s="74"/>
      <c r="G178" s="74"/>
      <c r="H178" s="147"/>
    </row>
    <row r="179" spans="3:9" ht="15.75" customHeight="1">
      <c r="C179" s="145" t="s">
        <v>1226</v>
      </c>
      <c r="D179" s="81"/>
      <c r="E179" s="81"/>
      <c r="F179" s="81"/>
      <c r="G179" s="163"/>
      <c r="H179" s="154">
        <v>0</v>
      </c>
    </row>
    <row r="180" spans="3:9">
      <c r="C180" s="142" t="s">
        <v>1227</v>
      </c>
      <c r="D180" s="60" t="s">
        <v>1228</v>
      </c>
      <c r="E180" s="77"/>
      <c r="F180" s="77"/>
      <c r="G180" s="77"/>
      <c r="H180" s="147"/>
    </row>
    <row r="181" spans="3:9" ht="15.75" customHeight="1">
      <c r="C181" s="145" t="s">
        <v>1229</v>
      </c>
      <c r="D181" s="81"/>
      <c r="E181" s="81"/>
      <c r="F181" s="81"/>
      <c r="G181" s="163"/>
      <c r="H181" s="154">
        <v>0</v>
      </c>
    </row>
    <row r="182" spans="3:9" s="164" customFormat="1">
      <c r="C182" s="123" t="s">
        <v>1230</v>
      </c>
      <c r="D182" s="70" t="s">
        <v>1231</v>
      </c>
      <c r="E182" s="71"/>
      <c r="F182" s="71"/>
      <c r="G182" s="72"/>
      <c r="H182" s="125">
        <f>H177+H179+H181</f>
        <v>171750</v>
      </c>
      <c r="I182" s="55"/>
    </row>
    <row r="183" spans="3:9" s="164" customFormat="1">
      <c r="C183" s="123" t="s">
        <v>1232</v>
      </c>
      <c r="D183" s="70" t="s">
        <v>1267</v>
      </c>
      <c r="E183" s="71"/>
      <c r="F183" s="72"/>
      <c r="G183" s="96">
        <f>$N$7</f>
        <v>0.1</v>
      </c>
      <c r="H183" s="125">
        <f>H182*G183</f>
        <v>17175</v>
      </c>
      <c r="I183" s="55"/>
    </row>
    <row r="184" spans="3:9" s="164" customFormat="1" ht="15.75" thickBot="1">
      <c r="C184" s="131" t="s">
        <v>1233</v>
      </c>
      <c r="D184" s="132" t="s">
        <v>1234</v>
      </c>
      <c r="E184" s="133"/>
      <c r="F184" s="133"/>
      <c r="G184" s="156"/>
      <c r="H184" s="135">
        <f>SUM(H182:H183)</f>
        <v>188925</v>
      </c>
      <c r="I184" s="55"/>
    </row>
    <row r="185" spans="3:9" ht="15.75" thickTop="1">
      <c r="C185" s="90"/>
      <c r="D185" s="91"/>
      <c r="E185" s="91"/>
      <c r="F185" s="91"/>
      <c r="G185" s="91"/>
      <c r="H185" s="92"/>
    </row>
    <row r="186" spans="3:9" ht="15.75" thickBot="1">
      <c r="C186" s="169" t="s">
        <v>1293</v>
      </c>
      <c r="D186" s="55"/>
      <c r="E186" s="149"/>
      <c r="F186" s="149"/>
      <c r="G186" s="149"/>
      <c r="H186" s="149"/>
      <c r="I186" s="57">
        <f>ROUNDDOWN(H198,-2)</f>
        <v>12500</v>
      </c>
    </row>
    <row r="187" spans="3:9" s="93" customFormat="1" ht="29.25" thickTop="1">
      <c r="C187" s="120" t="s">
        <v>1207</v>
      </c>
      <c r="D187" s="121" t="s">
        <v>1208</v>
      </c>
      <c r="E187" s="121" t="s">
        <v>1209</v>
      </c>
      <c r="F187" s="121" t="s">
        <v>1210</v>
      </c>
      <c r="G187" s="121" t="s">
        <v>1211</v>
      </c>
      <c r="H187" s="122" t="s">
        <v>1212</v>
      </c>
      <c r="I187" s="165"/>
    </row>
    <row r="188" spans="3:9">
      <c r="C188" s="142" t="s">
        <v>1213</v>
      </c>
      <c r="D188" s="60" t="s">
        <v>1214</v>
      </c>
      <c r="E188" s="74"/>
      <c r="F188" s="74"/>
      <c r="G188" s="74"/>
      <c r="H188" s="147"/>
    </row>
    <row r="189" spans="3:9">
      <c r="C189" s="143">
        <v>1</v>
      </c>
      <c r="D189" s="60" t="s">
        <v>5</v>
      </c>
      <c r="E189" s="73" t="s">
        <v>6</v>
      </c>
      <c r="F189" s="94">
        <v>0.1</v>
      </c>
      <c r="G189" s="65">
        <f>VLOOKUP(D189,upahbahan,3,FALSE)</f>
        <v>100000</v>
      </c>
      <c r="H189" s="125">
        <f>F189*G189</f>
        <v>10000</v>
      </c>
    </row>
    <row r="190" spans="3:9">
      <c r="C190" s="143">
        <v>2</v>
      </c>
      <c r="D190" s="60" t="s">
        <v>19</v>
      </c>
      <c r="E190" s="73" t="s">
        <v>6</v>
      </c>
      <c r="F190" s="94">
        <v>0.01</v>
      </c>
      <c r="G190" s="65">
        <f>VLOOKUP(D190,upahbahan,3,FALSE)</f>
        <v>145000</v>
      </c>
      <c r="H190" s="125">
        <f>F190*G190</f>
        <v>1450</v>
      </c>
    </row>
    <row r="191" spans="3:9" ht="15.75" customHeight="1">
      <c r="C191" s="145" t="s">
        <v>1220</v>
      </c>
      <c r="D191" s="81"/>
      <c r="E191" s="81"/>
      <c r="F191" s="81"/>
      <c r="G191" s="163"/>
      <c r="H191" s="125">
        <f>SUM(H189:H190)</f>
        <v>11450</v>
      </c>
    </row>
    <row r="192" spans="3:9">
      <c r="C192" s="142" t="s">
        <v>1221</v>
      </c>
      <c r="D192" s="60" t="s">
        <v>1222</v>
      </c>
      <c r="E192" s="74"/>
      <c r="F192" s="74"/>
      <c r="G192" s="74"/>
      <c r="H192" s="147"/>
    </row>
    <row r="193" spans="3:9" ht="15.75" customHeight="1">
      <c r="C193" s="145" t="s">
        <v>1226</v>
      </c>
      <c r="D193" s="81"/>
      <c r="E193" s="81"/>
      <c r="F193" s="81"/>
      <c r="G193" s="163"/>
      <c r="H193" s="154">
        <v>0</v>
      </c>
    </row>
    <row r="194" spans="3:9">
      <c r="C194" s="142" t="s">
        <v>1227</v>
      </c>
      <c r="D194" s="60" t="s">
        <v>1228</v>
      </c>
      <c r="E194" s="77"/>
      <c r="F194" s="77"/>
      <c r="G194" s="77"/>
      <c r="H194" s="147"/>
    </row>
    <row r="195" spans="3:9" ht="15.75" customHeight="1">
      <c r="C195" s="145" t="s">
        <v>1229</v>
      </c>
      <c r="D195" s="81"/>
      <c r="E195" s="81"/>
      <c r="F195" s="81"/>
      <c r="G195" s="163"/>
      <c r="H195" s="154">
        <v>0</v>
      </c>
    </row>
    <row r="196" spans="3:9" s="164" customFormat="1">
      <c r="C196" s="123" t="s">
        <v>1230</v>
      </c>
      <c r="D196" s="70" t="s">
        <v>1231</v>
      </c>
      <c r="E196" s="71"/>
      <c r="F196" s="71"/>
      <c r="G196" s="72"/>
      <c r="H196" s="125">
        <f>H191+H193+H195</f>
        <v>11450</v>
      </c>
      <c r="I196" s="55"/>
    </row>
    <row r="197" spans="3:9" s="164" customFormat="1">
      <c r="C197" s="123" t="s">
        <v>1232</v>
      </c>
      <c r="D197" s="70" t="s">
        <v>1267</v>
      </c>
      <c r="E197" s="71"/>
      <c r="F197" s="72"/>
      <c r="G197" s="96">
        <f>$N$7</f>
        <v>0.1</v>
      </c>
      <c r="H197" s="125">
        <f>H196*G197</f>
        <v>1145</v>
      </c>
      <c r="I197" s="55"/>
    </row>
    <row r="198" spans="3:9" s="164" customFormat="1" ht="15.75" thickBot="1">
      <c r="C198" s="131" t="s">
        <v>1233</v>
      </c>
      <c r="D198" s="132" t="s">
        <v>1234</v>
      </c>
      <c r="E198" s="133"/>
      <c r="F198" s="133"/>
      <c r="G198" s="156"/>
      <c r="H198" s="135">
        <f>SUM(H196:H197)</f>
        <v>12595</v>
      </c>
      <c r="I198" s="55"/>
    </row>
    <row r="199" spans="3:9" ht="15.75" thickTop="1">
      <c r="C199" s="90"/>
      <c r="D199" s="91"/>
      <c r="E199" s="91"/>
      <c r="F199" s="91"/>
      <c r="G199" s="91"/>
      <c r="H199" s="92"/>
    </row>
  </sheetData>
  <pageMargins left="0.75" right="0.75" top="1" bottom="1" header="0.51180555555555562" footer="0.51180555555555562"/>
  <pageSetup paperSize="9" fitToWidth="0" fitToHeight="0" orientation="portrait" useFirstPageNumber="1" errors="NA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N92"/>
  <sheetViews>
    <sheetView workbookViewId="0">
      <selection activeCell="C3" sqref="C3:I105"/>
    </sheetView>
    <sheetView workbookViewId="1"/>
  </sheetViews>
  <sheetFormatPr defaultColWidth="9.28515625" defaultRowHeight="15"/>
  <cols>
    <col min="1" max="2" width="2.42578125" style="63" customWidth="1"/>
    <col min="3" max="3" width="6" style="58" customWidth="1"/>
    <col min="4" max="4" width="36.7109375" style="63" customWidth="1"/>
    <col min="5" max="5" width="7.7109375" style="63" customWidth="1"/>
    <col min="6" max="6" width="10.7109375" style="63" customWidth="1"/>
    <col min="7" max="7" width="15.7109375" style="63" customWidth="1"/>
    <col min="8" max="8" width="16.42578125" style="63" customWidth="1"/>
    <col min="9" max="9" width="16" style="55" bestFit="1" customWidth="1"/>
    <col min="10" max="16384" width="9.28515625" style="63"/>
  </cols>
  <sheetData>
    <row r="3" spans="3:14" s="55" customFormat="1" ht="15.75" customHeight="1">
      <c r="C3" s="170" t="str">
        <f>'[1]Daftar HSP'!A44</f>
        <v>C</v>
      </c>
      <c r="D3" s="169" t="str">
        <f>'[1]Daftar HSP'!B44</f>
        <v>PEKERJAAN TIMBUNAN DAN PEMADATAN</v>
      </c>
      <c r="E3" s="54"/>
      <c r="F3" s="54"/>
      <c r="G3" s="54"/>
      <c r="H3" s="54"/>
    </row>
    <row r="4" spans="3:14" s="55" customFormat="1" ht="15.75" thickBot="1">
      <c r="C4" s="178" t="s">
        <v>1294</v>
      </c>
      <c r="D4" s="178"/>
      <c r="E4" s="119"/>
      <c r="F4" s="119"/>
      <c r="G4" s="119"/>
      <c r="H4" s="119"/>
      <c r="I4" s="57">
        <f>ROUNDDOWN(H16,-2)</f>
        <v>58900</v>
      </c>
    </row>
    <row r="5" spans="3:14" s="58" customFormat="1" ht="31.5" customHeight="1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  <c r="I5" s="161"/>
    </row>
    <row r="6" spans="3:14">
      <c r="C6" s="142" t="s">
        <v>1213</v>
      </c>
      <c r="D6" s="60" t="s">
        <v>1214</v>
      </c>
      <c r="E6" s="74"/>
      <c r="F6" s="74"/>
      <c r="G6" s="74"/>
      <c r="H6" s="147"/>
      <c r="K6" s="56" t="s">
        <v>1265</v>
      </c>
      <c r="L6" s="56"/>
      <c r="M6" s="56"/>
      <c r="N6" s="56"/>
    </row>
    <row r="7" spans="3:14">
      <c r="C7" s="143">
        <v>1</v>
      </c>
      <c r="D7" s="60" t="s">
        <v>5</v>
      </c>
      <c r="E7" s="73" t="s">
        <v>6</v>
      </c>
      <c r="F7" s="75">
        <v>0.5</v>
      </c>
      <c r="G7" s="65">
        <f>VLOOKUP(D7,upahbahan,3,FALSE)</f>
        <v>100000</v>
      </c>
      <c r="H7" s="125">
        <f>F7*G7</f>
        <v>50000</v>
      </c>
      <c r="K7" s="56" t="s">
        <v>1266</v>
      </c>
      <c r="L7" s="56"/>
      <c r="M7" s="56"/>
      <c r="N7" s="66">
        <v>0.1</v>
      </c>
    </row>
    <row r="8" spans="3:14">
      <c r="C8" s="143">
        <v>2</v>
      </c>
      <c r="D8" s="60" t="s">
        <v>19</v>
      </c>
      <c r="E8" s="73" t="s">
        <v>6</v>
      </c>
      <c r="F8" s="75">
        <v>2.5000000000000001E-2</v>
      </c>
      <c r="G8" s="65">
        <f>VLOOKUP(D8,upahbahan,3,FALSE)</f>
        <v>145000</v>
      </c>
      <c r="H8" s="125">
        <f>F8*G8</f>
        <v>3625</v>
      </c>
    </row>
    <row r="9" spans="3:14" ht="15.75" customHeight="1">
      <c r="C9" s="145" t="s">
        <v>1220</v>
      </c>
      <c r="D9" s="76"/>
      <c r="E9" s="76"/>
      <c r="F9" s="76"/>
      <c r="G9" s="162"/>
      <c r="H9" s="125">
        <f>SUM(H7:H8)</f>
        <v>53625</v>
      </c>
    </row>
    <row r="10" spans="3:14">
      <c r="C10" s="142" t="s">
        <v>1221</v>
      </c>
      <c r="D10" s="60" t="s">
        <v>1222</v>
      </c>
      <c r="E10" s="74"/>
      <c r="F10" s="74"/>
      <c r="G10" s="74"/>
      <c r="H10" s="147"/>
    </row>
    <row r="11" spans="3:14" ht="15.75" customHeight="1">
      <c r="C11" s="145" t="s">
        <v>1226</v>
      </c>
      <c r="D11" s="81"/>
      <c r="E11" s="81"/>
      <c r="F11" s="81"/>
      <c r="G11" s="163"/>
      <c r="H11" s="154">
        <v>0</v>
      </c>
    </row>
    <row r="12" spans="3:14">
      <c r="C12" s="142" t="s">
        <v>1227</v>
      </c>
      <c r="D12" s="60" t="s">
        <v>1228</v>
      </c>
      <c r="E12" s="74"/>
      <c r="F12" s="74"/>
      <c r="G12" s="74"/>
      <c r="H12" s="147"/>
    </row>
    <row r="13" spans="3:14" ht="15.75" customHeight="1">
      <c r="C13" s="145" t="s">
        <v>1229</v>
      </c>
      <c r="D13" s="81"/>
      <c r="E13" s="81"/>
      <c r="F13" s="81"/>
      <c r="G13" s="163"/>
      <c r="H13" s="154">
        <v>0</v>
      </c>
    </row>
    <row r="14" spans="3:14" s="164" customFormat="1">
      <c r="C14" s="123" t="s">
        <v>1230</v>
      </c>
      <c r="D14" s="70" t="s">
        <v>1231</v>
      </c>
      <c r="E14" s="71"/>
      <c r="F14" s="71"/>
      <c r="G14" s="72"/>
      <c r="H14" s="125">
        <f>H9+H11+H13</f>
        <v>53625</v>
      </c>
      <c r="I14" s="55"/>
    </row>
    <row r="15" spans="3:14" s="164" customFormat="1">
      <c r="C15" s="123" t="s">
        <v>1232</v>
      </c>
      <c r="D15" s="70" t="s">
        <v>1410</v>
      </c>
      <c r="E15" s="71"/>
      <c r="F15" s="72"/>
      <c r="G15" s="96">
        <f>$N$7</f>
        <v>0.1</v>
      </c>
      <c r="H15" s="125">
        <f>H14*G15</f>
        <v>5362.5</v>
      </c>
      <c r="I15" s="55"/>
    </row>
    <row r="16" spans="3:14" s="164" customFormat="1" ht="15.75" thickBot="1">
      <c r="C16" s="131" t="s">
        <v>1233</v>
      </c>
      <c r="D16" s="132" t="s">
        <v>1234</v>
      </c>
      <c r="E16" s="133"/>
      <c r="F16" s="133"/>
      <c r="G16" s="156"/>
      <c r="H16" s="135">
        <f>SUM(H14:H15)</f>
        <v>58987.5</v>
      </c>
      <c r="I16" s="55"/>
    </row>
    <row r="17" spans="3:9" ht="15.75" thickTop="1">
      <c r="C17" s="90"/>
      <c r="D17" s="91"/>
      <c r="E17" s="91"/>
      <c r="F17" s="91"/>
      <c r="G17" s="91"/>
      <c r="H17" s="92"/>
    </row>
    <row r="18" spans="3:9" ht="15.75" thickBot="1">
      <c r="C18" s="178" t="s">
        <v>1295</v>
      </c>
      <c r="D18" s="178"/>
      <c r="E18" s="149"/>
      <c r="F18" s="149"/>
      <c r="G18" s="149"/>
      <c r="H18" s="149"/>
      <c r="I18" s="57">
        <f>ROUNDDOWN(H31,-2)</f>
        <v>371500</v>
      </c>
    </row>
    <row r="19" spans="3:9" s="93" customFormat="1" ht="29.25" thickTop="1">
      <c r="C19" s="120" t="s">
        <v>1207</v>
      </c>
      <c r="D19" s="121" t="s">
        <v>1208</v>
      </c>
      <c r="E19" s="121" t="s">
        <v>1209</v>
      </c>
      <c r="F19" s="121" t="s">
        <v>1210</v>
      </c>
      <c r="G19" s="121" t="s">
        <v>1211</v>
      </c>
      <c r="H19" s="122" t="s">
        <v>1212</v>
      </c>
      <c r="I19" s="165"/>
    </row>
    <row r="20" spans="3:9">
      <c r="C20" s="142" t="s">
        <v>1213</v>
      </c>
      <c r="D20" s="60" t="s">
        <v>1214</v>
      </c>
      <c r="E20" s="74"/>
      <c r="F20" s="74"/>
      <c r="G20" s="74"/>
      <c r="H20" s="147"/>
    </row>
    <row r="21" spans="3:9">
      <c r="C21" s="143">
        <v>1</v>
      </c>
      <c r="D21" s="60" t="s">
        <v>5</v>
      </c>
      <c r="E21" s="73" t="s">
        <v>6</v>
      </c>
      <c r="F21" s="94">
        <v>0.3</v>
      </c>
      <c r="G21" s="65">
        <f>VLOOKUP(D21,upahbahan,3,FALSE)</f>
        <v>100000</v>
      </c>
      <c r="H21" s="125">
        <f>F21*G21</f>
        <v>30000</v>
      </c>
    </row>
    <row r="22" spans="3:9">
      <c r="C22" s="143">
        <v>2</v>
      </c>
      <c r="D22" s="60" t="s">
        <v>19</v>
      </c>
      <c r="E22" s="73" t="s">
        <v>6</v>
      </c>
      <c r="F22" s="94">
        <v>1.4999999999999999E-2</v>
      </c>
      <c r="G22" s="65">
        <f>VLOOKUP(D22,upahbahan,3,FALSE)</f>
        <v>145000</v>
      </c>
      <c r="H22" s="125">
        <f>F22*G22</f>
        <v>2175</v>
      </c>
    </row>
    <row r="23" spans="3:9" ht="15.75" customHeight="1">
      <c r="C23" s="145" t="s">
        <v>1220</v>
      </c>
      <c r="D23" s="81"/>
      <c r="E23" s="81"/>
      <c r="F23" s="81"/>
      <c r="G23" s="163"/>
      <c r="H23" s="125">
        <f>SUM(H21:H22)</f>
        <v>32175</v>
      </c>
    </row>
    <row r="24" spans="3:9">
      <c r="C24" s="142" t="s">
        <v>1221</v>
      </c>
      <c r="D24" s="60" t="s">
        <v>1222</v>
      </c>
      <c r="E24" s="74"/>
      <c r="F24" s="74"/>
      <c r="G24" s="74"/>
      <c r="H24" s="147"/>
    </row>
    <row r="25" spans="3:9">
      <c r="C25" s="142">
        <v>1</v>
      </c>
      <c r="D25" s="60" t="s">
        <v>89</v>
      </c>
      <c r="E25" s="171" t="s">
        <v>42</v>
      </c>
      <c r="F25" s="172">
        <v>1.2</v>
      </c>
      <c r="G25" s="65">
        <f>VLOOKUP(D25,upahbahan,3,FALSE)</f>
        <v>254700</v>
      </c>
      <c r="H25" s="125">
        <f>F25*G25</f>
        <v>305640</v>
      </c>
    </row>
    <row r="26" spans="3:9" ht="15.75" customHeight="1">
      <c r="C26" s="145" t="s">
        <v>1226</v>
      </c>
      <c r="D26" s="81"/>
      <c r="E26" s="81"/>
      <c r="F26" s="81"/>
      <c r="G26" s="163"/>
      <c r="H26" s="125">
        <f>SUM(H25)</f>
        <v>305640</v>
      </c>
    </row>
    <row r="27" spans="3:9">
      <c r="C27" s="142" t="s">
        <v>1227</v>
      </c>
      <c r="D27" s="60" t="s">
        <v>1228</v>
      </c>
      <c r="E27" s="77"/>
      <c r="F27" s="77"/>
      <c r="G27" s="77"/>
      <c r="H27" s="147"/>
    </row>
    <row r="28" spans="3:9" ht="15.75" customHeight="1">
      <c r="C28" s="145" t="s">
        <v>1229</v>
      </c>
      <c r="D28" s="81"/>
      <c r="E28" s="81"/>
      <c r="F28" s="81"/>
      <c r="G28" s="163"/>
      <c r="H28" s="154">
        <v>0</v>
      </c>
    </row>
    <row r="29" spans="3:9" s="164" customFormat="1">
      <c r="C29" s="123" t="s">
        <v>1230</v>
      </c>
      <c r="D29" s="70" t="s">
        <v>1231</v>
      </c>
      <c r="E29" s="71"/>
      <c r="F29" s="71"/>
      <c r="G29" s="72"/>
      <c r="H29" s="125">
        <f>H23+H26+H28</f>
        <v>337815</v>
      </c>
      <c r="I29" s="55"/>
    </row>
    <row r="30" spans="3:9" s="164" customFormat="1">
      <c r="C30" s="123" t="s">
        <v>1232</v>
      </c>
      <c r="D30" s="70" t="s">
        <v>1410</v>
      </c>
      <c r="E30" s="71"/>
      <c r="F30" s="72"/>
      <c r="G30" s="96">
        <f>$N$7</f>
        <v>0.1</v>
      </c>
      <c r="H30" s="125">
        <f>H29*G30</f>
        <v>33781.5</v>
      </c>
      <c r="I30" s="55"/>
    </row>
    <row r="31" spans="3:9" s="164" customFormat="1" ht="15.75" thickBot="1">
      <c r="C31" s="131" t="s">
        <v>1233</v>
      </c>
      <c r="D31" s="132" t="s">
        <v>1234</v>
      </c>
      <c r="E31" s="133"/>
      <c r="F31" s="133"/>
      <c r="G31" s="156"/>
      <c r="H31" s="135">
        <f>SUM(H29:H30)</f>
        <v>371596.5</v>
      </c>
      <c r="I31" s="55"/>
    </row>
    <row r="32" spans="3:9" s="164" customFormat="1" ht="15.75" thickTop="1">
      <c r="C32" s="58"/>
      <c r="D32" s="82"/>
      <c r="E32" s="82"/>
      <c r="F32" s="82"/>
      <c r="G32" s="82"/>
      <c r="H32" s="83"/>
      <c r="I32" s="55"/>
    </row>
    <row r="33" spans="3:9" ht="15.75" thickBot="1">
      <c r="C33" s="178" t="s">
        <v>1296</v>
      </c>
      <c r="D33" s="178"/>
      <c r="E33" s="149"/>
      <c r="F33" s="149"/>
      <c r="G33" s="149"/>
      <c r="H33" s="149"/>
      <c r="I33" s="57">
        <f>ROUNDDOWN(H46,-2)</f>
        <v>344300</v>
      </c>
    </row>
    <row r="34" spans="3:9" s="93" customFormat="1" ht="29.25" thickTop="1">
      <c r="C34" s="120" t="s">
        <v>1207</v>
      </c>
      <c r="D34" s="121" t="s">
        <v>1208</v>
      </c>
      <c r="E34" s="121" t="s">
        <v>1209</v>
      </c>
      <c r="F34" s="121" t="s">
        <v>1210</v>
      </c>
      <c r="G34" s="121" t="s">
        <v>1211</v>
      </c>
      <c r="H34" s="122" t="s">
        <v>1212</v>
      </c>
      <c r="I34" s="165"/>
    </row>
    <row r="35" spans="3:9">
      <c r="C35" s="142" t="s">
        <v>1213</v>
      </c>
      <c r="D35" s="60" t="s">
        <v>1214</v>
      </c>
      <c r="E35" s="74"/>
      <c r="F35" s="74"/>
      <c r="G35" s="74"/>
      <c r="H35" s="147"/>
    </row>
    <row r="36" spans="3:9">
      <c r="C36" s="143">
        <v>1</v>
      </c>
      <c r="D36" s="60" t="s">
        <v>5</v>
      </c>
      <c r="E36" s="73" t="s">
        <v>6</v>
      </c>
      <c r="F36" s="94">
        <v>6.5000000000000002E-2</v>
      </c>
      <c r="G36" s="65">
        <f>VLOOKUP(D36,upahbahan,3,FALSE)</f>
        <v>100000</v>
      </c>
      <c r="H36" s="125">
        <f>F36*G36</f>
        <v>6500</v>
      </c>
    </row>
    <row r="37" spans="3:9">
      <c r="C37" s="143">
        <v>2</v>
      </c>
      <c r="D37" s="60" t="s">
        <v>19</v>
      </c>
      <c r="E37" s="73" t="s">
        <v>6</v>
      </c>
      <c r="F37" s="94">
        <v>6.4999999999999997E-3</v>
      </c>
      <c r="G37" s="65">
        <f>VLOOKUP(D37,upahbahan,3,FALSE)</f>
        <v>145000</v>
      </c>
      <c r="H37" s="125">
        <f>F37*G37</f>
        <v>942.5</v>
      </c>
    </row>
    <row r="38" spans="3:9" ht="15.75" customHeight="1">
      <c r="C38" s="145" t="s">
        <v>1220</v>
      </c>
      <c r="D38" s="81"/>
      <c r="E38" s="81"/>
      <c r="F38" s="81"/>
      <c r="G38" s="163"/>
      <c r="H38" s="125">
        <f>SUM(H36:H37)</f>
        <v>7442.5</v>
      </c>
    </row>
    <row r="39" spans="3:9">
      <c r="C39" s="142" t="s">
        <v>1221</v>
      </c>
      <c r="D39" s="60" t="s">
        <v>1222</v>
      </c>
      <c r="E39" s="74"/>
      <c r="F39" s="74"/>
      <c r="G39" s="74"/>
      <c r="H39" s="147"/>
    </row>
    <row r="40" spans="3:9">
      <c r="C40" s="142">
        <v>1</v>
      </c>
      <c r="D40" s="60" t="s">
        <v>89</v>
      </c>
      <c r="E40" s="171" t="s">
        <v>42</v>
      </c>
      <c r="F40" s="172">
        <v>1.2</v>
      </c>
      <c r="G40" s="65">
        <f>VLOOKUP(D40,upahbahan,3,FALSE)</f>
        <v>254700</v>
      </c>
      <c r="H40" s="125">
        <f>F40*G40</f>
        <v>305640</v>
      </c>
    </row>
    <row r="41" spans="3:9" ht="15.75" customHeight="1">
      <c r="C41" s="145" t="s">
        <v>1226</v>
      </c>
      <c r="D41" s="81"/>
      <c r="E41" s="81"/>
      <c r="F41" s="81"/>
      <c r="G41" s="163"/>
      <c r="H41" s="125">
        <f>SUM(H40)</f>
        <v>305640</v>
      </c>
    </row>
    <row r="42" spans="3:9">
      <c r="C42" s="142" t="s">
        <v>1227</v>
      </c>
      <c r="D42" s="60" t="s">
        <v>1228</v>
      </c>
      <c r="E42" s="77"/>
      <c r="F42" s="77"/>
      <c r="G42" s="77"/>
      <c r="H42" s="147"/>
    </row>
    <row r="43" spans="3:9" ht="15.75" customHeight="1">
      <c r="C43" s="145" t="s">
        <v>1229</v>
      </c>
      <c r="D43" s="81"/>
      <c r="E43" s="81"/>
      <c r="F43" s="81"/>
      <c r="G43" s="163"/>
      <c r="H43" s="154">
        <v>0</v>
      </c>
    </row>
    <row r="44" spans="3:9" s="164" customFormat="1">
      <c r="C44" s="123" t="s">
        <v>1230</v>
      </c>
      <c r="D44" s="70" t="s">
        <v>1231</v>
      </c>
      <c r="E44" s="71"/>
      <c r="F44" s="71"/>
      <c r="G44" s="72"/>
      <c r="H44" s="125">
        <f>H38+H41+H43</f>
        <v>313082.5</v>
      </c>
      <c r="I44" s="55"/>
    </row>
    <row r="45" spans="3:9" s="164" customFormat="1">
      <c r="C45" s="123" t="s">
        <v>1232</v>
      </c>
      <c r="D45" s="70" t="s">
        <v>1410</v>
      </c>
      <c r="E45" s="71"/>
      <c r="F45" s="72"/>
      <c r="G45" s="96">
        <f>$N$7</f>
        <v>0.1</v>
      </c>
      <c r="H45" s="125">
        <f>H44*G45</f>
        <v>31308.25</v>
      </c>
      <c r="I45" s="55"/>
    </row>
    <row r="46" spans="3:9" s="164" customFormat="1" ht="15.75" thickBot="1">
      <c r="C46" s="131" t="s">
        <v>1233</v>
      </c>
      <c r="D46" s="132" t="s">
        <v>1234</v>
      </c>
      <c r="E46" s="133"/>
      <c r="F46" s="133"/>
      <c r="G46" s="156"/>
      <c r="H46" s="135">
        <f>SUM(H44:H45)</f>
        <v>344390.75</v>
      </c>
      <c r="I46" s="55"/>
    </row>
    <row r="47" spans="3:9" s="164" customFormat="1" ht="15.75" thickTop="1">
      <c r="C47" s="58"/>
      <c r="D47" s="82"/>
      <c r="E47" s="82"/>
      <c r="F47" s="82"/>
      <c r="G47" s="82"/>
      <c r="H47" s="83"/>
      <c r="I47" s="55"/>
    </row>
    <row r="48" spans="3:9" ht="15.75" thickBot="1">
      <c r="C48" s="178" t="s">
        <v>1297</v>
      </c>
      <c r="D48" s="178"/>
      <c r="E48" s="149"/>
      <c r="F48" s="149"/>
      <c r="G48" s="149"/>
      <c r="H48" s="149"/>
      <c r="I48" s="57">
        <f>ROUNDDOWN(H61,-2)</f>
        <v>206500</v>
      </c>
    </row>
    <row r="49" spans="3:9" s="93" customFormat="1" ht="29.25" thickTop="1">
      <c r="C49" s="120" t="s">
        <v>1207</v>
      </c>
      <c r="D49" s="121" t="s">
        <v>1208</v>
      </c>
      <c r="E49" s="121" t="s">
        <v>1209</v>
      </c>
      <c r="F49" s="121" t="s">
        <v>1210</v>
      </c>
      <c r="G49" s="121" t="s">
        <v>1211</v>
      </c>
      <c r="H49" s="122" t="s">
        <v>1212</v>
      </c>
      <c r="I49" s="165"/>
    </row>
    <row r="50" spans="3:9">
      <c r="C50" s="142" t="s">
        <v>1213</v>
      </c>
      <c r="D50" s="60" t="s">
        <v>1214</v>
      </c>
      <c r="E50" s="74"/>
      <c r="F50" s="74"/>
      <c r="G50" s="65"/>
      <c r="H50" s="147"/>
    </row>
    <row r="51" spans="3:9">
      <c r="C51" s="143">
        <v>1</v>
      </c>
      <c r="D51" s="60" t="s">
        <v>5</v>
      </c>
      <c r="E51" s="73" t="s">
        <v>6</v>
      </c>
      <c r="F51" s="94">
        <v>0.1</v>
      </c>
      <c r="G51" s="65">
        <f>VLOOKUP(D51,upahbahan,3,FALSE)</f>
        <v>100000</v>
      </c>
      <c r="H51" s="125">
        <f>F51*G51</f>
        <v>10000</v>
      </c>
    </row>
    <row r="52" spans="3:9">
      <c r="C52" s="143">
        <v>2</v>
      </c>
      <c r="D52" s="60" t="s">
        <v>19</v>
      </c>
      <c r="E52" s="73" t="s">
        <v>6</v>
      </c>
      <c r="F52" s="94">
        <v>0.01</v>
      </c>
      <c r="G52" s="65">
        <f>VLOOKUP(D52,upahbahan,3,FALSE)</f>
        <v>145000</v>
      </c>
      <c r="H52" s="125">
        <f>F52*G52</f>
        <v>1450</v>
      </c>
    </row>
    <row r="53" spans="3:9" ht="15.75" customHeight="1">
      <c r="C53" s="145" t="s">
        <v>1220</v>
      </c>
      <c r="D53" s="81"/>
      <c r="E53" s="81"/>
      <c r="F53" s="81"/>
      <c r="G53" s="163"/>
      <c r="H53" s="125">
        <f>SUM(H51:H52)</f>
        <v>11450</v>
      </c>
    </row>
    <row r="54" spans="3:9">
      <c r="C54" s="142" t="s">
        <v>1221</v>
      </c>
      <c r="D54" s="60" t="s">
        <v>1222</v>
      </c>
      <c r="E54" s="74"/>
      <c r="F54" s="74"/>
      <c r="G54" s="74"/>
      <c r="H54" s="147"/>
    </row>
    <row r="55" spans="3:9">
      <c r="C55" s="142">
        <v>1</v>
      </c>
      <c r="D55" s="78" t="s">
        <v>97</v>
      </c>
      <c r="E55" s="171" t="s">
        <v>42</v>
      </c>
      <c r="F55" s="172">
        <v>1.2</v>
      </c>
      <c r="G55" s="65">
        <f>VLOOKUP(D55,upahbahan,3,FALSE)</f>
        <v>146900</v>
      </c>
      <c r="H55" s="125">
        <f>F55*G55</f>
        <v>176280</v>
      </c>
    </row>
    <row r="56" spans="3:9" ht="15.75" customHeight="1">
      <c r="C56" s="145" t="s">
        <v>1226</v>
      </c>
      <c r="D56" s="81"/>
      <c r="E56" s="81"/>
      <c r="F56" s="81"/>
      <c r="G56" s="163"/>
      <c r="H56" s="125">
        <f>SUM(H55)</f>
        <v>176280</v>
      </c>
    </row>
    <row r="57" spans="3:9">
      <c r="C57" s="142" t="s">
        <v>1227</v>
      </c>
      <c r="D57" s="60" t="s">
        <v>1228</v>
      </c>
      <c r="E57" s="77"/>
      <c r="F57" s="77"/>
      <c r="G57" s="77"/>
      <c r="H57" s="147"/>
    </row>
    <row r="58" spans="3:9" ht="15.75" customHeight="1">
      <c r="C58" s="145" t="s">
        <v>1229</v>
      </c>
      <c r="D58" s="81"/>
      <c r="E58" s="81"/>
      <c r="F58" s="81"/>
      <c r="G58" s="163"/>
      <c r="H58" s="154">
        <v>0</v>
      </c>
    </row>
    <row r="59" spans="3:9" s="164" customFormat="1">
      <c r="C59" s="123" t="s">
        <v>1230</v>
      </c>
      <c r="D59" s="70" t="s">
        <v>1231</v>
      </c>
      <c r="E59" s="71"/>
      <c r="F59" s="71"/>
      <c r="G59" s="72"/>
      <c r="H59" s="125">
        <f>H53+H56+H58</f>
        <v>187730</v>
      </c>
      <c r="I59" s="55"/>
    </row>
    <row r="60" spans="3:9" s="164" customFormat="1">
      <c r="C60" s="123" t="s">
        <v>1232</v>
      </c>
      <c r="D60" s="70" t="s">
        <v>1410</v>
      </c>
      <c r="E60" s="71"/>
      <c r="F60" s="72"/>
      <c r="G60" s="96">
        <f>$N$7</f>
        <v>0.1</v>
      </c>
      <c r="H60" s="125">
        <f>H59*G60</f>
        <v>18773</v>
      </c>
      <c r="I60" s="55"/>
    </row>
    <row r="61" spans="3:9" s="164" customFormat="1" ht="15.75" thickBot="1">
      <c r="C61" s="131" t="s">
        <v>1233</v>
      </c>
      <c r="D61" s="132" t="s">
        <v>1234</v>
      </c>
      <c r="E61" s="133"/>
      <c r="F61" s="133"/>
      <c r="G61" s="156"/>
      <c r="H61" s="135">
        <f>SUM(H59:H60)</f>
        <v>206503</v>
      </c>
      <c r="I61" s="55"/>
    </row>
    <row r="62" spans="3:9" s="177" customFormat="1" thickTop="1">
      <c r="C62" s="173" t="s">
        <v>1298</v>
      </c>
      <c r="D62" s="174" t="s">
        <v>1299</v>
      </c>
      <c r="E62" s="174"/>
      <c r="F62" s="174"/>
      <c r="G62" s="174"/>
      <c r="H62" s="175"/>
      <c r="I62" s="176"/>
    </row>
    <row r="63" spans="3:9" s="164" customFormat="1">
      <c r="C63" s="58"/>
      <c r="D63" s="82"/>
      <c r="E63" s="82"/>
      <c r="F63" s="82"/>
      <c r="G63" s="82"/>
      <c r="H63" s="83"/>
      <c r="I63" s="55"/>
    </row>
    <row r="64" spans="3:9" ht="15.75" thickBot="1">
      <c r="C64" s="178" t="s">
        <v>1300</v>
      </c>
      <c r="D64" s="178"/>
      <c r="E64" s="149"/>
      <c r="F64" s="149"/>
      <c r="G64" s="149"/>
      <c r="H64" s="149"/>
      <c r="I64" s="57">
        <f>ROUNDDOWN(H76,-2)</f>
        <v>58900</v>
      </c>
    </row>
    <row r="65" spans="3:9" s="93" customFormat="1" ht="29.25" thickTop="1">
      <c r="C65" s="120" t="s">
        <v>1207</v>
      </c>
      <c r="D65" s="121" t="s">
        <v>1208</v>
      </c>
      <c r="E65" s="121" t="s">
        <v>1209</v>
      </c>
      <c r="F65" s="121" t="s">
        <v>1210</v>
      </c>
      <c r="G65" s="121" t="s">
        <v>1211</v>
      </c>
      <c r="H65" s="122" t="s">
        <v>1212</v>
      </c>
      <c r="I65" s="165"/>
    </row>
    <row r="66" spans="3:9">
      <c r="C66" s="142" t="s">
        <v>1213</v>
      </c>
      <c r="D66" s="60" t="s">
        <v>1214</v>
      </c>
      <c r="E66" s="74"/>
      <c r="F66" s="74"/>
      <c r="G66" s="74"/>
      <c r="H66" s="147"/>
    </row>
    <row r="67" spans="3:9">
      <c r="C67" s="143">
        <v>1</v>
      </c>
      <c r="D67" s="60" t="s">
        <v>5</v>
      </c>
      <c r="E67" s="73" t="s">
        <v>6</v>
      </c>
      <c r="F67" s="94">
        <v>0.5</v>
      </c>
      <c r="G67" s="65">
        <f>VLOOKUP(D67,upahbahan,3,FALSE)</f>
        <v>100000</v>
      </c>
      <c r="H67" s="125">
        <f>F67*G67</f>
        <v>50000</v>
      </c>
    </row>
    <row r="68" spans="3:9">
      <c r="C68" s="143">
        <v>2</v>
      </c>
      <c r="D68" s="60" t="s">
        <v>19</v>
      </c>
      <c r="E68" s="73" t="s">
        <v>6</v>
      </c>
      <c r="F68" s="94">
        <v>2.5000000000000001E-2</v>
      </c>
      <c r="G68" s="65">
        <f>VLOOKUP(D68,upahbahan,3,FALSE)</f>
        <v>145000</v>
      </c>
      <c r="H68" s="125">
        <f>F68*G68</f>
        <v>3625</v>
      </c>
    </row>
    <row r="69" spans="3:9" ht="15.75" customHeight="1">
      <c r="C69" s="145" t="s">
        <v>1220</v>
      </c>
      <c r="D69" s="81"/>
      <c r="E69" s="81"/>
      <c r="F69" s="81"/>
      <c r="G69" s="163"/>
      <c r="H69" s="125">
        <f>SUM(H67:H68)</f>
        <v>53625</v>
      </c>
    </row>
    <row r="70" spans="3:9">
      <c r="C70" s="142" t="s">
        <v>1221</v>
      </c>
      <c r="D70" s="60" t="s">
        <v>1222</v>
      </c>
      <c r="E70" s="74"/>
      <c r="F70" s="74"/>
      <c r="G70" s="74"/>
      <c r="H70" s="147"/>
    </row>
    <row r="71" spans="3:9" ht="15.75" customHeight="1">
      <c r="C71" s="145" t="s">
        <v>1226</v>
      </c>
      <c r="D71" s="81"/>
      <c r="E71" s="81"/>
      <c r="F71" s="81"/>
      <c r="G71" s="163"/>
      <c r="H71" s="154">
        <v>0</v>
      </c>
    </row>
    <row r="72" spans="3:9">
      <c r="C72" s="142" t="s">
        <v>1227</v>
      </c>
      <c r="D72" s="60" t="s">
        <v>1228</v>
      </c>
      <c r="E72" s="77"/>
      <c r="F72" s="77"/>
      <c r="G72" s="77"/>
      <c r="H72" s="147"/>
    </row>
    <row r="73" spans="3:9" ht="15.75" customHeight="1">
      <c r="C73" s="145" t="s">
        <v>1229</v>
      </c>
      <c r="D73" s="81"/>
      <c r="E73" s="81"/>
      <c r="F73" s="81"/>
      <c r="G73" s="163"/>
      <c r="H73" s="154">
        <v>0</v>
      </c>
    </row>
    <row r="74" spans="3:9" s="164" customFormat="1">
      <c r="C74" s="123" t="s">
        <v>1230</v>
      </c>
      <c r="D74" s="70" t="s">
        <v>1231</v>
      </c>
      <c r="E74" s="71"/>
      <c r="F74" s="71"/>
      <c r="G74" s="72"/>
      <c r="H74" s="125">
        <f>H69+H71+H73</f>
        <v>53625</v>
      </c>
      <c r="I74" s="55"/>
    </row>
    <row r="75" spans="3:9" s="164" customFormat="1">
      <c r="C75" s="123" t="s">
        <v>1232</v>
      </c>
      <c r="D75" s="70" t="s">
        <v>1410</v>
      </c>
      <c r="E75" s="71"/>
      <c r="F75" s="72"/>
      <c r="G75" s="96">
        <f>$N$7</f>
        <v>0.1</v>
      </c>
      <c r="H75" s="125">
        <f>H74*G75</f>
        <v>5362.5</v>
      </c>
      <c r="I75" s="55"/>
    </row>
    <row r="76" spans="3:9" s="164" customFormat="1" ht="15.75" thickBot="1">
      <c r="C76" s="131" t="s">
        <v>1233</v>
      </c>
      <c r="D76" s="132" t="s">
        <v>1234</v>
      </c>
      <c r="E76" s="133"/>
      <c r="F76" s="133"/>
      <c r="G76" s="156"/>
      <c r="H76" s="135">
        <f>SUM(H74:H75)</f>
        <v>58987.5</v>
      </c>
      <c r="I76" s="55"/>
    </row>
    <row r="77" spans="3:9" s="164" customFormat="1" ht="15.75" thickTop="1">
      <c r="C77" s="58"/>
      <c r="D77" s="82"/>
      <c r="E77" s="82"/>
      <c r="F77" s="82"/>
      <c r="G77" s="82"/>
      <c r="H77" s="83"/>
      <c r="I77" s="55"/>
    </row>
    <row r="78" spans="3:9" ht="15.75" thickBot="1">
      <c r="C78" s="178" t="s">
        <v>1301</v>
      </c>
      <c r="D78" s="179"/>
      <c r="E78" s="149"/>
      <c r="F78" s="149"/>
      <c r="G78" s="149"/>
      <c r="H78" s="149"/>
      <c r="I78" s="57">
        <f>ROUNDDOWN(H91,-2)</f>
        <v>375100</v>
      </c>
    </row>
    <row r="79" spans="3:9" s="93" customFormat="1" ht="29.25" thickTop="1">
      <c r="C79" s="120" t="s">
        <v>1207</v>
      </c>
      <c r="D79" s="121" t="s">
        <v>1208</v>
      </c>
      <c r="E79" s="121" t="s">
        <v>1209</v>
      </c>
      <c r="F79" s="121" t="s">
        <v>1210</v>
      </c>
      <c r="G79" s="121" t="s">
        <v>1211</v>
      </c>
      <c r="H79" s="122" t="s">
        <v>1212</v>
      </c>
      <c r="I79" s="165"/>
    </row>
    <row r="80" spans="3:9">
      <c r="C80" s="142" t="s">
        <v>1213</v>
      </c>
      <c r="D80" s="60" t="s">
        <v>1214</v>
      </c>
      <c r="E80" s="74"/>
      <c r="F80" s="74"/>
      <c r="G80" s="74"/>
      <c r="H80" s="147"/>
    </row>
    <row r="81" spans="3:9">
      <c r="C81" s="143">
        <v>1</v>
      </c>
      <c r="D81" s="60" t="s">
        <v>5</v>
      </c>
      <c r="E81" s="73" t="s">
        <v>6</v>
      </c>
      <c r="F81" s="94">
        <v>0.25</v>
      </c>
      <c r="G81" s="65">
        <f>VLOOKUP(D81,upahbahan,3,FALSE)</f>
        <v>100000</v>
      </c>
      <c r="H81" s="125">
        <f>F81*G81</f>
        <v>25000</v>
      </c>
    </row>
    <row r="82" spans="3:9">
      <c r="C82" s="143">
        <v>2</v>
      </c>
      <c r="D82" s="60" t="s">
        <v>19</v>
      </c>
      <c r="E82" s="73" t="s">
        <v>6</v>
      </c>
      <c r="F82" s="94">
        <v>1.2999999999999999E-2</v>
      </c>
      <c r="G82" s="65">
        <f>VLOOKUP(D82,upahbahan,3,FALSE)</f>
        <v>145000</v>
      </c>
      <c r="H82" s="125">
        <f>F82*G82</f>
        <v>1885</v>
      </c>
    </row>
    <row r="83" spans="3:9" ht="15.75" customHeight="1">
      <c r="C83" s="145" t="s">
        <v>1220</v>
      </c>
      <c r="D83" s="81"/>
      <c r="E83" s="81"/>
      <c r="F83" s="81"/>
      <c r="G83" s="163"/>
      <c r="H83" s="125">
        <f>SUM(H81:H82)</f>
        <v>26885</v>
      </c>
    </row>
    <row r="84" spans="3:9">
      <c r="C84" s="142" t="s">
        <v>1221</v>
      </c>
      <c r="D84" s="60" t="s">
        <v>1222</v>
      </c>
      <c r="E84" s="74"/>
      <c r="F84" s="74"/>
      <c r="G84" s="74"/>
      <c r="H84" s="147"/>
    </row>
    <row r="85" spans="3:9">
      <c r="C85" s="142">
        <v>1</v>
      </c>
      <c r="D85" s="78" t="s">
        <v>95</v>
      </c>
      <c r="E85" s="171" t="s">
        <v>42</v>
      </c>
      <c r="F85" s="172">
        <v>1.2</v>
      </c>
      <c r="G85" s="65">
        <f>VLOOKUP(D85,upahbahan,3,FALSE)</f>
        <v>261800</v>
      </c>
      <c r="H85" s="125">
        <f>F85*G85</f>
        <v>314160</v>
      </c>
    </row>
    <row r="86" spans="3:9" ht="15.75" customHeight="1">
      <c r="C86" s="145" t="s">
        <v>1226</v>
      </c>
      <c r="D86" s="81"/>
      <c r="E86" s="81"/>
      <c r="F86" s="81"/>
      <c r="G86" s="163"/>
      <c r="H86" s="125">
        <f>SUM(H85)</f>
        <v>314160</v>
      </c>
    </row>
    <row r="87" spans="3:9">
      <c r="C87" s="142" t="s">
        <v>1227</v>
      </c>
      <c r="D87" s="60" t="s">
        <v>1228</v>
      </c>
      <c r="E87" s="77"/>
      <c r="F87" s="77"/>
      <c r="G87" s="77"/>
      <c r="H87" s="147"/>
    </row>
    <row r="88" spans="3:9" ht="15.75" customHeight="1">
      <c r="C88" s="145" t="s">
        <v>1229</v>
      </c>
      <c r="D88" s="81"/>
      <c r="E88" s="81"/>
      <c r="F88" s="81"/>
      <c r="G88" s="163"/>
      <c r="H88" s="154">
        <v>0</v>
      </c>
    </row>
    <row r="89" spans="3:9" s="164" customFormat="1">
      <c r="C89" s="123" t="s">
        <v>1230</v>
      </c>
      <c r="D89" s="70" t="s">
        <v>1231</v>
      </c>
      <c r="E89" s="71"/>
      <c r="F89" s="71"/>
      <c r="G89" s="72"/>
      <c r="H89" s="125">
        <f>H83+H86+H88</f>
        <v>341045</v>
      </c>
      <c r="I89" s="55"/>
    </row>
    <row r="90" spans="3:9" s="164" customFormat="1">
      <c r="C90" s="123" t="s">
        <v>1232</v>
      </c>
      <c r="D90" s="70" t="s">
        <v>1410</v>
      </c>
      <c r="E90" s="71"/>
      <c r="F90" s="72"/>
      <c r="G90" s="96">
        <f>$N$7</f>
        <v>0.1</v>
      </c>
      <c r="H90" s="125">
        <f>H89*G90</f>
        <v>34104.5</v>
      </c>
      <c r="I90" s="55"/>
    </row>
    <row r="91" spans="3:9" s="164" customFormat="1" ht="15.75" thickBot="1">
      <c r="C91" s="131" t="s">
        <v>1233</v>
      </c>
      <c r="D91" s="132" t="s">
        <v>1234</v>
      </c>
      <c r="E91" s="133"/>
      <c r="F91" s="133"/>
      <c r="G91" s="156"/>
      <c r="H91" s="135">
        <f>SUM(H89:H90)</f>
        <v>375149.5</v>
      </c>
      <c r="I91" s="55"/>
    </row>
    <row r="92" spans="3:9" ht="15.7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M136"/>
  <sheetViews>
    <sheetView workbookViewId="0">
      <selection activeCell="C3" sqref="C3:I143"/>
    </sheetView>
    <sheetView workbookViewId="1"/>
  </sheetViews>
  <sheetFormatPr defaultColWidth="9.28515625" defaultRowHeight="14.25"/>
  <cols>
    <col min="1" max="2" width="3.28515625" style="63" customWidth="1"/>
    <col min="3" max="3" width="6" style="58" customWidth="1"/>
    <col min="4" max="4" width="36.7109375" style="63" customWidth="1"/>
    <col min="5" max="5" width="7.7109375" style="63" customWidth="1"/>
    <col min="6" max="6" width="10.7109375" style="63" customWidth="1"/>
    <col min="7" max="7" width="15.7109375" style="63" customWidth="1"/>
    <col min="8" max="8" width="16.42578125" style="63" customWidth="1"/>
    <col min="9" max="9" width="16" style="63" bestFit="1" customWidth="1"/>
    <col min="10" max="16384" width="9.28515625" style="63"/>
  </cols>
  <sheetData>
    <row r="3" spans="3:13" s="55" customFormat="1" ht="15">
      <c r="C3" s="170" t="s">
        <v>1230</v>
      </c>
      <c r="D3" s="180" t="str">
        <f>'[1]Daftar HSP'!B51</f>
        <v>PEKERJAAN PEMBONGKARAN</v>
      </c>
      <c r="E3" s="54"/>
      <c r="F3" s="54"/>
      <c r="G3" s="54"/>
      <c r="H3" s="54"/>
    </row>
    <row r="4" spans="3:13" s="55" customFormat="1" ht="15.75" thickBot="1">
      <c r="C4" s="178" t="s">
        <v>1302</v>
      </c>
      <c r="D4" s="178"/>
      <c r="E4" s="119"/>
      <c r="F4" s="119"/>
      <c r="G4" s="119"/>
      <c r="H4" s="119"/>
      <c r="I4" s="57">
        <f>ROUNDDOWN(H19,-2)</f>
        <v>142500</v>
      </c>
    </row>
    <row r="5" spans="3:13" s="58" customFormat="1" ht="31.5" customHeight="1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56" t="s">
        <v>1265</v>
      </c>
      <c r="K6" s="56"/>
      <c r="L6" s="56"/>
      <c r="M6" s="56"/>
    </row>
    <row r="7" spans="3:13">
      <c r="C7" s="143">
        <v>1</v>
      </c>
      <c r="D7" s="60" t="s">
        <v>5</v>
      </c>
      <c r="E7" s="73" t="s">
        <v>6</v>
      </c>
      <c r="F7" s="75">
        <v>1.2</v>
      </c>
      <c r="G7" s="65">
        <f>VLOOKUP(D7,upahbahan,3,FALSE)</f>
        <v>100000</v>
      </c>
      <c r="H7" s="125">
        <f>F7*G7</f>
        <v>120000</v>
      </c>
      <c r="J7" s="56" t="s">
        <v>1266</v>
      </c>
      <c r="K7" s="56"/>
      <c r="L7" s="56"/>
      <c r="M7" s="66">
        <v>0.1</v>
      </c>
    </row>
    <row r="8" spans="3:13">
      <c r="C8" s="143">
        <v>2</v>
      </c>
      <c r="D8" s="60" t="s">
        <v>19</v>
      </c>
      <c r="E8" s="73" t="s">
        <v>6</v>
      </c>
      <c r="F8" s="75">
        <v>0.06</v>
      </c>
      <c r="G8" s="65">
        <f>VLOOKUP(D8,upahbahan,3,FALSE)</f>
        <v>145000</v>
      </c>
      <c r="H8" s="125">
        <f>F8*G8</f>
        <v>8700</v>
      </c>
    </row>
    <row r="9" spans="3:13" ht="15.75" customHeight="1">
      <c r="C9" s="145" t="s">
        <v>1220</v>
      </c>
      <c r="D9" s="76"/>
      <c r="E9" s="76"/>
      <c r="F9" s="76"/>
      <c r="G9" s="162"/>
      <c r="H9" s="125">
        <f>SUM(H7:H8)</f>
        <v>128700</v>
      </c>
    </row>
    <row r="10" spans="3:13">
      <c r="C10" s="142" t="s">
        <v>1221</v>
      </c>
      <c r="D10" s="60" t="s">
        <v>1222</v>
      </c>
      <c r="E10" s="74"/>
      <c r="F10" s="74"/>
      <c r="G10" s="74"/>
      <c r="H10" s="147"/>
    </row>
    <row r="11" spans="3:13" ht="15.75" customHeight="1">
      <c r="C11" s="145" t="s">
        <v>1226</v>
      </c>
      <c r="D11" s="81"/>
      <c r="E11" s="81"/>
      <c r="F11" s="81"/>
      <c r="G11" s="163"/>
      <c r="H11" s="154">
        <v>0</v>
      </c>
    </row>
    <row r="12" spans="3:13">
      <c r="C12" s="142" t="s">
        <v>1227</v>
      </c>
      <c r="D12" s="60" t="s">
        <v>1228</v>
      </c>
      <c r="E12" s="74"/>
      <c r="F12" s="74"/>
      <c r="G12" s="74"/>
      <c r="H12" s="147"/>
    </row>
    <row r="13" spans="3:13">
      <c r="C13" s="146" t="s">
        <v>1215</v>
      </c>
      <c r="D13" s="78" t="s">
        <v>1181</v>
      </c>
      <c r="E13" s="181" t="s">
        <v>44</v>
      </c>
      <c r="F13" s="182">
        <v>6.0000000000000001E-3</v>
      </c>
      <c r="G13" s="65">
        <f>VLOOKUP(D13,upahbahan,3,FALSE)</f>
        <v>25000</v>
      </c>
      <c r="H13" s="125">
        <f>F13*G13</f>
        <v>150</v>
      </c>
    </row>
    <row r="14" spans="3:13">
      <c r="C14" s="146" t="s">
        <v>1216</v>
      </c>
      <c r="D14" s="78" t="s">
        <v>1180</v>
      </c>
      <c r="E14" s="181" t="s">
        <v>44</v>
      </c>
      <c r="F14" s="182">
        <v>8.9999999999999993E-3</v>
      </c>
      <c r="G14" s="65">
        <f>VLOOKUP(D14,upahbahan,3,FALSE)</f>
        <v>15000</v>
      </c>
      <c r="H14" s="125">
        <f>F14*G14</f>
        <v>135</v>
      </c>
    </row>
    <row r="15" spans="3:13">
      <c r="C15" s="146" t="s">
        <v>1217</v>
      </c>
      <c r="D15" s="78" t="s">
        <v>1178</v>
      </c>
      <c r="E15" s="181" t="s">
        <v>44</v>
      </c>
      <c r="F15" s="182">
        <v>0.02</v>
      </c>
      <c r="G15" s="65">
        <f>VLOOKUP(D15,upahbahan,3,FALSE)</f>
        <v>30000</v>
      </c>
      <c r="H15" s="125">
        <f>F15*G15</f>
        <v>600</v>
      </c>
    </row>
    <row r="16" spans="3:13" ht="15.75" customHeight="1">
      <c r="C16" s="145" t="s">
        <v>1229</v>
      </c>
      <c r="D16" s="81"/>
      <c r="E16" s="81"/>
      <c r="F16" s="81"/>
      <c r="G16" s="163"/>
      <c r="H16" s="125">
        <f>SUM(H13:H15)</f>
        <v>885</v>
      </c>
    </row>
    <row r="17" spans="3:9" s="164" customFormat="1">
      <c r="C17" s="123" t="s">
        <v>1230</v>
      </c>
      <c r="D17" s="70" t="s">
        <v>1231</v>
      </c>
      <c r="E17" s="71"/>
      <c r="F17" s="71"/>
      <c r="G17" s="72"/>
      <c r="H17" s="125">
        <f>H9+H11+H16</f>
        <v>129585</v>
      </c>
      <c r="I17" s="63"/>
    </row>
    <row r="18" spans="3:9" s="164" customFormat="1">
      <c r="C18" s="123" t="s">
        <v>1232</v>
      </c>
      <c r="D18" s="70" t="s">
        <v>1410</v>
      </c>
      <c r="E18" s="71"/>
      <c r="F18" s="72"/>
      <c r="G18" s="96">
        <f>$M$7</f>
        <v>0.1</v>
      </c>
      <c r="H18" s="125">
        <f>H17*G18</f>
        <v>12958.5</v>
      </c>
      <c r="I18" s="63"/>
    </row>
    <row r="19" spans="3:9" s="164" customFormat="1" ht="15.75" thickBot="1">
      <c r="C19" s="131" t="s">
        <v>1233</v>
      </c>
      <c r="D19" s="132" t="s">
        <v>1234</v>
      </c>
      <c r="E19" s="133"/>
      <c r="F19" s="133"/>
      <c r="G19" s="156"/>
      <c r="H19" s="135">
        <f>SUM(H17:H18)</f>
        <v>142543.5</v>
      </c>
      <c r="I19" s="63"/>
    </row>
    <row r="20" spans="3:9" ht="15.75" thickTop="1">
      <c r="C20" s="90"/>
      <c r="D20" s="183" t="s">
        <v>1310</v>
      </c>
      <c r="E20" s="183"/>
      <c r="F20" s="183"/>
      <c r="G20" s="183"/>
      <c r="H20" s="92"/>
    </row>
    <row r="21" spans="3:9" ht="15">
      <c r="C21" s="90"/>
      <c r="D21" s="91"/>
      <c r="E21" s="91"/>
      <c r="F21" s="91"/>
      <c r="G21" s="91"/>
      <c r="H21" s="92"/>
    </row>
    <row r="22" spans="3:9" s="55" customFormat="1" ht="15.75" thickBot="1">
      <c r="C22" s="178" t="s">
        <v>1303</v>
      </c>
      <c r="D22" s="178"/>
      <c r="E22" s="119"/>
      <c r="F22" s="119"/>
      <c r="G22" s="119"/>
      <c r="H22" s="119"/>
      <c r="I22" s="57">
        <f>ROUNDDOWN(H35,-2)</f>
        <v>150000</v>
      </c>
    </row>
    <row r="23" spans="3:9" s="58" customFormat="1" ht="31.5" customHeight="1" thickTop="1">
      <c r="C23" s="120" t="s">
        <v>1207</v>
      </c>
      <c r="D23" s="121" t="s">
        <v>1208</v>
      </c>
      <c r="E23" s="121" t="s">
        <v>1209</v>
      </c>
      <c r="F23" s="121" t="s">
        <v>1210</v>
      </c>
      <c r="G23" s="121" t="s">
        <v>1211</v>
      </c>
      <c r="H23" s="122" t="s">
        <v>1212</v>
      </c>
    </row>
    <row r="24" spans="3:9">
      <c r="C24" s="142" t="s">
        <v>1213</v>
      </c>
      <c r="D24" s="60" t="s">
        <v>1214</v>
      </c>
      <c r="E24" s="74"/>
      <c r="F24" s="74"/>
      <c r="G24" s="74"/>
      <c r="H24" s="147"/>
    </row>
    <row r="25" spans="3:9">
      <c r="C25" s="143">
        <v>1</v>
      </c>
      <c r="D25" s="60" t="s">
        <v>5</v>
      </c>
      <c r="E25" s="73" t="s">
        <v>6</v>
      </c>
      <c r="F25" s="75">
        <v>0.2</v>
      </c>
      <c r="G25" s="65">
        <f>VLOOKUP(D25,upahbahan,3,FALSE)</f>
        <v>100000</v>
      </c>
      <c r="H25" s="125">
        <f>F25*G25</f>
        <v>20000</v>
      </c>
    </row>
    <row r="26" spans="3:9">
      <c r="C26" s="143">
        <v>2</v>
      </c>
      <c r="D26" s="60" t="s">
        <v>19</v>
      </c>
      <c r="E26" s="73" t="s">
        <v>6</v>
      </c>
      <c r="F26" s="75">
        <v>0.01</v>
      </c>
      <c r="G26" s="65">
        <f>VLOOKUP(D26,upahbahan,3,FALSE)</f>
        <v>145000</v>
      </c>
      <c r="H26" s="125">
        <f>F26*G26</f>
        <v>1450</v>
      </c>
    </row>
    <row r="27" spans="3:9" ht="15.75" customHeight="1">
      <c r="C27" s="145" t="s">
        <v>1220</v>
      </c>
      <c r="D27" s="76"/>
      <c r="E27" s="76"/>
      <c r="F27" s="76"/>
      <c r="G27" s="162"/>
      <c r="H27" s="125">
        <f>SUM(H25:H26)</f>
        <v>21450</v>
      </c>
    </row>
    <row r="28" spans="3:9">
      <c r="C28" s="142" t="s">
        <v>1221</v>
      </c>
      <c r="D28" s="60" t="s">
        <v>1222</v>
      </c>
      <c r="E28" s="74"/>
      <c r="F28" s="74"/>
      <c r="G28" s="74"/>
      <c r="H28" s="147"/>
    </row>
    <row r="29" spans="3:9" ht="15.75" customHeight="1">
      <c r="C29" s="145" t="s">
        <v>1226</v>
      </c>
      <c r="D29" s="81"/>
      <c r="E29" s="81"/>
      <c r="F29" s="81"/>
      <c r="G29" s="163"/>
      <c r="H29" s="154">
        <v>0</v>
      </c>
    </row>
    <row r="30" spans="3:9">
      <c r="C30" s="142" t="s">
        <v>1227</v>
      </c>
      <c r="D30" s="60" t="s">
        <v>1228</v>
      </c>
      <c r="E30" s="74"/>
      <c r="F30" s="74"/>
      <c r="G30" s="74"/>
      <c r="H30" s="147"/>
    </row>
    <row r="31" spans="3:9">
      <c r="C31" s="146" t="s">
        <v>1215</v>
      </c>
      <c r="D31" s="78" t="s">
        <v>1122</v>
      </c>
      <c r="E31" s="181" t="s">
        <v>1091</v>
      </c>
      <c r="F31" s="182">
        <v>0.05</v>
      </c>
      <c r="G31" s="65">
        <f>VLOOKUP(D31,upahbahan,3,FALSE)</f>
        <v>2300000</v>
      </c>
      <c r="H31" s="125">
        <f>F31*G31</f>
        <v>115000</v>
      </c>
    </row>
    <row r="32" spans="3:9" ht="15.75" customHeight="1">
      <c r="C32" s="145" t="s">
        <v>1229</v>
      </c>
      <c r="D32" s="81"/>
      <c r="E32" s="81"/>
      <c r="F32" s="81"/>
      <c r="G32" s="163"/>
      <c r="H32" s="125">
        <f>SUM(H31:H31)</f>
        <v>115000</v>
      </c>
    </row>
    <row r="33" spans="3:9" s="164" customFormat="1">
      <c r="C33" s="123" t="s">
        <v>1230</v>
      </c>
      <c r="D33" s="70" t="s">
        <v>1231</v>
      </c>
      <c r="E33" s="71"/>
      <c r="F33" s="71"/>
      <c r="G33" s="72"/>
      <c r="H33" s="125">
        <f>H27+H29+H32</f>
        <v>136450</v>
      </c>
      <c r="I33" s="63"/>
    </row>
    <row r="34" spans="3:9" s="164" customFormat="1">
      <c r="C34" s="123" t="s">
        <v>1232</v>
      </c>
      <c r="D34" s="70" t="s">
        <v>1410</v>
      </c>
      <c r="E34" s="71"/>
      <c r="F34" s="72"/>
      <c r="G34" s="96">
        <f>$M$7</f>
        <v>0.1</v>
      </c>
      <c r="H34" s="125">
        <f>H33*G34</f>
        <v>13645</v>
      </c>
      <c r="I34" s="63"/>
    </row>
    <row r="35" spans="3:9" s="164" customFormat="1" ht="15.75" thickBot="1">
      <c r="C35" s="131" t="s">
        <v>1233</v>
      </c>
      <c r="D35" s="132" t="s">
        <v>1234</v>
      </c>
      <c r="E35" s="133"/>
      <c r="F35" s="133"/>
      <c r="G35" s="156"/>
      <c r="H35" s="135">
        <f>SUM(H33:H34)</f>
        <v>150095</v>
      </c>
      <c r="I35" s="63"/>
    </row>
    <row r="36" spans="3:9" s="164" customFormat="1" ht="15.75" thickTop="1">
      <c r="C36" s="58"/>
      <c r="D36" s="82"/>
      <c r="E36" s="82"/>
      <c r="F36" s="82"/>
      <c r="G36" s="82"/>
      <c r="H36" s="83"/>
      <c r="I36" s="63"/>
    </row>
    <row r="37" spans="3:9" s="55" customFormat="1" ht="15.75" thickBot="1">
      <c r="C37" s="178" t="s">
        <v>1304</v>
      </c>
      <c r="D37" s="178"/>
      <c r="E37" s="119"/>
      <c r="F37" s="119"/>
      <c r="G37" s="119"/>
      <c r="H37" s="119"/>
      <c r="I37" s="57">
        <f>ROUNDDOWN(H54,-2)</f>
        <v>204500</v>
      </c>
    </row>
    <row r="38" spans="3:9" s="58" customFormat="1" ht="31.5" customHeight="1" thickTop="1">
      <c r="C38" s="120" t="s">
        <v>1207</v>
      </c>
      <c r="D38" s="121" t="s">
        <v>1208</v>
      </c>
      <c r="E38" s="121" t="s">
        <v>1209</v>
      </c>
      <c r="F38" s="121" t="s">
        <v>1210</v>
      </c>
      <c r="G38" s="121" t="s">
        <v>1211</v>
      </c>
      <c r="H38" s="122" t="s">
        <v>1212</v>
      </c>
    </row>
    <row r="39" spans="3:9">
      <c r="C39" s="142" t="s">
        <v>1213</v>
      </c>
      <c r="D39" s="60" t="s">
        <v>1214</v>
      </c>
      <c r="E39" s="74"/>
      <c r="F39" s="74"/>
      <c r="G39" s="74"/>
      <c r="H39" s="147"/>
    </row>
    <row r="40" spans="3:9">
      <c r="C40" s="143">
        <v>1</v>
      </c>
      <c r="D40" s="60" t="s">
        <v>5</v>
      </c>
      <c r="E40" s="73" t="s">
        <v>6</v>
      </c>
      <c r="F40" s="184">
        <v>1.075</v>
      </c>
      <c r="G40" s="65">
        <f>VLOOKUP(D40,upahbahan,3,FALSE)</f>
        <v>100000</v>
      </c>
      <c r="H40" s="125">
        <f>F40*G40</f>
        <v>107500</v>
      </c>
    </row>
    <row r="41" spans="3:9">
      <c r="C41" s="143">
        <v>2</v>
      </c>
      <c r="D41" s="60" t="s">
        <v>19</v>
      </c>
      <c r="E41" s="73" t="s">
        <v>6</v>
      </c>
      <c r="F41" s="184">
        <v>0.108</v>
      </c>
      <c r="G41" s="65">
        <f>VLOOKUP(D41,upahbahan,3,FALSE)</f>
        <v>145000</v>
      </c>
      <c r="H41" s="125">
        <f>F41*G41</f>
        <v>15660</v>
      </c>
    </row>
    <row r="42" spans="3:9" ht="15.75" customHeight="1">
      <c r="C42" s="145" t="s">
        <v>1220</v>
      </c>
      <c r="D42" s="76"/>
      <c r="E42" s="76"/>
      <c r="F42" s="76"/>
      <c r="G42" s="162"/>
      <c r="H42" s="125">
        <f>SUM(H40:H41)</f>
        <v>123160</v>
      </c>
    </row>
    <row r="43" spans="3:9">
      <c r="C43" s="142" t="s">
        <v>1221</v>
      </c>
      <c r="D43" s="60" t="s">
        <v>1222</v>
      </c>
      <c r="E43" s="74"/>
      <c r="F43" s="74"/>
      <c r="G43" s="74"/>
      <c r="H43" s="147"/>
    </row>
    <row r="44" spans="3:9">
      <c r="C44" s="142">
        <v>1</v>
      </c>
      <c r="D44" s="60" t="s">
        <v>764</v>
      </c>
      <c r="E44" s="171" t="s">
        <v>535</v>
      </c>
      <c r="F44" s="172">
        <v>1.2</v>
      </c>
      <c r="G44" s="65">
        <f>VLOOKUP(D44,upahbahan,3,FALSE)</f>
        <v>50000</v>
      </c>
      <c r="H44" s="125">
        <f>F44*G44</f>
        <v>60000</v>
      </c>
    </row>
    <row r="45" spans="3:9" ht="15.75" customHeight="1">
      <c r="C45" s="145" t="s">
        <v>1226</v>
      </c>
      <c r="D45" s="81"/>
      <c r="E45" s="81"/>
      <c r="F45" s="81"/>
      <c r="G45" s="163"/>
      <c r="H45" s="125">
        <f>SUM(H44)</f>
        <v>60000</v>
      </c>
    </row>
    <row r="46" spans="3:9">
      <c r="C46" s="142" t="s">
        <v>1227</v>
      </c>
      <c r="D46" s="60" t="s">
        <v>1228</v>
      </c>
      <c r="E46" s="74"/>
      <c r="F46" s="74"/>
      <c r="G46" s="74"/>
      <c r="H46" s="147"/>
    </row>
    <row r="47" spans="3:9">
      <c r="C47" s="146" t="s">
        <v>1215</v>
      </c>
      <c r="D47" s="78" t="s">
        <v>1181</v>
      </c>
      <c r="E47" s="181" t="s">
        <v>44</v>
      </c>
      <c r="F47" s="182">
        <v>0.02</v>
      </c>
      <c r="G47" s="65">
        <f>VLOOKUP(D47,upahbahan,3,FALSE)</f>
        <v>25000</v>
      </c>
      <c r="H47" s="125">
        <f>F47*G47</f>
        <v>500</v>
      </c>
    </row>
    <row r="48" spans="3:9">
      <c r="C48" s="146" t="s">
        <v>1216</v>
      </c>
      <c r="D48" s="78" t="s">
        <v>1176</v>
      </c>
      <c r="E48" s="181" t="s">
        <v>44</v>
      </c>
      <c r="F48" s="182">
        <v>0.1</v>
      </c>
      <c r="G48" s="65">
        <f>VLOOKUP(D48,upahbahan,3,FALSE)</f>
        <v>3500</v>
      </c>
      <c r="H48" s="125">
        <f>F48*G48</f>
        <v>350</v>
      </c>
    </row>
    <row r="49" spans="3:9">
      <c r="C49" s="146" t="s">
        <v>1217</v>
      </c>
      <c r="D49" s="78" t="s">
        <v>1180</v>
      </c>
      <c r="E49" s="181" t="s">
        <v>44</v>
      </c>
      <c r="F49" s="182">
        <v>0.03</v>
      </c>
      <c r="G49" s="65">
        <f>VLOOKUP(D49,upahbahan,3,FALSE)</f>
        <v>15000</v>
      </c>
      <c r="H49" s="125">
        <f>F49*G49</f>
        <v>450</v>
      </c>
    </row>
    <row r="50" spans="3:9">
      <c r="C50" s="146" t="s">
        <v>1218</v>
      </c>
      <c r="D50" s="78" t="s">
        <v>1178</v>
      </c>
      <c r="E50" s="181" t="s">
        <v>44</v>
      </c>
      <c r="F50" s="182">
        <v>0.05</v>
      </c>
      <c r="G50" s="65">
        <f>VLOOKUP(D50,upahbahan,3,FALSE)</f>
        <v>30000</v>
      </c>
      <c r="H50" s="125">
        <f>F50*G50</f>
        <v>1500</v>
      </c>
    </row>
    <row r="51" spans="3:9" ht="15.75" customHeight="1">
      <c r="C51" s="145" t="s">
        <v>1229</v>
      </c>
      <c r="D51" s="81"/>
      <c r="E51" s="81"/>
      <c r="F51" s="81"/>
      <c r="G51" s="163"/>
      <c r="H51" s="125">
        <f>SUM(H47:H50)</f>
        <v>2800</v>
      </c>
    </row>
    <row r="52" spans="3:9" s="164" customFormat="1">
      <c r="C52" s="123" t="s">
        <v>1230</v>
      </c>
      <c r="D52" s="70" t="s">
        <v>1231</v>
      </c>
      <c r="E52" s="71"/>
      <c r="F52" s="71"/>
      <c r="G52" s="72"/>
      <c r="H52" s="125">
        <f>H42+H45+H51</f>
        <v>185960</v>
      </c>
      <c r="I52" s="63"/>
    </row>
    <row r="53" spans="3:9" s="164" customFormat="1">
      <c r="C53" s="123" t="s">
        <v>1232</v>
      </c>
      <c r="D53" s="70" t="s">
        <v>1410</v>
      </c>
      <c r="E53" s="71"/>
      <c r="F53" s="72"/>
      <c r="G53" s="96">
        <f>$M$7</f>
        <v>0.1</v>
      </c>
      <c r="H53" s="125">
        <f>H52*G53</f>
        <v>18596</v>
      </c>
      <c r="I53" s="63"/>
    </row>
    <row r="54" spans="3:9" s="164" customFormat="1" ht="15.75" thickBot="1">
      <c r="C54" s="131" t="s">
        <v>1233</v>
      </c>
      <c r="D54" s="132" t="s">
        <v>1234</v>
      </c>
      <c r="E54" s="133"/>
      <c r="F54" s="133"/>
      <c r="G54" s="156"/>
      <c r="H54" s="135">
        <f>SUM(H52:H53)</f>
        <v>204556</v>
      </c>
      <c r="I54" s="63"/>
    </row>
    <row r="55" spans="3:9" s="164" customFormat="1" ht="15.75" thickTop="1">
      <c r="C55" s="58"/>
      <c r="D55" s="82"/>
      <c r="E55" s="82"/>
      <c r="F55" s="82"/>
      <c r="G55" s="82"/>
      <c r="H55" s="83"/>
      <c r="I55" s="63"/>
    </row>
    <row r="56" spans="3:9" s="55" customFormat="1" ht="15.75" thickBot="1">
      <c r="C56" s="178" t="s">
        <v>1305</v>
      </c>
      <c r="D56" s="178"/>
      <c r="E56" s="119"/>
      <c r="F56" s="119"/>
      <c r="G56" s="119"/>
      <c r="H56" s="119"/>
      <c r="I56" s="57">
        <f>ROUNDDOWN(H73,-2)</f>
        <v>493700</v>
      </c>
    </row>
    <row r="57" spans="3:9" s="58" customFormat="1" ht="31.5" customHeight="1" thickTop="1">
      <c r="C57" s="120" t="s">
        <v>1207</v>
      </c>
      <c r="D57" s="121" t="s">
        <v>1208</v>
      </c>
      <c r="E57" s="121" t="s">
        <v>1209</v>
      </c>
      <c r="F57" s="121" t="s">
        <v>1210</v>
      </c>
      <c r="G57" s="121" t="s">
        <v>1211</v>
      </c>
      <c r="H57" s="122" t="s">
        <v>1212</v>
      </c>
    </row>
    <row r="58" spans="3:9">
      <c r="C58" s="142" t="s">
        <v>1213</v>
      </c>
      <c r="D58" s="60" t="s">
        <v>1214</v>
      </c>
      <c r="E58" s="74"/>
      <c r="F58" s="74"/>
      <c r="G58" s="74"/>
      <c r="H58" s="147"/>
    </row>
    <row r="59" spans="3:9">
      <c r="C59" s="143">
        <v>1</v>
      </c>
      <c r="D59" s="60" t="s">
        <v>5</v>
      </c>
      <c r="E59" s="73" t="s">
        <v>6</v>
      </c>
      <c r="F59" s="75">
        <v>3.6</v>
      </c>
      <c r="G59" s="65">
        <f>VLOOKUP(D59,upahbahan,3,FALSE)</f>
        <v>100000</v>
      </c>
      <c r="H59" s="125">
        <f>F59*G59</f>
        <v>360000</v>
      </c>
    </row>
    <row r="60" spans="3:9">
      <c r="C60" s="143">
        <v>2</v>
      </c>
      <c r="D60" s="60" t="s">
        <v>19</v>
      </c>
      <c r="E60" s="73" t="s">
        <v>6</v>
      </c>
      <c r="F60" s="75">
        <v>0.18</v>
      </c>
      <c r="G60" s="65">
        <f>VLOOKUP(D60,upahbahan,3,FALSE)</f>
        <v>145000</v>
      </c>
      <c r="H60" s="125">
        <f>F60*G60</f>
        <v>26100</v>
      </c>
    </row>
    <row r="61" spans="3:9" ht="15.75" customHeight="1">
      <c r="C61" s="145" t="s">
        <v>1220</v>
      </c>
      <c r="D61" s="76"/>
      <c r="E61" s="76"/>
      <c r="F61" s="76"/>
      <c r="G61" s="162"/>
      <c r="H61" s="125">
        <f>SUM(H59:H60)</f>
        <v>386100</v>
      </c>
    </row>
    <row r="62" spans="3:9">
      <c r="C62" s="142" t="s">
        <v>1221</v>
      </c>
      <c r="D62" s="60" t="s">
        <v>1222</v>
      </c>
      <c r="E62" s="74"/>
      <c r="F62" s="74"/>
      <c r="G62" s="74"/>
      <c r="H62" s="147"/>
    </row>
    <row r="63" spans="3:9">
      <c r="C63" s="142">
        <v>1</v>
      </c>
      <c r="D63" s="60" t="s">
        <v>764</v>
      </c>
      <c r="E63" s="171" t="s">
        <v>535</v>
      </c>
      <c r="F63" s="172">
        <v>1.2</v>
      </c>
      <c r="G63" s="65">
        <f>VLOOKUP(D63,upahbahan,3,FALSE)</f>
        <v>50000</v>
      </c>
      <c r="H63" s="125">
        <f>F63*G63</f>
        <v>60000</v>
      </c>
    </row>
    <row r="64" spans="3:9" ht="15.75" customHeight="1">
      <c r="C64" s="145" t="s">
        <v>1226</v>
      </c>
      <c r="D64" s="81"/>
      <c r="E64" s="81"/>
      <c r="F64" s="81"/>
      <c r="G64" s="163"/>
      <c r="H64" s="125">
        <f>SUM(H63)</f>
        <v>60000</v>
      </c>
    </row>
    <row r="65" spans="3:9">
      <c r="C65" s="142" t="s">
        <v>1227</v>
      </c>
      <c r="D65" s="60" t="s">
        <v>1228</v>
      </c>
      <c r="E65" s="74"/>
      <c r="F65" s="74"/>
      <c r="G65" s="74"/>
      <c r="H65" s="147"/>
    </row>
    <row r="66" spans="3:9">
      <c r="C66" s="146" t="s">
        <v>1215</v>
      </c>
      <c r="D66" s="78" t="s">
        <v>1181</v>
      </c>
      <c r="E66" s="181" t="s">
        <v>44</v>
      </c>
      <c r="F66" s="182">
        <v>0.02</v>
      </c>
      <c r="G66" s="65">
        <f>VLOOKUP(D66,upahbahan,3,FALSE)</f>
        <v>25000</v>
      </c>
      <c r="H66" s="125">
        <f>F66*G66</f>
        <v>500</v>
      </c>
    </row>
    <row r="67" spans="3:9">
      <c r="C67" s="146" t="s">
        <v>1216</v>
      </c>
      <c r="D67" s="78" t="s">
        <v>1176</v>
      </c>
      <c r="E67" s="181" t="s">
        <v>44</v>
      </c>
      <c r="F67" s="182">
        <v>0.1</v>
      </c>
      <c r="G67" s="65">
        <f>VLOOKUP(D67,upahbahan,3,FALSE)</f>
        <v>3500</v>
      </c>
      <c r="H67" s="125">
        <f>F67*G67</f>
        <v>350</v>
      </c>
    </row>
    <row r="68" spans="3:9">
      <c r="C68" s="146" t="s">
        <v>1217</v>
      </c>
      <c r="D68" s="78" t="s">
        <v>1180</v>
      </c>
      <c r="E68" s="181" t="s">
        <v>44</v>
      </c>
      <c r="F68" s="182">
        <v>0.03</v>
      </c>
      <c r="G68" s="65">
        <f>VLOOKUP(D68,upahbahan,3,FALSE)</f>
        <v>15000</v>
      </c>
      <c r="H68" s="125">
        <f>F68*G68</f>
        <v>450</v>
      </c>
    </row>
    <row r="69" spans="3:9">
      <c r="C69" s="146" t="s">
        <v>1218</v>
      </c>
      <c r="D69" s="78" t="s">
        <v>1178</v>
      </c>
      <c r="E69" s="181" t="s">
        <v>44</v>
      </c>
      <c r="F69" s="182">
        <v>0.05</v>
      </c>
      <c r="G69" s="65">
        <f>VLOOKUP(D69,upahbahan,3,FALSE)</f>
        <v>30000</v>
      </c>
      <c r="H69" s="125">
        <f>F69*G69</f>
        <v>1500</v>
      </c>
    </row>
    <row r="70" spans="3:9" ht="15.75" customHeight="1">
      <c r="C70" s="145" t="s">
        <v>1229</v>
      </c>
      <c r="D70" s="81"/>
      <c r="E70" s="81"/>
      <c r="F70" s="81"/>
      <c r="G70" s="163"/>
      <c r="H70" s="125">
        <f>SUM(H66:H69)</f>
        <v>2800</v>
      </c>
    </row>
    <row r="71" spans="3:9" s="164" customFormat="1">
      <c r="C71" s="123" t="s">
        <v>1230</v>
      </c>
      <c r="D71" s="70" t="s">
        <v>1231</v>
      </c>
      <c r="E71" s="71"/>
      <c r="F71" s="71"/>
      <c r="G71" s="72"/>
      <c r="H71" s="125">
        <f>H61+H64+H70</f>
        <v>448900</v>
      </c>
      <c r="I71" s="63"/>
    </row>
    <row r="72" spans="3:9" s="164" customFormat="1">
      <c r="C72" s="123" t="s">
        <v>1232</v>
      </c>
      <c r="D72" s="70" t="s">
        <v>1410</v>
      </c>
      <c r="E72" s="71"/>
      <c r="F72" s="72"/>
      <c r="G72" s="96">
        <f>$M$7</f>
        <v>0.1</v>
      </c>
      <c r="H72" s="125">
        <f>H71*G72</f>
        <v>44890</v>
      </c>
      <c r="I72" s="63"/>
    </row>
    <row r="73" spans="3:9" s="164" customFormat="1" ht="15.75" thickBot="1">
      <c r="C73" s="131" t="s">
        <v>1233</v>
      </c>
      <c r="D73" s="132" t="s">
        <v>1234</v>
      </c>
      <c r="E73" s="133"/>
      <c r="F73" s="133"/>
      <c r="G73" s="156"/>
      <c r="H73" s="135">
        <f>SUM(H71:H72)</f>
        <v>493790</v>
      </c>
      <c r="I73" s="63"/>
    </row>
    <row r="74" spans="3:9" s="164" customFormat="1" ht="15.75" thickTop="1">
      <c r="C74" s="58"/>
      <c r="D74" s="82"/>
      <c r="E74" s="82"/>
      <c r="F74" s="82"/>
      <c r="G74" s="82"/>
      <c r="H74" s="83"/>
      <c r="I74" s="63"/>
    </row>
    <row r="75" spans="3:9" s="55" customFormat="1" ht="15.75" thickBot="1">
      <c r="C75" s="178" t="s">
        <v>1306</v>
      </c>
      <c r="D75" s="178"/>
      <c r="E75" s="119"/>
      <c r="F75" s="119"/>
      <c r="G75" s="119"/>
      <c r="H75" s="119"/>
      <c r="I75" s="57">
        <f>ROUNDDOWN(H88,-2)</f>
        <v>151600</v>
      </c>
    </row>
    <row r="76" spans="3:9" s="58" customFormat="1" ht="31.5" customHeight="1" thickTop="1">
      <c r="C76" s="120" t="s">
        <v>1207</v>
      </c>
      <c r="D76" s="121" t="s">
        <v>1208</v>
      </c>
      <c r="E76" s="121" t="s">
        <v>1209</v>
      </c>
      <c r="F76" s="121" t="s">
        <v>1210</v>
      </c>
      <c r="G76" s="121" t="s">
        <v>1211</v>
      </c>
      <c r="H76" s="122" t="s">
        <v>1212</v>
      </c>
    </row>
    <row r="77" spans="3:9">
      <c r="C77" s="142" t="s">
        <v>1213</v>
      </c>
      <c r="D77" s="60" t="s">
        <v>1214</v>
      </c>
      <c r="E77" s="74"/>
      <c r="F77" s="74"/>
      <c r="G77" s="74"/>
      <c r="H77" s="147"/>
    </row>
    <row r="78" spans="3:9">
      <c r="C78" s="143">
        <v>1</v>
      </c>
      <c r="D78" s="60" t="s">
        <v>5</v>
      </c>
      <c r="E78" s="73" t="s">
        <v>6</v>
      </c>
      <c r="F78" s="75">
        <v>0.2</v>
      </c>
      <c r="G78" s="65">
        <f>VLOOKUP(D78,upahbahan,3,FALSE)</f>
        <v>100000</v>
      </c>
      <c r="H78" s="125">
        <f>F78*G78</f>
        <v>20000</v>
      </c>
    </row>
    <row r="79" spans="3:9">
      <c r="C79" s="143">
        <v>2</v>
      </c>
      <c r="D79" s="60" t="s">
        <v>19</v>
      </c>
      <c r="E79" s="73" t="s">
        <v>6</v>
      </c>
      <c r="F79" s="75">
        <v>0.02</v>
      </c>
      <c r="G79" s="65">
        <f>VLOOKUP(D79,upahbahan,3,FALSE)</f>
        <v>145000</v>
      </c>
      <c r="H79" s="125">
        <f>F79*G79</f>
        <v>2900</v>
      </c>
    </row>
    <row r="80" spans="3:9" ht="15.75" customHeight="1">
      <c r="C80" s="145" t="s">
        <v>1220</v>
      </c>
      <c r="D80" s="76"/>
      <c r="E80" s="76"/>
      <c r="F80" s="76"/>
      <c r="G80" s="162"/>
      <c r="H80" s="125">
        <f>SUM(H78:H79)</f>
        <v>22900</v>
      </c>
    </row>
    <row r="81" spans="3:9">
      <c r="C81" s="142" t="s">
        <v>1221</v>
      </c>
      <c r="D81" s="60" t="s">
        <v>1222</v>
      </c>
      <c r="E81" s="74"/>
      <c r="F81" s="74"/>
      <c r="G81" s="74"/>
      <c r="H81" s="147"/>
    </row>
    <row r="82" spans="3:9" ht="15.75" customHeight="1">
      <c r="C82" s="145" t="s">
        <v>1226</v>
      </c>
      <c r="D82" s="81"/>
      <c r="E82" s="81"/>
      <c r="F82" s="81"/>
      <c r="G82" s="163"/>
      <c r="H82" s="185">
        <v>0</v>
      </c>
    </row>
    <row r="83" spans="3:9">
      <c r="C83" s="142" t="s">
        <v>1227</v>
      </c>
      <c r="D83" s="60" t="s">
        <v>1228</v>
      </c>
      <c r="E83" s="74"/>
      <c r="F83" s="74"/>
      <c r="G83" s="74"/>
      <c r="H83" s="147"/>
    </row>
    <row r="84" spans="3:9">
      <c r="C84" s="146" t="s">
        <v>1215</v>
      </c>
      <c r="D84" s="78" t="s">
        <v>1122</v>
      </c>
      <c r="E84" s="181" t="s">
        <v>1091</v>
      </c>
      <c r="F84" s="182">
        <v>0.05</v>
      </c>
      <c r="G84" s="65">
        <f>VLOOKUP(D84,upahbahan,3,FALSE)</f>
        <v>2300000</v>
      </c>
      <c r="H84" s="125">
        <f>F84*G84</f>
        <v>115000</v>
      </c>
    </row>
    <row r="85" spans="3:9" ht="15.75" customHeight="1">
      <c r="C85" s="145" t="s">
        <v>1229</v>
      </c>
      <c r="D85" s="81"/>
      <c r="E85" s="81"/>
      <c r="F85" s="81"/>
      <c r="G85" s="163"/>
      <c r="H85" s="125">
        <f>SUM(H84:H84)</f>
        <v>115000</v>
      </c>
    </row>
    <row r="86" spans="3:9" s="164" customFormat="1">
      <c r="C86" s="123" t="s">
        <v>1230</v>
      </c>
      <c r="D86" s="70" t="s">
        <v>1231</v>
      </c>
      <c r="E86" s="71"/>
      <c r="F86" s="71"/>
      <c r="G86" s="72"/>
      <c r="H86" s="125">
        <f>H80+H82+H85</f>
        <v>137900</v>
      </c>
      <c r="I86" s="63"/>
    </row>
    <row r="87" spans="3:9" s="164" customFormat="1">
      <c r="C87" s="123" t="s">
        <v>1232</v>
      </c>
      <c r="D87" s="70" t="s">
        <v>1410</v>
      </c>
      <c r="E87" s="71"/>
      <c r="F87" s="72"/>
      <c r="G87" s="96">
        <f>$M$7</f>
        <v>0.1</v>
      </c>
      <c r="H87" s="125">
        <f>H86*G87</f>
        <v>13790</v>
      </c>
      <c r="I87" s="63"/>
    </row>
    <row r="88" spans="3:9" s="164" customFormat="1" ht="15.75" thickBot="1">
      <c r="C88" s="131" t="s">
        <v>1233</v>
      </c>
      <c r="D88" s="132" t="s">
        <v>1234</v>
      </c>
      <c r="E88" s="133"/>
      <c r="F88" s="133"/>
      <c r="G88" s="156"/>
      <c r="H88" s="135">
        <f>SUM(H86:H87)</f>
        <v>151690</v>
      </c>
      <c r="I88" s="63"/>
    </row>
    <row r="89" spans="3:9" s="164" customFormat="1" ht="15.75" thickTop="1">
      <c r="C89" s="58"/>
      <c r="D89" s="82"/>
      <c r="E89" s="82"/>
      <c r="F89" s="82"/>
      <c r="G89" s="82"/>
      <c r="H89" s="83"/>
      <c r="I89" s="63"/>
    </row>
    <row r="90" spans="3:9" s="55" customFormat="1" ht="15.75" thickBot="1">
      <c r="C90" s="178" t="s">
        <v>1307</v>
      </c>
      <c r="D90" s="178"/>
      <c r="E90" s="119"/>
      <c r="F90" s="119"/>
      <c r="G90" s="119"/>
      <c r="H90" s="119"/>
      <c r="I90" s="57">
        <f>ROUNDDOWN(H103,-2)</f>
        <v>300100</v>
      </c>
    </row>
    <row r="91" spans="3:9" s="58" customFormat="1" ht="31.5" customHeight="1" thickTop="1">
      <c r="C91" s="120" t="s">
        <v>1207</v>
      </c>
      <c r="D91" s="121" t="s">
        <v>1208</v>
      </c>
      <c r="E91" s="121" t="s">
        <v>1209</v>
      </c>
      <c r="F91" s="121" t="s">
        <v>1210</v>
      </c>
      <c r="G91" s="121" t="s">
        <v>1211</v>
      </c>
      <c r="H91" s="122" t="s">
        <v>1212</v>
      </c>
    </row>
    <row r="92" spans="3:9">
      <c r="C92" s="142" t="s">
        <v>1213</v>
      </c>
      <c r="D92" s="60" t="s">
        <v>1214</v>
      </c>
      <c r="E92" s="74"/>
      <c r="F92" s="74"/>
      <c r="G92" s="74"/>
      <c r="H92" s="147"/>
    </row>
    <row r="93" spans="3:9">
      <c r="C93" s="143">
        <v>1</v>
      </c>
      <c r="D93" s="60" t="s">
        <v>5</v>
      </c>
      <c r="E93" s="73" t="s">
        <v>6</v>
      </c>
      <c r="F93" s="75">
        <v>0.4</v>
      </c>
      <c r="G93" s="65">
        <f>VLOOKUP(D93,upahbahan,3,FALSE)</f>
        <v>100000</v>
      </c>
      <c r="H93" s="125">
        <f>F93*G93</f>
        <v>40000</v>
      </c>
    </row>
    <row r="94" spans="3:9">
      <c r="C94" s="143">
        <v>2</v>
      </c>
      <c r="D94" s="60" t="s">
        <v>19</v>
      </c>
      <c r="E94" s="73" t="s">
        <v>6</v>
      </c>
      <c r="F94" s="75">
        <v>0.02</v>
      </c>
      <c r="G94" s="65">
        <f>VLOOKUP(D94,upahbahan,3,FALSE)</f>
        <v>145000</v>
      </c>
      <c r="H94" s="125">
        <f>F94*G94</f>
        <v>2900</v>
      </c>
    </row>
    <row r="95" spans="3:9" ht="15.75" customHeight="1">
      <c r="C95" s="145" t="s">
        <v>1220</v>
      </c>
      <c r="D95" s="76"/>
      <c r="E95" s="76"/>
      <c r="F95" s="76"/>
      <c r="G95" s="162"/>
      <c r="H95" s="125">
        <f>SUM(H93:H94)</f>
        <v>42900</v>
      </c>
    </row>
    <row r="96" spans="3:9">
      <c r="C96" s="142" t="s">
        <v>1221</v>
      </c>
      <c r="D96" s="60" t="s">
        <v>1222</v>
      </c>
      <c r="E96" s="74"/>
      <c r="F96" s="74"/>
      <c r="G96" s="74"/>
      <c r="H96" s="147"/>
    </row>
    <row r="97" spans="3:9" ht="15.75" customHeight="1">
      <c r="C97" s="145" t="s">
        <v>1226</v>
      </c>
      <c r="D97" s="81"/>
      <c r="E97" s="81"/>
      <c r="F97" s="81"/>
      <c r="G97" s="163"/>
      <c r="H97" s="185">
        <v>0</v>
      </c>
    </row>
    <row r="98" spans="3:9">
      <c r="C98" s="142" t="s">
        <v>1227</v>
      </c>
      <c r="D98" s="60" t="s">
        <v>1228</v>
      </c>
      <c r="E98" s="74"/>
      <c r="F98" s="74"/>
      <c r="G98" s="74"/>
      <c r="H98" s="147"/>
    </row>
    <row r="99" spans="3:9">
      <c r="C99" s="146" t="s">
        <v>1215</v>
      </c>
      <c r="D99" s="78" t="s">
        <v>1122</v>
      </c>
      <c r="E99" s="181" t="s">
        <v>1091</v>
      </c>
      <c r="F99" s="182">
        <v>0.1</v>
      </c>
      <c r="G99" s="65">
        <f>VLOOKUP(D99,upahbahan,3,FALSE)</f>
        <v>2300000</v>
      </c>
      <c r="H99" s="125">
        <f>F99*G99</f>
        <v>230000</v>
      </c>
    </row>
    <row r="100" spans="3:9" ht="15.75" customHeight="1">
      <c r="C100" s="145" t="s">
        <v>1229</v>
      </c>
      <c r="D100" s="81"/>
      <c r="E100" s="81"/>
      <c r="F100" s="81"/>
      <c r="G100" s="163"/>
      <c r="H100" s="125">
        <f>SUM(H99:H99)</f>
        <v>230000</v>
      </c>
    </row>
    <row r="101" spans="3:9" s="164" customFormat="1">
      <c r="C101" s="123" t="s">
        <v>1230</v>
      </c>
      <c r="D101" s="70" t="s">
        <v>1231</v>
      </c>
      <c r="E101" s="71"/>
      <c r="F101" s="71"/>
      <c r="G101" s="72"/>
      <c r="H101" s="125">
        <f>H95+H97+H100</f>
        <v>272900</v>
      </c>
      <c r="I101" s="63"/>
    </row>
    <row r="102" spans="3:9" s="164" customFormat="1">
      <c r="C102" s="123" t="s">
        <v>1232</v>
      </c>
      <c r="D102" s="70" t="s">
        <v>1410</v>
      </c>
      <c r="E102" s="71"/>
      <c r="F102" s="72"/>
      <c r="G102" s="96">
        <f>$M$7</f>
        <v>0.1</v>
      </c>
      <c r="H102" s="125">
        <f>H101*G102</f>
        <v>27290</v>
      </c>
      <c r="I102" s="63"/>
    </row>
    <row r="103" spans="3:9" s="164" customFormat="1" ht="15.75" thickBot="1">
      <c r="C103" s="131" t="s">
        <v>1233</v>
      </c>
      <c r="D103" s="132" t="s">
        <v>1234</v>
      </c>
      <c r="E103" s="133"/>
      <c r="F103" s="133"/>
      <c r="G103" s="156"/>
      <c r="H103" s="135">
        <f>SUM(H101:H102)</f>
        <v>300190</v>
      </c>
      <c r="I103" s="63"/>
    </row>
    <row r="104" spans="3:9" s="164" customFormat="1" ht="15.75" thickTop="1">
      <c r="C104" s="58"/>
      <c r="D104" s="82"/>
      <c r="E104" s="82"/>
      <c r="F104" s="82"/>
      <c r="G104" s="82"/>
      <c r="H104" s="83"/>
      <c r="I104" s="63"/>
    </row>
    <row r="105" spans="3:9" s="55" customFormat="1" ht="15.75" thickBot="1">
      <c r="C105" s="178" t="s">
        <v>1308</v>
      </c>
      <c r="D105" s="178"/>
      <c r="E105" s="119"/>
      <c r="F105" s="119"/>
      <c r="G105" s="119"/>
      <c r="H105" s="119"/>
      <c r="I105" s="57">
        <f>ROUNDDOWN(H120,-2)</f>
        <v>38100</v>
      </c>
    </row>
    <row r="106" spans="3:9" s="58" customFormat="1" ht="31.5" customHeight="1" thickTop="1">
      <c r="C106" s="120" t="s">
        <v>1207</v>
      </c>
      <c r="D106" s="121" t="s">
        <v>1208</v>
      </c>
      <c r="E106" s="121" t="s">
        <v>1209</v>
      </c>
      <c r="F106" s="121" t="s">
        <v>1210</v>
      </c>
      <c r="G106" s="121" t="s">
        <v>1211</v>
      </c>
      <c r="H106" s="122" t="s">
        <v>1212</v>
      </c>
    </row>
    <row r="107" spans="3:9">
      <c r="C107" s="142" t="s">
        <v>1213</v>
      </c>
      <c r="D107" s="60" t="s">
        <v>1214</v>
      </c>
      <c r="E107" s="74"/>
      <c r="F107" s="74"/>
      <c r="G107" s="74"/>
      <c r="H107" s="147"/>
    </row>
    <row r="108" spans="3:9">
      <c r="C108" s="143">
        <v>1</v>
      </c>
      <c r="D108" s="60" t="s">
        <v>5</v>
      </c>
      <c r="E108" s="73" t="s">
        <v>6</v>
      </c>
      <c r="F108" s="75">
        <v>0.3</v>
      </c>
      <c r="G108" s="65">
        <f>VLOOKUP(D108,upahbahan,3,FALSE)</f>
        <v>100000</v>
      </c>
      <c r="H108" s="125">
        <f>F108*G108</f>
        <v>30000</v>
      </c>
    </row>
    <row r="109" spans="3:9">
      <c r="C109" s="143">
        <v>2</v>
      </c>
      <c r="D109" s="60" t="s">
        <v>19</v>
      </c>
      <c r="E109" s="73" t="s">
        <v>6</v>
      </c>
      <c r="F109" s="75">
        <v>0.03</v>
      </c>
      <c r="G109" s="65">
        <f>VLOOKUP(D109,upahbahan,3,FALSE)</f>
        <v>145000</v>
      </c>
      <c r="H109" s="125">
        <f>F109*G109</f>
        <v>4350</v>
      </c>
    </row>
    <row r="110" spans="3:9" ht="15.75" customHeight="1">
      <c r="C110" s="145" t="s">
        <v>1220</v>
      </c>
      <c r="D110" s="76"/>
      <c r="E110" s="76"/>
      <c r="F110" s="76"/>
      <c r="G110" s="162"/>
      <c r="H110" s="125">
        <f>SUM(H108:H109)</f>
        <v>34350</v>
      </c>
    </row>
    <row r="111" spans="3:9">
      <c r="C111" s="142" t="s">
        <v>1221</v>
      </c>
      <c r="D111" s="60" t="s">
        <v>1222</v>
      </c>
      <c r="E111" s="74"/>
      <c r="F111" s="74"/>
      <c r="G111" s="74"/>
      <c r="H111" s="147"/>
    </row>
    <row r="112" spans="3:9" ht="15.75" customHeight="1">
      <c r="C112" s="145" t="s">
        <v>1226</v>
      </c>
      <c r="D112" s="81"/>
      <c r="E112" s="81"/>
      <c r="F112" s="81"/>
      <c r="G112" s="163"/>
      <c r="H112" s="154">
        <v>0</v>
      </c>
    </row>
    <row r="113" spans="3:9">
      <c r="C113" s="142" t="s">
        <v>1227</v>
      </c>
      <c r="D113" s="60" t="s">
        <v>1228</v>
      </c>
      <c r="E113" s="74"/>
      <c r="F113" s="74"/>
      <c r="G113" s="74"/>
      <c r="H113" s="147"/>
    </row>
    <row r="114" spans="3:9">
      <c r="C114" s="146" t="s">
        <v>1215</v>
      </c>
      <c r="D114" s="78" t="s">
        <v>1181</v>
      </c>
      <c r="E114" s="181" t="s">
        <v>44</v>
      </c>
      <c r="F114" s="186">
        <v>2E-3</v>
      </c>
      <c r="G114" s="65">
        <f>VLOOKUP(D114,upahbahan,3,FALSE)</f>
        <v>25000</v>
      </c>
      <c r="H114" s="125">
        <f>F114*G114</f>
        <v>50</v>
      </c>
    </row>
    <row r="115" spans="3:9">
      <c r="C115" s="146" t="s">
        <v>1216</v>
      </c>
      <c r="D115" s="78" t="s">
        <v>1180</v>
      </c>
      <c r="E115" s="181" t="s">
        <v>44</v>
      </c>
      <c r="F115" s="186">
        <v>3.0000000000000001E-3</v>
      </c>
      <c r="G115" s="65">
        <f>VLOOKUP(D115,upahbahan,3,FALSE)</f>
        <v>15000</v>
      </c>
      <c r="H115" s="125">
        <f>F115*G115</f>
        <v>45</v>
      </c>
    </row>
    <row r="116" spans="3:9">
      <c r="C116" s="146" t="s">
        <v>1217</v>
      </c>
      <c r="D116" s="78" t="s">
        <v>1178</v>
      </c>
      <c r="E116" s="181" t="s">
        <v>44</v>
      </c>
      <c r="F116" s="186">
        <v>7.0000000000000001E-3</v>
      </c>
      <c r="G116" s="65">
        <f>VLOOKUP(D116,upahbahan,3,FALSE)</f>
        <v>30000</v>
      </c>
      <c r="H116" s="125">
        <f>F116*G116</f>
        <v>210</v>
      </c>
    </row>
    <row r="117" spans="3:9" ht="15.75" customHeight="1">
      <c r="C117" s="145" t="s">
        <v>1229</v>
      </c>
      <c r="D117" s="81"/>
      <c r="E117" s="81"/>
      <c r="F117" s="81"/>
      <c r="G117" s="163"/>
      <c r="H117" s="125">
        <f>SUM(H114:H116)</f>
        <v>305</v>
      </c>
    </row>
    <row r="118" spans="3:9" s="164" customFormat="1">
      <c r="C118" s="123" t="s">
        <v>1230</v>
      </c>
      <c r="D118" s="70" t="s">
        <v>1231</v>
      </c>
      <c r="E118" s="71"/>
      <c r="F118" s="71"/>
      <c r="G118" s="72"/>
      <c r="H118" s="125">
        <f>H110+H112+H117</f>
        <v>34655</v>
      </c>
      <c r="I118" s="63"/>
    </row>
    <row r="119" spans="3:9" s="164" customFormat="1">
      <c r="C119" s="123" t="s">
        <v>1232</v>
      </c>
      <c r="D119" s="70" t="s">
        <v>1410</v>
      </c>
      <c r="E119" s="71"/>
      <c r="F119" s="72"/>
      <c r="G119" s="96">
        <f>$M$7</f>
        <v>0.1</v>
      </c>
      <c r="H119" s="125">
        <f>H118*G119</f>
        <v>3465.5</v>
      </c>
      <c r="I119" s="63"/>
    </row>
    <row r="120" spans="3:9" s="164" customFormat="1" ht="15.75" thickBot="1">
      <c r="C120" s="131" t="s">
        <v>1233</v>
      </c>
      <c r="D120" s="132" t="s">
        <v>1234</v>
      </c>
      <c r="E120" s="133"/>
      <c r="F120" s="133"/>
      <c r="G120" s="156"/>
      <c r="H120" s="135">
        <f>SUM(H118:H119)</f>
        <v>38120.5</v>
      </c>
      <c r="I120" s="63"/>
    </row>
    <row r="121" spans="3:9" s="164" customFormat="1" ht="15.75" thickTop="1">
      <c r="C121" s="58"/>
      <c r="D121" s="82"/>
      <c r="E121" s="82"/>
      <c r="F121" s="82"/>
      <c r="G121" s="82"/>
      <c r="H121" s="83"/>
      <c r="I121" s="63"/>
    </row>
    <row r="122" spans="3:9" s="55" customFormat="1" ht="15.75" thickBot="1">
      <c r="C122" s="178" t="s">
        <v>1309</v>
      </c>
      <c r="D122" s="178"/>
      <c r="E122" s="119"/>
      <c r="F122" s="119"/>
      <c r="G122" s="119"/>
      <c r="H122" s="119"/>
      <c r="I122" s="57">
        <f>ROUNDDOWN(H135,-2)</f>
        <v>24600</v>
      </c>
    </row>
    <row r="123" spans="3:9" s="58" customFormat="1" ht="31.5" customHeight="1" thickTop="1">
      <c r="C123" s="120" t="s">
        <v>1207</v>
      </c>
      <c r="D123" s="121" t="s">
        <v>1208</v>
      </c>
      <c r="E123" s="121" t="s">
        <v>1209</v>
      </c>
      <c r="F123" s="121" t="s">
        <v>1210</v>
      </c>
      <c r="G123" s="121" t="s">
        <v>1211</v>
      </c>
      <c r="H123" s="122" t="s">
        <v>1212</v>
      </c>
    </row>
    <row r="124" spans="3:9">
      <c r="C124" s="142" t="s">
        <v>1213</v>
      </c>
      <c r="D124" s="60" t="s">
        <v>1214</v>
      </c>
      <c r="E124" s="74"/>
      <c r="F124" s="74"/>
      <c r="G124" s="74"/>
      <c r="H124" s="147"/>
    </row>
    <row r="125" spans="3:9">
      <c r="C125" s="143">
        <v>1</v>
      </c>
      <c r="D125" s="60" t="s">
        <v>5</v>
      </c>
      <c r="E125" s="73" t="s">
        <v>6</v>
      </c>
      <c r="F125" s="75">
        <v>0.15</v>
      </c>
      <c r="G125" s="65">
        <f>VLOOKUP(D125,upahbahan,3,FALSE)</f>
        <v>100000</v>
      </c>
      <c r="H125" s="125">
        <f>F125*G125</f>
        <v>15000</v>
      </c>
    </row>
    <row r="126" spans="3:9">
      <c r="C126" s="143">
        <v>2</v>
      </c>
      <c r="D126" s="60" t="s">
        <v>19</v>
      </c>
      <c r="E126" s="73" t="s">
        <v>6</v>
      </c>
      <c r="F126" s="75">
        <v>1.4999999999999999E-2</v>
      </c>
      <c r="G126" s="65">
        <f>VLOOKUP(D126,upahbahan,3,FALSE)</f>
        <v>145000</v>
      </c>
      <c r="H126" s="125">
        <f>F126*G126</f>
        <v>2175</v>
      </c>
    </row>
    <row r="127" spans="3:9" ht="15.75" customHeight="1">
      <c r="C127" s="145" t="s">
        <v>1220</v>
      </c>
      <c r="D127" s="76"/>
      <c r="E127" s="76"/>
      <c r="F127" s="76"/>
      <c r="G127" s="162"/>
      <c r="H127" s="125">
        <f>SUM(H125:H126)</f>
        <v>17175</v>
      </c>
    </row>
    <row r="128" spans="3:9">
      <c r="C128" s="142" t="s">
        <v>1221</v>
      </c>
      <c r="D128" s="60" t="s">
        <v>1222</v>
      </c>
      <c r="E128" s="74"/>
      <c r="F128" s="74"/>
      <c r="G128" s="74"/>
      <c r="H128" s="147"/>
    </row>
    <row r="129" spans="3:9" ht="15.75" customHeight="1">
      <c r="C129" s="145" t="s">
        <v>1226</v>
      </c>
      <c r="D129" s="81"/>
      <c r="E129" s="81"/>
      <c r="F129" s="81"/>
      <c r="G129" s="163"/>
      <c r="H129" s="154">
        <v>0</v>
      </c>
    </row>
    <row r="130" spans="3:9">
      <c r="C130" s="142" t="s">
        <v>1227</v>
      </c>
      <c r="D130" s="60" t="s">
        <v>1228</v>
      </c>
      <c r="E130" s="74"/>
      <c r="F130" s="74"/>
      <c r="G130" s="74"/>
      <c r="H130" s="147"/>
    </row>
    <row r="131" spans="3:9">
      <c r="C131" s="146" t="s">
        <v>1215</v>
      </c>
      <c r="D131" s="78" t="s">
        <v>1121</v>
      </c>
      <c r="E131" s="181" t="s">
        <v>1091</v>
      </c>
      <c r="F131" s="186">
        <v>1.4999999999999999E-2</v>
      </c>
      <c r="G131" s="65">
        <f>VLOOKUP(D131,upahbahan,3,FALSE)</f>
        <v>350000</v>
      </c>
      <c r="H131" s="125">
        <f>F131*G131</f>
        <v>5250</v>
      </c>
    </row>
    <row r="132" spans="3:9" ht="15.75" customHeight="1">
      <c r="C132" s="145" t="s">
        <v>1229</v>
      </c>
      <c r="D132" s="81"/>
      <c r="E132" s="81"/>
      <c r="F132" s="81"/>
      <c r="G132" s="163"/>
      <c r="H132" s="125">
        <f>SUM(H131:H131)</f>
        <v>5250</v>
      </c>
    </row>
    <row r="133" spans="3:9" s="164" customFormat="1">
      <c r="C133" s="123" t="s">
        <v>1230</v>
      </c>
      <c r="D133" s="70" t="s">
        <v>1231</v>
      </c>
      <c r="E133" s="71"/>
      <c r="F133" s="71"/>
      <c r="G133" s="72"/>
      <c r="H133" s="125">
        <f>H127+H129+H132</f>
        <v>22425</v>
      </c>
      <c r="I133" s="63"/>
    </row>
    <row r="134" spans="3:9" s="164" customFormat="1">
      <c r="C134" s="123" t="s">
        <v>1232</v>
      </c>
      <c r="D134" s="70" t="s">
        <v>1410</v>
      </c>
      <c r="E134" s="71"/>
      <c r="F134" s="72"/>
      <c r="G134" s="96">
        <f>$M$7</f>
        <v>0.1</v>
      </c>
      <c r="H134" s="125">
        <f>H133*G134</f>
        <v>2242.5</v>
      </c>
      <c r="I134" s="63"/>
    </row>
    <row r="135" spans="3:9" s="164" customFormat="1" ht="15.75" thickBot="1">
      <c r="C135" s="131" t="s">
        <v>1233</v>
      </c>
      <c r="D135" s="132" t="s">
        <v>1234</v>
      </c>
      <c r="E135" s="133"/>
      <c r="F135" s="133"/>
      <c r="G135" s="156"/>
      <c r="H135" s="135">
        <f>SUM(H133:H134)</f>
        <v>24667.5</v>
      </c>
      <c r="I135" s="63"/>
    </row>
    <row r="136" spans="3:9" s="164" customFormat="1" ht="15.75" thickTop="1">
      <c r="C136" s="187"/>
      <c r="D136" s="188"/>
      <c r="E136" s="188"/>
      <c r="F136" s="188"/>
      <c r="G136" s="188"/>
      <c r="H136" s="189"/>
      <c r="I136" s="6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M592"/>
  <sheetViews>
    <sheetView topLeftCell="A228" zoomScaleNormal="100" workbookViewId="0">
      <selection activeCell="C207" sqref="C207:H207"/>
    </sheetView>
    <sheetView workbookViewId="1"/>
  </sheetViews>
  <sheetFormatPr defaultColWidth="9.28515625" defaultRowHeight="15"/>
  <cols>
    <col min="1" max="2" width="2.42578125" style="63" customWidth="1"/>
    <col min="3" max="3" width="6" style="58" customWidth="1"/>
    <col min="4" max="4" width="36.7109375" style="63" customWidth="1"/>
    <col min="5" max="5" width="7.7109375" style="63" customWidth="1"/>
    <col min="6" max="6" width="10.7109375" style="63" customWidth="1"/>
    <col min="7" max="7" width="15.7109375" style="63" customWidth="1"/>
    <col min="8" max="8" width="16.42578125" style="63" customWidth="1"/>
    <col min="9" max="9" width="16" style="55" bestFit="1" customWidth="1"/>
    <col min="10" max="10" width="9.28515625" style="63"/>
    <col min="11" max="11" width="12.140625" style="63" bestFit="1" customWidth="1"/>
    <col min="12" max="16384" width="9.28515625" style="63"/>
  </cols>
  <sheetData>
    <row r="3" spans="3:13" s="55" customFormat="1" ht="15.75" customHeight="1">
      <c r="C3" s="53" t="str">
        <f>'[1]Daftar HSP'!A60</f>
        <v>E</v>
      </c>
      <c r="D3" s="54" t="str">
        <f>'[1]Daftar HSP'!B60</f>
        <v>PEKERJAAN PONDASI</v>
      </c>
      <c r="E3" s="54"/>
      <c r="F3" s="54"/>
      <c r="G3" s="54"/>
      <c r="H3" s="54"/>
    </row>
    <row r="4" spans="3:13" ht="15.75" thickBot="1">
      <c r="C4" s="136" t="s">
        <v>1311</v>
      </c>
      <c r="E4" s="198"/>
      <c r="F4" s="198"/>
      <c r="G4" s="198"/>
      <c r="H4" s="198"/>
      <c r="I4" s="57">
        <f>ROUNDDOWN(H20,-2)</f>
        <v>655700</v>
      </c>
    </row>
    <row r="5" spans="3:13" s="58" customFormat="1" ht="31.5" customHeight="1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  <c r="I5" s="161"/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56" t="s">
        <v>1265</v>
      </c>
      <c r="K6" s="56"/>
      <c r="L6" s="56"/>
      <c r="M6" s="56"/>
    </row>
    <row r="7" spans="3:13">
      <c r="C7" s="143">
        <v>1</v>
      </c>
      <c r="D7" s="60" t="s">
        <v>5</v>
      </c>
      <c r="E7" s="73" t="s">
        <v>6</v>
      </c>
      <c r="F7" s="75">
        <v>0.78</v>
      </c>
      <c r="G7" s="65">
        <f>VLOOKUP(D7,upahbahan,3,FALSE)</f>
        <v>100000</v>
      </c>
      <c r="H7" s="125">
        <f>F7*G7</f>
        <v>78000</v>
      </c>
      <c r="J7" s="56" t="s">
        <v>1266</v>
      </c>
      <c r="K7" s="56"/>
      <c r="L7" s="56"/>
      <c r="M7" s="66">
        <v>0.1</v>
      </c>
    </row>
    <row r="8" spans="3:13" s="56" customFormat="1">
      <c r="C8" s="143">
        <v>2</v>
      </c>
      <c r="D8" s="60" t="s">
        <v>7</v>
      </c>
      <c r="E8" s="73" t="s">
        <v>6</v>
      </c>
      <c r="F8" s="75">
        <v>0.39</v>
      </c>
      <c r="G8" s="65">
        <f>VLOOKUP(D8,upahbahan,3,FALSE)</f>
        <v>145000</v>
      </c>
      <c r="H8" s="125">
        <f>F8*G8</f>
        <v>56550</v>
      </c>
      <c r="I8" s="55"/>
    </row>
    <row r="9" spans="3:13" s="56" customFormat="1">
      <c r="C9" s="143">
        <v>3</v>
      </c>
      <c r="D9" s="60" t="s">
        <v>18</v>
      </c>
      <c r="E9" s="73" t="s">
        <v>6</v>
      </c>
      <c r="F9" s="75">
        <v>3.9E-2</v>
      </c>
      <c r="G9" s="65">
        <f>VLOOKUP(D9,upahbahan,3,FALSE)</f>
        <v>150000</v>
      </c>
      <c r="H9" s="125">
        <f>F9*G9</f>
        <v>5850</v>
      </c>
      <c r="I9" s="55"/>
    </row>
    <row r="10" spans="3:13" s="56" customFormat="1">
      <c r="C10" s="143">
        <v>4</v>
      </c>
      <c r="D10" s="60" t="s">
        <v>19</v>
      </c>
      <c r="E10" s="73" t="s">
        <v>6</v>
      </c>
      <c r="F10" s="75">
        <v>1.2999999999999999E-2</v>
      </c>
      <c r="G10" s="65">
        <f>VLOOKUP(D10,upahbahan,3,FALSE)</f>
        <v>145000</v>
      </c>
      <c r="H10" s="125">
        <f>F10*G10</f>
        <v>1885</v>
      </c>
      <c r="I10" s="55"/>
    </row>
    <row r="11" spans="3:13" ht="15.75" customHeight="1">
      <c r="C11" s="145" t="s">
        <v>1220</v>
      </c>
      <c r="D11" s="81"/>
      <c r="E11" s="81"/>
      <c r="F11" s="190"/>
      <c r="G11" s="163"/>
      <c r="H11" s="125">
        <f>SUM(H7:H10)</f>
        <v>142285</v>
      </c>
    </row>
    <row r="12" spans="3:13">
      <c r="C12" s="142" t="s">
        <v>1221</v>
      </c>
      <c r="D12" s="60" t="s">
        <v>1222</v>
      </c>
      <c r="E12" s="77"/>
      <c r="F12" s="77"/>
      <c r="G12" s="77"/>
      <c r="H12" s="155"/>
    </row>
    <row r="13" spans="3:13">
      <c r="C13" s="143">
        <v>1</v>
      </c>
      <c r="D13" s="78" t="s">
        <v>57</v>
      </c>
      <c r="E13" s="69" t="s">
        <v>42</v>
      </c>
      <c r="F13" s="75">
        <v>1.2</v>
      </c>
      <c r="G13" s="65">
        <f>VLOOKUP(D13,upahbahan,3,FALSE)</f>
        <v>286500</v>
      </c>
      <c r="H13" s="125">
        <f>F13*G13</f>
        <v>343800</v>
      </c>
    </row>
    <row r="14" spans="3:13">
      <c r="C14" s="143">
        <v>2</v>
      </c>
      <c r="D14" s="60" t="s">
        <v>89</v>
      </c>
      <c r="E14" s="69" t="s">
        <v>42</v>
      </c>
      <c r="F14" s="75">
        <v>0.432</v>
      </c>
      <c r="G14" s="65">
        <f>VLOOKUP(D14,upahbahan,3,FALSE)</f>
        <v>254700</v>
      </c>
      <c r="H14" s="125">
        <f>F14*G14</f>
        <v>110030.39999999999</v>
      </c>
    </row>
    <row r="15" spans="3:13" ht="15.75" customHeight="1">
      <c r="C15" s="145" t="s">
        <v>1226</v>
      </c>
      <c r="D15" s="81"/>
      <c r="E15" s="81"/>
      <c r="F15" s="81"/>
      <c r="G15" s="163"/>
      <c r="H15" s="125">
        <f>SUM(H13:H14)</f>
        <v>453830.40000000002</v>
      </c>
    </row>
    <row r="16" spans="3:13">
      <c r="C16" s="142" t="s">
        <v>1227</v>
      </c>
      <c r="D16" s="60" t="s">
        <v>1228</v>
      </c>
      <c r="E16" s="74"/>
      <c r="F16" s="74"/>
      <c r="G16" s="74"/>
      <c r="H16" s="147"/>
    </row>
    <row r="17" spans="3:9" ht="15.75" customHeight="1">
      <c r="C17" s="145" t="s">
        <v>1229</v>
      </c>
      <c r="D17" s="81"/>
      <c r="E17" s="81"/>
      <c r="F17" s="81"/>
      <c r="G17" s="163"/>
      <c r="H17" s="154">
        <v>0</v>
      </c>
    </row>
    <row r="18" spans="3:9" s="164" customFormat="1">
      <c r="C18" s="123" t="s">
        <v>1230</v>
      </c>
      <c r="D18" s="70" t="s">
        <v>1231</v>
      </c>
      <c r="E18" s="71"/>
      <c r="F18" s="71"/>
      <c r="G18" s="72"/>
      <c r="H18" s="125">
        <f>H17+H15+H11</f>
        <v>596115.4</v>
      </c>
      <c r="I18" s="55"/>
    </row>
    <row r="19" spans="3:9" s="164" customFormat="1">
      <c r="C19" s="123" t="s">
        <v>1232</v>
      </c>
      <c r="D19" s="70" t="s">
        <v>1410</v>
      </c>
      <c r="E19" s="71"/>
      <c r="F19" s="72"/>
      <c r="G19" s="96">
        <f>$M$7</f>
        <v>0.1</v>
      </c>
      <c r="H19" s="125">
        <f>H18*G19</f>
        <v>59611.540000000008</v>
      </c>
      <c r="I19" s="55"/>
    </row>
    <row r="20" spans="3:9" s="164" customFormat="1" ht="15.75" thickBot="1">
      <c r="C20" s="131" t="s">
        <v>1233</v>
      </c>
      <c r="D20" s="132" t="s">
        <v>1234</v>
      </c>
      <c r="E20" s="133"/>
      <c r="F20" s="133"/>
      <c r="G20" s="156"/>
      <c r="H20" s="135">
        <f>SUM(H18:H19)</f>
        <v>655726.94000000006</v>
      </c>
      <c r="I20" s="55"/>
    </row>
    <row r="21" spans="3:9" s="164" customFormat="1" ht="15.75" thickTop="1">
      <c r="C21" s="58"/>
      <c r="D21" s="82"/>
      <c r="E21" s="82"/>
      <c r="F21" s="82"/>
      <c r="G21" s="82"/>
      <c r="H21" s="83"/>
      <c r="I21" s="55"/>
    </row>
    <row r="22" spans="3:9" s="55" customFormat="1" ht="33.75" customHeight="1" thickBot="1">
      <c r="C22" s="516" t="s">
        <v>1312</v>
      </c>
      <c r="D22" s="516"/>
      <c r="E22" s="516"/>
      <c r="F22" s="516"/>
      <c r="G22" s="516"/>
      <c r="H22" s="516"/>
      <c r="I22" s="57">
        <f>ROUNDDOWN(H38,-2)</f>
        <v>1140300</v>
      </c>
    </row>
    <row r="23" spans="3:9" s="58" customFormat="1" ht="31.5" customHeight="1" thickTop="1">
      <c r="C23" s="120" t="s">
        <v>1207</v>
      </c>
      <c r="D23" s="121" t="s">
        <v>1208</v>
      </c>
      <c r="E23" s="121" t="s">
        <v>1209</v>
      </c>
      <c r="F23" s="121" t="s">
        <v>1210</v>
      </c>
      <c r="G23" s="121" t="s">
        <v>1211</v>
      </c>
      <c r="H23" s="122" t="s">
        <v>1212</v>
      </c>
      <c r="I23" s="161"/>
    </row>
    <row r="24" spans="3:9">
      <c r="C24" s="142" t="s">
        <v>1213</v>
      </c>
      <c r="D24" s="60" t="s">
        <v>1214</v>
      </c>
      <c r="E24" s="74"/>
      <c r="F24" s="74"/>
      <c r="G24" s="74"/>
      <c r="H24" s="147"/>
    </row>
    <row r="25" spans="3:9">
      <c r="C25" s="143">
        <v>1</v>
      </c>
      <c r="D25" s="60" t="s">
        <v>5</v>
      </c>
      <c r="E25" s="73" t="s">
        <v>6</v>
      </c>
      <c r="F25" s="75">
        <v>1.5</v>
      </c>
      <c r="G25" s="65">
        <f>VLOOKUP(D25,upahbahan,3,FALSE)</f>
        <v>100000</v>
      </c>
      <c r="H25" s="125">
        <f>F25*G25</f>
        <v>150000</v>
      </c>
    </row>
    <row r="26" spans="3:9">
      <c r="C26" s="143">
        <v>2</v>
      </c>
      <c r="D26" s="60" t="s">
        <v>7</v>
      </c>
      <c r="E26" s="73" t="s">
        <v>6</v>
      </c>
      <c r="F26" s="75">
        <v>0.5</v>
      </c>
      <c r="G26" s="65">
        <f>VLOOKUP(D26,upahbahan,3,FALSE)</f>
        <v>145000</v>
      </c>
      <c r="H26" s="125">
        <f>F26*G26</f>
        <v>72500</v>
      </c>
    </row>
    <row r="27" spans="3:9">
      <c r="C27" s="143">
        <v>3</v>
      </c>
      <c r="D27" s="60" t="s">
        <v>19</v>
      </c>
      <c r="E27" s="73" t="s">
        <v>6</v>
      </c>
      <c r="F27" s="75">
        <v>0.15</v>
      </c>
      <c r="G27" s="65">
        <f>VLOOKUP(D27,upahbahan,3,FALSE)</f>
        <v>145000</v>
      </c>
      <c r="H27" s="125">
        <f>F27*G27</f>
        <v>21750</v>
      </c>
    </row>
    <row r="28" spans="3:9" ht="15.75" customHeight="1">
      <c r="C28" s="145" t="s">
        <v>1220</v>
      </c>
      <c r="D28" s="81"/>
      <c r="E28" s="81"/>
      <c r="F28" s="190"/>
      <c r="G28" s="163"/>
      <c r="H28" s="125">
        <f>SUM(H24:H27)</f>
        <v>244250</v>
      </c>
    </row>
    <row r="29" spans="3:9">
      <c r="C29" s="142" t="s">
        <v>1221</v>
      </c>
      <c r="D29" s="60" t="s">
        <v>1222</v>
      </c>
      <c r="E29" s="74"/>
      <c r="F29" s="74"/>
      <c r="G29" s="74"/>
      <c r="H29" s="147"/>
    </row>
    <row r="30" spans="3:9">
      <c r="C30" s="143">
        <v>1</v>
      </c>
      <c r="D30" s="78" t="s">
        <v>57</v>
      </c>
      <c r="E30" s="73" t="s">
        <v>42</v>
      </c>
      <c r="F30" s="75">
        <v>1.2</v>
      </c>
      <c r="G30" s="65">
        <f>VLOOKUP(D30,upahbahan,3,FALSE)</f>
        <v>286500</v>
      </c>
      <c r="H30" s="125">
        <f>F30*G30</f>
        <v>343800</v>
      </c>
    </row>
    <row r="31" spans="3:9">
      <c r="C31" s="143">
        <v>2</v>
      </c>
      <c r="D31" s="60" t="s">
        <v>568</v>
      </c>
      <c r="E31" s="73" t="s">
        <v>66</v>
      </c>
      <c r="F31" s="75">
        <v>252</v>
      </c>
      <c r="G31" s="65">
        <f>VLOOKUP(D31,upahbahan,3,FALSE)</f>
        <v>1300</v>
      </c>
      <c r="H31" s="125">
        <f>F31*G31</f>
        <v>327600</v>
      </c>
    </row>
    <row r="32" spans="3:9">
      <c r="C32" s="143">
        <v>3</v>
      </c>
      <c r="D32" s="78" t="s">
        <v>86</v>
      </c>
      <c r="E32" s="73" t="s">
        <v>42</v>
      </c>
      <c r="F32" s="75">
        <v>0.44</v>
      </c>
      <c r="G32" s="65">
        <f>VLOOKUP(D32,upahbahan,3,FALSE)</f>
        <v>275000</v>
      </c>
      <c r="H32" s="125">
        <f>F32*G32</f>
        <v>121000</v>
      </c>
    </row>
    <row r="33" spans="3:9" ht="15.75" customHeight="1">
      <c r="C33" s="145" t="s">
        <v>1226</v>
      </c>
      <c r="D33" s="81"/>
      <c r="E33" s="81"/>
      <c r="F33" s="81"/>
      <c r="G33" s="163"/>
      <c r="H33" s="125">
        <f>SUM(H30:H32)</f>
        <v>792400</v>
      </c>
    </row>
    <row r="34" spans="3:9">
      <c r="C34" s="142" t="s">
        <v>1227</v>
      </c>
      <c r="D34" s="60" t="s">
        <v>1228</v>
      </c>
      <c r="E34" s="74"/>
      <c r="F34" s="74"/>
      <c r="G34" s="74"/>
      <c r="H34" s="147"/>
    </row>
    <row r="35" spans="3:9" ht="15.75" customHeight="1">
      <c r="C35" s="145" t="s">
        <v>1229</v>
      </c>
      <c r="D35" s="81"/>
      <c r="E35" s="81"/>
      <c r="F35" s="81"/>
      <c r="G35" s="163"/>
      <c r="H35" s="154">
        <v>0</v>
      </c>
    </row>
    <row r="36" spans="3:9" s="164" customFormat="1">
      <c r="C36" s="123" t="s">
        <v>1230</v>
      </c>
      <c r="D36" s="70" t="s">
        <v>1231</v>
      </c>
      <c r="E36" s="71"/>
      <c r="F36" s="71"/>
      <c r="G36" s="72"/>
      <c r="H36" s="125">
        <f>H35+H33+H28</f>
        <v>1036650</v>
      </c>
      <c r="I36" s="55"/>
    </row>
    <row r="37" spans="3:9" s="164" customFormat="1">
      <c r="C37" s="123" t="s">
        <v>1232</v>
      </c>
      <c r="D37" s="70" t="s">
        <v>1410</v>
      </c>
      <c r="E37" s="71"/>
      <c r="F37" s="72"/>
      <c r="G37" s="96">
        <f>$M$7</f>
        <v>0.1</v>
      </c>
      <c r="H37" s="125">
        <f>H36*G37</f>
        <v>103665</v>
      </c>
      <c r="I37" s="55"/>
    </row>
    <row r="38" spans="3:9" s="164" customFormat="1" ht="15.75" thickBot="1">
      <c r="C38" s="131" t="s">
        <v>1233</v>
      </c>
      <c r="D38" s="132" t="s">
        <v>1234</v>
      </c>
      <c r="E38" s="133"/>
      <c r="F38" s="133"/>
      <c r="G38" s="156"/>
      <c r="H38" s="135">
        <f>SUM(H36:H37)</f>
        <v>1140315</v>
      </c>
      <c r="I38" s="55"/>
    </row>
    <row r="39" spans="3:9" ht="15.75" thickTop="1">
      <c r="C39" s="90"/>
      <c r="D39" s="91"/>
      <c r="E39" s="91"/>
      <c r="F39" s="91"/>
      <c r="G39" s="91"/>
      <c r="H39" s="92"/>
    </row>
    <row r="40" spans="3:9" ht="32.25" customHeight="1" thickBot="1">
      <c r="C40" s="516" t="s">
        <v>1313</v>
      </c>
      <c r="D40" s="516"/>
      <c r="E40" s="516"/>
      <c r="F40" s="516"/>
      <c r="G40" s="516"/>
      <c r="H40" s="516"/>
      <c r="I40" s="57">
        <f>ROUNDDOWN(H57,-2)</f>
        <v>1091900</v>
      </c>
    </row>
    <row r="41" spans="3:9" s="58" customFormat="1" ht="31.5" customHeight="1" thickTop="1">
      <c r="C41" s="120" t="s">
        <v>1207</v>
      </c>
      <c r="D41" s="121" t="s">
        <v>1208</v>
      </c>
      <c r="E41" s="121" t="s">
        <v>1209</v>
      </c>
      <c r="F41" s="121" t="s">
        <v>1210</v>
      </c>
      <c r="G41" s="121" t="s">
        <v>1211</v>
      </c>
      <c r="H41" s="122" t="s">
        <v>1212</v>
      </c>
      <c r="I41" s="161"/>
    </row>
    <row r="42" spans="3:9">
      <c r="C42" s="142" t="s">
        <v>1213</v>
      </c>
      <c r="D42" s="60" t="s">
        <v>1214</v>
      </c>
      <c r="E42" s="74"/>
      <c r="F42" s="74"/>
      <c r="G42" s="74"/>
      <c r="H42" s="147"/>
    </row>
    <row r="43" spans="3:9">
      <c r="C43" s="143">
        <v>1</v>
      </c>
      <c r="D43" s="60" t="s">
        <v>5</v>
      </c>
      <c r="E43" s="73" t="s">
        <v>6</v>
      </c>
      <c r="F43" s="75">
        <v>1</v>
      </c>
      <c r="G43" s="65">
        <f>VLOOKUP(D43,upahbahan,3,FALSE)</f>
        <v>100000</v>
      </c>
      <c r="H43" s="125">
        <f>F43*G43</f>
        <v>100000</v>
      </c>
    </row>
    <row r="44" spans="3:9">
      <c r="C44" s="143">
        <v>2</v>
      </c>
      <c r="D44" s="60" t="s">
        <v>7</v>
      </c>
      <c r="E44" s="73" t="s">
        <v>6</v>
      </c>
      <c r="F44" s="75">
        <v>0.5</v>
      </c>
      <c r="G44" s="65">
        <f>VLOOKUP(D44,upahbahan,3,FALSE)</f>
        <v>145000</v>
      </c>
      <c r="H44" s="125">
        <f>F44*G44</f>
        <v>72500</v>
      </c>
    </row>
    <row r="45" spans="3:9">
      <c r="C45" s="143">
        <v>3</v>
      </c>
      <c r="D45" s="60" t="s">
        <v>19</v>
      </c>
      <c r="E45" s="73" t="s">
        <v>6</v>
      </c>
      <c r="F45" s="75">
        <v>0.1</v>
      </c>
      <c r="G45" s="65">
        <f>VLOOKUP(D45,upahbahan,3,FALSE)</f>
        <v>145000</v>
      </c>
      <c r="H45" s="125">
        <f>F45*G45</f>
        <v>14500</v>
      </c>
    </row>
    <row r="46" spans="3:9" ht="15.75" customHeight="1">
      <c r="C46" s="145" t="s">
        <v>1220</v>
      </c>
      <c r="D46" s="81"/>
      <c r="E46" s="81"/>
      <c r="F46" s="190"/>
      <c r="G46" s="163"/>
      <c r="H46" s="125">
        <f>SUM(H43:H45)</f>
        <v>187000</v>
      </c>
    </row>
    <row r="47" spans="3:9">
      <c r="C47" s="142" t="s">
        <v>1221</v>
      </c>
      <c r="D47" s="60" t="s">
        <v>1222</v>
      </c>
      <c r="E47" s="74"/>
      <c r="F47" s="74"/>
      <c r="G47" s="74"/>
      <c r="H47" s="147"/>
    </row>
    <row r="48" spans="3:9">
      <c r="C48" s="143">
        <v>1</v>
      </c>
      <c r="D48" s="78" t="s">
        <v>57</v>
      </c>
      <c r="E48" s="73" t="s">
        <v>42</v>
      </c>
      <c r="F48" s="75">
        <v>1.2</v>
      </c>
      <c r="G48" s="65">
        <f>VLOOKUP(D48,upahbahan,3,FALSE)</f>
        <v>286500</v>
      </c>
      <c r="H48" s="125">
        <f>F48*G48</f>
        <v>343800</v>
      </c>
    </row>
    <row r="49" spans="3:9">
      <c r="C49" s="143">
        <v>2</v>
      </c>
      <c r="D49" s="60" t="s">
        <v>568</v>
      </c>
      <c r="E49" s="73" t="s">
        <v>66</v>
      </c>
      <c r="F49" s="75">
        <v>252</v>
      </c>
      <c r="G49" s="65">
        <f>VLOOKUP(D49,upahbahan,3,FALSE)</f>
        <v>1300</v>
      </c>
      <c r="H49" s="125">
        <f>F49*G49</f>
        <v>327600</v>
      </c>
    </row>
    <row r="50" spans="3:9">
      <c r="C50" s="143">
        <v>3</v>
      </c>
      <c r="D50" s="78" t="s">
        <v>86</v>
      </c>
      <c r="E50" s="73" t="s">
        <v>42</v>
      </c>
      <c r="F50" s="75">
        <v>0.44</v>
      </c>
      <c r="G50" s="65">
        <f>VLOOKUP(D50,upahbahan,3,FALSE)</f>
        <v>275000</v>
      </c>
      <c r="H50" s="125">
        <f>F50*G50</f>
        <v>121000</v>
      </c>
    </row>
    <row r="51" spans="3:9" ht="15.75" customHeight="1">
      <c r="C51" s="145" t="s">
        <v>1226</v>
      </c>
      <c r="D51" s="81"/>
      <c r="E51" s="81"/>
      <c r="F51" s="81"/>
      <c r="G51" s="163"/>
      <c r="H51" s="125">
        <f>SUM(H48:H50)</f>
        <v>792400</v>
      </c>
    </row>
    <row r="52" spans="3:9">
      <c r="C52" s="142" t="s">
        <v>1227</v>
      </c>
      <c r="D52" s="60" t="s">
        <v>1228</v>
      </c>
      <c r="E52" s="74"/>
      <c r="F52" s="74"/>
      <c r="G52" s="74"/>
      <c r="H52" s="147"/>
    </row>
    <row r="53" spans="3:9">
      <c r="C53" s="146" t="s">
        <v>1215</v>
      </c>
      <c r="D53" s="60" t="s">
        <v>1179</v>
      </c>
      <c r="E53" s="171" t="s">
        <v>1091</v>
      </c>
      <c r="F53" s="191">
        <v>4.4299999999999999E-2</v>
      </c>
      <c r="G53" s="65">
        <f>VLOOKUP(D53,upahbahan,3,FALSE)</f>
        <v>300000</v>
      </c>
      <c r="H53" s="125">
        <f>F53*G53</f>
        <v>13290</v>
      </c>
    </row>
    <row r="54" spans="3:9" ht="15.75" customHeight="1">
      <c r="C54" s="145" t="s">
        <v>1229</v>
      </c>
      <c r="D54" s="81"/>
      <c r="E54" s="81"/>
      <c r="F54" s="81"/>
      <c r="G54" s="163"/>
      <c r="H54" s="125">
        <f>SUM(H53)</f>
        <v>13290</v>
      </c>
    </row>
    <row r="55" spans="3:9" s="164" customFormat="1">
      <c r="C55" s="123" t="s">
        <v>1230</v>
      </c>
      <c r="D55" s="70" t="s">
        <v>1231</v>
      </c>
      <c r="E55" s="71"/>
      <c r="F55" s="71"/>
      <c r="G55" s="72"/>
      <c r="H55" s="125">
        <f>H54+H51+H46</f>
        <v>992690</v>
      </c>
      <c r="I55" s="55"/>
    </row>
    <row r="56" spans="3:9" s="164" customFormat="1">
      <c r="C56" s="123" t="s">
        <v>1232</v>
      </c>
      <c r="D56" s="70" t="s">
        <v>1410</v>
      </c>
      <c r="E56" s="71"/>
      <c r="F56" s="72"/>
      <c r="G56" s="96">
        <f>$M$7</f>
        <v>0.1</v>
      </c>
      <c r="H56" s="125">
        <f>H55*G56</f>
        <v>99269</v>
      </c>
      <c r="I56" s="55"/>
    </row>
    <row r="57" spans="3:9" s="164" customFormat="1" ht="15.75" thickBot="1">
      <c r="C57" s="131" t="s">
        <v>1233</v>
      </c>
      <c r="D57" s="132" t="s">
        <v>1234</v>
      </c>
      <c r="E57" s="133"/>
      <c r="F57" s="133"/>
      <c r="G57" s="156"/>
      <c r="H57" s="135">
        <f>SUM(H55:H56)</f>
        <v>1091959</v>
      </c>
      <c r="I57" s="55"/>
    </row>
    <row r="58" spans="3:9" ht="15.75" thickTop="1">
      <c r="C58" s="90"/>
      <c r="D58" s="91"/>
      <c r="E58" s="91"/>
      <c r="F58" s="91"/>
      <c r="G58" s="91"/>
      <c r="H58" s="92"/>
    </row>
    <row r="59" spans="3:9" ht="32.25" customHeight="1" thickBot="1">
      <c r="C59" s="516" t="s">
        <v>1314</v>
      </c>
      <c r="D59" s="516"/>
      <c r="E59" s="516"/>
      <c r="F59" s="516"/>
      <c r="G59" s="516"/>
      <c r="H59" s="516"/>
      <c r="I59" s="57">
        <f>ROUNDDOWN(H75,-2)</f>
        <v>1082400</v>
      </c>
    </row>
    <row r="60" spans="3:9" s="58" customFormat="1" ht="31.5" customHeight="1" thickTop="1">
      <c r="C60" s="120" t="s">
        <v>1207</v>
      </c>
      <c r="D60" s="121" t="s">
        <v>1208</v>
      </c>
      <c r="E60" s="121" t="s">
        <v>1209</v>
      </c>
      <c r="F60" s="121" t="s">
        <v>1210</v>
      </c>
      <c r="G60" s="121" t="s">
        <v>1211</v>
      </c>
      <c r="H60" s="122" t="s">
        <v>1212</v>
      </c>
      <c r="I60" s="161"/>
    </row>
    <row r="61" spans="3:9">
      <c r="C61" s="142" t="s">
        <v>1213</v>
      </c>
      <c r="D61" s="60" t="s">
        <v>1214</v>
      </c>
      <c r="E61" s="74"/>
      <c r="F61" s="74"/>
      <c r="G61" s="74"/>
      <c r="H61" s="147"/>
    </row>
    <row r="62" spans="3:9">
      <c r="C62" s="143">
        <v>1</v>
      </c>
      <c r="D62" s="60" t="s">
        <v>5</v>
      </c>
      <c r="E62" s="73" t="s">
        <v>6</v>
      </c>
      <c r="F62" s="75">
        <v>1.5</v>
      </c>
      <c r="G62" s="65">
        <f>VLOOKUP(D62,upahbahan,3,FALSE)</f>
        <v>100000</v>
      </c>
      <c r="H62" s="125">
        <f>F62*G62</f>
        <v>150000</v>
      </c>
    </row>
    <row r="63" spans="3:9">
      <c r="C63" s="143">
        <v>2</v>
      </c>
      <c r="D63" s="60" t="s">
        <v>7</v>
      </c>
      <c r="E63" s="73" t="s">
        <v>6</v>
      </c>
      <c r="F63" s="75">
        <v>0.5</v>
      </c>
      <c r="G63" s="65">
        <f>VLOOKUP(D63,upahbahan,3,FALSE)</f>
        <v>145000</v>
      </c>
      <c r="H63" s="125">
        <f>F63*G63</f>
        <v>72500</v>
      </c>
    </row>
    <row r="64" spans="3:9">
      <c r="C64" s="143">
        <v>3</v>
      </c>
      <c r="D64" s="60" t="s">
        <v>19</v>
      </c>
      <c r="E64" s="73" t="s">
        <v>6</v>
      </c>
      <c r="F64" s="75">
        <v>0.15</v>
      </c>
      <c r="G64" s="65">
        <f>VLOOKUP(D64,upahbahan,3,FALSE)</f>
        <v>145000</v>
      </c>
      <c r="H64" s="125">
        <f>F64*G64</f>
        <v>21750</v>
      </c>
    </row>
    <row r="65" spans="3:9" ht="15.75" customHeight="1">
      <c r="C65" s="145" t="s">
        <v>1220</v>
      </c>
      <c r="D65" s="81"/>
      <c r="E65" s="81"/>
      <c r="F65" s="190"/>
      <c r="G65" s="163"/>
      <c r="H65" s="125">
        <f>SUM(H62:H64)</f>
        <v>244250</v>
      </c>
    </row>
    <row r="66" spans="3:9">
      <c r="C66" s="142" t="s">
        <v>1221</v>
      </c>
      <c r="D66" s="60" t="s">
        <v>1222</v>
      </c>
      <c r="E66" s="74"/>
      <c r="F66" s="74"/>
      <c r="G66" s="74"/>
      <c r="H66" s="147"/>
    </row>
    <row r="67" spans="3:9">
      <c r="C67" s="143">
        <v>1</v>
      </c>
      <c r="D67" s="78" t="s">
        <v>57</v>
      </c>
      <c r="E67" s="73" t="s">
        <v>42</v>
      </c>
      <c r="F67" s="75">
        <v>1.2</v>
      </c>
      <c r="G67" s="65">
        <f>VLOOKUP(D67,upahbahan,3,FALSE)</f>
        <v>286500</v>
      </c>
      <c r="H67" s="125">
        <f>F67*G67</f>
        <v>343800</v>
      </c>
    </row>
    <row r="68" spans="3:9">
      <c r="C68" s="143">
        <v>2</v>
      </c>
      <c r="D68" s="60" t="s">
        <v>568</v>
      </c>
      <c r="E68" s="73" t="s">
        <v>66</v>
      </c>
      <c r="F68" s="75">
        <v>202</v>
      </c>
      <c r="G68" s="65">
        <f>VLOOKUP(D68,upahbahan,3,FALSE)</f>
        <v>1300</v>
      </c>
      <c r="H68" s="125">
        <f>F68*G68</f>
        <v>262600</v>
      </c>
    </row>
    <row r="69" spans="3:9">
      <c r="C69" s="143">
        <v>3</v>
      </c>
      <c r="D69" s="78" t="s">
        <v>86</v>
      </c>
      <c r="E69" s="73" t="s">
        <v>42</v>
      </c>
      <c r="F69" s="75">
        <v>0.48499999999999999</v>
      </c>
      <c r="G69" s="65">
        <f>VLOOKUP(D69,upahbahan,3,FALSE)</f>
        <v>275000</v>
      </c>
      <c r="H69" s="125">
        <f>F69*G69</f>
        <v>133375</v>
      </c>
    </row>
    <row r="70" spans="3:9" ht="15.75" customHeight="1">
      <c r="C70" s="145" t="s">
        <v>1226</v>
      </c>
      <c r="D70" s="81"/>
      <c r="E70" s="81"/>
      <c r="F70" s="81"/>
      <c r="G70" s="163"/>
      <c r="H70" s="125">
        <f>SUM(H67:H69)</f>
        <v>739775</v>
      </c>
    </row>
    <row r="71" spans="3:9">
      <c r="C71" s="142" t="s">
        <v>1227</v>
      </c>
      <c r="D71" s="60" t="s">
        <v>1228</v>
      </c>
      <c r="E71" s="74"/>
      <c r="F71" s="74"/>
      <c r="G71" s="74"/>
      <c r="H71" s="147"/>
    </row>
    <row r="72" spans="3:9" ht="15.75" customHeight="1">
      <c r="C72" s="145" t="s">
        <v>1229</v>
      </c>
      <c r="D72" s="81"/>
      <c r="E72" s="81"/>
      <c r="F72" s="81"/>
      <c r="G72" s="163"/>
      <c r="H72" s="154">
        <v>0</v>
      </c>
    </row>
    <row r="73" spans="3:9" s="164" customFormat="1">
      <c r="C73" s="123" t="s">
        <v>1230</v>
      </c>
      <c r="D73" s="70" t="s">
        <v>1231</v>
      </c>
      <c r="E73" s="71"/>
      <c r="F73" s="71"/>
      <c r="G73" s="72"/>
      <c r="H73" s="125">
        <f>H72+H70+H65</f>
        <v>984025</v>
      </c>
      <c r="I73" s="55"/>
    </row>
    <row r="74" spans="3:9" s="164" customFormat="1">
      <c r="C74" s="123" t="s">
        <v>1232</v>
      </c>
      <c r="D74" s="70" t="s">
        <v>1410</v>
      </c>
      <c r="E74" s="71"/>
      <c r="F74" s="72"/>
      <c r="G74" s="96">
        <f>$M$7</f>
        <v>0.1</v>
      </c>
      <c r="H74" s="125">
        <f>H73*G74</f>
        <v>98402.5</v>
      </c>
      <c r="I74" s="55"/>
    </row>
    <row r="75" spans="3:9" s="164" customFormat="1" ht="15.75" thickBot="1">
      <c r="C75" s="131" t="s">
        <v>1233</v>
      </c>
      <c r="D75" s="132" t="s">
        <v>1234</v>
      </c>
      <c r="E75" s="133"/>
      <c r="F75" s="133"/>
      <c r="G75" s="156"/>
      <c r="H75" s="135">
        <f>SUM(H73:H74)</f>
        <v>1082427.5</v>
      </c>
      <c r="I75" s="55"/>
    </row>
    <row r="76" spans="3:9" ht="15.75" thickTop="1">
      <c r="C76" s="90"/>
      <c r="D76" s="91"/>
      <c r="E76" s="91"/>
      <c r="F76" s="91"/>
      <c r="G76" s="91"/>
      <c r="H76" s="92"/>
    </row>
    <row r="77" spans="3:9" ht="32.25" customHeight="1" thickBot="1">
      <c r="C77" s="516" t="s">
        <v>1315</v>
      </c>
      <c r="D77" s="516"/>
      <c r="E77" s="516"/>
      <c r="F77" s="516"/>
      <c r="G77" s="516"/>
      <c r="H77" s="516"/>
      <c r="I77" s="57">
        <f>ROUNDDOWN(H94,-2)</f>
        <v>1034000</v>
      </c>
    </row>
    <row r="78" spans="3:9" s="58" customFormat="1" ht="31.5" customHeight="1" thickTop="1">
      <c r="C78" s="120" t="s">
        <v>1207</v>
      </c>
      <c r="D78" s="121" t="s">
        <v>1208</v>
      </c>
      <c r="E78" s="121" t="s">
        <v>1209</v>
      </c>
      <c r="F78" s="121" t="s">
        <v>1210</v>
      </c>
      <c r="G78" s="121" t="s">
        <v>1211</v>
      </c>
      <c r="H78" s="122" t="s">
        <v>1212</v>
      </c>
      <c r="I78" s="161"/>
    </row>
    <row r="79" spans="3:9">
      <c r="C79" s="142" t="s">
        <v>1213</v>
      </c>
      <c r="D79" s="60" t="s">
        <v>1214</v>
      </c>
      <c r="E79" s="74"/>
      <c r="F79" s="74"/>
      <c r="G79" s="74"/>
      <c r="H79" s="147"/>
    </row>
    <row r="80" spans="3:9">
      <c r="C80" s="143">
        <v>1</v>
      </c>
      <c r="D80" s="60" t="s">
        <v>5</v>
      </c>
      <c r="E80" s="73" t="s">
        <v>6</v>
      </c>
      <c r="F80" s="75">
        <v>1</v>
      </c>
      <c r="G80" s="65">
        <f>VLOOKUP(D80,upahbahan,3,FALSE)</f>
        <v>100000</v>
      </c>
      <c r="H80" s="125">
        <f>F80*G80</f>
        <v>100000</v>
      </c>
    </row>
    <row r="81" spans="3:9">
      <c r="C81" s="143">
        <v>2</v>
      </c>
      <c r="D81" s="60" t="s">
        <v>7</v>
      </c>
      <c r="E81" s="73" t="s">
        <v>6</v>
      </c>
      <c r="F81" s="75">
        <v>0.5</v>
      </c>
      <c r="G81" s="65">
        <f>VLOOKUP(D81,upahbahan,3,FALSE)</f>
        <v>145000</v>
      </c>
      <c r="H81" s="125">
        <f>F81*G81</f>
        <v>72500</v>
      </c>
    </row>
    <row r="82" spans="3:9">
      <c r="C82" s="143">
        <v>3</v>
      </c>
      <c r="D82" s="60" t="s">
        <v>19</v>
      </c>
      <c r="E82" s="73" t="s">
        <v>6</v>
      </c>
      <c r="F82" s="75">
        <v>0.1</v>
      </c>
      <c r="G82" s="65">
        <f>VLOOKUP(D82,upahbahan,3,FALSE)</f>
        <v>145000</v>
      </c>
      <c r="H82" s="125">
        <f>F82*G82</f>
        <v>14500</v>
      </c>
    </row>
    <row r="83" spans="3:9" ht="15.75" customHeight="1">
      <c r="C83" s="145" t="s">
        <v>1220</v>
      </c>
      <c r="D83" s="81"/>
      <c r="E83" s="81"/>
      <c r="F83" s="190"/>
      <c r="G83" s="163"/>
      <c r="H83" s="125">
        <f>SUM(H80:H82)</f>
        <v>187000</v>
      </c>
    </row>
    <row r="84" spans="3:9">
      <c r="C84" s="142" t="s">
        <v>1221</v>
      </c>
      <c r="D84" s="60" t="s">
        <v>1222</v>
      </c>
      <c r="E84" s="74"/>
      <c r="F84" s="74"/>
      <c r="G84" s="74"/>
      <c r="H84" s="147"/>
    </row>
    <row r="85" spans="3:9">
      <c r="C85" s="143">
        <v>1</v>
      </c>
      <c r="D85" s="78" t="s">
        <v>57</v>
      </c>
      <c r="E85" s="73" t="s">
        <v>42</v>
      </c>
      <c r="F85" s="75">
        <v>1.2</v>
      </c>
      <c r="G85" s="65">
        <f>VLOOKUP(D85,upahbahan,3,FALSE)</f>
        <v>286500</v>
      </c>
      <c r="H85" s="125">
        <f>F85*G85</f>
        <v>343800</v>
      </c>
    </row>
    <row r="86" spans="3:9">
      <c r="C86" s="143">
        <v>2</v>
      </c>
      <c r="D86" s="60" t="s">
        <v>568</v>
      </c>
      <c r="E86" s="73" t="s">
        <v>66</v>
      </c>
      <c r="F86" s="75">
        <v>202</v>
      </c>
      <c r="G86" s="65">
        <f>VLOOKUP(D86,upahbahan,3,FALSE)</f>
        <v>1300</v>
      </c>
      <c r="H86" s="125">
        <f>F86*G86</f>
        <v>262600</v>
      </c>
    </row>
    <row r="87" spans="3:9">
      <c r="C87" s="143">
        <v>3</v>
      </c>
      <c r="D87" s="78" t="s">
        <v>86</v>
      </c>
      <c r="E87" s="73" t="s">
        <v>42</v>
      </c>
      <c r="F87" s="75">
        <v>0.48499999999999999</v>
      </c>
      <c r="G87" s="65">
        <f>VLOOKUP(D87,upahbahan,3,FALSE)</f>
        <v>275000</v>
      </c>
      <c r="H87" s="125">
        <f>F87*G87</f>
        <v>133375</v>
      </c>
    </row>
    <row r="88" spans="3:9" ht="15.75" customHeight="1">
      <c r="C88" s="145" t="s">
        <v>1226</v>
      </c>
      <c r="D88" s="81"/>
      <c r="E88" s="81"/>
      <c r="F88" s="81"/>
      <c r="G88" s="163"/>
      <c r="H88" s="125">
        <f>SUM(H85:H87)</f>
        <v>739775</v>
      </c>
    </row>
    <row r="89" spans="3:9">
      <c r="C89" s="142" t="s">
        <v>1227</v>
      </c>
      <c r="D89" s="60" t="s">
        <v>1228</v>
      </c>
      <c r="E89" s="74"/>
      <c r="F89" s="74"/>
      <c r="G89" s="74"/>
      <c r="H89" s="147"/>
    </row>
    <row r="90" spans="3:9">
      <c r="C90" s="146" t="s">
        <v>1215</v>
      </c>
      <c r="D90" s="60" t="s">
        <v>1179</v>
      </c>
      <c r="E90" s="171" t="s">
        <v>1091</v>
      </c>
      <c r="F90" s="191">
        <v>4.4299999999999999E-2</v>
      </c>
      <c r="G90" s="65">
        <f>VLOOKUP(D90,upahbahan,3,FALSE)</f>
        <v>300000</v>
      </c>
      <c r="H90" s="125">
        <f>F90*G90</f>
        <v>13290</v>
      </c>
    </row>
    <row r="91" spans="3:9" ht="15.75" customHeight="1">
      <c r="C91" s="145" t="s">
        <v>1229</v>
      </c>
      <c r="D91" s="81"/>
      <c r="E91" s="81"/>
      <c r="F91" s="81"/>
      <c r="G91" s="163"/>
      <c r="H91" s="125">
        <f>SUM(H90)</f>
        <v>13290</v>
      </c>
    </row>
    <row r="92" spans="3:9" s="164" customFormat="1">
      <c r="C92" s="123" t="s">
        <v>1230</v>
      </c>
      <c r="D92" s="70" t="s">
        <v>1231</v>
      </c>
      <c r="E92" s="71"/>
      <c r="F92" s="71"/>
      <c r="G92" s="72"/>
      <c r="H92" s="125">
        <f>H91+H88+H83</f>
        <v>940065</v>
      </c>
      <c r="I92" s="55"/>
    </row>
    <row r="93" spans="3:9" s="164" customFormat="1">
      <c r="C93" s="123" t="s">
        <v>1232</v>
      </c>
      <c r="D93" s="70" t="s">
        <v>1410</v>
      </c>
      <c r="E93" s="71"/>
      <c r="F93" s="72"/>
      <c r="G93" s="96">
        <f>$M$7</f>
        <v>0.1</v>
      </c>
      <c r="H93" s="125">
        <f>H92*G93</f>
        <v>94006.5</v>
      </c>
      <c r="I93" s="55"/>
    </row>
    <row r="94" spans="3:9" s="164" customFormat="1" ht="15.75" thickBot="1">
      <c r="C94" s="131" t="s">
        <v>1233</v>
      </c>
      <c r="D94" s="132" t="s">
        <v>1234</v>
      </c>
      <c r="E94" s="133"/>
      <c r="F94" s="133"/>
      <c r="G94" s="156"/>
      <c r="H94" s="135">
        <f>SUM(H92:H93)</f>
        <v>1034071.5</v>
      </c>
      <c r="I94" s="55"/>
    </row>
    <row r="95" spans="3:9" ht="15.75" thickTop="1">
      <c r="C95" s="199"/>
      <c r="D95" s="91"/>
      <c r="E95" s="91"/>
      <c r="F95" s="91"/>
      <c r="G95" s="91"/>
      <c r="H95" s="200"/>
    </row>
    <row r="96" spans="3:9" ht="31.5" customHeight="1" thickBot="1">
      <c r="C96" s="516" t="s">
        <v>1316</v>
      </c>
      <c r="D96" s="516"/>
      <c r="E96" s="516"/>
      <c r="F96" s="516"/>
      <c r="G96" s="516"/>
      <c r="H96" s="516"/>
      <c r="I96" s="57">
        <f>ROUNDDOWN(H112,-2)</f>
        <v>1037200</v>
      </c>
    </row>
    <row r="97" spans="3:9" ht="29.25" thickTop="1">
      <c r="C97" s="120" t="s">
        <v>1207</v>
      </c>
      <c r="D97" s="121" t="s">
        <v>1208</v>
      </c>
      <c r="E97" s="121" t="s">
        <v>1209</v>
      </c>
      <c r="F97" s="121" t="s">
        <v>1210</v>
      </c>
      <c r="G97" s="121" t="s">
        <v>1211</v>
      </c>
      <c r="H97" s="122" t="s">
        <v>1212</v>
      </c>
    </row>
    <row r="98" spans="3:9">
      <c r="C98" s="142" t="s">
        <v>1213</v>
      </c>
      <c r="D98" s="60" t="s">
        <v>1214</v>
      </c>
      <c r="E98" s="74"/>
      <c r="F98" s="74"/>
      <c r="G98" s="74"/>
      <c r="H98" s="147"/>
    </row>
    <row r="99" spans="3:9">
      <c r="C99" s="143">
        <v>1</v>
      </c>
      <c r="D99" s="60" t="s">
        <v>5</v>
      </c>
      <c r="E99" s="73" t="s">
        <v>6</v>
      </c>
      <c r="F99" s="75">
        <v>1.5</v>
      </c>
      <c r="G99" s="65">
        <f>VLOOKUP(D99,upahbahan,3,FALSE)</f>
        <v>100000</v>
      </c>
      <c r="H99" s="125">
        <f>F99*G99</f>
        <v>150000</v>
      </c>
    </row>
    <row r="100" spans="3:9" s="56" customFormat="1">
      <c r="C100" s="143">
        <v>2</v>
      </c>
      <c r="D100" s="60" t="s">
        <v>7</v>
      </c>
      <c r="E100" s="73" t="s">
        <v>6</v>
      </c>
      <c r="F100" s="75">
        <v>0.5</v>
      </c>
      <c r="G100" s="65">
        <f>VLOOKUP(D100,upahbahan,3,FALSE)</f>
        <v>145000</v>
      </c>
      <c r="H100" s="125">
        <f>F100*G100</f>
        <v>72500</v>
      </c>
      <c r="I100" s="55"/>
    </row>
    <row r="101" spans="3:9" s="56" customFormat="1">
      <c r="C101" s="143">
        <v>3</v>
      </c>
      <c r="D101" s="60" t="s">
        <v>19</v>
      </c>
      <c r="E101" s="73" t="s">
        <v>6</v>
      </c>
      <c r="F101" s="75">
        <v>0.15</v>
      </c>
      <c r="G101" s="65">
        <f>VLOOKUP(D101,upahbahan,3,FALSE)</f>
        <v>145000</v>
      </c>
      <c r="H101" s="125">
        <f>F101*G101</f>
        <v>21750</v>
      </c>
      <c r="I101" s="55"/>
    </row>
    <row r="102" spans="3:9" ht="15.75" customHeight="1">
      <c r="C102" s="145" t="s">
        <v>1220</v>
      </c>
      <c r="D102" s="81"/>
      <c r="E102" s="81"/>
      <c r="F102" s="190"/>
      <c r="G102" s="163"/>
      <c r="H102" s="125">
        <f>SUM(H99:H101)</f>
        <v>244250</v>
      </c>
    </row>
    <row r="103" spans="3:9">
      <c r="C103" s="142" t="s">
        <v>1221</v>
      </c>
      <c r="D103" s="60" t="s">
        <v>1222</v>
      </c>
      <c r="E103" s="77"/>
      <c r="F103" s="77"/>
      <c r="G103" s="77"/>
      <c r="H103" s="155"/>
    </row>
    <row r="104" spans="3:9">
      <c r="C104" s="143">
        <v>1</v>
      </c>
      <c r="D104" s="78" t="s">
        <v>57</v>
      </c>
      <c r="E104" s="73" t="s">
        <v>42</v>
      </c>
      <c r="F104" s="75">
        <v>1.2</v>
      </c>
      <c r="G104" s="65">
        <f>VLOOKUP(D104,upahbahan,3,FALSE)</f>
        <v>286500</v>
      </c>
      <c r="H104" s="125">
        <f>F104*G104</f>
        <v>343800</v>
      </c>
    </row>
    <row r="105" spans="3:9">
      <c r="C105" s="143">
        <v>2</v>
      </c>
      <c r="D105" s="60" t="s">
        <v>568</v>
      </c>
      <c r="E105" s="73" t="s">
        <v>66</v>
      </c>
      <c r="F105" s="75">
        <v>163</v>
      </c>
      <c r="G105" s="65">
        <f>VLOOKUP(D105,upahbahan,3,FALSE)</f>
        <v>1300</v>
      </c>
      <c r="H105" s="125">
        <f>F105*G105</f>
        <v>211900</v>
      </c>
    </row>
    <row r="106" spans="3:9">
      <c r="C106" s="143">
        <v>3</v>
      </c>
      <c r="D106" s="78" t="s">
        <v>86</v>
      </c>
      <c r="E106" s="73" t="s">
        <v>42</v>
      </c>
      <c r="F106" s="75">
        <v>0.52</v>
      </c>
      <c r="G106" s="65">
        <f>VLOOKUP(D106,upahbahan,3,FALSE)</f>
        <v>275000</v>
      </c>
      <c r="H106" s="125">
        <f>F106*G106</f>
        <v>143000</v>
      </c>
    </row>
    <row r="107" spans="3:9" ht="15.75" customHeight="1">
      <c r="C107" s="145" t="s">
        <v>1226</v>
      </c>
      <c r="D107" s="81"/>
      <c r="E107" s="81"/>
      <c r="F107" s="81"/>
      <c r="G107" s="163"/>
      <c r="H107" s="125">
        <f>SUM(H104:H106)</f>
        <v>698700</v>
      </c>
    </row>
    <row r="108" spans="3:9">
      <c r="C108" s="142" t="s">
        <v>1227</v>
      </c>
      <c r="D108" s="60" t="s">
        <v>1228</v>
      </c>
      <c r="E108" s="74"/>
      <c r="F108" s="74"/>
      <c r="G108" s="74"/>
      <c r="H108" s="147"/>
    </row>
    <row r="109" spans="3:9" ht="15.75" customHeight="1">
      <c r="C109" s="145" t="s">
        <v>1229</v>
      </c>
      <c r="D109" s="81"/>
      <c r="E109" s="81"/>
      <c r="F109" s="81"/>
      <c r="G109" s="163"/>
      <c r="H109" s="154">
        <v>0</v>
      </c>
    </row>
    <row r="110" spans="3:9" s="164" customFormat="1">
      <c r="C110" s="123" t="s">
        <v>1230</v>
      </c>
      <c r="D110" s="70" t="s">
        <v>1231</v>
      </c>
      <c r="E110" s="71"/>
      <c r="F110" s="71"/>
      <c r="G110" s="72"/>
      <c r="H110" s="125">
        <f>H109+H107+H102</f>
        <v>942950</v>
      </c>
      <c r="I110" s="55"/>
    </row>
    <row r="111" spans="3:9" s="164" customFormat="1">
      <c r="C111" s="123" t="s">
        <v>1232</v>
      </c>
      <c r="D111" s="70" t="s">
        <v>1410</v>
      </c>
      <c r="E111" s="71"/>
      <c r="F111" s="72"/>
      <c r="G111" s="96">
        <f>$M$7</f>
        <v>0.1</v>
      </c>
      <c r="H111" s="125">
        <f>H110*G111</f>
        <v>94295</v>
      </c>
      <c r="I111" s="55"/>
    </row>
    <row r="112" spans="3:9" s="164" customFormat="1" ht="15.75" thickBot="1">
      <c r="C112" s="131" t="s">
        <v>1233</v>
      </c>
      <c r="D112" s="132" t="s">
        <v>1234</v>
      </c>
      <c r="E112" s="133"/>
      <c r="F112" s="133"/>
      <c r="G112" s="156"/>
      <c r="H112" s="135">
        <f>SUM(H110:H111)</f>
        <v>1037245</v>
      </c>
      <c r="I112" s="55"/>
    </row>
    <row r="113" spans="3:9" ht="15.75" thickTop="1"/>
    <row r="114" spans="3:9" ht="31.5" customHeight="1" thickBot="1">
      <c r="C114" s="516" t="s">
        <v>1317</v>
      </c>
      <c r="D114" s="516"/>
      <c r="E114" s="516"/>
      <c r="F114" s="516"/>
      <c r="G114" s="516"/>
      <c r="H114" s="516"/>
      <c r="I114" s="57">
        <f>ROUNDDOWN(H131,-2)</f>
        <v>988800</v>
      </c>
    </row>
    <row r="115" spans="3:9" ht="29.25" thickTop="1">
      <c r="C115" s="120" t="s">
        <v>1207</v>
      </c>
      <c r="D115" s="121" t="s">
        <v>1208</v>
      </c>
      <c r="E115" s="121" t="s">
        <v>1209</v>
      </c>
      <c r="F115" s="121" t="s">
        <v>1210</v>
      </c>
      <c r="G115" s="121" t="s">
        <v>1211</v>
      </c>
      <c r="H115" s="122" t="s">
        <v>1212</v>
      </c>
    </row>
    <row r="116" spans="3:9">
      <c r="C116" s="142" t="s">
        <v>1213</v>
      </c>
      <c r="D116" s="60" t="s">
        <v>1214</v>
      </c>
      <c r="E116" s="74"/>
      <c r="F116" s="74"/>
      <c r="G116" s="74"/>
      <c r="H116" s="147"/>
    </row>
    <row r="117" spans="3:9">
      <c r="C117" s="143">
        <v>1</v>
      </c>
      <c r="D117" s="60" t="s">
        <v>5</v>
      </c>
      <c r="E117" s="73" t="s">
        <v>6</v>
      </c>
      <c r="F117" s="75">
        <v>1</v>
      </c>
      <c r="G117" s="65">
        <f>VLOOKUP(D117,upahbahan,3,FALSE)</f>
        <v>100000</v>
      </c>
      <c r="H117" s="125">
        <f>F117*G117</f>
        <v>100000</v>
      </c>
    </row>
    <row r="118" spans="3:9" s="56" customFormat="1">
      <c r="C118" s="143">
        <v>2</v>
      </c>
      <c r="D118" s="60" t="s">
        <v>7</v>
      </c>
      <c r="E118" s="73" t="s">
        <v>6</v>
      </c>
      <c r="F118" s="75">
        <v>0.5</v>
      </c>
      <c r="G118" s="65">
        <f>VLOOKUP(D118,upahbahan,3,FALSE)</f>
        <v>145000</v>
      </c>
      <c r="H118" s="125">
        <f>F118*G118</f>
        <v>72500</v>
      </c>
      <c r="I118" s="55"/>
    </row>
    <row r="119" spans="3:9" s="56" customFormat="1">
      <c r="C119" s="143">
        <v>3</v>
      </c>
      <c r="D119" s="60" t="s">
        <v>19</v>
      </c>
      <c r="E119" s="73" t="s">
        <v>6</v>
      </c>
      <c r="F119" s="75">
        <v>0.1</v>
      </c>
      <c r="G119" s="65">
        <f>VLOOKUP(D119,upahbahan,3,FALSE)</f>
        <v>145000</v>
      </c>
      <c r="H119" s="125">
        <f>F119*G119</f>
        <v>14500</v>
      </c>
      <c r="I119" s="55"/>
    </row>
    <row r="120" spans="3:9" ht="15.75" customHeight="1">
      <c r="C120" s="145" t="s">
        <v>1220</v>
      </c>
      <c r="D120" s="81"/>
      <c r="E120" s="81"/>
      <c r="F120" s="190"/>
      <c r="G120" s="163"/>
      <c r="H120" s="125">
        <f>SUM(H117:H119)</f>
        <v>187000</v>
      </c>
    </row>
    <row r="121" spans="3:9">
      <c r="C121" s="142" t="s">
        <v>1221</v>
      </c>
      <c r="D121" s="60" t="s">
        <v>1222</v>
      </c>
      <c r="E121" s="77"/>
      <c r="F121" s="77"/>
      <c r="G121" s="77"/>
      <c r="H121" s="155"/>
    </row>
    <row r="122" spans="3:9">
      <c r="C122" s="143">
        <v>1</v>
      </c>
      <c r="D122" s="78" t="s">
        <v>57</v>
      </c>
      <c r="E122" s="73" t="s">
        <v>42</v>
      </c>
      <c r="F122" s="75">
        <v>1.2</v>
      </c>
      <c r="G122" s="65">
        <f>VLOOKUP(D122,upahbahan,3,FALSE)</f>
        <v>286500</v>
      </c>
      <c r="H122" s="125">
        <f>F122*G122</f>
        <v>343800</v>
      </c>
    </row>
    <row r="123" spans="3:9">
      <c r="C123" s="143">
        <v>2</v>
      </c>
      <c r="D123" s="60" t="s">
        <v>568</v>
      </c>
      <c r="E123" s="73" t="s">
        <v>66</v>
      </c>
      <c r="F123" s="75">
        <v>163</v>
      </c>
      <c r="G123" s="65">
        <f>VLOOKUP(D123,upahbahan,3,FALSE)</f>
        <v>1300</v>
      </c>
      <c r="H123" s="125">
        <f>F123*G123</f>
        <v>211900</v>
      </c>
    </row>
    <row r="124" spans="3:9">
      <c r="C124" s="143">
        <v>3</v>
      </c>
      <c r="D124" s="78" t="s">
        <v>86</v>
      </c>
      <c r="E124" s="73" t="s">
        <v>42</v>
      </c>
      <c r="F124" s="75">
        <v>0.52</v>
      </c>
      <c r="G124" s="65">
        <f>VLOOKUP(D124,upahbahan,3,FALSE)</f>
        <v>275000</v>
      </c>
      <c r="H124" s="125">
        <f>F124*G124</f>
        <v>143000</v>
      </c>
    </row>
    <row r="125" spans="3:9" ht="15.75" customHeight="1">
      <c r="C125" s="145" t="s">
        <v>1226</v>
      </c>
      <c r="D125" s="81"/>
      <c r="E125" s="81"/>
      <c r="F125" s="81"/>
      <c r="G125" s="163"/>
      <c r="H125" s="125">
        <f>SUM(H122:H124)</f>
        <v>698700</v>
      </c>
    </row>
    <row r="126" spans="3:9">
      <c r="C126" s="142" t="s">
        <v>1227</v>
      </c>
      <c r="D126" s="60" t="s">
        <v>1228</v>
      </c>
      <c r="E126" s="74"/>
      <c r="F126" s="74"/>
      <c r="G126" s="74"/>
      <c r="H126" s="147"/>
    </row>
    <row r="127" spans="3:9">
      <c r="C127" s="146" t="s">
        <v>1215</v>
      </c>
      <c r="D127" s="60" t="s">
        <v>1179</v>
      </c>
      <c r="E127" s="171" t="s">
        <v>1091</v>
      </c>
      <c r="F127" s="191">
        <v>4.4299999999999999E-2</v>
      </c>
      <c r="G127" s="65">
        <f>VLOOKUP(D127,upahbahan,3,FALSE)</f>
        <v>300000</v>
      </c>
      <c r="H127" s="125">
        <f>F127*G127</f>
        <v>13290</v>
      </c>
    </row>
    <row r="128" spans="3:9" ht="15.75" customHeight="1">
      <c r="C128" s="145" t="s">
        <v>1229</v>
      </c>
      <c r="D128" s="81"/>
      <c r="E128" s="81"/>
      <c r="F128" s="81"/>
      <c r="G128" s="163"/>
      <c r="H128" s="125">
        <f>SUM(H127)</f>
        <v>13290</v>
      </c>
    </row>
    <row r="129" spans="3:9" s="164" customFormat="1">
      <c r="C129" s="123" t="s">
        <v>1230</v>
      </c>
      <c r="D129" s="70" t="s">
        <v>1231</v>
      </c>
      <c r="E129" s="71"/>
      <c r="F129" s="71"/>
      <c r="G129" s="72"/>
      <c r="H129" s="125">
        <f>H128+H125+H120</f>
        <v>898990</v>
      </c>
      <c r="I129" s="55"/>
    </row>
    <row r="130" spans="3:9" s="164" customFormat="1">
      <c r="C130" s="123" t="s">
        <v>1232</v>
      </c>
      <c r="D130" s="70" t="s">
        <v>1410</v>
      </c>
      <c r="E130" s="71"/>
      <c r="F130" s="72"/>
      <c r="G130" s="96">
        <f>$M$7</f>
        <v>0.1</v>
      </c>
      <c r="H130" s="125">
        <f>H129*G130</f>
        <v>89899</v>
      </c>
      <c r="I130" s="55"/>
    </row>
    <row r="131" spans="3:9" s="164" customFormat="1" ht="15.75" thickBot="1">
      <c r="C131" s="131" t="s">
        <v>1233</v>
      </c>
      <c r="D131" s="132" t="s">
        <v>1234</v>
      </c>
      <c r="E131" s="133"/>
      <c r="F131" s="133"/>
      <c r="G131" s="156"/>
      <c r="H131" s="135">
        <f>SUM(H129:H130)</f>
        <v>988889</v>
      </c>
      <c r="I131" s="55"/>
    </row>
    <row r="132" spans="3:9" ht="15.75" thickTop="1"/>
    <row r="133" spans="3:9" ht="31.5" customHeight="1" thickBot="1">
      <c r="C133" s="516" t="s">
        <v>1318</v>
      </c>
      <c r="D133" s="516"/>
      <c r="E133" s="516"/>
      <c r="F133" s="516"/>
      <c r="G133" s="516"/>
      <c r="H133" s="516"/>
      <c r="I133" s="57">
        <f>ROUNDDOWN(H149,-2)</f>
        <v>1004400</v>
      </c>
    </row>
    <row r="134" spans="3:9" ht="29.25" thickTop="1">
      <c r="C134" s="120" t="s">
        <v>1207</v>
      </c>
      <c r="D134" s="121" t="s">
        <v>1208</v>
      </c>
      <c r="E134" s="121" t="s">
        <v>1209</v>
      </c>
      <c r="F134" s="121" t="s">
        <v>1210</v>
      </c>
      <c r="G134" s="121" t="s">
        <v>1211</v>
      </c>
      <c r="H134" s="122" t="s">
        <v>1212</v>
      </c>
    </row>
    <row r="135" spans="3:9">
      <c r="C135" s="142" t="s">
        <v>1213</v>
      </c>
      <c r="D135" s="60" t="s">
        <v>1214</v>
      </c>
      <c r="E135" s="74"/>
      <c r="F135" s="74"/>
      <c r="G135" s="74"/>
      <c r="H135" s="147"/>
    </row>
    <row r="136" spans="3:9">
      <c r="C136" s="143">
        <v>1</v>
      </c>
      <c r="D136" s="60" t="s">
        <v>5</v>
      </c>
      <c r="E136" s="73" t="s">
        <v>6</v>
      </c>
      <c r="F136" s="75">
        <v>1.5</v>
      </c>
      <c r="G136" s="65">
        <f>VLOOKUP(D136,upahbahan,3,FALSE)</f>
        <v>100000</v>
      </c>
      <c r="H136" s="125">
        <f>F136*G136</f>
        <v>150000</v>
      </c>
    </row>
    <row r="137" spans="3:9" s="56" customFormat="1">
      <c r="C137" s="143">
        <v>2</v>
      </c>
      <c r="D137" s="60" t="s">
        <v>7</v>
      </c>
      <c r="E137" s="73" t="s">
        <v>6</v>
      </c>
      <c r="F137" s="75">
        <v>0.5</v>
      </c>
      <c r="G137" s="65">
        <f>VLOOKUP(D137,upahbahan,3,FALSE)</f>
        <v>145000</v>
      </c>
      <c r="H137" s="125">
        <f>F137*G137</f>
        <v>72500</v>
      </c>
      <c r="I137" s="55"/>
    </row>
    <row r="138" spans="3:9" s="56" customFormat="1">
      <c r="C138" s="143">
        <v>3</v>
      </c>
      <c r="D138" s="60" t="s">
        <v>19</v>
      </c>
      <c r="E138" s="73" t="s">
        <v>6</v>
      </c>
      <c r="F138" s="75">
        <v>0.15</v>
      </c>
      <c r="G138" s="65">
        <f>VLOOKUP(D138,upahbahan,3,FALSE)</f>
        <v>145000</v>
      </c>
      <c r="H138" s="125">
        <f>F138*G138</f>
        <v>21750</v>
      </c>
      <c r="I138" s="55"/>
    </row>
    <row r="139" spans="3:9" ht="15.75" customHeight="1">
      <c r="C139" s="145" t="s">
        <v>1220</v>
      </c>
      <c r="D139" s="81"/>
      <c r="E139" s="81"/>
      <c r="F139" s="190"/>
      <c r="G139" s="163"/>
      <c r="H139" s="125">
        <f>SUM(H136:H138)</f>
        <v>244250</v>
      </c>
    </row>
    <row r="140" spans="3:9">
      <c r="C140" s="142" t="s">
        <v>1221</v>
      </c>
      <c r="D140" s="60" t="s">
        <v>1222</v>
      </c>
      <c r="E140" s="77"/>
      <c r="F140" s="77"/>
      <c r="G140" s="77"/>
      <c r="H140" s="155"/>
    </row>
    <row r="141" spans="3:9">
      <c r="C141" s="143">
        <v>1</v>
      </c>
      <c r="D141" s="78" t="s">
        <v>57</v>
      </c>
      <c r="E141" s="73" t="s">
        <v>42</v>
      </c>
      <c r="F141" s="75">
        <v>1.2</v>
      </c>
      <c r="G141" s="65">
        <f>VLOOKUP(D141,upahbahan,3,FALSE)</f>
        <v>286500</v>
      </c>
      <c r="H141" s="125">
        <f>F141*G141</f>
        <v>343800</v>
      </c>
    </row>
    <row r="142" spans="3:9">
      <c r="C142" s="143">
        <v>2</v>
      </c>
      <c r="D142" s="60" t="s">
        <v>568</v>
      </c>
      <c r="E142" s="73" t="s">
        <v>66</v>
      </c>
      <c r="F142" s="75">
        <v>135</v>
      </c>
      <c r="G142" s="65">
        <f>VLOOKUP(D142,upahbahan,3,FALSE)</f>
        <v>1300</v>
      </c>
      <c r="H142" s="125">
        <f>F142*G142</f>
        <v>175500</v>
      </c>
    </row>
    <row r="143" spans="3:9">
      <c r="C143" s="143">
        <v>3</v>
      </c>
      <c r="D143" s="78" t="s">
        <v>86</v>
      </c>
      <c r="E143" s="73" t="s">
        <v>42</v>
      </c>
      <c r="F143" s="75">
        <v>0.54400000000000004</v>
      </c>
      <c r="G143" s="65">
        <f>VLOOKUP(D143,upahbahan,3,FALSE)</f>
        <v>275000</v>
      </c>
      <c r="H143" s="125">
        <f>F143*G143</f>
        <v>149600</v>
      </c>
    </row>
    <row r="144" spans="3:9" ht="15.75" customHeight="1">
      <c r="C144" s="145" t="s">
        <v>1226</v>
      </c>
      <c r="D144" s="81"/>
      <c r="E144" s="81"/>
      <c r="F144" s="81"/>
      <c r="G144" s="163"/>
      <c r="H144" s="125">
        <f>SUM(H141:H143)</f>
        <v>668900</v>
      </c>
    </row>
    <row r="145" spans="3:9">
      <c r="C145" s="142" t="s">
        <v>1227</v>
      </c>
      <c r="D145" s="60" t="s">
        <v>1228</v>
      </c>
      <c r="E145" s="74"/>
      <c r="F145" s="74"/>
      <c r="G145" s="74"/>
      <c r="H145" s="147"/>
    </row>
    <row r="146" spans="3:9" ht="15.75" customHeight="1">
      <c r="C146" s="145" t="s">
        <v>1229</v>
      </c>
      <c r="D146" s="81"/>
      <c r="E146" s="81"/>
      <c r="F146" s="81"/>
      <c r="G146" s="163"/>
      <c r="H146" s="154">
        <v>0</v>
      </c>
    </row>
    <row r="147" spans="3:9" s="164" customFormat="1">
      <c r="C147" s="123" t="s">
        <v>1230</v>
      </c>
      <c r="D147" s="70" t="s">
        <v>1231</v>
      </c>
      <c r="E147" s="71"/>
      <c r="F147" s="71"/>
      <c r="G147" s="72"/>
      <c r="H147" s="125">
        <f>H146+H144+H139</f>
        <v>913150</v>
      </c>
      <c r="I147" s="55"/>
    </row>
    <row r="148" spans="3:9" s="164" customFormat="1">
      <c r="C148" s="123" t="s">
        <v>1232</v>
      </c>
      <c r="D148" s="70" t="s">
        <v>1410</v>
      </c>
      <c r="E148" s="71"/>
      <c r="F148" s="72"/>
      <c r="G148" s="96">
        <f>$M$7</f>
        <v>0.1</v>
      </c>
      <c r="H148" s="125">
        <f>H147*G148</f>
        <v>91315</v>
      </c>
      <c r="I148" s="55"/>
    </row>
    <row r="149" spans="3:9" s="164" customFormat="1" ht="15.75" thickBot="1">
      <c r="C149" s="131" t="s">
        <v>1233</v>
      </c>
      <c r="D149" s="132" t="s">
        <v>1234</v>
      </c>
      <c r="E149" s="133"/>
      <c r="F149" s="133"/>
      <c r="G149" s="156"/>
      <c r="H149" s="135">
        <f>SUM(H147:H148)</f>
        <v>1004465</v>
      </c>
      <c r="I149" s="55"/>
    </row>
    <row r="150" spans="3:9" ht="15.75" thickTop="1"/>
    <row r="151" spans="3:9" ht="31.5" customHeight="1" thickBot="1">
      <c r="C151" s="516" t="s">
        <v>1319</v>
      </c>
      <c r="D151" s="516"/>
      <c r="E151" s="516"/>
      <c r="F151" s="516"/>
      <c r="G151" s="516"/>
      <c r="H151" s="516"/>
      <c r="I151" s="57">
        <f>ROUNDDOWN(H168,-2)</f>
        <v>956100</v>
      </c>
    </row>
    <row r="152" spans="3:9" ht="29.25" thickTop="1">
      <c r="C152" s="120" t="s">
        <v>1207</v>
      </c>
      <c r="D152" s="121" t="s">
        <v>1208</v>
      </c>
      <c r="E152" s="121" t="s">
        <v>1209</v>
      </c>
      <c r="F152" s="121" t="s">
        <v>1210</v>
      </c>
      <c r="G152" s="121" t="s">
        <v>1211</v>
      </c>
      <c r="H152" s="122" t="s">
        <v>1212</v>
      </c>
    </row>
    <row r="153" spans="3:9">
      <c r="C153" s="142" t="s">
        <v>1213</v>
      </c>
      <c r="D153" s="60" t="s">
        <v>1214</v>
      </c>
      <c r="E153" s="74"/>
      <c r="F153" s="74"/>
      <c r="G153" s="74"/>
      <c r="H153" s="147"/>
    </row>
    <row r="154" spans="3:9">
      <c r="C154" s="143">
        <v>1</v>
      </c>
      <c r="D154" s="60" t="s">
        <v>5</v>
      </c>
      <c r="E154" s="73" t="s">
        <v>6</v>
      </c>
      <c r="F154" s="75">
        <v>1</v>
      </c>
      <c r="G154" s="65">
        <f>VLOOKUP(D154,upahbahan,3,FALSE)</f>
        <v>100000</v>
      </c>
      <c r="H154" s="125">
        <f>F154*G154</f>
        <v>100000</v>
      </c>
    </row>
    <row r="155" spans="3:9" s="56" customFormat="1">
      <c r="C155" s="143">
        <v>2</v>
      </c>
      <c r="D155" s="60" t="s">
        <v>7</v>
      </c>
      <c r="E155" s="73" t="s">
        <v>6</v>
      </c>
      <c r="F155" s="75">
        <v>0.5</v>
      </c>
      <c r="G155" s="65">
        <f>VLOOKUP(D155,upahbahan,3,FALSE)</f>
        <v>145000</v>
      </c>
      <c r="H155" s="125">
        <f>F155*G155</f>
        <v>72500</v>
      </c>
      <c r="I155" s="55"/>
    </row>
    <row r="156" spans="3:9" s="56" customFormat="1">
      <c r="C156" s="143">
        <v>3</v>
      </c>
      <c r="D156" s="60" t="s">
        <v>19</v>
      </c>
      <c r="E156" s="73" t="s">
        <v>6</v>
      </c>
      <c r="F156" s="75">
        <v>0.1</v>
      </c>
      <c r="G156" s="65">
        <f>VLOOKUP(D156,upahbahan,3,FALSE)</f>
        <v>145000</v>
      </c>
      <c r="H156" s="125">
        <f>F156*G156</f>
        <v>14500</v>
      </c>
      <c r="I156" s="55"/>
    </row>
    <row r="157" spans="3:9" ht="15.75" customHeight="1">
      <c r="C157" s="145" t="s">
        <v>1220</v>
      </c>
      <c r="D157" s="81"/>
      <c r="E157" s="81"/>
      <c r="F157" s="190"/>
      <c r="G157" s="163"/>
      <c r="H157" s="125">
        <f>SUM(H154:H156)</f>
        <v>187000</v>
      </c>
    </row>
    <row r="158" spans="3:9">
      <c r="C158" s="142" t="s">
        <v>1221</v>
      </c>
      <c r="D158" s="60" t="s">
        <v>1222</v>
      </c>
      <c r="E158" s="77"/>
      <c r="F158" s="77"/>
      <c r="G158" s="77"/>
      <c r="H158" s="155"/>
    </row>
    <row r="159" spans="3:9">
      <c r="C159" s="143">
        <v>1</v>
      </c>
      <c r="D159" s="78" t="s">
        <v>57</v>
      </c>
      <c r="E159" s="73" t="s">
        <v>42</v>
      </c>
      <c r="F159" s="75">
        <v>1.2</v>
      </c>
      <c r="G159" s="65">
        <f>VLOOKUP(D159,upahbahan,3,FALSE)</f>
        <v>286500</v>
      </c>
      <c r="H159" s="125">
        <f>F159*G159</f>
        <v>343800</v>
      </c>
    </row>
    <row r="160" spans="3:9">
      <c r="C160" s="143">
        <v>2</v>
      </c>
      <c r="D160" s="60" t="s">
        <v>568</v>
      </c>
      <c r="E160" s="73" t="s">
        <v>66</v>
      </c>
      <c r="F160" s="75">
        <v>135</v>
      </c>
      <c r="G160" s="65">
        <f>VLOOKUP(D160,upahbahan,3,FALSE)</f>
        <v>1300</v>
      </c>
      <c r="H160" s="125">
        <f>F160*G160</f>
        <v>175500</v>
      </c>
    </row>
    <row r="161" spans="3:9">
      <c r="C161" s="143">
        <v>3</v>
      </c>
      <c r="D161" s="78" t="s">
        <v>86</v>
      </c>
      <c r="E161" s="73" t="s">
        <v>42</v>
      </c>
      <c r="F161" s="75">
        <v>0.54400000000000004</v>
      </c>
      <c r="G161" s="65">
        <f>VLOOKUP(D161,upahbahan,3,FALSE)</f>
        <v>275000</v>
      </c>
      <c r="H161" s="125">
        <f>F161*G161</f>
        <v>149600</v>
      </c>
    </row>
    <row r="162" spans="3:9" ht="15.75" customHeight="1">
      <c r="C162" s="145" t="s">
        <v>1226</v>
      </c>
      <c r="D162" s="81"/>
      <c r="E162" s="81"/>
      <c r="F162" s="81"/>
      <c r="G162" s="163"/>
      <c r="H162" s="125">
        <f>SUM(H159:H161)</f>
        <v>668900</v>
      </c>
    </row>
    <row r="163" spans="3:9">
      <c r="C163" s="142" t="s">
        <v>1227</v>
      </c>
      <c r="D163" s="60" t="s">
        <v>1228</v>
      </c>
      <c r="E163" s="74"/>
      <c r="F163" s="74"/>
      <c r="G163" s="74"/>
      <c r="H163" s="147"/>
    </row>
    <row r="164" spans="3:9">
      <c r="C164" s="146" t="s">
        <v>1215</v>
      </c>
      <c r="D164" s="60" t="s">
        <v>1179</v>
      </c>
      <c r="E164" s="171" t="s">
        <v>1091</v>
      </c>
      <c r="F164" s="191">
        <v>4.4299999999999999E-2</v>
      </c>
      <c r="G164" s="65">
        <f>VLOOKUP(D164,upahbahan,3,FALSE)</f>
        <v>300000</v>
      </c>
      <c r="H164" s="125">
        <f>F164*G164</f>
        <v>13290</v>
      </c>
    </row>
    <row r="165" spans="3:9" ht="15.75" customHeight="1">
      <c r="C165" s="145" t="s">
        <v>1229</v>
      </c>
      <c r="D165" s="81"/>
      <c r="E165" s="81"/>
      <c r="F165" s="81"/>
      <c r="G165" s="163"/>
      <c r="H165" s="125">
        <f>SUM(H164)</f>
        <v>13290</v>
      </c>
    </row>
    <row r="166" spans="3:9" s="164" customFormat="1">
      <c r="C166" s="123" t="s">
        <v>1230</v>
      </c>
      <c r="D166" s="70" t="s">
        <v>1231</v>
      </c>
      <c r="E166" s="71"/>
      <c r="F166" s="71"/>
      <c r="G166" s="72"/>
      <c r="H166" s="125">
        <f>H165+H162+H157</f>
        <v>869190</v>
      </c>
      <c r="I166" s="55"/>
    </row>
    <row r="167" spans="3:9" s="164" customFormat="1">
      <c r="C167" s="123" t="s">
        <v>1232</v>
      </c>
      <c r="D167" s="70" t="s">
        <v>1410</v>
      </c>
      <c r="E167" s="71"/>
      <c r="F167" s="72"/>
      <c r="G167" s="96">
        <f>$M$7</f>
        <v>0.1</v>
      </c>
      <c r="H167" s="125">
        <f>H166*G167</f>
        <v>86919</v>
      </c>
      <c r="I167" s="55"/>
    </row>
    <row r="168" spans="3:9" s="164" customFormat="1" ht="15.75" thickBot="1">
      <c r="C168" s="131" t="s">
        <v>1233</v>
      </c>
      <c r="D168" s="132" t="s">
        <v>1234</v>
      </c>
      <c r="E168" s="133"/>
      <c r="F168" s="133"/>
      <c r="G168" s="156"/>
      <c r="H168" s="135">
        <f>SUM(H166:H167)</f>
        <v>956109</v>
      </c>
      <c r="I168" s="55"/>
    </row>
    <row r="169" spans="3:9" ht="15.75" thickTop="1"/>
    <row r="170" spans="3:9" ht="15.75" thickBot="1">
      <c r="C170" s="136" t="s">
        <v>1320</v>
      </c>
      <c r="D170" s="136"/>
      <c r="E170" s="136"/>
      <c r="F170" s="136"/>
      <c r="G170" s="136"/>
      <c r="H170" s="136"/>
      <c r="I170" s="57">
        <f>ROUNDDOWN(H186,-2)</f>
        <v>983800</v>
      </c>
    </row>
    <row r="171" spans="3:9" ht="29.25" thickTop="1">
      <c r="C171" s="120" t="s">
        <v>1207</v>
      </c>
      <c r="D171" s="121" t="s">
        <v>1208</v>
      </c>
      <c r="E171" s="121" t="s">
        <v>1209</v>
      </c>
      <c r="F171" s="121" t="s">
        <v>1210</v>
      </c>
      <c r="G171" s="121" t="s">
        <v>1211</v>
      </c>
      <c r="H171" s="122" t="s">
        <v>1212</v>
      </c>
    </row>
    <row r="172" spans="3:9">
      <c r="C172" s="142" t="s">
        <v>1213</v>
      </c>
      <c r="D172" s="60" t="s">
        <v>1214</v>
      </c>
      <c r="E172" s="74"/>
      <c r="F172" s="74"/>
      <c r="G172" s="74"/>
      <c r="H172" s="147"/>
    </row>
    <row r="173" spans="3:9">
      <c r="C173" s="143">
        <v>1</v>
      </c>
      <c r="D173" s="60" t="s">
        <v>5</v>
      </c>
      <c r="E173" s="73" t="s">
        <v>6</v>
      </c>
      <c r="F173" s="75">
        <v>1.5</v>
      </c>
      <c r="G173" s="65">
        <f>VLOOKUP(D173,upahbahan,3,FALSE)</f>
        <v>100000</v>
      </c>
      <c r="H173" s="125">
        <f>F173*G173</f>
        <v>150000</v>
      </c>
    </row>
    <row r="174" spans="3:9" s="56" customFormat="1">
      <c r="C174" s="143">
        <v>2</v>
      </c>
      <c r="D174" s="60" t="s">
        <v>7</v>
      </c>
      <c r="E174" s="73" t="s">
        <v>6</v>
      </c>
      <c r="F174" s="75">
        <v>0.5</v>
      </c>
      <c r="G174" s="65">
        <f>VLOOKUP(D174,upahbahan,3,FALSE)</f>
        <v>145000</v>
      </c>
      <c r="H174" s="125">
        <f>F174*G174</f>
        <v>72500</v>
      </c>
      <c r="I174" s="55"/>
    </row>
    <row r="175" spans="3:9" s="56" customFormat="1">
      <c r="C175" s="143">
        <v>3</v>
      </c>
      <c r="D175" s="60" t="s">
        <v>19</v>
      </c>
      <c r="E175" s="73" t="s">
        <v>6</v>
      </c>
      <c r="F175" s="75">
        <v>0.15</v>
      </c>
      <c r="G175" s="65">
        <f>VLOOKUP(D175,upahbahan,3,FALSE)</f>
        <v>145000</v>
      </c>
      <c r="H175" s="125">
        <f>F175*G175</f>
        <v>21750</v>
      </c>
      <c r="I175" s="55"/>
    </row>
    <row r="176" spans="3:9" ht="15.75" customHeight="1">
      <c r="C176" s="145" t="s">
        <v>1220</v>
      </c>
      <c r="D176" s="81"/>
      <c r="E176" s="81"/>
      <c r="F176" s="190"/>
      <c r="G176" s="163"/>
      <c r="H176" s="125">
        <f>SUM(H173:H175)</f>
        <v>244250</v>
      </c>
    </row>
    <row r="177" spans="3:9">
      <c r="C177" s="142" t="s">
        <v>1221</v>
      </c>
      <c r="D177" s="60" t="s">
        <v>1222</v>
      </c>
      <c r="E177" s="77"/>
      <c r="F177" s="77"/>
      <c r="G177" s="77"/>
      <c r="H177" s="155"/>
    </row>
    <row r="178" spans="3:9">
      <c r="C178" s="143">
        <v>1</v>
      </c>
      <c r="D178" s="78" t="s">
        <v>57</v>
      </c>
      <c r="E178" s="73" t="s">
        <v>42</v>
      </c>
      <c r="F178" s="75">
        <v>1.2</v>
      </c>
      <c r="G178" s="65">
        <f>VLOOKUP(D178,upahbahan,3,FALSE)</f>
        <v>286500</v>
      </c>
      <c r="H178" s="125">
        <f>F178*G178</f>
        <v>343800</v>
      </c>
    </row>
    <row r="179" spans="3:9">
      <c r="C179" s="143">
        <v>2</v>
      </c>
      <c r="D179" s="60" t="s">
        <v>568</v>
      </c>
      <c r="E179" s="73" t="s">
        <v>66</v>
      </c>
      <c r="F179" s="75">
        <v>117</v>
      </c>
      <c r="G179" s="65">
        <f>VLOOKUP(D179,upahbahan,3,FALSE)</f>
        <v>1300</v>
      </c>
      <c r="H179" s="125">
        <f>F179*G179</f>
        <v>152100</v>
      </c>
    </row>
    <row r="180" spans="3:9">
      <c r="C180" s="143">
        <v>3</v>
      </c>
      <c r="D180" s="78" t="s">
        <v>86</v>
      </c>
      <c r="E180" s="73" t="s">
        <v>42</v>
      </c>
      <c r="F180" s="75">
        <v>0.56100000000000005</v>
      </c>
      <c r="G180" s="65">
        <f>VLOOKUP(D180,upahbahan,3,FALSE)</f>
        <v>275000</v>
      </c>
      <c r="H180" s="125">
        <f>F180*G180</f>
        <v>154275.00000000003</v>
      </c>
    </row>
    <row r="181" spans="3:9" ht="15.75" customHeight="1">
      <c r="C181" s="145" t="s">
        <v>1226</v>
      </c>
      <c r="D181" s="81"/>
      <c r="E181" s="81"/>
      <c r="F181" s="81"/>
      <c r="G181" s="163"/>
      <c r="H181" s="125">
        <f>SUM(H178:H180)</f>
        <v>650175</v>
      </c>
    </row>
    <row r="182" spans="3:9">
      <c r="C182" s="142" t="s">
        <v>1227</v>
      </c>
      <c r="D182" s="60" t="s">
        <v>1228</v>
      </c>
      <c r="E182" s="74"/>
      <c r="F182" s="74"/>
      <c r="G182" s="74"/>
      <c r="H182" s="147"/>
    </row>
    <row r="183" spans="3:9" ht="15.75" customHeight="1">
      <c r="C183" s="145" t="s">
        <v>1229</v>
      </c>
      <c r="D183" s="81"/>
      <c r="E183" s="81"/>
      <c r="F183" s="81"/>
      <c r="G183" s="163"/>
      <c r="H183" s="154">
        <v>0</v>
      </c>
    </row>
    <row r="184" spans="3:9" s="164" customFormat="1">
      <c r="C184" s="123" t="s">
        <v>1230</v>
      </c>
      <c r="D184" s="70" t="s">
        <v>1231</v>
      </c>
      <c r="E184" s="71"/>
      <c r="F184" s="71"/>
      <c r="G184" s="72"/>
      <c r="H184" s="125">
        <f>H183+H181+H176</f>
        <v>894425</v>
      </c>
      <c r="I184" s="55"/>
    </row>
    <row r="185" spans="3:9" s="164" customFormat="1">
      <c r="C185" s="123" t="s">
        <v>1232</v>
      </c>
      <c r="D185" s="70" t="s">
        <v>1410</v>
      </c>
      <c r="E185" s="71"/>
      <c r="F185" s="72"/>
      <c r="G185" s="96">
        <f>$M$7</f>
        <v>0.1</v>
      </c>
      <c r="H185" s="125">
        <f>H184*G185</f>
        <v>89442.5</v>
      </c>
      <c r="I185" s="55"/>
    </row>
    <row r="186" spans="3:9" s="164" customFormat="1" ht="15.75" thickBot="1">
      <c r="C186" s="131" t="s">
        <v>1233</v>
      </c>
      <c r="D186" s="132" t="s">
        <v>1234</v>
      </c>
      <c r="E186" s="133"/>
      <c r="F186" s="133"/>
      <c r="G186" s="156"/>
      <c r="H186" s="135">
        <f>SUM(H184:H185)</f>
        <v>983867.5</v>
      </c>
      <c r="I186" s="55"/>
    </row>
    <row r="187" spans="3:9" ht="15.75" thickTop="1"/>
    <row r="188" spans="3:9" ht="15.75" thickBot="1">
      <c r="C188" s="136" t="s">
        <v>1321</v>
      </c>
      <c r="D188" s="136"/>
      <c r="E188" s="136"/>
      <c r="F188" s="136"/>
      <c r="G188" s="136"/>
      <c r="H188" s="136"/>
      <c r="I188" s="57">
        <f>ROUNDDOWN(H205,-2)</f>
        <v>935500</v>
      </c>
    </row>
    <row r="189" spans="3:9" ht="29.25" thickTop="1">
      <c r="C189" s="120" t="s">
        <v>1207</v>
      </c>
      <c r="D189" s="121" t="s">
        <v>1208</v>
      </c>
      <c r="E189" s="121" t="s">
        <v>1209</v>
      </c>
      <c r="F189" s="121" t="s">
        <v>1210</v>
      </c>
      <c r="G189" s="121" t="s">
        <v>1211</v>
      </c>
      <c r="H189" s="122" t="s">
        <v>1212</v>
      </c>
    </row>
    <row r="190" spans="3:9">
      <c r="C190" s="142" t="s">
        <v>1213</v>
      </c>
      <c r="D190" s="60" t="s">
        <v>1214</v>
      </c>
      <c r="E190" s="74"/>
      <c r="F190" s="74"/>
      <c r="G190" s="74"/>
      <c r="H190" s="147"/>
    </row>
    <row r="191" spans="3:9">
      <c r="C191" s="143">
        <v>1</v>
      </c>
      <c r="D191" s="60" t="s">
        <v>5</v>
      </c>
      <c r="E191" s="73" t="s">
        <v>6</v>
      </c>
      <c r="F191" s="75">
        <v>1</v>
      </c>
      <c r="G191" s="65">
        <f>VLOOKUP(D191,upahbahan,3,FALSE)</f>
        <v>100000</v>
      </c>
      <c r="H191" s="125">
        <f>F191*G191</f>
        <v>100000</v>
      </c>
    </row>
    <row r="192" spans="3:9" s="56" customFormat="1">
      <c r="C192" s="143">
        <v>2</v>
      </c>
      <c r="D192" s="60" t="s">
        <v>7</v>
      </c>
      <c r="E192" s="73" t="s">
        <v>6</v>
      </c>
      <c r="F192" s="75">
        <v>0.5</v>
      </c>
      <c r="G192" s="65">
        <f>VLOOKUP(D192,upahbahan,3,FALSE)</f>
        <v>145000</v>
      </c>
      <c r="H192" s="125">
        <f>F192*G192</f>
        <v>72500</v>
      </c>
      <c r="I192" s="55"/>
    </row>
    <row r="193" spans="3:9" s="56" customFormat="1">
      <c r="C193" s="143">
        <v>3</v>
      </c>
      <c r="D193" s="60" t="s">
        <v>19</v>
      </c>
      <c r="E193" s="73" t="s">
        <v>6</v>
      </c>
      <c r="F193" s="75">
        <v>0.1</v>
      </c>
      <c r="G193" s="65">
        <f>VLOOKUP(D193,upahbahan,3,FALSE)</f>
        <v>145000</v>
      </c>
      <c r="H193" s="125">
        <f>F193*G193</f>
        <v>14500</v>
      </c>
      <c r="I193" s="55"/>
    </row>
    <row r="194" spans="3:9" ht="15.75" customHeight="1">
      <c r="C194" s="145" t="s">
        <v>1220</v>
      </c>
      <c r="D194" s="81"/>
      <c r="E194" s="81"/>
      <c r="F194" s="190"/>
      <c r="G194" s="163"/>
      <c r="H194" s="125">
        <f>SUM(H191:H193)</f>
        <v>187000</v>
      </c>
    </row>
    <row r="195" spans="3:9">
      <c r="C195" s="142" t="s">
        <v>1221</v>
      </c>
      <c r="D195" s="60" t="s">
        <v>1222</v>
      </c>
      <c r="E195" s="77"/>
      <c r="F195" s="77"/>
      <c r="G195" s="77"/>
      <c r="H195" s="155"/>
    </row>
    <row r="196" spans="3:9">
      <c r="C196" s="143">
        <v>1</v>
      </c>
      <c r="D196" s="78" t="s">
        <v>57</v>
      </c>
      <c r="E196" s="73" t="s">
        <v>42</v>
      </c>
      <c r="F196" s="75">
        <v>1.2</v>
      </c>
      <c r="G196" s="65">
        <f>VLOOKUP(D196,upahbahan,3,FALSE)</f>
        <v>286500</v>
      </c>
      <c r="H196" s="125">
        <f>F196*G196</f>
        <v>343800</v>
      </c>
    </row>
    <row r="197" spans="3:9">
      <c r="C197" s="143">
        <v>2</v>
      </c>
      <c r="D197" s="60" t="s">
        <v>568</v>
      </c>
      <c r="E197" s="73" t="s">
        <v>66</v>
      </c>
      <c r="F197" s="75">
        <v>117</v>
      </c>
      <c r="G197" s="65">
        <f>VLOOKUP(D197,upahbahan,3,FALSE)</f>
        <v>1300</v>
      </c>
      <c r="H197" s="125">
        <f>F197*G197</f>
        <v>152100</v>
      </c>
    </row>
    <row r="198" spans="3:9">
      <c r="C198" s="143">
        <v>3</v>
      </c>
      <c r="D198" s="78" t="s">
        <v>86</v>
      </c>
      <c r="E198" s="73" t="s">
        <v>42</v>
      </c>
      <c r="F198" s="75">
        <v>0.56100000000000005</v>
      </c>
      <c r="G198" s="65">
        <f>VLOOKUP(D198,upahbahan,3,FALSE)</f>
        <v>275000</v>
      </c>
      <c r="H198" s="125">
        <f>F198*G198</f>
        <v>154275.00000000003</v>
      </c>
    </row>
    <row r="199" spans="3:9" ht="15.75" customHeight="1">
      <c r="C199" s="145" t="s">
        <v>1226</v>
      </c>
      <c r="D199" s="81"/>
      <c r="E199" s="81"/>
      <c r="F199" s="81"/>
      <c r="G199" s="163"/>
      <c r="H199" s="125">
        <f>SUM(H196:H198)</f>
        <v>650175</v>
      </c>
    </row>
    <row r="200" spans="3:9">
      <c r="C200" s="142" t="s">
        <v>1227</v>
      </c>
      <c r="D200" s="60" t="s">
        <v>1228</v>
      </c>
      <c r="E200" s="74"/>
      <c r="F200" s="74"/>
      <c r="G200" s="74"/>
      <c r="H200" s="147"/>
    </row>
    <row r="201" spans="3:9">
      <c r="C201" s="146" t="s">
        <v>1215</v>
      </c>
      <c r="D201" s="60" t="s">
        <v>1179</v>
      </c>
      <c r="E201" s="171" t="s">
        <v>1091</v>
      </c>
      <c r="F201" s="191">
        <v>4.4299999999999999E-2</v>
      </c>
      <c r="G201" s="65">
        <f>VLOOKUP(D201,upahbahan,3,FALSE)</f>
        <v>300000</v>
      </c>
      <c r="H201" s="125">
        <f>F201*G201</f>
        <v>13290</v>
      </c>
    </row>
    <row r="202" spans="3:9" ht="15.75" customHeight="1">
      <c r="C202" s="145" t="s">
        <v>1229</v>
      </c>
      <c r="D202" s="81"/>
      <c r="E202" s="81"/>
      <c r="F202" s="81"/>
      <c r="G202" s="163"/>
      <c r="H202" s="125">
        <f>SUM(H201)</f>
        <v>13290</v>
      </c>
    </row>
    <row r="203" spans="3:9" s="164" customFormat="1">
      <c r="C203" s="123" t="s">
        <v>1230</v>
      </c>
      <c r="D203" s="70" t="s">
        <v>1231</v>
      </c>
      <c r="E203" s="71"/>
      <c r="F203" s="71"/>
      <c r="G203" s="72"/>
      <c r="H203" s="125">
        <f>H202+H199+H194</f>
        <v>850465</v>
      </c>
      <c r="I203" s="55"/>
    </row>
    <row r="204" spans="3:9" s="164" customFormat="1">
      <c r="C204" s="123" t="s">
        <v>1232</v>
      </c>
      <c r="D204" s="70" t="s">
        <v>1410</v>
      </c>
      <c r="E204" s="71"/>
      <c r="F204" s="72"/>
      <c r="G204" s="96">
        <f>$M$7</f>
        <v>0.1</v>
      </c>
      <c r="H204" s="125">
        <f>H203*G204</f>
        <v>85046.5</v>
      </c>
      <c r="I204" s="55"/>
    </row>
    <row r="205" spans="3:9" s="164" customFormat="1" ht="15.75" thickBot="1">
      <c r="C205" s="131" t="s">
        <v>1233</v>
      </c>
      <c r="D205" s="132" t="s">
        <v>1234</v>
      </c>
      <c r="E205" s="133"/>
      <c r="F205" s="133"/>
      <c r="G205" s="156"/>
      <c r="H205" s="135">
        <f>SUM(H203:H204)</f>
        <v>935511.5</v>
      </c>
      <c r="I205" s="55"/>
    </row>
    <row r="206" spans="3:9" ht="15.75" thickTop="1"/>
    <row r="207" spans="3:9" ht="35.25" customHeight="1" thickBot="1">
      <c r="C207" s="516" t="s">
        <v>1322</v>
      </c>
      <c r="D207" s="516"/>
      <c r="E207" s="516"/>
      <c r="F207" s="516"/>
      <c r="G207" s="516"/>
      <c r="H207" s="516"/>
      <c r="I207" s="57">
        <f>ROUNDDOWN(H225,-2)</f>
        <v>1001500</v>
      </c>
    </row>
    <row r="208" spans="3:9" ht="29.25" thickTop="1">
      <c r="C208" s="120" t="s">
        <v>1207</v>
      </c>
      <c r="D208" s="121" t="s">
        <v>1208</v>
      </c>
      <c r="E208" s="121" t="s">
        <v>1209</v>
      </c>
      <c r="F208" s="121" t="s">
        <v>1210</v>
      </c>
      <c r="G208" s="121" t="s">
        <v>1211</v>
      </c>
      <c r="H208" s="122" t="s">
        <v>1212</v>
      </c>
    </row>
    <row r="209" spans="3:10">
      <c r="C209" s="142" t="s">
        <v>1213</v>
      </c>
      <c r="D209" s="60" t="s">
        <v>1214</v>
      </c>
      <c r="E209" s="74"/>
      <c r="F209" s="74"/>
      <c r="G209" s="74"/>
      <c r="H209" s="147"/>
    </row>
    <row r="210" spans="3:10">
      <c r="C210" s="143">
        <v>1</v>
      </c>
      <c r="D210" s="60" t="s">
        <v>5</v>
      </c>
      <c r="E210" s="73" t="s">
        <v>6</v>
      </c>
      <c r="F210" s="184">
        <v>1.3900999999999999</v>
      </c>
      <c r="G210" s="65">
        <f>VLOOKUP(D210,upahbahan,3,FALSE)</f>
        <v>100000</v>
      </c>
      <c r="H210" s="125">
        <f>F210*G210</f>
        <v>139010</v>
      </c>
    </row>
    <row r="211" spans="3:10" s="56" customFormat="1">
      <c r="C211" s="143">
        <v>2</v>
      </c>
      <c r="D211" s="60" t="s">
        <v>7</v>
      </c>
      <c r="E211" s="73" t="s">
        <v>6</v>
      </c>
      <c r="F211" s="184">
        <v>0.28960000000000002</v>
      </c>
      <c r="G211" s="65">
        <f>VLOOKUP(D211,upahbahan,3,FALSE)</f>
        <v>145000</v>
      </c>
      <c r="H211" s="125">
        <f>F211*G211</f>
        <v>41992</v>
      </c>
      <c r="I211" s="55"/>
    </row>
    <row r="212" spans="3:10" s="56" customFormat="1">
      <c r="C212" s="143">
        <v>3</v>
      </c>
      <c r="D212" s="60" t="s">
        <v>19</v>
      </c>
      <c r="E212" s="73" t="s">
        <v>6</v>
      </c>
      <c r="F212" s="184">
        <v>6.9500000000000006E-2</v>
      </c>
      <c r="G212" s="65">
        <f>VLOOKUP(D212,upahbahan,3,FALSE)</f>
        <v>145000</v>
      </c>
      <c r="H212" s="125">
        <f>F212*G212</f>
        <v>10077.5</v>
      </c>
      <c r="I212" s="55"/>
    </row>
    <row r="213" spans="3:10" ht="15.75" customHeight="1">
      <c r="C213" s="145" t="s">
        <v>1220</v>
      </c>
      <c r="D213" s="81"/>
      <c r="E213" s="81"/>
      <c r="F213" s="190"/>
      <c r="G213" s="163"/>
      <c r="H213" s="125">
        <f>SUM(H210:H212)</f>
        <v>191079.5</v>
      </c>
    </row>
    <row r="214" spans="3:10">
      <c r="C214" s="142" t="s">
        <v>1221</v>
      </c>
      <c r="D214" s="60" t="s">
        <v>1222</v>
      </c>
      <c r="E214" s="77"/>
      <c r="F214" s="77"/>
      <c r="G214" s="77"/>
      <c r="H214" s="155"/>
    </row>
    <row r="215" spans="3:10">
      <c r="C215" s="201" t="s">
        <v>1215</v>
      </c>
      <c r="D215" s="78" t="s">
        <v>57</v>
      </c>
      <c r="E215" s="73" t="s">
        <v>42</v>
      </c>
      <c r="F215" s="184">
        <v>0.52800000000000002</v>
      </c>
      <c r="G215" s="65">
        <f>VLOOKUP(D215,upahbahan,3,FALSE)</f>
        <v>286500</v>
      </c>
      <c r="H215" s="125">
        <f>F215*G215</f>
        <v>151272</v>
      </c>
    </row>
    <row r="216" spans="3:10">
      <c r="C216" s="201" t="s">
        <v>1216</v>
      </c>
      <c r="D216" s="60" t="s">
        <v>568</v>
      </c>
      <c r="E216" s="73" t="s">
        <v>66</v>
      </c>
      <c r="F216" s="75">
        <v>184</v>
      </c>
      <c r="G216" s="65">
        <f>VLOOKUP(D216,upahbahan,3,FALSE)</f>
        <v>1300</v>
      </c>
      <c r="H216" s="125">
        <f>F216*G216</f>
        <v>239200</v>
      </c>
    </row>
    <row r="217" spans="3:10" ht="28.5">
      <c r="C217" s="201" t="s">
        <v>1217</v>
      </c>
      <c r="D217" s="60" t="s">
        <v>83</v>
      </c>
      <c r="E217" s="73" t="s">
        <v>66</v>
      </c>
      <c r="F217" s="75">
        <v>499</v>
      </c>
      <c r="G217" s="65">
        <f>VLOOKUP(D217,upahbahan,3,FALSE)/1400</f>
        <v>264.42857142857144</v>
      </c>
      <c r="H217" s="125">
        <f>F217*G217</f>
        <v>131949.85714285716</v>
      </c>
      <c r="I217" s="194"/>
    </row>
    <row r="218" spans="3:10">
      <c r="C218" s="201" t="s">
        <v>1218</v>
      </c>
      <c r="D218" s="60" t="s">
        <v>41</v>
      </c>
      <c r="E218" s="73" t="s">
        <v>66</v>
      </c>
      <c r="F218" s="75">
        <v>606</v>
      </c>
      <c r="G218" s="65">
        <f>VLOOKUP(D218,upahbahan,3,FALSE)/1350</f>
        <v>285.18518518518516</v>
      </c>
      <c r="H218" s="125">
        <f>F218*G218</f>
        <v>172822.22222222222</v>
      </c>
      <c r="J218" s="193"/>
    </row>
    <row r="219" spans="3:10">
      <c r="C219" s="201" t="s">
        <v>1219</v>
      </c>
      <c r="D219" s="78" t="s">
        <v>970</v>
      </c>
      <c r="E219" s="73" t="s">
        <v>535</v>
      </c>
      <c r="F219" s="75">
        <v>121</v>
      </c>
      <c r="G219" s="65">
        <f>VLOOKUP(D219,upahbahan,3,FALSE)</f>
        <v>200</v>
      </c>
      <c r="H219" s="125">
        <f>F219*G219</f>
        <v>24200</v>
      </c>
    </row>
    <row r="220" spans="3:10" ht="15.75" customHeight="1">
      <c r="C220" s="145" t="s">
        <v>1226</v>
      </c>
      <c r="D220" s="81"/>
      <c r="E220" s="81"/>
      <c r="F220" s="81"/>
      <c r="G220" s="163"/>
      <c r="H220" s="125">
        <f>SUM(H215:H219)</f>
        <v>719444.07936507941</v>
      </c>
    </row>
    <row r="221" spans="3:10">
      <c r="C221" s="142" t="s">
        <v>1227</v>
      </c>
      <c r="D221" s="60" t="s">
        <v>1228</v>
      </c>
      <c r="E221" s="74"/>
      <c r="F221" s="74"/>
      <c r="G221" s="74"/>
      <c r="H221" s="147"/>
    </row>
    <row r="222" spans="3:10" ht="15.75" customHeight="1">
      <c r="C222" s="145" t="s">
        <v>1229</v>
      </c>
      <c r="D222" s="81"/>
      <c r="E222" s="81"/>
      <c r="F222" s="81"/>
      <c r="G222" s="163"/>
      <c r="H222" s="185">
        <v>0</v>
      </c>
    </row>
    <row r="223" spans="3:10" s="164" customFormat="1">
      <c r="C223" s="123" t="s">
        <v>1230</v>
      </c>
      <c r="D223" s="70" t="s">
        <v>1231</v>
      </c>
      <c r="E223" s="71"/>
      <c r="F223" s="71"/>
      <c r="G223" s="72"/>
      <c r="H223" s="125">
        <f>H222+H220+H213</f>
        <v>910523.57936507941</v>
      </c>
      <c r="I223" s="55"/>
    </row>
    <row r="224" spans="3:10" s="164" customFormat="1">
      <c r="C224" s="123" t="s">
        <v>1232</v>
      </c>
      <c r="D224" s="70" t="s">
        <v>1410</v>
      </c>
      <c r="E224" s="71"/>
      <c r="F224" s="72"/>
      <c r="G224" s="96">
        <f>$M$7</f>
        <v>0.1</v>
      </c>
      <c r="H224" s="125">
        <f>H223*G224</f>
        <v>91052.357936507949</v>
      </c>
      <c r="I224" s="55"/>
    </row>
    <row r="225" spans="3:11" s="164" customFormat="1" ht="15.75" thickBot="1">
      <c r="C225" s="131" t="s">
        <v>1233</v>
      </c>
      <c r="D225" s="132" t="s">
        <v>1234</v>
      </c>
      <c r="E225" s="133"/>
      <c r="F225" s="133"/>
      <c r="G225" s="156"/>
      <c r="H225" s="135">
        <f>SUM(H223:H224)</f>
        <v>1001575.9373015873</v>
      </c>
      <c r="I225" s="55"/>
    </row>
    <row r="226" spans="3:11" ht="15.75" thickTop="1"/>
    <row r="227" spans="3:11" ht="35.25" customHeight="1" thickBot="1">
      <c r="C227" s="516" t="s">
        <v>1323</v>
      </c>
      <c r="D227" s="516"/>
      <c r="E227" s="516"/>
      <c r="F227" s="516"/>
      <c r="G227" s="516"/>
      <c r="H227" s="516"/>
      <c r="I227" s="57">
        <f>ROUNDDOWN(H245,-2)</f>
        <v>990500</v>
      </c>
      <c r="K227" s="195"/>
    </row>
    <row r="228" spans="3:11" ht="29.25" thickTop="1">
      <c r="C228" s="120" t="s">
        <v>1207</v>
      </c>
      <c r="D228" s="121" t="s">
        <v>1208</v>
      </c>
      <c r="E228" s="121" t="s">
        <v>1209</v>
      </c>
      <c r="F228" s="121" t="s">
        <v>1210</v>
      </c>
      <c r="G228" s="121" t="s">
        <v>1211</v>
      </c>
      <c r="H228" s="122" t="s">
        <v>1212</v>
      </c>
    </row>
    <row r="229" spans="3:11">
      <c r="C229" s="142" t="s">
        <v>1213</v>
      </c>
      <c r="D229" s="60" t="s">
        <v>1214</v>
      </c>
      <c r="E229" s="74"/>
      <c r="F229" s="74"/>
      <c r="G229" s="74"/>
      <c r="H229" s="147"/>
    </row>
    <row r="230" spans="3:11">
      <c r="C230" s="143">
        <v>1</v>
      </c>
      <c r="D230" s="60" t="s">
        <v>5</v>
      </c>
      <c r="E230" s="73" t="s">
        <v>6</v>
      </c>
      <c r="F230" s="184">
        <v>1.2509999999999999</v>
      </c>
      <c r="G230" s="65">
        <f>VLOOKUP(D230,upahbahan,3,FALSE)</f>
        <v>100000</v>
      </c>
      <c r="H230" s="125">
        <f>F230*G230</f>
        <v>125099.99999999999</v>
      </c>
    </row>
    <row r="231" spans="3:11" s="56" customFormat="1">
      <c r="C231" s="143">
        <v>2</v>
      </c>
      <c r="D231" s="60" t="s">
        <v>7</v>
      </c>
      <c r="E231" s="73" t="s">
        <v>6</v>
      </c>
      <c r="F231" s="184">
        <v>0.26100000000000001</v>
      </c>
      <c r="G231" s="65">
        <f>VLOOKUP(D231,upahbahan,3,FALSE)</f>
        <v>145000</v>
      </c>
      <c r="H231" s="125">
        <f>F231*G231</f>
        <v>37845</v>
      </c>
      <c r="I231" s="55"/>
    </row>
    <row r="232" spans="3:11" s="56" customFormat="1">
      <c r="C232" s="143">
        <v>3</v>
      </c>
      <c r="D232" s="60" t="s">
        <v>19</v>
      </c>
      <c r="E232" s="73" t="s">
        <v>6</v>
      </c>
      <c r="F232" s="184">
        <v>0.125</v>
      </c>
      <c r="G232" s="65">
        <f>VLOOKUP(D232,upahbahan,3,FALSE)</f>
        <v>145000</v>
      </c>
      <c r="H232" s="125">
        <f>F232*G232</f>
        <v>18125</v>
      </c>
      <c r="I232" s="55"/>
    </row>
    <row r="233" spans="3:11" ht="15.75" customHeight="1">
      <c r="C233" s="145" t="s">
        <v>1220</v>
      </c>
      <c r="D233" s="81"/>
      <c r="E233" s="81"/>
      <c r="F233" s="190"/>
      <c r="G233" s="163"/>
      <c r="H233" s="125">
        <f>SUM(H230:H232)</f>
        <v>181070</v>
      </c>
    </row>
    <row r="234" spans="3:11">
      <c r="C234" s="142" t="s">
        <v>1221</v>
      </c>
      <c r="D234" s="60" t="s">
        <v>1222</v>
      </c>
      <c r="E234" s="77"/>
      <c r="F234" s="77"/>
      <c r="G234" s="77"/>
      <c r="H234" s="155"/>
    </row>
    <row r="235" spans="3:11">
      <c r="C235" s="201" t="s">
        <v>1215</v>
      </c>
      <c r="D235" s="78" t="s">
        <v>57</v>
      </c>
      <c r="E235" s="73" t="s">
        <v>42</v>
      </c>
      <c r="F235" s="184">
        <v>0.52800000000000002</v>
      </c>
      <c r="G235" s="65">
        <f>VLOOKUP(D235,upahbahan,3,FALSE)</f>
        <v>286500</v>
      </c>
      <c r="H235" s="125">
        <f>F235*G235</f>
        <v>151272</v>
      </c>
    </row>
    <row r="236" spans="3:11">
      <c r="C236" s="201" t="s">
        <v>1216</v>
      </c>
      <c r="D236" s="60" t="s">
        <v>568</v>
      </c>
      <c r="E236" s="73" t="s">
        <v>66</v>
      </c>
      <c r="F236" s="75">
        <v>184</v>
      </c>
      <c r="G236" s="65">
        <f>VLOOKUP(D236,upahbahan,3,FALSE)</f>
        <v>1300</v>
      </c>
      <c r="H236" s="125">
        <f>F236*G236</f>
        <v>239200</v>
      </c>
    </row>
    <row r="237" spans="3:11" ht="28.5">
      <c r="C237" s="201" t="s">
        <v>1217</v>
      </c>
      <c r="D237" s="60" t="s">
        <v>83</v>
      </c>
      <c r="E237" s="73" t="s">
        <v>66</v>
      </c>
      <c r="F237" s="75">
        <v>499</v>
      </c>
      <c r="G237" s="65">
        <f>VLOOKUP(D237,upahbahan,3,FALSE)/1400</f>
        <v>264.42857142857144</v>
      </c>
      <c r="H237" s="125">
        <f>F237*G237</f>
        <v>131949.85714285716</v>
      </c>
    </row>
    <row r="238" spans="3:11">
      <c r="C238" s="201" t="s">
        <v>1218</v>
      </c>
      <c r="D238" s="60" t="s">
        <v>41</v>
      </c>
      <c r="E238" s="73" t="s">
        <v>66</v>
      </c>
      <c r="F238" s="75">
        <v>606</v>
      </c>
      <c r="G238" s="65">
        <f>VLOOKUP(D238,upahbahan,3,FALSE)/1350</f>
        <v>285.18518518518516</v>
      </c>
      <c r="H238" s="125">
        <f>F238*G238</f>
        <v>172822.22222222222</v>
      </c>
    </row>
    <row r="239" spans="3:11">
      <c r="C239" s="201" t="s">
        <v>1219</v>
      </c>
      <c r="D239" s="78" t="s">
        <v>970</v>
      </c>
      <c r="E239" s="73" t="s">
        <v>535</v>
      </c>
      <c r="F239" s="75">
        <v>121</v>
      </c>
      <c r="G239" s="65">
        <f>VLOOKUP(D239,upahbahan,3,FALSE)</f>
        <v>200</v>
      </c>
      <c r="H239" s="125">
        <f>F239*G239</f>
        <v>24200</v>
      </c>
    </row>
    <row r="240" spans="3:11" ht="15.75" customHeight="1">
      <c r="C240" s="145" t="s">
        <v>1226</v>
      </c>
      <c r="D240" s="81"/>
      <c r="E240" s="81"/>
      <c r="F240" s="81"/>
      <c r="G240" s="163"/>
      <c r="H240" s="125">
        <f>SUM(H235:H239)</f>
        <v>719444.07936507941</v>
      </c>
    </row>
    <row r="241" spans="3:9">
      <c r="C241" s="142" t="s">
        <v>1227</v>
      </c>
      <c r="D241" s="60" t="s">
        <v>1228</v>
      </c>
      <c r="E241" s="74"/>
      <c r="F241" s="74"/>
      <c r="G241" s="74"/>
      <c r="H241" s="147"/>
    </row>
    <row r="242" spans="3:9" ht="15.75" customHeight="1">
      <c r="C242" s="145" t="s">
        <v>1229</v>
      </c>
      <c r="D242" s="81"/>
      <c r="E242" s="81"/>
      <c r="F242" s="81"/>
      <c r="G242" s="163"/>
      <c r="H242" s="185">
        <v>0</v>
      </c>
    </row>
    <row r="243" spans="3:9" s="164" customFormat="1">
      <c r="C243" s="123" t="s">
        <v>1230</v>
      </c>
      <c r="D243" s="70" t="s">
        <v>1231</v>
      </c>
      <c r="E243" s="71"/>
      <c r="F243" s="71"/>
      <c r="G243" s="72"/>
      <c r="H243" s="125">
        <f>H242+H240+H233</f>
        <v>900514.07936507941</v>
      </c>
      <c r="I243" s="55"/>
    </row>
    <row r="244" spans="3:9" s="164" customFormat="1">
      <c r="C244" s="123" t="s">
        <v>1232</v>
      </c>
      <c r="D244" s="70" t="s">
        <v>1410</v>
      </c>
      <c r="E244" s="71"/>
      <c r="F244" s="72"/>
      <c r="G244" s="96">
        <f>$M$7</f>
        <v>0.1</v>
      </c>
      <c r="H244" s="125">
        <f>H243*G244</f>
        <v>90051.407936507952</v>
      </c>
      <c r="I244" s="55"/>
    </row>
    <row r="245" spans="3:9" s="164" customFormat="1" ht="15.75" thickBot="1">
      <c r="C245" s="131" t="s">
        <v>1233</v>
      </c>
      <c r="D245" s="132" t="s">
        <v>1234</v>
      </c>
      <c r="E245" s="133"/>
      <c r="F245" s="133"/>
      <c r="G245" s="156"/>
      <c r="H245" s="135">
        <f>SUM(H243:H244)</f>
        <v>990565.48730158736</v>
      </c>
      <c r="I245" s="55"/>
    </row>
    <row r="246" spans="3:9" ht="15.75" thickTop="1"/>
    <row r="247" spans="3:9" ht="35.25" customHeight="1" thickBot="1">
      <c r="C247" s="516" t="s">
        <v>1324</v>
      </c>
      <c r="D247" s="516"/>
      <c r="E247" s="516"/>
      <c r="F247" s="516"/>
      <c r="G247" s="516"/>
      <c r="H247" s="516"/>
      <c r="I247" s="57">
        <f>ROUNDDOWN(H266,-2)</f>
        <v>967300</v>
      </c>
    </row>
    <row r="248" spans="3:9" ht="29.25" thickTop="1">
      <c r="C248" s="120" t="s">
        <v>1207</v>
      </c>
      <c r="D248" s="121" t="s">
        <v>1208</v>
      </c>
      <c r="E248" s="121" t="s">
        <v>1209</v>
      </c>
      <c r="F248" s="121" t="s">
        <v>1210</v>
      </c>
      <c r="G248" s="121" t="s">
        <v>1211</v>
      </c>
      <c r="H248" s="122" t="s">
        <v>1212</v>
      </c>
    </row>
    <row r="249" spans="3:9">
      <c r="C249" s="142" t="s">
        <v>1213</v>
      </c>
      <c r="D249" s="60" t="s">
        <v>1214</v>
      </c>
      <c r="E249" s="74"/>
      <c r="F249" s="74"/>
      <c r="G249" s="74"/>
      <c r="H249" s="147"/>
    </row>
    <row r="250" spans="3:9">
      <c r="C250" s="143">
        <v>1</v>
      </c>
      <c r="D250" s="60" t="s">
        <v>5</v>
      </c>
      <c r="E250" s="73" t="s">
        <v>6</v>
      </c>
      <c r="F250" s="94">
        <v>0.83399999999999996</v>
      </c>
      <c r="G250" s="65">
        <f>VLOOKUP(D250,upahbahan,3,FALSE)</f>
        <v>100000</v>
      </c>
      <c r="H250" s="125">
        <f>F250*G250</f>
        <v>83400</v>
      </c>
    </row>
    <row r="251" spans="3:9" s="56" customFormat="1">
      <c r="C251" s="143">
        <v>2</v>
      </c>
      <c r="D251" s="60" t="s">
        <v>7</v>
      </c>
      <c r="E251" s="73" t="s">
        <v>6</v>
      </c>
      <c r="F251" s="94">
        <v>0.17380000000000001</v>
      </c>
      <c r="G251" s="65">
        <f>VLOOKUP(D251,upahbahan,3,FALSE)</f>
        <v>145000</v>
      </c>
      <c r="H251" s="125">
        <f>F251*G251</f>
        <v>25201</v>
      </c>
      <c r="I251" s="55"/>
    </row>
    <row r="252" spans="3:9" s="56" customFormat="1">
      <c r="C252" s="143">
        <v>3</v>
      </c>
      <c r="D252" s="60" t="s">
        <v>19</v>
      </c>
      <c r="E252" s="73" t="s">
        <v>6</v>
      </c>
      <c r="F252" s="94">
        <v>8.3400000000000002E-2</v>
      </c>
      <c r="G252" s="65">
        <f>VLOOKUP(D252,upahbahan,3,FALSE)</f>
        <v>145000</v>
      </c>
      <c r="H252" s="125">
        <f>F252*G252</f>
        <v>12093</v>
      </c>
      <c r="I252" s="55"/>
    </row>
    <row r="253" spans="3:9" ht="15.75" customHeight="1">
      <c r="C253" s="145" t="s">
        <v>1220</v>
      </c>
      <c r="D253" s="81"/>
      <c r="E253" s="81"/>
      <c r="F253" s="190"/>
      <c r="G253" s="163"/>
      <c r="H253" s="125">
        <f>SUM(H250:H252)</f>
        <v>120694</v>
      </c>
    </row>
    <row r="254" spans="3:9">
      <c r="C254" s="142" t="s">
        <v>1221</v>
      </c>
      <c r="D254" s="60" t="s">
        <v>1222</v>
      </c>
      <c r="E254" s="77"/>
      <c r="F254" s="77"/>
      <c r="G254" s="77"/>
      <c r="H254" s="155"/>
    </row>
    <row r="255" spans="3:9">
      <c r="C255" s="201" t="s">
        <v>1215</v>
      </c>
      <c r="D255" s="78" t="s">
        <v>57</v>
      </c>
      <c r="E255" s="73" t="s">
        <v>42</v>
      </c>
      <c r="F255" s="184">
        <v>0.52800000000000002</v>
      </c>
      <c r="G255" s="65">
        <f>VLOOKUP(D255,upahbahan,3,FALSE)</f>
        <v>286500</v>
      </c>
      <c r="H255" s="125">
        <f>F255*G255</f>
        <v>151272</v>
      </c>
    </row>
    <row r="256" spans="3:9">
      <c r="C256" s="201" t="s">
        <v>1216</v>
      </c>
      <c r="D256" s="60" t="s">
        <v>568</v>
      </c>
      <c r="E256" s="73" t="s">
        <v>66</v>
      </c>
      <c r="F256" s="75">
        <v>184</v>
      </c>
      <c r="G256" s="65">
        <f>VLOOKUP(D256,upahbahan,3,FALSE)</f>
        <v>1300</v>
      </c>
      <c r="H256" s="125">
        <f>F256*G256</f>
        <v>239200</v>
      </c>
    </row>
    <row r="257" spans="3:9" ht="28.5">
      <c r="C257" s="201" t="s">
        <v>1217</v>
      </c>
      <c r="D257" s="60" t="s">
        <v>83</v>
      </c>
      <c r="E257" s="73" t="s">
        <v>66</v>
      </c>
      <c r="F257" s="75">
        <v>499</v>
      </c>
      <c r="G257" s="65">
        <f>VLOOKUP(D257,upahbahan,3,FALSE)/1400</f>
        <v>264.42857142857144</v>
      </c>
      <c r="H257" s="125">
        <f>F257*G257</f>
        <v>131949.85714285716</v>
      </c>
    </row>
    <row r="258" spans="3:9">
      <c r="C258" s="201" t="s">
        <v>1218</v>
      </c>
      <c r="D258" s="60" t="s">
        <v>41</v>
      </c>
      <c r="E258" s="73" t="s">
        <v>66</v>
      </c>
      <c r="F258" s="75">
        <v>606</v>
      </c>
      <c r="G258" s="65">
        <f>VLOOKUP(D258,upahbahan,3,FALSE)/1350</f>
        <v>285.18518518518516</v>
      </c>
      <c r="H258" s="125">
        <f>F258*G258</f>
        <v>172822.22222222222</v>
      </c>
    </row>
    <row r="259" spans="3:9">
      <c r="C259" s="201" t="s">
        <v>1219</v>
      </c>
      <c r="D259" s="78" t="s">
        <v>970</v>
      </c>
      <c r="E259" s="73" t="s">
        <v>535</v>
      </c>
      <c r="F259" s="75">
        <v>121</v>
      </c>
      <c r="G259" s="65">
        <f>VLOOKUP(D259,upahbahan,3,FALSE)</f>
        <v>200</v>
      </c>
      <c r="H259" s="125">
        <f>F259*G259</f>
        <v>24200</v>
      </c>
    </row>
    <row r="260" spans="3:9" ht="15.75" customHeight="1">
      <c r="C260" s="145" t="s">
        <v>1226</v>
      </c>
      <c r="D260" s="81"/>
      <c r="E260" s="81"/>
      <c r="F260" s="81"/>
      <c r="G260" s="163"/>
      <c r="H260" s="125">
        <f>SUM(H255:H259)</f>
        <v>719444.07936507941</v>
      </c>
    </row>
    <row r="261" spans="3:9">
      <c r="C261" s="142" t="s">
        <v>1227</v>
      </c>
      <c r="D261" s="60" t="s">
        <v>1228</v>
      </c>
      <c r="E261" s="74"/>
      <c r="F261" s="74"/>
      <c r="G261" s="74"/>
      <c r="H261" s="147"/>
    </row>
    <row r="262" spans="3:9">
      <c r="C262" s="142"/>
      <c r="D262" s="60" t="s">
        <v>1179</v>
      </c>
      <c r="E262" s="171" t="s">
        <v>1091</v>
      </c>
      <c r="F262" s="191">
        <v>0.13089999999999999</v>
      </c>
      <c r="G262" s="65">
        <f t="array" ref="G262">INDEX('[1]UPAH BAHAN'!$E$40:$E$1202,MATCH('[1]Pek. Pondasi'!C261&amp;'[1]Pek. Pondasi'!D261,'[1]UPAH BAHAN'!$C$40:$C$1202&amp;'[1]UPAH BAHAN'!$D$40:$D$1202,0))</f>
        <v>300000</v>
      </c>
      <c r="H262" s="125">
        <f>F262*G262</f>
        <v>39270</v>
      </c>
    </row>
    <row r="263" spans="3:9" ht="15.75" customHeight="1">
      <c r="C263" s="145" t="s">
        <v>1229</v>
      </c>
      <c r="D263" s="81"/>
      <c r="E263" s="81"/>
      <c r="F263" s="81"/>
      <c r="G263" s="163"/>
      <c r="H263" s="125">
        <f>SUM(H262)</f>
        <v>39270</v>
      </c>
    </row>
    <row r="264" spans="3:9" s="164" customFormat="1">
      <c r="C264" s="123" t="s">
        <v>1230</v>
      </c>
      <c r="D264" s="70" t="s">
        <v>1231</v>
      </c>
      <c r="E264" s="71"/>
      <c r="F264" s="71"/>
      <c r="G264" s="72"/>
      <c r="H264" s="125">
        <f>H263+H260+H253</f>
        <v>879408.07936507941</v>
      </c>
      <c r="I264" s="55"/>
    </row>
    <row r="265" spans="3:9" s="164" customFormat="1">
      <c r="C265" s="123" t="s">
        <v>1232</v>
      </c>
      <c r="D265" s="70" t="s">
        <v>1410</v>
      </c>
      <c r="E265" s="71"/>
      <c r="F265" s="72"/>
      <c r="G265" s="96">
        <f>$M$7</f>
        <v>0.1</v>
      </c>
      <c r="H265" s="125">
        <f>H264*G265</f>
        <v>87940.807936507947</v>
      </c>
      <c r="I265" s="55"/>
    </row>
    <row r="266" spans="3:9" s="164" customFormat="1" ht="15.75" thickBot="1">
      <c r="C266" s="131" t="s">
        <v>1233</v>
      </c>
      <c r="D266" s="132" t="s">
        <v>1234</v>
      </c>
      <c r="E266" s="133"/>
      <c r="F266" s="133"/>
      <c r="G266" s="156"/>
      <c r="H266" s="135">
        <f>SUM(H264:H265)</f>
        <v>967348.88730158738</v>
      </c>
      <c r="I266" s="55"/>
    </row>
    <row r="267" spans="3:9" ht="15.75" thickTop="1"/>
    <row r="268" spans="3:9" ht="35.25" customHeight="1" thickBot="1">
      <c r="C268" s="516" t="s">
        <v>1325</v>
      </c>
      <c r="D268" s="516"/>
      <c r="E268" s="516"/>
      <c r="F268" s="516"/>
      <c r="G268" s="516"/>
      <c r="H268" s="516"/>
      <c r="I268" s="57">
        <f>ROUNDDOWN(H286,-2)</f>
        <v>1064900</v>
      </c>
    </row>
    <row r="269" spans="3:9" ht="29.25" thickTop="1">
      <c r="C269" s="120" t="s">
        <v>1207</v>
      </c>
      <c r="D269" s="121" t="s">
        <v>1208</v>
      </c>
      <c r="E269" s="121" t="s">
        <v>1209</v>
      </c>
      <c r="F269" s="121" t="s">
        <v>1210</v>
      </c>
      <c r="G269" s="121" t="s">
        <v>1211</v>
      </c>
      <c r="H269" s="122" t="s">
        <v>1212</v>
      </c>
    </row>
    <row r="270" spans="3:9">
      <c r="C270" s="142" t="s">
        <v>1213</v>
      </c>
      <c r="D270" s="60" t="s">
        <v>1214</v>
      </c>
      <c r="E270" s="74"/>
      <c r="F270" s="74"/>
      <c r="G270" s="74"/>
      <c r="H270" s="147"/>
    </row>
    <row r="271" spans="3:9">
      <c r="C271" s="143">
        <v>1</v>
      </c>
      <c r="D271" s="60" t="s">
        <v>5</v>
      </c>
      <c r="E271" s="73" t="s">
        <v>6</v>
      </c>
      <c r="F271" s="184">
        <v>1.3485</v>
      </c>
      <c r="G271" s="65">
        <f>VLOOKUP(D271,upahbahan,3,FALSE)</f>
        <v>100000</v>
      </c>
      <c r="H271" s="125">
        <f>F271*G271</f>
        <v>134850</v>
      </c>
    </row>
    <row r="272" spans="3:9" s="56" customFormat="1">
      <c r="C272" s="143">
        <v>2</v>
      </c>
      <c r="D272" s="60" t="s">
        <v>7</v>
      </c>
      <c r="E272" s="73" t="s">
        <v>6</v>
      </c>
      <c r="F272" s="184">
        <v>0.26440000000000002</v>
      </c>
      <c r="G272" s="65">
        <f>VLOOKUP(D272,upahbahan,3,FALSE)</f>
        <v>145000</v>
      </c>
      <c r="H272" s="125">
        <f>F272*G272</f>
        <v>38338</v>
      </c>
      <c r="I272" s="55"/>
    </row>
    <row r="273" spans="3:9" s="56" customFormat="1">
      <c r="C273" s="143">
        <v>3</v>
      </c>
      <c r="D273" s="60" t="s">
        <v>19</v>
      </c>
      <c r="E273" s="73" t="s">
        <v>6</v>
      </c>
      <c r="F273" s="184">
        <v>0.13489999999999999</v>
      </c>
      <c r="G273" s="65">
        <f>VLOOKUP(D273,upahbahan,3,FALSE)</f>
        <v>145000</v>
      </c>
      <c r="H273" s="125">
        <f>F273*G273</f>
        <v>19560.5</v>
      </c>
      <c r="I273" s="55"/>
    </row>
    <row r="274" spans="3:9" ht="15.75" customHeight="1">
      <c r="C274" s="145" t="s">
        <v>1220</v>
      </c>
      <c r="D274" s="81"/>
      <c r="E274" s="81"/>
      <c r="F274" s="190"/>
      <c r="G274" s="163"/>
      <c r="H274" s="125">
        <f>SUM(H271:H273)</f>
        <v>192748.5</v>
      </c>
    </row>
    <row r="275" spans="3:9">
      <c r="C275" s="142" t="s">
        <v>1221</v>
      </c>
      <c r="D275" s="60" t="s">
        <v>1222</v>
      </c>
      <c r="E275" s="77"/>
      <c r="F275" s="77"/>
      <c r="G275" s="77"/>
      <c r="H275" s="155"/>
    </row>
    <row r="276" spans="3:9">
      <c r="C276" s="201" t="s">
        <v>1215</v>
      </c>
      <c r="D276" s="78" t="s">
        <v>57</v>
      </c>
      <c r="E276" s="73" t="s">
        <v>42</v>
      </c>
      <c r="F276" s="75">
        <v>0.39600000000000002</v>
      </c>
      <c r="G276" s="65">
        <f>VLOOKUP(D276,upahbahan,3,FALSE)</f>
        <v>286500</v>
      </c>
      <c r="H276" s="125">
        <f>F276*G276</f>
        <v>113454</v>
      </c>
    </row>
    <row r="277" spans="3:9">
      <c r="C277" s="201" t="s">
        <v>1216</v>
      </c>
      <c r="D277" s="60" t="s">
        <v>568</v>
      </c>
      <c r="E277" s="73" t="s">
        <v>66</v>
      </c>
      <c r="F277" s="75">
        <v>214</v>
      </c>
      <c r="G277" s="65">
        <f>VLOOKUP(D277,upahbahan,3,FALSE)</f>
        <v>1300</v>
      </c>
      <c r="H277" s="125">
        <f>F277*G277</f>
        <v>278200</v>
      </c>
    </row>
    <row r="278" spans="3:9" ht="28.5">
      <c r="C278" s="201" t="s">
        <v>1217</v>
      </c>
      <c r="D278" s="60" t="s">
        <v>83</v>
      </c>
      <c r="E278" s="73" t="s">
        <v>66</v>
      </c>
      <c r="F278" s="75">
        <v>583</v>
      </c>
      <c r="G278" s="65">
        <f>VLOOKUP(D278,upahbahan,3,FALSE)/1400</f>
        <v>264.42857142857144</v>
      </c>
      <c r="H278" s="125">
        <f>F278*G278</f>
        <v>154161.85714285716</v>
      </c>
    </row>
    <row r="279" spans="3:9">
      <c r="C279" s="201" t="s">
        <v>1218</v>
      </c>
      <c r="D279" s="60" t="s">
        <v>41</v>
      </c>
      <c r="E279" s="73" t="s">
        <v>66</v>
      </c>
      <c r="F279" s="75">
        <v>706</v>
      </c>
      <c r="G279" s="65">
        <f>VLOOKUP(D279,upahbahan,3,FALSE)/1350</f>
        <v>285.18518518518516</v>
      </c>
      <c r="H279" s="125">
        <f>F279*G279</f>
        <v>201340.74074074073</v>
      </c>
    </row>
    <row r="280" spans="3:9">
      <c r="C280" s="201" t="s">
        <v>1219</v>
      </c>
      <c r="D280" s="78" t="s">
        <v>970</v>
      </c>
      <c r="E280" s="73" t="s">
        <v>535</v>
      </c>
      <c r="F280" s="75">
        <v>141</v>
      </c>
      <c r="G280" s="65">
        <f>VLOOKUP(D280,upahbahan,3,FALSE)</f>
        <v>200</v>
      </c>
      <c r="H280" s="125">
        <f>F280*G280</f>
        <v>28200</v>
      </c>
    </row>
    <row r="281" spans="3:9" ht="15.75" customHeight="1">
      <c r="C281" s="145" t="s">
        <v>1226</v>
      </c>
      <c r="D281" s="81"/>
      <c r="E281" s="81"/>
      <c r="F281" s="81"/>
      <c r="G281" s="163"/>
      <c r="H281" s="125">
        <f>SUM(H276:H280)</f>
        <v>775356.59788359795</v>
      </c>
    </row>
    <row r="282" spans="3:9">
      <c r="C282" s="142" t="s">
        <v>1227</v>
      </c>
      <c r="D282" s="60" t="s">
        <v>1228</v>
      </c>
      <c r="E282" s="74"/>
      <c r="F282" s="74"/>
      <c r="G282" s="74"/>
      <c r="H282" s="147"/>
    </row>
    <row r="283" spans="3:9" ht="15.75" customHeight="1">
      <c r="C283" s="145" t="s">
        <v>1229</v>
      </c>
      <c r="D283" s="81"/>
      <c r="E283" s="81"/>
      <c r="F283" s="81"/>
      <c r="G283" s="163"/>
      <c r="H283" s="185">
        <v>0</v>
      </c>
    </row>
    <row r="284" spans="3:9" s="164" customFormat="1">
      <c r="C284" s="123" t="s">
        <v>1230</v>
      </c>
      <c r="D284" s="70" t="s">
        <v>1231</v>
      </c>
      <c r="E284" s="71"/>
      <c r="F284" s="71"/>
      <c r="G284" s="72"/>
      <c r="H284" s="125">
        <f>H283+H281+H274</f>
        <v>968105.09788359795</v>
      </c>
      <c r="I284" s="55"/>
    </row>
    <row r="285" spans="3:9" s="164" customFormat="1">
      <c r="C285" s="123" t="s">
        <v>1232</v>
      </c>
      <c r="D285" s="70" t="s">
        <v>1410</v>
      </c>
      <c r="E285" s="71"/>
      <c r="F285" s="72"/>
      <c r="G285" s="96">
        <f>$M$7</f>
        <v>0.1</v>
      </c>
      <c r="H285" s="125">
        <f>H284*G285</f>
        <v>96810.509788359806</v>
      </c>
      <c r="I285" s="55"/>
    </row>
    <row r="286" spans="3:9" s="164" customFormat="1" ht="15.75" thickBot="1">
      <c r="C286" s="131" t="s">
        <v>1233</v>
      </c>
      <c r="D286" s="132" t="s">
        <v>1234</v>
      </c>
      <c r="E286" s="133"/>
      <c r="F286" s="133"/>
      <c r="G286" s="156"/>
      <c r="H286" s="135">
        <f>SUM(H284:H285)</f>
        <v>1064915.6076719577</v>
      </c>
      <c r="I286" s="55"/>
    </row>
    <row r="287" spans="3:9" ht="15.75" thickTop="1"/>
    <row r="288" spans="3:9" ht="35.25" customHeight="1" thickBot="1">
      <c r="C288" s="516" t="s">
        <v>1326</v>
      </c>
      <c r="D288" s="516"/>
      <c r="E288" s="516"/>
      <c r="F288" s="516"/>
      <c r="G288" s="516"/>
      <c r="H288" s="516"/>
      <c r="I288" s="57">
        <f>ROUNDDOWN(H307,-2)</f>
        <v>1037400</v>
      </c>
    </row>
    <row r="289" spans="3:9" ht="29.25" thickTop="1">
      <c r="C289" s="120" t="s">
        <v>1207</v>
      </c>
      <c r="D289" s="121" t="s">
        <v>1208</v>
      </c>
      <c r="E289" s="121" t="s">
        <v>1209</v>
      </c>
      <c r="F289" s="121" t="s">
        <v>1210</v>
      </c>
      <c r="G289" s="121" t="s">
        <v>1211</v>
      </c>
      <c r="H289" s="122" t="s">
        <v>1212</v>
      </c>
    </row>
    <row r="290" spans="3:9">
      <c r="C290" s="142" t="s">
        <v>1213</v>
      </c>
      <c r="D290" s="60" t="s">
        <v>1214</v>
      </c>
      <c r="E290" s="74"/>
      <c r="F290" s="74"/>
      <c r="G290" s="74"/>
      <c r="H290" s="147"/>
    </row>
    <row r="291" spans="3:9">
      <c r="C291" s="143">
        <v>1</v>
      </c>
      <c r="D291" s="60" t="s">
        <v>5</v>
      </c>
      <c r="E291" s="73" t="s">
        <v>6</v>
      </c>
      <c r="F291" s="94">
        <v>0.89900000000000002</v>
      </c>
      <c r="G291" s="65">
        <f>VLOOKUP(D291,upahbahan,3,FALSE)</f>
        <v>100000</v>
      </c>
      <c r="H291" s="125">
        <f>F291*G291</f>
        <v>89900</v>
      </c>
    </row>
    <row r="292" spans="3:9" s="56" customFormat="1">
      <c r="C292" s="143">
        <v>2</v>
      </c>
      <c r="D292" s="60" t="s">
        <v>7</v>
      </c>
      <c r="E292" s="73" t="s">
        <v>6</v>
      </c>
      <c r="F292" s="94">
        <v>0.17630000000000001</v>
      </c>
      <c r="G292" s="65">
        <f>VLOOKUP(D292,upahbahan,3,FALSE)</f>
        <v>145000</v>
      </c>
      <c r="H292" s="125">
        <f>F292*G292</f>
        <v>25563.5</v>
      </c>
      <c r="I292" s="55"/>
    </row>
    <row r="293" spans="3:9" s="56" customFormat="1">
      <c r="C293" s="143">
        <v>3</v>
      </c>
      <c r="D293" s="60" t="s">
        <v>19</v>
      </c>
      <c r="E293" s="73" t="s">
        <v>6</v>
      </c>
      <c r="F293" s="94">
        <v>8.9899999999999994E-2</v>
      </c>
      <c r="G293" s="65">
        <f>VLOOKUP(D293,upahbahan,3,FALSE)</f>
        <v>145000</v>
      </c>
      <c r="H293" s="125">
        <f>F293*G293</f>
        <v>13035.5</v>
      </c>
      <c r="I293" s="55"/>
    </row>
    <row r="294" spans="3:9" ht="15.75" customHeight="1">
      <c r="C294" s="145" t="s">
        <v>1220</v>
      </c>
      <c r="D294" s="81"/>
      <c r="E294" s="81"/>
      <c r="F294" s="190"/>
      <c r="G294" s="163"/>
      <c r="H294" s="125">
        <f>SUM(H291:H293)</f>
        <v>128499</v>
      </c>
    </row>
    <row r="295" spans="3:9">
      <c r="C295" s="142" t="s">
        <v>1221</v>
      </c>
      <c r="D295" s="60" t="s">
        <v>1222</v>
      </c>
      <c r="E295" s="77"/>
      <c r="F295" s="77"/>
      <c r="G295" s="77"/>
      <c r="H295" s="155"/>
    </row>
    <row r="296" spans="3:9">
      <c r="C296" s="201" t="s">
        <v>1215</v>
      </c>
      <c r="D296" s="78" t="s">
        <v>57</v>
      </c>
      <c r="E296" s="73" t="s">
        <v>42</v>
      </c>
      <c r="F296" s="184">
        <v>0.39600000000000002</v>
      </c>
      <c r="G296" s="65">
        <f>VLOOKUP(D296,upahbahan,3,FALSE)</f>
        <v>286500</v>
      </c>
      <c r="H296" s="125">
        <f>F296*G296</f>
        <v>113454</v>
      </c>
    </row>
    <row r="297" spans="3:9">
      <c r="C297" s="201" t="s">
        <v>1216</v>
      </c>
      <c r="D297" s="60" t="s">
        <v>568</v>
      </c>
      <c r="E297" s="73" t="s">
        <v>66</v>
      </c>
      <c r="F297" s="75">
        <v>214</v>
      </c>
      <c r="G297" s="65">
        <f>VLOOKUP(D297,upahbahan,3,FALSE)</f>
        <v>1300</v>
      </c>
      <c r="H297" s="125">
        <f>F297*G297</f>
        <v>278200</v>
      </c>
    </row>
    <row r="298" spans="3:9" ht="28.5">
      <c r="C298" s="201" t="s">
        <v>1217</v>
      </c>
      <c r="D298" s="60" t="s">
        <v>83</v>
      </c>
      <c r="E298" s="73" t="s">
        <v>66</v>
      </c>
      <c r="F298" s="75">
        <v>583</v>
      </c>
      <c r="G298" s="65">
        <f>VLOOKUP(D298,upahbahan,3,FALSE)/1400</f>
        <v>264.42857142857144</v>
      </c>
      <c r="H298" s="125">
        <f>F298*G298</f>
        <v>154161.85714285716</v>
      </c>
    </row>
    <row r="299" spans="3:9">
      <c r="C299" s="201" t="s">
        <v>1218</v>
      </c>
      <c r="D299" s="60" t="s">
        <v>41</v>
      </c>
      <c r="E299" s="73" t="s">
        <v>66</v>
      </c>
      <c r="F299" s="75">
        <v>706</v>
      </c>
      <c r="G299" s="65">
        <f>VLOOKUP(D299,upahbahan,3,FALSE)/1350</f>
        <v>285.18518518518516</v>
      </c>
      <c r="H299" s="125">
        <f>F299*G299</f>
        <v>201340.74074074073</v>
      </c>
    </row>
    <row r="300" spans="3:9">
      <c r="C300" s="201" t="s">
        <v>1219</v>
      </c>
      <c r="D300" s="78" t="s">
        <v>970</v>
      </c>
      <c r="E300" s="73" t="s">
        <v>535</v>
      </c>
      <c r="F300" s="75">
        <v>141</v>
      </c>
      <c r="G300" s="65">
        <f>VLOOKUP(D300,upahbahan,3,FALSE)</f>
        <v>200</v>
      </c>
      <c r="H300" s="125">
        <f>F300*G300</f>
        <v>28200</v>
      </c>
    </row>
    <row r="301" spans="3:9" ht="15.75" customHeight="1">
      <c r="C301" s="145" t="s">
        <v>1226</v>
      </c>
      <c r="D301" s="81"/>
      <c r="E301" s="81"/>
      <c r="F301" s="81"/>
      <c r="G301" s="163"/>
      <c r="H301" s="125">
        <f>SUM(H296:H300)</f>
        <v>775356.59788359795</v>
      </c>
    </row>
    <row r="302" spans="3:9">
      <c r="C302" s="142" t="s">
        <v>1227</v>
      </c>
      <c r="D302" s="60" t="s">
        <v>1228</v>
      </c>
      <c r="E302" s="74"/>
      <c r="F302" s="74"/>
      <c r="G302" s="74"/>
      <c r="H302" s="147"/>
    </row>
    <row r="303" spans="3:9">
      <c r="C303" s="142"/>
      <c r="D303" s="60" t="s">
        <v>1179</v>
      </c>
      <c r="E303" s="171" t="s">
        <v>1091</v>
      </c>
      <c r="F303" s="191">
        <v>0.13089999999999999</v>
      </c>
      <c r="G303" s="65">
        <f t="array" ref="G303">INDEX('[1]UPAH BAHAN'!$E$40:$E$1202,MATCH('[1]Pek. Pondasi'!C302&amp;'[1]Pek. Pondasi'!D302,'[1]UPAH BAHAN'!$C$40:$C$1202&amp;'[1]UPAH BAHAN'!$D$40:$D$1202,0))</f>
        <v>300000</v>
      </c>
      <c r="H303" s="125">
        <f>F303*G303</f>
        <v>39270</v>
      </c>
    </row>
    <row r="304" spans="3:9" ht="15.75" customHeight="1">
      <c r="C304" s="145" t="s">
        <v>1229</v>
      </c>
      <c r="D304" s="81"/>
      <c r="E304" s="81"/>
      <c r="F304" s="81"/>
      <c r="G304" s="163"/>
      <c r="H304" s="125">
        <f>SUM(H303)</f>
        <v>39270</v>
      </c>
    </row>
    <row r="305" spans="3:9" s="164" customFormat="1">
      <c r="C305" s="123" t="s">
        <v>1230</v>
      </c>
      <c r="D305" s="70" t="s">
        <v>1231</v>
      </c>
      <c r="E305" s="71"/>
      <c r="F305" s="71"/>
      <c r="G305" s="72"/>
      <c r="H305" s="125">
        <f>H304+H301+H294</f>
        <v>943125.59788359795</v>
      </c>
      <c r="I305" s="55"/>
    </row>
    <row r="306" spans="3:9" s="164" customFormat="1">
      <c r="C306" s="123" t="s">
        <v>1232</v>
      </c>
      <c r="D306" s="70" t="s">
        <v>1410</v>
      </c>
      <c r="E306" s="71"/>
      <c r="F306" s="72"/>
      <c r="G306" s="96">
        <f>$M$7</f>
        <v>0.1</v>
      </c>
      <c r="H306" s="125">
        <f>H305*G306</f>
        <v>94312.559788359795</v>
      </c>
      <c r="I306" s="55"/>
    </row>
    <row r="307" spans="3:9" s="164" customFormat="1" ht="15.75" thickBot="1">
      <c r="C307" s="131" t="s">
        <v>1233</v>
      </c>
      <c r="D307" s="132" t="s">
        <v>1234</v>
      </c>
      <c r="E307" s="133"/>
      <c r="F307" s="133"/>
      <c r="G307" s="156"/>
      <c r="H307" s="135">
        <f>SUM(H305:H306)</f>
        <v>1037438.1576719577</v>
      </c>
      <c r="I307" s="55"/>
    </row>
    <row r="308" spans="3:9" ht="15.75" thickTop="1"/>
    <row r="309" spans="3:9" ht="15.75" customHeight="1" thickBot="1">
      <c r="C309" s="136" t="s">
        <v>1327</v>
      </c>
      <c r="D309" s="136"/>
      <c r="E309" s="136"/>
      <c r="F309" s="136"/>
      <c r="G309" s="136"/>
      <c r="H309" s="136"/>
      <c r="I309" s="57">
        <f>ROUNDDOWN(H327,-2)</f>
        <v>838500</v>
      </c>
    </row>
    <row r="310" spans="3:9" ht="29.25" thickTop="1">
      <c r="C310" s="120" t="s">
        <v>1207</v>
      </c>
      <c r="D310" s="121" t="s">
        <v>1208</v>
      </c>
      <c r="E310" s="121" t="s">
        <v>1209</v>
      </c>
      <c r="F310" s="121" t="s">
        <v>1210</v>
      </c>
      <c r="G310" s="121" t="s">
        <v>1211</v>
      </c>
      <c r="H310" s="122" t="s">
        <v>1212</v>
      </c>
    </row>
    <row r="311" spans="3:9">
      <c r="C311" s="142" t="s">
        <v>1213</v>
      </c>
      <c r="D311" s="60" t="s">
        <v>1214</v>
      </c>
      <c r="E311" s="74"/>
      <c r="F311" s="74"/>
      <c r="G311" s="74"/>
      <c r="H311" s="147"/>
    </row>
    <row r="312" spans="3:9">
      <c r="C312" s="201" t="s">
        <v>1215</v>
      </c>
      <c r="D312" s="60" t="s">
        <v>5</v>
      </c>
      <c r="E312" s="73" t="s">
        <v>6</v>
      </c>
      <c r="F312" s="94">
        <v>2.4</v>
      </c>
      <c r="G312" s="65">
        <f>VLOOKUP(D312,upahbahan,3,FALSE)</f>
        <v>100000</v>
      </c>
      <c r="H312" s="125">
        <f>F312*G312</f>
        <v>240000</v>
      </c>
    </row>
    <row r="313" spans="3:9" s="56" customFormat="1">
      <c r="C313" s="201" t="s">
        <v>1216</v>
      </c>
      <c r="D313" s="60" t="s">
        <v>7</v>
      </c>
      <c r="E313" s="73" t="s">
        <v>6</v>
      </c>
      <c r="F313" s="94">
        <v>0.8</v>
      </c>
      <c r="G313" s="65">
        <f>VLOOKUP(D313,upahbahan,3,FALSE)</f>
        <v>145000</v>
      </c>
      <c r="H313" s="125">
        <f>F313*G313</f>
        <v>116000</v>
      </c>
      <c r="I313" s="55"/>
    </row>
    <row r="314" spans="3:9" s="56" customFormat="1">
      <c r="C314" s="201" t="s">
        <v>1217</v>
      </c>
      <c r="D314" s="60" t="s">
        <v>18</v>
      </c>
      <c r="E314" s="73" t="s">
        <v>6</v>
      </c>
      <c r="F314" s="94">
        <v>0.08</v>
      </c>
      <c r="G314" s="65">
        <f>VLOOKUP(D314,upahbahan,3,FALSE)</f>
        <v>150000</v>
      </c>
      <c r="H314" s="125">
        <f>F314*G314</f>
        <v>12000</v>
      </c>
      <c r="I314" s="55"/>
    </row>
    <row r="315" spans="3:9" s="56" customFormat="1">
      <c r="C315" s="201" t="s">
        <v>1218</v>
      </c>
      <c r="D315" s="60" t="s">
        <v>19</v>
      </c>
      <c r="E315" s="73" t="s">
        <v>6</v>
      </c>
      <c r="F315" s="94">
        <v>8.9899999999999994E-2</v>
      </c>
      <c r="G315" s="65">
        <f>VLOOKUP(D315,upahbahan,3,FALSE)</f>
        <v>145000</v>
      </c>
      <c r="H315" s="125">
        <f>F315*G315</f>
        <v>13035.5</v>
      </c>
      <c r="I315" s="55"/>
    </row>
    <row r="316" spans="3:9" ht="15.75" customHeight="1">
      <c r="C316" s="145" t="s">
        <v>1220</v>
      </c>
      <c r="D316" s="81"/>
      <c r="E316" s="81"/>
      <c r="F316" s="190"/>
      <c r="G316" s="163"/>
      <c r="H316" s="125">
        <f>SUM(H312:H315)</f>
        <v>381035.5</v>
      </c>
    </row>
    <row r="317" spans="3:9">
      <c r="C317" s="142" t="s">
        <v>1221</v>
      </c>
      <c r="D317" s="60" t="s">
        <v>1222</v>
      </c>
      <c r="E317" s="77"/>
      <c r="F317" s="77"/>
      <c r="G317" s="77"/>
      <c r="H317" s="155"/>
    </row>
    <row r="318" spans="3:9">
      <c r="C318" s="201" t="s">
        <v>1215</v>
      </c>
      <c r="D318" s="78" t="s">
        <v>57</v>
      </c>
      <c r="E318" s="73" t="s">
        <v>42</v>
      </c>
      <c r="F318" s="75">
        <v>0.45</v>
      </c>
      <c r="G318" s="65">
        <f>VLOOKUP(D318,upahbahan,3,FALSE)</f>
        <v>286500</v>
      </c>
      <c r="H318" s="125">
        <f>F318*G318</f>
        <v>128925</v>
      </c>
    </row>
    <row r="319" spans="3:9">
      <c r="C319" s="201" t="s">
        <v>1216</v>
      </c>
      <c r="D319" s="60" t="s">
        <v>568</v>
      </c>
      <c r="E319" s="73" t="s">
        <v>66</v>
      </c>
      <c r="F319" s="75">
        <v>194</v>
      </c>
      <c r="G319" s="65">
        <f>VLOOKUP(D319,upahbahan,3,FALSE)</f>
        <v>1300</v>
      </c>
      <c r="H319" s="125">
        <f>F319*G319</f>
        <v>252200</v>
      </c>
    </row>
    <row r="320" spans="3:9" ht="28.5">
      <c r="C320" s="201" t="s">
        <v>1217</v>
      </c>
      <c r="D320" s="60" t="s">
        <v>83</v>
      </c>
      <c r="E320" s="73" t="s">
        <v>66</v>
      </c>
      <c r="F320" s="75">
        <v>0.312</v>
      </c>
      <c r="G320" s="65">
        <f>VLOOKUP(D320,upahbahan,3,FALSE)/1400</f>
        <v>264.42857142857144</v>
      </c>
      <c r="H320" s="125">
        <f>F320*G320</f>
        <v>82.501714285714286</v>
      </c>
    </row>
    <row r="321" spans="3:9">
      <c r="C321" s="201" t="s">
        <v>1218</v>
      </c>
      <c r="D321" s="78" t="s">
        <v>970</v>
      </c>
      <c r="E321" s="73" t="s">
        <v>535</v>
      </c>
      <c r="F321" s="75">
        <v>0.46800000000000003</v>
      </c>
      <c r="G321" s="65">
        <f>VLOOKUP(D321,upahbahan,3,FALSE)</f>
        <v>200</v>
      </c>
      <c r="H321" s="125">
        <f>F321*G321</f>
        <v>93.600000000000009</v>
      </c>
    </row>
    <row r="322" spans="3:9" ht="15.75" customHeight="1">
      <c r="C322" s="145" t="s">
        <v>1226</v>
      </c>
      <c r="D322" s="81"/>
      <c r="E322" s="81"/>
      <c r="F322" s="81"/>
      <c r="G322" s="163"/>
      <c r="H322" s="125">
        <f>SUM(H318:H321)</f>
        <v>381301.10171428567</v>
      </c>
    </row>
    <row r="323" spans="3:9">
      <c r="C323" s="142" t="s">
        <v>1227</v>
      </c>
      <c r="D323" s="60" t="s">
        <v>1228</v>
      </c>
      <c r="E323" s="74"/>
      <c r="F323" s="74"/>
      <c r="G323" s="74"/>
      <c r="H323" s="147"/>
    </row>
    <row r="324" spans="3:9" ht="15.75" customHeight="1">
      <c r="C324" s="145" t="s">
        <v>1229</v>
      </c>
      <c r="D324" s="81"/>
      <c r="E324" s="81"/>
      <c r="F324" s="81"/>
      <c r="G324" s="163"/>
      <c r="H324" s="185">
        <v>0</v>
      </c>
    </row>
    <row r="325" spans="3:9" s="164" customFormat="1">
      <c r="C325" s="123" t="s">
        <v>1230</v>
      </c>
      <c r="D325" s="70" t="s">
        <v>1231</v>
      </c>
      <c r="E325" s="71"/>
      <c r="F325" s="71"/>
      <c r="G325" s="72"/>
      <c r="H325" s="125">
        <f>H324+H322+H316</f>
        <v>762336.60171428567</v>
      </c>
      <c r="I325" s="55"/>
    </row>
    <row r="326" spans="3:9" s="164" customFormat="1">
      <c r="C326" s="123" t="s">
        <v>1232</v>
      </c>
      <c r="D326" s="70" t="s">
        <v>1410</v>
      </c>
      <c r="E326" s="71"/>
      <c r="F326" s="72"/>
      <c r="G326" s="96">
        <f>$M$7</f>
        <v>0.1</v>
      </c>
      <c r="H326" s="125">
        <f>H325*G326</f>
        <v>76233.660171428564</v>
      </c>
      <c r="I326" s="55"/>
    </row>
    <row r="327" spans="3:9" s="164" customFormat="1" ht="15.75" thickBot="1">
      <c r="C327" s="131" t="s">
        <v>1233</v>
      </c>
      <c r="D327" s="132" t="s">
        <v>1234</v>
      </c>
      <c r="E327" s="133"/>
      <c r="F327" s="133"/>
      <c r="G327" s="156"/>
      <c r="H327" s="135">
        <f>SUM(H325:H326)</f>
        <v>838570.26188571425</v>
      </c>
      <c r="I327" s="55"/>
    </row>
    <row r="328" spans="3:9" ht="15.75" thickTop="1"/>
    <row r="329" spans="3:9" ht="15.75" customHeight="1" thickBot="1">
      <c r="C329" s="136" t="s">
        <v>1328</v>
      </c>
      <c r="D329" s="136"/>
      <c r="E329" s="136"/>
      <c r="F329" s="136"/>
      <c r="G329" s="136"/>
      <c r="H329" s="136"/>
      <c r="I329" s="57">
        <f>ROUNDDOWN(H345,-2)</f>
        <v>730200</v>
      </c>
    </row>
    <row r="330" spans="3:9" ht="29.25" thickTop="1">
      <c r="C330" s="120" t="s">
        <v>1207</v>
      </c>
      <c r="D330" s="121" t="s">
        <v>1208</v>
      </c>
      <c r="E330" s="121" t="s">
        <v>1209</v>
      </c>
      <c r="F330" s="121" t="s">
        <v>1210</v>
      </c>
      <c r="G330" s="121" t="s">
        <v>1211</v>
      </c>
      <c r="H330" s="122" t="s">
        <v>1212</v>
      </c>
    </row>
    <row r="331" spans="3:9">
      <c r="C331" s="142" t="s">
        <v>1213</v>
      </c>
      <c r="D331" s="60" t="s">
        <v>1214</v>
      </c>
      <c r="E331" s="74"/>
      <c r="F331" s="74"/>
      <c r="G331" s="74"/>
      <c r="H331" s="147"/>
    </row>
    <row r="332" spans="3:9">
      <c r="C332" s="201" t="s">
        <v>1215</v>
      </c>
      <c r="D332" s="60" t="s">
        <v>5</v>
      </c>
      <c r="E332" s="73" t="s">
        <v>6</v>
      </c>
      <c r="F332" s="184">
        <v>6.6699999999999995E-2</v>
      </c>
      <c r="G332" s="65">
        <f>VLOOKUP(D332,upahbahan,3,FALSE)</f>
        <v>100000</v>
      </c>
      <c r="H332" s="125">
        <f>F332*G332</f>
        <v>6669.9999999999991</v>
      </c>
    </row>
    <row r="333" spans="3:9" s="56" customFormat="1">
      <c r="C333" s="201" t="s">
        <v>1216</v>
      </c>
      <c r="D333" s="60" t="s">
        <v>19</v>
      </c>
      <c r="E333" s="73" t="s">
        <v>6</v>
      </c>
      <c r="F333" s="184">
        <v>6.7000000000000002E-3</v>
      </c>
      <c r="G333" s="65">
        <f>VLOOKUP(D333,upahbahan,3,FALSE)</f>
        <v>145000</v>
      </c>
      <c r="H333" s="125">
        <f>F333*G333</f>
        <v>971.5</v>
      </c>
      <c r="I333" s="55"/>
    </row>
    <row r="334" spans="3:9" ht="15.75" customHeight="1">
      <c r="C334" s="145" t="s">
        <v>1220</v>
      </c>
      <c r="D334" s="81"/>
      <c r="E334" s="81"/>
      <c r="F334" s="190"/>
      <c r="G334" s="163"/>
      <c r="H334" s="125">
        <f>SUM(H332:H333)</f>
        <v>7641.4999999999991</v>
      </c>
    </row>
    <row r="335" spans="3:9">
      <c r="C335" s="142" t="s">
        <v>1221</v>
      </c>
      <c r="D335" s="60" t="s">
        <v>1222</v>
      </c>
      <c r="E335" s="77"/>
      <c r="F335" s="77"/>
      <c r="G335" s="77"/>
      <c r="H335" s="155"/>
    </row>
    <row r="336" spans="3:9">
      <c r="C336" s="201" t="s">
        <v>1215</v>
      </c>
      <c r="D336" s="78" t="s">
        <v>762</v>
      </c>
      <c r="E336" s="73" t="s">
        <v>42</v>
      </c>
      <c r="F336" s="184">
        <v>3.1399999999999997E-2</v>
      </c>
      <c r="G336" s="65">
        <f>VLOOKUP(D336,upahbahan,3,FALSE)</f>
        <v>20000000</v>
      </c>
      <c r="H336" s="125">
        <f>F336*G336</f>
        <v>628000</v>
      </c>
    </row>
    <row r="337" spans="3:9" ht="15.75" customHeight="1">
      <c r="C337" s="145" t="s">
        <v>1226</v>
      </c>
      <c r="D337" s="81"/>
      <c r="E337" s="81"/>
      <c r="F337" s="81"/>
      <c r="G337" s="163"/>
      <c r="H337" s="125">
        <f>SUM(H336:H336)</f>
        <v>628000</v>
      </c>
    </row>
    <row r="338" spans="3:9">
      <c r="C338" s="142" t="s">
        <v>1227</v>
      </c>
      <c r="D338" s="60" t="s">
        <v>1228</v>
      </c>
      <c r="E338" s="74"/>
      <c r="F338" s="74"/>
      <c r="G338" s="74"/>
      <c r="H338" s="147"/>
    </row>
    <row r="339" spans="3:9">
      <c r="C339" s="146" t="s">
        <v>1215</v>
      </c>
      <c r="D339" s="60" t="s">
        <v>1155</v>
      </c>
      <c r="E339" s="88" t="s">
        <v>1091</v>
      </c>
      <c r="F339" s="192">
        <v>1.67E-2</v>
      </c>
      <c r="G339" s="65">
        <f>VLOOKUP(D339,upahbahan,3,FALSE)</f>
        <v>95000</v>
      </c>
      <c r="H339" s="125">
        <f>F339*G339</f>
        <v>1586.5</v>
      </c>
    </row>
    <row r="340" spans="3:9">
      <c r="C340" s="146" t="s">
        <v>1216</v>
      </c>
      <c r="D340" s="60" t="s">
        <v>1125</v>
      </c>
      <c r="E340" s="88" t="s">
        <v>1091</v>
      </c>
      <c r="F340" s="192">
        <v>1.67E-2</v>
      </c>
      <c r="G340" s="65">
        <f>VLOOKUP(D340,upahbahan,3,FALSE)</f>
        <v>100000</v>
      </c>
      <c r="H340" s="125">
        <f>F340*G340</f>
        <v>1670</v>
      </c>
    </row>
    <row r="341" spans="3:9">
      <c r="C341" s="146" t="s">
        <v>1217</v>
      </c>
      <c r="D341" s="78" t="s">
        <v>1329</v>
      </c>
      <c r="E341" s="88" t="s">
        <v>114</v>
      </c>
      <c r="F341" s="192">
        <v>1</v>
      </c>
      <c r="G341" s="65">
        <f>VLOOKUP(D341,upahbahan,3,FALSE)</f>
        <v>25000</v>
      </c>
      <c r="H341" s="125">
        <f>F341*G341</f>
        <v>25000</v>
      </c>
    </row>
    <row r="342" spans="3:9" ht="15.75" customHeight="1">
      <c r="C342" s="145" t="s">
        <v>1229</v>
      </c>
      <c r="D342" s="81"/>
      <c r="E342" s="81"/>
      <c r="F342" s="81"/>
      <c r="G342" s="163"/>
      <c r="H342" s="125">
        <f>SUM(H339:H341)</f>
        <v>28256.5</v>
      </c>
    </row>
    <row r="343" spans="3:9" s="164" customFormat="1">
      <c r="C343" s="123" t="s">
        <v>1230</v>
      </c>
      <c r="D343" s="70" t="s">
        <v>1231</v>
      </c>
      <c r="E343" s="71"/>
      <c r="F343" s="71"/>
      <c r="G343" s="72"/>
      <c r="H343" s="125">
        <f>H342+H337+H334</f>
        <v>663898</v>
      </c>
      <c r="I343" s="55"/>
    </row>
    <row r="344" spans="3:9" s="164" customFormat="1">
      <c r="C344" s="123" t="s">
        <v>1232</v>
      </c>
      <c r="D344" s="70" t="s">
        <v>1410</v>
      </c>
      <c r="E344" s="71"/>
      <c r="F344" s="72"/>
      <c r="G344" s="96">
        <f>$M$7</f>
        <v>0.1</v>
      </c>
      <c r="H344" s="125">
        <f>H343*G344</f>
        <v>66389.8</v>
      </c>
      <c r="I344" s="55"/>
    </row>
    <row r="345" spans="3:9" s="164" customFormat="1" ht="15.75" thickBot="1">
      <c r="C345" s="131" t="s">
        <v>1233</v>
      </c>
      <c r="D345" s="132" t="s">
        <v>1234</v>
      </c>
      <c r="E345" s="133"/>
      <c r="F345" s="133"/>
      <c r="G345" s="156"/>
      <c r="H345" s="135">
        <f>SUM(H343:H344)</f>
        <v>730287.8</v>
      </c>
      <c r="I345" s="55"/>
    </row>
    <row r="346" spans="3:9" ht="15.75" thickTop="1"/>
    <row r="347" spans="3:9" ht="15.75" customHeight="1" thickBot="1">
      <c r="C347" s="136" t="s">
        <v>1330</v>
      </c>
      <c r="D347" s="136"/>
      <c r="E347" s="136"/>
      <c r="F347" s="136"/>
      <c r="G347" s="136"/>
      <c r="H347" s="136"/>
      <c r="I347" s="57">
        <f>ROUNDDOWN(H361,-2)</f>
        <v>19100</v>
      </c>
    </row>
    <row r="348" spans="3:9" ht="29.25" thickTop="1">
      <c r="C348" s="120" t="s">
        <v>1207</v>
      </c>
      <c r="D348" s="121" t="s">
        <v>1208</v>
      </c>
      <c r="E348" s="121" t="s">
        <v>1209</v>
      </c>
      <c r="F348" s="121" t="s">
        <v>1210</v>
      </c>
      <c r="G348" s="121" t="s">
        <v>1211</v>
      </c>
      <c r="H348" s="122" t="s">
        <v>1212</v>
      </c>
    </row>
    <row r="349" spans="3:9">
      <c r="C349" s="142" t="s">
        <v>1213</v>
      </c>
      <c r="D349" s="60" t="s">
        <v>1214</v>
      </c>
      <c r="E349" s="74"/>
      <c r="F349" s="74"/>
      <c r="G349" s="74"/>
      <c r="H349" s="147"/>
    </row>
    <row r="350" spans="3:9">
      <c r="C350" s="201" t="s">
        <v>1215</v>
      </c>
      <c r="D350" s="60" t="s">
        <v>5</v>
      </c>
      <c r="E350" s="73" t="s">
        <v>6</v>
      </c>
      <c r="F350" s="184">
        <v>0.1067</v>
      </c>
      <c r="G350" s="65">
        <f>VLOOKUP(D350,upahbahan,3,FALSE)</f>
        <v>100000</v>
      </c>
      <c r="H350" s="125">
        <f>F350*G350</f>
        <v>10670</v>
      </c>
    </row>
    <row r="351" spans="3:9" s="56" customFormat="1">
      <c r="C351" s="201" t="s">
        <v>1216</v>
      </c>
      <c r="D351" s="60" t="s">
        <v>19</v>
      </c>
      <c r="E351" s="73" t="s">
        <v>6</v>
      </c>
      <c r="F351" s="184">
        <v>1.0699999999999999E-2</v>
      </c>
      <c r="G351" s="65">
        <f>VLOOKUP(D351,upahbahan,3,FALSE)</f>
        <v>145000</v>
      </c>
      <c r="H351" s="125">
        <f>F351*G351</f>
        <v>1551.5</v>
      </c>
      <c r="I351" s="55"/>
    </row>
    <row r="352" spans="3:9" ht="15.75" customHeight="1">
      <c r="C352" s="145" t="s">
        <v>1220</v>
      </c>
      <c r="D352" s="81"/>
      <c r="E352" s="81"/>
      <c r="F352" s="190"/>
      <c r="G352" s="163"/>
      <c r="H352" s="125">
        <f>SUM(H350:H351)</f>
        <v>12221.5</v>
      </c>
    </row>
    <row r="353" spans="3:9">
      <c r="C353" s="142" t="s">
        <v>1221</v>
      </c>
      <c r="D353" s="60" t="s">
        <v>1222</v>
      </c>
      <c r="E353" s="77"/>
      <c r="F353" s="77"/>
      <c r="G353" s="77"/>
      <c r="H353" s="155"/>
    </row>
    <row r="354" spans="3:9" ht="15.75" customHeight="1">
      <c r="C354" s="145" t="s">
        <v>1226</v>
      </c>
      <c r="D354" s="81"/>
      <c r="E354" s="81"/>
      <c r="F354" s="81"/>
      <c r="G354" s="163"/>
      <c r="H354" s="185">
        <v>0</v>
      </c>
    </row>
    <row r="355" spans="3:9">
      <c r="C355" s="142" t="s">
        <v>1227</v>
      </c>
      <c r="D355" s="60" t="s">
        <v>1228</v>
      </c>
      <c r="E355" s="74"/>
      <c r="F355" s="74"/>
      <c r="G355" s="74"/>
      <c r="H355" s="147"/>
    </row>
    <row r="356" spans="3:9">
      <c r="C356" s="146" t="s">
        <v>1215</v>
      </c>
      <c r="D356" s="60" t="s">
        <v>1155</v>
      </c>
      <c r="E356" s="88" t="s">
        <v>1091</v>
      </c>
      <c r="F356" s="191">
        <v>2.6700000000000002E-2</v>
      </c>
      <c r="G356" s="65">
        <f>VLOOKUP(D356,upahbahan,3,FALSE)</f>
        <v>95000</v>
      </c>
      <c r="H356" s="125">
        <f>F356*G356</f>
        <v>2536.5</v>
      </c>
    </row>
    <row r="357" spans="3:9">
      <c r="C357" s="146" t="s">
        <v>1216</v>
      </c>
      <c r="D357" s="60" t="s">
        <v>1125</v>
      </c>
      <c r="E357" s="88" t="s">
        <v>1091</v>
      </c>
      <c r="F357" s="191">
        <v>2.6700000000000002E-2</v>
      </c>
      <c r="G357" s="65">
        <f>VLOOKUP(D357,upahbahan,3,FALSE)</f>
        <v>100000</v>
      </c>
      <c r="H357" s="125">
        <f>F357*G357</f>
        <v>2670</v>
      </c>
    </row>
    <row r="358" spans="3:9" ht="15.75" customHeight="1">
      <c r="C358" s="145" t="s">
        <v>1229</v>
      </c>
      <c r="D358" s="81"/>
      <c r="E358" s="81"/>
      <c r="F358" s="81"/>
      <c r="G358" s="163"/>
      <c r="H358" s="125">
        <f>SUM(H356:H357)</f>
        <v>5206.5</v>
      </c>
    </row>
    <row r="359" spans="3:9" s="164" customFormat="1">
      <c r="C359" s="123" t="s">
        <v>1230</v>
      </c>
      <c r="D359" s="70" t="s">
        <v>1231</v>
      </c>
      <c r="E359" s="71"/>
      <c r="F359" s="71"/>
      <c r="G359" s="72"/>
      <c r="H359" s="125">
        <f>H358+H354+H352</f>
        <v>17428</v>
      </c>
      <c r="I359" s="55"/>
    </row>
    <row r="360" spans="3:9" s="164" customFormat="1">
      <c r="C360" s="123" t="s">
        <v>1232</v>
      </c>
      <c r="D360" s="70" t="s">
        <v>1410</v>
      </c>
      <c r="E360" s="71"/>
      <c r="F360" s="72"/>
      <c r="G360" s="96">
        <f>$M$7</f>
        <v>0.1</v>
      </c>
      <c r="H360" s="125">
        <f>H359*G360</f>
        <v>1742.8000000000002</v>
      </c>
      <c r="I360" s="55"/>
    </row>
    <row r="361" spans="3:9" s="164" customFormat="1" ht="15.75" thickBot="1">
      <c r="C361" s="131" t="s">
        <v>1233</v>
      </c>
      <c r="D361" s="132" t="s">
        <v>1234</v>
      </c>
      <c r="E361" s="133"/>
      <c r="F361" s="133"/>
      <c r="G361" s="156"/>
      <c r="H361" s="135">
        <f>SUM(H359:H360)</f>
        <v>19170.8</v>
      </c>
      <c r="I361" s="55"/>
    </row>
    <row r="362" spans="3:9" ht="15.75" thickTop="1"/>
    <row r="363" spans="3:9" ht="33.75" customHeight="1" thickBot="1">
      <c r="C363" s="516" t="s">
        <v>1331</v>
      </c>
      <c r="D363" s="516"/>
      <c r="E363" s="516"/>
      <c r="F363" s="516"/>
      <c r="G363" s="516"/>
      <c r="H363" s="516"/>
      <c r="I363" s="57">
        <f>ROUNDDOWN(H377,-2)</f>
        <v>127500</v>
      </c>
    </row>
    <row r="364" spans="3:9" ht="29.25" thickTop="1">
      <c r="C364" s="120" t="s">
        <v>1207</v>
      </c>
      <c r="D364" s="121" t="s">
        <v>1208</v>
      </c>
      <c r="E364" s="121" t="s">
        <v>1209</v>
      </c>
      <c r="F364" s="121" t="s">
        <v>1210</v>
      </c>
      <c r="G364" s="121" t="s">
        <v>1211</v>
      </c>
      <c r="H364" s="122" t="s">
        <v>1212</v>
      </c>
    </row>
    <row r="365" spans="3:9">
      <c r="C365" s="142" t="s">
        <v>1213</v>
      </c>
      <c r="D365" s="60" t="s">
        <v>1214</v>
      </c>
      <c r="E365" s="74"/>
      <c r="F365" s="74"/>
      <c r="G365" s="74"/>
      <c r="H365" s="147"/>
    </row>
    <row r="366" spans="3:9">
      <c r="C366" s="201" t="s">
        <v>1215</v>
      </c>
      <c r="D366" s="60" t="s">
        <v>5</v>
      </c>
      <c r="E366" s="73" t="s">
        <v>6</v>
      </c>
      <c r="F366" s="184">
        <v>0.71050000000000002</v>
      </c>
      <c r="G366" s="65">
        <f>VLOOKUP(D366,upahbahan,3,FALSE)</f>
        <v>100000</v>
      </c>
      <c r="H366" s="125">
        <f>F366*G366</f>
        <v>71050</v>
      </c>
    </row>
    <row r="367" spans="3:9" s="56" customFormat="1">
      <c r="C367" s="201" t="s">
        <v>1216</v>
      </c>
      <c r="D367" s="60" t="s">
        <v>19</v>
      </c>
      <c r="E367" s="73" t="s">
        <v>6</v>
      </c>
      <c r="F367" s="94">
        <v>7.0999999999999994E-2</v>
      </c>
      <c r="G367" s="65">
        <f>VLOOKUP(D367,upahbahan,3,FALSE)</f>
        <v>145000</v>
      </c>
      <c r="H367" s="125">
        <f>F367*G367</f>
        <v>10294.999999999998</v>
      </c>
      <c r="I367" s="55"/>
    </row>
    <row r="368" spans="3:9" ht="15.75" customHeight="1">
      <c r="C368" s="145" t="s">
        <v>1220</v>
      </c>
      <c r="D368" s="81"/>
      <c r="E368" s="81"/>
      <c r="F368" s="190"/>
      <c r="G368" s="163"/>
      <c r="H368" s="125">
        <f>SUM(H366:H367)</f>
        <v>81345</v>
      </c>
    </row>
    <row r="369" spans="3:9">
      <c r="C369" s="142" t="s">
        <v>1221</v>
      </c>
      <c r="D369" s="60" t="s">
        <v>1222</v>
      </c>
      <c r="E369" s="77"/>
      <c r="F369" s="77"/>
      <c r="G369" s="77"/>
      <c r="H369" s="155"/>
    </row>
    <row r="370" spans="3:9" ht="15.75" customHeight="1">
      <c r="C370" s="145" t="s">
        <v>1226</v>
      </c>
      <c r="D370" s="81"/>
      <c r="E370" s="81"/>
      <c r="F370" s="81"/>
      <c r="G370" s="163"/>
      <c r="H370" s="185">
        <v>0</v>
      </c>
    </row>
    <row r="371" spans="3:9">
      <c r="C371" s="142" t="s">
        <v>1227</v>
      </c>
      <c r="D371" s="60" t="s">
        <v>1228</v>
      </c>
      <c r="E371" s="74"/>
      <c r="F371" s="74"/>
      <c r="G371" s="74"/>
      <c r="H371" s="147"/>
    </row>
    <row r="372" spans="3:9">
      <c r="C372" s="146" t="s">
        <v>1215</v>
      </c>
      <c r="D372" s="60" t="s">
        <v>1155</v>
      </c>
      <c r="E372" s="88" t="s">
        <v>1091</v>
      </c>
      <c r="F372" s="191">
        <v>0.17760000000000001</v>
      </c>
      <c r="G372" s="65">
        <f>VLOOKUP(D372,upahbahan,3,FALSE)</f>
        <v>95000</v>
      </c>
      <c r="H372" s="125">
        <f>F372*G372</f>
        <v>16872</v>
      </c>
    </row>
    <row r="373" spans="3:9">
      <c r="C373" s="146" t="s">
        <v>1216</v>
      </c>
      <c r="D373" s="60" t="s">
        <v>1125</v>
      </c>
      <c r="E373" s="88" t="s">
        <v>1091</v>
      </c>
      <c r="F373" s="191">
        <v>0.17760000000000001</v>
      </c>
      <c r="G373" s="65">
        <f>VLOOKUP(D373,upahbahan,3,FALSE)</f>
        <v>100000</v>
      </c>
      <c r="H373" s="125">
        <f>F373*G373</f>
        <v>17760</v>
      </c>
    </row>
    <row r="374" spans="3:9" ht="15.75" customHeight="1">
      <c r="C374" s="145" t="s">
        <v>1229</v>
      </c>
      <c r="D374" s="81"/>
      <c r="E374" s="81"/>
      <c r="F374" s="81"/>
      <c r="G374" s="163"/>
      <c r="H374" s="125">
        <f>SUM(H372:H373)</f>
        <v>34632</v>
      </c>
    </row>
    <row r="375" spans="3:9" s="164" customFormat="1">
      <c r="C375" s="123" t="s">
        <v>1230</v>
      </c>
      <c r="D375" s="70" t="s">
        <v>1231</v>
      </c>
      <c r="E375" s="71"/>
      <c r="F375" s="71"/>
      <c r="G375" s="72"/>
      <c r="H375" s="125">
        <f>H374+H370+H368</f>
        <v>115977</v>
      </c>
      <c r="I375" s="55"/>
    </row>
    <row r="376" spans="3:9" s="164" customFormat="1">
      <c r="C376" s="123" t="s">
        <v>1232</v>
      </c>
      <c r="D376" s="70" t="s">
        <v>1410</v>
      </c>
      <c r="E376" s="71"/>
      <c r="F376" s="72"/>
      <c r="G376" s="96">
        <f>$M$7</f>
        <v>0.1</v>
      </c>
      <c r="H376" s="125">
        <f>H375*G376</f>
        <v>11597.7</v>
      </c>
      <c r="I376" s="55"/>
    </row>
    <row r="377" spans="3:9" s="164" customFormat="1" ht="15.75" thickBot="1">
      <c r="C377" s="131" t="s">
        <v>1233</v>
      </c>
      <c r="D377" s="132" t="s">
        <v>1234</v>
      </c>
      <c r="E377" s="133"/>
      <c r="F377" s="133"/>
      <c r="G377" s="156"/>
      <c r="H377" s="135">
        <f>SUM(H375:H376)</f>
        <v>127574.7</v>
      </c>
      <c r="I377" s="55"/>
    </row>
    <row r="378" spans="3:9" ht="15.75" thickTop="1"/>
    <row r="379" spans="3:9" ht="15.75" thickBot="1">
      <c r="C379" s="54" t="s">
        <v>1332</v>
      </c>
      <c r="D379" s="54"/>
      <c r="E379" s="54"/>
      <c r="F379" s="54"/>
      <c r="G379" s="54"/>
      <c r="H379" s="54"/>
      <c r="I379" s="57">
        <f>ROUNDDOWN(H393,-2)</f>
        <v>191500</v>
      </c>
    </row>
    <row r="380" spans="3:9" ht="29.25" thickTop="1">
      <c r="C380" s="120" t="s">
        <v>1207</v>
      </c>
      <c r="D380" s="121" t="s">
        <v>1208</v>
      </c>
      <c r="E380" s="121" t="s">
        <v>1209</v>
      </c>
      <c r="F380" s="121" t="s">
        <v>1210</v>
      </c>
      <c r="G380" s="121" t="s">
        <v>1211</v>
      </c>
      <c r="H380" s="122" t="s">
        <v>1212</v>
      </c>
    </row>
    <row r="381" spans="3:9">
      <c r="C381" s="142" t="s">
        <v>1213</v>
      </c>
      <c r="D381" s="60" t="s">
        <v>1214</v>
      </c>
      <c r="E381" s="74"/>
      <c r="F381" s="74"/>
      <c r="G381" s="74"/>
      <c r="H381" s="147"/>
    </row>
    <row r="382" spans="3:9">
      <c r="C382" s="201" t="s">
        <v>1215</v>
      </c>
      <c r="D382" s="60" t="s">
        <v>5</v>
      </c>
      <c r="E382" s="73" t="s">
        <v>6</v>
      </c>
      <c r="F382" s="184">
        <v>1.0667</v>
      </c>
      <c r="G382" s="65">
        <f>VLOOKUP(D382,upahbahan,3,FALSE)</f>
        <v>100000</v>
      </c>
      <c r="H382" s="125">
        <f>F382*G382</f>
        <v>106670</v>
      </c>
    </row>
    <row r="383" spans="3:9" s="56" customFormat="1">
      <c r="C383" s="201" t="s">
        <v>1216</v>
      </c>
      <c r="D383" s="60" t="s">
        <v>19</v>
      </c>
      <c r="E383" s="73" t="s">
        <v>6</v>
      </c>
      <c r="F383" s="184">
        <v>0.1067</v>
      </c>
      <c r="G383" s="65">
        <f>VLOOKUP(D383,upahbahan,3,FALSE)</f>
        <v>145000</v>
      </c>
      <c r="H383" s="125">
        <f>F383*G383</f>
        <v>15471.5</v>
      </c>
      <c r="I383" s="55"/>
    </row>
    <row r="384" spans="3:9" ht="15.75" customHeight="1">
      <c r="C384" s="145" t="s">
        <v>1220</v>
      </c>
      <c r="D384" s="81"/>
      <c r="E384" s="81"/>
      <c r="F384" s="190"/>
      <c r="G384" s="163"/>
      <c r="H384" s="125">
        <f>SUM(H382:H383)</f>
        <v>122141.5</v>
      </c>
    </row>
    <row r="385" spans="3:9">
      <c r="C385" s="142" t="s">
        <v>1221</v>
      </c>
      <c r="D385" s="60" t="s">
        <v>1222</v>
      </c>
      <c r="E385" s="77"/>
      <c r="F385" s="77"/>
      <c r="G385" s="77"/>
      <c r="H385" s="155"/>
    </row>
    <row r="386" spans="3:9" ht="15.75" customHeight="1">
      <c r="C386" s="145" t="s">
        <v>1226</v>
      </c>
      <c r="D386" s="81"/>
      <c r="E386" s="81"/>
      <c r="F386" s="81"/>
      <c r="G386" s="163"/>
      <c r="H386" s="185">
        <v>0</v>
      </c>
    </row>
    <row r="387" spans="3:9">
      <c r="C387" s="142" t="s">
        <v>1227</v>
      </c>
      <c r="D387" s="60" t="s">
        <v>1228</v>
      </c>
      <c r="E387" s="74"/>
      <c r="F387" s="74"/>
      <c r="G387" s="74"/>
      <c r="H387" s="147"/>
    </row>
    <row r="388" spans="3:9">
      <c r="C388" s="146" t="s">
        <v>1215</v>
      </c>
      <c r="D388" s="60" t="s">
        <v>1155</v>
      </c>
      <c r="E388" s="88" t="s">
        <v>1091</v>
      </c>
      <c r="F388" s="191">
        <v>0.26669999999999999</v>
      </c>
      <c r="G388" s="65">
        <f>VLOOKUP(D388,upahbahan,3,FALSE)</f>
        <v>95000</v>
      </c>
      <c r="H388" s="125">
        <f>F388*G388</f>
        <v>25336.5</v>
      </c>
    </row>
    <row r="389" spans="3:9">
      <c r="C389" s="146" t="s">
        <v>1216</v>
      </c>
      <c r="D389" s="60" t="s">
        <v>1125</v>
      </c>
      <c r="E389" s="88" t="s">
        <v>1091</v>
      </c>
      <c r="F389" s="191">
        <v>0.26669999999999999</v>
      </c>
      <c r="G389" s="65">
        <f>VLOOKUP(D389,upahbahan,3,FALSE)</f>
        <v>100000</v>
      </c>
      <c r="H389" s="125">
        <f>F389*G389</f>
        <v>26670</v>
      </c>
    </row>
    <row r="390" spans="3:9" ht="15.75" customHeight="1">
      <c r="C390" s="145" t="s">
        <v>1229</v>
      </c>
      <c r="D390" s="81"/>
      <c r="E390" s="81"/>
      <c r="F390" s="81"/>
      <c r="G390" s="163"/>
      <c r="H390" s="125">
        <f>SUM(H388:H389)</f>
        <v>52006.5</v>
      </c>
    </row>
    <row r="391" spans="3:9" s="164" customFormat="1">
      <c r="C391" s="123" t="s">
        <v>1230</v>
      </c>
      <c r="D391" s="70" t="s">
        <v>1231</v>
      </c>
      <c r="E391" s="71"/>
      <c r="F391" s="71"/>
      <c r="G391" s="72"/>
      <c r="H391" s="125">
        <f>H390+H386+H384</f>
        <v>174148</v>
      </c>
      <c r="I391" s="55"/>
    </row>
    <row r="392" spans="3:9" s="164" customFormat="1">
      <c r="C392" s="123" t="s">
        <v>1232</v>
      </c>
      <c r="D392" s="70" t="s">
        <v>1410</v>
      </c>
      <c r="E392" s="71"/>
      <c r="F392" s="72"/>
      <c r="G392" s="96">
        <f>$M$7</f>
        <v>0.1</v>
      </c>
      <c r="H392" s="125">
        <f>H391*G392</f>
        <v>17414.8</v>
      </c>
      <c r="I392" s="55"/>
    </row>
    <row r="393" spans="3:9" s="164" customFormat="1" ht="15.75" thickBot="1">
      <c r="C393" s="131" t="s">
        <v>1233</v>
      </c>
      <c r="D393" s="132" t="s">
        <v>1234</v>
      </c>
      <c r="E393" s="133"/>
      <c r="F393" s="133"/>
      <c r="G393" s="156"/>
      <c r="H393" s="135">
        <f>SUM(H391:H392)</f>
        <v>191562.8</v>
      </c>
      <c r="I393" s="55"/>
    </row>
    <row r="394" spans="3:9" ht="15.75" thickTop="1"/>
    <row r="395" spans="3:9" ht="15.75" thickBot="1">
      <c r="C395" s="54" t="s">
        <v>1333</v>
      </c>
      <c r="D395" s="54"/>
      <c r="E395" s="54"/>
      <c r="F395" s="54"/>
      <c r="G395" s="54"/>
      <c r="H395" s="54"/>
      <c r="I395" s="57">
        <f>ROUNDDOWN(H411,-2)</f>
        <v>1609000</v>
      </c>
    </row>
    <row r="396" spans="3:9" ht="29.25" thickTop="1">
      <c r="C396" s="120" t="s">
        <v>1207</v>
      </c>
      <c r="D396" s="121" t="s">
        <v>1208</v>
      </c>
      <c r="E396" s="121" t="s">
        <v>1209</v>
      </c>
      <c r="F396" s="121" t="s">
        <v>1210</v>
      </c>
      <c r="G396" s="121" t="s">
        <v>1211</v>
      </c>
      <c r="H396" s="122" t="s">
        <v>1212</v>
      </c>
    </row>
    <row r="397" spans="3:9">
      <c r="C397" s="142" t="s">
        <v>1213</v>
      </c>
      <c r="D397" s="60" t="s">
        <v>1214</v>
      </c>
      <c r="E397" s="74"/>
      <c r="F397" s="74"/>
      <c r="G397" s="74"/>
      <c r="H397" s="147"/>
    </row>
    <row r="398" spans="3:9">
      <c r="C398" s="201" t="s">
        <v>1215</v>
      </c>
      <c r="D398" s="60" t="s">
        <v>5</v>
      </c>
      <c r="E398" s="73" t="s">
        <v>6</v>
      </c>
      <c r="F398" s="75">
        <v>0.1</v>
      </c>
      <c r="G398" s="65">
        <f>VLOOKUP(D398,upahbahan,3,FALSE)</f>
        <v>100000</v>
      </c>
      <c r="H398" s="125">
        <f>F398*G398</f>
        <v>10000</v>
      </c>
    </row>
    <row r="399" spans="3:9" s="56" customFormat="1">
      <c r="C399" s="201" t="s">
        <v>1216</v>
      </c>
      <c r="D399" s="60" t="s">
        <v>19</v>
      </c>
      <c r="E399" s="73" t="s">
        <v>6</v>
      </c>
      <c r="F399" s="75">
        <v>0.01</v>
      </c>
      <c r="G399" s="65">
        <f>VLOOKUP(D399,upahbahan,3,FALSE)</f>
        <v>145000</v>
      </c>
      <c r="H399" s="125">
        <f>F399*G399</f>
        <v>1450</v>
      </c>
      <c r="I399" s="55"/>
    </row>
    <row r="400" spans="3:9" ht="15.75" customHeight="1">
      <c r="C400" s="145" t="s">
        <v>1220</v>
      </c>
      <c r="D400" s="81"/>
      <c r="E400" s="81"/>
      <c r="F400" s="190"/>
      <c r="G400" s="163"/>
      <c r="H400" s="125">
        <f>SUM(H398:H399)</f>
        <v>11450</v>
      </c>
    </row>
    <row r="401" spans="3:9">
      <c r="C401" s="142" t="s">
        <v>1221</v>
      </c>
      <c r="D401" s="60" t="s">
        <v>1222</v>
      </c>
      <c r="E401" s="77"/>
      <c r="F401" s="77"/>
      <c r="G401" s="77"/>
      <c r="H401" s="155"/>
    </row>
    <row r="402" spans="3:9">
      <c r="C402" s="201" t="s">
        <v>1215</v>
      </c>
      <c r="D402" s="78" t="s">
        <v>762</v>
      </c>
      <c r="E402" s="73" t="s">
        <v>42</v>
      </c>
      <c r="F402" s="184">
        <v>7.0699999999999999E-2</v>
      </c>
      <c r="G402" s="65">
        <f>VLOOKUP(D402,upahbahan,3,FALSE)</f>
        <v>20000000</v>
      </c>
      <c r="H402" s="125">
        <f>F402*G402</f>
        <v>1414000</v>
      </c>
    </row>
    <row r="403" spans="3:9" ht="15.75" customHeight="1">
      <c r="C403" s="145" t="s">
        <v>1226</v>
      </c>
      <c r="D403" s="81"/>
      <c r="E403" s="81"/>
      <c r="F403" s="81"/>
      <c r="G403" s="163"/>
      <c r="H403" s="125">
        <f>SUM(H402:H402)</f>
        <v>1414000</v>
      </c>
    </row>
    <row r="404" spans="3:9">
      <c r="C404" s="142" t="s">
        <v>1227</v>
      </c>
      <c r="D404" s="60" t="s">
        <v>1228</v>
      </c>
      <c r="E404" s="74"/>
      <c r="F404" s="74"/>
      <c r="G404" s="74"/>
      <c r="H404" s="147"/>
    </row>
    <row r="405" spans="3:9">
      <c r="C405" s="146" t="s">
        <v>1215</v>
      </c>
      <c r="D405" s="60" t="s">
        <v>1155</v>
      </c>
      <c r="E405" s="88" t="s">
        <v>1091</v>
      </c>
      <c r="F405" s="172">
        <v>2.5000000000000001E-2</v>
      </c>
      <c r="G405" s="65">
        <f>VLOOKUP(D405,upahbahan,3,FALSE)</f>
        <v>95000</v>
      </c>
      <c r="H405" s="125">
        <f>F405*G405</f>
        <v>2375</v>
      </c>
    </row>
    <row r="406" spans="3:9">
      <c r="C406" s="146" t="s">
        <v>1216</v>
      </c>
      <c r="D406" s="60" t="s">
        <v>1126</v>
      </c>
      <c r="E406" s="88" t="s">
        <v>1091</v>
      </c>
      <c r="F406" s="172">
        <v>2.5000000000000001E-2</v>
      </c>
      <c r="G406" s="65">
        <f>VLOOKUP(D406,upahbahan,3,FALSE)</f>
        <v>170000</v>
      </c>
      <c r="H406" s="125">
        <f>F406*G406</f>
        <v>4250</v>
      </c>
    </row>
    <row r="407" spans="3:9">
      <c r="C407" s="146" t="s">
        <v>1217</v>
      </c>
      <c r="D407" s="78" t="s">
        <v>1334</v>
      </c>
      <c r="E407" s="88" t="s">
        <v>114</v>
      </c>
      <c r="F407" s="172">
        <v>1</v>
      </c>
      <c r="G407" s="65">
        <f>VLOOKUP(D407,upahbahan,3,FALSE)</f>
        <v>30700</v>
      </c>
      <c r="H407" s="125">
        <f>F407*G407</f>
        <v>30700</v>
      </c>
    </row>
    <row r="408" spans="3:9" ht="15.75" customHeight="1">
      <c r="C408" s="145" t="s">
        <v>1229</v>
      </c>
      <c r="D408" s="81"/>
      <c r="E408" s="81"/>
      <c r="F408" s="81"/>
      <c r="G408" s="163"/>
      <c r="H408" s="125">
        <f>SUM(H405:H407)</f>
        <v>37325</v>
      </c>
    </row>
    <row r="409" spans="3:9" s="164" customFormat="1">
      <c r="C409" s="123" t="s">
        <v>1230</v>
      </c>
      <c r="D409" s="70" t="s">
        <v>1231</v>
      </c>
      <c r="E409" s="71"/>
      <c r="F409" s="71"/>
      <c r="G409" s="72"/>
      <c r="H409" s="125">
        <f>H408+H403+H400</f>
        <v>1462775</v>
      </c>
      <c r="I409" s="55"/>
    </row>
    <row r="410" spans="3:9" s="164" customFormat="1">
      <c r="C410" s="123" t="s">
        <v>1232</v>
      </c>
      <c r="D410" s="70" t="s">
        <v>1410</v>
      </c>
      <c r="E410" s="71"/>
      <c r="F410" s="72"/>
      <c r="G410" s="96">
        <f>$M$7</f>
        <v>0.1</v>
      </c>
      <c r="H410" s="125">
        <f>H409*G410</f>
        <v>146277.5</v>
      </c>
      <c r="I410" s="55"/>
    </row>
    <row r="411" spans="3:9" s="164" customFormat="1" ht="15.75" thickBot="1">
      <c r="C411" s="131" t="s">
        <v>1233</v>
      </c>
      <c r="D411" s="132" t="s">
        <v>1234</v>
      </c>
      <c r="E411" s="133"/>
      <c r="F411" s="133"/>
      <c r="G411" s="156"/>
      <c r="H411" s="135">
        <f>SUM(H409:H410)</f>
        <v>1609052.5</v>
      </c>
      <c r="I411" s="55"/>
    </row>
    <row r="412" spans="3:9" ht="15.75" thickTop="1"/>
    <row r="413" spans="3:9" ht="15.75" thickBot="1">
      <c r="C413" s="54" t="s">
        <v>1335</v>
      </c>
      <c r="D413" s="54"/>
      <c r="E413" s="54"/>
      <c r="F413" s="54"/>
      <c r="G413" s="54"/>
      <c r="H413" s="54"/>
      <c r="I413" s="57">
        <f>ROUNDDOWN(H427,-2)</f>
        <v>47700</v>
      </c>
    </row>
    <row r="414" spans="3:9" ht="29.25" thickTop="1">
      <c r="C414" s="120" t="s">
        <v>1207</v>
      </c>
      <c r="D414" s="121" t="s">
        <v>1208</v>
      </c>
      <c r="E414" s="121" t="s">
        <v>1209</v>
      </c>
      <c r="F414" s="121" t="s">
        <v>1210</v>
      </c>
      <c r="G414" s="121" t="s">
        <v>1211</v>
      </c>
      <c r="H414" s="122" t="s">
        <v>1212</v>
      </c>
    </row>
    <row r="415" spans="3:9">
      <c r="C415" s="142" t="s">
        <v>1213</v>
      </c>
      <c r="D415" s="60" t="s">
        <v>1214</v>
      </c>
      <c r="E415" s="74"/>
      <c r="F415" s="74"/>
      <c r="G415" s="74"/>
      <c r="H415" s="147"/>
    </row>
    <row r="416" spans="3:9">
      <c r="C416" s="201" t="s">
        <v>1215</v>
      </c>
      <c r="D416" s="60" t="s">
        <v>5</v>
      </c>
      <c r="E416" s="73" t="s">
        <v>6</v>
      </c>
      <c r="F416" s="75">
        <v>0.24</v>
      </c>
      <c r="G416" s="65">
        <f>VLOOKUP(D416,upahbahan,3,FALSE)</f>
        <v>100000</v>
      </c>
      <c r="H416" s="125">
        <f>F416*G416</f>
        <v>24000</v>
      </c>
    </row>
    <row r="417" spans="3:9" s="56" customFormat="1">
      <c r="C417" s="201" t="s">
        <v>1216</v>
      </c>
      <c r="D417" s="60" t="s">
        <v>19</v>
      </c>
      <c r="E417" s="73" t="s">
        <v>6</v>
      </c>
      <c r="F417" s="75">
        <v>2.4E-2</v>
      </c>
      <c r="G417" s="65">
        <f>VLOOKUP(D417,upahbahan,3,FALSE)</f>
        <v>145000</v>
      </c>
      <c r="H417" s="125">
        <f>F417*G417</f>
        <v>3480</v>
      </c>
      <c r="I417" s="55"/>
    </row>
    <row r="418" spans="3:9" ht="15.75" customHeight="1">
      <c r="C418" s="145" t="s">
        <v>1220</v>
      </c>
      <c r="D418" s="81"/>
      <c r="E418" s="81"/>
      <c r="F418" s="190"/>
      <c r="G418" s="163"/>
      <c r="H418" s="125">
        <f>SUM(H416:H417)</f>
        <v>27480</v>
      </c>
    </row>
    <row r="419" spans="3:9">
      <c r="C419" s="142" t="s">
        <v>1221</v>
      </c>
      <c r="D419" s="60" t="s">
        <v>1222</v>
      </c>
      <c r="E419" s="77"/>
      <c r="F419" s="77"/>
      <c r="G419" s="77"/>
      <c r="H419" s="144"/>
    </row>
    <row r="420" spans="3:9" ht="15.75" customHeight="1">
      <c r="C420" s="145" t="s">
        <v>1226</v>
      </c>
      <c r="D420" s="81"/>
      <c r="E420" s="81"/>
      <c r="F420" s="81"/>
      <c r="G420" s="163"/>
      <c r="H420" s="185">
        <v>0</v>
      </c>
    </row>
    <row r="421" spans="3:9">
      <c r="C421" s="142" t="s">
        <v>1227</v>
      </c>
      <c r="D421" s="60" t="s">
        <v>1228</v>
      </c>
      <c r="E421" s="74"/>
      <c r="F421" s="74"/>
      <c r="G421" s="74"/>
      <c r="H421" s="147"/>
    </row>
    <row r="422" spans="3:9">
      <c r="C422" s="146" t="s">
        <v>1215</v>
      </c>
      <c r="D422" s="60" t="s">
        <v>1155</v>
      </c>
      <c r="E422" s="88" t="s">
        <v>1091</v>
      </c>
      <c r="F422" s="172">
        <v>0.06</v>
      </c>
      <c r="G422" s="65">
        <f>VLOOKUP(D422,upahbahan,3,FALSE)</f>
        <v>95000</v>
      </c>
      <c r="H422" s="125">
        <f>F422*G422</f>
        <v>5700</v>
      </c>
    </row>
    <row r="423" spans="3:9">
      <c r="C423" s="146" t="s">
        <v>1216</v>
      </c>
      <c r="D423" s="60" t="s">
        <v>1126</v>
      </c>
      <c r="E423" s="88" t="s">
        <v>1091</v>
      </c>
      <c r="F423" s="172">
        <v>0.06</v>
      </c>
      <c r="G423" s="65">
        <f>VLOOKUP(D423,upahbahan,3,FALSE)</f>
        <v>170000</v>
      </c>
      <c r="H423" s="125">
        <f>F423*G423</f>
        <v>10200</v>
      </c>
    </row>
    <row r="424" spans="3:9" ht="15.75" customHeight="1">
      <c r="C424" s="145" t="s">
        <v>1229</v>
      </c>
      <c r="D424" s="81"/>
      <c r="E424" s="81"/>
      <c r="F424" s="81"/>
      <c r="G424" s="163"/>
      <c r="H424" s="125">
        <f>SUM(H422:H423)</f>
        <v>15900</v>
      </c>
    </row>
    <row r="425" spans="3:9" s="164" customFormat="1">
      <c r="C425" s="123" t="s">
        <v>1230</v>
      </c>
      <c r="D425" s="70" t="s">
        <v>1231</v>
      </c>
      <c r="E425" s="71"/>
      <c r="F425" s="71"/>
      <c r="G425" s="72"/>
      <c r="H425" s="125">
        <f>H424+H420+H418</f>
        <v>43380</v>
      </c>
      <c r="I425" s="55"/>
    </row>
    <row r="426" spans="3:9" s="164" customFormat="1">
      <c r="C426" s="123" t="s">
        <v>1232</v>
      </c>
      <c r="D426" s="70" t="s">
        <v>1410</v>
      </c>
      <c r="E426" s="71"/>
      <c r="F426" s="72"/>
      <c r="G426" s="96">
        <f>$M$7</f>
        <v>0.1</v>
      </c>
      <c r="H426" s="125">
        <f>H425*G426</f>
        <v>4338</v>
      </c>
      <c r="I426" s="55"/>
    </row>
    <row r="427" spans="3:9" s="164" customFormat="1" ht="15.75" thickBot="1">
      <c r="C427" s="131" t="s">
        <v>1233</v>
      </c>
      <c r="D427" s="132" t="s">
        <v>1234</v>
      </c>
      <c r="E427" s="133"/>
      <c r="F427" s="133"/>
      <c r="G427" s="156"/>
      <c r="H427" s="135">
        <f>SUM(H425:H426)</f>
        <v>47718</v>
      </c>
      <c r="I427" s="55"/>
    </row>
    <row r="428" spans="3:9" ht="15.75" thickTop="1"/>
    <row r="429" spans="3:9" ht="33.75" customHeight="1" thickBot="1">
      <c r="C429" s="516" t="s">
        <v>1336</v>
      </c>
      <c r="D429" s="516"/>
      <c r="E429" s="516"/>
      <c r="F429" s="516"/>
      <c r="G429" s="516"/>
      <c r="H429" s="516"/>
      <c r="I429" s="57">
        <f>ROUNDDOWN(H443,-2)</f>
        <v>287300</v>
      </c>
    </row>
    <row r="430" spans="3:9" ht="29.25" thickTop="1">
      <c r="C430" s="120" t="s">
        <v>1207</v>
      </c>
      <c r="D430" s="121" t="s">
        <v>1208</v>
      </c>
      <c r="E430" s="121" t="s">
        <v>1209</v>
      </c>
      <c r="F430" s="121" t="s">
        <v>1210</v>
      </c>
      <c r="G430" s="121" t="s">
        <v>1211</v>
      </c>
      <c r="H430" s="122" t="s">
        <v>1212</v>
      </c>
    </row>
    <row r="431" spans="3:9">
      <c r="C431" s="142" t="s">
        <v>1213</v>
      </c>
      <c r="D431" s="60" t="s">
        <v>1214</v>
      </c>
      <c r="E431" s="74"/>
      <c r="F431" s="74"/>
      <c r="G431" s="74"/>
      <c r="H431" s="147"/>
    </row>
    <row r="432" spans="3:9">
      <c r="C432" s="201" t="s">
        <v>1215</v>
      </c>
      <c r="D432" s="60" t="s">
        <v>5</v>
      </c>
      <c r="E432" s="73" t="s">
        <v>6</v>
      </c>
      <c r="F432" s="75">
        <v>1.6</v>
      </c>
      <c r="G432" s="65">
        <f>VLOOKUP(D432,upahbahan,3,FALSE)</f>
        <v>100000</v>
      </c>
      <c r="H432" s="125">
        <f>F432*G432</f>
        <v>160000</v>
      </c>
    </row>
    <row r="433" spans="3:9" s="56" customFormat="1">
      <c r="C433" s="201" t="s">
        <v>1216</v>
      </c>
      <c r="D433" s="60" t="s">
        <v>19</v>
      </c>
      <c r="E433" s="73" t="s">
        <v>6</v>
      </c>
      <c r="F433" s="75">
        <v>0.16</v>
      </c>
      <c r="G433" s="65">
        <f>VLOOKUP(D433,upahbahan,3,FALSE)</f>
        <v>145000</v>
      </c>
      <c r="H433" s="125">
        <f>F433*G433</f>
        <v>23200</v>
      </c>
      <c r="I433" s="55"/>
    </row>
    <row r="434" spans="3:9" ht="15.75" customHeight="1">
      <c r="C434" s="145" t="s">
        <v>1220</v>
      </c>
      <c r="D434" s="81"/>
      <c r="E434" s="81"/>
      <c r="F434" s="190"/>
      <c r="G434" s="163"/>
      <c r="H434" s="125">
        <f>SUM(H432:H433)</f>
        <v>183200</v>
      </c>
    </row>
    <row r="435" spans="3:9">
      <c r="C435" s="142" t="s">
        <v>1221</v>
      </c>
      <c r="D435" s="60" t="s">
        <v>1222</v>
      </c>
      <c r="E435" s="77"/>
      <c r="F435" s="77"/>
      <c r="G435" s="77"/>
      <c r="H435" s="155"/>
    </row>
    <row r="436" spans="3:9" ht="15.75" customHeight="1">
      <c r="C436" s="145" t="s">
        <v>1226</v>
      </c>
      <c r="D436" s="81"/>
      <c r="E436" s="81"/>
      <c r="F436" s="81"/>
      <c r="G436" s="163"/>
      <c r="H436" s="185">
        <v>0</v>
      </c>
    </row>
    <row r="437" spans="3:9">
      <c r="C437" s="142" t="s">
        <v>1227</v>
      </c>
      <c r="D437" s="60" t="s">
        <v>1228</v>
      </c>
      <c r="E437" s="74"/>
      <c r="F437" s="74"/>
      <c r="G437" s="74"/>
      <c r="H437" s="147"/>
    </row>
    <row r="438" spans="3:9">
      <c r="C438" s="146" t="s">
        <v>1215</v>
      </c>
      <c r="D438" s="60" t="s">
        <v>1155</v>
      </c>
      <c r="E438" s="88" t="s">
        <v>1091</v>
      </c>
      <c r="F438" s="172">
        <v>0.4</v>
      </c>
      <c r="G438" s="65">
        <f>VLOOKUP(D438,upahbahan,3,FALSE)</f>
        <v>95000</v>
      </c>
      <c r="H438" s="125">
        <f>F438*G438</f>
        <v>38000</v>
      </c>
    </row>
    <row r="439" spans="3:9">
      <c r="C439" s="146" t="s">
        <v>1216</v>
      </c>
      <c r="D439" s="60" t="s">
        <v>1125</v>
      </c>
      <c r="E439" s="88" t="s">
        <v>1091</v>
      </c>
      <c r="F439" s="172">
        <v>0.4</v>
      </c>
      <c r="G439" s="65">
        <f>VLOOKUP(D439,upahbahan,3,FALSE)</f>
        <v>100000</v>
      </c>
      <c r="H439" s="125">
        <f>F439*G439</f>
        <v>40000</v>
      </c>
    </row>
    <row r="440" spans="3:9" ht="15.75" customHeight="1">
      <c r="C440" s="145" t="s">
        <v>1229</v>
      </c>
      <c r="D440" s="81"/>
      <c r="E440" s="81"/>
      <c r="F440" s="81"/>
      <c r="G440" s="163"/>
      <c r="H440" s="125">
        <f>SUM(H438:H439)</f>
        <v>78000</v>
      </c>
    </row>
    <row r="441" spans="3:9" s="164" customFormat="1">
      <c r="C441" s="123" t="s">
        <v>1230</v>
      </c>
      <c r="D441" s="70" t="s">
        <v>1231</v>
      </c>
      <c r="E441" s="71"/>
      <c r="F441" s="71"/>
      <c r="G441" s="72"/>
      <c r="H441" s="125">
        <f>H440+H436+H434</f>
        <v>261200</v>
      </c>
      <c r="I441" s="55"/>
    </row>
    <row r="442" spans="3:9" s="164" customFormat="1">
      <c r="C442" s="123" t="s">
        <v>1232</v>
      </c>
      <c r="D442" s="70" t="s">
        <v>1410</v>
      </c>
      <c r="E442" s="71"/>
      <c r="F442" s="72"/>
      <c r="G442" s="96">
        <f>$M$7</f>
        <v>0.1</v>
      </c>
      <c r="H442" s="125">
        <f>H441*G442</f>
        <v>26120</v>
      </c>
      <c r="I442" s="55"/>
    </row>
    <row r="443" spans="3:9" s="164" customFormat="1" ht="15.75" thickBot="1">
      <c r="C443" s="131" t="s">
        <v>1233</v>
      </c>
      <c r="D443" s="132" t="s">
        <v>1234</v>
      </c>
      <c r="E443" s="133"/>
      <c r="F443" s="133"/>
      <c r="G443" s="156"/>
      <c r="H443" s="135">
        <f>SUM(H441:H442)</f>
        <v>287320</v>
      </c>
      <c r="I443" s="55"/>
    </row>
    <row r="444" spans="3:9" ht="15.75" thickTop="1"/>
    <row r="445" spans="3:9" ht="15.75" thickBot="1">
      <c r="C445" s="54" t="s">
        <v>1337</v>
      </c>
      <c r="D445" s="54"/>
      <c r="E445" s="54"/>
      <c r="F445" s="54"/>
      <c r="G445" s="54"/>
      <c r="H445" s="54"/>
      <c r="I445" s="57">
        <f>ROUNDDOWN(H459,-2)</f>
        <v>430900</v>
      </c>
    </row>
    <row r="446" spans="3:9" ht="29.25" thickTop="1">
      <c r="C446" s="120" t="s">
        <v>1207</v>
      </c>
      <c r="D446" s="121" t="s">
        <v>1208</v>
      </c>
      <c r="E446" s="121" t="s">
        <v>1209</v>
      </c>
      <c r="F446" s="121" t="s">
        <v>1210</v>
      </c>
      <c r="G446" s="121" t="s">
        <v>1211</v>
      </c>
      <c r="H446" s="122" t="s">
        <v>1212</v>
      </c>
    </row>
    <row r="447" spans="3:9">
      <c r="C447" s="142" t="s">
        <v>1213</v>
      </c>
      <c r="D447" s="60" t="s">
        <v>1214</v>
      </c>
      <c r="E447" s="74"/>
      <c r="F447" s="74"/>
      <c r="G447" s="74"/>
      <c r="H447" s="147"/>
    </row>
    <row r="448" spans="3:9">
      <c r="C448" s="201" t="s">
        <v>1215</v>
      </c>
      <c r="D448" s="60" t="s">
        <v>5</v>
      </c>
      <c r="E448" s="73" t="s">
        <v>6</v>
      </c>
      <c r="F448" s="94">
        <v>2.3995000000000002</v>
      </c>
      <c r="G448" s="65">
        <f>VLOOKUP(D448,upahbahan,3,FALSE)</f>
        <v>100000</v>
      </c>
      <c r="H448" s="125">
        <f>F448*G448</f>
        <v>239950.00000000003</v>
      </c>
    </row>
    <row r="449" spans="3:9" s="56" customFormat="1">
      <c r="C449" s="201" t="s">
        <v>1216</v>
      </c>
      <c r="D449" s="60" t="s">
        <v>19</v>
      </c>
      <c r="E449" s="73" t="s">
        <v>6</v>
      </c>
      <c r="F449" s="94">
        <v>0.24</v>
      </c>
      <c r="G449" s="65">
        <f>VLOOKUP(D449,upahbahan,3,FALSE)</f>
        <v>145000</v>
      </c>
      <c r="H449" s="125">
        <f>F449*G449</f>
        <v>34800</v>
      </c>
      <c r="I449" s="55"/>
    </row>
    <row r="450" spans="3:9" ht="15.75" customHeight="1">
      <c r="C450" s="145" t="s">
        <v>1220</v>
      </c>
      <c r="D450" s="81"/>
      <c r="E450" s="81"/>
      <c r="F450" s="190"/>
      <c r="G450" s="163"/>
      <c r="H450" s="125">
        <f>SUM(H448:H449)</f>
        <v>274750</v>
      </c>
    </row>
    <row r="451" spans="3:9">
      <c r="C451" s="142" t="s">
        <v>1221</v>
      </c>
      <c r="D451" s="60" t="s">
        <v>1222</v>
      </c>
      <c r="E451" s="77"/>
      <c r="F451" s="77"/>
      <c r="G451" s="77"/>
      <c r="H451" s="155"/>
    </row>
    <row r="452" spans="3:9" ht="15.75" customHeight="1">
      <c r="C452" s="145" t="s">
        <v>1226</v>
      </c>
      <c r="D452" s="81"/>
      <c r="E452" s="81"/>
      <c r="F452" s="81"/>
      <c r="G452" s="163"/>
      <c r="H452" s="185">
        <v>0</v>
      </c>
    </row>
    <row r="453" spans="3:9">
      <c r="C453" s="142" t="s">
        <v>1227</v>
      </c>
      <c r="D453" s="60" t="s">
        <v>1228</v>
      </c>
      <c r="E453" s="74"/>
      <c r="F453" s="74"/>
      <c r="G453" s="74"/>
      <c r="H453" s="147"/>
    </row>
    <row r="454" spans="3:9">
      <c r="C454" s="146" t="s">
        <v>1215</v>
      </c>
      <c r="D454" s="60" t="s">
        <v>1155</v>
      </c>
      <c r="E454" s="88" t="s">
        <v>1091</v>
      </c>
      <c r="F454" s="191">
        <v>0.59989999999999999</v>
      </c>
      <c r="G454" s="65">
        <f>VLOOKUP(D454,upahbahan,3,FALSE)</f>
        <v>95000</v>
      </c>
      <c r="H454" s="125">
        <f>F454*G454</f>
        <v>56990.5</v>
      </c>
    </row>
    <row r="455" spans="3:9">
      <c r="C455" s="146" t="s">
        <v>1216</v>
      </c>
      <c r="D455" s="60" t="s">
        <v>1125</v>
      </c>
      <c r="E455" s="88" t="s">
        <v>1091</v>
      </c>
      <c r="F455" s="191">
        <v>0.59989999999999999</v>
      </c>
      <c r="G455" s="65">
        <f>VLOOKUP(D455,upahbahan,3,FALSE)</f>
        <v>100000</v>
      </c>
      <c r="H455" s="125">
        <f>F455*G455</f>
        <v>59990</v>
      </c>
    </row>
    <row r="456" spans="3:9" ht="15.75" customHeight="1">
      <c r="C456" s="145" t="s">
        <v>1229</v>
      </c>
      <c r="D456" s="81"/>
      <c r="E456" s="81"/>
      <c r="F456" s="81"/>
      <c r="G456" s="163"/>
      <c r="H456" s="125">
        <f>SUM(H454:H455)</f>
        <v>116980.5</v>
      </c>
    </row>
    <row r="457" spans="3:9" s="164" customFormat="1">
      <c r="C457" s="123" t="s">
        <v>1230</v>
      </c>
      <c r="D457" s="70" t="s">
        <v>1231</v>
      </c>
      <c r="E457" s="71"/>
      <c r="F457" s="71"/>
      <c r="G457" s="72"/>
      <c r="H457" s="125">
        <f>H456+H452+H450</f>
        <v>391730.5</v>
      </c>
      <c r="I457" s="55"/>
    </row>
    <row r="458" spans="3:9" s="164" customFormat="1">
      <c r="C458" s="123" t="s">
        <v>1232</v>
      </c>
      <c r="D458" s="70" t="s">
        <v>1410</v>
      </c>
      <c r="E458" s="71"/>
      <c r="F458" s="72"/>
      <c r="G458" s="96">
        <f>$M$7</f>
        <v>0.1</v>
      </c>
      <c r="H458" s="125">
        <f>H457*G458</f>
        <v>39173.050000000003</v>
      </c>
      <c r="I458" s="55"/>
    </row>
    <row r="459" spans="3:9" s="164" customFormat="1" ht="15.75" thickBot="1">
      <c r="C459" s="131" t="s">
        <v>1233</v>
      </c>
      <c r="D459" s="132" t="s">
        <v>1234</v>
      </c>
      <c r="E459" s="133"/>
      <c r="F459" s="133"/>
      <c r="G459" s="156"/>
      <c r="H459" s="135">
        <f>SUM(H457:H458)</f>
        <v>430903.55</v>
      </c>
      <c r="I459" s="55"/>
    </row>
    <row r="460" spans="3:9" ht="15.75" thickTop="1"/>
    <row r="461" spans="3:9" ht="15.75" thickBot="1">
      <c r="C461" s="54" t="s">
        <v>1338</v>
      </c>
      <c r="D461" s="54"/>
      <c r="E461" s="54"/>
      <c r="F461" s="54"/>
      <c r="G461" s="54"/>
      <c r="H461" s="54"/>
      <c r="I461" s="57">
        <f>ROUNDDOWN(H477,-2)</f>
        <v>2847900</v>
      </c>
    </row>
    <row r="462" spans="3:9" ht="29.25" thickTop="1">
      <c r="C462" s="120" t="s">
        <v>1207</v>
      </c>
      <c r="D462" s="121" t="s">
        <v>1208</v>
      </c>
      <c r="E462" s="121" t="s">
        <v>1209</v>
      </c>
      <c r="F462" s="121" t="s">
        <v>1210</v>
      </c>
      <c r="G462" s="121" t="s">
        <v>1211</v>
      </c>
      <c r="H462" s="122" t="s">
        <v>1212</v>
      </c>
    </row>
    <row r="463" spans="3:9">
      <c r="C463" s="142" t="s">
        <v>1213</v>
      </c>
      <c r="D463" s="60" t="s">
        <v>1214</v>
      </c>
      <c r="E463" s="74"/>
      <c r="F463" s="74"/>
      <c r="G463" s="74"/>
      <c r="H463" s="147"/>
    </row>
    <row r="464" spans="3:9">
      <c r="C464" s="201" t="s">
        <v>1215</v>
      </c>
      <c r="D464" s="60" t="s">
        <v>5</v>
      </c>
      <c r="E464" s="73" t="s">
        <v>6</v>
      </c>
      <c r="F464" s="75">
        <v>0.2</v>
      </c>
      <c r="G464" s="65">
        <f>VLOOKUP(D464,upahbahan,3,FALSE)</f>
        <v>100000</v>
      </c>
      <c r="H464" s="125">
        <f>F464*G464</f>
        <v>20000</v>
      </c>
    </row>
    <row r="465" spans="3:9" s="56" customFormat="1">
      <c r="C465" s="201" t="s">
        <v>1216</v>
      </c>
      <c r="D465" s="60" t="s">
        <v>19</v>
      </c>
      <c r="E465" s="73" t="s">
        <v>6</v>
      </c>
      <c r="F465" s="75">
        <v>0.02</v>
      </c>
      <c r="G465" s="65">
        <f>VLOOKUP(D465,upahbahan,3,FALSE)</f>
        <v>145000</v>
      </c>
      <c r="H465" s="125">
        <f>F465*G465</f>
        <v>2900</v>
      </c>
      <c r="I465" s="55"/>
    </row>
    <row r="466" spans="3:9" ht="15.75" customHeight="1">
      <c r="C466" s="145" t="s">
        <v>1220</v>
      </c>
      <c r="D466" s="81"/>
      <c r="E466" s="81"/>
      <c r="F466" s="190"/>
      <c r="G466" s="163"/>
      <c r="H466" s="125">
        <f>SUM(H464:H465)</f>
        <v>22900</v>
      </c>
    </row>
    <row r="467" spans="3:9">
      <c r="C467" s="142" t="s">
        <v>1221</v>
      </c>
      <c r="D467" s="60" t="s">
        <v>1222</v>
      </c>
      <c r="E467" s="77"/>
      <c r="F467" s="77"/>
      <c r="G467" s="77"/>
      <c r="H467" s="155"/>
    </row>
    <row r="468" spans="3:9">
      <c r="C468" s="201" t="s">
        <v>1215</v>
      </c>
      <c r="D468" s="78" t="s">
        <v>762</v>
      </c>
      <c r="E468" s="73" t="s">
        <v>42</v>
      </c>
      <c r="F468" s="184">
        <v>0.12570000000000001</v>
      </c>
      <c r="G468" s="65">
        <f>VLOOKUP(D468,upahbahan,3,FALSE)</f>
        <v>20000000</v>
      </c>
      <c r="H468" s="125">
        <f>F468*G468</f>
        <v>2514000</v>
      </c>
    </row>
    <row r="469" spans="3:9" ht="15.75" customHeight="1">
      <c r="C469" s="145" t="s">
        <v>1226</v>
      </c>
      <c r="D469" s="81"/>
      <c r="E469" s="81"/>
      <c r="F469" s="81"/>
      <c r="G469" s="163"/>
      <c r="H469" s="125">
        <f>SUM(H468:H468)</f>
        <v>2514000</v>
      </c>
    </row>
    <row r="470" spans="3:9">
      <c r="C470" s="142" t="s">
        <v>1227</v>
      </c>
      <c r="D470" s="60" t="s">
        <v>1228</v>
      </c>
      <c r="E470" s="74"/>
      <c r="F470" s="74"/>
      <c r="G470" s="74"/>
      <c r="H470" s="147"/>
    </row>
    <row r="471" spans="3:9">
      <c r="C471" s="146" t="s">
        <v>1215</v>
      </c>
      <c r="D471" s="60" t="s">
        <v>1155</v>
      </c>
      <c r="E471" s="88" t="s">
        <v>1091</v>
      </c>
      <c r="F471" s="172">
        <v>2.5000000000000001E-2</v>
      </c>
      <c r="G471" s="65">
        <f>VLOOKUP(D471,upahbahan,3,FALSE)</f>
        <v>95000</v>
      </c>
      <c r="H471" s="125">
        <f>F471*G471</f>
        <v>2375</v>
      </c>
    </row>
    <row r="472" spans="3:9">
      <c r="C472" s="146" t="s">
        <v>1216</v>
      </c>
      <c r="D472" s="60" t="s">
        <v>1127</v>
      </c>
      <c r="E472" s="88" t="s">
        <v>1091</v>
      </c>
      <c r="F472" s="172">
        <v>2.5000000000000001E-2</v>
      </c>
      <c r="G472" s="65">
        <f>VLOOKUP(D472,upahbahan,3,FALSE)</f>
        <v>250000</v>
      </c>
      <c r="H472" s="125">
        <f>F472*G472</f>
        <v>6250</v>
      </c>
    </row>
    <row r="473" spans="3:9">
      <c r="C473" s="146" t="s">
        <v>1217</v>
      </c>
      <c r="D473" s="78" t="s">
        <v>1339</v>
      </c>
      <c r="E473" s="88" t="s">
        <v>114</v>
      </c>
      <c r="F473" s="172">
        <v>1</v>
      </c>
      <c r="G473" s="65">
        <f>VLOOKUP(D473,upahbahan,3,FALSE)</f>
        <v>43500</v>
      </c>
      <c r="H473" s="125">
        <f>F473*G473</f>
        <v>43500</v>
      </c>
    </row>
    <row r="474" spans="3:9" ht="15.75" customHeight="1">
      <c r="C474" s="145" t="s">
        <v>1229</v>
      </c>
      <c r="D474" s="81"/>
      <c r="E474" s="81"/>
      <c r="F474" s="81"/>
      <c r="G474" s="163"/>
      <c r="H474" s="125">
        <f>SUM(H471:H473)</f>
        <v>52125</v>
      </c>
    </row>
    <row r="475" spans="3:9" s="164" customFormat="1">
      <c r="C475" s="123" t="s">
        <v>1230</v>
      </c>
      <c r="D475" s="70" t="s">
        <v>1231</v>
      </c>
      <c r="E475" s="71"/>
      <c r="F475" s="71"/>
      <c r="G475" s="72"/>
      <c r="H475" s="125">
        <f>H474+H469+H466</f>
        <v>2589025</v>
      </c>
      <c r="I475" s="55"/>
    </row>
    <row r="476" spans="3:9" s="164" customFormat="1">
      <c r="C476" s="123" t="s">
        <v>1232</v>
      </c>
      <c r="D476" s="70" t="s">
        <v>1410</v>
      </c>
      <c r="E476" s="71"/>
      <c r="F476" s="72"/>
      <c r="G476" s="96">
        <f>$M$7</f>
        <v>0.1</v>
      </c>
      <c r="H476" s="125">
        <f>H475*G476</f>
        <v>258902.5</v>
      </c>
      <c r="I476" s="55"/>
    </row>
    <row r="477" spans="3:9" s="164" customFormat="1" ht="15.75" thickBot="1">
      <c r="C477" s="131" t="s">
        <v>1233</v>
      </c>
      <c r="D477" s="132" t="s">
        <v>1234</v>
      </c>
      <c r="E477" s="133"/>
      <c r="F477" s="133"/>
      <c r="G477" s="156"/>
      <c r="H477" s="135">
        <f>SUM(H475:H476)</f>
        <v>2847927.5</v>
      </c>
      <c r="I477" s="55"/>
    </row>
    <row r="478" spans="3:9" ht="15.75" thickTop="1"/>
    <row r="479" spans="3:9" ht="15.75" thickBot="1">
      <c r="C479" s="54" t="s">
        <v>1340</v>
      </c>
      <c r="D479" s="54"/>
      <c r="E479" s="54"/>
      <c r="F479" s="54"/>
      <c r="G479" s="54"/>
      <c r="H479" s="54"/>
      <c r="I479" s="57">
        <f>ROUNDDOWN(H493,-2)</f>
        <v>94200</v>
      </c>
    </row>
    <row r="480" spans="3:9" ht="29.25" thickTop="1">
      <c r="C480" s="120" t="s">
        <v>1207</v>
      </c>
      <c r="D480" s="121" t="s">
        <v>1208</v>
      </c>
      <c r="E480" s="121" t="s">
        <v>1209</v>
      </c>
      <c r="F480" s="121" t="s">
        <v>1210</v>
      </c>
      <c r="G480" s="121" t="s">
        <v>1211</v>
      </c>
      <c r="H480" s="122" t="s">
        <v>1212</v>
      </c>
    </row>
    <row r="481" spans="3:9">
      <c r="C481" s="142" t="s">
        <v>1213</v>
      </c>
      <c r="D481" s="60" t="s">
        <v>1214</v>
      </c>
      <c r="E481" s="74"/>
      <c r="F481" s="74"/>
      <c r="G481" s="74"/>
      <c r="H481" s="147"/>
    </row>
    <row r="482" spans="3:9">
      <c r="C482" s="201" t="s">
        <v>1215</v>
      </c>
      <c r="D482" s="60" t="s">
        <v>5</v>
      </c>
      <c r="E482" s="73" t="s">
        <v>6</v>
      </c>
      <c r="F482" s="184">
        <v>0.42680000000000001</v>
      </c>
      <c r="G482" s="65">
        <f>VLOOKUP(D482,upahbahan,3,FALSE)</f>
        <v>100000</v>
      </c>
      <c r="H482" s="125">
        <f>F482*G482</f>
        <v>42680</v>
      </c>
    </row>
    <row r="483" spans="3:9" s="56" customFormat="1">
      <c r="C483" s="201" t="s">
        <v>1216</v>
      </c>
      <c r="D483" s="60" t="s">
        <v>19</v>
      </c>
      <c r="E483" s="73" t="s">
        <v>6</v>
      </c>
      <c r="F483" s="184">
        <v>4.2700000000000002E-2</v>
      </c>
      <c r="G483" s="65">
        <f>VLOOKUP(D483,upahbahan,3,FALSE)</f>
        <v>145000</v>
      </c>
      <c r="H483" s="125">
        <f>F483*G483</f>
        <v>6191.5</v>
      </c>
      <c r="I483" s="55"/>
    </row>
    <row r="484" spans="3:9" ht="15.75" customHeight="1">
      <c r="C484" s="145" t="s">
        <v>1220</v>
      </c>
      <c r="D484" s="81"/>
      <c r="E484" s="81"/>
      <c r="F484" s="190"/>
      <c r="G484" s="163"/>
      <c r="H484" s="125">
        <f>SUM(H482:H483)</f>
        <v>48871.5</v>
      </c>
    </row>
    <row r="485" spans="3:9">
      <c r="C485" s="142" t="s">
        <v>1221</v>
      </c>
      <c r="D485" s="60" t="s">
        <v>1222</v>
      </c>
      <c r="E485" s="77"/>
      <c r="F485" s="77"/>
      <c r="G485" s="77"/>
      <c r="H485" s="144"/>
    </row>
    <row r="486" spans="3:9" ht="15.75" customHeight="1">
      <c r="C486" s="145" t="s">
        <v>1226</v>
      </c>
      <c r="D486" s="81"/>
      <c r="E486" s="81"/>
      <c r="F486" s="81"/>
      <c r="G486" s="163"/>
      <c r="H486" s="185">
        <v>0</v>
      </c>
    </row>
    <row r="487" spans="3:9">
      <c r="C487" s="142" t="s">
        <v>1227</v>
      </c>
      <c r="D487" s="60" t="s">
        <v>1228</v>
      </c>
      <c r="E487" s="74"/>
      <c r="F487" s="74"/>
      <c r="G487" s="74"/>
      <c r="H487" s="147"/>
    </row>
    <row r="488" spans="3:9">
      <c r="C488" s="146" t="s">
        <v>1215</v>
      </c>
      <c r="D488" s="60" t="s">
        <v>1155</v>
      </c>
      <c r="E488" s="88" t="s">
        <v>1091</v>
      </c>
      <c r="F488" s="191">
        <v>0.1067</v>
      </c>
      <c r="G488" s="65">
        <f>VLOOKUP(D488,upahbahan,3,FALSE)</f>
        <v>95000</v>
      </c>
      <c r="H488" s="125">
        <f>F488*G488</f>
        <v>10136.5</v>
      </c>
    </row>
    <row r="489" spans="3:9">
      <c r="C489" s="146" t="s">
        <v>1216</v>
      </c>
      <c r="D489" s="60" t="s">
        <v>1127</v>
      </c>
      <c r="E489" s="88" t="s">
        <v>1091</v>
      </c>
      <c r="F489" s="191">
        <v>0.1067</v>
      </c>
      <c r="G489" s="65">
        <f>VLOOKUP(D489,upahbahan,3,FALSE)</f>
        <v>250000</v>
      </c>
      <c r="H489" s="125">
        <f>F489*G489</f>
        <v>26675</v>
      </c>
    </row>
    <row r="490" spans="3:9" ht="15.75" customHeight="1">
      <c r="C490" s="145" t="s">
        <v>1229</v>
      </c>
      <c r="D490" s="81"/>
      <c r="E490" s="81"/>
      <c r="F490" s="81"/>
      <c r="G490" s="163"/>
      <c r="H490" s="125">
        <f>SUM(H488:H489)</f>
        <v>36811.5</v>
      </c>
    </row>
    <row r="491" spans="3:9" s="164" customFormat="1">
      <c r="C491" s="123" t="s">
        <v>1230</v>
      </c>
      <c r="D491" s="70" t="s">
        <v>1231</v>
      </c>
      <c r="E491" s="71"/>
      <c r="F491" s="71"/>
      <c r="G491" s="72"/>
      <c r="H491" s="125">
        <f>H490+H486+H484</f>
        <v>85683</v>
      </c>
      <c r="I491" s="55"/>
    </row>
    <row r="492" spans="3:9" s="164" customFormat="1">
      <c r="C492" s="123" t="s">
        <v>1232</v>
      </c>
      <c r="D492" s="70" t="s">
        <v>1410</v>
      </c>
      <c r="E492" s="71"/>
      <c r="F492" s="72"/>
      <c r="G492" s="96">
        <f>$M$7</f>
        <v>0.1</v>
      </c>
      <c r="H492" s="125">
        <f>H491*G492</f>
        <v>8568.3000000000011</v>
      </c>
      <c r="I492" s="55"/>
    </row>
    <row r="493" spans="3:9" s="164" customFormat="1" ht="15.75" thickBot="1">
      <c r="C493" s="131" t="s">
        <v>1233</v>
      </c>
      <c r="D493" s="132" t="s">
        <v>1234</v>
      </c>
      <c r="E493" s="133"/>
      <c r="F493" s="133"/>
      <c r="G493" s="156"/>
      <c r="H493" s="135">
        <f>SUM(H491:H492)</f>
        <v>94251.3</v>
      </c>
      <c r="I493" s="55"/>
    </row>
    <row r="494" spans="3:9" ht="15.75" thickTop="1"/>
    <row r="495" spans="3:9" ht="33.75" customHeight="1" thickBot="1">
      <c r="C495" s="516" t="s">
        <v>1341</v>
      </c>
      <c r="D495" s="516"/>
      <c r="E495" s="516"/>
      <c r="F495" s="516"/>
      <c r="G495" s="516"/>
      <c r="H495" s="516"/>
      <c r="I495" s="57">
        <f>ROUNDDOWN(H509,-2)</f>
        <v>420800</v>
      </c>
    </row>
    <row r="496" spans="3:9" ht="29.25" thickTop="1">
      <c r="C496" s="120" t="s">
        <v>1207</v>
      </c>
      <c r="D496" s="121" t="s">
        <v>1208</v>
      </c>
      <c r="E496" s="121" t="s">
        <v>1209</v>
      </c>
      <c r="F496" s="121" t="s">
        <v>1210</v>
      </c>
      <c r="G496" s="121" t="s">
        <v>1211</v>
      </c>
      <c r="H496" s="122" t="s">
        <v>1212</v>
      </c>
    </row>
    <row r="497" spans="3:9">
      <c r="C497" s="142" t="s">
        <v>1213</v>
      </c>
      <c r="D497" s="60" t="s">
        <v>1214</v>
      </c>
      <c r="E497" s="74"/>
      <c r="F497" s="74"/>
      <c r="G497" s="74"/>
      <c r="H497" s="147"/>
    </row>
    <row r="498" spans="3:9">
      <c r="C498" s="201" t="s">
        <v>1215</v>
      </c>
      <c r="D498" s="60" t="s">
        <v>5</v>
      </c>
      <c r="E498" s="73" t="s">
        <v>6</v>
      </c>
      <c r="F498" s="184">
        <v>1.9056999999999999</v>
      </c>
      <c r="G498" s="65">
        <f>VLOOKUP(D498,upahbahan,3,FALSE)</f>
        <v>100000</v>
      </c>
      <c r="H498" s="125">
        <f>F498*G498</f>
        <v>190570</v>
      </c>
    </row>
    <row r="499" spans="3:9" s="56" customFormat="1">
      <c r="C499" s="201" t="s">
        <v>1216</v>
      </c>
      <c r="D499" s="60" t="s">
        <v>19</v>
      </c>
      <c r="E499" s="73" t="s">
        <v>6</v>
      </c>
      <c r="F499" s="184">
        <v>0.19059999999999999</v>
      </c>
      <c r="G499" s="65">
        <f>VLOOKUP(D499,upahbahan,3,FALSE)</f>
        <v>145000</v>
      </c>
      <c r="H499" s="125">
        <f>F499*G499</f>
        <v>27637</v>
      </c>
      <c r="I499" s="55"/>
    </row>
    <row r="500" spans="3:9" ht="15.75" customHeight="1">
      <c r="C500" s="145" t="s">
        <v>1220</v>
      </c>
      <c r="D500" s="81"/>
      <c r="E500" s="81"/>
      <c r="F500" s="190"/>
      <c r="G500" s="163"/>
      <c r="H500" s="125">
        <f>SUM(H498:H499)</f>
        <v>218207</v>
      </c>
    </row>
    <row r="501" spans="3:9">
      <c r="C501" s="142" t="s">
        <v>1221</v>
      </c>
      <c r="D501" s="60" t="s">
        <v>1222</v>
      </c>
      <c r="E501" s="77"/>
      <c r="F501" s="77"/>
      <c r="G501" s="77"/>
      <c r="H501" s="155"/>
    </row>
    <row r="502" spans="3:9" ht="15.75" customHeight="1">
      <c r="C502" s="145" t="s">
        <v>1226</v>
      </c>
      <c r="D502" s="81"/>
      <c r="E502" s="81"/>
      <c r="F502" s="81"/>
      <c r="G502" s="163"/>
      <c r="H502" s="185">
        <v>0</v>
      </c>
    </row>
    <row r="503" spans="3:9">
      <c r="C503" s="142" t="s">
        <v>1227</v>
      </c>
      <c r="D503" s="60" t="s">
        <v>1228</v>
      </c>
      <c r="E503" s="74"/>
      <c r="F503" s="74"/>
      <c r="G503" s="74"/>
      <c r="H503" s="147"/>
    </row>
    <row r="504" spans="3:9">
      <c r="C504" s="146" t="s">
        <v>1215</v>
      </c>
      <c r="D504" s="60" t="s">
        <v>1155</v>
      </c>
      <c r="E504" s="88" t="s">
        <v>1091</v>
      </c>
      <c r="F504" s="191">
        <v>0.47639999999999999</v>
      </c>
      <c r="G504" s="65">
        <f>VLOOKUP(D504,upahbahan,3,FALSE)</f>
        <v>95000</v>
      </c>
      <c r="H504" s="125">
        <f>F504*G504</f>
        <v>45258</v>
      </c>
    </row>
    <row r="505" spans="3:9">
      <c r="C505" s="146" t="s">
        <v>1216</v>
      </c>
      <c r="D505" s="60" t="s">
        <v>1127</v>
      </c>
      <c r="E505" s="88" t="s">
        <v>1091</v>
      </c>
      <c r="F505" s="191">
        <v>0.47639999999999999</v>
      </c>
      <c r="G505" s="65">
        <f>VLOOKUP(D505,upahbahan,3,FALSE)</f>
        <v>250000</v>
      </c>
      <c r="H505" s="125">
        <f>F505*G505</f>
        <v>119100</v>
      </c>
    </row>
    <row r="506" spans="3:9" ht="15.75" customHeight="1">
      <c r="C506" s="145" t="s">
        <v>1229</v>
      </c>
      <c r="D506" s="81"/>
      <c r="E506" s="81"/>
      <c r="F506" s="81"/>
      <c r="G506" s="163"/>
      <c r="H506" s="125">
        <f>SUM(H504:H505)</f>
        <v>164358</v>
      </c>
    </row>
    <row r="507" spans="3:9" s="164" customFormat="1">
      <c r="C507" s="123" t="s">
        <v>1230</v>
      </c>
      <c r="D507" s="70" t="s">
        <v>1231</v>
      </c>
      <c r="E507" s="71"/>
      <c r="F507" s="71"/>
      <c r="G507" s="72"/>
      <c r="H507" s="125">
        <f>H506+H502+H500</f>
        <v>382565</v>
      </c>
      <c r="I507" s="55"/>
    </row>
    <row r="508" spans="3:9" s="164" customFormat="1">
      <c r="C508" s="123" t="s">
        <v>1232</v>
      </c>
      <c r="D508" s="70" t="s">
        <v>1410</v>
      </c>
      <c r="E508" s="71"/>
      <c r="F508" s="72"/>
      <c r="G508" s="96">
        <f>$M$7</f>
        <v>0.1</v>
      </c>
      <c r="H508" s="125">
        <f>H507*G508</f>
        <v>38256.5</v>
      </c>
      <c r="I508" s="55"/>
    </row>
    <row r="509" spans="3:9" s="164" customFormat="1" ht="15.75" thickBot="1">
      <c r="C509" s="131" t="s">
        <v>1233</v>
      </c>
      <c r="D509" s="132" t="s">
        <v>1234</v>
      </c>
      <c r="E509" s="133"/>
      <c r="F509" s="133"/>
      <c r="G509" s="156"/>
      <c r="H509" s="135">
        <f>SUM(H507:H508)</f>
        <v>420821.5</v>
      </c>
      <c r="I509" s="55"/>
    </row>
    <row r="510" spans="3:9" ht="15.75" thickTop="1"/>
    <row r="511" spans="3:9" ht="15.75" thickBot="1">
      <c r="C511" s="54" t="s">
        <v>1342</v>
      </c>
      <c r="D511" s="54"/>
      <c r="E511" s="54"/>
      <c r="F511" s="54"/>
      <c r="G511" s="54"/>
      <c r="H511" s="54"/>
      <c r="I511" s="57">
        <f>ROUNDDOWN(H525,-2)</f>
        <v>631300</v>
      </c>
    </row>
    <row r="512" spans="3:9" ht="29.25" thickTop="1">
      <c r="C512" s="120" t="s">
        <v>1207</v>
      </c>
      <c r="D512" s="121" t="s">
        <v>1208</v>
      </c>
      <c r="E512" s="121" t="s">
        <v>1209</v>
      </c>
      <c r="F512" s="121" t="s">
        <v>1210</v>
      </c>
      <c r="G512" s="121" t="s">
        <v>1211</v>
      </c>
      <c r="H512" s="122" t="s">
        <v>1212</v>
      </c>
    </row>
    <row r="513" spans="3:9">
      <c r="C513" s="142" t="s">
        <v>1213</v>
      </c>
      <c r="D513" s="60" t="s">
        <v>1214</v>
      </c>
      <c r="E513" s="74"/>
      <c r="F513" s="74"/>
      <c r="G513" s="74"/>
      <c r="H513" s="147"/>
    </row>
    <row r="514" spans="3:9">
      <c r="C514" s="201" t="s">
        <v>1215</v>
      </c>
      <c r="D514" s="60" t="s">
        <v>5</v>
      </c>
      <c r="E514" s="73" t="s">
        <v>6</v>
      </c>
      <c r="F514" s="184">
        <v>2.8592</v>
      </c>
      <c r="G514" s="65">
        <f>VLOOKUP(D514,upahbahan,3,FALSE)</f>
        <v>100000</v>
      </c>
      <c r="H514" s="125">
        <f>F514*G514</f>
        <v>285920</v>
      </c>
    </row>
    <row r="515" spans="3:9" s="56" customFormat="1">
      <c r="C515" s="201" t="s">
        <v>1216</v>
      </c>
      <c r="D515" s="60" t="s">
        <v>19</v>
      </c>
      <c r="E515" s="73" t="s">
        <v>6</v>
      </c>
      <c r="F515" s="184">
        <v>0.28589999999999999</v>
      </c>
      <c r="G515" s="65">
        <f>VLOOKUP(D515,upahbahan,3,FALSE)</f>
        <v>145000</v>
      </c>
      <c r="H515" s="125">
        <f>F515*G515</f>
        <v>41455.5</v>
      </c>
      <c r="I515" s="55"/>
    </row>
    <row r="516" spans="3:9" ht="15.75" customHeight="1">
      <c r="C516" s="145" t="s">
        <v>1220</v>
      </c>
      <c r="D516" s="81"/>
      <c r="E516" s="81"/>
      <c r="F516" s="190"/>
      <c r="G516" s="163"/>
      <c r="H516" s="125">
        <f>SUM(H514:H515)</f>
        <v>327375.5</v>
      </c>
    </row>
    <row r="517" spans="3:9">
      <c r="C517" s="142" t="s">
        <v>1221</v>
      </c>
      <c r="D517" s="60" t="s">
        <v>1222</v>
      </c>
      <c r="E517" s="77"/>
      <c r="F517" s="77"/>
      <c r="G517" s="77"/>
      <c r="H517" s="155"/>
    </row>
    <row r="518" spans="3:9" ht="15.75" customHeight="1">
      <c r="C518" s="145" t="s">
        <v>1226</v>
      </c>
      <c r="D518" s="81"/>
      <c r="E518" s="81"/>
      <c r="F518" s="81"/>
      <c r="G518" s="163"/>
      <c r="H518" s="185">
        <v>0</v>
      </c>
    </row>
    <row r="519" spans="3:9">
      <c r="C519" s="142" t="s">
        <v>1227</v>
      </c>
      <c r="D519" s="60" t="s">
        <v>1228</v>
      </c>
      <c r="E519" s="74"/>
      <c r="F519" s="74"/>
      <c r="G519" s="74"/>
      <c r="H519" s="147"/>
    </row>
    <row r="520" spans="3:9">
      <c r="C520" s="146" t="s">
        <v>1215</v>
      </c>
      <c r="D520" s="60" t="s">
        <v>1155</v>
      </c>
      <c r="E520" s="88" t="s">
        <v>1091</v>
      </c>
      <c r="F520" s="191">
        <v>0.71479999999999999</v>
      </c>
      <c r="G520" s="65">
        <f>VLOOKUP(D520,upahbahan,3,FALSE)</f>
        <v>95000</v>
      </c>
      <c r="H520" s="125">
        <f>F520*G520</f>
        <v>67906</v>
      </c>
    </row>
    <row r="521" spans="3:9">
      <c r="C521" s="146" t="s">
        <v>1216</v>
      </c>
      <c r="D521" s="60" t="s">
        <v>1127</v>
      </c>
      <c r="E521" s="88" t="s">
        <v>1091</v>
      </c>
      <c r="F521" s="191">
        <v>0.71479999999999999</v>
      </c>
      <c r="G521" s="65">
        <f>VLOOKUP(D521,upahbahan,3,FALSE)</f>
        <v>250000</v>
      </c>
      <c r="H521" s="125">
        <f>F521*G521</f>
        <v>178700</v>
      </c>
    </row>
    <row r="522" spans="3:9" ht="15.75" customHeight="1">
      <c r="C522" s="145" t="s">
        <v>1229</v>
      </c>
      <c r="D522" s="81"/>
      <c r="E522" s="81"/>
      <c r="F522" s="81"/>
      <c r="G522" s="163"/>
      <c r="H522" s="125">
        <f>SUM(H520:H521)</f>
        <v>246606</v>
      </c>
    </row>
    <row r="523" spans="3:9" s="164" customFormat="1">
      <c r="C523" s="123" t="s">
        <v>1230</v>
      </c>
      <c r="D523" s="70" t="s">
        <v>1231</v>
      </c>
      <c r="E523" s="71"/>
      <c r="F523" s="71"/>
      <c r="G523" s="72"/>
      <c r="H523" s="125">
        <f>H522+H518+H516</f>
        <v>573981.5</v>
      </c>
      <c r="I523" s="55"/>
    </row>
    <row r="524" spans="3:9" s="164" customFormat="1">
      <c r="C524" s="123" t="s">
        <v>1232</v>
      </c>
      <c r="D524" s="70" t="s">
        <v>1410</v>
      </c>
      <c r="E524" s="71"/>
      <c r="F524" s="72"/>
      <c r="G524" s="96">
        <f>$M$7</f>
        <v>0.1</v>
      </c>
      <c r="H524" s="125">
        <f>H523*G524</f>
        <v>57398.15</v>
      </c>
      <c r="I524" s="55"/>
    </row>
    <row r="525" spans="3:9" s="164" customFormat="1" ht="15.75" thickBot="1">
      <c r="C525" s="131" t="s">
        <v>1233</v>
      </c>
      <c r="D525" s="132" t="s">
        <v>1234</v>
      </c>
      <c r="E525" s="133"/>
      <c r="F525" s="133"/>
      <c r="G525" s="156"/>
      <c r="H525" s="135">
        <f>SUM(H523:H524)</f>
        <v>631379.65</v>
      </c>
      <c r="I525" s="55"/>
    </row>
    <row r="526" spans="3:9" ht="15.75" thickTop="1"/>
    <row r="527" spans="3:9" ht="15.75" thickBot="1">
      <c r="C527" s="54" t="s">
        <v>1343</v>
      </c>
      <c r="D527" s="54"/>
      <c r="E527" s="54"/>
      <c r="F527" s="54"/>
      <c r="G527" s="54"/>
      <c r="H527" s="54"/>
      <c r="I527" s="57">
        <f>ROUNDDOWN(H543,-2)</f>
        <v>4478200</v>
      </c>
    </row>
    <row r="528" spans="3:9" ht="29.25" thickTop="1">
      <c r="C528" s="120" t="s">
        <v>1207</v>
      </c>
      <c r="D528" s="121" t="s">
        <v>1208</v>
      </c>
      <c r="E528" s="121" t="s">
        <v>1209</v>
      </c>
      <c r="F528" s="121" t="s">
        <v>1210</v>
      </c>
      <c r="G528" s="121" t="s">
        <v>1211</v>
      </c>
      <c r="H528" s="122" t="s">
        <v>1212</v>
      </c>
    </row>
    <row r="529" spans="3:9">
      <c r="C529" s="142" t="s">
        <v>1213</v>
      </c>
      <c r="D529" s="60" t="s">
        <v>1214</v>
      </c>
      <c r="E529" s="74"/>
      <c r="F529" s="74"/>
      <c r="G529" s="74"/>
      <c r="H529" s="147"/>
    </row>
    <row r="530" spans="3:9">
      <c r="C530" s="201" t="s">
        <v>1215</v>
      </c>
      <c r="D530" s="60" t="s">
        <v>5</v>
      </c>
      <c r="E530" s="73" t="s">
        <v>6</v>
      </c>
      <c r="F530" s="75">
        <v>0.4</v>
      </c>
      <c r="G530" s="65">
        <f>VLOOKUP(D530,upahbahan,3,FALSE)</f>
        <v>100000</v>
      </c>
      <c r="H530" s="125">
        <f>F530*G530</f>
        <v>40000</v>
      </c>
    </row>
    <row r="531" spans="3:9" s="56" customFormat="1">
      <c r="C531" s="201" t="s">
        <v>1216</v>
      </c>
      <c r="D531" s="60" t="s">
        <v>19</v>
      </c>
      <c r="E531" s="73" t="s">
        <v>6</v>
      </c>
      <c r="F531" s="75">
        <v>0.04</v>
      </c>
      <c r="G531" s="65">
        <f>VLOOKUP(D531,upahbahan,3,FALSE)</f>
        <v>145000</v>
      </c>
      <c r="H531" s="125">
        <f>F531*G531</f>
        <v>5800</v>
      </c>
      <c r="I531" s="55"/>
    </row>
    <row r="532" spans="3:9" ht="15.75" customHeight="1">
      <c r="C532" s="145" t="s">
        <v>1220</v>
      </c>
      <c r="D532" s="81"/>
      <c r="E532" s="81"/>
      <c r="F532" s="190"/>
      <c r="G532" s="163"/>
      <c r="H532" s="125">
        <f>SUM(H530:H531)</f>
        <v>45800</v>
      </c>
    </row>
    <row r="533" spans="3:9">
      <c r="C533" s="142" t="s">
        <v>1221</v>
      </c>
      <c r="D533" s="60" t="s">
        <v>1222</v>
      </c>
      <c r="E533" s="77"/>
      <c r="F533" s="77"/>
      <c r="G533" s="77"/>
      <c r="H533" s="155"/>
    </row>
    <row r="534" spans="3:9">
      <c r="C534" s="201" t="s">
        <v>1215</v>
      </c>
      <c r="D534" s="78" t="s">
        <v>762</v>
      </c>
      <c r="E534" s="73" t="s">
        <v>42</v>
      </c>
      <c r="F534" s="184">
        <v>0.1963</v>
      </c>
      <c r="G534" s="65">
        <f>VLOOKUP(D534,upahbahan,3,FALSE)</f>
        <v>20000000</v>
      </c>
      <c r="H534" s="125">
        <f>F534*G534</f>
        <v>3926000</v>
      </c>
    </row>
    <row r="535" spans="3:9" ht="15.75" customHeight="1">
      <c r="C535" s="145" t="s">
        <v>1226</v>
      </c>
      <c r="D535" s="81"/>
      <c r="E535" s="81"/>
      <c r="F535" s="81"/>
      <c r="G535" s="163"/>
      <c r="H535" s="125">
        <f>SUM(H534:H534)</f>
        <v>3926000</v>
      </c>
    </row>
    <row r="536" spans="3:9">
      <c r="C536" s="142" t="s">
        <v>1227</v>
      </c>
      <c r="D536" s="60" t="s">
        <v>1228</v>
      </c>
      <c r="E536" s="74"/>
      <c r="F536" s="74"/>
      <c r="G536" s="74"/>
      <c r="H536" s="147"/>
    </row>
    <row r="537" spans="3:9">
      <c r="C537" s="146" t="s">
        <v>1215</v>
      </c>
      <c r="D537" s="60" t="s">
        <v>1155</v>
      </c>
      <c r="E537" s="88" t="s">
        <v>1091</v>
      </c>
      <c r="F537" s="172">
        <v>0.1</v>
      </c>
      <c r="G537" s="65">
        <f>VLOOKUP(D537,upahbahan,3,FALSE)</f>
        <v>95000</v>
      </c>
      <c r="H537" s="125">
        <f>F537*G537</f>
        <v>9500</v>
      </c>
    </row>
    <row r="538" spans="3:9">
      <c r="C538" s="146" t="s">
        <v>1216</v>
      </c>
      <c r="D538" s="60" t="s">
        <v>1128</v>
      </c>
      <c r="E538" s="88" t="s">
        <v>1091</v>
      </c>
      <c r="F538" s="172">
        <v>0.1</v>
      </c>
      <c r="G538" s="65">
        <f>VLOOKUP(D538,upahbahan,3,FALSE)</f>
        <v>340000</v>
      </c>
      <c r="H538" s="125">
        <f>F538*G538</f>
        <v>34000</v>
      </c>
    </row>
    <row r="539" spans="3:9">
      <c r="C539" s="146" t="s">
        <v>1217</v>
      </c>
      <c r="D539" s="78" t="s">
        <v>1344</v>
      </c>
      <c r="E539" s="88" t="s">
        <v>114</v>
      </c>
      <c r="F539" s="172">
        <v>1</v>
      </c>
      <c r="G539" s="65">
        <f>VLOOKUP(D539,upahbahan,3,FALSE)</f>
        <v>55800</v>
      </c>
      <c r="H539" s="125">
        <f>F539*G539</f>
        <v>55800</v>
      </c>
    </row>
    <row r="540" spans="3:9" ht="15.75" customHeight="1">
      <c r="C540" s="145" t="s">
        <v>1229</v>
      </c>
      <c r="D540" s="81"/>
      <c r="E540" s="81"/>
      <c r="F540" s="81"/>
      <c r="G540" s="163"/>
      <c r="H540" s="125">
        <f>SUM(H537:H539)</f>
        <v>99300</v>
      </c>
    </row>
    <row r="541" spans="3:9" s="164" customFormat="1">
      <c r="C541" s="123" t="s">
        <v>1230</v>
      </c>
      <c r="D541" s="70" t="s">
        <v>1231</v>
      </c>
      <c r="E541" s="71"/>
      <c r="F541" s="71"/>
      <c r="G541" s="72"/>
      <c r="H541" s="125">
        <f>H540+H535+H532</f>
        <v>4071100</v>
      </c>
      <c r="I541" s="55"/>
    </row>
    <row r="542" spans="3:9" s="164" customFormat="1">
      <c r="C542" s="123" t="s">
        <v>1232</v>
      </c>
      <c r="D542" s="70" t="s">
        <v>1410</v>
      </c>
      <c r="E542" s="71"/>
      <c r="F542" s="72"/>
      <c r="G542" s="96">
        <f>$M$7</f>
        <v>0.1</v>
      </c>
      <c r="H542" s="125">
        <f>H541*G542</f>
        <v>407110</v>
      </c>
      <c r="I542" s="55"/>
    </row>
    <row r="543" spans="3:9" s="164" customFormat="1" ht="15.75" thickBot="1">
      <c r="C543" s="131" t="s">
        <v>1233</v>
      </c>
      <c r="D543" s="132" t="s">
        <v>1234</v>
      </c>
      <c r="E543" s="133"/>
      <c r="F543" s="133"/>
      <c r="G543" s="156"/>
      <c r="H543" s="135">
        <f>SUM(H541:H542)</f>
        <v>4478210</v>
      </c>
      <c r="I543" s="55"/>
    </row>
    <row r="544" spans="3:9" ht="15.75" thickTop="1"/>
    <row r="545" spans="3:9" ht="15.75" thickBot="1">
      <c r="C545" s="54" t="s">
        <v>1345</v>
      </c>
      <c r="D545" s="54"/>
      <c r="E545" s="54"/>
      <c r="F545" s="54"/>
      <c r="G545" s="54"/>
      <c r="H545" s="54"/>
      <c r="I545" s="57">
        <f>ROUNDDOWN(H559,-2)</f>
        <v>163600</v>
      </c>
    </row>
    <row r="546" spans="3:9" ht="29.25" thickTop="1">
      <c r="C546" s="120" t="s">
        <v>1207</v>
      </c>
      <c r="D546" s="121" t="s">
        <v>1208</v>
      </c>
      <c r="E546" s="121" t="s">
        <v>1209</v>
      </c>
      <c r="F546" s="121" t="s">
        <v>1210</v>
      </c>
      <c r="G546" s="121" t="s">
        <v>1211</v>
      </c>
      <c r="H546" s="122" t="s">
        <v>1212</v>
      </c>
    </row>
    <row r="547" spans="3:9">
      <c r="C547" s="142" t="s">
        <v>1213</v>
      </c>
      <c r="D547" s="60" t="s">
        <v>1214</v>
      </c>
      <c r="E547" s="74"/>
      <c r="F547" s="74"/>
      <c r="G547" s="74"/>
      <c r="H547" s="147"/>
    </row>
    <row r="548" spans="3:9">
      <c r="C548" s="201" t="s">
        <v>1215</v>
      </c>
      <c r="D548" s="60" t="s">
        <v>5</v>
      </c>
      <c r="E548" s="73" t="s">
        <v>6</v>
      </c>
      <c r="F548" s="184">
        <v>0.66639999999999999</v>
      </c>
      <c r="G548" s="65">
        <f>VLOOKUP(D548,upahbahan,3,FALSE)</f>
        <v>100000</v>
      </c>
      <c r="H548" s="125">
        <f>F548*G548</f>
        <v>66640</v>
      </c>
    </row>
    <row r="549" spans="3:9" s="56" customFormat="1">
      <c r="C549" s="201" t="s">
        <v>1216</v>
      </c>
      <c r="D549" s="60" t="s">
        <v>19</v>
      </c>
      <c r="E549" s="73" t="s">
        <v>6</v>
      </c>
      <c r="F549" s="184">
        <v>6.6600000000000006E-2</v>
      </c>
      <c r="G549" s="65">
        <f>VLOOKUP(D549,upahbahan,3,FALSE)</f>
        <v>145000</v>
      </c>
      <c r="H549" s="125">
        <f>F549*G549</f>
        <v>9657.0000000000018</v>
      </c>
      <c r="I549" s="55"/>
    </row>
    <row r="550" spans="3:9" ht="15.75" customHeight="1">
      <c r="C550" s="145" t="s">
        <v>1220</v>
      </c>
      <c r="D550" s="81"/>
      <c r="E550" s="81"/>
      <c r="F550" s="190"/>
      <c r="G550" s="163"/>
      <c r="H550" s="125">
        <f>SUM(H548:H549)</f>
        <v>76297</v>
      </c>
    </row>
    <row r="551" spans="3:9">
      <c r="C551" s="142" t="s">
        <v>1221</v>
      </c>
      <c r="D551" s="60" t="s">
        <v>1222</v>
      </c>
      <c r="E551" s="77"/>
      <c r="F551" s="77"/>
      <c r="G551" s="77"/>
      <c r="H551" s="144"/>
    </row>
    <row r="552" spans="3:9" ht="15.75" customHeight="1">
      <c r="C552" s="145" t="s">
        <v>1226</v>
      </c>
      <c r="D552" s="81"/>
      <c r="E552" s="81"/>
      <c r="F552" s="81"/>
      <c r="G552" s="163"/>
      <c r="H552" s="185">
        <v>0</v>
      </c>
    </row>
    <row r="553" spans="3:9">
      <c r="C553" s="142" t="s">
        <v>1227</v>
      </c>
      <c r="D553" s="60" t="s">
        <v>1228</v>
      </c>
      <c r="E553" s="74"/>
      <c r="F553" s="74"/>
      <c r="G553" s="74"/>
      <c r="H553" s="147"/>
    </row>
    <row r="554" spans="3:9">
      <c r="C554" s="146" t="s">
        <v>1215</v>
      </c>
      <c r="D554" s="60" t="s">
        <v>1155</v>
      </c>
      <c r="E554" s="88" t="s">
        <v>1091</v>
      </c>
      <c r="F554" s="191">
        <v>0.1666</v>
      </c>
      <c r="G554" s="65">
        <f>VLOOKUP(D554,upahbahan,3,FALSE)</f>
        <v>95000</v>
      </c>
      <c r="H554" s="125">
        <f>F554*G554</f>
        <v>15827</v>
      </c>
    </row>
    <row r="555" spans="3:9">
      <c r="C555" s="146" t="s">
        <v>1216</v>
      </c>
      <c r="D555" s="60" t="s">
        <v>1128</v>
      </c>
      <c r="E555" s="88" t="s">
        <v>1091</v>
      </c>
      <c r="F555" s="191">
        <v>0.1666</v>
      </c>
      <c r="G555" s="65">
        <f>VLOOKUP(D555,upahbahan,3,FALSE)</f>
        <v>340000</v>
      </c>
      <c r="H555" s="125">
        <f>F555*G555</f>
        <v>56644</v>
      </c>
    </row>
    <row r="556" spans="3:9" ht="15.75" customHeight="1">
      <c r="C556" s="145" t="s">
        <v>1229</v>
      </c>
      <c r="D556" s="81"/>
      <c r="E556" s="81"/>
      <c r="F556" s="81"/>
      <c r="G556" s="163"/>
      <c r="H556" s="125">
        <f>SUM(H554:H555)</f>
        <v>72471</v>
      </c>
    </row>
    <row r="557" spans="3:9" s="164" customFormat="1">
      <c r="C557" s="123" t="s">
        <v>1230</v>
      </c>
      <c r="D557" s="70" t="s">
        <v>1231</v>
      </c>
      <c r="E557" s="71"/>
      <c r="F557" s="71"/>
      <c r="G557" s="72"/>
      <c r="H557" s="125">
        <f>H556+H552+H550</f>
        <v>148768</v>
      </c>
      <c r="I557" s="55"/>
    </row>
    <row r="558" spans="3:9" s="164" customFormat="1">
      <c r="C558" s="123" t="s">
        <v>1232</v>
      </c>
      <c r="D558" s="70" t="s">
        <v>1410</v>
      </c>
      <c r="E558" s="71"/>
      <c r="F558" s="72"/>
      <c r="G558" s="96">
        <f>$M$7</f>
        <v>0.1</v>
      </c>
      <c r="H558" s="125">
        <f>H557*G558</f>
        <v>14876.800000000001</v>
      </c>
      <c r="I558" s="55"/>
    </row>
    <row r="559" spans="3:9" s="164" customFormat="1" ht="15.75" thickBot="1">
      <c r="C559" s="131" t="s">
        <v>1233</v>
      </c>
      <c r="D559" s="132" t="s">
        <v>1234</v>
      </c>
      <c r="E559" s="133"/>
      <c r="F559" s="133"/>
      <c r="G559" s="156"/>
      <c r="H559" s="135">
        <f>SUM(H557:H558)</f>
        <v>163644.79999999999</v>
      </c>
      <c r="I559" s="55"/>
    </row>
    <row r="560" spans="3:9" ht="15.75" thickTop="1"/>
    <row r="561" spans="3:9" ht="33.75" customHeight="1" thickBot="1">
      <c r="C561" s="516" t="s">
        <v>1346</v>
      </c>
      <c r="D561" s="516"/>
      <c r="E561" s="516"/>
      <c r="F561" s="516"/>
      <c r="G561" s="516"/>
      <c r="H561" s="516"/>
      <c r="I561" s="57">
        <f>ROUNDDOWN(H575,-2)</f>
        <v>1091400</v>
      </c>
    </row>
    <row r="562" spans="3:9" ht="29.25" thickTop="1">
      <c r="C562" s="120" t="s">
        <v>1207</v>
      </c>
      <c r="D562" s="121" t="s">
        <v>1208</v>
      </c>
      <c r="E562" s="121" t="s">
        <v>1209</v>
      </c>
      <c r="F562" s="121" t="s">
        <v>1210</v>
      </c>
      <c r="G562" s="121" t="s">
        <v>1211</v>
      </c>
      <c r="H562" s="122" t="s">
        <v>1212</v>
      </c>
    </row>
    <row r="563" spans="3:9">
      <c r="C563" s="142" t="s">
        <v>1213</v>
      </c>
      <c r="D563" s="60" t="s">
        <v>1214</v>
      </c>
      <c r="E563" s="74"/>
      <c r="F563" s="74"/>
      <c r="G563" s="74"/>
      <c r="H563" s="147"/>
    </row>
    <row r="564" spans="3:9">
      <c r="C564" s="201" t="s">
        <v>1215</v>
      </c>
      <c r="D564" s="60" t="s">
        <v>5</v>
      </c>
      <c r="E564" s="73" t="s">
        <v>6</v>
      </c>
      <c r="F564" s="184">
        <v>4.4443999999999999</v>
      </c>
      <c r="G564" s="65">
        <f>VLOOKUP(D564,upahbahan,3,FALSE)</f>
        <v>100000</v>
      </c>
      <c r="H564" s="125">
        <f>F564*G564</f>
        <v>444440</v>
      </c>
    </row>
    <row r="565" spans="3:9" s="56" customFormat="1">
      <c r="C565" s="201" t="s">
        <v>1216</v>
      </c>
      <c r="D565" s="60" t="s">
        <v>19</v>
      </c>
      <c r="E565" s="73" t="s">
        <v>6</v>
      </c>
      <c r="F565" s="184">
        <v>0.44440000000000002</v>
      </c>
      <c r="G565" s="65">
        <f>VLOOKUP(D565,upahbahan,3,FALSE)</f>
        <v>145000</v>
      </c>
      <c r="H565" s="125">
        <f>F565*G565</f>
        <v>64438</v>
      </c>
      <c r="I565" s="55"/>
    </row>
    <row r="566" spans="3:9" ht="15.75" customHeight="1">
      <c r="C566" s="145" t="s">
        <v>1220</v>
      </c>
      <c r="D566" s="81"/>
      <c r="E566" s="81"/>
      <c r="F566" s="190"/>
      <c r="G566" s="163"/>
      <c r="H566" s="125">
        <f>SUM(H564:H565)</f>
        <v>508878</v>
      </c>
    </row>
    <row r="567" spans="3:9">
      <c r="C567" s="142" t="s">
        <v>1221</v>
      </c>
      <c r="D567" s="60" t="s">
        <v>1222</v>
      </c>
      <c r="E567" s="77"/>
      <c r="F567" s="77"/>
      <c r="G567" s="77"/>
      <c r="H567" s="155"/>
    </row>
    <row r="568" spans="3:9" ht="15.75" customHeight="1">
      <c r="C568" s="145" t="s">
        <v>1226</v>
      </c>
      <c r="D568" s="81"/>
      <c r="E568" s="81"/>
      <c r="F568" s="81"/>
      <c r="G568" s="163"/>
      <c r="H568" s="185">
        <v>0</v>
      </c>
    </row>
    <row r="569" spans="3:9">
      <c r="C569" s="142" t="s">
        <v>1227</v>
      </c>
      <c r="D569" s="60" t="s">
        <v>1228</v>
      </c>
      <c r="E569" s="74"/>
      <c r="F569" s="74"/>
      <c r="G569" s="74"/>
      <c r="H569" s="147"/>
    </row>
    <row r="570" spans="3:9">
      <c r="C570" s="146" t="s">
        <v>1215</v>
      </c>
      <c r="D570" s="60" t="s">
        <v>1155</v>
      </c>
      <c r="E570" s="88" t="s">
        <v>1091</v>
      </c>
      <c r="F570" s="191">
        <v>1.1111</v>
      </c>
      <c r="G570" s="65">
        <f>VLOOKUP(D570,upahbahan,3,FALSE)</f>
        <v>95000</v>
      </c>
      <c r="H570" s="125">
        <f>F570*G570</f>
        <v>105554.5</v>
      </c>
    </row>
    <row r="571" spans="3:9">
      <c r="C571" s="146" t="s">
        <v>1216</v>
      </c>
      <c r="D571" s="60" t="s">
        <v>1128</v>
      </c>
      <c r="E571" s="88" t="s">
        <v>1091</v>
      </c>
      <c r="F571" s="191">
        <v>1.1111</v>
      </c>
      <c r="G571" s="65">
        <f>VLOOKUP(D571,upahbahan,3,FALSE)</f>
        <v>340000</v>
      </c>
      <c r="H571" s="125">
        <f>F571*G571</f>
        <v>377774</v>
      </c>
    </row>
    <row r="572" spans="3:9" ht="15.75" customHeight="1">
      <c r="C572" s="145" t="s">
        <v>1229</v>
      </c>
      <c r="D572" s="81"/>
      <c r="E572" s="81"/>
      <c r="F572" s="81"/>
      <c r="G572" s="163"/>
      <c r="H572" s="125">
        <f>SUM(H570:H571)</f>
        <v>483328.5</v>
      </c>
    </row>
    <row r="573" spans="3:9" s="164" customFormat="1">
      <c r="C573" s="123" t="s">
        <v>1230</v>
      </c>
      <c r="D573" s="70" t="s">
        <v>1231</v>
      </c>
      <c r="E573" s="71"/>
      <c r="F573" s="71"/>
      <c r="G573" s="72"/>
      <c r="H573" s="125">
        <f>H572+H568+H566</f>
        <v>992206.5</v>
      </c>
      <c r="I573" s="55"/>
    </row>
    <row r="574" spans="3:9" s="164" customFormat="1">
      <c r="C574" s="123" t="s">
        <v>1232</v>
      </c>
      <c r="D574" s="70" t="s">
        <v>1410</v>
      </c>
      <c r="E574" s="71"/>
      <c r="F574" s="72"/>
      <c r="G574" s="96">
        <f>$M$7</f>
        <v>0.1</v>
      </c>
      <c r="H574" s="125">
        <f>H573*G574</f>
        <v>99220.650000000009</v>
      </c>
      <c r="I574" s="55"/>
    </row>
    <row r="575" spans="3:9" s="164" customFormat="1" ht="15.75" thickBot="1">
      <c r="C575" s="131" t="s">
        <v>1233</v>
      </c>
      <c r="D575" s="132" t="s">
        <v>1234</v>
      </c>
      <c r="E575" s="133"/>
      <c r="F575" s="133"/>
      <c r="G575" s="156"/>
      <c r="H575" s="135">
        <f>SUM(H573:H574)</f>
        <v>1091427.1499999999</v>
      </c>
      <c r="I575" s="55"/>
    </row>
    <row r="576" spans="3:9" ht="15.75" thickTop="1"/>
    <row r="577" spans="3:9" ht="15.75" thickBot="1">
      <c r="C577" s="54" t="s">
        <v>1347</v>
      </c>
      <c r="D577" s="54"/>
      <c r="E577" s="54"/>
      <c r="F577" s="54"/>
      <c r="G577" s="54"/>
      <c r="H577" s="54"/>
      <c r="I577" s="57">
        <f>ROUNDDOWN(H591,-2)</f>
        <v>1637000</v>
      </c>
    </row>
    <row r="578" spans="3:9" ht="29.25" thickTop="1">
      <c r="C578" s="120" t="s">
        <v>1207</v>
      </c>
      <c r="D578" s="121" t="s">
        <v>1208</v>
      </c>
      <c r="E578" s="121" t="s">
        <v>1209</v>
      </c>
      <c r="F578" s="121" t="s">
        <v>1210</v>
      </c>
      <c r="G578" s="121" t="s">
        <v>1211</v>
      </c>
      <c r="H578" s="122" t="s">
        <v>1212</v>
      </c>
    </row>
    <row r="579" spans="3:9">
      <c r="C579" s="142" t="s">
        <v>1213</v>
      </c>
      <c r="D579" s="60" t="s">
        <v>1214</v>
      </c>
      <c r="E579" s="74"/>
      <c r="F579" s="74"/>
      <c r="G579" s="74"/>
      <c r="H579" s="147"/>
    </row>
    <row r="580" spans="3:9">
      <c r="C580" s="201" t="s">
        <v>1215</v>
      </c>
      <c r="D580" s="60" t="s">
        <v>5</v>
      </c>
      <c r="E580" s="73" t="s">
        <v>6</v>
      </c>
      <c r="F580" s="184">
        <v>6.6664000000000003</v>
      </c>
      <c r="G580" s="65">
        <f>VLOOKUP(D580,upahbahan,3,FALSE)</f>
        <v>100000</v>
      </c>
      <c r="H580" s="125">
        <f>F580*G580</f>
        <v>666640</v>
      </c>
    </row>
    <row r="581" spans="3:9" s="56" customFormat="1">
      <c r="C581" s="201" t="s">
        <v>1216</v>
      </c>
      <c r="D581" s="60" t="s">
        <v>19</v>
      </c>
      <c r="E581" s="73" t="s">
        <v>6</v>
      </c>
      <c r="F581" s="184">
        <v>0.66659999999999997</v>
      </c>
      <c r="G581" s="65">
        <f>VLOOKUP(D581,upahbahan,3,FALSE)</f>
        <v>145000</v>
      </c>
      <c r="H581" s="125">
        <f>F581*G581</f>
        <v>96657</v>
      </c>
      <c r="I581" s="55"/>
    </row>
    <row r="582" spans="3:9" ht="15.75" customHeight="1">
      <c r="C582" s="145" t="s">
        <v>1220</v>
      </c>
      <c r="D582" s="81"/>
      <c r="E582" s="81"/>
      <c r="F582" s="190"/>
      <c r="G582" s="163"/>
      <c r="H582" s="125">
        <f>SUM(H580:H581)</f>
        <v>763297</v>
      </c>
    </row>
    <row r="583" spans="3:9">
      <c r="C583" s="142" t="s">
        <v>1221</v>
      </c>
      <c r="D583" s="60" t="s">
        <v>1222</v>
      </c>
      <c r="E583" s="77"/>
      <c r="F583" s="77"/>
      <c r="G583" s="77"/>
      <c r="H583" s="155"/>
    </row>
    <row r="584" spans="3:9" ht="15.75" customHeight="1">
      <c r="C584" s="145" t="s">
        <v>1226</v>
      </c>
      <c r="D584" s="81"/>
      <c r="E584" s="81"/>
      <c r="F584" s="81"/>
      <c r="G584" s="163"/>
      <c r="H584" s="185">
        <v>0</v>
      </c>
    </row>
    <row r="585" spans="3:9">
      <c r="C585" s="142" t="s">
        <v>1227</v>
      </c>
      <c r="D585" s="60" t="s">
        <v>1228</v>
      </c>
      <c r="E585" s="74"/>
      <c r="F585" s="74"/>
      <c r="G585" s="74"/>
      <c r="H585" s="147"/>
    </row>
    <row r="586" spans="3:9">
      <c r="C586" s="146" t="s">
        <v>1215</v>
      </c>
      <c r="D586" s="60" t="s">
        <v>1155</v>
      </c>
      <c r="E586" s="88" t="s">
        <v>1091</v>
      </c>
      <c r="F586" s="191">
        <v>1.6666000000000001</v>
      </c>
      <c r="G586" s="65">
        <f>VLOOKUP(D586,upahbahan,3,FALSE)</f>
        <v>95000</v>
      </c>
      <c r="H586" s="125">
        <f>F586*G586</f>
        <v>158327</v>
      </c>
    </row>
    <row r="587" spans="3:9">
      <c r="C587" s="146" t="s">
        <v>1216</v>
      </c>
      <c r="D587" s="60" t="s">
        <v>1128</v>
      </c>
      <c r="E587" s="88" t="s">
        <v>1091</v>
      </c>
      <c r="F587" s="191">
        <v>1.6666000000000001</v>
      </c>
      <c r="G587" s="65">
        <f>VLOOKUP(D587,upahbahan,3,FALSE)</f>
        <v>340000</v>
      </c>
      <c r="H587" s="125">
        <f>F587*G587</f>
        <v>566644</v>
      </c>
    </row>
    <row r="588" spans="3:9" ht="15.75" customHeight="1">
      <c r="C588" s="145" t="s">
        <v>1229</v>
      </c>
      <c r="D588" s="81"/>
      <c r="E588" s="81"/>
      <c r="F588" s="81"/>
      <c r="G588" s="163"/>
      <c r="H588" s="125">
        <f>SUM(H586:H587)</f>
        <v>724971</v>
      </c>
    </row>
    <row r="589" spans="3:9" s="164" customFormat="1">
      <c r="C589" s="123" t="s">
        <v>1230</v>
      </c>
      <c r="D589" s="70" t="s">
        <v>1231</v>
      </c>
      <c r="E589" s="71"/>
      <c r="F589" s="71"/>
      <c r="G589" s="72"/>
      <c r="H589" s="125">
        <f>H588+H584+H582</f>
        <v>1488268</v>
      </c>
      <c r="I589" s="55"/>
    </row>
    <row r="590" spans="3:9" s="164" customFormat="1">
      <c r="C590" s="123" t="s">
        <v>1232</v>
      </c>
      <c r="D590" s="70" t="s">
        <v>1410</v>
      </c>
      <c r="E590" s="71"/>
      <c r="F590" s="72"/>
      <c r="G590" s="96">
        <f>$M$7</f>
        <v>0.1</v>
      </c>
      <c r="H590" s="125">
        <f>H589*G590</f>
        <v>148826.80000000002</v>
      </c>
      <c r="I590" s="55"/>
    </row>
    <row r="591" spans="3:9" s="164" customFormat="1" ht="15.75" thickBot="1">
      <c r="C591" s="131" t="s">
        <v>1233</v>
      </c>
      <c r="D591" s="132" t="s">
        <v>1234</v>
      </c>
      <c r="E591" s="133"/>
      <c r="F591" s="133"/>
      <c r="G591" s="156"/>
      <c r="H591" s="135">
        <f>SUM(H589:H590)</f>
        <v>1637094.8</v>
      </c>
      <c r="I591" s="55"/>
    </row>
    <row r="592" spans="3:9" ht="15.75" thickTop="1"/>
  </sheetData>
  <mergeCells count="17">
    <mergeCell ref="C288:H288"/>
    <mergeCell ref="C363:H363"/>
    <mergeCell ref="C429:H429"/>
    <mergeCell ref="C495:H495"/>
    <mergeCell ref="C561:H561"/>
    <mergeCell ref="C268:H268"/>
    <mergeCell ref="C22:H22"/>
    <mergeCell ref="C40:H40"/>
    <mergeCell ref="C59:H59"/>
    <mergeCell ref="C77:H77"/>
    <mergeCell ref="C96:H96"/>
    <mergeCell ref="C114:H114"/>
    <mergeCell ref="C133:H133"/>
    <mergeCell ref="C151:H151"/>
    <mergeCell ref="C207:H207"/>
    <mergeCell ref="C227:H227"/>
    <mergeCell ref="C247:H2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M1038"/>
  <sheetViews>
    <sheetView topLeftCell="A901" workbookViewId="0">
      <selection activeCell="G917" sqref="G917"/>
    </sheetView>
    <sheetView workbookViewId="1"/>
  </sheetViews>
  <sheetFormatPr defaultColWidth="9.28515625" defaultRowHeight="15"/>
  <cols>
    <col min="1" max="2" width="3.140625" style="63" customWidth="1"/>
    <col min="3" max="3" width="6" style="58" customWidth="1"/>
    <col min="4" max="4" width="44" style="63" customWidth="1"/>
    <col min="5" max="5" width="7.7109375" style="63" customWidth="1"/>
    <col min="6" max="6" width="10.7109375" style="63" customWidth="1"/>
    <col min="7" max="7" width="15.7109375" style="63" customWidth="1"/>
    <col min="8" max="8" width="14.7109375" style="63" customWidth="1"/>
    <col min="9" max="9" width="17.42578125" style="55" customWidth="1"/>
    <col min="10" max="10" width="15.28515625" style="63" bestFit="1" customWidth="1"/>
    <col min="11" max="14" width="9.28515625" style="63"/>
    <col min="15" max="15" width="13.28515625" style="63" customWidth="1"/>
    <col min="16" max="16384" width="9.28515625" style="63"/>
  </cols>
  <sheetData>
    <row r="3" spans="3:13" s="55" customFormat="1" ht="15.75" customHeight="1">
      <c r="C3" s="53" t="str">
        <f>'[1]Daftar HSP'!A94</f>
        <v>F</v>
      </c>
      <c r="D3" s="54" t="str">
        <f>'[1]Daftar HSP'!B94</f>
        <v>PEKERJAAN BETON</v>
      </c>
      <c r="E3" s="54"/>
      <c r="F3" s="54"/>
      <c r="G3" s="54"/>
      <c r="H3" s="54"/>
    </row>
    <row r="4" spans="3:13" s="55" customFormat="1" ht="15.75" thickBot="1">
      <c r="C4" s="157" t="s">
        <v>1349</v>
      </c>
      <c r="E4" s="119"/>
      <c r="F4" s="119"/>
      <c r="G4" s="119"/>
      <c r="H4" s="119"/>
      <c r="I4" s="57">
        <f>ROUNDDOWN(H20,-2)</f>
        <v>18400</v>
      </c>
    </row>
    <row r="5" spans="3:13" s="58" customFormat="1" ht="31.5" customHeight="1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  <c r="I5" s="161"/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56" t="s">
        <v>1265</v>
      </c>
      <c r="K6" s="56"/>
      <c r="L6" s="56"/>
      <c r="M6" s="56"/>
    </row>
    <row r="7" spans="3:13">
      <c r="C7" s="143">
        <v>1</v>
      </c>
      <c r="D7" s="60" t="s">
        <v>5</v>
      </c>
      <c r="E7" s="73" t="s">
        <v>6</v>
      </c>
      <c r="F7" s="94">
        <v>7.0000000000000001E-3</v>
      </c>
      <c r="G7" s="65">
        <f>VLOOKUP(D7,upahbahan,3,FALSE)</f>
        <v>100000</v>
      </c>
      <c r="H7" s="125">
        <f>F7*G7</f>
        <v>700</v>
      </c>
      <c r="J7" s="56" t="s">
        <v>1266</v>
      </c>
      <c r="K7" s="56"/>
      <c r="L7" s="56"/>
      <c r="M7" s="66">
        <v>0.1</v>
      </c>
    </row>
    <row r="8" spans="3:13">
      <c r="C8" s="143">
        <v>2</v>
      </c>
      <c r="D8" s="60" t="s">
        <v>9</v>
      </c>
      <c r="E8" s="73" t="s">
        <v>6</v>
      </c>
      <c r="F8" s="94">
        <v>7.0000000000000001E-3</v>
      </c>
      <c r="G8" s="65">
        <f>VLOOKUP(D8,upahbahan,3,FALSE)</f>
        <v>145000</v>
      </c>
      <c r="H8" s="125">
        <f>F8*G8</f>
        <v>1015</v>
      </c>
    </row>
    <row r="9" spans="3:13" s="56" customFormat="1">
      <c r="C9" s="143">
        <v>3</v>
      </c>
      <c r="D9" s="60" t="s">
        <v>18</v>
      </c>
      <c r="E9" s="73" t="s">
        <v>6</v>
      </c>
      <c r="F9" s="94">
        <v>6.9999999999999999E-4</v>
      </c>
      <c r="G9" s="65">
        <f>VLOOKUP(D9,upahbahan,3,FALSE)</f>
        <v>150000</v>
      </c>
      <c r="H9" s="125">
        <f>F9*G9</f>
        <v>105</v>
      </c>
      <c r="I9" s="55"/>
    </row>
    <row r="10" spans="3:13">
      <c r="C10" s="143">
        <v>4</v>
      </c>
      <c r="D10" s="60" t="s">
        <v>19</v>
      </c>
      <c r="E10" s="73" t="s">
        <v>6</v>
      </c>
      <c r="F10" s="94">
        <v>6.9999999999999999E-4</v>
      </c>
      <c r="G10" s="65">
        <f>VLOOKUP(D10,upahbahan,3,FALSE)</f>
        <v>145000</v>
      </c>
      <c r="H10" s="125">
        <f>F10*G10</f>
        <v>101.5</v>
      </c>
    </row>
    <row r="11" spans="3:13" ht="15.75" customHeight="1">
      <c r="C11" s="145" t="s">
        <v>1220</v>
      </c>
      <c r="D11" s="81"/>
      <c r="E11" s="81"/>
      <c r="F11" s="190"/>
      <c r="G11" s="163"/>
      <c r="H11" s="125">
        <f>SUM(H7:H10)</f>
        <v>1921.5</v>
      </c>
    </row>
    <row r="12" spans="3:13">
      <c r="C12" s="153" t="s">
        <v>1221</v>
      </c>
      <c r="D12" s="60" t="s">
        <v>1222</v>
      </c>
      <c r="E12" s="74"/>
      <c r="F12" s="74"/>
      <c r="G12" s="74"/>
      <c r="H12" s="147"/>
    </row>
    <row r="13" spans="3:13">
      <c r="C13" s="143">
        <v>1</v>
      </c>
      <c r="D13" s="60" t="s">
        <v>236</v>
      </c>
      <c r="E13" s="73" t="s">
        <v>66</v>
      </c>
      <c r="F13" s="75">
        <v>1.02</v>
      </c>
      <c r="G13" s="65">
        <f>VLOOKUP(D13,upahbahan,3,FALSE)</f>
        <v>14250</v>
      </c>
      <c r="H13" s="125">
        <f>F13*G13</f>
        <v>14535</v>
      </c>
    </row>
    <row r="14" spans="3:13">
      <c r="C14" s="143">
        <v>2</v>
      </c>
      <c r="D14" s="60" t="s">
        <v>255</v>
      </c>
      <c r="E14" s="73" t="s">
        <v>66</v>
      </c>
      <c r="F14" s="75">
        <v>1.4999999999999999E-2</v>
      </c>
      <c r="G14" s="65">
        <f>VLOOKUP(D14,upahbahan,3,FALSE)</f>
        <v>18800</v>
      </c>
      <c r="H14" s="125">
        <f>F14*G14</f>
        <v>282</v>
      </c>
    </row>
    <row r="15" spans="3:13" ht="15.75" customHeight="1">
      <c r="C15" s="145" t="s">
        <v>1226</v>
      </c>
      <c r="D15" s="81"/>
      <c r="E15" s="81"/>
      <c r="F15" s="81"/>
      <c r="G15" s="163"/>
      <c r="H15" s="125">
        <f>SUM(H13:H14)</f>
        <v>14817</v>
      </c>
    </row>
    <row r="16" spans="3:13">
      <c r="C16" s="153" t="s">
        <v>1227</v>
      </c>
      <c r="D16" s="60" t="s">
        <v>1228</v>
      </c>
      <c r="E16" s="74"/>
      <c r="F16" s="74"/>
      <c r="G16" s="74"/>
      <c r="H16" s="147"/>
    </row>
    <row r="17" spans="3:9" ht="15.75" customHeight="1">
      <c r="C17" s="145" t="s">
        <v>1229</v>
      </c>
      <c r="D17" s="81"/>
      <c r="E17" s="81"/>
      <c r="F17" s="81"/>
      <c r="G17" s="163"/>
      <c r="H17" s="154">
        <v>0</v>
      </c>
    </row>
    <row r="18" spans="3:9" s="164" customFormat="1">
      <c r="C18" s="123" t="s">
        <v>1230</v>
      </c>
      <c r="D18" s="70" t="s">
        <v>1231</v>
      </c>
      <c r="E18" s="71"/>
      <c r="F18" s="71"/>
      <c r="G18" s="72"/>
      <c r="H18" s="125">
        <f>H17+H15+H11</f>
        <v>16738.5</v>
      </c>
      <c r="I18" s="55"/>
    </row>
    <row r="19" spans="3:9" s="164" customFormat="1">
      <c r="C19" s="123" t="s">
        <v>1232</v>
      </c>
      <c r="D19" s="70" t="s">
        <v>1410</v>
      </c>
      <c r="E19" s="71"/>
      <c r="F19" s="72"/>
      <c r="G19" s="96">
        <f>$M$7</f>
        <v>0.1</v>
      </c>
      <c r="H19" s="125">
        <f>H18*G19</f>
        <v>1673.8500000000001</v>
      </c>
      <c r="I19" s="55"/>
    </row>
    <row r="20" spans="3:9" s="164" customFormat="1" ht="15.75" thickBot="1">
      <c r="C20" s="131" t="s">
        <v>1233</v>
      </c>
      <c r="D20" s="132" t="s">
        <v>1234</v>
      </c>
      <c r="E20" s="133"/>
      <c r="F20" s="133"/>
      <c r="G20" s="156"/>
      <c r="H20" s="135">
        <f>SUM(H18:H19)</f>
        <v>18412.349999999999</v>
      </c>
      <c r="I20" s="55"/>
    </row>
    <row r="21" spans="3:9" ht="15.75" thickTop="1">
      <c r="C21" s="90"/>
      <c r="D21" s="91"/>
      <c r="E21" s="91"/>
      <c r="F21" s="91"/>
      <c r="G21" s="91"/>
      <c r="H21" s="92"/>
    </row>
    <row r="22" spans="3:9" ht="15.75" thickBot="1">
      <c r="C22" s="516" t="s">
        <v>1350</v>
      </c>
      <c r="D22" s="516"/>
      <c r="E22" s="516"/>
      <c r="F22" s="516"/>
      <c r="G22" s="516"/>
      <c r="H22" s="516"/>
      <c r="I22" s="57">
        <f>ROUNDDOWN(H40,-2)</f>
        <v>16800</v>
      </c>
    </row>
    <row r="23" spans="3:9" s="58" customFormat="1" ht="31.5" customHeight="1" thickTop="1">
      <c r="C23" s="120" t="s">
        <v>1207</v>
      </c>
      <c r="D23" s="121" t="s">
        <v>1208</v>
      </c>
      <c r="E23" s="121" t="s">
        <v>1209</v>
      </c>
      <c r="F23" s="121" t="s">
        <v>1210</v>
      </c>
      <c r="G23" s="121" t="s">
        <v>1211</v>
      </c>
      <c r="H23" s="122" t="s">
        <v>1212</v>
      </c>
      <c r="I23" s="161"/>
    </row>
    <row r="24" spans="3:9">
      <c r="C24" s="142" t="s">
        <v>1213</v>
      </c>
      <c r="D24" s="60" t="s">
        <v>1214</v>
      </c>
      <c r="E24" s="74"/>
      <c r="F24" s="74"/>
      <c r="G24" s="74"/>
      <c r="H24" s="147"/>
    </row>
    <row r="25" spans="3:9">
      <c r="C25" s="143">
        <v>1</v>
      </c>
      <c r="D25" s="60" t="s">
        <v>5</v>
      </c>
      <c r="E25" s="73" t="s">
        <v>6</v>
      </c>
      <c r="F25" s="202">
        <v>8.0000000000000004E-4</v>
      </c>
      <c r="G25" s="65">
        <f>VLOOKUP(D25,upahbahan,3,FALSE)</f>
        <v>100000</v>
      </c>
      <c r="H25" s="125">
        <f>F25*G25</f>
        <v>80</v>
      </c>
    </row>
    <row r="26" spans="3:9">
      <c r="C26" s="143">
        <v>2</v>
      </c>
      <c r="D26" s="60" t="str">
        <f>D8</f>
        <v>Tukang besi</v>
      </c>
      <c r="E26" s="73" t="s">
        <v>6</v>
      </c>
      <c r="F26" s="202">
        <v>4.0000000000000002E-4</v>
      </c>
      <c r="G26" s="65">
        <f>VLOOKUP(D26,upahbahan,3,FALSE)</f>
        <v>145000</v>
      </c>
      <c r="H26" s="125">
        <f>F26*G26</f>
        <v>58</v>
      </c>
    </row>
    <row r="27" spans="3:9" s="56" customFormat="1">
      <c r="C27" s="143">
        <v>3</v>
      </c>
      <c r="D27" s="60" t="s">
        <v>18</v>
      </c>
      <c r="E27" s="73" t="s">
        <v>6</v>
      </c>
      <c r="F27" s="202">
        <v>4.0000000000000003E-5</v>
      </c>
      <c r="G27" s="65">
        <f>VLOOKUP(D27,upahbahan,3,FALSE)</f>
        <v>150000</v>
      </c>
      <c r="H27" s="125">
        <f>F27*G27</f>
        <v>6.0000000000000009</v>
      </c>
      <c r="I27" s="55"/>
    </row>
    <row r="28" spans="3:9">
      <c r="C28" s="143">
        <v>4</v>
      </c>
      <c r="D28" s="60" t="s">
        <v>19</v>
      </c>
      <c r="E28" s="73" t="s">
        <v>6</v>
      </c>
      <c r="F28" s="202">
        <v>8.0000000000000007E-5</v>
      </c>
      <c r="G28" s="65">
        <f>VLOOKUP(D28,upahbahan,3,FALSE)</f>
        <v>145000</v>
      </c>
      <c r="H28" s="125">
        <f>F28*G28</f>
        <v>11.600000000000001</v>
      </c>
    </row>
    <row r="29" spans="3:9" ht="15.75" customHeight="1">
      <c r="C29" s="145" t="s">
        <v>1220</v>
      </c>
      <c r="D29" s="81"/>
      <c r="E29" s="81"/>
      <c r="F29" s="190"/>
      <c r="G29" s="163"/>
      <c r="H29" s="125">
        <f>SUM(H25:H28)</f>
        <v>155.6</v>
      </c>
    </row>
    <row r="30" spans="3:9">
      <c r="C30" s="142" t="s">
        <v>1221</v>
      </c>
      <c r="D30" s="60" t="s">
        <v>1222</v>
      </c>
      <c r="E30" s="74"/>
      <c r="F30" s="74"/>
      <c r="G30" s="74"/>
      <c r="H30" s="147"/>
    </row>
    <row r="31" spans="3:9">
      <c r="C31" s="143">
        <v>1</v>
      </c>
      <c r="D31" s="60" t="s">
        <v>236</v>
      </c>
      <c r="E31" s="73" t="s">
        <v>66</v>
      </c>
      <c r="F31" s="75">
        <v>1.02</v>
      </c>
      <c r="G31" s="65">
        <f>VLOOKUP(D31,upahbahan,3,FALSE)</f>
        <v>14250</v>
      </c>
      <c r="H31" s="125">
        <f>F31*G31</f>
        <v>14535</v>
      </c>
    </row>
    <row r="32" spans="3:9">
      <c r="C32" s="143">
        <v>2</v>
      </c>
      <c r="D32" s="60" t="s">
        <v>255</v>
      </c>
      <c r="E32" s="73" t="s">
        <v>66</v>
      </c>
      <c r="F32" s="75">
        <v>1.4999999999999999E-2</v>
      </c>
      <c r="G32" s="65">
        <f>VLOOKUP(D32,upahbahan,3,FALSE)</f>
        <v>18800</v>
      </c>
      <c r="H32" s="125">
        <f>F32*G32</f>
        <v>282</v>
      </c>
    </row>
    <row r="33" spans="3:9" ht="15.75" customHeight="1">
      <c r="C33" s="145" t="s">
        <v>1226</v>
      </c>
      <c r="D33" s="81"/>
      <c r="E33" s="81"/>
      <c r="F33" s="81"/>
      <c r="G33" s="163"/>
      <c r="H33" s="125">
        <f>SUM(H31:H32)</f>
        <v>14817</v>
      </c>
    </row>
    <row r="34" spans="3:9">
      <c r="C34" s="142" t="s">
        <v>1227</v>
      </c>
      <c r="D34" s="60" t="s">
        <v>1228</v>
      </c>
      <c r="E34" s="74"/>
      <c r="F34" s="74"/>
      <c r="G34" s="74"/>
      <c r="H34" s="147"/>
    </row>
    <row r="35" spans="3:9">
      <c r="C35" s="146" t="s">
        <v>1215</v>
      </c>
      <c r="D35" s="60" t="s">
        <v>1109</v>
      </c>
      <c r="E35" s="171" t="s">
        <v>1091</v>
      </c>
      <c r="F35" s="192">
        <v>2.0000000000000001E-4</v>
      </c>
      <c r="G35" s="65">
        <f>VLOOKUP(D35,upahbahan,3,FALSE)</f>
        <v>800000</v>
      </c>
      <c r="H35" s="125">
        <f>F35*G35</f>
        <v>160</v>
      </c>
    </row>
    <row r="36" spans="3:9">
      <c r="C36" s="146" t="s">
        <v>1216</v>
      </c>
      <c r="D36" s="60" t="s">
        <v>1090</v>
      </c>
      <c r="E36" s="171" t="s">
        <v>1091</v>
      </c>
      <c r="F36" s="192">
        <v>2.0000000000000001E-4</v>
      </c>
      <c r="G36" s="65">
        <f>VLOOKUP(D36,upahbahan,3,FALSE)</f>
        <v>850000</v>
      </c>
      <c r="H36" s="125">
        <f>F36*G36</f>
        <v>170</v>
      </c>
    </row>
    <row r="37" spans="3:9" ht="15.75" customHeight="1">
      <c r="C37" s="145" t="s">
        <v>1229</v>
      </c>
      <c r="D37" s="81"/>
      <c r="E37" s="81"/>
      <c r="F37" s="81"/>
      <c r="G37" s="163"/>
      <c r="H37" s="125">
        <f>SUM(H35:H36)</f>
        <v>330</v>
      </c>
    </row>
    <row r="38" spans="3:9" s="164" customFormat="1">
      <c r="C38" s="123" t="s">
        <v>1230</v>
      </c>
      <c r="D38" s="70" t="s">
        <v>1231</v>
      </c>
      <c r="E38" s="71"/>
      <c r="F38" s="71"/>
      <c r="G38" s="72"/>
      <c r="H38" s="125">
        <f>H37+H33+H29</f>
        <v>15302.6</v>
      </c>
      <c r="I38" s="55"/>
    </row>
    <row r="39" spans="3:9" s="164" customFormat="1">
      <c r="C39" s="123" t="s">
        <v>1232</v>
      </c>
      <c r="D39" s="70" t="s">
        <v>1410</v>
      </c>
      <c r="E39" s="71"/>
      <c r="F39" s="72"/>
      <c r="G39" s="96">
        <f>$M$7</f>
        <v>0.1</v>
      </c>
      <c r="H39" s="125">
        <f>H38*G39</f>
        <v>1530.2600000000002</v>
      </c>
      <c r="I39" s="55"/>
    </row>
    <row r="40" spans="3:9" s="164" customFormat="1" ht="15.75" thickBot="1">
      <c r="C40" s="131" t="s">
        <v>1233</v>
      </c>
      <c r="D40" s="132" t="s">
        <v>1234</v>
      </c>
      <c r="E40" s="133"/>
      <c r="F40" s="133"/>
      <c r="G40" s="156"/>
      <c r="H40" s="135">
        <f>SUM(H38:H39)</f>
        <v>16832.86</v>
      </c>
      <c r="I40" s="55"/>
    </row>
    <row r="41" spans="3:9" ht="15.75" thickTop="1">
      <c r="C41" s="90"/>
      <c r="D41" s="91"/>
      <c r="E41" s="91"/>
      <c r="F41" s="91"/>
      <c r="G41" s="91"/>
      <c r="H41" s="92"/>
    </row>
    <row r="42" spans="3:9" ht="33" customHeight="1" thickBot="1">
      <c r="C42" s="516" t="s">
        <v>1351</v>
      </c>
      <c r="D42" s="516"/>
      <c r="E42" s="516"/>
      <c r="F42" s="516"/>
      <c r="G42" s="516"/>
      <c r="H42" s="516"/>
      <c r="I42" s="57">
        <f>ROUNDDOWN(H58,-2)</f>
        <v>17000</v>
      </c>
    </row>
    <row r="43" spans="3:9" s="58" customFormat="1" ht="31.5" customHeight="1" thickTop="1">
      <c r="C43" s="120" t="s">
        <v>1207</v>
      </c>
      <c r="D43" s="121" t="s">
        <v>1208</v>
      </c>
      <c r="E43" s="121" t="s">
        <v>1209</v>
      </c>
      <c r="F43" s="121" t="s">
        <v>1210</v>
      </c>
      <c r="G43" s="121" t="s">
        <v>1211</v>
      </c>
      <c r="H43" s="122" t="s">
        <v>1212</v>
      </c>
      <c r="I43" s="161"/>
    </row>
    <row r="44" spans="3:9">
      <c r="C44" s="142" t="s">
        <v>1213</v>
      </c>
      <c r="D44" s="60" t="s">
        <v>1214</v>
      </c>
      <c r="E44" s="74"/>
      <c r="F44" s="74"/>
      <c r="G44" s="74"/>
      <c r="H44" s="147"/>
    </row>
    <row r="45" spans="3:9">
      <c r="C45" s="143">
        <v>1</v>
      </c>
      <c r="D45" s="60" t="s">
        <v>5</v>
      </c>
      <c r="E45" s="73" t="s">
        <v>6</v>
      </c>
      <c r="F45" s="202">
        <v>1.6000000000000001E-3</v>
      </c>
      <c r="G45" s="65">
        <f>VLOOKUP(D45,upahbahan,3,FALSE)</f>
        <v>100000</v>
      </c>
      <c r="H45" s="125">
        <f>F45*G45</f>
        <v>160</v>
      </c>
    </row>
    <row r="46" spans="3:9">
      <c r="C46" s="143">
        <v>2</v>
      </c>
      <c r="D46" s="60" t="s">
        <v>9</v>
      </c>
      <c r="E46" s="73" t="s">
        <v>6</v>
      </c>
      <c r="F46" s="202">
        <v>1.6000000000000001E-3</v>
      </c>
      <c r="G46" s="65">
        <f>VLOOKUP(D46,upahbahan,3,FALSE)</f>
        <v>145000</v>
      </c>
      <c r="H46" s="125">
        <f>F46*G46</f>
        <v>232</v>
      </c>
    </row>
    <row r="47" spans="3:9" s="56" customFormat="1">
      <c r="C47" s="143">
        <v>3</v>
      </c>
      <c r="D47" s="60" t="s">
        <v>18</v>
      </c>
      <c r="E47" s="73" t="s">
        <v>6</v>
      </c>
      <c r="F47" s="202">
        <v>1.6000000000000001E-4</v>
      </c>
      <c r="G47" s="65">
        <f>VLOOKUP(D47,upahbahan,3,FALSE)</f>
        <v>150000</v>
      </c>
      <c r="H47" s="125">
        <f>F47*G47</f>
        <v>24.000000000000004</v>
      </c>
      <c r="I47" s="55"/>
    </row>
    <row r="48" spans="3:9">
      <c r="C48" s="143">
        <v>4</v>
      </c>
      <c r="D48" s="60" t="s">
        <v>19</v>
      </c>
      <c r="E48" s="73" t="s">
        <v>6</v>
      </c>
      <c r="F48" s="202">
        <v>1.6000000000000001E-4</v>
      </c>
      <c r="G48" s="65">
        <f>VLOOKUP(D48,upahbahan,3,FALSE)</f>
        <v>145000</v>
      </c>
      <c r="H48" s="125">
        <f>F48*G48</f>
        <v>23.200000000000003</v>
      </c>
    </row>
    <row r="49" spans="3:9" ht="15.75" customHeight="1">
      <c r="C49" s="145" t="s">
        <v>1220</v>
      </c>
      <c r="D49" s="81"/>
      <c r="E49" s="81"/>
      <c r="F49" s="190"/>
      <c r="G49" s="163"/>
      <c r="H49" s="125">
        <f>SUM(H45:H48)</f>
        <v>439.2</v>
      </c>
    </row>
    <row r="50" spans="3:9">
      <c r="C50" s="153" t="s">
        <v>1221</v>
      </c>
      <c r="D50" s="60" t="s">
        <v>1222</v>
      </c>
      <c r="E50" s="74"/>
      <c r="F50" s="74"/>
      <c r="G50" s="74"/>
      <c r="H50" s="147"/>
    </row>
    <row r="51" spans="3:9">
      <c r="C51" s="143">
        <v>1</v>
      </c>
      <c r="D51" s="60" t="s">
        <v>236</v>
      </c>
      <c r="E51" s="73" t="s">
        <v>66</v>
      </c>
      <c r="F51" s="75">
        <v>1.02</v>
      </c>
      <c r="G51" s="65">
        <f>VLOOKUP(D51,upahbahan,3,FALSE)</f>
        <v>14250</v>
      </c>
      <c r="H51" s="125">
        <f>F51*G51</f>
        <v>14535</v>
      </c>
    </row>
    <row r="52" spans="3:9">
      <c r="C52" s="143">
        <v>2</v>
      </c>
      <c r="D52" s="60" t="s">
        <v>255</v>
      </c>
      <c r="E52" s="73" t="s">
        <v>66</v>
      </c>
      <c r="F52" s="184">
        <v>2.8000000000000001E-2</v>
      </c>
      <c r="G52" s="65">
        <f>VLOOKUP(D52,upahbahan,3,FALSE)</f>
        <v>18800</v>
      </c>
      <c r="H52" s="125">
        <f>F52*G52</f>
        <v>526.4</v>
      </c>
    </row>
    <row r="53" spans="3:9" ht="15.75" customHeight="1">
      <c r="C53" s="145" t="s">
        <v>1226</v>
      </c>
      <c r="D53" s="81"/>
      <c r="E53" s="81"/>
      <c r="F53" s="81"/>
      <c r="G53" s="163"/>
      <c r="H53" s="125">
        <f>SUM(H51:H52)</f>
        <v>15061.4</v>
      </c>
    </row>
    <row r="54" spans="3:9">
      <c r="C54" s="153" t="s">
        <v>1227</v>
      </c>
      <c r="D54" s="60" t="s">
        <v>1228</v>
      </c>
      <c r="E54" s="74"/>
      <c r="F54" s="74"/>
      <c r="G54" s="74"/>
      <c r="H54" s="147"/>
    </row>
    <row r="55" spans="3:9" ht="15.75" customHeight="1">
      <c r="C55" s="145" t="s">
        <v>1229</v>
      </c>
      <c r="D55" s="81"/>
      <c r="E55" s="81"/>
      <c r="F55" s="81"/>
      <c r="G55" s="163"/>
      <c r="H55" s="154">
        <v>0</v>
      </c>
    </row>
    <row r="56" spans="3:9" s="164" customFormat="1">
      <c r="C56" s="123" t="s">
        <v>1230</v>
      </c>
      <c r="D56" s="70" t="s">
        <v>1231</v>
      </c>
      <c r="E56" s="71"/>
      <c r="F56" s="71"/>
      <c r="G56" s="72"/>
      <c r="H56" s="125">
        <f>H55+H53+H49</f>
        <v>15500.6</v>
      </c>
      <c r="I56" s="55"/>
    </row>
    <row r="57" spans="3:9" s="164" customFormat="1">
      <c r="C57" s="123" t="s">
        <v>1232</v>
      </c>
      <c r="D57" s="70" t="s">
        <v>1410</v>
      </c>
      <c r="E57" s="71"/>
      <c r="F57" s="72"/>
      <c r="G57" s="96">
        <f>$M$7</f>
        <v>0.1</v>
      </c>
      <c r="H57" s="125">
        <f>H56*G57</f>
        <v>1550.0600000000002</v>
      </c>
      <c r="I57" s="55"/>
    </row>
    <row r="58" spans="3:9" s="164" customFormat="1" ht="15.75" thickBot="1">
      <c r="C58" s="131" t="s">
        <v>1233</v>
      </c>
      <c r="D58" s="132" t="s">
        <v>1234</v>
      </c>
      <c r="E58" s="133"/>
      <c r="F58" s="133"/>
      <c r="G58" s="156"/>
      <c r="H58" s="135">
        <f>SUM(H56:H57)</f>
        <v>17050.66</v>
      </c>
      <c r="I58" s="55"/>
    </row>
    <row r="59" spans="3:9" ht="15.75" thickTop="1">
      <c r="C59" s="90"/>
      <c r="D59" s="91"/>
      <c r="E59" s="91"/>
      <c r="F59" s="91"/>
      <c r="G59" s="91"/>
      <c r="H59" s="92"/>
    </row>
    <row r="60" spans="3:9" ht="29.25" customHeight="1" thickBot="1">
      <c r="C60" s="516" t="s">
        <v>1352</v>
      </c>
      <c r="D60" s="516"/>
      <c r="E60" s="516"/>
      <c r="F60" s="516"/>
      <c r="G60" s="516"/>
      <c r="H60" s="516"/>
      <c r="I60" s="57">
        <f>ROUNDDOWN(H78,-2)</f>
        <v>89600</v>
      </c>
    </row>
    <row r="61" spans="3:9" s="58" customFormat="1" ht="31.5" customHeight="1" thickTop="1">
      <c r="C61" s="120" t="s">
        <v>1207</v>
      </c>
      <c r="D61" s="121" t="s">
        <v>1208</v>
      </c>
      <c r="E61" s="121" t="s">
        <v>1209</v>
      </c>
      <c r="F61" s="121" t="s">
        <v>1210</v>
      </c>
      <c r="G61" s="121" t="s">
        <v>1211</v>
      </c>
      <c r="H61" s="122" t="s">
        <v>1212</v>
      </c>
      <c r="I61" s="161"/>
    </row>
    <row r="62" spans="3:9">
      <c r="C62" s="142" t="s">
        <v>1213</v>
      </c>
      <c r="D62" s="60" t="s">
        <v>1214</v>
      </c>
      <c r="E62" s="74"/>
      <c r="F62" s="74"/>
      <c r="G62" s="74"/>
      <c r="H62" s="147"/>
    </row>
    <row r="63" spans="3:9">
      <c r="C63" s="143">
        <v>1</v>
      </c>
      <c r="D63" s="60" t="s">
        <v>5</v>
      </c>
      <c r="E63" s="73" t="s">
        <v>6</v>
      </c>
      <c r="F63" s="202">
        <v>1.6000000000000001E-3</v>
      </c>
      <c r="G63" s="65">
        <f>VLOOKUP(D63,upahbahan,3,FALSE)</f>
        <v>100000</v>
      </c>
      <c r="H63" s="125">
        <f>F63*G63</f>
        <v>160</v>
      </c>
    </row>
    <row r="64" spans="3:9">
      <c r="C64" s="143">
        <v>2</v>
      </c>
      <c r="D64" s="60" t="str">
        <f>D46</f>
        <v>Tukang besi</v>
      </c>
      <c r="E64" s="73" t="s">
        <v>6</v>
      </c>
      <c r="F64" s="202">
        <v>1.6000000000000001E-3</v>
      </c>
      <c r="G64" s="65">
        <f>VLOOKUP(D64,upahbahan,3,FALSE)</f>
        <v>145000</v>
      </c>
      <c r="H64" s="125">
        <f>F64*G64</f>
        <v>232</v>
      </c>
    </row>
    <row r="65" spans="3:9" s="56" customFormat="1">
      <c r="C65" s="143">
        <v>3</v>
      </c>
      <c r="D65" s="60" t="s">
        <v>18</v>
      </c>
      <c r="E65" s="73" t="s">
        <v>6</v>
      </c>
      <c r="F65" s="202">
        <v>1.6000000000000001E-4</v>
      </c>
      <c r="G65" s="65">
        <f>VLOOKUP(D65,upahbahan,3,FALSE)</f>
        <v>150000</v>
      </c>
      <c r="H65" s="125">
        <f>F65*G65</f>
        <v>24.000000000000004</v>
      </c>
      <c r="I65" s="55"/>
    </row>
    <row r="66" spans="3:9">
      <c r="C66" s="143">
        <v>4</v>
      </c>
      <c r="D66" s="60" t="s">
        <v>19</v>
      </c>
      <c r="E66" s="73" t="s">
        <v>6</v>
      </c>
      <c r="F66" s="202">
        <v>1.6000000000000001E-4</v>
      </c>
      <c r="G66" s="65">
        <f>VLOOKUP(D66,upahbahan,3,FALSE)</f>
        <v>145000</v>
      </c>
      <c r="H66" s="125">
        <f>F66*G66</f>
        <v>23.200000000000003</v>
      </c>
    </row>
    <row r="67" spans="3:9" ht="15.75" customHeight="1">
      <c r="C67" s="145" t="s">
        <v>1220</v>
      </c>
      <c r="D67" s="81"/>
      <c r="E67" s="81"/>
      <c r="F67" s="190"/>
      <c r="G67" s="163"/>
      <c r="H67" s="125">
        <f>SUM(H63:H66)</f>
        <v>439.2</v>
      </c>
    </row>
    <row r="68" spans="3:9">
      <c r="C68" s="142" t="s">
        <v>1221</v>
      </c>
      <c r="D68" s="60" t="s">
        <v>1222</v>
      </c>
      <c r="E68" s="74"/>
      <c r="F68" s="74"/>
      <c r="G68" s="74"/>
      <c r="H68" s="147"/>
    </row>
    <row r="69" spans="3:9">
      <c r="C69" s="143">
        <v>1</v>
      </c>
      <c r="D69" s="60" t="s">
        <v>236</v>
      </c>
      <c r="E69" s="73" t="s">
        <v>66</v>
      </c>
      <c r="F69" s="75">
        <v>1.02</v>
      </c>
      <c r="G69" s="65">
        <f>VLOOKUP(D69,upahbahan,3,FALSE)</f>
        <v>14250</v>
      </c>
      <c r="H69" s="125">
        <f>F69*G69</f>
        <v>14535</v>
      </c>
    </row>
    <row r="70" spans="3:9">
      <c r="C70" s="143">
        <v>2</v>
      </c>
      <c r="D70" s="60" t="s">
        <v>255</v>
      </c>
      <c r="E70" s="73" t="s">
        <v>66</v>
      </c>
      <c r="F70" s="184">
        <v>2.8000000000000001E-2</v>
      </c>
      <c r="G70" s="65">
        <f>VLOOKUP(D70,upahbahan,3,FALSE)</f>
        <v>18800</v>
      </c>
      <c r="H70" s="125">
        <f>F70*G70</f>
        <v>526.4</v>
      </c>
    </row>
    <row r="71" spans="3:9" ht="15.75" customHeight="1">
      <c r="C71" s="145" t="s">
        <v>1226</v>
      </c>
      <c r="D71" s="81"/>
      <c r="E71" s="81"/>
      <c r="F71" s="81"/>
      <c r="G71" s="163"/>
      <c r="H71" s="125">
        <f>SUM(H69:H70)</f>
        <v>15061.4</v>
      </c>
    </row>
    <row r="72" spans="3:9">
      <c r="C72" s="142" t="s">
        <v>1227</v>
      </c>
      <c r="D72" s="60" t="s">
        <v>1228</v>
      </c>
      <c r="E72" s="74"/>
      <c r="F72" s="74"/>
      <c r="G72" s="74"/>
      <c r="H72" s="147"/>
    </row>
    <row r="73" spans="3:9">
      <c r="C73" s="146" t="s">
        <v>1215</v>
      </c>
      <c r="D73" s="60" t="s">
        <v>1109</v>
      </c>
      <c r="E73" s="171" t="s">
        <v>1091</v>
      </c>
      <c r="F73" s="172">
        <v>0.04</v>
      </c>
      <c r="G73" s="65">
        <f>VLOOKUP(D73,upahbahan,3,FALSE)</f>
        <v>800000</v>
      </c>
      <c r="H73" s="125">
        <f>F73*G73</f>
        <v>32000</v>
      </c>
    </row>
    <row r="74" spans="3:9">
      <c r="C74" s="146" t="s">
        <v>1216</v>
      </c>
      <c r="D74" s="60" t="s">
        <v>1090</v>
      </c>
      <c r="E74" s="171" t="s">
        <v>1091</v>
      </c>
      <c r="F74" s="172">
        <v>0.04</v>
      </c>
      <c r="G74" s="65">
        <f>VLOOKUP(D74,upahbahan,3,FALSE)</f>
        <v>850000</v>
      </c>
      <c r="H74" s="125">
        <f>F74*G74</f>
        <v>34000</v>
      </c>
    </row>
    <row r="75" spans="3:9" ht="15.75" customHeight="1">
      <c r="C75" s="145" t="s">
        <v>1229</v>
      </c>
      <c r="D75" s="81"/>
      <c r="E75" s="81"/>
      <c r="F75" s="81"/>
      <c r="G75" s="163"/>
      <c r="H75" s="125">
        <f>SUM(H73:H74)</f>
        <v>66000</v>
      </c>
    </row>
    <row r="76" spans="3:9" s="164" customFormat="1">
      <c r="C76" s="123" t="s">
        <v>1230</v>
      </c>
      <c r="D76" s="70" t="s">
        <v>1231</v>
      </c>
      <c r="E76" s="71"/>
      <c r="F76" s="71"/>
      <c r="G76" s="72"/>
      <c r="H76" s="125">
        <f>H75+H71+H67</f>
        <v>81500.599999999991</v>
      </c>
      <c r="I76" s="55"/>
    </row>
    <row r="77" spans="3:9" s="164" customFormat="1">
      <c r="C77" s="123" t="s">
        <v>1232</v>
      </c>
      <c r="D77" s="70" t="s">
        <v>1410</v>
      </c>
      <c r="E77" s="71"/>
      <c r="F77" s="72"/>
      <c r="G77" s="96">
        <f>$M$7</f>
        <v>0.1</v>
      </c>
      <c r="H77" s="125">
        <f>H76*G77</f>
        <v>8150.0599999999995</v>
      </c>
      <c r="I77" s="55"/>
    </row>
    <row r="78" spans="3:9" s="164" customFormat="1" ht="15.75" thickBot="1">
      <c r="C78" s="131" t="s">
        <v>1233</v>
      </c>
      <c r="D78" s="132" t="s">
        <v>1234</v>
      </c>
      <c r="E78" s="133"/>
      <c r="F78" s="133"/>
      <c r="G78" s="156"/>
      <c r="H78" s="135">
        <f>SUM(H76:H77)</f>
        <v>89650.659999999989</v>
      </c>
      <c r="I78" s="55"/>
    </row>
    <row r="79" spans="3:9" ht="15.75" thickTop="1">
      <c r="C79" s="199"/>
      <c r="D79" s="91"/>
      <c r="E79" s="91"/>
      <c r="F79" s="91"/>
      <c r="G79" s="91"/>
      <c r="H79" s="200"/>
    </row>
    <row r="80" spans="3:9" ht="29.25" customHeight="1" thickBot="1">
      <c r="C80" s="516" t="s">
        <v>1353</v>
      </c>
      <c r="D80" s="516"/>
      <c r="E80" s="516"/>
      <c r="F80" s="516"/>
      <c r="G80" s="516"/>
      <c r="H80" s="516"/>
      <c r="I80" s="57">
        <f>ROUNDDOWN(H96,-2)</f>
        <v>13700</v>
      </c>
    </row>
    <row r="81" spans="3:9" s="58" customFormat="1" ht="31.5" customHeight="1" thickTop="1">
      <c r="C81" s="120" t="s">
        <v>1207</v>
      </c>
      <c r="D81" s="121" t="s">
        <v>1208</v>
      </c>
      <c r="E81" s="121" t="s">
        <v>1209</v>
      </c>
      <c r="F81" s="121" t="s">
        <v>1210</v>
      </c>
      <c r="G81" s="121" t="s">
        <v>1211</v>
      </c>
      <c r="H81" s="122" t="s">
        <v>1212</v>
      </c>
      <c r="I81" s="161"/>
    </row>
    <row r="82" spans="3:9">
      <c r="C82" s="142" t="s">
        <v>1213</v>
      </c>
      <c r="D82" s="60" t="s">
        <v>1214</v>
      </c>
      <c r="E82" s="74"/>
      <c r="F82" s="74"/>
      <c r="G82" s="74"/>
      <c r="H82" s="147"/>
    </row>
    <row r="83" spans="3:9">
      <c r="C83" s="143">
        <v>1</v>
      </c>
      <c r="D83" s="60" t="s">
        <v>5</v>
      </c>
      <c r="E83" s="73" t="s">
        <v>6</v>
      </c>
      <c r="F83" s="202">
        <v>2.5000000000000001E-3</v>
      </c>
      <c r="G83" s="65">
        <f>VLOOKUP(D83,upahbahan,3,FALSE)</f>
        <v>100000</v>
      </c>
      <c r="H83" s="125">
        <f>F83*G83</f>
        <v>250</v>
      </c>
    </row>
    <row r="84" spans="3:9">
      <c r="C84" s="143">
        <v>2</v>
      </c>
      <c r="D84" s="60" t="str">
        <f>D64</f>
        <v>Tukang besi</v>
      </c>
      <c r="E84" s="73" t="s">
        <v>6</v>
      </c>
      <c r="F84" s="202">
        <v>2.5000000000000001E-3</v>
      </c>
      <c r="G84" s="65">
        <f>VLOOKUP(D84,upahbahan,3,FALSE)</f>
        <v>145000</v>
      </c>
      <c r="H84" s="125">
        <f>F84*G84</f>
        <v>362.5</v>
      </c>
    </row>
    <row r="85" spans="3:9" s="56" customFormat="1">
      <c r="C85" s="143">
        <v>3</v>
      </c>
      <c r="D85" s="60" t="s">
        <v>18</v>
      </c>
      <c r="E85" s="73" t="s">
        <v>6</v>
      </c>
      <c r="F85" s="202">
        <v>2.5000000000000001E-4</v>
      </c>
      <c r="G85" s="65">
        <f>VLOOKUP(D85,upahbahan,3,FALSE)</f>
        <v>150000</v>
      </c>
      <c r="H85" s="125">
        <f>F85*G85</f>
        <v>37.5</v>
      </c>
      <c r="I85" s="55"/>
    </row>
    <row r="86" spans="3:9">
      <c r="C86" s="143">
        <v>4</v>
      </c>
      <c r="D86" s="60" t="s">
        <v>19</v>
      </c>
      <c r="E86" s="73" t="s">
        <v>6</v>
      </c>
      <c r="F86" s="202">
        <v>2.5000000000000001E-4</v>
      </c>
      <c r="G86" s="65">
        <f>VLOOKUP(D86,upahbahan,3,FALSE)</f>
        <v>145000</v>
      </c>
      <c r="H86" s="125">
        <f>F86*G86</f>
        <v>36.25</v>
      </c>
    </row>
    <row r="87" spans="3:9" ht="15.75" customHeight="1">
      <c r="C87" s="145" t="s">
        <v>1220</v>
      </c>
      <c r="D87" s="81"/>
      <c r="E87" s="81"/>
      <c r="F87" s="190"/>
      <c r="G87" s="163"/>
      <c r="H87" s="125">
        <f>SUM(H83:H86)</f>
        <v>686.25</v>
      </c>
    </row>
    <row r="88" spans="3:9">
      <c r="C88" s="142" t="s">
        <v>1221</v>
      </c>
      <c r="D88" s="60" t="s">
        <v>1222</v>
      </c>
      <c r="E88" s="74"/>
      <c r="F88" s="74"/>
      <c r="G88" s="74"/>
      <c r="H88" s="147"/>
    </row>
    <row r="89" spans="3:9">
      <c r="C89" s="143">
        <v>1</v>
      </c>
      <c r="D89" s="60" t="s">
        <v>288</v>
      </c>
      <c r="E89" s="73" t="s">
        <v>66</v>
      </c>
      <c r="F89" s="75">
        <v>1.02</v>
      </c>
      <c r="G89" s="65">
        <f>VLOOKUP(D89,upahbahan,3,FALSE)</f>
        <v>11522</v>
      </c>
      <c r="H89" s="125">
        <f>F89*G89</f>
        <v>11752.44</v>
      </c>
    </row>
    <row r="90" spans="3:9">
      <c r="C90" s="143">
        <v>2</v>
      </c>
      <c r="D90" s="60" t="s">
        <v>255</v>
      </c>
      <c r="E90" s="73" t="s">
        <v>66</v>
      </c>
      <c r="F90" s="75">
        <v>5.0000000000000001E-3</v>
      </c>
      <c r="G90" s="65">
        <f>VLOOKUP(D90,upahbahan,3,FALSE)</f>
        <v>18800</v>
      </c>
      <c r="H90" s="125">
        <f>F90*G90</f>
        <v>94</v>
      </c>
    </row>
    <row r="91" spans="3:9" ht="15.75" customHeight="1">
      <c r="C91" s="145" t="s">
        <v>1226</v>
      </c>
      <c r="D91" s="81"/>
      <c r="E91" s="81"/>
      <c r="F91" s="81"/>
      <c r="G91" s="163"/>
      <c r="H91" s="125">
        <f>SUM(H89:H90)</f>
        <v>11846.44</v>
      </c>
    </row>
    <row r="92" spans="3:9">
      <c r="C92" s="142" t="s">
        <v>1227</v>
      </c>
      <c r="D92" s="60" t="s">
        <v>1228</v>
      </c>
      <c r="E92" s="74"/>
      <c r="F92" s="74"/>
      <c r="G92" s="74"/>
      <c r="H92" s="147"/>
    </row>
    <row r="93" spans="3:9" ht="15.75" customHeight="1">
      <c r="C93" s="145" t="s">
        <v>1229</v>
      </c>
      <c r="D93" s="81"/>
      <c r="E93" s="81"/>
      <c r="F93" s="81"/>
      <c r="G93" s="163"/>
      <c r="H93" s="154">
        <v>0</v>
      </c>
    </row>
    <row r="94" spans="3:9" s="164" customFormat="1">
      <c r="C94" s="123" t="s">
        <v>1230</v>
      </c>
      <c r="D94" s="70" t="s">
        <v>1231</v>
      </c>
      <c r="E94" s="71"/>
      <c r="F94" s="71"/>
      <c r="G94" s="72"/>
      <c r="H94" s="125">
        <f>H93+H91+H87</f>
        <v>12532.69</v>
      </c>
      <c r="I94" s="55"/>
    </row>
    <row r="95" spans="3:9" s="164" customFormat="1">
      <c r="C95" s="123" t="s">
        <v>1232</v>
      </c>
      <c r="D95" s="70" t="s">
        <v>1410</v>
      </c>
      <c r="E95" s="71"/>
      <c r="F95" s="72"/>
      <c r="G95" s="96">
        <f>$M$7</f>
        <v>0.1</v>
      </c>
      <c r="H95" s="125">
        <f>H94*G95</f>
        <v>1253.2690000000002</v>
      </c>
      <c r="I95" s="55"/>
    </row>
    <row r="96" spans="3:9" s="164" customFormat="1" ht="15.75" thickBot="1">
      <c r="C96" s="131" t="s">
        <v>1233</v>
      </c>
      <c r="D96" s="132" t="s">
        <v>1234</v>
      </c>
      <c r="E96" s="133"/>
      <c r="F96" s="133"/>
      <c r="G96" s="156"/>
      <c r="H96" s="135">
        <f>SUM(H94:H95)</f>
        <v>13785.959000000001</v>
      </c>
      <c r="I96" s="55"/>
    </row>
    <row r="97" spans="3:9" s="164" customFormat="1" ht="15.75" thickTop="1">
      <c r="C97" s="58"/>
      <c r="D97" s="82"/>
      <c r="E97" s="82"/>
      <c r="F97" s="82"/>
      <c r="G97" s="82"/>
      <c r="H97" s="83"/>
      <c r="I97" s="55"/>
    </row>
    <row r="98" spans="3:9" ht="29.25" customHeight="1" thickBot="1">
      <c r="C98" s="516" t="s">
        <v>1354</v>
      </c>
      <c r="D98" s="516"/>
      <c r="E98" s="516"/>
      <c r="F98" s="516"/>
      <c r="G98" s="516"/>
      <c r="H98" s="516"/>
      <c r="I98" s="57">
        <f>ROUNDDOWN(H115,-2)</f>
        <v>13200</v>
      </c>
    </row>
    <row r="99" spans="3:9" s="58" customFormat="1" ht="31.5" customHeight="1" thickTop="1">
      <c r="C99" s="120" t="s">
        <v>1207</v>
      </c>
      <c r="D99" s="121" t="s">
        <v>1208</v>
      </c>
      <c r="E99" s="121" t="s">
        <v>1209</v>
      </c>
      <c r="F99" s="121" t="s">
        <v>1210</v>
      </c>
      <c r="G99" s="121" t="s">
        <v>1211</v>
      </c>
      <c r="H99" s="122" t="s">
        <v>1212</v>
      </c>
      <c r="I99" s="161"/>
    </row>
    <row r="100" spans="3:9">
      <c r="C100" s="142" t="s">
        <v>1213</v>
      </c>
      <c r="D100" s="60" t="s">
        <v>1214</v>
      </c>
      <c r="E100" s="74"/>
      <c r="F100" s="74"/>
      <c r="G100" s="74"/>
      <c r="H100" s="147"/>
    </row>
    <row r="101" spans="3:9">
      <c r="C101" s="143">
        <v>1</v>
      </c>
      <c r="D101" s="60" t="s">
        <v>5</v>
      </c>
      <c r="E101" s="73" t="s">
        <v>6</v>
      </c>
      <c r="F101" s="202">
        <v>4.0000000000000002E-4</v>
      </c>
      <c r="G101" s="65">
        <f>VLOOKUP(D101,upahbahan,3,FALSE)</f>
        <v>100000</v>
      </c>
      <c r="H101" s="125">
        <f>F101*G101</f>
        <v>40</v>
      </c>
    </row>
    <row r="102" spans="3:9">
      <c r="C102" s="143">
        <v>2</v>
      </c>
      <c r="D102" s="60" t="str">
        <f>D84</f>
        <v>Tukang besi</v>
      </c>
      <c r="E102" s="73" t="s">
        <v>6</v>
      </c>
      <c r="F102" s="202">
        <v>4.0000000000000002E-4</v>
      </c>
      <c r="G102" s="65">
        <f>VLOOKUP(D102,upahbahan,3,FALSE)</f>
        <v>145000</v>
      </c>
      <c r="H102" s="125">
        <f>F102*G102</f>
        <v>58</v>
      </c>
    </row>
    <row r="103" spans="3:9" s="56" customFormat="1">
      <c r="C103" s="143">
        <v>3</v>
      </c>
      <c r="D103" s="60" t="s">
        <v>18</v>
      </c>
      <c r="E103" s="73" t="s">
        <v>6</v>
      </c>
      <c r="F103" s="202">
        <v>2.0000000000000002E-5</v>
      </c>
      <c r="G103" s="65">
        <f>VLOOKUP(D103,upahbahan,3,FALSE)</f>
        <v>150000</v>
      </c>
      <c r="H103" s="125">
        <f>F103*G103</f>
        <v>3.0000000000000004</v>
      </c>
      <c r="I103" s="55"/>
    </row>
    <row r="104" spans="3:9">
      <c r="C104" s="143">
        <v>4</v>
      </c>
      <c r="D104" s="60" t="s">
        <v>19</v>
      </c>
      <c r="E104" s="73" t="s">
        <v>6</v>
      </c>
      <c r="F104" s="202">
        <v>4.0000000000000003E-5</v>
      </c>
      <c r="G104" s="65">
        <f>VLOOKUP(D104,upahbahan,3,FALSE)</f>
        <v>145000</v>
      </c>
      <c r="H104" s="125">
        <f>F104*G104</f>
        <v>5.8000000000000007</v>
      </c>
    </row>
    <row r="105" spans="3:9" ht="15.75" customHeight="1">
      <c r="C105" s="145" t="s">
        <v>1220</v>
      </c>
      <c r="D105" s="81"/>
      <c r="E105" s="81"/>
      <c r="F105" s="190"/>
      <c r="G105" s="163"/>
      <c r="H105" s="125">
        <f>SUM(H101:H104)</f>
        <v>106.8</v>
      </c>
    </row>
    <row r="106" spans="3:9">
      <c r="C106" s="142" t="s">
        <v>1221</v>
      </c>
      <c r="D106" s="60" t="s">
        <v>1222</v>
      </c>
      <c r="E106" s="74"/>
      <c r="F106" s="74"/>
      <c r="G106" s="74"/>
      <c r="H106" s="147"/>
    </row>
    <row r="107" spans="3:9">
      <c r="C107" s="143">
        <v>1</v>
      </c>
      <c r="D107" s="60" t="s">
        <v>288</v>
      </c>
      <c r="E107" s="73" t="s">
        <v>66</v>
      </c>
      <c r="F107" s="75">
        <v>1.02</v>
      </c>
      <c r="G107" s="65">
        <f>VLOOKUP(D107,upahbahan,3,FALSE)</f>
        <v>11522</v>
      </c>
      <c r="H107" s="125">
        <f>F107*G107</f>
        <v>11752.44</v>
      </c>
    </row>
    <row r="108" spans="3:9">
      <c r="C108" s="143">
        <v>2</v>
      </c>
      <c r="D108" s="60" t="s">
        <v>255</v>
      </c>
      <c r="E108" s="73" t="s">
        <v>66</v>
      </c>
      <c r="F108" s="75">
        <v>5.0000000000000001E-3</v>
      </c>
      <c r="G108" s="65">
        <f>VLOOKUP(D108,upahbahan,3,FALSE)</f>
        <v>18800</v>
      </c>
      <c r="H108" s="125">
        <f>F108*G108</f>
        <v>94</v>
      </c>
    </row>
    <row r="109" spans="3:9" ht="15.75" customHeight="1">
      <c r="C109" s="145" t="s">
        <v>1226</v>
      </c>
      <c r="D109" s="81"/>
      <c r="E109" s="81"/>
      <c r="F109" s="81"/>
      <c r="G109" s="163"/>
      <c r="H109" s="125">
        <f>SUM(H107:H108)</f>
        <v>11846.44</v>
      </c>
    </row>
    <row r="110" spans="3:9">
      <c r="C110" s="142" t="s">
        <v>1227</v>
      </c>
      <c r="D110" s="60" t="s">
        <v>1228</v>
      </c>
      <c r="E110" s="74"/>
      <c r="F110" s="74"/>
      <c r="G110" s="74"/>
      <c r="H110" s="147"/>
    </row>
    <row r="111" spans="3:9">
      <c r="C111" s="146" t="s">
        <v>1215</v>
      </c>
      <c r="D111" s="60" t="s">
        <v>1109</v>
      </c>
      <c r="E111" s="171" t="s">
        <v>1091</v>
      </c>
      <c r="F111" s="191">
        <v>1E-4</v>
      </c>
      <c r="G111" s="65">
        <f t="array" ref="G111">INDEX('[1]UPAH BAHAN'!$E$40:$E$1202,MATCH('[1]Pek. Beton'!C110&amp;'[1]Pek. Beton'!D110,'[1]UPAH BAHAN'!$C$40:$C$1202&amp;'[1]UPAH BAHAN'!$D$40:$D$1202,0))</f>
        <v>800000</v>
      </c>
      <c r="H111" s="125">
        <f>F111*G111</f>
        <v>80</v>
      </c>
    </row>
    <row r="112" spans="3:9" ht="15.75" customHeight="1">
      <c r="C112" s="145" t="s">
        <v>1229</v>
      </c>
      <c r="D112" s="81"/>
      <c r="E112" s="81"/>
      <c r="F112" s="81"/>
      <c r="G112" s="163"/>
      <c r="H112" s="125">
        <f>SUM(H111)</f>
        <v>80</v>
      </c>
    </row>
    <row r="113" spans="3:9" s="164" customFormat="1">
      <c r="C113" s="123" t="s">
        <v>1230</v>
      </c>
      <c r="D113" s="70" t="s">
        <v>1231</v>
      </c>
      <c r="E113" s="71"/>
      <c r="F113" s="71"/>
      <c r="G113" s="72"/>
      <c r="H113" s="125">
        <f>H112+H109+H105</f>
        <v>12033.24</v>
      </c>
      <c r="I113" s="55"/>
    </row>
    <row r="114" spans="3:9" s="164" customFormat="1">
      <c r="C114" s="123" t="s">
        <v>1232</v>
      </c>
      <c r="D114" s="70" t="s">
        <v>1410</v>
      </c>
      <c r="E114" s="71"/>
      <c r="F114" s="72"/>
      <c r="G114" s="96">
        <f>$M$7</f>
        <v>0.1</v>
      </c>
      <c r="H114" s="125">
        <f>H113*G114</f>
        <v>1203.3240000000001</v>
      </c>
      <c r="I114" s="55"/>
    </row>
    <row r="115" spans="3:9" s="164" customFormat="1" ht="15.75" thickBot="1">
      <c r="C115" s="131" t="s">
        <v>1233</v>
      </c>
      <c r="D115" s="132" t="s">
        <v>1234</v>
      </c>
      <c r="E115" s="133"/>
      <c r="F115" s="133"/>
      <c r="G115" s="156"/>
      <c r="H115" s="135">
        <f>SUM(H113:H114)</f>
        <v>13236.564</v>
      </c>
      <c r="I115" s="55"/>
    </row>
    <row r="116" spans="3:9" s="164" customFormat="1" ht="15.75" thickTop="1">
      <c r="C116" s="58"/>
      <c r="D116" s="82"/>
      <c r="E116" s="82"/>
      <c r="F116" s="82"/>
      <c r="G116" s="82"/>
      <c r="H116" s="83"/>
      <c r="I116" s="55"/>
    </row>
    <row r="117" spans="3:9" ht="15.75" customHeight="1" thickBot="1">
      <c r="C117" s="54" t="s">
        <v>1355</v>
      </c>
      <c r="D117" s="54"/>
      <c r="E117" s="54"/>
      <c r="F117" s="54"/>
      <c r="G117" s="54"/>
      <c r="H117" s="54"/>
      <c r="I117" s="57">
        <f>ROUNDDOWN(H129,0)</f>
        <v>56</v>
      </c>
    </row>
    <row r="118" spans="3:9" s="58" customFormat="1" ht="31.5" customHeight="1" thickTop="1">
      <c r="C118" s="120" t="s">
        <v>1207</v>
      </c>
      <c r="D118" s="121" t="s">
        <v>1208</v>
      </c>
      <c r="E118" s="121" t="s">
        <v>1209</v>
      </c>
      <c r="F118" s="121" t="s">
        <v>1210</v>
      </c>
      <c r="G118" s="121" t="s">
        <v>1211</v>
      </c>
      <c r="H118" s="122" t="s">
        <v>1212</v>
      </c>
      <c r="I118" s="161"/>
    </row>
    <row r="119" spans="3:9">
      <c r="C119" s="142" t="s">
        <v>1213</v>
      </c>
      <c r="D119" s="60" t="s">
        <v>1214</v>
      </c>
      <c r="E119" s="74"/>
      <c r="F119" s="74"/>
      <c r="G119" s="74"/>
      <c r="H119" s="147"/>
    </row>
    <row r="120" spans="3:9">
      <c r="C120" s="201" t="s">
        <v>1215</v>
      </c>
      <c r="D120" s="60" t="s">
        <v>5</v>
      </c>
      <c r="E120" s="73" t="s">
        <v>6</v>
      </c>
      <c r="F120" s="203">
        <v>4.4700000000000002E-4</v>
      </c>
      <c r="G120" s="65">
        <f>VLOOKUP(D120,upahbahan,3,FALSE)</f>
        <v>100000</v>
      </c>
      <c r="H120" s="125">
        <f>F120*G120</f>
        <v>44.7</v>
      </c>
    </row>
    <row r="121" spans="3:9">
      <c r="C121" s="201" t="s">
        <v>1216</v>
      </c>
      <c r="D121" s="60" t="s">
        <v>19</v>
      </c>
      <c r="E121" s="73" t="s">
        <v>6</v>
      </c>
      <c r="F121" s="203">
        <v>4.5000000000000003E-5</v>
      </c>
      <c r="G121" s="65">
        <f>VLOOKUP(D121,upahbahan,3,FALSE)</f>
        <v>145000</v>
      </c>
      <c r="H121" s="125">
        <f>F121*G121</f>
        <v>6.5250000000000004</v>
      </c>
    </row>
    <row r="122" spans="3:9" ht="15.75" customHeight="1">
      <c r="C122" s="145" t="s">
        <v>1220</v>
      </c>
      <c r="D122" s="81"/>
      <c r="E122" s="81"/>
      <c r="F122" s="190"/>
      <c r="G122" s="163"/>
      <c r="H122" s="125">
        <f>SUM(H120:H121)</f>
        <v>51.225000000000001</v>
      </c>
    </row>
    <row r="123" spans="3:9">
      <c r="C123" s="142" t="s">
        <v>1221</v>
      </c>
      <c r="D123" s="60" t="s">
        <v>1222</v>
      </c>
      <c r="E123" s="74"/>
      <c r="F123" s="74"/>
      <c r="G123" s="74"/>
      <c r="H123" s="147"/>
    </row>
    <row r="124" spans="3:9" ht="15.75" customHeight="1">
      <c r="C124" s="145" t="s">
        <v>1226</v>
      </c>
      <c r="D124" s="81"/>
      <c r="E124" s="81"/>
      <c r="F124" s="81"/>
      <c r="G124" s="163"/>
      <c r="H124" s="185">
        <v>0</v>
      </c>
    </row>
    <row r="125" spans="3:9">
      <c r="C125" s="142" t="s">
        <v>1227</v>
      </c>
      <c r="D125" s="60" t="s">
        <v>1228</v>
      </c>
      <c r="E125" s="74"/>
      <c r="F125" s="74"/>
      <c r="G125" s="74"/>
      <c r="H125" s="147"/>
    </row>
    <row r="126" spans="3:9" ht="15.75" customHeight="1">
      <c r="C126" s="145" t="s">
        <v>1229</v>
      </c>
      <c r="D126" s="81"/>
      <c r="E126" s="81"/>
      <c r="F126" s="81"/>
      <c r="G126" s="163"/>
      <c r="H126" s="185">
        <v>0</v>
      </c>
    </row>
    <row r="127" spans="3:9" s="164" customFormat="1">
      <c r="C127" s="123" t="s">
        <v>1230</v>
      </c>
      <c r="D127" s="70" t="s">
        <v>1231</v>
      </c>
      <c r="E127" s="71"/>
      <c r="F127" s="71"/>
      <c r="G127" s="72"/>
      <c r="H127" s="125">
        <f>H126+H124+H122</f>
        <v>51.225000000000001</v>
      </c>
      <c r="I127" s="55"/>
    </row>
    <row r="128" spans="3:9" s="164" customFormat="1">
      <c r="C128" s="123" t="s">
        <v>1232</v>
      </c>
      <c r="D128" s="70" t="s">
        <v>1410</v>
      </c>
      <c r="E128" s="71"/>
      <c r="F128" s="72"/>
      <c r="G128" s="96">
        <f>$M$7</f>
        <v>0.1</v>
      </c>
      <c r="H128" s="125">
        <f>H127*G128</f>
        <v>5.1225000000000005</v>
      </c>
      <c r="I128" s="55"/>
    </row>
    <row r="129" spans="3:10" s="164" customFormat="1" ht="15.75" thickBot="1">
      <c r="C129" s="131" t="s">
        <v>1233</v>
      </c>
      <c r="D129" s="132" t="s">
        <v>1234</v>
      </c>
      <c r="E129" s="133"/>
      <c r="F129" s="133"/>
      <c r="G129" s="156"/>
      <c r="H129" s="135">
        <f>SUM(H127:H128)</f>
        <v>56.347500000000004</v>
      </c>
      <c r="I129" s="55"/>
    </row>
    <row r="130" spans="3:10" s="164" customFormat="1" ht="15.75" thickTop="1">
      <c r="C130" s="58"/>
      <c r="D130" s="82"/>
      <c r="E130" s="82"/>
      <c r="F130" s="82"/>
      <c r="G130" s="82"/>
      <c r="H130" s="83"/>
      <c r="I130" s="55"/>
    </row>
    <row r="131" spans="3:10" ht="33.75" customHeight="1" thickBot="1">
      <c r="C131" s="516" t="s">
        <v>1356</v>
      </c>
      <c r="D131" s="516"/>
      <c r="E131" s="516"/>
      <c r="F131" s="516"/>
      <c r="G131" s="516"/>
      <c r="H131" s="516"/>
      <c r="I131" s="57">
        <f>ROUNDDOWN(H143,0)</f>
        <v>26</v>
      </c>
    </row>
    <row r="132" spans="3:10" s="58" customFormat="1" ht="31.5" customHeight="1" thickTop="1">
      <c r="C132" s="120" t="s">
        <v>1207</v>
      </c>
      <c r="D132" s="121" t="s">
        <v>1208</v>
      </c>
      <c r="E132" s="121" t="s">
        <v>1209</v>
      </c>
      <c r="F132" s="121" t="s">
        <v>1210</v>
      </c>
      <c r="G132" s="121" t="s">
        <v>1211</v>
      </c>
      <c r="H132" s="122" t="s">
        <v>1212</v>
      </c>
      <c r="I132" s="161"/>
    </row>
    <row r="133" spans="3:10">
      <c r="C133" s="142" t="s">
        <v>1213</v>
      </c>
      <c r="D133" s="60" t="s">
        <v>1214</v>
      </c>
      <c r="E133" s="74"/>
      <c r="F133" s="74"/>
      <c r="G133" s="74"/>
      <c r="H133" s="147"/>
    </row>
    <row r="134" spans="3:10">
      <c r="C134" s="201" t="s">
        <v>1215</v>
      </c>
      <c r="D134" s="60" t="s">
        <v>5</v>
      </c>
      <c r="E134" s="73" t="s">
        <v>6</v>
      </c>
      <c r="F134" s="203">
        <v>2.1000000000000001E-4</v>
      </c>
      <c r="G134" s="65">
        <f>VLOOKUP(D134,upahbahan,3,FALSE)</f>
        <v>100000</v>
      </c>
      <c r="H134" s="125">
        <f>F134*G134</f>
        <v>21</v>
      </c>
    </row>
    <row r="135" spans="3:10">
      <c r="C135" s="201" t="s">
        <v>1216</v>
      </c>
      <c r="D135" s="60" t="s">
        <v>19</v>
      </c>
      <c r="E135" s="73" t="s">
        <v>6</v>
      </c>
      <c r="F135" s="203">
        <v>2.0999999999999999E-5</v>
      </c>
      <c r="G135" s="65">
        <f>VLOOKUP(D135,upahbahan,3,FALSE)</f>
        <v>145000</v>
      </c>
      <c r="H135" s="125">
        <f>F135*G135</f>
        <v>3.0449999999999999</v>
      </c>
    </row>
    <row r="136" spans="3:10" ht="15.75" customHeight="1">
      <c r="C136" s="145" t="s">
        <v>1220</v>
      </c>
      <c r="D136" s="81"/>
      <c r="E136" s="81"/>
      <c r="F136" s="190"/>
      <c r="G136" s="163"/>
      <c r="H136" s="125">
        <f>SUM(H134:H135)</f>
        <v>24.045000000000002</v>
      </c>
      <c r="J136" s="204"/>
    </row>
    <row r="137" spans="3:10">
      <c r="C137" s="142" t="s">
        <v>1221</v>
      </c>
      <c r="D137" s="60" t="s">
        <v>1222</v>
      </c>
      <c r="E137" s="74"/>
      <c r="F137" s="74"/>
      <c r="G137" s="74"/>
      <c r="H137" s="147"/>
    </row>
    <row r="138" spans="3:10" ht="15.75" customHeight="1">
      <c r="C138" s="145" t="s">
        <v>1226</v>
      </c>
      <c r="D138" s="81"/>
      <c r="E138" s="81"/>
      <c r="F138" s="81"/>
      <c r="G138" s="163"/>
      <c r="H138" s="185">
        <v>0</v>
      </c>
    </row>
    <row r="139" spans="3:10">
      <c r="C139" s="142" t="s">
        <v>1227</v>
      </c>
      <c r="D139" s="60" t="s">
        <v>1228</v>
      </c>
      <c r="E139" s="74"/>
      <c r="F139" s="74"/>
      <c r="G139" s="74"/>
      <c r="H139" s="147"/>
    </row>
    <row r="140" spans="3:10" ht="15.75" customHeight="1">
      <c r="C140" s="145" t="s">
        <v>1229</v>
      </c>
      <c r="D140" s="81"/>
      <c r="E140" s="81"/>
      <c r="F140" s="81"/>
      <c r="G140" s="163"/>
      <c r="H140" s="185">
        <v>0</v>
      </c>
    </row>
    <row r="141" spans="3:10" s="164" customFormat="1">
      <c r="C141" s="123" t="s">
        <v>1230</v>
      </c>
      <c r="D141" s="70" t="s">
        <v>1231</v>
      </c>
      <c r="E141" s="71"/>
      <c r="F141" s="71"/>
      <c r="G141" s="72"/>
      <c r="H141" s="125">
        <f>H140+H138+H136</f>
        <v>24.045000000000002</v>
      </c>
      <c r="I141" s="55"/>
    </row>
    <row r="142" spans="3:10" s="164" customFormat="1">
      <c r="C142" s="123" t="s">
        <v>1232</v>
      </c>
      <c r="D142" s="70" t="s">
        <v>1410</v>
      </c>
      <c r="E142" s="71"/>
      <c r="F142" s="72"/>
      <c r="G142" s="96">
        <f>$M$7</f>
        <v>0.1</v>
      </c>
      <c r="H142" s="125">
        <f>H141*G142</f>
        <v>2.4045000000000005</v>
      </c>
      <c r="I142" s="55"/>
    </row>
    <row r="143" spans="3:10" s="164" customFormat="1" ht="15.75" thickBot="1">
      <c r="C143" s="131" t="s">
        <v>1233</v>
      </c>
      <c r="D143" s="132" t="s">
        <v>1234</v>
      </c>
      <c r="E143" s="133"/>
      <c r="F143" s="133"/>
      <c r="G143" s="156"/>
      <c r="H143" s="135">
        <f>SUM(H141:H142)</f>
        <v>26.4495</v>
      </c>
      <c r="I143" s="55"/>
    </row>
    <row r="144" spans="3:10" ht="15.75" thickTop="1">
      <c r="C144" s="199"/>
      <c r="D144" s="91"/>
      <c r="E144" s="91"/>
      <c r="F144" s="91"/>
      <c r="G144" s="91"/>
      <c r="H144" s="92"/>
    </row>
    <row r="145" spans="3:10" ht="33.75" customHeight="1" thickBot="1">
      <c r="C145" s="516" t="s">
        <v>1357</v>
      </c>
      <c r="D145" s="516"/>
      <c r="E145" s="516"/>
      <c r="F145" s="516"/>
      <c r="G145" s="516"/>
      <c r="H145" s="516"/>
      <c r="I145" s="57">
        <f>ROUNDDOWN(H159,-2)</f>
        <v>1200</v>
      </c>
    </row>
    <row r="146" spans="3:10" s="58" customFormat="1" ht="31.5" customHeight="1" thickTop="1">
      <c r="C146" s="120" t="s">
        <v>1207</v>
      </c>
      <c r="D146" s="121" t="s">
        <v>1208</v>
      </c>
      <c r="E146" s="121" t="s">
        <v>1209</v>
      </c>
      <c r="F146" s="121" t="s">
        <v>1210</v>
      </c>
      <c r="G146" s="121" t="s">
        <v>1211</v>
      </c>
      <c r="H146" s="122" t="s">
        <v>1212</v>
      </c>
      <c r="I146" s="161"/>
    </row>
    <row r="147" spans="3:10">
      <c r="C147" s="142" t="s">
        <v>1213</v>
      </c>
      <c r="D147" s="60" t="s">
        <v>1214</v>
      </c>
      <c r="E147" s="74"/>
      <c r="F147" s="74"/>
      <c r="G147" s="74"/>
      <c r="H147" s="147"/>
    </row>
    <row r="148" spans="3:10">
      <c r="C148" s="201" t="s">
        <v>1215</v>
      </c>
      <c r="D148" s="60" t="s">
        <v>5</v>
      </c>
      <c r="E148" s="73" t="s">
        <v>6</v>
      </c>
      <c r="F148" s="94">
        <v>2E-3</v>
      </c>
      <c r="G148" s="65">
        <f>VLOOKUP(D148,upahbahan,3,FALSE)</f>
        <v>100000</v>
      </c>
      <c r="H148" s="125">
        <f>F148*G148</f>
        <v>200</v>
      </c>
    </row>
    <row r="149" spans="3:10">
      <c r="C149" s="201" t="s">
        <v>1216</v>
      </c>
      <c r="D149" s="60" t="s">
        <v>9</v>
      </c>
      <c r="E149" s="73" t="s">
        <v>6</v>
      </c>
      <c r="F149" s="94">
        <v>4.0000000000000002E-4</v>
      </c>
      <c r="G149" s="65">
        <f>VLOOKUP(D149,upahbahan,3,FALSE)</f>
        <v>145000</v>
      </c>
      <c r="H149" s="125">
        <f>F149*G149</f>
        <v>58</v>
      </c>
    </row>
    <row r="150" spans="3:10">
      <c r="C150" s="201" t="s">
        <v>1217</v>
      </c>
      <c r="D150" s="60" t="s">
        <v>19</v>
      </c>
      <c r="E150" s="73" t="s">
        <v>6</v>
      </c>
      <c r="F150" s="94">
        <v>2.0000000000000001E-4</v>
      </c>
      <c r="G150" s="65">
        <f>VLOOKUP(D150,upahbahan,3,FALSE)</f>
        <v>145000</v>
      </c>
      <c r="H150" s="125">
        <f>F150*G150</f>
        <v>29</v>
      </c>
    </row>
    <row r="151" spans="3:10" ht="15.75" customHeight="1">
      <c r="C151" s="145" t="s">
        <v>1220</v>
      </c>
      <c r="D151" s="81"/>
      <c r="E151" s="81"/>
      <c r="F151" s="190"/>
      <c r="G151" s="163"/>
      <c r="H151" s="125">
        <f>SUM(H148:H150)</f>
        <v>287</v>
      </c>
      <c r="J151" s="204"/>
    </row>
    <row r="152" spans="3:10">
      <c r="C152" s="142" t="s">
        <v>1221</v>
      </c>
      <c r="D152" s="60" t="s">
        <v>1222</v>
      </c>
      <c r="E152" s="74"/>
      <c r="F152" s="74"/>
      <c r="G152" s="74"/>
      <c r="H152" s="147"/>
    </row>
    <row r="153" spans="3:10" ht="15.75" customHeight="1">
      <c r="C153" s="145" t="s">
        <v>1226</v>
      </c>
      <c r="D153" s="81"/>
      <c r="E153" s="81"/>
      <c r="F153" s="81"/>
      <c r="G153" s="163"/>
      <c r="H153" s="185">
        <v>0</v>
      </c>
    </row>
    <row r="154" spans="3:10">
      <c r="C154" s="142" t="s">
        <v>1227</v>
      </c>
      <c r="D154" s="60" t="s">
        <v>1228</v>
      </c>
      <c r="E154" s="74"/>
      <c r="F154" s="74"/>
      <c r="G154" s="74"/>
      <c r="H154" s="147"/>
    </row>
    <row r="155" spans="3:10">
      <c r="C155" s="146" t="s">
        <v>1215</v>
      </c>
      <c r="D155" s="60" t="s">
        <v>1160</v>
      </c>
      <c r="E155" s="171" t="s">
        <v>1091</v>
      </c>
      <c r="F155" s="191">
        <v>2.5000000000000001E-4</v>
      </c>
      <c r="G155" s="65">
        <f>VLOOKUP(D155,upahbahan,3,FALSE)</f>
        <v>3442900</v>
      </c>
      <c r="H155" s="125">
        <f>F155*G155</f>
        <v>860.72500000000002</v>
      </c>
    </row>
    <row r="156" spans="3:10" ht="15.75" customHeight="1">
      <c r="C156" s="145" t="s">
        <v>1229</v>
      </c>
      <c r="D156" s="81"/>
      <c r="E156" s="81"/>
      <c r="F156" s="81"/>
      <c r="G156" s="163"/>
      <c r="H156" s="125">
        <f>SUM(H155)</f>
        <v>860.72500000000002</v>
      </c>
    </row>
    <row r="157" spans="3:10" s="164" customFormat="1">
      <c r="C157" s="123" t="s">
        <v>1230</v>
      </c>
      <c r="D157" s="70" t="s">
        <v>1231</v>
      </c>
      <c r="E157" s="71"/>
      <c r="F157" s="71"/>
      <c r="G157" s="72"/>
      <c r="H157" s="125">
        <f>H156+H153+H151</f>
        <v>1147.7249999999999</v>
      </c>
      <c r="I157" s="55"/>
    </row>
    <row r="158" spans="3:10" s="164" customFormat="1">
      <c r="C158" s="123" t="s">
        <v>1232</v>
      </c>
      <c r="D158" s="70" t="s">
        <v>1410</v>
      </c>
      <c r="E158" s="71"/>
      <c r="F158" s="72"/>
      <c r="G158" s="96">
        <f>$M$7</f>
        <v>0.1</v>
      </c>
      <c r="H158" s="125">
        <f>H157*G158</f>
        <v>114.77249999999999</v>
      </c>
      <c r="I158" s="55"/>
    </row>
    <row r="159" spans="3:10" s="164" customFormat="1" ht="15.75" thickBot="1">
      <c r="C159" s="131" t="s">
        <v>1233</v>
      </c>
      <c r="D159" s="132" t="s">
        <v>1234</v>
      </c>
      <c r="E159" s="133"/>
      <c r="F159" s="133"/>
      <c r="G159" s="156"/>
      <c r="H159" s="135">
        <f>SUM(H157:H158)</f>
        <v>1262.4974999999999</v>
      </c>
      <c r="I159" s="55"/>
    </row>
    <row r="160" spans="3:10" s="164" customFormat="1" ht="15.75" thickTop="1">
      <c r="C160" s="58"/>
      <c r="D160" s="82"/>
      <c r="E160" s="82"/>
      <c r="F160" s="82"/>
      <c r="G160" s="82"/>
      <c r="H160" s="83"/>
      <c r="I160" s="55"/>
    </row>
    <row r="161" spans="3:9" ht="15.75" thickBot="1">
      <c r="C161" s="136" t="s">
        <v>1358</v>
      </c>
      <c r="D161" s="136"/>
      <c r="E161" s="136"/>
      <c r="F161" s="136"/>
      <c r="G161" s="136"/>
      <c r="H161" s="136"/>
      <c r="I161" s="57">
        <f>ROUNDDOWN(H176,-2)</f>
        <v>98600</v>
      </c>
    </row>
    <row r="162" spans="3:9" s="58" customFormat="1" ht="31.5" customHeight="1" thickTop="1">
      <c r="C162" s="120" t="s">
        <v>1207</v>
      </c>
      <c r="D162" s="121" t="s">
        <v>1208</v>
      </c>
      <c r="E162" s="121" t="s">
        <v>1209</v>
      </c>
      <c r="F162" s="121" t="s">
        <v>1210</v>
      </c>
      <c r="G162" s="121" t="s">
        <v>1211</v>
      </c>
      <c r="H162" s="122" t="s">
        <v>1212</v>
      </c>
      <c r="I162" s="161"/>
    </row>
    <row r="163" spans="3:9">
      <c r="C163" s="142" t="s">
        <v>1213</v>
      </c>
      <c r="D163" s="60" t="s">
        <v>1214</v>
      </c>
      <c r="E163" s="74"/>
      <c r="F163" s="74"/>
      <c r="G163" s="74"/>
      <c r="H163" s="147"/>
    </row>
    <row r="164" spans="3:9">
      <c r="C164" s="143">
        <v>1</v>
      </c>
      <c r="D164" s="60" t="s">
        <v>5</v>
      </c>
      <c r="E164" s="73" t="s">
        <v>6</v>
      </c>
      <c r="F164" s="75">
        <v>0.06</v>
      </c>
      <c r="G164" s="65">
        <f>VLOOKUP(D164,upahbahan,3,FALSE)</f>
        <v>100000</v>
      </c>
      <c r="H164" s="125">
        <f>F164*G164</f>
        <v>6000</v>
      </c>
    </row>
    <row r="165" spans="3:9">
      <c r="C165" s="143">
        <v>2</v>
      </c>
      <c r="D165" s="60" t="s">
        <v>7</v>
      </c>
      <c r="E165" s="73" t="s">
        <v>6</v>
      </c>
      <c r="F165" s="75">
        <v>0.03</v>
      </c>
      <c r="G165" s="65">
        <f>VLOOKUP(D165,upahbahan,3,FALSE)</f>
        <v>145000</v>
      </c>
      <c r="H165" s="125">
        <f>F165*G165</f>
        <v>4350</v>
      </c>
    </row>
    <row r="166" spans="3:9" s="56" customFormat="1">
      <c r="C166" s="143">
        <v>3</v>
      </c>
      <c r="D166" s="60" t="s">
        <v>18</v>
      </c>
      <c r="E166" s="73" t="s">
        <v>6</v>
      </c>
      <c r="F166" s="75">
        <v>3.0000000000000001E-3</v>
      </c>
      <c r="G166" s="65">
        <f>VLOOKUP(D166,upahbahan,3,FALSE)</f>
        <v>150000</v>
      </c>
      <c r="H166" s="125">
        <f>F166*G166</f>
        <v>450</v>
      </c>
      <c r="I166" s="55"/>
    </row>
    <row r="167" spans="3:9">
      <c r="C167" s="143">
        <v>4</v>
      </c>
      <c r="D167" s="60" t="s">
        <v>19</v>
      </c>
      <c r="E167" s="73" t="s">
        <v>6</v>
      </c>
      <c r="F167" s="75">
        <v>1E-3</v>
      </c>
      <c r="G167" s="65">
        <f>VLOOKUP(D167,upahbahan,3,FALSE)</f>
        <v>145000</v>
      </c>
      <c r="H167" s="125">
        <f>F167*G167</f>
        <v>145</v>
      </c>
    </row>
    <row r="168" spans="3:9" ht="15.75" customHeight="1">
      <c r="C168" s="145" t="s">
        <v>1220</v>
      </c>
      <c r="D168" s="81"/>
      <c r="E168" s="81"/>
      <c r="F168" s="190"/>
      <c r="G168" s="163"/>
      <c r="H168" s="125">
        <f>SUM(H164:H167)</f>
        <v>10945</v>
      </c>
    </row>
    <row r="169" spans="3:9">
      <c r="C169" s="142" t="s">
        <v>1221</v>
      </c>
      <c r="D169" s="60" t="s">
        <v>1222</v>
      </c>
      <c r="E169" s="74"/>
      <c r="F169" s="74"/>
      <c r="G169" s="74"/>
      <c r="H169" s="147"/>
    </row>
    <row r="170" spans="3:9">
      <c r="C170" s="143">
        <v>1</v>
      </c>
      <c r="D170" s="78" t="s">
        <v>1077</v>
      </c>
      <c r="E170" s="73" t="s">
        <v>114</v>
      </c>
      <c r="F170" s="75">
        <v>1.05</v>
      </c>
      <c r="G170" s="65">
        <f>VLOOKUP(D170,upahbahan,3,FALSE)</f>
        <v>75000</v>
      </c>
      <c r="H170" s="125">
        <f>F170*G170</f>
        <v>78750</v>
      </c>
    </row>
    <row r="171" spans="3:9" ht="15.75" customHeight="1">
      <c r="C171" s="145" t="s">
        <v>1226</v>
      </c>
      <c r="D171" s="81"/>
      <c r="E171" s="81"/>
      <c r="F171" s="81"/>
      <c r="G171" s="163"/>
      <c r="H171" s="125">
        <f>SUM(H170:H170)</f>
        <v>78750</v>
      </c>
    </row>
    <row r="172" spans="3:9">
      <c r="C172" s="142" t="s">
        <v>1227</v>
      </c>
      <c r="D172" s="60" t="s">
        <v>1228</v>
      </c>
      <c r="E172" s="74"/>
      <c r="F172" s="74"/>
      <c r="G172" s="74"/>
      <c r="H172" s="152"/>
    </row>
    <row r="173" spans="3:9" ht="15.75" customHeight="1">
      <c r="C173" s="145" t="s">
        <v>1229</v>
      </c>
      <c r="D173" s="81"/>
      <c r="E173" s="81"/>
      <c r="F173" s="81"/>
      <c r="G173" s="163"/>
      <c r="H173" s="154">
        <v>0</v>
      </c>
    </row>
    <row r="174" spans="3:9" s="164" customFormat="1">
      <c r="C174" s="123" t="s">
        <v>1230</v>
      </c>
      <c r="D174" s="70" t="s">
        <v>1231</v>
      </c>
      <c r="E174" s="71"/>
      <c r="F174" s="71"/>
      <c r="G174" s="72"/>
      <c r="H174" s="125">
        <f>H173+H171+H168</f>
        <v>89695</v>
      </c>
      <c r="I174" s="55"/>
    </row>
    <row r="175" spans="3:9" s="164" customFormat="1">
      <c r="C175" s="123" t="s">
        <v>1232</v>
      </c>
      <c r="D175" s="70" t="s">
        <v>1410</v>
      </c>
      <c r="E175" s="71"/>
      <c r="F175" s="72"/>
      <c r="G175" s="96">
        <f>$M$7</f>
        <v>0.1</v>
      </c>
      <c r="H175" s="125">
        <f>H174*G175</f>
        <v>8969.5</v>
      </c>
      <c r="I175" s="55"/>
    </row>
    <row r="176" spans="3:9" s="164" customFormat="1" ht="15.75" thickBot="1">
      <c r="C176" s="131" t="s">
        <v>1233</v>
      </c>
      <c r="D176" s="132" t="s">
        <v>1234</v>
      </c>
      <c r="E176" s="133"/>
      <c r="F176" s="133"/>
      <c r="G176" s="156"/>
      <c r="H176" s="135">
        <f>SUM(H174:H175)</f>
        <v>98664.5</v>
      </c>
      <c r="I176" s="55"/>
    </row>
    <row r="177" spans="3:9" ht="15.75" thickTop="1"/>
    <row r="178" spans="3:9" ht="15.75" thickBot="1">
      <c r="C178" s="136" t="s">
        <v>1359</v>
      </c>
      <c r="D178" s="136"/>
      <c r="E178" s="136"/>
      <c r="F178" s="136"/>
      <c r="G178" s="136"/>
      <c r="H178" s="136"/>
      <c r="I178" s="57">
        <f>ROUNDDOWN(H193,-2)</f>
        <v>122600</v>
      </c>
    </row>
    <row r="179" spans="3:9" s="58" customFormat="1" ht="31.5" customHeight="1" thickTop="1">
      <c r="C179" s="120" t="s">
        <v>1207</v>
      </c>
      <c r="D179" s="121" t="s">
        <v>1208</v>
      </c>
      <c r="E179" s="121" t="s">
        <v>1209</v>
      </c>
      <c r="F179" s="121" t="s">
        <v>1210</v>
      </c>
      <c r="G179" s="121" t="s">
        <v>1211</v>
      </c>
      <c r="H179" s="122" t="s">
        <v>1212</v>
      </c>
      <c r="I179" s="161"/>
    </row>
    <row r="180" spans="3:9">
      <c r="C180" s="142" t="s">
        <v>1213</v>
      </c>
      <c r="D180" s="60" t="s">
        <v>1214</v>
      </c>
      <c r="E180" s="74"/>
      <c r="F180" s="74"/>
      <c r="G180" s="74"/>
      <c r="H180" s="147"/>
    </row>
    <row r="181" spans="3:9">
      <c r="C181" s="143">
        <v>1</v>
      </c>
      <c r="D181" s="60" t="s">
        <v>5</v>
      </c>
      <c r="E181" s="73" t="s">
        <v>6</v>
      </c>
      <c r="F181" s="75">
        <v>7.0000000000000007E-2</v>
      </c>
      <c r="G181" s="65">
        <f>VLOOKUP(D181,upahbahan,3,FALSE)</f>
        <v>100000</v>
      </c>
      <c r="H181" s="125">
        <f>F181*G181</f>
        <v>7000.0000000000009</v>
      </c>
    </row>
    <row r="182" spans="3:9">
      <c r="C182" s="143">
        <v>2</v>
      </c>
      <c r="D182" s="60" t="s">
        <v>7</v>
      </c>
      <c r="E182" s="73" t="s">
        <v>6</v>
      </c>
      <c r="F182" s="75">
        <v>3.5000000000000003E-2</v>
      </c>
      <c r="G182" s="65">
        <f>VLOOKUP(D182,upahbahan,3,FALSE)</f>
        <v>145000</v>
      </c>
      <c r="H182" s="125">
        <f>F182*G182</f>
        <v>5075.0000000000009</v>
      </c>
    </row>
    <row r="183" spans="3:9" s="56" customFormat="1">
      <c r="C183" s="143">
        <v>3</v>
      </c>
      <c r="D183" s="60" t="s">
        <v>18</v>
      </c>
      <c r="E183" s="73" t="s">
        <v>6</v>
      </c>
      <c r="F183" s="75">
        <v>4.0000000000000001E-3</v>
      </c>
      <c r="G183" s="65">
        <f>VLOOKUP(D183,upahbahan,3,FALSE)</f>
        <v>150000</v>
      </c>
      <c r="H183" s="125">
        <f>F183*G183</f>
        <v>600</v>
      </c>
      <c r="I183" s="55"/>
    </row>
    <row r="184" spans="3:9">
      <c r="C184" s="143">
        <v>4</v>
      </c>
      <c r="D184" s="60" t="s">
        <v>19</v>
      </c>
      <c r="E184" s="73" t="s">
        <v>6</v>
      </c>
      <c r="F184" s="75">
        <v>1E-3</v>
      </c>
      <c r="G184" s="65">
        <f>VLOOKUP(D184,upahbahan,3,FALSE)</f>
        <v>145000</v>
      </c>
      <c r="H184" s="125">
        <f>F184*G184</f>
        <v>145</v>
      </c>
    </row>
    <row r="185" spans="3:9" ht="15.75" customHeight="1">
      <c r="C185" s="145" t="s">
        <v>1220</v>
      </c>
      <c r="D185" s="81"/>
      <c r="E185" s="81"/>
      <c r="F185" s="190"/>
      <c r="G185" s="163"/>
      <c r="H185" s="125">
        <f>SUM(H181:H184)</f>
        <v>12820.000000000002</v>
      </c>
    </row>
    <row r="186" spans="3:9">
      <c r="C186" s="142" t="s">
        <v>1221</v>
      </c>
      <c r="D186" s="60" t="s">
        <v>1222</v>
      </c>
      <c r="E186" s="74"/>
      <c r="F186" s="74"/>
      <c r="G186" s="74"/>
      <c r="H186" s="147"/>
    </row>
    <row r="187" spans="3:9">
      <c r="C187" s="143">
        <v>1</v>
      </c>
      <c r="D187" s="78" t="s">
        <v>1078</v>
      </c>
      <c r="E187" s="73" t="s">
        <v>114</v>
      </c>
      <c r="F187" s="75">
        <v>1.05</v>
      </c>
      <c r="G187" s="65">
        <f>VLOOKUP(D187,upahbahan,3,FALSE)</f>
        <v>94000</v>
      </c>
      <c r="H187" s="125">
        <f>F187*G187</f>
        <v>98700</v>
      </c>
    </row>
    <row r="188" spans="3:9" ht="15.75" customHeight="1">
      <c r="C188" s="145" t="s">
        <v>1226</v>
      </c>
      <c r="D188" s="81"/>
      <c r="E188" s="81"/>
      <c r="F188" s="81"/>
      <c r="G188" s="163"/>
      <c r="H188" s="125">
        <f>SUM(H187:H187)</f>
        <v>98700</v>
      </c>
    </row>
    <row r="189" spans="3:9">
      <c r="C189" s="142" t="s">
        <v>1227</v>
      </c>
      <c r="D189" s="60" t="s">
        <v>1228</v>
      </c>
      <c r="E189" s="74"/>
      <c r="F189" s="74"/>
      <c r="G189" s="74"/>
      <c r="H189" s="152"/>
    </row>
    <row r="190" spans="3:9" ht="15.75" customHeight="1">
      <c r="C190" s="145" t="s">
        <v>1229</v>
      </c>
      <c r="D190" s="81"/>
      <c r="E190" s="81"/>
      <c r="F190" s="81"/>
      <c r="G190" s="163"/>
      <c r="H190" s="154">
        <v>0</v>
      </c>
    </row>
    <row r="191" spans="3:9" s="164" customFormat="1">
      <c r="C191" s="123" t="s">
        <v>1230</v>
      </c>
      <c r="D191" s="70" t="s">
        <v>1231</v>
      </c>
      <c r="E191" s="71"/>
      <c r="F191" s="71"/>
      <c r="G191" s="72"/>
      <c r="H191" s="125">
        <f>H190+H188+H185</f>
        <v>111520</v>
      </c>
      <c r="I191" s="55"/>
    </row>
    <row r="192" spans="3:9" s="164" customFormat="1">
      <c r="C192" s="123" t="s">
        <v>1232</v>
      </c>
      <c r="D192" s="70" t="s">
        <v>1410</v>
      </c>
      <c r="E192" s="71"/>
      <c r="F192" s="72"/>
      <c r="G192" s="96">
        <f>$M$7</f>
        <v>0.1</v>
      </c>
      <c r="H192" s="125">
        <f>H191*G192</f>
        <v>11152</v>
      </c>
      <c r="I192" s="55"/>
    </row>
    <row r="193" spans="3:9" s="164" customFormat="1" ht="15.75" thickBot="1">
      <c r="C193" s="131" t="s">
        <v>1233</v>
      </c>
      <c r="D193" s="132" t="s">
        <v>1234</v>
      </c>
      <c r="E193" s="133"/>
      <c r="F193" s="133"/>
      <c r="G193" s="156"/>
      <c r="H193" s="135">
        <f>SUM(H191:H192)</f>
        <v>122672</v>
      </c>
      <c r="I193" s="55"/>
    </row>
    <row r="194" spans="3:9" ht="15.75" thickTop="1"/>
    <row r="195" spans="3:9" ht="15.75" thickBot="1">
      <c r="C195" s="136" t="s">
        <v>1360</v>
      </c>
      <c r="D195" s="136"/>
      <c r="E195" s="136"/>
      <c r="F195" s="136"/>
      <c r="G195" s="136"/>
      <c r="H195" s="136"/>
      <c r="I195" s="57">
        <f>ROUNDDOWN(H211,-2)</f>
        <v>174400</v>
      </c>
    </row>
    <row r="196" spans="3:9" s="58" customFormat="1" ht="31.5" customHeight="1" thickTop="1">
      <c r="C196" s="120" t="s">
        <v>1207</v>
      </c>
      <c r="D196" s="121" t="s">
        <v>1208</v>
      </c>
      <c r="E196" s="121" t="s">
        <v>1209</v>
      </c>
      <c r="F196" s="121" t="s">
        <v>1210</v>
      </c>
      <c r="G196" s="121" t="s">
        <v>1211</v>
      </c>
      <c r="H196" s="122" t="s">
        <v>1212</v>
      </c>
      <c r="I196" s="161"/>
    </row>
    <row r="197" spans="3:9">
      <c r="C197" s="142" t="s">
        <v>1213</v>
      </c>
      <c r="D197" s="60" t="s">
        <v>1214</v>
      </c>
      <c r="E197" s="74"/>
      <c r="F197" s="74"/>
      <c r="G197" s="74"/>
      <c r="H197" s="147"/>
    </row>
    <row r="198" spans="3:9">
      <c r="C198" s="143">
        <v>1</v>
      </c>
      <c r="D198" s="60" t="s">
        <v>5</v>
      </c>
      <c r="E198" s="73" t="s">
        <v>6</v>
      </c>
      <c r="F198" s="75">
        <v>0.08</v>
      </c>
      <c r="G198" s="65">
        <f>VLOOKUP(D198,upahbahan,3,FALSE)</f>
        <v>100000</v>
      </c>
      <c r="H198" s="125">
        <f>F198*G198</f>
        <v>8000</v>
      </c>
    </row>
    <row r="199" spans="3:9">
      <c r="C199" s="143">
        <v>2</v>
      </c>
      <c r="D199" s="60" t="s">
        <v>7</v>
      </c>
      <c r="E199" s="73" t="s">
        <v>6</v>
      </c>
      <c r="F199" s="75">
        <v>0.04</v>
      </c>
      <c r="G199" s="65">
        <f>VLOOKUP(D199,upahbahan,3,FALSE)</f>
        <v>145000</v>
      </c>
      <c r="H199" s="125">
        <f>F199*G199</f>
        <v>5800</v>
      </c>
    </row>
    <row r="200" spans="3:9" s="56" customFormat="1">
      <c r="C200" s="143">
        <v>3</v>
      </c>
      <c r="D200" s="60" t="s">
        <v>18</v>
      </c>
      <c r="E200" s="73" t="s">
        <v>6</v>
      </c>
      <c r="F200" s="75">
        <v>4.0000000000000001E-3</v>
      </c>
      <c r="G200" s="65">
        <f>VLOOKUP(D200,upahbahan,3,FALSE)</f>
        <v>150000</v>
      </c>
      <c r="H200" s="125">
        <f>F200*G200</f>
        <v>600</v>
      </c>
      <c r="I200" s="55"/>
    </row>
    <row r="201" spans="3:9">
      <c r="C201" s="143">
        <v>4</v>
      </c>
      <c r="D201" s="60" t="s">
        <v>19</v>
      </c>
      <c r="E201" s="73" t="s">
        <v>6</v>
      </c>
      <c r="F201" s="75">
        <v>8.0000000000000002E-3</v>
      </c>
      <c r="G201" s="65">
        <f>VLOOKUP(D201,upahbahan,3,FALSE)</f>
        <v>145000</v>
      </c>
      <c r="H201" s="125">
        <f>F201*G201</f>
        <v>1160</v>
      </c>
    </row>
    <row r="202" spans="3:9" ht="15.75" customHeight="1">
      <c r="C202" s="145" t="s">
        <v>1220</v>
      </c>
      <c r="D202" s="81"/>
      <c r="E202" s="81"/>
      <c r="F202" s="190"/>
      <c r="G202" s="163"/>
      <c r="H202" s="125">
        <f>SUM(H198:H201)</f>
        <v>15560</v>
      </c>
    </row>
    <row r="203" spans="3:9">
      <c r="C203" s="142" t="s">
        <v>1221</v>
      </c>
      <c r="D203" s="60" t="s">
        <v>1222</v>
      </c>
      <c r="E203" s="74"/>
      <c r="F203" s="74"/>
      <c r="G203" s="74"/>
      <c r="H203" s="147"/>
    </row>
    <row r="204" spans="3:9">
      <c r="C204" s="201" t="s">
        <v>1215</v>
      </c>
      <c r="D204" s="78" t="s">
        <v>1079</v>
      </c>
      <c r="E204" s="73" t="s">
        <v>114</v>
      </c>
      <c r="F204" s="75">
        <v>1.05</v>
      </c>
      <c r="G204" s="65">
        <f>VLOOKUP(D204,upahbahan,3,FALSE)</f>
        <v>136000</v>
      </c>
      <c r="H204" s="125">
        <f>F204*G204</f>
        <v>142800</v>
      </c>
    </row>
    <row r="205" spans="3:9">
      <c r="C205" s="201" t="s">
        <v>1216</v>
      </c>
      <c r="D205" s="78" t="s">
        <v>255</v>
      </c>
      <c r="E205" s="73" t="s">
        <v>66</v>
      </c>
      <c r="F205" s="75">
        <v>0.01</v>
      </c>
      <c r="G205" s="65">
        <f>VLOOKUP(D205,upahbahan,3,FALSE)</f>
        <v>18800</v>
      </c>
      <c r="H205" s="125">
        <f>F205*G205</f>
        <v>188</v>
      </c>
    </row>
    <row r="206" spans="3:9" ht="15.75" customHeight="1">
      <c r="C206" s="145" t="s">
        <v>1226</v>
      </c>
      <c r="D206" s="81"/>
      <c r="E206" s="81"/>
      <c r="F206" s="81"/>
      <c r="G206" s="163"/>
      <c r="H206" s="125">
        <f>SUM(H204:H205)</f>
        <v>142988</v>
      </c>
    </row>
    <row r="207" spans="3:9">
      <c r="C207" s="142" t="s">
        <v>1227</v>
      </c>
      <c r="D207" s="60" t="s">
        <v>1228</v>
      </c>
      <c r="E207" s="74"/>
      <c r="F207" s="74"/>
      <c r="G207" s="74"/>
      <c r="H207" s="152"/>
    </row>
    <row r="208" spans="3:9" ht="15.75" customHeight="1">
      <c r="C208" s="145" t="s">
        <v>1229</v>
      </c>
      <c r="D208" s="81"/>
      <c r="E208" s="81"/>
      <c r="F208" s="81"/>
      <c r="G208" s="163"/>
      <c r="H208" s="154">
        <v>0</v>
      </c>
    </row>
    <row r="209" spans="3:9" s="164" customFormat="1">
      <c r="C209" s="123" t="s">
        <v>1230</v>
      </c>
      <c r="D209" s="70" t="s">
        <v>1231</v>
      </c>
      <c r="E209" s="71"/>
      <c r="F209" s="71"/>
      <c r="G209" s="72"/>
      <c r="H209" s="125">
        <f>H208+H206+H202</f>
        <v>158548</v>
      </c>
      <c r="I209" s="55"/>
    </row>
    <row r="210" spans="3:9" s="164" customFormat="1">
      <c r="C210" s="123" t="s">
        <v>1232</v>
      </c>
      <c r="D210" s="70" t="s">
        <v>1410</v>
      </c>
      <c r="E210" s="71"/>
      <c r="F210" s="72"/>
      <c r="G210" s="96">
        <f>$M$7</f>
        <v>0.1</v>
      </c>
      <c r="H210" s="125">
        <f>H209*G210</f>
        <v>15854.800000000001</v>
      </c>
      <c r="I210" s="55"/>
    </row>
    <row r="211" spans="3:9" s="164" customFormat="1" ht="15.75" thickBot="1">
      <c r="C211" s="131" t="s">
        <v>1233</v>
      </c>
      <c r="D211" s="132" t="s">
        <v>1234</v>
      </c>
      <c r="E211" s="133"/>
      <c r="F211" s="133"/>
      <c r="G211" s="156"/>
      <c r="H211" s="135">
        <f>SUM(H209:H210)</f>
        <v>174402.8</v>
      </c>
      <c r="I211" s="55"/>
    </row>
    <row r="212" spans="3:9" ht="15.75" thickTop="1"/>
    <row r="213" spans="3:9" ht="15.75" thickBot="1">
      <c r="C213" s="136" t="s">
        <v>1361</v>
      </c>
      <c r="D213" s="136"/>
      <c r="E213" s="136"/>
      <c r="F213" s="136"/>
      <c r="G213" s="136"/>
      <c r="H213" s="136"/>
      <c r="I213" s="57">
        <f>ROUNDDOWN(H230,-2)</f>
        <v>253300</v>
      </c>
    </row>
    <row r="214" spans="3:9" s="58" customFormat="1" ht="31.5" customHeight="1" thickTop="1">
      <c r="C214" s="120" t="s">
        <v>1207</v>
      </c>
      <c r="D214" s="121" t="s">
        <v>1208</v>
      </c>
      <c r="E214" s="121" t="s">
        <v>1209</v>
      </c>
      <c r="F214" s="121" t="s">
        <v>1210</v>
      </c>
      <c r="G214" s="121" t="s">
        <v>1211</v>
      </c>
      <c r="H214" s="122" t="s">
        <v>1212</v>
      </c>
      <c r="I214" s="161"/>
    </row>
    <row r="215" spans="3:9">
      <c r="C215" s="142" t="s">
        <v>1213</v>
      </c>
      <c r="D215" s="60" t="s">
        <v>1214</v>
      </c>
      <c r="E215" s="74"/>
      <c r="F215" s="74"/>
      <c r="G215" s="74"/>
      <c r="H215" s="147"/>
    </row>
    <row r="216" spans="3:9">
      <c r="C216" s="143">
        <v>1</v>
      </c>
      <c r="D216" s="60" t="s">
        <v>5</v>
      </c>
      <c r="E216" s="73" t="s">
        <v>6</v>
      </c>
      <c r="F216" s="75">
        <v>0.52</v>
      </c>
      <c r="G216" s="65">
        <f>VLOOKUP(D216,upahbahan,3,FALSE)</f>
        <v>100000</v>
      </c>
      <c r="H216" s="125">
        <f>F216*G216</f>
        <v>52000</v>
      </c>
    </row>
    <row r="217" spans="3:9">
      <c r="C217" s="143">
        <v>2</v>
      </c>
      <c r="D217" s="60" t="s">
        <v>8</v>
      </c>
      <c r="E217" s="73" t="s">
        <v>6</v>
      </c>
      <c r="F217" s="75">
        <v>0.26</v>
      </c>
      <c r="G217" s="65">
        <f>VLOOKUP(D217,upahbahan,3,FALSE)</f>
        <v>145000</v>
      </c>
      <c r="H217" s="125">
        <f>F217*G217</f>
        <v>37700</v>
      </c>
    </row>
    <row r="218" spans="3:9" s="56" customFormat="1">
      <c r="C218" s="143">
        <v>3</v>
      </c>
      <c r="D218" s="60" t="s">
        <v>18</v>
      </c>
      <c r="E218" s="73" t="s">
        <v>6</v>
      </c>
      <c r="F218" s="75">
        <v>2.5999999999999999E-2</v>
      </c>
      <c r="G218" s="65">
        <f>VLOOKUP(D218,upahbahan,3,FALSE)</f>
        <v>150000</v>
      </c>
      <c r="H218" s="125">
        <f>F218*G218</f>
        <v>3900</v>
      </c>
      <c r="I218" s="55"/>
    </row>
    <row r="219" spans="3:9">
      <c r="C219" s="143">
        <v>4</v>
      </c>
      <c r="D219" s="60" t="s">
        <v>19</v>
      </c>
      <c r="E219" s="73" t="s">
        <v>6</v>
      </c>
      <c r="F219" s="75">
        <v>8.9999999999999993E-3</v>
      </c>
      <c r="G219" s="65">
        <f>VLOOKUP(D219,upahbahan,3,FALSE)</f>
        <v>145000</v>
      </c>
      <c r="H219" s="125">
        <f>F219*G219</f>
        <v>1305</v>
      </c>
    </row>
    <row r="220" spans="3:9" ht="15.75" customHeight="1">
      <c r="C220" s="145" t="s">
        <v>1220</v>
      </c>
      <c r="D220" s="81"/>
      <c r="E220" s="81"/>
      <c r="F220" s="190"/>
      <c r="G220" s="163"/>
      <c r="H220" s="125">
        <f>SUM(H216:H219)</f>
        <v>94905</v>
      </c>
    </row>
    <row r="221" spans="3:9">
      <c r="C221" s="142" t="s">
        <v>1221</v>
      </c>
      <c r="D221" s="60" t="s">
        <v>1222</v>
      </c>
      <c r="E221" s="74"/>
      <c r="F221" s="74"/>
      <c r="G221" s="74"/>
      <c r="H221" s="147"/>
    </row>
    <row r="222" spans="3:9">
      <c r="C222" s="201" t="s">
        <v>1215</v>
      </c>
      <c r="D222" s="78" t="s">
        <v>127</v>
      </c>
      <c r="E222" s="73" t="s">
        <v>42</v>
      </c>
      <c r="F222" s="75">
        <v>1.6E-2</v>
      </c>
      <c r="G222" s="65">
        <f>VLOOKUP(D222,upahbahan,3,FALSE)</f>
        <v>8000000</v>
      </c>
      <c r="H222" s="125">
        <f>F222*G222</f>
        <v>128000</v>
      </c>
    </row>
    <row r="223" spans="3:9">
      <c r="C223" s="201" t="s">
        <v>1216</v>
      </c>
      <c r="D223" s="78" t="s">
        <v>266</v>
      </c>
      <c r="E223" s="73" t="s">
        <v>66</v>
      </c>
      <c r="F223" s="75">
        <v>0.3</v>
      </c>
      <c r="G223" s="65">
        <f>VLOOKUP(D223,upahbahan,3,FALSE)</f>
        <v>19000</v>
      </c>
      <c r="H223" s="125">
        <f>F223*G223</f>
        <v>5700</v>
      </c>
    </row>
    <row r="224" spans="3:9">
      <c r="C224" s="201" t="s">
        <v>1217</v>
      </c>
      <c r="D224" s="78" t="s">
        <v>765</v>
      </c>
      <c r="E224" s="73" t="s">
        <v>535</v>
      </c>
      <c r="F224" s="75">
        <v>0.1</v>
      </c>
      <c r="G224" s="65">
        <f>VLOOKUP(D224,upahbahan,3,FALSE)</f>
        <v>16800</v>
      </c>
      <c r="H224" s="125">
        <f>F224*G224</f>
        <v>1680</v>
      </c>
    </row>
    <row r="225" spans="3:9" ht="15.75" customHeight="1">
      <c r="C225" s="145" t="s">
        <v>1226</v>
      </c>
      <c r="D225" s="81"/>
      <c r="E225" s="81"/>
      <c r="F225" s="81"/>
      <c r="G225" s="163"/>
      <c r="H225" s="125">
        <f>SUM(H222:H224)</f>
        <v>135380</v>
      </c>
    </row>
    <row r="226" spans="3:9">
      <c r="C226" s="142" t="s">
        <v>1227</v>
      </c>
      <c r="D226" s="60" t="s">
        <v>1228</v>
      </c>
      <c r="E226" s="74"/>
      <c r="F226" s="74"/>
      <c r="G226" s="74"/>
      <c r="H226" s="152"/>
    </row>
    <row r="227" spans="3:9" ht="15.75" customHeight="1">
      <c r="C227" s="145" t="s">
        <v>1229</v>
      </c>
      <c r="D227" s="81"/>
      <c r="E227" s="81"/>
      <c r="F227" s="81"/>
      <c r="G227" s="163"/>
      <c r="H227" s="154">
        <v>0</v>
      </c>
    </row>
    <row r="228" spans="3:9" s="164" customFormat="1">
      <c r="C228" s="123" t="s">
        <v>1230</v>
      </c>
      <c r="D228" s="70" t="s">
        <v>1231</v>
      </c>
      <c r="E228" s="71"/>
      <c r="F228" s="71"/>
      <c r="G228" s="72"/>
      <c r="H228" s="125">
        <f>H227+H225+H220</f>
        <v>230285</v>
      </c>
      <c r="I228" s="55"/>
    </row>
    <row r="229" spans="3:9" s="164" customFormat="1">
      <c r="C229" s="123" t="s">
        <v>1232</v>
      </c>
      <c r="D229" s="70" t="s">
        <v>1410</v>
      </c>
      <c r="E229" s="71"/>
      <c r="F229" s="72"/>
      <c r="G229" s="96">
        <f>$M$7</f>
        <v>0.1</v>
      </c>
      <c r="H229" s="125">
        <f>H228*G229</f>
        <v>23028.5</v>
      </c>
      <c r="I229" s="55"/>
    </row>
    <row r="230" spans="3:9" s="164" customFormat="1" ht="15.75" thickBot="1">
      <c r="C230" s="131" t="s">
        <v>1233</v>
      </c>
      <c r="D230" s="132" t="s">
        <v>1234</v>
      </c>
      <c r="E230" s="133"/>
      <c r="F230" s="133"/>
      <c r="G230" s="156"/>
      <c r="H230" s="135">
        <f>SUM(H228:H229)</f>
        <v>253313.5</v>
      </c>
      <c r="I230" s="55"/>
    </row>
    <row r="231" spans="3:9" ht="15.75" thickTop="1"/>
    <row r="232" spans="3:9" ht="15.75" thickBot="1">
      <c r="C232" s="136" t="s">
        <v>1362</v>
      </c>
      <c r="D232" s="136"/>
      <c r="E232" s="136"/>
      <c r="F232" s="136"/>
      <c r="G232" s="136"/>
      <c r="H232" s="136"/>
      <c r="I232" s="57">
        <f>ROUNDDOWN(H249,-2)</f>
        <v>134300</v>
      </c>
    </row>
    <row r="233" spans="3:9" s="58" customFormat="1" ht="31.5" customHeight="1" thickTop="1">
      <c r="C233" s="120" t="s">
        <v>1207</v>
      </c>
      <c r="D233" s="121" t="s">
        <v>1208</v>
      </c>
      <c r="E233" s="121" t="s">
        <v>1209</v>
      </c>
      <c r="F233" s="121" t="s">
        <v>1210</v>
      </c>
      <c r="G233" s="121" t="s">
        <v>1211</v>
      </c>
      <c r="H233" s="122" t="s">
        <v>1212</v>
      </c>
      <c r="I233" s="161"/>
    </row>
    <row r="234" spans="3:9">
      <c r="C234" s="142" t="s">
        <v>1213</v>
      </c>
      <c r="D234" s="60" t="s">
        <v>1214</v>
      </c>
      <c r="E234" s="74"/>
      <c r="F234" s="74"/>
      <c r="G234" s="74"/>
      <c r="H234" s="147"/>
    </row>
    <row r="235" spans="3:9">
      <c r="C235" s="143">
        <v>1</v>
      </c>
      <c r="D235" s="60" t="s">
        <v>5</v>
      </c>
      <c r="E235" s="73" t="s">
        <v>6</v>
      </c>
      <c r="F235" s="75">
        <v>0.3</v>
      </c>
      <c r="G235" s="65">
        <f>VLOOKUP(D235,upahbahan,3,FALSE)</f>
        <v>100000</v>
      </c>
      <c r="H235" s="125">
        <f>F235*G235</f>
        <v>30000</v>
      </c>
    </row>
    <row r="236" spans="3:9">
      <c r="C236" s="143">
        <v>2</v>
      </c>
      <c r="D236" s="60" t="s">
        <v>7</v>
      </c>
      <c r="E236" s="73" t="s">
        <v>6</v>
      </c>
      <c r="F236" s="75">
        <v>0.1</v>
      </c>
      <c r="G236" s="65">
        <f>VLOOKUP(D236,upahbahan,3,FALSE)</f>
        <v>145000</v>
      </c>
      <c r="H236" s="125">
        <f>F236*G236</f>
        <v>14500</v>
      </c>
    </row>
    <row r="237" spans="3:9" s="56" customFormat="1">
      <c r="C237" s="143">
        <v>3</v>
      </c>
      <c r="D237" s="60" t="s">
        <v>18</v>
      </c>
      <c r="E237" s="73" t="s">
        <v>6</v>
      </c>
      <c r="F237" s="75">
        <v>0.01</v>
      </c>
      <c r="G237" s="65">
        <f>VLOOKUP(D237,upahbahan,3,FALSE)</f>
        <v>150000</v>
      </c>
      <c r="H237" s="125">
        <f>F237*G237</f>
        <v>1500</v>
      </c>
      <c r="I237" s="55"/>
    </row>
    <row r="238" spans="3:9">
      <c r="C238" s="143">
        <v>4</v>
      </c>
      <c r="D238" s="60" t="s">
        <v>19</v>
      </c>
      <c r="E238" s="73" t="s">
        <v>6</v>
      </c>
      <c r="F238" s="75">
        <v>1.4999999999999999E-2</v>
      </c>
      <c r="G238" s="65">
        <f>VLOOKUP(D238,upahbahan,3,FALSE)</f>
        <v>145000</v>
      </c>
      <c r="H238" s="125">
        <f>F238*G238</f>
        <v>2175</v>
      </c>
    </row>
    <row r="239" spans="3:9" ht="15.75" customHeight="1">
      <c r="C239" s="145" t="s">
        <v>1220</v>
      </c>
      <c r="D239" s="81"/>
      <c r="E239" s="81"/>
      <c r="F239" s="190"/>
      <c r="G239" s="163"/>
      <c r="H239" s="125">
        <f>SUM(H235:H238)</f>
        <v>48175</v>
      </c>
    </row>
    <row r="240" spans="3:9">
      <c r="C240" s="142" t="s">
        <v>1221</v>
      </c>
      <c r="D240" s="60" t="s">
        <v>1222</v>
      </c>
      <c r="E240" s="74"/>
      <c r="F240" s="74"/>
      <c r="G240" s="74"/>
      <c r="H240" s="147"/>
    </row>
    <row r="241" spans="3:9">
      <c r="C241" s="201" t="s">
        <v>1215</v>
      </c>
      <c r="D241" s="78" t="s">
        <v>43</v>
      </c>
      <c r="E241" s="73" t="s">
        <v>44</v>
      </c>
      <c r="F241" s="75">
        <v>70</v>
      </c>
      <c r="G241" s="65">
        <f>VLOOKUP(D241,upahbahan,3,FALSE)</f>
        <v>700</v>
      </c>
      <c r="H241" s="125">
        <f>F241*G241</f>
        <v>49000</v>
      </c>
    </row>
    <row r="242" spans="3:9">
      <c r="C242" s="201" t="s">
        <v>1216</v>
      </c>
      <c r="D242" s="78" t="s">
        <v>568</v>
      </c>
      <c r="E242" s="73" t="s">
        <v>66</v>
      </c>
      <c r="F242" s="75">
        <v>9.68</v>
      </c>
      <c r="G242" s="65">
        <f>VLOOKUP(D242,upahbahan,3,FALSE)</f>
        <v>1300</v>
      </c>
      <c r="H242" s="125">
        <f>F242*G242</f>
        <v>12584</v>
      </c>
    </row>
    <row r="243" spans="3:9">
      <c r="C243" s="201" t="s">
        <v>1217</v>
      </c>
      <c r="D243" s="78" t="s">
        <v>86</v>
      </c>
      <c r="E243" s="73" t="s">
        <v>42</v>
      </c>
      <c r="F243" s="75">
        <v>4.4999999999999998E-2</v>
      </c>
      <c r="G243" s="65">
        <f>VLOOKUP(D243,upahbahan,3,FALSE)</f>
        <v>275000</v>
      </c>
      <c r="H243" s="125">
        <f>F243*G243</f>
        <v>12375</v>
      </c>
    </row>
    <row r="244" spans="3:9" ht="15.75" customHeight="1">
      <c r="C244" s="145" t="s">
        <v>1226</v>
      </c>
      <c r="D244" s="81"/>
      <c r="E244" s="81"/>
      <c r="F244" s="81"/>
      <c r="G244" s="163"/>
      <c r="H244" s="125">
        <f>SUM(H241:H243)</f>
        <v>73959</v>
      </c>
    </row>
    <row r="245" spans="3:9">
      <c r="C245" s="142" t="s">
        <v>1227</v>
      </c>
      <c r="D245" s="60" t="s">
        <v>1228</v>
      </c>
      <c r="E245" s="74"/>
      <c r="F245" s="74"/>
      <c r="G245" s="74"/>
      <c r="H245" s="152"/>
    </row>
    <row r="246" spans="3:9" ht="15.75" customHeight="1">
      <c r="C246" s="145" t="s">
        <v>1229</v>
      </c>
      <c r="D246" s="81"/>
      <c r="E246" s="81"/>
      <c r="F246" s="81"/>
      <c r="G246" s="163"/>
      <c r="H246" s="154">
        <v>0</v>
      </c>
    </row>
    <row r="247" spans="3:9" s="164" customFormat="1">
      <c r="C247" s="123" t="s">
        <v>1230</v>
      </c>
      <c r="D247" s="70" t="s">
        <v>1231</v>
      </c>
      <c r="E247" s="71"/>
      <c r="F247" s="71"/>
      <c r="G247" s="72"/>
      <c r="H247" s="125">
        <f>H246+H244+H239</f>
        <v>122134</v>
      </c>
      <c r="I247" s="55"/>
    </row>
    <row r="248" spans="3:9" s="164" customFormat="1">
      <c r="C248" s="123" t="s">
        <v>1232</v>
      </c>
      <c r="D248" s="70" t="s">
        <v>1410</v>
      </c>
      <c r="E248" s="71"/>
      <c r="F248" s="72"/>
      <c r="G248" s="96">
        <f>$M$7</f>
        <v>0.1</v>
      </c>
      <c r="H248" s="125">
        <f>H247*G248</f>
        <v>12213.400000000001</v>
      </c>
      <c r="I248" s="55"/>
    </row>
    <row r="249" spans="3:9" s="164" customFormat="1" ht="15.75" thickBot="1">
      <c r="C249" s="131" t="s">
        <v>1233</v>
      </c>
      <c r="D249" s="132" t="s">
        <v>1234</v>
      </c>
      <c r="E249" s="133"/>
      <c r="F249" s="133"/>
      <c r="G249" s="156"/>
      <c r="H249" s="135">
        <f>SUM(H247:H248)</f>
        <v>134347.4</v>
      </c>
      <c r="I249" s="55"/>
    </row>
    <row r="250" spans="3:9" ht="15.75" thickTop="1"/>
    <row r="251" spans="3:9" ht="15.75" thickBot="1">
      <c r="C251" s="136" t="s">
        <v>1363</v>
      </c>
      <c r="D251" s="136"/>
      <c r="E251" s="136"/>
      <c r="F251" s="136"/>
      <c r="G251" s="136"/>
      <c r="H251" s="136"/>
      <c r="I251" s="57">
        <f>ROUNDDOWN(H268,-2)</f>
        <v>270900</v>
      </c>
    </row>
    <row r="252" spans="3:9" s="58" customFormat="1" ht="31.5" customHeight="1" thickTop="1">
      <c r="C252" s="120" t="s">
        <v>1207</v>
      </c>
      <c r="D252" s="121" t="s">
        <v>1208</v>
      </c>
      <c r="E252" s="121" t="s">
        <v>1209</v>
      </c>
      <c r="F252" s="121" t="s">
        <v>1210</v>
      </c>
      <c r="G252" s="121" t="s">
        <v>1211</v>
      </c>
      <c r="H252" s="122" t="s">
        <v>1212</v>
      </c>
      <c r="I252" s="161"/>
    </row>
    <row r="253" spans="3:9">
      <c r="C253" s="142" t="s">
        <v>1213</v>
      </c>
      <c r="D253" s="60" t="s">
        <v>1214</v>
      </c>
      <c r="E253" s="74"/>
      <c r="F253" s="74"/>
      <c r="G253" s="74"/>
      <c r="H253" s="147"/>
    </row>
    <row r="254" spans="3:9">
      <c r="C254" s="143">
        <v>1</v>
      </c>
      <c r="D254" s="60" t="s">
        <v>5</v>
      </c>
      <c r="E254" s="73" t="s">
        <v>6</v>
      </c>
      <c r="F254" s="75">
        <v>0.52</v>
      </c>
      <c r="G254" s="65">
        <f>VLOOKUP(D254,upahbahan,3,FALSE)</f>
        <v>100000</v>
      </c>
      <c r="H254" s="125">
        <f>F254*G254</f>
        <v>52000</v>
      </c>
    </row>
    <row r="255" spans="3:9">
      <c r="C255" s="143">
        <v>2</v>
      </c>
      <c r="D255" s="60" t="s">
        <v>8</v>
      </c>
      <c r="E255" s="73" t="s">
        <v>6</v>
      </c>
      <c r="F255" s="75">
        <v>0.26</v>
      </c>
      <c r="G255" s="65">
        <f>VLOOKUP(D255,upahbahan,3,FALSE)</f>
        <v>145000</v>
      </c>
      <c r="H255" s="125">
        <f>F255*G255</f>
        <v>37700</v>
      </c>
    </row>
    <row r="256" spans="3:9" s="56" customFormat="1">
      <c r="C256" s="143">
        <v>3</v>
      </c>
      <c r="D256" s="60" t="s">
        <v>18</v>
      </c>
      <c r="E256" s="73" t="s">
        <v>6</v>
      </c>
      <c r="F256" s="75">
        <v>2.5999999999999999E-2</v>
      </c>
      <c r="G256" s="65">
        <f>VLOOKUP(D256,upahbahan,3,FALSE)</f>
        <v>150000</v>
      </c>
      <c r="H256" s="125">
        <f>F256*G256</f>
        <v>3900</v>
      </c>
      <c r="I256" s="55"/>
    </row>
    <row r="257" spans="3:9">
      <c r="C257" s="143">
        <v>4</v>
      </c>
      <c r="D257" s="60" t="s">
        <v>19</v>
      </c>
      <c r="E257" s="73" t="s">
        <v>6</v>
      </c>
      <c r="F257" s="75">
        <v>8.9999999999999993E-3</v>
      </c>
      <c r="G257" s="65">
        <f>VLOOKUP(D257,upahbahan,3,FALSE)</f>
        <v>145000</v>
      </c>
      <c r="H257" s="125">
        <f>F257*G257</f>
        <v>1305</v>
      </c>
    </row>
    <row r="258" spans="3:9" ht="15.75" customHeight="1">
      <c r="C258" s="145" t="s">
        <v>1220</v>
      </c>
      <c r="D258" s="81"/>
      <c r="E258" s="81"/>
      <c r="F258" s="190"/>
      <c r="G258" s="163"/>
      <c r="H258" s="125">
        <f>SUM(H254:H257)</f>
        <v>94905</v>
      </c>
    </row>
    <row r="259" spans="3:9">
      <c r="C259" s="142" t="s">
        <v>1221</v>
      </c>
      <c r="D259" s="60" t="s">
        <v>1222</v>
      </c>
      <c r="E259" s="74"/>
      <c r="F259" s="74"/>
      <c r="G259" s="74"/>
      <c r="H259" s="147"/>
    </row>
    <row r="260" spans="3:9">
      <c r="C260" s="201" t="s">
        <v>1215</v>
      </c>
      <c r="D260" s="78" t="s">
        <v>127</v>
      </c>
      <c r="E260" s="73" t="s">
        <v>42</v>
      </c>
      <c r="F260" s="75">
        <v>1.7999999999999999E-2</v>
      </c>
      <c r="G260" s="65">
        <f>VLOOKUP(D260,upahbahan,3,FALSE)</f>
        <v>8000000</v>
      </c>
      <c r="H260" s="125">
        <f>F260*G260</f>
        <v>144000</v>
      </c>
    </row>
    <row r="261" spans="3:9">
      <c r="C261" s="201" t="s">
        <v>1216</v>
      </c>
      <c r="D261" s="78" t="s">
        <v>266</v>
      </c>
      <c r="E261" s="73" t="s">
        <v>66</v>
      </c>
      <c r="F261" s="75">
        <v>0.3</v>
      </c>
      <c r="G261" s="65">
        <f>VLOOKUP(D261,upahbahan,3,FALSE)</f>
        <v>19000</v>
      </c>
      <c r="H261" s="125">
        <f>F261*G261</f>
        <v>5700</v>
      </c>
    </row>
    <row r="262" spans="3:9">
      <c r="C262" s="201" t="s">
        <v>1217</v>
      </c>
      <c r="D262" s="78" t="s">
        <v>765</v>
      </c>
      <c r="E262" s="73" t="s">
        <v>535</v>
      </c>
      <c r="F262" s="75">
        <v>0.1</v>
      </c>
      <c r="G262" s="65">
        <f>VLOOKUP(D262,upahbahan,3,FALSE)</f>
        <v>16800</v>
      </c>
      <c r="H262" s="125">
        <f>F262*G262</f>
        <v>1680</v>
      </c>
    </row>
    <row r="263" spans="3:9" ht="15.75" customHeight="1">
      <c r="C263" s="145" t="s">
        <v>1226</v>
      </c>
      <c r="D263" s="81"/>
      <c r="E263" s="81"/>
      <c r="F263" s="81"/>
      <c r="G263" s="163"/>
      <c r="H263" s="125">
        <f>SUM(H260:H262)</f>
        <v>151380</v>
      </c>
    </row>
    <row r="264" spans="3:9">
      <c r="C264" s="142" t="s">
        <v>1227</v>
      </c>
      <c r="D264" s="60" t="s">
        <v>1228</v>
      </c>
      <c r="E264" s="74"/>
      <c r="F264" s="74"/>
      <c r="G264" s="74"/>
      <c r="H264" s="152"/>
    </row>
    <row r="265" spans="3:9" ht="15.75" customHeight="1">
      <c r="C265" s="145" t="s">
        <v>1229</v>
      </c>
      <c r="D265" s="81"/>
      <c r="E265" s="81"/>
      <c r="F265" s="81"/>
      <c r="G265" s="163"/>
      <c r="H265" s="154">
        <v>0</v>
      </c>
    </row>
    <row r="266" spans="3:9" s="164" customFormat="1">
      <c r="C266" s="123" t="s">
        <v>1230</v>
      </c>
      <c r="D266" s="70" t="s">
        <v>1231</v>
      </c>
      <c r="E266" s="71"/>
      <c r="F266" s="71"/>
      <c r="G266" s="72"/>
      <c r="H266" s="125">
        <f>H265+H263+H258</f>
        <v>246285</v>
      </c>
      <c r="I266" s="55"/>
    </row>
    <row r="267" spans="3:9" s="164" customFormat="1">
      <c r="C267" s="123" t="s">
        <v>1232</v>
      </c>
      <c r="D267" s="70" t="s">
        <v>1410</v>
      </c>
      <c r="E267" s="71"/>
      <c r="F267" s="72"/>
      <c r="G267" s="96">
        <f>$M$7</f>
        <v>0.1</v>
      </c>
      <c r="H267" s="125">
        <f>H266*G267</f>
        <v>24628.5</v>
      </c>
      <c r="I267" s="55"/>
    </row>
    <row r="268" spans="3:9" s="164" customFormat="1" ht="15.75" thickBot="1">
      <c r="C268" s="131" t="s">
        <v>1233</v>
      </c>
      <c r="D268" s="132" t="s">
        <v>1234</v>
      </c>
      <c r="E268" s="133"/>
      <c r="F268" s="133"/>
      <c r="G268" s="156"/>
      <c r="H268" s="135">
        <f>SUM(H266:H267)</f>
        <v>270913.5</v>
      </c>
      <c r="I268" s="55"/>
    </row>
    <row r="269" spans="3:9" ht="15.75" thickTop="1"/>
    <row r="270" spans="3:9" ht="15.75" thickBot="1">
      <c r="C270" s="136" t="s">
        <v>1364</v>
      </c>
      <c r="D270" s="136"/>
      <c r="E270" s="136"/>
      <c r="F270" s="136"/>
      <c r="G270" s="136"/>
      <c r="H270" s="136"/>
      <c r="I270" s="57">
        <f>ROUNDDOWN(H289,-2)</f>
        <v>233000</v>
      </c>
    </row>
    <row r="271" spans="3:9" s="58" customFormat="1" ht="31.5" customHeight="1" thickTop="1">
      <c r="C271" s="120" t="s">
        <v>1207</v>
      </c>
      <c r="D271" s="121" t="s">
        <v>1208</v>
      </c>
      <c r="E271" s="121" t="s">
        <v>1209</v>
      </c>
      <c r="F271" s="121" t="s">
        <v>1210</v>
      </c>
      <c r="G271" s="121" t="s">
        <v>1211</v>
      </c>
      <c r="H271" s="122" t="s">
        <v>1212</v>
      </c>
      <c r="I271" s="161"/>
    </row>
    <row r="272" spans="3:9">
      <c r="C272" s="142" t="s">
        <v>1213</v>
      </c>
      <c r="D272" s="60" t="s">
        <v>1214</v>
      </c>
      <c r="E272" s="74"/>
      <c r="F272" s="74"/>
      <c r="G272" s="74"/>
      <c r="H272" s="147"/>
    </row>
    <row r="273" spans="3:9">
      <c r="C273" s="143">
        <v>1</v>
      </c>
      <c r="D273" s="60" t="s">
        <v>5</v>
      </c>
      <c r="E273" s="73" t="s">
        <v>6</v>
      </c>
      <c r="F273" s="75">
        <v>0.66</v>
      </c>
      <c r="G273" s="65">
        <f>VLOOKUP(D273,upahbahan,3,FALSE)</f>
        <v>100000</v>
      </c>
      <c r="H273" s="125">
        <f>F273*G273</f>
        <v>66000</v>
      </c>
    </row>
    <row r="274" spans="3:9">
      <c r="C274" s="143">
        <v>2</v>
      </c>
      <c r="D274" s="60" t="s">
        <v>8</v>
      </c>
      <c r="E274" s="73" t="s">
        <v>6</v>
      </c>
      <c r="F274" s="75">
        <v>0.33</v>
      </c>
      <c r="G274" s="65">
        <f>VLOOKUP(D274,upahbahan,3,FALSE)</f>
        <v>145000</v>
      </c>
      <c r="H274" s="125">
        <f>F274*G274</f>
        <v>47850</v>
      </c>
    </row>
    <row r="275" spans="3:9" s="56" customFormat="1">
      <c r="C275" s="143">
        <v>3</v>
      </c>
      <c r="D275" s="60" t="s">
        <v>18</v>
      </c>
      <c r="E275" s="73" t="s">
        <v>6</v>
      </c>
      <c r="F275" s="75">
        <v>3.3000000000000002E-2</v>
      </c>
      <c r="G275" s="65">
        <f>VLOOKUP(D275,upahbahan,3,FALSE)</f>
        <v>150000</v>
      </c>
      <c r="H275" s="125">
        <f>F275*G275</f>
        <v>4950</v>
      </c>
      <c r="I275" s="55"/>
    </row>
    <row r="276" spans="3:9">
      <c r="C276" s="143">
        <v>4</v>
      </c>
      <c r="D276" s="60" t="s">
        <v>19</v>
      </c>
      <c r="E276" s="73" t="s">
        <v>6</v>
      </c>
      <c r="F276" s="75">
        <v>1.0999999999999999E-2</v>
      </c>
      <c r="G276" s="65">
        <f>VLOOKUP(D276,upahbahan,3,FALSE)</f>
        <v>145000</v>
      </c>
      <c r="H276" s="125">
        <f>F276*G276</f>
        <v>1595</v>
      </c>
    </row>
    <row r="277" spans="3:9" ht="15.75" customHeight="1">
      <c r="C277" s="145" t="s">
        <v>1220</v>
      </c>
      <c r="D277" s="81"/>
      <c r="E277" s="81"/>
      <c r="F277" s="190"/>
      <c r="G277" s="163"/>
      <c r="H277" s="125">
        <f>SUM(H273:H276)</f>
        <v>120395</v>
      </c>
    </row>
    <row r="278" spans="3:9">
      <c r="C278" s="142" t="s">
        <v>1221</v>
      </c>
      <c r="D278" s="60" t="s">
        <v>1222</v>
      </c>
      <c r="E278" s="74"/>
      <c r="F278" s="74"/>
      <c r="G278" s="74"/>
      <c r="H278" s="147"/>
    </row>
    <row r="279" spans="3:9">
      <c r="C279" s="201" t="s">
        <v>1215</v>
      </c>
      <c r="D279" s="78" t="s">
        <v>267</v>
      </c>
      <c r="E279" s="73" t="s">
        <v>66</v>
      </c>
      <c r="F279" s="202">
        <v>0.4</v>
      </c>
      <c r="G279" s="65">
        <f>VLOOKUP(D279,upahbahan,3,FALSE)</f>
        <v>20000</v>
      </c>
      <c r="H279" s="125">
        <f>F279*G279</f>
        <v>8000</v>
      </c>
    </row>
    <row r="280" spans="3:9">
      <c r="C280" s="201" t="s">
        <v>1216</v>
      </c>
      <c r="D280" s="78" t="s">
        <v>765</v>
      </c>
      <c r="E280" s="73" t="s">
        <v>535</v>
      </c>
      <c r="F280" s="202">
        <v>0.2</v>
      </c>
      <c r="G280" s="65">
        <f>VLOOKUP(D280,upahbahan,3,FALSE)</f>
        <v>16800</v>
      </c>
      <c r="H280" s="125">
        <f>F280*G280</f>
        <v>3360</v>
      </c>
    </row>
    <row r="281" spans="3:9">
      <c r="C281" s="201" t="s">
        <v>1217</v>
      </c>
      <c r="D281" s="78" t="s">
        <v>116</v>
      </c>
      <c r="E281" s="73" t="s">
        <v>42</v>
      </c>
      <c r="F281" s="202">
        <v>4.6499999999999996E-3</v>
      </c>
      <c r="G281" s="65">
        <f>VLOOKUP(D281,upahbahan,3,FALSE)</f>
        <v>11950000</v>
      </c>
      <c r="H281" s="125">
        <f>F281*G281</f>
        <v>55567.499999999993</v>
      </c>
    </row>
    <row r="282" spans="3:9">
      <c r="C282" s="201" t="s">
        <v>1218</v>
      </c>
      <c r="D282" s="78" t="s">
        <v>140</v>
      </c>
      <c r="E282" s="73" t="s">
        <v>133</v>
      </c>
      <c r="F282" s="202">
        <v>0.12705</v>
      </c>
      <c r="G282" s="65">
        <f>VLOOKUP(D282,upahbahan,3,FALSE)</f>
        <v>167300</v>
      </c>
      <c r="H282" s="125">
        <f>F282*G282</f>
        <v>21255.465</v>
      </c>
    </row>
    <row r="283" spans="3:9">
      <c r="C283" s="201" t="s">
        <v>1219</v>
      </c>
      <c r="D283" s="78" t="s">
        <v>113</v>
      </c>
      <c r="E283" s="73" t="s">
        <v>107</v>
      </c>
      <c r="F283" s="202">
        <v>0.65</v>
      </c>
      <c r="G283" s="65">
        <f>VLOOKUP(D283,upahbahan,3,FALSE)</f>
        <v>5000</v>
      </c>
      <c r="H283" s="125">
        <f>F283*G283</f>
        <v>3250</v>
      </c>
    </row>
    <row r="284" spans="3:9" ht="15.75" customHeight="1">
      <c r="C284" s="145" t="s">
        <v>1226</v>
      </c>
      <c r="D284" s="81"/>
      <c r="E284" s="81"/>
      <c r="F284" s="81"/>
      <c r="G284" s="163"/>
      <c r="H284" s="125">
        <f>SUM(H279:H283)</f>
        <v>91432.964999999997</v>
      </c>
    </row>
    <row r="285" spans="3:9">
      <c r="C285" s="142" t="s">
        <v>1227</v>
      </c>
      <c r="D285" s="60" t="s">
        <v>1228</v>
      </c>
      <c r="E285" s="74"/>
      <c r="F285" s="74"/>
      <c r="G285" s="74"/>
      <c r="H285" s="152"/>
    </row>
    <row r="286" spans="3:9" ht="15.75" customHeight="1">
      <c r="C286" s="145" t="s">
        <v>1229</v>
      </c>
      <c r="D286" s="81"/>
      <c r="E286" s="81"/>
      <c r="F286" s="81"/>
      <c r="G286" s="163"/>
      <c r="H286" s="154">
        <v>0</v>
      </c>
    </row>
    <row r="287" spans="3:9" s="164" customFormat="1">
      <c r="C287" s="123" t="s">
        <v>1230</v>
      </c>
      <c r="D287" s="70" t="s">
        <v>1231</v>
      </c>
      <c r="E287" s="71"/>
      <c r="F287" s="71"/>
      <c r="G287" s="72"/>
      <c r="H287" s="125">
        <f>H286+H284+H277</f>
        <v>211827.965</v>
      </c>
      <c r="I287" s="55"/>
    </row>
    <row r="288" spans="3:9" s="164" customFormat="1">
      <c r="C288" s="123" t="s">
        <v>1232</v>
      </c>
      <c r="D288" s="70" t="s">
        <v>1410</v>
      </c>
      <c r="E288" s="71"/>
      <c r="F288" s="72"/>
      <c r="G288" s="96">
        <f>$M$7</f>
        <v>0.1</v>
      </c>
      <c r="H288" s="125">
        <f>H287*G288</f>
        <v>21182.7965</v>
      </c>
      <c r="I288" s="55"/>
    </row>
    <row r="289" spans="3:9" s="164" customFormat="1" ht="15.75" thickBot="1">
      <c r="C289" s="131" t="s">
        <v>1233</v>
      </c>
      <c r="D289" s="132" t="s">
        <v>1234</v>
      </c>
      <c r="E289" s="133"/>
      <c r="F289" s="133"/>
      <c r="G289" s="156"/>
      <c r="H289" s="135">
        <f>SUM(H287:H288)</f>
        <v>233010.76149999999</v>
      </c>
      <c r="I289" s="55"/>
    </row>
    <row r="290" spans="3:9" ht="15.75" thickTop="1"/>
    <row r="291" spans="3:9" ht="15.75" thickBot="1">
      <c r="C291" s="136" t="s">
        <v>1365</v>
      </c>
      <c r="D291" s="136"/>
      <c r="E291" s="136"/>
      <c r="F291" s="136"/>
      <c r="G291" s="136"/>
      <c r="H291" s="136"/>
      <c r="I291" s="57">
        <f>ROUNDDOWN(H310,-2)</f>
        <v>245200</v>
      </c>
    </row>
    <row r="292" spans="3:9" s="58" customFormat="1" ht="31.5" customHeight="1" thickTop="1">
      <c r="C292" s="120" t="s">
        <v>1207</v>
      </c>
      <c r="D292" s="121" t="s">
        <v>1208</v>
      </c>
      <c r="E292" s="121" t="s">
        <v>1209</v>
      </c>
      <c r="F292" s="121" t="s">
        <v>1210</v>
      </c>
      <c r="G292" s="121" t="s">
        <v>1211</v>
      </c>
      <c r="H292" s="122" t="s">
        <v>1212</v>
      </c>
      <c r="I292" s="161"/>
    </row>
    <row r="293" spans="3:9">
      <c r="C293" s="142" t="s">
        <v>1213</v>
      </c>
      <c r="D293" s="60" t="s">
        <v>1214</v>
      </c>
      <c r="E293" s="74"/>
      <c r="F293" s="74"/>
      <c r="G293" s="74"/>
      <c r="H293" s="147"/>
    </row>
    <row r="294" spans="3:9">
      <c r="C294" s="143">
        <v>1</v>
      </c>
      <c r="D294" s="60" t="s">
        <v>5</v>
      </c>
      <c r="E294" s="73" t="s">
        <v>6</v>
      </c>
      <c r="F294" s="75">
        <v>0.66</v>
      </c>
      <c r="G294" s="65">
        <f>VLOOKUP(D294,upahbahan,3,FALSE)</f>
        <v>100000</v>
      </c>
      <c r="H294" s="125">
        <f>F294*G294</f>
        <v>66000</v>
      </c>
    </row>
    <row r="295" spans="3:9">
      <c r="C295" s="143">
        <v>2</v>
      </c>
      <c r="D295" s="60" t="s">
        <v>8</v>
      </c>
      <c r="E295" s="73" t="s">
        <v>6</v>
      </c>
      <c r="F295" s="75">
        <v>0.33</v>
      </c>
      <c r="G295" s="65">
        <f>VLOOKUP(D295,upahbahan,3,FALSE)</f>
        <v>145000</v>
      </c>
      <c r="H295" s="125">
        <f>F295*G295</f>
        <v>47850</v>
      </c>
    </row>
    <row r="296" spans="3:9" s="56" customFormat="1">
      <c r="C296" s="143">
        <v>3</v>
      </c>
      <c r="D296" s="60" t="s">
        <v>18</v>
      </c>
      <c r="E296" s="73" t="s">
        <v>6</v>
      </c>
      <c r="F296" s="75">
        <v>3.3000000000000002E-2</v>
      </c>
      <c r="G296" s="65">
        <f>VLOOKUP(D296,upahbahan,3,FALSE)</f>
        <v>150000</v>
      </c>
      <c r="H296" s="125">
        <f>F296*G296</f>
        <v>4950</v>
      </c>
      <c r="I296" s="55"/>
    </row>
    <row r="297" spans="3:9">
      <c r="C297" s="143">
        <v>4</v>
      </c>
      <c r="D297" s="60" t="s">
        <v>19</v>
      </c>
      <c r="E297" s="73" t="s">
        <v>6</v>
      </c>
      <c r="F297" s="75">
        <v>1.0999999999999999E-2</v>
      </c>
      <c r="G297" s="65">
        <f>VLOOKUP(D297,upahbahan,3,FALSE)</f>
        <v>145000</v>
      </c>
      <c r="H297" s="125">
        <f>F297*G297</f>
        <v>1595</v>
      </c>
    </row>
    <row r="298" spans="3:9" ht="15.75" customHeight="1">
      <c r="C298" s="145" t="s">
        <v>1220</v>
      </c>
      <c r="D298" s="81"/>
      <c r="E298" s="81"/>
      <c r="F298" s="190"/>
      <c r="G298" s="163"/>
      <c r="H298" s="125">
        <f>SUM(H294:H297)</f>
        <v>120395</v>
      </c>
    </row>
    <row r="299" spans="3:9">
      <c r="C299" s="142" t="s">
        <v>1221</v>
      </c>
      <c r="D299" s="60" t="s">
        <v>1222</v>
      </c>
      <c r="E299" s="74"/>
      <c r="F299" s="74"/>
      <c r="G299" s="74"/>
      <c r="H299" s="147"/>
    </row>
    <row r="300" spans="3:9">
      <c r="C300" s="201" t="s">
        <v>1215</v>
      </c>
      <c r="D300" s="78" t="s">
        <v>267</v>
      </c>
      <c r="E300" s="73" t="s">
        <v>66</v>
      </c>
      <c r="F300" s="202">
        <v>0.4</v>
      </c>
      <c r="G300" s="65">
        <f>VLOOKUP(D300,upahbahan,3,FALSE)</f>
        <v>20000</v>
      </c>
      <c r="H300" s="125">
        <f>F300*G300</f>
        <v>8000</v>
      </c>
    </row>
    <row r="301" spans="3:9">
      <c r="C301" s="201" t="s">
        <v>1216</v>
      </c>
      <c r="D301" s="78" t="s">
        <v>765</v>
      </c>
      <c r="E301" s="73" t="s">
        <v>535</v>
      </c>
      <c r="F301" s="202">
        <v>0.2</v>
      </c>
      <c r="G301" s="65">
        <f>VLOOKUP(D301,upahbahan,3,FALSE)</f>
        <v>16800</v>
      </c>
      <c r="H301" s="125">
        <f>F301*G301</f>
        <v>3360</v>
      </c>
    </row>
    <row r="302" spans="3:9">
      <c r="C302" s="201" t="s">
        <v>1217</v>
      </c>
      <c r="D302" s="78" t="s">
        <v>116</v>
      </c>
      <c r="E302" s="73" t="s">
        <v>42</v>
      </c>
      <c r="F302" s="202">
        <v>5.5799999999999999E-3</v>
      </c>
      <c r="G302" s="65">
        <f>VLOOKUP(D302,upahbahan,3,FALSE)</f>
        <v>11950000</v>
      </c>
      <c r="H302" s="125">
        <f>F302*G302</f>
        <v>66681</v>
      </c>
    </row>
    <row r="303" spans="3:9">
      <c r="C303" s="201" t="s">
        <v>1218</v>
      </c>
      <c r="D303" s="78" t="s">
        <v>140</v>
      </c>
      <c r="E303" s="73" t="s">
        <v>133</v>
      </c>
      <c r="F303" s="202">
        <v>0.12705</v>
      </c>
      <c r="G303" s="65">
        <f>VLOOKUP(D303,upahbahan,3,FALSE)</f>
        <v>167300</v>
      </c>
      <c r="H303" s="125">
        <f>F303*G303</f>
        <v>21255.465</v>
      </c>
    </row>
    <row r="304" spans="3:9">
      <c r="C304" s="201" t="s">
        <v>1219</v>
      </c>
      <c r="D304" s="78" t="s">
        <v>113</v>
      </c>
      <c r="E304" s="73" t="s">
        <v>107</v>
      </c>
      <c r="F304" s="202">
        <v>0.65</v>
      </c>
      <c r="G304" s="65">
        <f>VLOOKUP(D304,upahbahan,3,FALSE)</f>
        <v>5000</v>
      </c>
      <c r="H304" s="125">
        <f>F304*G304</f>
        <v>3250</v>
      </c>
    </row>
    <row r="305" spans="3:9" ht="15.75" customHeight="1">
      <c r="C305" s="145" t="s">
        <v>1226</v>
      </c>
      <c r="D305" s="81"/>
      <c r="E305" s="81"/>
      <c r="F305" s="81"/>
      <c r="G305" s="163"/>
      <c r="H305" s="125">
        <f>SUM(H300:H304)</f>
        <v>102546.465</v>
      </c>
    </row>
    <row r="306" spans="3:9">
      <c r="C306" s="142" t="s">
        <v>1227</v>
      </c>
      <c r="D306" s="60" t="s">
        <v>1228</v>
      </c>
      <c r="E306" s="74"/>
      <c r="F306" s="74"/>
      <c r="G306" s="74"/>
      <c r="H306" s="152"/>
    </row>
    <row r="307" spans="3:9" ht="15.75" customHeight="1">
      <c r="C307" s="145" t="s">
        <v>1229</v>
      </c>
      <c r="D307" s="81"/>
      <c r="E307" s="81"/>
      <c r="F307" s="81"/>
      <c r="G307" s="163"/>
      <c r="H307" s="154">
        <v>0</v>
      </c>
    </row>
    <row r="308" spans="3:9" s="164" customFormat="1">
      <c r="C308" s="123" t="s">
        <v>1230</v>
      </c>
      <c r="D308" s="70" t="s">
        <v>1231</v>
      </c>
      <c r="E308" s="71"/>
      <c r="F308" s="71"/>
      <c r="G308" s="72"/>
      <c r="H308" s="125">
        <f>H307+H305+H298</f>
        <v>222941.465</v>
      </c>
      <c r="I308" s="55"/>
    </row>
    <row r="309" spans="3:9" s="164" customFormat="1">
      <c r="C309" s="123" t="s">
        <v>1232</v>
      </c>
      <c r="D309" s="70" t="s">
        <v>1410</v>
      </c>
      <c r="E309" s="71"/>
      <c r="F309" s="72"/>
      <c r="G309" s="96">
        <f>$M$7</f>
        <v>0.1</v>
      </c>
      <c r="H309" s="125">
        <f>H308*G309</f>
        <v>22294.146500000003</v>
      </c>
      <c r="I309" s="55"/>
    </row>
    <row r="310" spans="3:9" s="164" customFormat="1" ht="15.75" thickBot="1">
      <c r="C310" s="131" t="s">
        <v>1233</v>
      </c>
      <c r="D310" s="132" t="s">
        <v>1234</v>
      </c>
      <c r="E310" s="133"/>
      <c r="F310" s="133"/>
      <c r="G310" s="156"/>
      <c r="H310" s="135">
        <f>SUM(H308:H309)</f>
        <v>245235.6115</v>
      </c>
      <c r="I310" s="55"/>
    </row>
    <row r="311" spans="3:9" s="164" customFormat="1" ht="15.75" thickTop="1">
      <c r="C311" s="58"/>
      <c r="D311" s="82"/>
      <c r="E311" s="82"/>
      <c r="F311" s="82"/>
      <c r="G311" s="82"/>
      <c r="H311" s="83"/>
      <c r="I311" s="55"/>
    </row>
    <row r="312" spans="3:9" ht="15.75" thickBot="1">
      <c r="C312" s="136" t="s">
        <v>1366</v>
      </c>
      <c r="D312" s="136"/>
      <c r="E312" s="136"/>
      <c r="F312" s="136"/>
      <c r="G312" s="136"/>
      <c r="H312" s="136"/>
      <c r="I312" s="57">
        <f>ROUNDDOWN(H331,-2)</f>
        <v>239700</v>
      </c>
    </row>
    <row r="313" spans="3:9" s="58" customFormat="1" ht="31.5" customHeight="1" thickTop="1">
      <c r="C313" s="120" t="s">
        <v>1207</v>
      </c>
      <c r="D313" s="121" t="s">
        <v>1208</v>
      </c>
      <c r="E313" s="121" t="s">
        <v>1209</v>
      </c>
      <c r="F313" s="121" t="s">
        <v>1210</v>
      </c>
      <c r="G313" s="121" t="s">
        <v>1211</v>
      </c>
      <c r="H313" s="122" t="s">
        <v>1212</v>
      </c>
      <c r="I313" s="161"/>
    </row>
    <row r="314" spans="3:9">
      <c r="C314" s="142" t="s">
        <v>1213</v>
      </c>
      <c r="D314" s="60" t="s">
        <v>1214</v>
      </c>
      <c r="E314" s="74"/>
      <c r="F314" s="74"/>
      <c r="G314" s="74"/>
      <c r="H314" s="147"/>
    </row>
    <row r="315" spans="3:9">
      <c r="C315" s="143">
        <v>1</v>
      </c>
      <c r="D315" s="60" t="s">
        <v>5</v>
      </c>
      <c r="E315" s="73" t="s">
        <v>6</v>
      </c>
      <c r="F315" s="75">
        <v>0.66</v>
      </c>
      <c r="G315" s="65">
        <f>VLOOKUP(D315,upahbahan,3,FALSE)</f>
        <v>100000</v>
      </c>
      <c r="H315" s="125">
        <f>F315*G315</f>
        <v>66000</v>
      </c>
    </row>
    <row r="316" spans="3:9">
      <c r="C316" s="143">
        <v>2</v>
      </c>
      <c r="D316" s="60" t="s">
        <v>8</v>
      </c>
      <c r="E316" s="73" t="s">
        <v>6</v>
      </c>
      <c r="F316" s="75">
        <v>0.33</v>
      </c>
      <c r="G316" s="65">
        <f>VLOOKUP(D316,upahbahan,3,FALSE)</f>
        <v>145000</v>
      </c>
      <c r="H316" s="125">
        <f>F316*G316</f>
        <v>47850</v>
      </c>
    </row>
    <row r="317" spans="3:9" s="56" customFormat="1">
      <c r="C317" s="143">
        <v>3</v>
      </c>
      <c r="D317" s="60" t="s">
        <v>18</v>
      </c>
      <c r="E317" s="73" t="s">
        <v>6</v>
      </c>
      <c r="F317" s="75">
        <v>3.3000000000000002E-2</v>
      </c>
      <c r="G317" s="65">
        <f>VLOOKUP(D317,upahbahan,3,FALSE)</f>
        <v>150000</v>
      </c>
      <c r="H317" s="125">
        <f>F317*G317</f>
        <v>4950</v>
      </c>
      <c r="I317" s="55"/>
    </row>
    <row r="318" spans="3:9">
      <c r="C318" s="143">
        <v>4</v>
      </c>
      <c r="D318" s="60" t="s">
        <v>19</v>
      </c>
      <c r="E318" s="73" t="s">
        <v>6</v>
      </c>
      <c r="F318" s="75">
        <v>1.0999999999999999E-2</v>
      </c>
      <c r="G318" s="65">
        <f>VLOOKUP(D318,upahbahan,3,FALSE)</f>
        <v>145000</v>
      </c>
      <c r="H318" s="125">
        <f>F318*G318</f>
        <v>1595</v>
      </c>
    </row>
    <row r="319" spans="3:9" ht="15.75" customHeight="1">
      <c r="C319" s="145" t="s">
        <v>1220</v>
      </c>
      <c r="D319" s="81"/>
      <c r="E319" s="81"/>
      <c r="F319" s="190"/>
      <c r="G319" s="163"/>
      <c r="H319" s="125">
        <f>SUM(H315:H318)</f>
        <v>120395</v>
      </c>
    </row>
    <row r="320" spans="3:9">
      <c r="C320" s="142" t="s">
        <v>1221</v>
      </c>
      <c r="D320" s="60" t="s">
        <v>1222</v>
      </c>
      <c r="E320" s="74"/>
      <c r="F320" s="74"/>
      <c r="G320" s="74"/>
      <c r="H320" s="147"/>
    </row>
    <row r="321" spans="3:9">
      <c r="C321" s="201" t="s">
        <v>1215</v>
      </c>
      <c r="D321" s="78" t="s">
        <v>266</v>
      </c>
      <c r="E321" s="73" t="s">
        <v>66</v>
      </c>
      <c r="F321" s="202">
        <v>0.4</v>
      </c>
      <c r="G321" s="65">
        <f>VLOOKUP(D321,upahbahan,3,FALSE)</f>
        <v>19000</v>
      </c>
      <c r="H321" s="125">
        <f>F321*G321</f>
        <v>7600</v>
      </c>
    </row>
    <row r="322" spans="3:9">
      <c r="C322" s="201" t="s">
        <v>1216</v>
      </c>
      <c r="D322" s="78" t="s">
        <v>765</v>
      </c>
      <c r="E322" s="73" t="s">
        <v>535</v>
      </c>
      <c r="F322" s="202">
        <v>0.2</v>
      </c>
      <c r="G322" s="65">
        <f>VLOOKUP(D322,upahbahan,3,FALSE)</f>
        <v>16800</v>
      </c>
      <c r="H322" s="125">
        <f>F322*G322</f>
        <v>3360</v>
      </c>
    </row>
    <row r="323" spans="3:9">
      <c r="C323" s="201" t="s">
        <v>1217</v>
      </c>
      <c r="D323" s="78" t="s">
        <v>116</v>
      </c>
      <c r="E323" s="73" t="s">
        <v>42</v>
      </c>
      <c r="F323" s="202">
        <v>4.6499999999999996E-3</v>
      </c>
      <c r="G323" s="65">
        <f>VLOOKUP(D323,upahbahan,3,FALSE)</f>
        <v>11950000</v>
      </c>
      <c r="H323" s="125">
        <f>F323*G323</f>
        <v>55567.499999999993</v>
      </c>
    </row>
    <row r="324" spans="3:9">
      <c r="C324" s="201" t="s">
        <v>1218</v>
      </c>
      <c r="D324" s="78" t="s">
        <v>140</v>
      </c>
      <c r="E324" s="73" t="s">
        <v>133</v>
      </c>
      <c r="F324" s="202">
        <v>0.127</v>
      </c>
      <c r="G324" s="65">
        <f>VLOOKUP(D324,upahbahan,3,FALSE)</f>
        <v>167300</v>
      </c>
      <c r="H324" s="125">
        <f>F324*G324</f>
        <v>21247.1</v>
      </c>
    </row>
    <row r="325" spans="3:9">
      <c r="C325" s="201" t="s">
        <v>1219</v>
      </c>
      <c r="D325" s="78" t="s">
        <v>113</v>
      </c>
      <c r="E325" s="73" t="s">
        <v>107</v>
      </c>
      <c r="F325" s="202">
        <v>1.95</v>
      </c>
      <c r="G325" s="65">
        <f>VLOOKUP(D325,upahbahan,3,FALSE)</f>
        <v>5000</v>
      </c>
      <c r="H325" s="125">
        <f>F325*G325</f>
        <v>9750</v>
      </c>
    </row>
    <row r="326" spans="3:9" ht="15.75" customHeight="1">
      <c r="C326" s="145" t="s">
        <v>1226</v>
      </c>
      <c r="D326" s="81"/>
      <c r="E326" s="81"/>
      <c r="F326" s="81"/>
      <c r="G326" s="163"/>
      <c r="H326" s="125">
        <f>SUM(H321:H325)</f>
        <v>97524.6</v>
      </c>
    </row>
    <row r="327" spans="3:9">
      <c r="C327" s="142" t="s">
        <v>1227</v>
      </c>
      <c r="D327" s="60" t="s">
        <v>1228</v>
      </c>
      <c r="E327" s="74"/>
      <c r="F327" s="74"/>
      <c r="G327" s="74"/>
      <c r="H327" s="152"/>
    </row>
    <row r="328" spans="3:9" ht="15.75" customHeight="1">
      <c r="C328" s="145" t="s">
        <v>1229</v>
      </c>
      <c r="D328" s="81"/>
      <c r="E328" s="81"/>
      <c r="F328" s="81"/>
      <c r="G328" s="163"/>
      <c r="H328" s="154">
        <v>0</v>
      </c>
    </row>
    <row r="329" spans="3:9" s="164" customFormat="1">
      <c r="C329" s="123" t="s">
        <v>1230</v>
      </c>
      <c r="D329" s="70" t="s">
        <v>1231</v>
      </c>
      <c r="E329" s="71"/>
      <c r="F329" s="71"/>
      <c r="G329" s="72"/>
      <c r="H329" s="125">
        <f>H328+H326+H319</f>
        <v>217919.6</v>
      </c>
      <c r="I329" s="55"/>
    </row>
    <row r="330" spans="3:9" s="164" customFormat="1">
      <c r="C330" s="123" t="s">
        <v>1232</v>
      </c>
      <c r="D330" s="70" t="s">
        <v>1410</v>
      </c>
      <c r="E330" s="71"/>
      <c r="F330" s="72"/>
      <c r="G330" s="96">
        <f>$M$7</f>
        <v>0.1</v>
      </c>
      <c r="H330" s="125">
        <f>H329*G330</f>
        <v>21791.960000000003</v>
      </c>
      <c r="I330" s="55"/>
    </row>
    <row r="331" spans="3:9" s="164" customFormat="1" ht="15.75" thickBot="1">
      <c r="C331" s="131" t="s">
        <v>1233</v>
      </c>
      <c r="D331" s="132" t="s">
        <v>1234</v>
      </c>
      <c r="E331" s="133"/>
      <c r="F331" s="133"/>
      <c r="G331" s="156"/>
      <c r="H331" s="135">
        <f>SUM(H329:H330)</f>
        <v>239711.56</v>
      </c>
      <c r="I331" s="55"/>
    </row>
    <row r="332" spans="3:9" s="164" customFormat="1" ht="15.75" thickTop="1">
      <c r="C332" s="58"/>
      <c r="D332" s="82"/>
      <c r="E332" s="82"/>
      <c r="F332" s="82"/>
      <c r="G332" s="82"/>
      <c r="H332" s="83"/>
      <c r="I332" s="55"/>
    </row>
    <row r="333" spans="3:9" ht="15.75" thickBot="1">
      <c r="C333" s="136" t="s">
        <v>1367</v>
      </c>
      <c r="D333" s="136"/>
      <c r="E333" s="136"/>
      <c r="F333" s="136"/>
      <c r="G333" s="136"/>
      <c r="H333" s="136"/>
      <c r="I333" s="57">
        <f>ROUNDDOWN(H353,-2)</f>
        <v>270500</v>
      </c>
    </row>
    <row r="334" spans="3:9" s="58" customFormat="1" ht="31.5" customHeight="1" thickTop="1">
      <c r="C334" s="120" t="s">
        <v>1207</v>
      </c>
      <c r="D334" s="121" t="s">
        <v>1208</v>
      </c>
      <c r="E334" s="121" t="s">
        <v>1209</v>
      </c>
      <c r="F334" s="121" t="s">
        <v>1210</v>
      </c>
      <c r="G334" s="121" t="s">
        <v>1211</v>
      </c>
      <c r="H334" s="122" t="s">
        <v>1212</v>
      </c>
      <c r="I334" s="161"/>
    </row>
    <row r="335" spans="3:9">
      <c r="C335" s="142" t="s">
        <v>1213</v>
      </c>
      <c r="D335" s="60" t="s">
        <v>1214</v>
      </c>
      <c r="E335" s="74"/>
      <c r="F335" s="74"/>
      <c r="G335" s="74"/>
      <c r="H335" s="147"/>
    </row>
    <row r="336" spans="3:9">
      <c r="C336" s="143">
        <v>1</v>
      </c>
      <c r="D336" s="60" t="s">
        <v>5</v>
      </c>
      <c r="E336" s="73" t="s">
        <v>6</v>
      </c>
      <c r="F336" s="75">
        <v>0.66</v>
      </c>
      <c r="G336" s="65">
        <f>VLOOKUP(D336,upahbahan,3,FALSE)</f>
        <v>100000</v>
      </c>
      <c r="H336" s="125">
        <f>F336*G336</f>
        <v>66000</v>
      </c>
    </row>
    <row r="337" spans="3:9">
      <c r="C337" s="143">
        <v>2</v>
      </c>
      <c r="D337" s="60" t="s">
        <v>8</v>
      </c>
      <c r="E337" s="73" t="s">
        <v>6</v>
      </c>
      <c r="F337" s="75">
        <v>0.33</v>
      </c>
      <c r="G337" s="65">
        <f>VLOOKUP(D337,upahbahan,3,FALSE)</f>
        <v>145000</v>
      </c>
      <c r="H337" s="125">
        <f>F337*G337</f>
        <v>47850</v>
      </c>
    </row>
    <row r="338" spans="3:9" s="56" customFormat="1">
      <c r="C338" s="143">
        <v>3</v>
      </c>
      <c r="D338" s="60" t="s">
        <v>18</v>
      </c>
      <c r="E338" s="73" t="s">
        <v>6</v>
      </c>
      <c r="F338" s="75">
        <v>3.3000000000000002E-2</v>
      </c>
      <c r="G338" s="65">
        <f>VLOOKUP(D338,upahbahan,3,FALSE)</f>
        <v>150000</v>
      </c>
      <c r="H338" s="125">
        <f>F338*G338</f>
        <v>4950</v>
      </c>
      <c r="I338" s="55"/>
    </row>
    <row r="339" spans="3:9">
      <c r="C339" s="143">
        <v>4</v>
      </c>
      <c r="D339" s="60" t="s">
        <v>19</v>
      </c>
      <c r="E339" s="73" t="s">
        <v>6</v>
      </c>
      <c r="F339" s="75">
        <v>1.0999999999999999E-2</v>
      </c>
      <c r="G339" s="65">
        <f>VLOOKUP(D339,upahbahan,3,FALSE)</f>
        <v>145000</v>
      </c>
      <c r="H339" s="125">
        <f>F339*G339</f>
        <v>1595</v>
      </c>
    </row>
    <row r="340" spans="3:9" ht="15.75" customHeight="1">
      <c r="C340" s="145" t="s">
        <v>1220</v>
      </c>
      <c r="D340" s="81"/>
      <c r="E340" s="81"/>
      <c r="F340" s="190"/>
      <c r="G340" s="163"/>
      <c r="H340" s="125">
        <f>SUM(H336:H339)</f>
        <v>120395</v>
      </c>
    </row>
    <row r="341" spans="3:9">
      <c r="C341" s="142" t="s">
        <v>1221</v>
      </c>
      <c r="D341" s="60" t="s">
        <v>1222</v>
      </c>
      <c r="E341" s="74"/>
      <c r="F341" s="74"/>
      <c r="G341" s="74"/>
      <c r="H341" s="147"/>
    </row>
    <row r="342" spans="3:9">
      <c r="C342" s="201" t="s">
        <v>1215</v>
      </c>
      <c r="D342" s="78" t="s">
        <v>266</v>
      </c>
      <c r="E342" s="73" t="s">
        <v>66</v>
      </c>
      <c r="F342" s="202">
        <v>0.4</v>
      </c>
      <c r="G342" s="65">
        <f t="shared" ref="G342:G347" si="0">VLOOKUP(D342,upahbahan,3,FALSE)</f>
        <v>19000</v>
      </c>
      <c r="H342" s="125">
        <f t="shared" ref="H342:H347" si="1">F342*G342</f>
        <v>7600</v>
      </c>
    </row>
    <row r="343" spans="3:9">
      <c r="C343" s="201" t="s">
        <v>1216</v>
      </c>
      <c r="D343" s="78" t="s">
        <v>765</v>
      </c>
      <c r="E343" s="73" t="s">
        <v>535</v>
      </c>
      <c r="F343" s="202">
        <v>0.2</v>
      </c>
      <c r="G343" s="65">
        <f t="shared" si="0"/>
        <v>16800</v>
      </c>
      <c r="H343" s="125">
        <f t="shared" si="1"/>
        <v>3360</v>
      </c>
    </row>
    <row r="344" spans="3:9">
      <c r="C344" s="201" t="s">
        <v>1217</v>
      </c>
      <c r="D344" s="78" t="s">
        <v>116</v>
      </c>
      <c r="E344" s="73" t="s">
        <v>42</v>
      </c>
      <c r="F344" s="202">
        <v>4.6499999999999996E-3</v>
      </c>
      <c r="G344" s="65">
        <f t="shared" si="0"/>
        <v>11950000</v>
      </c>
      <c r="H344" s="125">
        <f t="shared" si="1"/>
        <v>55567.499999999993</v>
      </c>
    </row>
    <row r="345" spans="3:9">
      <c r="C345" s="201" t="s">
        <v>1218</v>
      </c>
      <c r="D345" s="78" t="s">
        <v>140</v>
      </c>
      <c r="E345" s="73" t="s">
        <v>133</v>
      </c>
      <c r="F345" s="202">
        <v>0.127</v>
      </c>
      <c r="G345" s="65">
        <f t="shared" si="0"/>
        <v>167300</v>
      </c>
      <c r="H345" s="125">
        <f t="shared" si="1"/>
        <v>21247.1</v>
      </c>
    </row>
    <row r="346" spans="3:9">
      <c r="C346" s="201" t="s">
        <v>1219</v>
      </c>
      <c r="D346" s="78" t="s">
        <v>113</v>
      </c>
      <c r="E346" s="73" t="s">
        <v>107</v>
      </c>
      <c r="F346" s="202">
        <v>1.95</v>
      </c>
      <c r="G346" s="65">
        <f t="shared" si="0"/>
        <v>5000</v>
      </c>
      <c r="H346" s="125">
        <f t="shared" si="1"/>
        <v>9750</v>
      </c>
    </row>
    <row r="347" spans="3:9">
      <c r="C347" s="201" t="s">
        <v>1223</v>
      </c>
      <c r="D347" s="78" t="s">
        <v>552</v>
      </c>
      <c r="E347" s="73" t="s">
        <v>44</v>
      </c>
      <c r="F347" s="202">
        <v>4</v>
      </c>
      <c r="G347" s="65">
        <f t="shared" si="0"/>
        <v>7000</v>
      </c>
      <c r="H347" s="125">
        <f t="shared" si="1"/>
        <v>28000</v>
      </c>
    </row>
    <row r="348" spans="3:9" ht="15.75" customHeight="1">
      <c r="C348" s="145" t="s">
        <v>1226</v>
      </c>
      <c r="D348" s="81"/>
      <c r="E348" s="81"/>
      <c r="F348" s="81"/>
      <c r="G348" s="163"/>
      <c r="H348" s="125">
        <f>SUM(H342:H347)</f>
        <v>125524.6</v>
      </c>
    </row>
    <row r="349" spans="3:9">
      <c r="C349" s="142" t="s">
        <v>1227</v>
      </c>
      <c r="D349" s="60" t="s">
        <v>1228</v>
      </c>
      <c r="E349" s="74"/>
      <c r="F349" s="74"/>
      <c r="G349" s="74"/>
      <c r="H349" s="152"/>
    </row>
    <row r="350" spans="3:9" ht="15.75" customHeight="1">
      <c r="C350" s="145" t="s">
        <v>1229</v>
      </c>
      <c r="D350" s="81"/>
      <c r="E350" s="81"/>
      <c r="F350" s="81"/>
      <c r="G350" s="163"/>
      <c r="H350" s="154">
        <v>0</v>
      </c>
    </row>
    <row r="351" spans="3:9" s="164" customFormat="1">
      <c r="C351" s="123" t="s">
        <v>1230</v>
      </c>
      <c r="D351" s="70" t="s">
        <v>1231</v>
      </c>
      <c r="E351" s="71"/>
      <c r="F351" s="71"/>
      <c r="G351" s="72"/>
      <c r="H351" s="125">
        <f>H350+H348+H340</f>
        <v>245919.6</v>
      </c>
      <c r="I351" s="55"/>
    </row>
    <row r="352" spans="3:9" s="164" customFormat="1">
      <c r="C352" s="123" t="s">
        <v>1232</v>
      </c>
      <c r="D352" s="70" t="s">
        <v>1410</v>
      </c>
      <c r="E352" s="71"/>
      <c r="F352" s="72"/>
      <c r="G352" s="96">
        <f>$M$7</f>
        <v>0.1</v>
      </c>
      <c r="H352" s="125">
        <f>H351*G352</f>
        <v>24591.960000000003</v>
      </c>
      <c r="I352" s="55"/>
    </row>
    <row r="353" spans="3:9" s="164" customFormat="1" ht="15.75" thickBot="1">
      <c r="C353" s="131" t="s">
        <v>1233</v>
      </c>
      <c r="D353" s="132" t="s">
        <v>1234</v>
      </c>
      <c r="E353" s="133"/>
      <c r="F353" s="133"/>
      <c r="G353" s="156"/>
      <c r="H353" s="135">
        <f>SUM(H351:H352)</f>
        <v>270511.56</v>
      </c>
      <c r="I353" s="55"/>
    </row>
    <row r="354" spans="3:9" ht="15.75" thickTop="1"/>
    <row r="355" spans="3:9" ht="15.75" thickBot="1">
      <c r="C355" s="136" t="s">
        <v>1368</v>
      </c>
      <c r="D355" s="136"/>
      <c r="E355" s="136"/>
      <c r="F355" s="136"/>
      <c r="G355" s="136"/>
      <c r="H355" s="136"/>
      <c r="I355" s="57">
        <f>ROUNDDOWN(H374,-2)</f>
        <v>236200</v>
      </c>
    </row>
    <row r="356" spans="3:9" s="58" customFormat="1" ht="31.5" customHeight="1" thickTop="1">
      <c r="C356" s="120" t="s">
        <v>1207</v>
      </c>
      <c r="D356" s="121" t="s">
        <v>1208</v>
      </c>
      <c r="E356" s="121" t="s">
        <v>1209</v>
      </c>
      <c r="F356" s="121" t="s">
        <v>1210</v>
      </c>
      <c r="G356" s="121" t="s">
        <v>1211</v>
      </c>
      <c r="H356" s="122" t="s">
        <v>1212</v>
      </c>
      <c r="I356" s="161"/>
    </row>
    <row r="357" spans="3:9">
      <c r="C357" s="142" t="s">
        <v>1213</v>
      </c>
      <c r="D357" s="60" t="s">
        <v>1214</v>
      </c>
      <c r="E357" s="74"/>
      <c r="F357" s="74"/>
      <c r="G357" s="74"/>
      <c r="H357" s="147"/>
    </row>
    <row r="358" spans="3:9">
      <c r="C358" s="143">
        <v>1</v>
      </c>
      <c r="D358" s="60" t="s">
        <v>5</v>
      </c>
      <c r="E358" s="73" t="s">
        <v>6</v>
      </c>
      <c r="F358" s="75">
        <v>0.66</v>
      </c>
      <c r="G358" s="65">
        <f>VLOOKUP(D358,upahbahan,3,FALSE)</f>
        <v>100000</v>
      </c>
      <c r="H358" s="125">
        <f>F358*G358</f>
        <v>66000</v>
      </c>
    </row>
    <row r="359" spans="3:9">
      <c r="C359" s="143">
        <v>2</v>
      </c>
      <c r="D359" s="60" t="s">
        <v>8</v>
      </c>
      <c r="E359" s="73" t="s">
        <v>6</v>
      </c>
      <c r="F359" s="75">
        <v>0.33</v>
      </c>
      <c r="G359" s="65">
        <f>VLOOKUP(D359,upahbahan,3,FALSE)</f>
        <v>145000</v>
      </c>
      <c r="H359" s="125">
        <f>F359*G359</f>
        <v>47850</v>
      </c>
    </row>
    <row r="360" spans="3:9" s="56" customFormat="1">
      <c r="C360" s="143">
        <v>3</v>
      </c>
      <c r="D360" s="60" t="s">
        <v>18</v>
      </c>
      <c r="E360" s="73" t="s">
        <v>6</v>
      </c>
      <c r="F360" s="75">
        <v>3.3000000000000002E-2</v>
      </c>
      <c r="G360" s="65">
        <f>VLOOKUP(D360,upahbahan,3,FALSE)</f>
        <v>150000</v>
      </c>
      <c r="H360" s="125">
        <f>F360*G360</f>
        <v>4950</v>
      </c>
      <c r="I360" s="55"/>
    </row>
    <row r="361" spans="3:9">
      <c r="C361" s="143">
        <v>4</v>
      </c>
      <c r="D361" s="60" t="s">
        <v>19</v>
      </c>
      <c r="E361" s="73" t="s">
        <v>6</v>
      </c>
      <c r="F361" s="75">
        <v>1.0999999999999999E-2</v>
      </c>
      <c r="G361" s="65">
        <f>VLOOKUP(D361,upahbahan,3,FALSE)</f>
        <v>145000</v>
      </c>
      <c r="H361" s="125">
        <f>F361*G361</f>
        <v>1595</v>
      </c>
    </row>
    <row r="362" spans="3:9" ht="15.75" customHeight="1">
      <c r="C362" s="145" t="s">
        <v>1220</v>
      </c>
      <c r="D362" s="81"/>
      <c r="E362" s="81"/>
      <c r="F362" s="190"/>
      <c r="G362" s="163"/>
      <c r="H362" s="125">
        <f>SUM(H358:H361)</f>
        <v>120395</v>
      </c>
    </row>
    <row r="363" spans="3:9">
      <c r="C363" s="142" t="s">
        <v>1221</v>
      </c>
      <c r="D363" s="60" t="s">
        <v>1222</v>
      </c>
      <c r="E363" s="74"/>
      <c r="F363" s="74"/>
      <c r="G363" s="74"/>
      <c r="H363" s="147"/>
    </row>
    <row r="364" spans="3:9">
      <c r="C364" s="201" t="s">
        <v>1215</v>
      </c>
      <c r="D364" s="78" t="s">
        <v>266</v>
      </c>
      <c r="E364" s="73" t="s">
        <v>66</v>
      </c>
      <c r="F364" s="75">
        <v>0.4</v>
      </c>
      <c r="G364" s="65">
        <f>VLOOKUP(D364,upahbahan,3,FALSE)</f>
        <v>19000</v>
      </c>
      <c r="H364" s="125">
        <f>F364*G364</f>
        <v>7600</v>
      </c>
    </row>
    <row r="365" spans="3:9">
      <c r="C365" s="201" t="s">
        <v>1216</v>
      </c>
      <c r="D365" s="78" t="s">
        <v>765</v>
      </c>
      <c r="E365" s="73" t="s">
        <v>535</v>
      </c>
      <c r="F365" s="75">
        <v>0.15</v>
      </c>
      <c r="G365" s="65">
        <f>VLOOKUP(D365,upahbahan,3,FALSE)</f>
        <v>16800</v>
      </c>
      <c r="H365" s="125">
        <f>F365*G365</f>
        <v>2520</v>
      </c>
    </row>
    <row r="366" spans="3:9">
      <c r="C366" s="201" t="s">
        <v>1217</v>
      </c>
      <c r="D366" s="78" t="s">
        <v>116</v>
      </c>
      <c r="E366" s="73" t="s">
        <v>42</v>
      </c>
      <c r="F366" s="75">
        <v>5.0000000000000001E-3</v>
      </c>
      <c r="G366" s="65">
        <f>VLOOKUP(D366,upahbahan,3,FALSE)</f>
        <v>11950000</v>
      </c>
      <c r="H366" s="125">
        <f>F366*G366</f>
        <v>59750</v>
      </c>
    </row>
    <row r="367" spans="3:9">
      <c r="C367" s="201" t="s">
        <v>1218</v>
      </c>
      <c r="D367" s="78" t="s">
        <v>140</v>
      </c>
      <c r="E367" s="73" t="s">
        <v>133</v>
      </c>
      <c r="F367" s="75">
        <v>0.127</v>
      </c>
      <c r="G367" s="65">
        <f>VLOOKUP(D367,upahbahan,3,FALSE)</f>
        <v>167300</v>
      </c>
      <c r="H367" s="125">
        <f>F367*G367</f>
        <v>21247.1</v>
      </c>
    </row>
    <row r="368" spans="3:9">
      <c r="C368" s="201" t="s">
        <v>1219</v>
      </c>
      <c r="D368" s="78" t="s">
        <v>113</v>
      </c>
      <c r="E368" s="73" t="s">
        <v>107</v>
      </c>
      <c r="F368" s="75">
        <v>0.65</v>
      </c>
      <c r="G368" s="65">
        <f>VLOOKUP(D368,upahbahan,3,FALSE)</f>
        <v>5000</v>
      </c>
      <c r="H368" s="125">
        <f>F368*G368</f>
        <v>3250</v>
      </c>
    </row>
    <row r="369" spans="3:9" ht="15.75" customHeight="1">
      <c r="C369" s="145" t="s">
        <v>1226</v>
      </c>
      <c r="D369" s="81"/>
      <c r="E369" s="81"/>
      <c r="F369" s="81"/>
      <c r="G369" s="163"/>
      <c r="H369" s="125">
        <f>SUM(H364:H368)</f>
        <v>94367.1</v>
      </c>
    </row>
    <row r="370" spans="3:9">
      <c r="C370" s="142" t="s">
        <v>1227</v>
      </c>
      <c r="D370" s="60" t="s">
        <v>1228</v>
      </c>
      <c r="E370" s="74"/>
      <c r="F370" s="74"/>
      <c r="G370" s="74"/>
      <c r="H370" s="152"/>
    </row>
    <row r="371" spans="3:9" ht="15.75" customHeight="1">
      <c r="C371" s="145" t="s">
        <v>1229</v>
      </c>
      <c r="D371" s="81"/>
      <c r="E371" s="81"/>
      <c r="F371" s="81"/>
      <c r="G371" s="163"/>
      <c r="H371" s="154">
        <v>0</v>
      </c>
    </row>
    <row r="372" spans="3:9" s="164" customFormat="1">
      <c r="C372" s="123" t="s">
        <v>1230</v>
      </c>
      <c r="D372" s="70" t="s">
        <v>1231</v>
      </c>
      <c r="E372" s="71"/>
      <c r="F372" s="71"/>
      <c r="G372" s="72"/>
      <c r="H372" s="125">
        <f>H371+H369+H362</f>
        <v>214762.1</v>
      </c>
      <c r="I372" s="55"/>
    </row>
    <row r="373" spans="3:9" s="164" customFormat="1">
      <c r="C373" s="123" t="s">
        <v>1232</v>
      </c>
      <c r="D373" s="70" t="s">
        <v>1410</v>
      </c>
      <c r="E373" s="71"/>
      <c r="F373" s="72"/>
      <c r="G373" s="96">
        <f>$M$7</f>
        <v>0.1</v>
      </c>
      <c r="H373" s="125">
        <f>H372*G373</f>
        <v>21476.210000000003</v>
      </c>
      <c r="I373" s="55"/>
    </row>
    <row r="374" spans="3:9" s="164" customFormat="1" ht="15.75" thickBot="1">
      <c r="C374" s="131" t="s">
        <v>1233</v>
      </c>
      <c r="D374" s="132" t="s">
        <v>1234</v>
      </c>
      <c r="E374" s="133"/>
      <c r="F374" s="133"/>
      <c r="G374" s="156"/>
      <c r="H374" s="135">
        <f>SUM(H372:H373)</f>
        <v>236238.31</v>
      </c>
      <c r="I374" s="55"/>
    </row>
    <row r="375" spans="3:9" s="164" customFormat="1" ht="15.75" thickTop="1">
      <c r="C375" s="58"/>
      <c r="D375" s="82"/>
      <c r="E375" s="82"/>
      <c r="F375" s="82"/>
      <c r="G375" s="82"/>
      <c r="H375" s="83"/>
      <c r="I375" s="55"/>
    </row>
    <row r="376" spans="3:9" ht="15.75" thickBot="1">
      <c r="C376" s="136" t="s">
        <v>1369</v>
      </c>
      <c r="D376" s="136"/>
      <c r="E376" s="136"/>
      <c r="F376" s="136"/>
      <c r="G376" s="136"/>
      <c r="H376" s="136"/>
      <c r="I376" s="57">
        <f>ROUNDDOWN(H393,-2)</f>
        <v>132900</v>
      </c>
    </row>
    <row r="377" spans="3:9" s="58" customFormat="1" ht="31.5" customHeight="1" thickTop="1">
      <c r="C377" s="120" t="s">
        <v>1207</v>
      </c>
      <c r="D377" s="121" t="s">
        <v>1208</v>
      </c>
      <c r="E377" s="121" t="s">
        <v>1209</v>
      </c>
      <c r="F377" s="121" t="s">
        <v>1210</v>
      </c>
      <c r="G377" s="121" t="s">
        <v>1211</v>
      </c>
      <c r="H377" s="122" t="s">
        <v>1212</v>
      </c>
      <c r="I377" s="161"/>
    </row>
    <row r="378" spans="3:9">
      <c r="C378" s="142" t="s">
        <v>1213</v>
      </c>
      <c r="D378" s="60" t="s">
        <v>1214</v>
      </c>
      <c r="E378" s="74"/>
      <c r="F378" s="74"/>
      <c r="G378" s="74"/>
      <c r="H378" s="147"/>
    </row>
    <row r="379" spans="3:9">
      <c r="C379" s="143">
        <v>1</v>
      </c>
      <c r="D379" s="60" t="s">
        <v>5</v>
      </c>
      <c r="E379" s="73" t="s">
        <v>6</v>
      </c>
      <c r="F379" s="75">
        <v>0.15</v>
      </c>
      <c r="G379" s="65">
        <f>VLOOKUP(D379,upahbahan,3,FALSE)</f>
        <v>100000</v>
      </c>
      <c r="H379" s="125">
        <f>F379*G379</f>
        <v>15000</v>
      </c>
    </row>
    <row r="380" spans="3:9">
      <c r="C380" s="143">
        <v>2</v>
      </c>
      <c r="D380" s="60" t="s">
        <v>8</v>
      </c>
      <c r="E380" s="73" t="s">
        <v>6</v>
      </c>
      <c r="F380" s="75">
        <v>0.05</v>
      </c>
      <c r="G380" s="65">
        <f>VLOOKUP(D380,upahbahan,3,FALSE)</f>
        <v>145000</v>
      </c>
      <c r="H380" s="125">
        <f>F380*G380</f>
        <v>7250</v>
      </c>
    </row>
    <row r="381" spans="3:9" s="56" customFormat="1">
      <c r="C381" s="143">
        <v>3</v>
      </c>
      <c r="D381" s="60" t="s">
        <v>18</v>
      </c>
      <c r="E381" s="73" t="s">
        <v>6</v>
      </c>
      <c r="F381" s="75">
        <v>5.0000000000000001E-3</v>
      </c>
      <c r="G381" s="65">
        <f>VLOOKUP(D381,upahbahan,3,FALSE)</f>
        <v>150000</v>
      </c>
      <c r="H381" s="125">
        <f>F381*G381</f>
        <v>750</v>
      </c>
      <c r="I381" s="55"/>
    </row>
    <row r="382" spans="3:9">
      <c r="C382" s="143">
        <v>4</v>
      </c>
      <c r="D382" s="60" t="s">
        <v>19</v>
      </c>
      <c r="E382" s="73" t="s">
        <v>6</v>
      </c>
      <c r="F382" s="75">
        <v>2E-3</v>
      </c>
      <c r="G382" s="65">
        <f>VLOOKUP(D382,upahbahan,3,FALSE)</f>
        <v>145000</v>
      </c>
      <c r="H382" s="125">
        <f>F382*G382</f>
        <v>290</v>
      </c>
    </row>
    <row r="383" spans="3:9" ht="15.75" customHeight="1">
      <c r="C383" s="145" t="s">
        <v>1220</v>
      </c>
      <c r="D383" s="81"/>
      <c r="E383" s="81"/>
      <c r="F383" s="190"/>
      <c r="G383" s="163"/>
      <c r="H383" s="125">
        <f>SUM(H379:H382)</f>
        <v>23290</v>
      </c>
    </row>
    <row r="384" spans="3:9">
      <c r="C384" s="142" t="s">
        <v>1221</v>
      </c>
      <c r="D384" s="60" t="s">
        <v>1222</v>
      </c>
      <c r="E384" s="74"/>
      <c r="F384" s="74"/>
      <c r="G384" s="74"/>
      <c r="H384" s="147"/>
    </row>
    <row r="385" spans="3:9">
      <c r="C385" s="201" t="s">
        <v>1215</v>
      </c>
      <c r="D385" s="78" t="s">
        <v>127</v>
      </c>
      <c r="E385" s="73" t="s">
        <v>42</v>
      </c>
      <c r="F385" s="94">
        <v>1.06E-2</v>
      </c>
      <c r="G385" s="65">
        <f>VLOOKUP(D385,upahbahan,3,FALSE)</f>
        <v>8000000</v>
      </c>
      <c r="H385" s="125">
        <f>F385*G385</f>
        <v>84800</v>
      </c>
    </row>
    <row r="386" spans="3:9">
      <c r="C386" s="201" t="s">
        <v>1216</v>
      </c>
      <c r="D386" s="78" t="s">
        <v>267</v>
      </c>
      <c r="E386" s="73" t="s">
        <v>66</v>
      </c>
      <c r="F386" s="94">
        <v>0.6</v>
      </c>
      <c r="G386" s="65">
        <f>VLOOKUP(D386,upahbahan,3,FALSE)</f>
        <v>20000</v>
      </c>
      <c r="H386" s="125">
        <f>F386*G386</f>
        <v>12000</v>
      </c>
    </row>
    <row r="387" spans="3:9">
      <c r="C387" s="201" t="s">
        <v>1217</v>
      </c>
      <c r="D387" s="78" t="s">
        <v>113</v>
      </c>
      <c r="E387" s="73" t="s">
        <v>107</v>
      </c>
      <c r="F387" s="94">
        <v>0.16250000000000001</v>
      </c>
      <c r="G387" s="65">
        <f>VLOOKUP(D387,upahbahan,3,FALSE)</f>
        <v>5000</v>
      </c>
      <c r="H387" s="125">
        <f>F387*G387</f>
        <v>812.5</v>
      </c>
    </row>
    <row r="388" spans="3:9" ht="15.75" customHeight="1">
      <c r="C388" s="145" t="s">
        <v>1226</v>
      </c>
      <c r="D388" s="81"/>
      <c r="E388" s="81"/>
      <c r="F388" s="81"/>
      <c r="G388" s="163"/>
      <c r="H388" s="125">
        <f>SUM(H385:H387)</f>
        <v>97612.5</v>
      </c>
    </row>
    <row r="389" spans="3:9">
      <c r="C389" s="142" t="s">
        <v>1227</v>
      </c>
      <c r="D389" s="60" t="s">
        <v>1228</v>
      </c>
      <c r="E389" s="74"/>
      <c r="F389" s="74"/>
      <c r="G389" s="74"/>
      <c r="H389" s="152"/>
    </row>
    <row r="390" spans="3:9" ht="15.75" customHeight="1">
      <c r="C390" s="145" t="s">
        <v>1229</v>
      </c>
      <c r="D390" s="81"/>
      <c r="E390" s="81"/>
      <c r="F390" s="81"/>
      <c r="G390" s="163"/>
      <c r="H390" s="154">
        <v>0</v>
      </c>
    </row>
    <row r="391" spans="3:9" s="164" customFormat="1">
      <c r="C391" s="123" t="s">
        <v>1230</v>
      </c>
      <c r="D391" s="70" t="s">
        <v>1231</v>
      </c>
      <c r="E391" s="71"/>
      <c r="F391" s="71"/>
      <c r="G391" s="72"/>
      <c r="H391" s="125">
        <f>H390+H388+H383</f>
        <v>120902.5</v>
      </c>
      <c r="I391" s="55"/>
    </row>
    <row r="392" spans="3:9" s="164" customFormat="1">
      <c r="C392" s="123" t="s">
        <v>1232</v>
      </c>
      <c r="D392" s="70" t="s">
        <v>1410</v>
      </c>
      <c r="E392" s="71"/>
      <c r="F392" s="72"/>
      <c r="G392" s="96">
        <f>$M$7</f>
        <v>0.1</v>
      </c>
      <c r="H392" s="125">
        <f>H391*G392</f>
        <v>12090.25</v>
      </c>
      <c r="I392" s="55"/>
    </row>
    <row r="393" spans="3:9" s="164" customFormat="1" ht="15.75" thickBot="1">
      <c r="C393" s="131" t="s">
        <v>1233</v>
      </c>
      <c r="D393" s="132" t="s">
        <v>1234</v>
      </c>
      <c r="E393" s="133"/>
      <c r="F393" s="133"/>
      <c r="G393" s="156"/>
      <c r="H393" s="135">
        <f>SUM(H391:H392)</f>
        <v>132992.75</v>
      </c>
      <c r="I393" s="55"/>
    </row>
    <row r="394" spans="3:9" ht="15.75" thickTop="1"/>
    <row r="395" spans="3:9" ht="33.75" customHeight="1" thickBot="1">
      <c r="C395" s="516" t="s">
        <v>1370</v>
      </c>
      <c r="D395" s="516"/>
      <c r="E395" s="516"/>
      <c r="F395" s="516"/>
      <c r="G395" s="516"/>
      <c r="H395" s="516"/>
      <c r="I395" s="57">
        <f>ROUNDDOWN(H407,-2)</f>
        <v>5000</v>
      </c>
    </row>
    <row r="396" spans="3:9" s="58" customFormat="1" ht="31.5" customHeight="1" thickTop="1">
      <c r="C396" s="120" t="s">
        <v>1207</v>
      </c>
      <c r="D396" s="121" t="s">
        <v>1208</v>
      </c>
      <c r="E396" s="121" t="s">
        <v>1209</v>
      </c>
      <c r="F396" s="121" t="s">
        <v>1210</v>
      </c>
      <c r="G396" s="121" t="s">
        <v>1211</v>
      </c>
      <c r="H396" s="122" t="s">
        <v>1212</v>
      </c>
      <c r="I396" s="161"/>
    </row>
    <row r="397" spans="3:9">
      <c r="C397" s="142" t="s">
        <v>1213</v>
      </c>
      <c r="D397" s="60" t="s">
        <v>1214</v>
      </c>
      <c r="E397" s="74"/>
      <c r="F397" s="74"/>
      <c r="G397" s="74"/>
      <c r="H397" s="147"/>
    </row>
    <row r="398" spans="3:9">
      <c r="C398" s="201" t="s">
        <v>1215</v>
      </c>
      <c r="D398" s="60" t="s">
        <v>5</v>
      </c>
      <c r="E398" s="73" t="s">
        <v>6</v>
      </c>
      <c r="F398" s="75">
        <v>0.04</v>
      </c>
      <c r="G398" s="65">
        <f>VLOOKUP(D398,upahbahan,3,FALSE)</f>
        <v>100000</v>
      </c>
      <c r="H398" s="125">
        <f>F398*G398</f>
        <v>4000</v>
      </c>
    </row>
    <row r="399" spans="3:9">
      <c r="C399" s="201" t="s">
        <v>1216</v>
      </c>
      <c r="D399" s="60" t="s">
        <v>19</v>
      </c>
      <c r="E399" s="73" t="s">
        <v>6</v>
      </c>
      <c r="F399" s="75">
        <v>4.0000000000000001E-3</v>
      </c>
      <c r="G399" s="65">
        <f>VLOOKUP(D399,upahbahan,3,FALSE)</f>
        <v>145000</v>
      </c>
      <c r="H399" s="125">
        <f>F399*G399</f>
        <v>580</v>
      </c>
    </row>
    <row r="400" spans="3:9" ht="15.75" customHeight="1">
      <c r="C400" s="145" t="s">
        <v>1220</v>
      </c>
      <c r="D400" s="81"/>
      <c r="E400" s="81"/>
      <c r="F400" s="190"/>
      <c r="G400" s="163"/>
      <c r="H400" s="125">
        <f>SUM(H398:H399)</f>
        <v>4580</v>
      </c>
    </row>
    <row r="401" spans="3:13">
      <c r="C401" s="142" t="s">
        <v>1221</v>
      </c>
      <c r="D401" s="60" t="s">
        <v>1222</v>
      </c>
      <c r="E401" s="74"/>
      <c r="F401" s="74"/>
      <c r="G401" s="74"/>
      <c r="H401" s="147"/>
    </row>
    <row r="402" spans="3:13" ht="15.75" customHeight="1">
      <c r="C402" s="145" t="s">
        <v>1226</v>
      </c>
      <c r="D402" s="81"/>
      <c r="E402" s="81"/>
      <c r="F402" s="81"/>
      <c r="G402" s="163"/>
      <c r="H402" s="154">
        <v>0</v>
      </c>
    </row>
    <row r="403" spans="3:13">
      <c r="C403" s="142" t="s">
        <v>1227</v>
      </c>
      <c r="D403" s="60" t="s">
        <v>1228</v>
      </c>
      <c r="E403" s="74"/>
      <c r="F403" s="74"/>
      <c r="G403" s="74"/>
      <c r="H403" s="152"/>
    </row>
    <row r="404" spans="3:13" ht="15.75" customHeight="1">
      <c r="C404" s="145" t="s">
        <v>1229</v>
      </c>
      <c r="D404" s="81"/>
      <c r="E404" s="81"/>
      <c r="F404" s="81"/>
      <c r="G404" s="163"/>
      <c r="H404" s="154">
        <v>0</v>
      </c>
    </row>
    <row r="405" spans="3:13" s="164" customFormat="1">
      <c r="C405" s="123" t="s">
        <v>1230</v>
      </c>
      <c r="D405" s="70" t="s">
        <v>1231</v>
      </c>
      <c r="E405" s="71"/>
      <c r="F405" s="71"/>
      <c r="G405" s="72"/>
      <c r="H405" s="125">
        <f>H404+H402+H400</f>
        <v>4580</v>
      </c>
      <c r="I405" s="55"/>
    </row>
    <row r="406" spans="3:13" s="164" customFormat="1">
      <c r="C406" s="123" t="s">
        <v>1232</v>
      </c>
      <c r="D406" s="70" t="s">
        <v>1410</v>
      </c>
      <c r="E406" s="71"/>
      <c r="F406" s="72"/>
      <c r="G406" s="96">
        <f>$M$7</f>
        <v>0.1</v>
      </c>
      <c r="H406" s="125">
        <f>H405*G406</f>
        <v>458</v>
      </c>
      <c r="I406" s="55"/>
    </row>
    <row r="407" spans="3:13" s="164" customFormat="1" ht="15.75" thickBot="1">
      <c r="C407" s="131" t="s">
        <v>1233</v>
      </c>
      <c r="D407" s="132" t="s">
        <v>1234</v>
      </c>
      <c r="E407" s="133"/>
      <c r="F407" s="133"/>
      <c r="G407" s="156"/>
      <c r="H407" s="135">
        <f>SUM(H405:H406)</f>
        <v>5038</v>
      </c>
      <c r="I407" s="55"/>
    </row>
    <row r="408" spans="3:13" ht="15.75" thickTop="1"/>
    <row r="409" spans="3:13" ht="33" customHeight="1" thickBot="1">
      <c r="C409" s="516" t="s">
        <v>1371</v>
      </c>
      <c r="D409" s="516"/>
      <c r="E409" s="516"/>
      <c r="F409" s="516"/>
      <c r="G409" s="516"/>
      <c r="H409" s="516"/>
      <c r="I409" s="57">
        <f>ROUNDDOWN(H421,-2)</f>
        <v>7500</v>
      </c>
      <c r="M409" s="205"/>
    </row>
    <row r="410" spans="3:13" s="58" customFormat="1" ht="31.5" customHeight="1" thickTop="1">
      <c r="C410" s="120" t="s">
        <v>1207</v>
      </c>
      <c r="D410" s="121" t="s">
        <v>1208</v>
      </c>
      <c r="E410" s="121" t="s">
        <v>1209</v>
      </c>
      <c r="F410" s="121" t="s">
        <v>1210</v>
      </c>
      <c r="G410" s="121" t="s">
        <v>1211</v>
      </c>
      <c r="H410" s="122" t="s">
        <v>1212</v>
      </c>
      <c r="I410" s="161"/>
      <c r="M410" s="205"/>
    </row>
    <row r="411" spans="3:13">
      <c r="C411" s="142" t="s">
        <v>1213</v>
      </c>
      <c r="D411" s="60" t="s">
        <v>1214</v>
      </c>
      <c r="E411" s="74"/>
      <c r="F411" s="74"/>
      <c r="G411" s="74"/>
      <c r="H411" s="147"/>
      <c r="M411" s="205"/>
    </row>
    <row r="412" spans="3:13">
      <c r="C412" s="201" t="s">
        <v>1215</v>
      </c>
      <c r="D412" s="60" t="s">
        <v>5</v>
      </c>
      <c r="E412" s="73" t="s">
        <v>6</v>
      </c>
      <c r="F412" s="75">
        <v>0.06</v>
      </c>
      <c r="G412" s="65">
        <f>VLOOKUP(D412,upahbahan,3,FALSE)</f>
        <v>100000</v>
      </c>
      <c r="H412" s="125">
        <f>F412*G412</f>
        <v>6000</v>
      </c>
      <c r="M412" s="205"/>
    </row>
    <row r="413" spans="3:13">
      <c r="C413" s="201" t="s">
        <v>1216</v>
      </c>
      <c r="D413" s="60" t="s">
        <v>19</v>
      </c>
      <c r="E413" s="73" t="s">
        <v>6</v>
      </c>
      <c r="F413" s="75">
        <v>6.0000000000000001E-3</v>
      </c>
      <c r="G413" s="65">
        <f>VLOOKUP(D413,upahbahan,3,FALSE)</f>
        <v>145000</v>
      </c>
      <c r="H413" s="125">
        <f>F413*G413</f>
        <v>870</v>
      </c>
      <c r="M413" s="205"/>
    </row>
    <row r="414" spans="3:13" ht="15.75" customHeight="1">
      <c r="C414" s="145" t="s">
        <v>1220</v>
      </c>
      <c r="D414" s="81"/>
      <c r="E414" s="81"/>
      <c r="F414" s="190"/>
      <c r="G414" s="163"/>
      <c r="H414" s="125">
        <f>SUM(H412:H413)</f>
        <v>6870</v>
      </c>
    </row>
    <row r="415" spans="3:13">
      <c r="C415" s="142" t="s">
        <v>1221</v>
      </c>
      <c r="D415" s="60" t="s">
        <v>1222</v>
      </c>
      <c r="E415" s="74"/>
      <c r="F415" s="74"/>
      <c r="G415" s="74"/>
      <c r="H415" s="147"/>
    </row>
    <row r="416" spans="3:13" ht="15.75" customHeight="1">
      <c r="C416" s="145" t="s">
        <v>1226</v>
      </c>
      <c r="D416" s="81"/>
      <c r="E416" s="81"/>
      <c r="F416" s="81"/>
      <c r="G416" s="163"/>
      <c r="H416" s="154">
        <v>0</v>
      </c>
    </row>
    <row r="417" spans="3:13">
      <c r="C417" s="142" t="s">
        <v>1227</v>
      </c>
      <c r="D417" s="60" t="s">
        <v>1228</v>
      </c>
      <c r="E417" s="74"/>
      <c r="F417" s="74"/>
      <c r="G417" s="74"/>
      <c r="H417" s="152"/>
    </row>
    <row r="418" spans="3:13" ht="15.75" customHeight="1">
      <c r="C418" s="145" t="s">
        <v>1229</v>
      </c>
      <c r="D418" s="81"/>
      <c r="E418" s="81"/>
      <c r="F418" s="81"/>
      <c r="G418" s="163"/>
      <c r="H418" s="154">
        <v>0</v>
      </c>
    </row>
    <row r="419" spans="3:13" s="164" customFormat="1">
      <c r="C419" s="123" t="s">
        <v>1230</v>
      </c>
      <c r="D419" s="70" t="s">
        <v>1231</v>
      </c>
      <c r="E419" s="71"/>
      <c r="F419" s="71"/>
      <c r="G419" s="72"/>
      <c r="H419" s="125">
        <f>H418+H416+H414</f>
        <v>6870</v>
      </c>
      <c r="I419" s="55"/>
    </row>
    <row r="420" spans="3:13" s="164" customFormat="1">
      <c r="C420" s="123" t="s">
        <v>1232</v>
      </c>
      <c r="D420" s="70" t="s">
        <v>1410</v>
      </c>
      <c r="E420" s="71"/>
      <c r="F420" s="72"/>
      <c r="G420" s="96">
        <f>$M$7</f>
        <v>0.1</v>
      </c>
      <c r="H420" s="125">
        <f>H419*G420</f>
        <v>687</v>
      </c>
      <c r="I420" s="55"/>
    </row>
    <row r="421" spans="3:13" s="164" customFormat="1" ht="15.75" thickBot="1">
      <c r="C421" s="131" t="s">
        <v>1233</v>
      </c>
      <c r="D421" s="132" t="s">
        <v>1234</v>
      </c>
      <c r="E421" s="133"/>
      <c r="F421" s="133"/>
      <c r="G421" s="156"/>
      <c r="H421" s="135">
        <f>SUM(H419:H420)</f>
        <v>7557</v>
      </c>
      <c r="I421" s="55"/>
    </row>
    <row r="422" spans="3:13" ht="15.75" thickTop="1"/>
    <row r="423" spans="3:13" ht="33" customHeight="1" thickBot="1">
      <c r="C423" s="516" t="s">
        <v>1372</v>
      </c>
      <c r="D423" s="516"/>
      <c r="E423" s="516"/>
      <c r="F423" s="516"/>
      <c r="G423" s="516"/>
      <c r="H423" s="516"/>
      <c r="I423" s="57">
        <f>ROUNDDOWN(H441,-2)</f>
        <v>926600</v>
      </c>
      <c r="M423" s="205"/>
    </row>
    <row r="424" spans="3:13" s="58" customFormat="1" ht="31.5" customHeight="1" thickTop="1">
      <c r="C424" s="120" t="s">
        <v>1207</v>
      </c>
      <c r="D424" s="121" t="s">
        <v>1208</v>
      </c>
      <c r="E424" s="121" t="s">
        <v>1209</v>
      </c>
      <c r="F424" s="121" t="s">
        <v>1210</v>
      </c>
      <c r="G424" s="121" t="s">
        <v>1211</v>
      </c>
      <c r="H424" s="122" t="s">
        <v>1212</v>
      </c>
      <c r="I424" s="161"/>
      <c r="M424" s="205"/>
    </row>
    <row r="425" spans="3:13">
      <c r="C425" s="142" t="s">
        <v>1213</v>
      </c>
      <c r="D425" s="60" t="s">
        <v>1214</v>
      </c>
      <c r="E425" s="74"/>
      <c r="F425" s="74"/>
      <c r="G425" s="74"/>
      <c r="H425" s="147"/>
      <c r="M425" s="205"/>
    </row>
    <row r="426" spans="3:13">
      <c r="C426" s="201" t="s">
        <v>1215</v>
      </c>
      <c r="D426" s="60" t="s">
        <v>5</v>
      </c>
      <c r="E426" s="73" t="s">
        <v>6</v>
      </c>
      <c r="F426" s="75">
        <v>1.65</v>
      </c>
      <c r="G426" s="65">
        <f>VLOOKUP(D426,upahbahan,3,FALSE)</f>
        <v>100000</v>
      </c>
      <c r="H426" s="125">
        <f>F426*G426</f>
        <v>165000</v>
      </c>
      <c r="M426" s="205"/>
    </row>
    <row r="427" spans="3:13">
      <c r="C427" s="201" t="s">
        <v>1216</v>
      </c>
      <c r="D427" s="60" t="s">
        <v>7</v>
      </c>
      <c r="E427" s="73" t="s">
        <v>6</v>
      </c>
      <c r="F427" s="75">
        <v>0.27500000000000002</v>
      </c>
      <c r="G427" s="65">
        <f>VLOOKUP(D427,upahbahan,3,FALSE)</f>
        <v>145000</v>
      </c>
      <c r="H427" s="125">
        <f>F427*G427</f>
        <v>39875</v>
      </c>
      <c r="M427" s="205"/>
    </row>
    <row r="428" spans="3:13">
      <c r="C428" s="201" t="s">
        <v>1217</v>
      </c>
      <c r="D428" s="60" t="s">
        <v>1373</v>
      </c>
      <c r="E428" s="73" t="s">
        <v>6</v>
      </c>
      <c r="F428" s="75">
        <v>2.8000000000000001E-2</v>
      </c>
      <c r="G428" s="65">
        <f>VLOOKUP(D428,upahbahan,3,FALSE)</f>
        <v>150000</v>
      </c>
      <c r="H428" s="125">
        <f>F428*G428</f>
        <v>4200</v>
      </c>
      <c r="M428" s="205"/>
    </row>
    <row r="429" spans="3:13">
      <c r="C429" s="201" t="s">
        <v>1218</v>
      </c>
      <c r="D429" s="60" t="s">
        <v>19</v>
      </c>
      <c r="E429" s="73" t="s">
        <v>6</v>
      </c>
      <c r="F429" s="75">
        <v>8.9999999999999993E-3</v>
      </c>
      <c r="G429" s="65">
        <f>VLOOKUP(D429,upahbahan,3,FALSE)</f>
        <v>145000</v>
      </c>
      <c r="H429" s="125">
        <f>F429*G429</f>
        <v>1305</v>
      </c>
      <c r="M429" s="205"/>
    </row>
    <row r="430" spans="3:13" ht="15.75" customHeight="1">
      <c r="C430" s="145" t="s">
        <v>1220</v>
      </c>
      <c r="D430" s="81"/>
      <c r="E430" s="81"/>
      <c r="F430" s="190"/>
      <c r="G430" s="163"/>
      <c r="H430" s="125">
        <f>SUM(H426:H429)</f>
        <v>210380</v>
      </c>
    </row>
    <row r="431" spans="3:13">
      <c r="C431" s="142" t="s">
        <v>1221</v>
      </c>
      <c r="D431" s="60" t="s">
        <v>1222</v>
      </c>
      <c r="E431" s="74"/>
      <c r="F431" s="74"/>
      <c r="G431" s="74"/>
      <c r="H431" s="147"/>
    </row>
    <row r="432" spans="3:13">
      <c r="C432" s="146" t="s">
        <v>1215</v>
      </c>
      <c r="D432" s="60" t="s">
        <v>1243</v>
      </c>
      <c r="E432" s="171" t="s">
        <v>66</v>
      </c>
      <c r="F432" s="172">
        <v>250</v>
      </c>
      <c r="G432" s="65">
        <f>VLOOKUP(D432,upahbahan,3,FALSE)</f>
        <v>1300</v>
      </c>
      <c r="H432" s="125">
        <f>F432*G432</f>
        <v>325000</v>
      </c>
    </row>
    <row r="433" spans="3:13">
      <c r="C433" s="146" t="s">
        <v>1216</v>
      </c>
      <c r="D433" s="60" t="s">
        <v>80</v>
      </c>
      <c r="E433" s="171" t="s">
        <v>66</v>
      </c>
      <c r="F433" s="172">
        <v>888</v>
      </c>
      <c r="G433" s="65">
        <f>VLOOKUP(D433,upahbahan,3,FALSE)</f>
        <v>300</v>
      </c>
      <c r="H433" s="125">
        <f>F433*G433</f>
        <v>266400</v>
      </c>
    </row>
    <row r="434" spans="3:13">
      <c r="C434" s="146" t="s">
        <v>1217</v>
      </c>
      <c r="D434" s="60" t="s">
        <v>73</v>
      </c>
      <c r="E434" s="171" t="s">
        <v>66</v>
      </c>
      <c r="F434" s="172">
        <v>1.0089999999999999</v>
      </c>
      <c r="G434" s="65">
        <f>VLOOKUP(D434,upahbahan,3,FALSE)/1350</f>
        <v>260.96296296296299</v>
      </c>
      <c r="H434" s="125">
        <f>F434*G434</f>
        <v>263.31162962962964</v>
      </c>
    </row>
    <row r="435" spans="3:13">
      <c r="C435" s="146" t="s">
        <v>1218</v>
      </c>
      <c r="D435" s="60" t="s">
        <v>970</v>
      </c>
      <c r="E435" s="171" t="s">
        <v>535</v>
      </c>
      <c r="F435" s="172">
        <v>202</v>
      </c>
      <c r="G435" s="65">
        <f>VLOOKUP(D435,upahbahan,3,FALSE)</f>
        <v>200</v>
      </c>
      <c r="H435" s="125">
        <f>F435*G435</f>
        <v>40400</v>
      </c>
    </row>
    <row r="436" spans="3:13" ht="15.75" customHeight="1">
      <c r="C436" s="145" t="s">
        <v>1226</v>
      </c>
      <c r="D436" s="81"/>
      <c r="E436" s="81"/>
      <c r="F436" s="81"/>
      <c r="G436" s="163"/>
      <c r="H436" s="125">
        <f>SUM(H432:H435)</f>
        <v>632063.31162962958</v>
      </c>
    </row>
    <row r="437" spans="3:13">
      <c r="C437" s="142" t="s">
        <v>1227</v>
      </c>
      <c r="D437" s="60" t="s">
        <v>1228</v>
      </c>
      <c r="E437" s="74"/>
      <c r="F437" s="74"/>
      <c r="G437" s="74"/>
      <c r="H437" s="152"/>
    </row>
    <row r="438" spans="3:13" ht="15.75" customHeight="1">
      <c r="C438" s="145" t="s">
        <v>1229</v>
      </c>
      <c r="D438" s="81"/>
      <c r="E438" s="81"/>
      <c r="F438" s="81"/>
      <c r="G438" s="163"/>
      <c r="H438" s="154">
        <v>0</v>
      </c>
    </row>
    <row r="439" spans="3:13" s="164" customFormat="1">
      <c r="C439" s="123" t="s">
        <v>1230</v>
      </c>
      <c r="D439" s="70" t="s">
        <v>1231</v>
      </c>
      <c r="E439" s="71"/>
      <c r="F439" s="71"/>
      <c r="G439" s="72"/>
      <c r="H439" s="125">
        <f>H438+H436+H430</f>
        <v>842443.31162962958</v>
      </c>
      <c r="I439" s="55"/>
    </row>
    <row r="440" spans="3:13" s="164" customFormat="1">
      <c r="C440" s="123" t="s">
        <v>1232</v>
      </c>
      <c r="D440" s="70" t="s">
        <v>1410</v>
      </c>
      <c r="E440" s="71"/>
      <c r="F440" s="72"/>
      <c r="G440" s="96">
        <f>$M$7</f>
        <v>0.1</v>
      </c>
      <c r="H440" s="125">
        <f>H439*G440</f>
        <v>84244.331162962961</v>
      </c>
      <c r="I440" s="55"/>
    </row>
    <row r="441" spans="3:13" s="164" customFormat="1" ht="15.75" thickBot="1">
      <c r="C441" s="131" t="s">
        <v>1233</v>
      </c>
      <c r="D441" s="132" t="s">
        <v>1234</v>
      </c>
      <c r="E441" s="133"/>
      <c r="F441" s="133"/>
      <c r="G441" s="156"/>
      <c r="H441" s="135">
        <f>SUM(H439:H440)</f>
        <v>926687.64279259252</v>
      </c>
      <c r="I441" s="55"/>
    </row>
    <row r="442" spans="3:13" ht="15.75" thickTop="1"/>
    <row r="443" spans="3:13" ht="33" customHeight="1" thickBot="1">
      <c r="C443" s="516" t="s">
        <v>1374</v>
      </c>
      <c r="D443" s="516"/>
      <c r="E443" s="516"/>
      <c r="F443" s="516"/>
      <c r="G443" s="516"/>
      <c r="H443" s="516"/>
      <c r="I443" s="57">
        <f>ROUNDDOWN(H461,-2)</f>
        <v>1234700</v>
      </c>
      <c r="M443" s="205"/>
    </row>
    <row r="444" spans="3:13" s="58" customFormat="1" ht="31.5" customHeight="1" thickTop="1">
      <c r="C444" s="120" t="s">
        <v>1207</v>
      </c>
      <c r="D444" s="121" t="s">
        <v>1208</v>
      </c>
      <c r="E444" s="121" t="s">
        <v>1209</v>
      </c>
      <c r="F444" s="121" t="s">
        <v>1210</v>
      </c>
      <c r="G444" s="121" t="s">
        <v>1211</v>
      </c>
      <c r="H444" s="122" t="s">
        <v>1212</v>
      </c>
      <c r="I444" s="161"/>
      <c r="M444" s="205"/>
    </row>
    <row r="445" spans="3:13">
      <c r="C445" s="142" t="s">
        <v>1213</v>
      </c>
      <c r="D445" s="60" t="s">
        <v>1214</v>
      </c>
      <c r="E445" s="74"/>
      <c r="F445" s="74"/>
      <c r="G445" s="74"/>
      <c r="H445" s="147"/>
      <c r="M445" s="205"/>
    </row>
    <row r="446" spans="3:13">
      <c r="C446" s="201" t="s">
        <v>1215</v>
      </c>
      <c r="D446" s="60" t="s">
        <v>5</v>
      </c>
      <c r="E446" s="73" t="s">
        <v>6</v>
      </c>
      <c r="F446" s="75">
        <v>1.65</v>
      </c>
      <c r="G446" s="65">
        <f>VLOOKUP(D446,upahbahan,3,FALSE)</f>
        <v>100000</v>
      </c>
      <c r="H446" s="125">
        <f>F446*G446</f>
        <v>165000</v>
      </c>
      <c r="M446" s="205"/>
    </row>
    <row r="447" spans="3:13">
      <c r="C447" s="201" t="s">
        <v>1216</v>
      </c>
      <c r="D447" s="60" t="s">
        <v>7</v>
      </c>
      <c r="E447" s="73" t="s">
        <v>6</v>
      </c>
      <c r="F447" s="75">
        <v>0.27500000000000002</v>
      </c>
      <c r="G447" s="65">
        <f>VLOOKUP(D447,upahbahan,3,FALSE)</f>
        <v>145000</v>
      </c>
      <c r="H447" s="125">
        <f>F447*G447</f>
        <v>39875</v>
      </c>
      <c r="M447" s="205"/>
    </row>
    <row r="448" spans="3:13">
      <c r="C448" s="201" t="s">
        <v>1217</v>
      </c>
      <c r="D448" s="60" t="s">
        <v>1373</v>
      </c>
      <c r="E448" s="73" t="s">
        <v>6</v>
      </c>
      <c r="F448" s="75">
        <v>2.8000000000000001E-2</v>
      </c>
      <c r="G448" s="65">
        <f>VLOOKUP(D448,upahbahan,3,FALSE)</f>
        <v>150000</v>
      </c>
      <c r="H448" s="125">
        <f>F448*G448</f>
        <v>4200</v>
      </c>
      <c r="M448" s="205"/>
    </row>
    <row r="449" spans="3:13">
      <c r="C449" s="201" t="s">
        <v>1218</v>
      </c>
      <c r="D449" s="60" t="s">
        <v>19</v>
      </c>
      <c r="E449" s="73" t="s">
        <v>6</v>
      </c>
      <c r="F449" s="75">
        <v>8.9999999999999993E-3</v>
      </c>
      <c r="G449" s="65">
        <f>VLOOKUP(D449,upahbahan,3,FALSE)</f>
        <v>145000</v>
      </c>
      <c r="H449" s="125">
        <f>F449*G449</f>
        <v>1305</v>
      </c>
      <c r="M449" s="205"/>
    </row>
    <row r="450" spans="3:13" ht="15.75" customHeight="1">
      <c r="C450" s="145" t="s">
        <v>1220</v>
      </c>
      <c r="D450" s="81"/>
      <c r="E450" s="81"/>
      <c r="F450" s="190"/>
      <c r="G450" s="163"/>
      <c r="H450" s="125">
        <f>SUM(H446:H449)</f>
        <v>210380</v>
      </c>
    </row>
    <row r="451" spans="3:13">
      <c r="C451" s="142" t="s">
        <v>1221</v>
      </c>
      <c r="D451" s="60" t="s">
        <v>1222</v>
      </c>
      <c r="E451" s="74"/>
      <c r="F451" s="74"/>
      <c r="G451" s="74"/>
      <c r="H451" s="147"/>
    </row>
    <row r="452" spans="3:13">
      <c r="C452" s="146" t="s">
        <v>1215</v>
      </c>
      <c r="D452" s="60" t="s">
        <v>1243</v>
      </c>
      <c r="E452" s="171" t="s">
        <v>66</v>
      </c>
      <c r="F452" s="172">
        <v>267</v>
      </c>
      <c r="G452" s="65">
        <f>VLOOKUP(D452,upahbahan,3,FALSE)</f>
        <v>1300</v>
      </c>
      <c r="H452" s="125">
        <f>F452*G452</f>
        <v>347100</v>
      </c>
    </row>
    <row r="453" spans="3:13">
      <c r="C453" s="146" t="s">
        <v>1216</v>
      </c>
      <c r="D453" s="60" t="s">
        <v>80</v>
      </c>
      <c r="E453" s="171" t="s">
        <v>66</v>
      </c>
      <c r="F453" s="172">
        <v>871</v>
      </c>
      <c r="G453" s="65">
        <f>VLOOKUP(D453,upahbahan,3,FALSE)</f>
        <v>300</v>
      </c>
      <c r="H453" s="125">
        <f>F453*G453</f>
        <v>261300</v>
      </c>
    </row>
    <row r="454" spans="3:13">
      <c r="C454" s="146" t="s">
        <v>1217</v>
      </c>
      <c r="D454" s="60" t="s">
        <v>73</v>
      </c>
      <c r="E454" s="171" t="s">
        <v>66</v>
      </c>
      <c r="F454" s="172">
        <v>1009</v>
      </c>
      <c r="G454" s="65">
        <f>VLOOKUP(D454,upahbahan,3,FALSE)/1350</f>
        <v>260.96296296296299</v>
      </c>
      <c r="H454" s="125">
        <f>F454*G454</f>
        <v>263311.62962962966</v>
      </c>
    </row>
    <row r="455" spans="3:13">
      <c r="C455" s="146" t="s">
        <v>1218</v>
      </c>
      <c r="D455" s="60" t="s">
        <v>970</v>
      </c>
      <c r="E455" s="171" t="s">
        <v>535</v>
      </c>
      <c r="F455" s="172">
        <v>202</v>
      </c>
      <c r="G455" s="65">
        <f>VLOOKUP(D455,upahbahan,3,FALSE)</f>
        <v>200</v>
      </c>
      <c r="H455" s="125">
        <f>F455*G455</f>
        <v>40400</v>
      </c>
    </row>
    <row r="456" spans="3:13" ht="15.75" customHeight="1">
      <c r="C456" s="145" t="s">
        <v>1226</v>
      </c>
      <c r="D456" s="81"/>
      <c r="E456" s="81"/>
      <c r="F456" s="81"/>
      <c r="G456" s="163"/>
      <c r="H456" s="125">
        <f>SUM(H452:H455)</f>
        <v>912111.62962962966</v>
      </c>
    </row>
    <row r="457" spans="3:13">
      <c r="C457" s="142" t="s">
        <v>1227</v>
      </c>
      <c r="D457" s="60" t="s">
        <v>1228</v>
      </c>
      <c r="E457" s="74"/>
      <c r="F457" s="74"/>
      <c r="G457" s="74"/>
      <c r="H457" s="152"/>
    </row>
    <row r="458" spans="3:13" ht="15.75" customHeight="1">
      <c r="C458" s="145" t="s">
        <v>1229</v>
      </c>
      <c r="D458" s="81"/>
      <c r="E458" s="81"/>
      <c r="F458" s="81"/>
      <c r="G458" s="163"/>
      <c r="H458" s="154">
        <v>0</v>
      </c>
    </row>
    <row r="459" spans="3:13" s="164" customFormat="1">
      <c r="C459" s="123" t="s">
        <v>1230</v>
      </c>
      <c r="D459" s="70" t="s">
        <v>1231</v>
      </c>
      <c r="E459" s="71"/>
      <c r="F459" s="71"/>
      <c r="G459" s="72"/>
      <c r="H459" s="125">
        <f>H458+H456+H450</f>
        <v>1122491.6296296297</v>
      </c>
      <c r="I459" s="55"/>
    </row>
    <row r="460" spans="3:13" s="164" customFormat="1">
      <c r="C460" s="123" t="s">
        <v>1232</v>
      </c>
      <c r="D460" s="70" t="s">
        <v>1410</v>
      </c>
      <c r="E460" s="71"/>
      <c r="F460" s="72"/>
      <c r="G460" s="96">
        <f>$M$7</f>
        <v>0.1</v>
      </c>
      <c r="H460" s="125">
        <f>H459*G460</f>
        <v>112249.16296296298</v>
      </c>
      <c r="I460" s="55"/>
    </row>
    <row r="461" spans="3:13" s="164" customFormat="1" ht="15.75" thickBot="1">
      <c r="C461" s="131" t="s">
        <v>1233</v>
      </c>
      <c r="D461" s="132" t="s">
        <v>1234</v>
      </c>
      <c r="E461" s="133"/>
      <c r="F461" s="133"/>
      <c r="G461" s="156"/>
      <c r="H461" s="135">
        <f>SUM(H459:H460)</f>
        <v>1234740.7925925925</v>
      </c>
      <c r="I461" s="55"/>
    </row>
    <row r="462" spans="3:13" ht="15.75" thickTop="1"/>
    <row r="463" spans="3:13" ht="33" customHeight="1" thickBot="1">
      <c r="C463" s="516" t="s">
        <v>1375</v>
      </c>
      <c r="D463" s="516"/>
      <c r="E463" s="516"/>
      <c r="F463" s="516"/>
      <c r="G463" s="516"/>
      <c r="H463" s="516"/>
      <c r="I463" s="57">
        <f>ROUNDDOWN(H481,-2)</f>
        <v>1277600</v>
      </c>
      <c r="M463" s="205"/>
    </row>
    <row r="464" spans="3:13" s="58" customFormat="1" ht="31.5" customHeight="1" thickTop="1">
      <c r="C464" s="120" t="s">
        <v>1207</v>
      </c>
      <c r="D464" s="121" t="s">
        <v>1208</v>
      </c>
      <c r="E464" s="121" t="s">
        <v>1209</v>
      </c>
      <c r="F464" s="121" t="s">
        <v>1210</v>
      </c>
      <c r="G464" s="121" t="s">
        <v>1211</v>
      </c>
      <c r="H464" s="122" t="s">
        <v>1212</v>
      </c>
      <c r="I464" s="161"/>
      <c r="M464" s="205"/>
    </row>
    <row r="465" spans="3:13">
      <c r="C465" s="142" t="s">
        <v>1213</v>
      </c>
      <c r="D465" s="60" t="s">
        <v>1214</v>
      </c>
      <c r="E465" s="74"/>
      <c r="F465" s="74"/>
      <c r="G465" s="74"/>
      <c r="H465" s="147"/>
      <c r="M465" s="205"/>
    </row>
    <row r="466" spans="3:13">
      <c r="C466" s="201" t="s">
        <v>1215</v>
      </c>
      <c r="D466" s="60" t="s">
        <v>5</v>
      </c>
      <c r="E466" s="73" t="s">
        <v>6</v>
      </c>
      <c r="F466" s="75">
        <v>1.65</v>
      </c>
      <c r="G466" s="65">
        <f>VLOOKUP(D466,upahbahan,3,FALSE)</f>
        <v>100000</v>
      </c>
      <c r="H466" s="125">
        <f>F466*G466</f>
        <v>165000</v>
      </c>
      <c r="M466" s="205"/>
    </row>
    <row r="467" spans="3:13">
      <c r="C467" s="201" t="s">
        <v>1216</v>
      </c>
      <c r="D467" s="60" t="s">
        <v>7</v>
      </c>
      <c r="E467" s="73" t="s">
        <v>6</v>
      </c>
      <c r="F467" s="75">
        <v>0.27500000000000002</v>
      </c>
      <c r="G467" s="65">
        <f>VLOOKUP(D467,upahbahan,3,FALSE)</f>
        <v>145000</v>
      </c>
      <c r="H467" s="125">
        <f>F467*G467</f>
        <v>39875</v>
      </c>
      <c r="M467" s="205"/>
    </row>
    <row r="468" spans="3:13">
      <c r="C468" s="201" t="s">
        <v>1217</v>
      </c>
      <c r="D468" s="60" t="s">
        <v>1373</v>
      </c>
      <c r="E468" s="73" t="s">
        <v>6</v>
      </c>
      <c r="F468" s="75">
        <v>2.8000000000000001E-2</v>
      </c>
      <c r="G468" s="65">
        <f>VLOOKUP(D468,upahbahan,3,FALSE)</f>
        <v>150000</v>
      </c>
      <c r="H468" s="125">
        <f>F468*G468</f>
        <v>4200</v>
      </c>
      <c r="M468" s="205"/>
    </row>
    <row r="469" spans="3:13">
      <c r="C469" s="201" t="s">
        <v>1218</v>
      </c>
      <c r="D469" s="60" t="s">
        <v>19</v>
      </c>
      <c r="E469" s="73" t="s">
        <v>6</v>
      </c>
      <c r="F469" s="75">
        <v>8.9999999999999993E-3</v>
      </c>
      <c r="G469" s="65">
        <f>VLOOKUP(D469,upahbahan,3,FALSE)</f>
        <v>145000</v>
      </c>
      <c r="H469" s="125">
        <f>F469*G469</f>
        <v>1305</v>
      </c>
      <c r="M469" s="205"/>
    </row>
    <row r="470" spans="3:13" ht="15.75" customHeight="1">
      <c r="C470" s="145" t="s">
        <v>1220</v>
      </c>
      <c r="D470" s="81"/>
      <c r="E470" s="81"/>
      <c r="F470" s="190"/>
      <c r="G470" s="163"/>
      <c r="H470" s="125">
        <f>SUM(H466:H469)</f>
        <v>210380</v>
      </c>
    </row>
    <row r="471" spans="3:13">
      <c r="C471" s="142" t="s">
        <v>1221</v>
      </c>
      <c r="D471" s="60" t="s">
        <v>1222</v>
      </c>
      <c r="E471" s="74"/>
      <c r="F471" s="74"/>
      <c r="G471" s="74"/>
      <c r="H471" s="147"/>
    </row>
    <row r="472" spans="3:13">
      <c r="C472" s="146" t="s">
        <v>1215</v>
      </c>
      <c r="D472" s="60" t="s">
        <v>1243</v>
      </c>
      <c r="E472" s="171" t="s">
        <v>66</v>
      </c>
      <c r="F472" s="172">
        <v>306</v>
      </c>
      <c r="G472" s="65">
        <f>VLOOKUP(D472,upahbahan,3,FALSE)</f>
        <v>1300</v>
      </c>
      <c r="H472" s="125">
        <f>F472*G472</f>
        <v>397800</v>
      </c>
    </row>
    <row r="473" spans="3:13">
      <c r="C473" s="146" t="s">
        <v>1216</v>
      </c>
      <c r="D473" s="60" t="s">
        <v>80</v>
      </c>
      <c r="E473" s="171" t="s">
        <v>66</v>
      </c>
      <c r="F473" s="172">
        <v>832</v>
      </c>
      <c r="G473" s="65">
        <f>VLOOKUP(D473,upahbahan,3,FALSE)</f>
        <v>300</v>
      </c>
      <c r="H473" s="125">
        <f>F473*G473</f>
        <v>249600</v>
      </c>
    </row>
    <row r="474" spans="3:13">
      <c r="C474" s="146" t="s">
        <v>1217</v>
      </c>
      <c r="D474" s="60" t="s">
        <v>73</v>
      </c>
      <c r="E474" s="171" t="s">
        <v>66</v>
      </c>
      <c r="F474" s="172">
        <v>1009</v>
      </c>
      <c r="G474" s="65">
        <f>VLOOKUP(D474,upahbahan,3,FALSE)/1350</f>
        <v>260.96296296296299</v>
      </c>
      <c r="H474" s="125">
        <f>F474*G474</f>
        <v>263311.62962962966</v>
      </c>
    </row>
    <row r="475" spans="3:13">
      <c r="C475" s="146" t="s">
        <v>1218</v>
      </c>
      <c r="D475" s="60" t="s">
        <v>970</v>
      </c>
      <c r="E475" s="171" t="s">
        <v>535</v>
      </c>
      <c r="F475" s="172">
        <v>202</v>
      </c>
      <c r="G475" s="65">
        <f>VLOOKUP(D475,upahbahan,3,FALSE)</f>
        <v>200</v>
      </c>
      <c r="H475" s="125">
        <f>F475*G475</f>
        <v>40400</v>
      </c>
    </row>
    <row r="476" spans="3:13" ht="15.75" customHeight="1">
      <c r="C476" s="145" t="s">
        <v>1226</v>
      </c>
      <c r="D476" s="81"/>
      <c r="E476" s="81"/>
      <c r="F476" s="81"/>
      <c r="G476" s="163"/>
      <c r="H476" s="125">
        <f>SUM(H472:H475)</f>
        <v>951111.62962962966</v>
      </c>
    </row>
    <row r="477" spans="3:13">
      <c r="C477" s="142" t="s">
        <v>1227</v>
      </c>
      <c r="D477" s="60" t="s">
        <v>1228</v>
      </c>
      <c r="E477" s="74"/>
      <c r="F477" s="74"/>
      <c r="G477" s="74"/>
      <c r="H477" s="152"/>
    </row>
    <row r="478" spans="3:13" ht="15.75" customHeight="1">
      <c r="C478" s="145" t="s">
        <v>1229</v>
      </c>
      <c r="D478" s="81"/>
      <c r="E478" s="81"/>
      <c r="F478" s="81"/>
      <c r="G478" s="163"/>
      <c r="H478" s="154">
        <v>0</v>
      </c>
    </row>
    <row r="479" spans="3:13" s="164" customFormat="1">
      <c r="C479" s="123" t="s">
        <v>1230</v>
      </c>
      <c r="D479" s="70" t="s">
        <v>1231</v>
      </c>
      <c r="E479" s="71"/>
      <c r="F479" s="71"/>
      <c r="G479" s="72"/>
      <c r="H479" s="125">
        <f>H478+H476+H470</f>
        <v>1161491.6296296297</v>
      </c>
      <c r="I479" s="55"/>
    </row>
    <row r="480" spans="3:13" s="164" customFormat="1">
      <c r="C480" s="123" t="s">
        <v>1232</v>
      </c>
      <c r="D480" s="70" t="s">
        <v>1410</v>
      </c>
      <c r="E480" s="71"/>
      <c r="F480" s="72"/>
      <c r="G480" s="96">
        <f>$M$7</f>
        <v>0.1</v>
      </c>
      <c r="H480" s="125">
        <f>H479*G480</f>
        <v>116149.16296296298</v>
      </c>
      <c r="I480" s="55"/>
    </row>
    <row r="481" spans="3:13" s="164" customFormat="1" ht="15.75" thickBot="1">
      <c r="C481" s="131" t="s">
        <v>1233</v>
      </c>
      <c r="D481" s="132" t="s">
        <v>1234</v>
      </c>
      <c r="E481" s="133"/>
      <c r="F481" s="133"/>
      <c r="G481" s="156"/>
      <c r="H481" s="135">
        <f>SUM(H479:H480)</f>
        <v>1277640.7925925925</v>
      </c>
      <c r="I481" s="55"/>
    </row>
    <row r="482" spans="3:13" ht="15.75" thickTop="1"/>
    <row r="483" spans="3:13" ht="33" customHeight="1" thickBot="1">
      <c r="C483" s="516" t="s">
        <v>1376</v>
      </c>
      <c r="D483" s="516"/>
      <c r="E483" s="516"/>
      <c r="F483" s="516"/>
      <c r="G483" s="516"/>
      <c r="H483" s="516"/>
      <c r="I483" s="57">
        <f>ROUNDDOWN(H501,-2)</f>
        <v>1295500</v>
      </c>
      <c r="M483" s="205"/>
    </row>
    <row r="484" spans="3:13" s="58" customFormat="1" ht="31.5" customHeight="1" thickTop="1">
      <c r="C484" s="120" t="s">
        <v>1207</v>
      </c>
      <c r="D484" s="121" t="s">
        <v>1208</v>
      </c>
      <c r="E484" s="121" t="s">
        <v>1209</v>
      </c>
      <c r="F484" s="121" t="s">
        <v>1210</v>
      </c>
      <c r="G484" s="121" t="s">
        <v>1211</v>
      </c>
      <c r="H484" s="122" t="s">
        <v>1212</v>
      </c>
      <c r="I484" s="161"/>
      <c r="M484" s="205"/>
    </row>
    <row r="485" spans="3:13">
      <c r="C485" s="142" t="s">
        <v>1213</v>
      </c>
      <c r="D485" s="60" t="s">
        <v>1214</v>
      </c>
      <c r="E485" s="74"/>
      <c r="F485" s="74"/>
      <c r="G485" s="74"/>
      <c r="H485" s="147"/>
      <c r="M485" s="205"/>
    </row>
    <row r="486" spans="3:13">
      <c r="C486" s="201" t="s">
        <v>1215</v>
      </c>
      <c r="D486" s="60" t="s">
        <v>5</v>
      </c>
      <c r="E486" s="73" t="s">
        <v>6</v>
      </c>
      <c r="F486" s="75">
        <v>1.65</v>
      </c>
      <c r="G486" s="65">
        <f>VLOOKUP(D486,upahbahan,3,FALSE)</f>
        <v>100000</v>
      </c>
      <c r="H486" s="125">
        <f>F486*G486</f>
        <v>165000</v>
      </c>
      <c r="M486" s="205"/>
    </row>
    <row r="487" spans="3:13">
      <c r="C487" s="201" t="s">
        <v>1216</v>
      </c>
      <c r="D487" s="60" t="s">
        <v>7</v>
      </c>
      <c r="E487" s="73" t="s">
        <v>6</v>
      </c>
      <c r="F487" s="75">
        <v>0.27500000000000002</v>
      </c>
      <c r="G487" s="65">
        <f>VLOOKUP(D487,upahbahan,3,FALSE)</f>
        <v>145000</v>
      </c>
      <c r="H487" s="125">
        <f>F487*G487</f>
        <v>39875</v>
      </c>
      <c r="M487" s="205"/>
    </row>
    <row r="488" spans="3:13">
      <c r="C488" s="201" t="s">
        <v>1217</v>
      </c>
      <c r="D488" s="60" t="s">
        <v>1373</v>
      </c>
      <c r="E488" s="73" t="s">
        <v>6</v>
      </c>
      <c r="F488" s="75">
        <v>2.8000000000000001E-2</v>
      </c>
      <c r="G488" s="65">
        <f>VLOOKUP(D488,upahbahan,3,FALSE)</f>
        <v>150000</v>
      </c>
      <c r="H488" s="125">
        <f>F488*G488</f>
        <v>4200</v>
      </c>
      <c r="M488" s="205"/>
    </row>
    <row r="489" spans="3:13">
      <c r="C489" s="201" t="s">
        <v>1218</v>
      </c>
      <c r="D489" s="60" t="s">
        <v>19</v>
      </c>
      <c r="E489" s="73" t="s">
        <v>6</v>
      </c>
      <c r="F489" s="75">
        <v>8.9999999999999993E-3</v>
      </c>
      <c r="G489" s="65">
        <f>VLOOKUP(D489,upahbahan,3,FALSE)</f>
        <v>145000</v>
      </c>
      <c r="H489" s="125">
        <f>F489*G489</f>
        <v>1305</v>
      </c>
      <c r="M489" s="205"/>
    </row>
    <row r="490" spans="3:13" ht="15.75" customHeight="1">
      <c r="C490" s="145" t="s">
        <v>1220</v>
      </c>
      <c r="D490" s="81"/>
      <c r="E490" s="81"/>
      <c r="F490" s="190"/>
      <c r="G490" s="163"/>
      <c r="H490" s="125">
        <f>SUM(H486:H489)</f>
        <v>210380</v>
      </c>
    </row>
    <row r="491" spans="3:13">
      <c r="C491" s="142" t="s">
        <v>1221</v>
      </c>
      <c r="D491" s="60" t="s">
        <v>1222</v>
      </c>
      <c r="E491" s="74"/>
      <c r="F491" s="74"/>
      <c r="G491" s="74"/>
      <c r="H491" s="147"/>
    </row>
    <row r="492" spans="3:13">
      <c r="C492" s="146" t="s">
        <v>1215</v>
      </c>
      <c r="D492" s="60" t="s">
        <v>1243</v>
      </c>
      <c r="E492" s="171" t="s">
        <v>66</v>
      </c>
      <c r="F492" s="172">
        <v>322</v>
      </c>
      <c r="G492" s="65">
        <f>VLOOKUP(D492,upahbahan,3,FALSE)</f>
        <v>1300</v>
      </c>
      <c r="H492" s="125">
        <f>F492*G492</f>
        <v>418600</v>
      </c>
    </row>
    <row r="493" spans="3:13">
      <c r="C493" s="146" t="s">
        <v>1216</v>
      </c>
      <c r="D493" s="60" t="s">
        <v>80</v>
      </c>
      <c r="E493" s="171" t="s">
        <v>66</v>
      </c>
      <c r="F493" s="172">
        <v>817</v>
      </c>
      <c r="G493" s="65">
        <f>VLOOKUP(D493,upahbahan,3,FALSE)</f>
        <v>300</v>
      </c>
      <c r="H493" s="125">
        <f>F493*G493</f>
        <v>245100</v>
      </c>
    </row>
    <row r="494" spans="3:13">
      <c r="C494" s="146" t="s">
        <v>1217</v>
      </c>
      <c r="D494" s="60" t="s">
        <v>73</v>
      </c>
      <c r="E494" s="171" t="s">
        <v>66</v>
      </c>
      <c r="F494" s="172">
        <v>1009</v>
      </c>
      <c r="G494" s="65">
        <f>VLOOKUP(D494,upahbahan,3,FALSE)/1350</f>
        <v>260.96296296296299</v>
      </c>
      <c r="H494" s="125">
        <f>F494*G494</f>
        <v>263311.62962962966</v>
      </c>
    </row>
    <row r="495" spans="3:13">
      <c r="C495" s="146" t="s">
        <v>1218</v>
      </c>
      <c r="D495" s="60" t="s">
        <v>970</v>
      </c>
      <c r="E495" s="171" t="s">
        <v>535</v>
      </c>
      <c r="F495" s="172">
        <v>202</v>
      </c>
      <c r="G495" s="65">
        <f>VLOOKUP(D495,upahbahan,3,FALSE)</f>
        <v>200</v>
      </c>
      <c r="H495" s="125">
        <f>F495*G495</f>
        <v>40400</v>
      </c>
    </row>
    <row r="496" spans="3:13" ht="15.75" customHeight="1">
      <c r="C496" s="145" t="s">
        <v>1226</v>
      </c>
      <c r="D496" s="81"/>
      <c r="E496" s="81"/>
      <c r="F496" s="81"/>
      <c r="G496" s="163"/>
      <c r="H496" s="125">
        <f>SUM(H492:H495)</f>
        <v>967411.62962962966</v>
      </c>
    </row>
    <row r="497" spans="3:13">
      <c r="C497" s="142" t="s">
        <v>1227</v>
      </c>
      <c r="D497" s="60" t="s">
        <v>1228</v>
      </c>
      <c r="E497" s="74"/>
      <c r="F497" s="74"/>
      <c r="G497" s="74"/>
      <c r="H497" s="152"/>
    </row>
    <row r="498" spans="3:13" ht="15.75" customHeight="1">
      <c r="C498" s="145" t="s">
        <v>1229</v>
      </c>
      <c r="D498" s="81"/>
      <c r="E498" s="81"/>
      <c r="F498" s="81"/>
      <c r="G498" s="163"/>
      <c r="H498" s="154">
        <v>0</v>
      </c>
    </row>
    <row r="499" spans="3:13" s="164" customFormat="1">
      <c r="C499" s="123" t="s">
        <v>1230</v>
      </c>
      <c r="D499" s="70" t="s">
        <v>1231</v>
      </c>
      <c r="E499" s="71"/>
      <c r="F499" s="71"/>
      <c r="G499" s="72"/>
      <c r="H499" s="125">
        <f>H498+H496+H490</f>
        <v>1177791.6296296297</v>
      </c>
      <c r="I499" s="55"/>
    </row>
    <row r="500" spans="3:13" s="164" customFormat="1">
      <c r="C500" s="123" t="s">
        <v>1232</v>
      </c>
      <c r="D500" s="70" t="s">
        <v>1410</v>
      </c>
      <c r="E500" s="71"/>
      <c r="F500" s="72"/>
      <c r="G500" s="96">
        <f>$M$7</f>
        <v>0.1</v>
      </c>
      <c r="H500" s="125">
        <f>H499*G500</f>
        <v>117779.16296296298</v>
      </c>
      <c r="I500" s="55"/>
    </row>
    <row r="501" spans="3:13" s="164" customFormat="1" ht="15.75" thickBot="1">
      <c r="C501" s="131" t="s">
        <v>1233</v>
      </c>
      <c r="D501" s="132" t="s">
        <v>1234</v>
      </c>
      <c r="E501" s="133"/>
      <c r="F501" s="133"/>
      <c r="G501" s="156"/>
      <c r="H501" s="135">
        <f>SUM(H499:H500)</f>
        <v>1295570.7925925925</v>
      </c>
      <c r="I501" s="55"/>
    </row>
    <row r="502" spans="3:13" ht="15.75" thickTop="1"/>
    <row r="503" spans="3:13" ht="33" customHeight="1" thickBot="1">
      <c r="C503" s="516" t="s">
        <v>1377</v>
      </c>
      <c r="D503" s="516"/>
      <c r="E503" s="516"/>
      <c r="F503" s="516"/>
      <c r="G503" s="516"/>
      <c r="H503" s="516"/>
      <c r="I503" s="57">
        <f>ROUNDDOWN(H521,-2)</f>
        <v>1323800</v>
      </c>
      <c r="M503" s="205"/>
    </row>
    <row r="504" spans="3:13" s="58" customFormat="1" ht="31.5" customHeight="1" thickTop="1">
      <c r="C504" s="120" t="s">
        <v>1207</v>
      </c>
      <c r="D504" s="121" t="s">
        <v>1208</v>
      </c>
      <c r="E504" s="121" t="s">
        <v>1209</v>
      </c>
      <c r="F504" s="121" t="s">
        <v>1210</v>
      </c>
      <c r="G504" s="121" t="s">
        <v>1211</v>
      </c>
      <c r="H504" s="122" t="s">
        <v>1212</v>
      </c>
      <c r="I504" s="161"/>
      <c r="M504" s="205"/>
    </row>
    <row r="505" spans="3:13">
      <c r="C505" s="142" t="s">
        <v>1213</v>
      </c>
      <c r="D505" s="60" t="s">
        <v>1214</v>
      </c>
      <c r="E505" s="74"/>
      <c r="F505" s="74"/>
      <c r="G505" s="74"/>
      <c r="H505" s="147"/>
      <c r="M505" s="205"/>
    </row>
    <row r="506" spans="3:13">
      <c r="C506" s="201" t="s">
        <v>1215</v>
      </c>
      <c r="D506" s="60" t="s">
        <v>5</v>
      </c>
      <c r="E506" s="73" t="s">
        <v>6</v>
      </c>
      <c r="F506" s="75">
        <v>1.65</v>
      </c>
      <c r="G506" s="65">
        <f>VLOOKUP(D506,upahbahan,3,FALSE)</f>
        <v>100000</v>
      </c>
      <c r="H506" s="125">
        <f>F506*G506</f>
        <v>165000</v>
      </c>
      <c r="M506" s="205"/>
    </row>
    <row r="507" spans="3:13">
      <c r="C507" s="201" t="s">
        <v>1216</v>
      </c>
      <c r="D507" s="60" t="s">
        <v>7</v>
      </c>
      <c r="E507" s="73" t="s">
        <v>6</v>
      </c>
      <c r="F507" s="75">
        <v>0.27500000000000002</v>
      </c>
      <c r="G507" s="65">
        <f>VLOOKUP(D507,upahbahan,3,FALSE)</f>
        <v>145000</v>
      </c>
      <c r="H507" s="125">
        <f>F507*G507</f>
        <v>39875</v>
      </c>
      <c r="M507" s="205"/>
    </row>
    <row r="508" spans="3:13">
      <c r="C508" s="201" t="s">
        <v>1217</v>
      </c>
      <c r="D508" s="60" t="s">
        <v>1373</v>
      </c>
      <c r="E508" s="73" t="s">
        <v>6</v>
      </c>
      <c r="F508" s="75">
        <v>2.8000000000000001E-2</v>
      </c>
      <c r="G508" s="65">
        <f>VLOOKUP(D508,upahbahan,3,FALSE)</f>
        <v>150000</v>
      </c>
      <c r="H508" s="125">
        <f>F508*G508</f>
        <v>4200</v>
      </c>
      <c r="M508" s="205"/>
    </row>
    <row r="509" spans="3:13">
      <c r="C509" s="201" t="s">
        <v>1218</v>
      </c>
      <c r="D509" s="60" t="s">
        <v>19</v>
      </c>
      <c r="E509" s="73" t="s">
        <v>6</v>
      </c>
      <c r="F509" s="75">
        <v>8.9999999999999993E-3</v>
      </c>
      <c r="G509" s="65">
        <f>VLOOKUP(D509,upahbahan,3,FALSE)</f>
        <v>145000</v>
      </c>
      <c r="H509" s="125">
        <f>F509*G509</f>
        <v>1305</v>
      </c>
      <c r="M509" s="205"/>
    </row>
    <row r="510" spans="3:13" ht="15.75" customHeight="1">
      <c r="C510" s="145" t="s">
        <v>1220</v>
      </c>
      <c r="D510" s="81"/>
      <c r="E510" s="81"/>
      <c r="F510" s="190"/>
      <c r="G510" s="163"/>
      <c r="H510" s="125">
        <f>SUM(H506:H509)</f>
        <v>210380</v>
      </c>
    </row>
    <row r="511" spans="3:13">
      <c r="C511" s="142" t="s">
        <v>1221</v>
      </c>
      <c r="D511" s="60" t="s">
        <v>1222</v>
      </c>
      <c r="E511" s="74"/>
      <c r="F511" s="74"/>
      <c r="G511" s="74"/>
      <c r="H511" s="147"/>
    </row>
    <row r="512" spans="3:13">
      <c r="C512" s="146" t="s">
        <v>1215</v>
      </c>
      <c r="D512" s="60" t="s">
        <v>1243</v>
      </c>
      <c r="E512" s="171" t="s">
        <v>66</v>
      </c>
      <c r="F512" s="172">
        <v>348</v>
      </c>
      <c r="G512" s="65">
        <f>VLOOKUP(D512,upahbahan,3,FALSE)</f>
        <v>1300</v>
      </c>
      <c r="H512" s="125">
        <f>F512*G512</f>
        <v>452400</v>
      </c>
    </row>
    <row r="513" spans="3:13">
      <c r="C513" s="146" t="s">
        <v>1216</v>
      </c>
      <c r="D513" s="60" t="s">
        <v>80</v>
      </c>
      <c r="E513" s="171" t="s">
        <v>66</v>
      </c>
      <c r="F513" s="172">
        <v>790</v>
      </c>
      <c r="G513" s="65">
        <f>VLOOKUP(D513,upahbahan,3,FALSE)</f>
        <v>300</v>
      </c>
      <c r="H513" s="125">
        <f>F513*G513</f>
        <v>237000</v>
      </c>
    </row>
    <row r="514" spans="3:13">
      <c r="C514" s="146" t="s">
        <v>1217</v>
      </c>
      <c r="D514" s="60" t="s">
        <v>73</v>
      </c>
      <c r="E514" s="171" t="s">
        <v>66</v>
      </c>
      <c r="F514" s="172">
        <v>1009</v>
      </c>
      <c r="G514" s="65">
        <f>VLOOKUP(D514,upahbahan,3,FALSE)/1350</f>
        <v>260.96296296296299</v>
      </c>
      <c r="H514" s="125">
        <f>F514*G514</f>
        <v>263311.62962962966</v>
      </c>
    </row>
    <row r="515" spans="3:13">
      <c r="C515" s="146" t="s">
        <v>1218</v>
      </c>
      <c r="D515" s="60" t="s">
        <v>970</v>
      </c>
      <c r="E515" s="171" t="s">
        <v>535</v>
      </c>
      <c r="F515" s="172">
        <v>202</v>
      </c>
      <c r="G515" s="65">
        <f>VLOOKUP(D515,upahbahan,3,FALSE)</f>
        <v>200</v>
      </c>
      <c r="H515" s="125">
        <f>F515*G515</f>
        <v>40400</v>
      </c>
    </row>
    <row r="516" spans="3:13" ht="15.75" customHeight="1">
      <c r="C516" s="145" t="s">
        <v>1226</v>
      </c>
      <c r="D516" s="81"/>
      <c r="E516" s="81"/>
      <c r="F516" s="81"/>
      <c r="G516" s="163"/>
      <c r="H516" s="125">
        <f>SUM(H512:H515)</f>
        <v>993111.62962962966</v>
      </c>
    </row>
    <row r="517" spans="3:13">
      <c r="C517" s="142" t="s">
        <v>1227</v>
      </c>
      <c r="D517" s="60" t="s">
        <v>1228</v>
      </c>
      <c r="E517" s="74"/>
      <c r="F517" s="74"/>
      <c r="G517" s="74"/>
      <c r="H517" s="152"/>
    </row>
    <row r="518" spans="3:13" ht="15.75" customHeight="1">
      <c r="C518" s="145" t="s">
        <v>1229</v>
      </c>
      <c r="D518" s="81"/>
      <c r="E518" s="81"/>
      <c r="F518" s="81"/>
      <c r="G518" s="163"/>
      <c r="H518" s="154">
        <v>0</v>
      </c>
    </row>
    <row r="519" spans="3:13" s="164" customFormat="1">
      <c r="C519" s="123" t="s">
        <v>1230</v>
      </c>
      <c r="D519" s="70" t="s">
        <v>1231</v>
      </c>
      <c r="E519" s="71"/>
      <c r="F519" s="71"/>
      <c r="G519" s="72"/>
      <c r="H519" s="125">
        <f>H518+H516+H510</f>
        <v>1203491.6296296297</v>
      </c>
      <c r="I519" s="55"/>
    </row>
    <row r="520" spans="3:13" s="164" customFormat="1">
      <c r="C520" s="123" t="s">
        <v>1232</v>
      </c>
      <c r="D520" s="70" t="s">
        <v>1410</v>
      </c>
      <c r="E520" s="71"/>
      <c r="F520" s="72"/>
      <c r="G520" s="96">
        <f>$M$7</f>
        <v>0.1</v>
      </c>
      <c r="H520" s="125">
        <f>H519*G520</f>
        <v>120349.16296296298</v>
      </c>
      <c r="I520" s="55"/>
    </row>
    <row r="521" spans="3:13" s="164" customFormat="1" ht="15.75" thickBot="1">
      <c r="C521" s="131" t="s">
        <v>1233</v>
      </c>
      <c r="D521" s="132" t="s">
        <v>1234</v>
      </c>
      <c r="E521" s="133"/>
      <c r="F521" s="133"/>
      <c r="G521" s="156"/>
      <c r="H521" s="135">
        <f>SUM(H519:H520)</f>
        <v>1323840.7925925925</v>
      </c>
      <c r="I521" s="55"/>
    </row>
    <row r="522" spans="3:13" ht="15.75" thickTop="1"/>
    <row r="523" spans="3:13" ht="33" customHeight="1" thickBot="1">
      <c r="C523" s="516" t="s">
        <v>1378</v>
      </c>
      <c r="D523" s="516"/>
      <c r="E523" s="516"/>
      <c r="F523" s="516"/>
      <c r="G523" s="516"/>
      <c r="H523" s="516"/>
      <c r="I523" s="57">
        <f>ROUNDDOWN(H541,-2)</f>
        <v>1345800</v>
      </c>
      <c r="M523" s="205"/>
    </row>
    <row r="524" spans="3:13" s="58" customFormat="1" ht="31.5" customHeight="1" thickTop="1">
      <c r="C524" s="120" t="s">
        <v>1207</v>
      </c>
      <c r="D524" s="121" t="s">
        <v>1208</v>
      </c>
      <c r="E524" s="121" t="s">
        <v>1209</v>
      </c>
      <c r="F524" s="121" t="s">
        <v>1210</v>
      </c>
      <c r="G524" s="121" t="s">
        <v>1211</v>
      </c>
      <c r="H524" s="122" t="s">
        <v>1212</v>
      </c>
      <c r="I524" s="161"/>
      <c r="M524" s="205"/>
    </row>
    <row r="525" spans="3:13">
      <c r="C525" s="142" t="s">
        <v>1213</v>
      </c>
      <c r="D525" s="60" t="s">
        <v>1214</v>
      </c>
      <c r="E525" s="74"/>
      <c r="F525" s="74"/>
      <c r="G525" s="74"/>
      <c r="H525" s="147"/>
      <c r="M525" s="205"/>
    </row>
    <row r="526" spans="3:13">
      <c r="C526" s="201" t="s">
        <v>1215</v>
      </c>
      <c r="D526" s="60" t="s">
        <v>5</v>
      </c>
      <c r="E526" s="73" t="s">
        <v>6</v>
      </c>
      <c r="F526" s="75">
        <v>1.65</v>
      </c>
      <c r="G526" s="65">
        <f>VLOOKUP(D526,upahbahan,3,FALSE)</f>
        <v>100000</v>
      </c>
      <c r="H526" s="125">
        <f>F526*G526</f>
        <v>165000</v>
      </c>
      <c r="M526" s="205"/>
    </row>
    <row r="527" spans="3:13">
      <c r="C527" s="201" t="s">
        <v>1216</v>
      </c>
      <c r="D527" s="60" t="s">
        <v>7</v>
      </c>
      <c r="E527" s="73" t="s">
        <v>6</v>
      </c>
      <c r="F527" s="75">
        <v>0.27500000000000002</v>
      </c>
      <c r="G527" s="65">
        <f>VLOOKUP(D527,upahbahan,3,FALSE)</f>
        <v>145000</v>
      </c>
      <c r="H527" s="125">
        <f>F527*G527</f>
        <v>39875</v>
      </c>
      <c r="M527" s="205"/>
    </row>
    <row r="528" spans="3:13">
      <c r="C528" s="201" t="s">
        <v>1217</v>
      </c>
      <c r="D528" s="60" t="s">
        <v>1373</v>
      </c>
      <c r="E528" s="73" t="s">
        <v>6</v>
      </c>
      <c r="F528" s="75">
        <v>2.8000000000000001E-2</v>
      </c>
      <c r="G528" s="65">
        <f>VLOOKUP(D528,upahbahan,3,FALSE)</f>
        <v>150000</v>
      </c>
      <c r="H528" s="125">
        <f>F528*G528</f>
        <v>4200</v>
      </c>
      <c r="M528" s="205"/>
    </row>
    <row r="529" spans="3:13">
      <c r="C529" s="201" t="s">
        <v>1218</v>
      </c>
      <c r="D529" s="60" t="s">
        <v>19</v>
      </c>
      <c r="E529" s="73" t="s">
        <v>6</v>
      </c>
      <c r="F529" s="75">
        <v>8.9999999999999993E-3</v>
      </c>
      <c r="G529" s="65">
        <f>VLOOKUP(D529,upahbahan,3,FALSE)</f>
        <v>145000</v>
      </c>
      <c r="H529" s="125">
        <f>F529*G529</f>
        <v>1305</v>
      </c>
      <c r="M529" s="205"/>
    </row>
    <row r="530" spans="3:13" ht="15.75" customHeight="1">
      <c r="C530" s="145" t="s">
        <v>1220</v>
      </c>
      <c r="D530" s="81"/>
      <c r="E530" s="81"/>
      <c r="F530" s="190"/>
      <c r="G530" s="163"/>
      <c r="H530" s="125">
        <f>SUM(H526:H529)</f>
        <v>210380</v>
      </c>
    </row>
    <row r="531" spans="3:13">
      <c r="C531" s="142" t="s">
        <v>1221</v>
      </c>
      <c r="D531" s="60" t="s">
        <v>1222</v>
      </c>
      <c r="E531" s="74"/>
      <c r="F531" s="74"/>
      <c r="G531" s="74"/>
      <c r="H531" s="147"/>
    </row>
    <row r="532" spans="3:13">
      <c r="C532" s="146" t="s">
        <v>1215</v>
      </c>
      <c r="D532" s="60" t="s">
        <v>1243</v>
      </c>
      <c r="E532" s="171" t="s">
        <v>66</v>
      </c>
      <c r="F532" s="172">
        <v>368</v>
      </c>
      <c r="G532" s="65">
        <f>VLOOKUP(D532,upahbahan,3,FALSE)</f>
        <v>1300</v>
      </c>
      <c r="H532" s="125">
        <f>F532*G532</f>
        <v>478400</v>
      </c>
    </row>
    <row r="533" spans="3:13">
      <c r="C533" s="146" t="s">
        <v>1216</v>
      </c>
      <c r="D533" s="60" t="s">
        <v>80</v>
      </c>
      <c r="E533" s="171" t="s">
        <v>66</v>
      </c>
      <c r="F533" s="172">
        <v>770</v>
      </c>
      <c r="G533" s="65">
        <f>VLOOKUP(D533,upahbahan,3,FALSE)</f>
        <v>300</v>
      </c>
      <c r="H533" s="125">
        <f>F533*G533</f>
        <v>231000</v>
      </c>
    </row>
    <row r="534" spans="3:13">
      <c r="C534" s="146" t="s">
        <v>1217</v>
      </c>
      <c r="D534" s="60" t="s">
        <v>73</v>
      </c>
      <c r="E534" s="171" t="s">
        <v>66</v>
      </c>
      <c r="F534" s="172">
        <v>1009</v>
      </c>
      <c r="G534" s="65">
        <f>VLOOKUP(D534,upahbahan,3,FALSE)/1350</f>
        <v>260.96296296296299</v>
      </c>
      <c r="H534" s="125">
        <f>F534*G534</f>
        <v>263311.62962962966</v>
      </c>
    </row>
    <row r="535" spans="3:13">
      <c r="C535" s="146" t="s">
        <v>1218</v>
      </c>
      <c r="D535" s="60" t="s">
        <v>970</v>
      </c>
      <c r="E535" s="171" t="s">
        <v>535</v>
      </c>
      <c r="F535" s="172">
        <v>202</v>
      </c>
      <c r="G535" s="65">
        <f>VLOOKUP(D535,upahbahan,3,FALSE)</f>
        <v>200</v>
      </c>
      <c r="H535" s="125">
        <f>F535*G535</f>
        <v>40400</v>
      </c>
    </row>
    <row r="536" spans="3:13" ht="15.75" customHeight="1">
      <c r="C536" s="145" t="s">
        <v>1226</v>
      </c>
      <c r="D536" s="81"/>
      <c r="E536" s="81"/>
      <c r="F536" s="81"/>
      <c r="G536" s="163"/>
      <c r="H536" s="125">
        <f>SUM(H532:H535)</f>
        <v>1013111.6296296297</v>
      </c>
    </row>
    <row r="537" spans="3:13">
      <c r="C537" s="142" t="s">
        <v>1227</v>
      </c>
      <c r="D537" s="60" t="s">
        <v>1228</v>
      </c>
      <c r="E537" s="74"/>
      <c r="F537" s="74"/>
      <c r="G537" s="74"/>
      <c r="H537" s="152"/>
    </row>
    <row r="538" spans="3:13" ht="15.75" customHeight="1">
      <c r="C538" s="145" t="s">
        <v>1229</v>
      </c>
      <c r="D538" s="81"/>
      <c r="E538" s="81"/>
      <c r="F538" s="81"/>
      <c r="G538" s="163"/>
      <c r="H538" s="154">
        <v>0</v>
      </c>
    </row>
    <row r="539" spans="3:13" s="164" customFormat="1">
      <c r="C539" s="123" t="s">
        <v>1230</v>
      </c>
      <c r="D539" s="70" t="s">
        <v>1231</v>
      </c>
      <c r="E539" s="71"/>
      <c r="F539" s="71"/>
      <c r="G539" s="72"/>
      <c r="H539" s="125">
        <f>H538+H536+H530</f>
        <v>1223491.6296296297</v>
      </c>
      <c r="I539" s="55"/>
    </row>
    <row r="540" spans="3:13" s="164" customFormat="1">
      <c r="C540" s="123" t="s">
        <v>1232</v>
      </c>
      <c r="D540" s="70" t="s">
        <v>1410</v>
      </c>
      <c r="E540" s="71"/>
      <c r="F540" s="72"/>
      <c r="G540" s="96">
        <f>$M$7</f>
        <v>0.1</v>
      </c>
      <c r="H540" s="125">
        <f>H539*G540</f>
        <v>122349.16296296298</v>
      </c>
      <c r="I540" s="55"/>
    </row>
    <row r="541" spans="3:13" s="164" customFormat="1" ht="15.75" thickBot="1">
      <c r="C541" s="131" t="s">
        <v>1233</v>
      </c>
      <c r="D541" s="132" t="s">
        <v>1234</v>
      </c>
      <c r="E541" s="133"/>
      <c r="F541" s="133"/>
      <c r="G541" s="156"/>
      <c r="H541" s="135">
        <f>SUM(H539:H540)</f>
        <v>1345840.7925925925</v>
      </c>
      <c r="I541" s="55"/>
    </row>
    <row r="542" spans="3:13" ht="15.75" thickTop="1"/>
    <row r="543" spans="3:13" ht="33" customHeight="1" thickBot="1">
      <c r="C543" s="516" t="s">
        <v>1379</v>
      </c>
      <c r="D543" s="516"/>
      <c r="E543" s="516"/>
      <c r="F543" s="516"/>
      <c r="G543" s="516"/>
      <c r="H543" s="516"/>
      <c r="I543" s="57">
        <f>ROUNDDOWN(H562,-2)</f>
        <v>1221900</v>
      </c>
      <c r="M543" s="205"/>
    </row>
    <row r="544" spans="3:13" s="58" customFormat="1" ht="31.5" customHeight="1" thickTop="1">
      <c r="C544" s="120" t="s">
        <v>1207</v>
      </c>
      <c r="D544" s="121" t="s">
        <v>1208</v>
      </c>
      <c r="E544" s="121" t="s">
        <v>1209</v>
      </c>
      <c r="F544" s="121" t="s">
        <v>1210</v>
      </c>
      <c r="G544" s="121" t="s">
        <v>1211</v>
      </c>
      <c r="H544" s="122" t="s">
        <v>1212</v>
      </c>
      <c r="I544" s="161"/>
      <c r="M544" s="205"/>
    </row>
    <row r="545" spans="3:13">
      <c r="C545" s="142" t="s">
        <v>1213</v>
      </c>
      <c r="D545" s="60" t="s">
        <v>1214</v>
      </c>
      <c r="E545" s="74"/>
      <c r="F545" s="74"/>
      <c r="G545" s="74"/>
      <c r="H545" s="147"/>
      <c r="M545" s="205"/>
    </row>
    <row r="546" spans="3:13">
      <c r="C546" s="201" t="s">
        <v>1215</v>
      </c>
      <c r="D546" s="60" t="s">
        <v>5</v>
      </c>
      <c r="E546" s="73" t="s">
        <v>6</v>
      </c>
      <c r="F546" s="75">
        <v>1</v>
      </c>
      <c r="G546" s="65">
        <f>VLOOKUP(D546,upahbahan,3,FALSE)</f>
        <v>100000</v>
      </c>
      <c r="H546" s="125">
        <f>F546*G546</f>
        <v>100000</v>
      </c>
      <c r="M546" s="205"/>
    </row>
    <row r="547" spans="3:13">
      <c r="C547" s="201" t="s">
        <v>1216</v>
      </c>
      <c r="D547" s="60" t="s">
        <v>7</v>
      </c>
      <c r="E547" s="73" t="s">
        <v>6</v>
      </c>
      <c r="F547" s="75">
        <v>0.25</v>
      </c>
      <c r="G547" s="65">
        <f>VLOOKUP(D547,upahbahan,3,FALSE)</f>
        <v>145000</v>
      </c>
      <c r="H547" s="125">
        <f>F547*G547</f>
        <v>36250</v>
      </c>
      <c r="M547" s="205"/>
    </row>
    <row r="548" spans="3:13">
      <c r="C548" s="201" t="s">
        <v>1217</v>
      </c>
      <c r="D548" s="60" t="s">
        <v>1373</v>
      </c>
      <c r="E548" s="73" t="s">
        <v>6</v>
      </c>
      <c r="F548" s="75">
        <v>2.5000000000000001E-2</v>
      </c>
      <c r="G548" s="65">
        <f>VLOOKUP(D548,upahbahan,3,FALSE)</f>
        <v>150000</v>
      </c>
      <c r="H548" s="125">
        <f>F548*G548</f>
        <v>3750</v>
      </c>
      <c r="M548" s="205"/>
    </row>
    <row r="549" spans="3:13">
      <c r="C549" s="201" t="s">
        <v>1218</v>
      </c>
      <c r="D549" s="60" t="s">
        <v>19</v>
      </c>
      <c r="E549" s="73" t="s">
        <v>6</v>
      </c>
      <c r="F549" s="75">
        <v>0.1</v>
      </c>
      <c r="G549" s="65">
        <f>VLOOKUP(D549,upahbahan,3,FALSE)</f>
        <v>145000</v>
      </c>
      <c r="H549" s="125">
        <f>F549*G549</f>
        <v>14500</v>
      </c>
      <c r="M549" s="205"/>
    </row>
    <row r="550" spans="3:13" ht="15.75" customHeight="1">
      <c r="C550" s="145" t="s">
        <v>1220</v>
      </c>
      <c r="D550" s="81"/>
      <c r="E550" s="81"/>
      <c r="F550" s="190"/>
      <c r="G550" s="163"/>
      <c r="H550" s="125">
        <f>SUM(H546:H549)</f>
        <v>154500</v>
      </c>
    </row>
    <row r="551" spans="3:13">
      <c r="C551" s="142" t="s">
        <v>1221</v>
      </c>
      <c r="D551" s="60" t="s">
        <v>1222</v>
      </c>
      <c r="E551" s="74"/>
      <c r="F551" s="74"/>
      <c r="G551" s="74"/>
      <c r="H551" s="147"/>
    </row>
    <row r="552" spans="3:13">
      <c r="C552" s="146" t="s">
        <v>1215</v>
      </c>
      <c r="D552" s="60" t="s">
        <v>1243</v>
      </c>
      <c r="E552" s="171" t="s">
        <v>66</v>
      </c>
      <c r="F552" s="172">
        <v>267</v>
      </c>
      <c r="G552" s="65">
        <f>VLOOKUP(D552,upahbahan,3,FALSE)</f>
        <v>1300</v>
      </c>
      <c r="H552" s="125">
        <f>F552*G552</f>
        <v>347100</v>
      </c>
    </row>
    <row r="553" spans="3:13">
      <c r="C553" s="146" t="s">
        <v>1216</v>
      </c>
      <c r="D553" s="60" t="s">
        <v>80</v>
      </c>
      <c r="E553" s="171" t="s">
        <v>66</v>
      </c>
      <c r="F553" s="172">
        <v>871</v>
      </c>
      <c r="G553" s="65">
        <f>VLOOKUP(D553,upahbahan,3,FALSE)</f>
        <v>300</v>
      </c>
      <c r="H553" s="125">
        <f>F553*G553</f>
        <v>261300</v>
      </c>
    </row>
    <row r="554" spans="3:13">
      <c r="C554" s="146" t="s">
        <v>1217</v>
      </c>
      <c r="D554" s="60" t="s">
        <v>73</v>
      </c>
      <c r="E554" s="171" t="s">
        <v>66</v>
      </c>
      <c r="F554" s="172">
        <v>1009</v>
      </c>
      <c r="G554" s="65">
        <f>VLOOKUP(D554,upahbahan,3,FALSE)/1350</f>
        <v>260.96296296296299</v>
      </c>
      <c r="H554" s="125">
        <f>F554*G554</f>
        <v>263311.62962962966</v>
      </c>
    </row>
    <row r="555" spans="3:13">
      <c r="C555" s="146" t="s">
        <v>1218</v>
      </c>
      <c r="D555" s="60" t="s">
        <v>970</v>
      </c>
      <c r="E555" s="171" t="s">
        <v>535</v>
      </c>
      <c r="F555" s="172">
        <v>202</v>
      </c>
      <c r="G555" s="65">
        <f>VLOOKUP(D555,upahbahan,3,FALSE)</f>
        <v>200</v>
      </c>
      <c r="H555" s="125">
        <f>F555*G555</f>
        <v>40400</v>
      </c>
    </row>
    <row r="556" spans="3:13" ht="15.75" customHeight="1">
      <c r="C556" s="145" t="s">
        <v>1226</v>
      </c>
      <c r="D556" s="81"/>
      <c r="E556" s="81"/>
      <c r="F556" s="81"/>
      <c r="G556" s="163"/>
      <c r="H556" s="125">
        <f>SUM(H552:H555)</f>
        <v>912111.62962962966</v>
      </c>
    </row>
    <row r="557" spans="3:13">
      <c r="C557" s="142" t="s">
        <v>1227</v>
      </c>
      <c r="D557" s="60" t="s">
        <v>1228</v>
      </c>
      <c r="E557" s="74"/>
      <c r="F557" s="74"/>
      <c r="G557" s="74"/>
      <c r="H557" s="152"/>
    </row>
    <row r="558" spans="3:13">
      <c r="C558" s="142">
        <v>1</v>
      </c>
      <c r="D558" s="60" t="s">
        <v>1179</v>
      </c>
      <c r="E558" s="171" t="s">
        <v>1091</v>
      </c>
      <c r="F558" s="191">
        <v>0.14749999999999999</v>
      </c>
      <c r="G558" s="65">
        <f>VLOOKUP(D558,upahbahan,3,FALSE)</f>
        <v>300000</v>
      </c>
      <c r="H558" s="125">
        <f>F558*G558</f>
        <v>44250</v>
      </c>
    </row>
    <row r="559" spans="3:13" ht="15.75" customHeight="1">
      <c r="C559" s="145" t="s">
        <v>1229</v>
      </c>
      <c r="D559" s="81"/>
      <c r="E559" s="81"/>
      <c r="F559" s="81"/>
      <c r="G559" s="163"/>
      <c r="H559" s="125">
        <f>SUM(H558)</f>
        <v>44250</v>
      </c>
    </row>
    <row r="560" spans="3:13" s="164" customFormat="1">
      <c r="C560" s="123" t="s">
        <v>1230</v>
      </c>
      <c r="D560" s="70" t="s">
        <v>1231</v>
      </c>
      <c r="E560" s="71"/>
      <c r="F560" s="71"/>
      <c r="G560" s="72"/>
      <c r="H560" s="125">
        <f>H559+H556+H550</f>
        <v>1110861.6296296297</v>
      </c>
      <c r="I560" s="55"/>
    </row>
    <row r="561" spans="3:13" s="164" customFormat="1">
      <c r="C561" s="123" t="s">
        <v>1232</v>
      </c>
      <c r="D561" s="70" t="s">
        <v>1410</v>
      </c>
      <c r="E561" s="71"/>
      <c r="F561" s="72"/>
      <c r="G561" s="96">
        <f>$M$7</f>
        <v>0.1</v>
      </c>
      <c r="H561" s="125">
        <f>H560*G561</f>
        <v>111086.16296296298</v>
      </c>
      <c r="I561" s="55"/>
    </row>
    <row r="562" spans="3:13" s="164" customFormat="1" ht="15.75" thickBot="1">
      <c r="C562" s="131" t="s">
        <v>1233</v>
      </c>
      <c r="D562" s="132" t="s">
        <v>1234</v>
      </c>
      <c r="E562" s="133"/>
      <c r="F562" s="133"/>
      <c r="G562" s="156"/>
      <c r="H562" s="135">
        <f>SUM(H560:H561)</f>
        <v>1221947.7925925925</v>
      </c>
      <c r="I562" s="55"/>
    </row>
    <row r="563" spans="3:13" ht="15.75" thickTop="1"/>
    <row r="564" spans="3:13" ht="33" customHeight="1" thickBot="1">
      <c r="C564" s="516" t="s">
        <v>1380</v>
      </c>
      <c r="D564" s="516"/>
      <c r="E564" s="516"/>
      <c r="F564" s="516"/>
      <c r="G564" s="516"/>
      <c r="H564" s="516"/>
      <c r="I564" s="57">
        <f>ROUNDDOWN(H583,-2)</f>
        <v>1264800</v>
      </c>
      <c r="M564" s="205"/>
    </row>
    <row r="565" spans="3:13" s="58" customFormat="1" ht="31.5" customHeight="1" thickTop="1">
      <c r="C565" s="120" t="s">
        <v>1207</v>
      </c>
      <c r="D565" s="121" t="s">
        <v>1208</v>
      </c>
      <c r="E565" s="121" t="s">
        <v>1209</v>
      </c>
      <c r="F565" s="121" t="s">
        <v>1210</v>
      </c>
      <c r="G565" s="121" t="s">
        <v>1211</v>
      </c>
      <c r="H565" s="122" t="s">
        <v>1212</v>
      </c>
      <c r="I565" s="161"/>
      <c r="M565" s="205"/>
    </row>
    <row r="566" spans="3:13">
      <c r="C566" s="142" t="s">
        <v>1213</v>
      </c>
      <c r="D566" s="60" t="s">
        <v>1214</v>
      </c>
      <c r="E566" s="74"/>
      <c r="F566" s="74"/>
      <c r="G566" s="74"/>
      <c r="H566" s="147"/>
      <c r="M566" s="205"/>
    </row>
    <row r="567" spans="3:13">
      <c r="C567" s="201" t="s">
        <v>1215</v>
      </c>
      <c r="D567" s="60" t="s">
        <v>5</v>
      </c>
      <c r="E567" s="73" t="s">
        <v>6</v>
      </c>
      <c r="F567" s="75">
        <v>1</v>
      </c>
      <c r="G567" s="65">
        <f>VLOOKUP(D567,upahbahan,3,FALSE)</f>
        <v>100000</v>
      </c>
      <c r="H567" s="125">
        <f>F567*G567</f>
        <v>100000</v>
      </c>
      <c r="M567" s="205"/>
    </row>
    <row r="568" spans="3:13">
      <c r="C568" s="201" t="s">
        <v>1216</v>
      </c>
      <c r="D568" s="60" t="s">
        <v>7</v>
      </c>
      <c r="E568" s="73" t="s">
        <v>6</v>
      </c>
      <c r="F568" s="75">
        <v>0.25</v>
      </c>
      <c r="G568" s="65">
        <f>VLOOKUP(D568,upahbahan,3,FALSE)</f>
        <v>145000</v>
      </c>
      <c r="H568" s="125">
        <f>F568*G568</f>
        <v>36250</v>
      </c>
      <c r="M568" s="205"/>
    </row>
    <row r="569" spans="3:13">
      <c r="C569" s="201" t="s">
        <v>1217</v>
      </c>
      <c r="D569" s="60" t="s">
        <v>1373</v>
      </c>
      <c r="E569" s="73" t="s">
        <v>6</v>
      </c>
      <c r="F569" s="75">
        <v>2.5000000000000001E-2</v>
      </c>
      <c r="G569" s="65">
        <f>VLOOKUP(D569,upahbahan,3,FALSE)</f>
        <v>150000</v>
      </c>
      <c r="H569" s="125">
        <f>F569*G569</f>
        <v>3750</v>
      </c>
      <c r="M569" s="205"/>
    </row>
    <row r="570" spans="3:13">
      <c r="C570" s="201" t="s">
        <v>1218</v>
      </c>
      <c r="D570" s="60" t="s">
        <v>19</v>
      </c>
      <c r="E570" s="73" t="s">
        <v>6</v>
      </c>
      <c r="F570" s="75">
        <v>0.1</v>
      </c>
      <c r="G570" s="65">
        <f>VLOOKUP(D570,upahbahan,3,FALSE)</f>
        <v>145000</v>
      </c>
      <c r="H570" s="125">
        <f>F570*G570</f>
        <v>14500</v>
      </c>
      <c r="M570" s="205"/>
    </row>
    <row r="571" spans="3:13" ht="15.75" customHeight="1">
      <c r="C571" s="145" t="s">
        <v>1220</v>
      </c>
      <c r="D571" s="81"/>
      <c r="E571" s="81"/>
      <c r="F571" s="190"/>
      <c r="G571" s="163"/>
      <c r="H571" s="125">
        <f>SUM(H567:H570)</f>
        <v>154500</v>
      </c>
    </row>
    <row r="572" spans="3:13">
      <c r="C572" s="142" t="s">
        <v>1221</v>
      </c>
      <c r="D572" s="60" t="s">
        <v>1222</v>
      </c>
      <c r="E572" s="74"/>
      <c r="F572" s="74"/>
      <c r="G572" s="74"/>
      <c r="H572" s="147"/>
    </row>
    <row r="573" spans="3:13">
      <c r="C573" s="146" t="s">
        <v>1215</v>
      </c>
      <c r="D573" s="60" t="s">
        <v>1243</v>
      </c>
      <c r="E573" s="171" t="s">
        <v>66</v>
      </c>
      <c r="F573" s="172">
        <v>306</v>
      </c>
      <c r="G573" s="65">
        <f>VLOOKUP(D573,upahbahan,3,FALSE)</f>
        <v>1300</v>
      </c>
      <c r="H573" s="125">
        <f>F573*G573</f>
        <v>397800</v>
      </c>
    </row>
    <row r="574" spans="3:13">
      <c r="C574" s="146" t="s">
        <v>1216</v>
      </c>
      <c r="D574" s="60" t="s">
        <v>80</v>
      </c>
      <c r="E574" s="171" t="s">
        <v>66</v>
      </c>
      <c r="F574" s="172">
        <v>832</v>
      </c>
      <c r="G574" s="65">
        <f>VLOOKUP(D574,upahbahan,3,FALSE)</f>
        <v>300</v>
      </c>
      <c r="H574" s="125">
        <f>F574*G574</f>
        <v>249600</v>
      </c>
    </row>
    <row r="575" spans="3:13">
      <c r="C575" s="146" t="s">
        <v>1217</v>
      </c>
      <c r="D575" s="60" t="s">
        <v>73</v>
      </c>
      <c r="E575" s="171" t="s">
        <v>66</v>
      </c>
      <c r="F575" s="172">
        <v>1009</v>
      </c>
      <c r="G575" s="65">
        <f>VLOOKUP(D575,upahbahan,3,FALSE)/1350</f>
        <v>260.96296296296299</v>
      </c>
      <c r="H575" s="125">
        <f>F575*G575</f>
        <v>263311.62962962966</v>
      </c>
    </row>
    <row r="576" spans="3:13">
      <c r="C576" s="146" t="s">
        <v>1218</v>
      </c>
      <c r="D576" s="60" t="s">
        <v>970</v>
      </c>
      <c r="E576" s="171" t="s">
        <v>535</v>
      </c>
      <c r="F576" s="172">
        <v>202</v>
      </c>
      <c r="G576" s="65">
        <f>VLOOKUP(D576,upahbahan,3,FALSE)</f>
        <v>200</v>
      </c>
      <c r="H576" s="125">
        <f>F576*G576</f>
        <v>40400</v>
      </c>
    </row>
    <row r="577" spans="3:13" ht="15.75" customHeight="1">
      <c r="C577" s="145" t="s">
        <v>1226</v>
      </c>
      <c r="D577" s="81"/>
      <c r="E577" s="81"/>
      <c r="F577" s="81"/>
      <c r="G577" s="163"/>
      <c r="H577" s="125">
        <f>SUM(H573:H576)</f>
        <v>951111.62962962966</v>
      </c>
    </row>
    <row r="578" spans="3:13">
      <c r="C578" s="142" t="s">
        <v>1227</v>
      </c>
      <c r="D578" s="60" t="s">
        <v>1228</v>
      </c>
      <c r="E578" s="74"/>
      <c r="F578" s="74"/>
      <c r="G578" s="74"/>
      <c r="H578" s="152"/>
    </row>
    <row r="579" spans="3:13">
      <c r="C579" s="142">
        <v>1</v>
      </c>
      <c r="D579" s="60" t="s">
        <v>1179</v>
      </c>
      <c r="E579" s="171" t="s">
        <v>1091</v>
      </c>
      <c r="F579" s="191">
        <v>0.14749999999999999</v>
      </c>
      <c r="G579" s="65">
        <f>VLOOKUP(D579,upahbahan,3,FALSE)</f>
        <v>300000</v>
      </c>
      <c r="H579" s="125">
        <f>F579*G579</f>
        <v>44250</v>
      </c>
    </row>
    <row r="580" spans="3:13" ht="15.75" customHeight="1">
      <c r="C580" s="145" t="s">
        <v>1229</v>
      </c>
      <c r="D580" s="81"/>
      <c r="E580" s="81"/>
      <c r="F580" s="81"/>
      <c r="G580" s="163"/>
      <c r="H580" s="125">
        <f>SUM(H579)</f>
        <v>44250</v>
      </c>
    </row>
    <row r="581" spans="3:13" s="164" customFormat="1">
      <c r="C581" s="123" t="s">
        <v>1230</v>
      </c>
      <c r="D581" s="70" t="s">
        <v>1231</v>
      </c>
      <c r="E581" s="71"/>
      <c r="F581" s="71"/>
      <c r="G581" s="72"/>
      <c r="H581" s="125">
        <f>H580+H577+H571</f>
        <v>1149861.6296296297</v>
      </c>
      <c r="I581" s="55"/>
    </row>
    <row r="582" spans="3:13" s="164" customFormat="1">
      <c r="C582" s="123" t="s">
        <v>1232</v>
      </c>
      <c r="D582" s="70" t="s">
        <v>1410</v>
      </c>
      <c r="E582" s="71"/>
      <c r="F582" s="72"/>
      <c r="G582" s="96">
        <f>$M$7</f>
        <v>0.1</v>
      </c>
      <c r="H582" s="125">
        <f>H581*G582</f>
        <v>114986.16296296298</v>
      </c>
      <c r="I582" s="55"/>
    </row>
    <row r="583" spans="3:13" s="164" customFormat="1" ht="15.75" thickBot="1">
      <c r="C583" s="131" t="s">
        <v>1233</v>
      </c>
      <c r="D583" s="132" t="s">
        <v>1234</v>
      </c>
      <c r="E583" s="133"/>
      <c r="F583" s="133"/>
      <c r="G583" s="156"/>
      <c r="H583" s="135">
        <f>SUM(H581:H582)</f>
        <v>1264847.7925925925</v>
      </c>
      <c r="I583" s="55"/>
    </row>
    <row r="584" spans="3:13" ht="15.75" thickTop="1"/>
    <row r="585" spans="3:13" ht="33" customHeight="1" thickBot="1">
      <c r="C585" s="516" t="s">
        <v>1381</v>
      </c>
      <c r="D585" s="516"/>
      <c r="E585" s="516"/>
      <c r="F585" s="516"/>
      <c r="G585" s="516"/>
      <c r="H585" s="516"/>
      <c r="I585" s="57">
        <f>ROUNDDOWN(H604,-2)</f>
        <v>1282700</v>
      </c>
      <c r="M585" s="205"/>
    </row>
    <row r="586" spans="3:13" s="58" customFormat="1" ht="31.5" customHeight="1" thickTop="1">
      <c r="C586" s="120" t="s">
        <v>1207</v>
      </c>
      <c r="D586" s="121" t="s">
        <v>1208</v>
      </c>
      <c r="E586" s="121" t="s">
        <v>1209</v>
      </c>
      <c r="F586" s="121" t="s">
        <v>1210</v>
      </c>
      <c r="G586" s="121" t="s">
        <v>1211</v>
      </c>
      <c r="H586" s="122" t="s">
        <v>1212</v>
      </c>
      <c r="I586" s="161"/>
      <c r="M586" s="205"/>
    </row>
    <row r="587" spans="3:13">
      <c r="C587" s="142" t="s">
        <v>1213</v>
      </c>
      <c r="D587" s="60" t="s">
        <v>1214</v>
      </c>
      <c r="E587" s="74"/>
      <c r="F587" s="74"/>
      <c r="G587" s="74"/>
      <c r="H587" s="147"/>
      <c r="M587" s="205"/>
    </row>
    <row r="588" spans="3:13">
      <c r="C588" s="201" t="s">
        <v>1215</v>
      </c>
      <c r="D588" s="60" t="s">
        <v>5</v>
      </c>
      <c r="E588" s="73" t="s">
        <v>6</v>
      </c>
      <c r="F588" s="75">
        <v>1</v>
      </c>
      <c r="G588" s="65">
        <f>VLOOKUP(D588,upahbahan,3,FALSE)</f>
        <v>100000</v>
      </c>
      <c r="H588" s="125">
        <f>F588*G588</f>
        <v>100000</v>
      </c>
      <c r="M588" s="205"/>
    </row>
    <row r="589" spans="3:13">
      <c r="C589" s="201" t="s">
        <v>1216</v>
      </c>
      <c r="D589" s="60" t="s">
        <v>7</v>
      </c>
      <c r="E589" s="73" t="s">
        <v>6</v>
      </c>
      <c r="F589" s="75">
        <v>0.25</v>
      </c>
      <c r="G589" s="65">
        <f>VLOOKUP(D589,upahbahan,3,FALSE)</f>
        <v>145000</v>
      </c>
      <c r="H589" s="125">
        <f>F589*G589</f>
        <v>36250</v>
      </c>
      <c r="M589" s="205"/>
    </row>
    <row r="590" spans="3:13">
      <c r="C590" s="201" t="s">
        <v>1217</v>
      </c>
      <c r="D590" s="60" t="s">
        <v>1373</v>
      </c>
      <c r="E590" s="73" t="s">
        <v>6</v>
      </c>
      <c r="F590" s="75">
        <v>2.5000000000000001E-2</v>
      </c>
      <c r="G590" s="65">
        <f>VLOOKUP(D590,upahbahan,3,FALSE)</f>
        <v>150000</v>
      </c>
      <c r="H590" s="125">
        <f>F590*G590</f>
        <v>3750</v>
      </c>
      <c r="M590" s="205"/>
    </row>
    <row r="591" spans="3:13">
      <c r="C591" s="201" t="s">
        <v>1218</v>
      </c>
      <c r="D591" s="60" t="s">
        <v>19</v>
      </c>
      <c r="E591" s="73" t="s">
        <v>6</v>
      </c>
      <c r="F591" s="75">
        <v>0.1</v>
      </c>
      <c r="G591" s="65">
        <f>VLOOKUP(D591,upahbahan,3,FALSE)</f>
        <v>145000</v>
      </c>
      <c r="H591" s="125">
        <f>F591*G591</f>
        <v>14500</v>
      </c>
      <c r="M591" s="205"/>
    </row>
    <row r="592" spans="3:13" ht="15.75" customHeight="1">
      <c r="C592" s="145" t="s">
        <v>1220</v>
      </c>
      <c r="D592" s="81"/>
      <c r="E592" s="81"/>
      <c r="F592" s="190"/>
      <c r="G592" s="163"/>
      <c r="H592" s="125">
        <f>SUM(H588:H591)</f>
        <v>154500</v>
      </c>
    </row>
    <row r="593" spans="3:13">
      <c r="C593" s="142" t="s">
        <v>1221</v>
      </c>
      <c r="D593" s="60" t="s">
        <v>1222</v>
      </c>
      <c r="E593" s="74"/>
      <c r="F593" s="74"/>
      <c r="G593" s="74"/>
      <c r="H593" s="147"/>
    </row>
    <row r="594" spans="3:13">
      <c r="C594" s="146" t="s">
        <v>1215</v>
      </c>
      <c r="D594" s="60" t="s">
        <v>1243</v>
      </c>
      <c r="E594" s="171" t="s">
        <v>66</v>
      </c>
      <c r="F594" s="172">
        <v>322</v>
      </c>
      <c r="G594" s="65">
        <f>VLOOKUP(D594,upahbahan,3,FALSE)</f>
        <v>1300</v>
      </c>
      <c r="H594" s="125">
        <f>F594*G594</f>
        <v>418600</v>
      </c>
    </row>
    <row r="595" spans="3:13">
      <c r="C595" s="146" t="s">
        <v>1216</v>
      </c>
      <c r="D595" s="60" t="s">
        <v>80</v>
      </c>
      <c r="E595" s="171" t="s">
        <v>66</v>
      </c>
      <c r="F595" s="172">
        <v>817</v>
      </c>
      <c r="G595" s="65">
        <f>VLOOKUP(D595,upahbahan,3,FALSE)</f>
        <v>300</v>
      </c>
      <c r="H595" s="125">
        <f>F595*G595</f>
        <v>245100</v>
      </c>
    </row>
    <row r="596" spans="3:13">
      <c r="C596" s="146" t="s">
        <v>1217</v>
      </c>
      <c r="D596" s="60" t="s">
        <v>73</v>
      </c>
      <c r="E596" s="171" t="s">
        <v>66</v>
      </c>
      <c r="F596" s="172">
        <v>1009</v>
      </c>
      <c r="G596" s="65">
        <f>VLOOKUP(D596,upahbahan,3,FALSE)/1350</f>
        <v>260.96296296296299</v>
      </c>
      <c r="H596" s="125">
        <f>F596*G596</f>
        <v>263311.62962962966</v>
      </c>
    </row>
    <row r="597" spans="3:13">
      <c r="C597" s="146" t="s">
        <v>1218</v>
      </c>
      <c r="D597" s="60" t="s">
        <v>970</v>
      </c>
      <c r="E597" s="171" t="s">
        <v>535</v>
      </c>
      <c r="F597" s="172">
        <v>202</v>
      </c>
      <c r="G597" s="65">
        <f>VLOOKUP(D597,upahbahan,3,FALSE)</f>
        <v>200</v>
      </c>
      <c r="H597" s="125">
        <f>F597*G597</f>
        <v>40400</v>
      </c>
    </row>
    <row r="598" spans="3:13" ht="15.75" customHeight="1">
      <c r="C598" s="145" t="s">
        <v>1226</v>
      </c>
      <c r="D598" s="81"/>
      <c r="E598" s="81"/>
      <c r="F598" s="81"/>
      <c r="G598" s="163"/>
      <c r="H598" s="125">
        <f>SUM(H594:H597)</f>
        <v>967411.62962962966</v>
      </c>
    </row>
    <row r="599" spans="3:13">
      <c r="C599" s="142" t="s">
        <v>1227</v>
      </c>
      <c r="D599" s="60" t="s">
        <v>1228</v>
      </c>
      <c r="E599" s="74"/>
      <c r="F599" s="74"/>
      <c r="G599" s="74"/>
      <c r="H599" s="152"/>
    </row>
    <row r="600" spans="3:13">
      <c r="C600" s="142">
        <v>1</v>
      </c>
      <c r="D600" s="60" t="s">
        <v>1179</v>
      </c>
      <c r="E600" s="171" t="s">
        <v>1091</v>
      </c>
      <c r="F600" s="191">
        <v>0.14749999999999999</v>
      </c>
      <c r="G600" s="65">
        <f>VLOOKUP(D600,upahbahan,3,FALSE)</f>
        <v>300000</v>
      </c>
      <c r="H600" s="125">
        <f>F600*G600</f>
        <v>44250</v>
      </c>
    </row>
    <row r="601" spans="3:13" ht="15.75" customHeight="1">
      <c r="C601" s="145" t="s">
        <v>1229</v>
      </c>
      <c r="D601" s="81"/>
      <c r="E601" s="81"/>
      <c r="F601" s="81"/>
      <c r="G601" s="163"/>
      <c r="H601" s="125">
        <f>SUM(H600)</f>
        <v>44250</v>
      </c>
    </row>
    <row r="602" spans="3:13" s="164" customFormat="1">
      <c r="C602" s="123" t="s">
        <v>1230</v>
      </c>
      <c r="D602" s="70" t="s">
        <v>1231</v>
      </c>
      <c r="E602" s="71"/>
      <c r="F602" s="71"/>
      <c r="G602" s="72"/>
      <c r="H602" s="125">
        <f>H601+H598+H592</f>
        <v>1166161.6296296297</v>
      </c>
      <c r="I602" s="55"/>
    </row>
    <row r="603" spans="3:13" s="164" customFormat="1">
      <c r="C603" s="123" t="s">
        <v>1232</v>
      </c>
      <c r="D603" s="70" t="s">
        <v>1410</v>
      </c>
      <c r="E603" s="71"/>
      <c r="F603" s="72"/>
      <c r="G603" s="96">
        <f>$M$7</f>
        <v>0.1</v>
      </c>
      <c r="H603" s="125">
        <f>H602*G603</f>
        <v>116616.16296296298</v>
      </c>
      <c r="I603" s="55"/>
    </row>
    <row r="604" spans="3:13" s="164" customFormat="1" ht="15.75" thickBot="1">
      <c r="C604" s="131" t="s">
        <v>1233</v>
      </c>
      <c r="D604" s="132" t="s">
        <v>1234</v>
      </c>
      <c r="E604" s="133"/>
      <c r="F604" s="133"/>
      <c r="G604" s="156"/>
      <c r="H604" s="135">
        <f>SUM(H602:H603)</f>
        <v>1282777.7925925925</v>
      </c>
      <c r="I604" s="55"/>
    </row>
    <row r="605" spans="3:13" ht="15.75" thickTop="1"/>
    <row r="606" spans="3:13" ht="33" customHeight="1" thickBot="1">
      <c r="C606" s="516" t="s">
        <v>1382</v>
      </c>
      <c r="D606" s="516"/>
      <c r="E606" s="516"/>
      <c r="F606" s="516"/>
      <c r="G606" s="516"/>
      <c r="H606" s="516"/>
      <c r="I606" s="57">
        <f>ROUNDDOWN(H625,-2)</f>
        <v>1311000</v>
      </c>
      <c r="M606" s="205"/>
    </row>
    <row r="607" spans="3:13" s="58" customFormat="1" ht="31.5" customHeight="1" thickTop="1">
      <c r="C607" s="120" t="s">
        <v>1207</v>
      </c>
      <c r="D607" s="121" t="s">
        <v>1208</v>
      </c>
      <c r="E607" s="121" t="s">
        <v>1209</v>
      </c>
      <c r="F607" s="121" t="s">
        <v>1210</v>
      </c>
      <c r="G607" s="121" t="s">
        <v>1211</v>
      </c>
      <c r="H607" s="122" t="s">
        <v>1212</v>
      </c>
      <c r="I607" s="161"/>
      <c r="M607" s="205"/>
    </row>
    <row r="608" spans="3:13">
      <c r="C608" s="142" t="s">
        <v>1213</v>
      </c>
      <c r="D608" s="60" t="s">
        <v>1214</v>
      </c>
      <c r="E608" s="74"/>
      <c r="F608" s="74"/>
      <c r="G608" s="74"/>
      <c r="H608" s="147"/>
      <c r="M608" s="205"/>
    </row>
    <row r="609" spans="3:13">
      <c r="C609" s="201" t="s">
        <v>1215</v>
      </c>
      <c r="D609" s="60" t="s">
        <v>5</v>
      </c>
      <c r="E609" s="73" t="s">
        <v>6</v>
      </c>
      <c r="F609" s="75">
        <v>1</v>
      </c>
      <c r="G609" s="65">
        <f>VLOOKUP(D609,upahbahan,3,FALSE)</f>
        <v>100000</v>
      </c>
      <c r="H609" s="125">
        <f>F609*G609</f>
        <v>100000</v>
      </c>
      <c r="M609" s="205"/>
    </row>
    <row r="610" spans="3:13">
      <c r="C610" s="201" t="s">
        <v>1216</v>
      </c>
      <c r="D610" s="60" t="s">
        <v>7</v>
      </c>
      <c r="E610" s="73" t="s">
        <v>6</v>
      </c>
      <c r="F610" s="75">
        <v>0.25</v>
      </c>
      <c r="G610" s="65">
        <f>VLOOKUP(D610,upahbahan,3,FALSE)</f>
        <v>145000</v>
      </c>
      <c r="H610" s="125">
        <f>F610*G610</f>
        <v>36250</v>
      </c>
      <c r="M610" s="205"/>
    </row>
    <row r="611" spans="3:13">
      <c r="C611" s="201" t="s">
        <v>1217</v>
      </c>
      <c r="D611" s="60" t="s">
        <v>1373</v>
      </c>
      <c r="E611" s="73" t="s">
        <v>6</v>
      </c>
      <c r="F611" s="75">
        <v>2.5000000000000001E-2</v>
      </c>
      <c r="G611" s="65">
        <f>VLOOKUP(D611,upahbahan,3,FALSE)</f>
        <v>150000</v>
      </c>
      <c r="H611" s="125">
        <f>F611*G611</f>
        <v>3750</v>
      </c>
      <c r="M611" s="205"/>
    </row>
    <row r="612" spans="3:13">
      <c r="C612" s="201" t="s">
        <v>1218</v>
      </c>
      <c r="D612" s="60" t="s">
        <v>19</v>
      </c>
      <c r="E612" s="73" t="s">
        <v>6</v>
      </c>
      <c r="F612" s="75">
        <v>0.1</v>
      </c>
      <c r="G612" s="65">
        <f>VLOOKUP(D612,upahbahan,3,FALSE)</f>
        <v>145000</v>
      </c>
      <c r="H612" s="125">
        <f>F612*G612</f>
        <v>14500</v>
      </c>
      <c r="M612" s="205"/>
    </row>
    <row r="613" spans="3:13" ht="15.75" customHeight="1">
      <c r="C613" s="145" t="s">
        <v>1220</v>
      </c>
      <c r="D613" s="81"/>
      <c r="E613" s="81"/>
      <c r="F613" s="190"/>
      <c r="G613" s="163"/>
      <c r="H613" s="125">
        <f>SUM(H609:H612)</f>
        <v>154500</v>
      </c>
    </row>
    <row r="614" spans="3:13">
      <c r="C614" s="142" t="s">
        <v>1221</v>
      </c>
      <c r="D614" s="60" t="s">
        <v>1222</v>
      </c>
      <c r="E614" s="74"/>
      <c r="F614" s="74"/>
      <c r="G614" s="74"/>
      <c r="H614" s="147"/>
    </row>
    <row r="615" spans="3:13">
      <c r="C615" s="146" t="s">
        <v>1215</v>
      </c>
      <c r="D615" s="60" t="s">
        <v>1243</v>
      </c>
      <c r="E615" s="171" t="s">
        <v>66</v>
      </c>
      <c r="F615" s="172">
        <v>348</v>
      </c>
      <c r="G615" s="65">
        <f>VLOOKUP(D615,upahbahan,3,FALSE)</f>
        <v>1300</v>
      </c>
      <c r="H615" s="125">
        <f>F615*G615</f>
        <v>452400</v>
      </c>
    </row>
    <row r="616" spans="3:13">
      <c r="C616" s="146" t="s">
        <v>1216</v>
      </c>
      <c r="D616" s="60" t="s">
        <v>80</v>
      </c>
      <c r="E616" s="171" t="s">
        <v>66</v>
      </c>
      <c r="F616" s="172">
        <v>790</v>
      </c>
      <c r="G616" s="65">
        <f>VLOOKUP(D616,upahbahan,3,FALSE)</f>
        <v>300</v>
      </c>
      <c r="H616" s="125">
        <f>F616*G616</f>
        <v>237000</v>
      </c>
    </row>
    <row r="617" spans="3:13">
      <c r="C617" s="146" t="s">
        <v>1217</v>
      </c>
      <c r="D617" s="60" t="s">
        <v>73</v>
      </c>
      <c r="E617" s="171" t="s">
        <v>66</v>
      </c>
      <c r="F617" s="172">
        <v>1009</v>
      </c>
      <c r="G617" s="65">
        <f>VLOOKUP(D617,upahbahan,3,FALSE)/1350</f>
        <v>260.96296296296299</v>
      </c>
      <c r="H617" s="125">
        <f>F617*G617</f>
        <v>263311.62962962966</v>
      </c>
    </row>
    <row r="618" spans="3:13">
      <c r="C618" s="146" t="s">
        <v>1218</v>
      </c>
      <c r="D618" s="60" t="s">
        <v>970</v>
      </c>
      <c r="E618" s="171" t="s">
        <v>535</v>
      </c>
      <c r="F618" s="172">
        <v>202</v>
      </c>
      <c r="G618" s="65">
        <f>VLOOKUP(D618,upahbahan,3,FALSE)</f>
        <v>200</v>
      </c>
      <c r="H618" s="125">
        <f>F618*G618</f>
        <v>40400</v>
      </c>
    </row>
    <row r="619" spans="3:13" ht="15.75" customHeight="1">
      <c r="C619" s="145" t="s">
        <v>1226</v>
      </c>
      <c r="D619" s="81"/>
      <c r="E619" s="81"/>
      <c r="F619" s="81"/>
      <c r="G619" s="163"/>
      <c r="H619" s="125">
        <f>SUM(H615:H618)</f>
        <v>993111.62962962966</v>
      </c>
    </row>
    <row r="620" spans="3:13">
      <c r="C620" s="142" t="s">
        <v>1227</v>
      </c>
      <c r="D620" s="60" t="s">
        <v>1228</v>
      </c>
      <c r="E620" s="74"/>
      <c r="F620" s="74"/>
      <c r="G620" s="74"/>
      <c r="H620" s="152"/>
    </row>
    <row r="621" spans="3:13">
      <c r="C621" s="142">
        <v>1</v>
      </c>
      <c r="D621" s="60" t="s">
        <v>1179</v>
      </c>
      <c r="E621" s="171" t="s">
        <v>1091</v>
      </c>
      <c r="F621" s="191">
        <v>0.14749999999999999</v>
      </c>
      <c r="G621" s="65">
        <f>VLOOKUP(D621,upahbahan,3,FALSE)</f>
        <v>300000</v>
      </c>
      <c r="H621" s="125">
        <f>F621*G621</f>
        <v>44250</v>
      </c>
    </row>
    <row r="622" spans="3:13" ht="15.75" customHeight="1">
      <c r="C622" s="145" t="s">
        <v>1229</v>
      </c>
      <c r="D622" s="81"/>
      <c r="E622" s="81"/>
      <c r="F622" s="81"/>
      <c r="G622" s="163"/>
      <c r="H622" s="125">
        <f>SUM(H621)</f>
        <v>44250</v>
      </c>
    </row>
    <row r="623" spans="3:13" s="164" customFormat="1">
      <c r="C623" s="123" t="s">
        <v>1230</v>
      </c>
      <c r="D623" s="70" t="s">
        <v>1231</v>
      </c>
      <c r="E623" s="71"/>
      <c r="F623" s="71"/>
      <c r="G623" s="72"/>
      <c r="H623" s="125">
        <f>H622+H619+H613</f>
        <v>1191861.6296296297</v>
      </c>
      <c r="I623" s="55"/>
    </row>
    <row r="624" spans="3:13" s="164" customFormat="1">
      <c r="C624" s="123" t="s">
        <v>1232</v>
      </c>
      <c r="D624" s="70" t="s">
        <v>1410</v>
      </c>
      <c r="E624" s="71"/>
      <c r="F624" s="72"/>
      <c r="G624" s="96">
        <f>$M$7</f>
        <v>0.1</v>
      </c>
      <c r="H624" s="125">
        <f>H623*G624</f>
        <v>119186.16296296298</v>
      </c>
      <c r="I624" s="55"/>
    </row>
    <row r="625" spans="3:13" s="164" customFormat="1" ht="15.75" thickBot="1">
      <c r="C625" s="131" t="s">
        <v>1233</v>
      </c>
      <c r="D625" s="132" t="s">
        <v>1234</v>
      </c>
      <c r="E625" s="133"/>
      <c r="F625" s="133"/>
      <c r="G625" s="156"/>
      <c r="H625" s="135">
        <f>SUM(H623:H624)</f>
        <v>1311047.7925925925</v>
      </c>
      <c r="I625" s="55"/>
    </row>
    <row r="626" spans="3:13" ht="15.75" thickTop="1"/>
    <row r="627" spans="3:13" ht="33" customHeight="1" thickBot="1">
      <c r="C627" s="516" t="s">
        <v>1383</v>
      </c>
      <c r="D627" s="516"/>
      <c r="E627" s="516"/>
      <c r="F627" s="516"/>
      <c r="G627" s="516"/>
      <c r="H627" s="516"/>
      <c r="I627" s="57">
        <f>ROUNDDOWN(H646,-2)</f>
        <v>1333000</v>
      </c>
      <c r="M627" s="205"/>
    </row>
    <row r="628" spans="3:13" s="58" customFormat="1" ht="31.5" customHeight="1" thickTop="1">
      <c r="C628" s="120" t="s">
        <v>1207</v>
      </c>
      <c r="D628" s="121" t="s">
        <v>1208</v>
      </c>
      <c r="E628" s="121" t="s">
        <v>1209</v>
      </c>
      <c r="F628" s="121" t="s">
        <v>1210</v>
      </c>
      <c r="G628" s="121" t="s">
        <v>1211</v>
      </c>
      <c r="H628" s="122" t="s">
        <v>1212</v>
      </c>
      <c r="I628" s="161"/>
      <c r="M628" s="205"/>
    </row>
    <row r="629" spans="3:13">
      <c r="C629" s="142" t="s">
        <v>1213</v>
      </c>
      <c r="D629" s="60" t="s">
        <v>1214</v>
      </c>
      <c r="E629" s="74"/>
      <c r="F629" s="74"/>
      <c r="G629" s="74"/>
      <c r="H629" s="147"/>
      <c r="M629" s="205"/>
    </row>
    <row r="630" spans="3:13">
      <c r="C630" s="201" t="s">
        <v>1215</v>
      </c>
      <c r="D630" s="60" t="s">
        <v>5</v>
      </c>
      <c r="E630" s="73" t="s">
        <v>6</v>
      </c>
      <c r="F630" s="75">
        <v>1</v>
      </c>
      <c r="G630" s="65">
        <f>VLOOKUP(D630,upahbahan,3,FALSE)</f>
        <v>100000</v>
      </c>
      <c r="H630" s="125">
        <f>F630*G630</f>
        <v>100000</v>
      </c>
      <c r="M630" s="205"/>
    </row>
    <row r="631" spans="3:13">
      <c r="C631" s="201" t="s">
        <v>1216</v>
      </c>
      <c r="D631" s="60" t="s">
        <v>7</v>
      </c>
      <c r="E631" s="73" t="s">
        <v>6</v>
      </c>
      <c r="F631" s="75">
        <v>0.25</v>
      </c>
      <c r="G631" s="65">
        <f>VLOOKUP(D631,upahbahan,3,FALSE)</f>
        <v>145000</v>
      </c>
      <c r="H631" s="125">
        <f>F631*G631</f>
        <v>36250</v>
      </c>
      <c r="M631" s="205"/>
    </row>
    <row r="632" spans="3:13">
      <c r="C632" s="201" t="s">
        <v>1217</v>
      </c>
      <c r="D632" s="60" t="s">
        <v>1373</v>
      </c>
      <c r="E632" s="73" t="s">
        <v>6</v>
      </c>
      <c r="F632" s="75">
        <v>2.5000000000000001E-2</v>
      </c>
      <c r="G632" s="65">
        <f>VLOOKUP(D632,upahbahan,3,FALSE)</f>
        <v>150000</v>
      </c>
      <c r="H632" s="125">
        <f>F632*G632</f>
        <v>3750</v>
      </c>
      <c r="M632" s="205"/>
    </row>
    <row r="633" spans="3:13">
      <c r="C633" s="201" t="s">
        <v>1218</v>
      </c>
      <c r="D633" s="60" t="s">
        <v>19</v>
      </c>
      <c r="E633" s="73" t="s">
        <v>6</v>
      </c>
      <c r="F633" s="75">
        <v>0.1</v>
      </c>
      <c r="G633" s="65">
        <f>VLOOKUP(D633,upahbahan,3,FALSE)</f>
        <v>145000</v>
      </c>
      <c r="H633" s="125">
        <f>F633*G633</f>
        <v>14500</v>
      </c>
      <c r="M633" s="205"/>
    </row>
    <row r="634" spans="3:13" ht="15.75" customHeight="1">
      <c r="C634" s="145" t="s">
        <v>1220</v>
      </c>
      <c r="D634" s="81"/>
      <c r="E634" s="81"/>
      <c r="F634" s="190"/>
      <c r="G634" s="163"/>
      <c r="H634" s="125">
        <f>SUM(H630:H633)</f>
        <v>154500</v>
      </c>
    </row>
    <row r="635" spans="3:13">
      <c r="C635" s="142" t="s">
        <v>1221</v>
      </c>
      <c r="D635" s="60" t="s">
        <v>1222</v>
      </c>
      <c r="E635" s="74"/>
      <c r="F635" s="74"/>
      <c r="G635" s="74"/>
      <c r="H635" s="147"/>
    </row>
    <row r="636" spans="3:13">
      <c r="C636" s="146" t="s">
        <v>1215</v>
      </c>
      <c r="D636" s="60" t="s">
        <v>1243</v>
      </c>
      <c r="E636" s="171" t="s">
        <v>66</v>
      </c>
      <c r="F636" s="172">
        <v>368</v>
      </c>
      <c r="G636" s="65">
        <f>VLOOKUP(D636,upahbahan,3,FALSE)</f>
        <v>1300</v>
      </c>
      <c r="H636" s="125">
        <f>F636*G636</f>
        <v>478400</v>
      </c>
    </row>
    <row r="637" spans="3:13">
      <c r="C637" s="146" t="s">
        <v>1216</v>
      </c>
      <c r="D637" s="60" t="s">
        <v>80</v>
      </c>
      <c r="E637" s="171" t="s">
        <v>66</v>
      </c>
      <c r="F637" s="172">
        <v>770</v>
      </c>
      <c r="G637" s="65">
        <f>VLOOKUP(D637,upahbahan,3,FALSE)</f>
        <v>300</v>
      </c>
      <c r="H637" s="125">
        <f>F637*G637</f>
        <v>231000</v>
      </c>
    </row>
    <row r="638" spans="3:13">
      <c r="C638" s="146" t="s">
        <v>1217</v>
      </c>
      <c r="D638" s="60" t="s">
        <v>73</v>
      </c>
      <c r="E638" s="171" t="s">
        <v>66</v>
      </c>
      <c r="F638" s="172">
        <v>1009</v>
      </c>
      <c r="G638" s="65">
        <f>VLOOKUP(D638,upahbahan,3,FALSE)/1350</f>
        <v>260.96296296296299</v>
      </c>
      <c r="H638" s="125">
        <f>F638*G638</f>
        <v>263311.62962962966</v>
      </c>
    </row>
    <row r="639" spans="3:13">
      <c r="C639" s="146" t="s">
        <v>1218</v>
      </c>
      <c r="D639" s="60" t="s">
        <v>970</v>
      </c>
      <c r="E639" s="171" t="s">
        <v>535</v>
      </c>
      <c r="F639" s="172">
        <v>202</v>
      </c>
      <c r="G639" s="65">
        <f>VLOOKUP(D639,upahbahan,3,FALSE)</f>
        <v>200</v>
      </c>
      <c r="H639" s="125">
        <f>F639*G639</f>
        <v>40400</v>
      </c>
    </row>
    <row r="640" spans="3:13" ht="15.75" customHeight="1">
      <c r="C640" s="145" t="s">
        <v>1226</v>
      </c>
      <c r="D640" s="81"/>
      <c r="E640" s="81"/>
      <c r="F640" s="81"/>
      <c r="G640" s="163"/>
      <c r="H640" s="125">
        <f>SUM(H636:H639)</f>
        <v>1013111.6296296297</v>
      </c>
    </row>
    <row r="641" spans="3:13">
      <c r="C641" s="142" t="s">
        <v>1227</v>
      </c>
      <c r="D641" s="60" t="s">
        <v>1228</v>
      </c>
      <c r="E641" s="74"/>
      <c r="F641" s="74"/>
      <c r="G641" s="74"/>
      <c r="H641" s="152"/>
    </row>
    <row r="642" spans="3:13">
      <c r="C642" s="142">
        <v>1</v>
      </c>
      <c r="D642" s="60" t="s">
        <v>1179</v>
      </c>
      <c r="E642" s="171" t="s">
        <v>1091</v>
      </c>
      <c r="F642" s="191">
        <v>0.14749999999999999</v>
      </c>
      <c r="G642" s="65">
        <f>VLOOKUP(D642,upahbahan,3,FALSE)</f>
        <v>300000</v>
      </c>
      <c r="H642" s="125">
        <f>F642*G642</f>
        <v>44250</v>
      </c>
    </row>
    <row r="643" spans="3:13" ht="15.75" customHeight="1">
      <c r="C643" s="145" t="s">
        <v>1229</v>
      </c>
      <c r="D643" s="81"/>
      <c r="E643" s="81"/>
      <c r="F643" s="81"/>
      <c r="G643" s="163"/>
      <c r="H643" s="125">
        <f>SUM(H642)</f>
        <v>44250</v>
      </c>
    </row>
    <row r="644" spans="3:13" s="164" customFormat="1">
      <c r="C644" s="123" t="s">
        <v>1230</v>
      </c>
      <c r="D644" s="70" t="s">
        <v>1231</v>
      </c>
      <c r="E644" s="71"/>
      <c r="F644" s="71"/>
      <c r="G644" s="72"/>
      <c r="H644" s="125">
        <f>H643+H640+H634</f>
        <v>1211861.6296296297</v>
      </c>
      <c r="I644" s="55"/>
    </row>
    <row r="645" spans="3:13" s="164" customFormat="1">
      <c r="C645" s="123" t="s">
        <v>1232</v>
      </c>
      <c r="D645" s="70" t="s">
        <v>1410</v>
      </c>
      <c r="E645" s="71"/>
      <c r="F645" s="72"/>
      <c r="G645" s="96">
        <f>$M$7</f>
        <v>0.1</v>
      </c>
      <c r="H645" s="125">
        <f>H644*G645</f>
        <v>121186.16296296298</v>
      </c>
      <c r="I645" s="55"/>
    </row>
    <row r="646" spans="3:13" s="164" customFormat="1" ht="15.75" thickBot="1">
      <c r="C646" s="131" t="s">
        <v>1233</v>
      </c>
      <c r="D646" s="132" t="s">
        <v>1234</v>
      </c>
      <c r="E646" s="133"/>
      <c r="F646" s="133"/>
      <c r="G646" s="156"/>
      <c r="H646" s="135">
        <f>SUM(H644:H645)</f>
        <v>1333047.7925925925</v>
      </c>
      <c r="I646" s="55"/>
    </row>
    <row r="647" spans="3:13" ht="15.75" thickTop="1"/>
    <row r="648" spans="3:13" ht="33" customHeight="1" thickBot="1">
      <c r="C648" s="516" t="s">
        <v>1384</v>
      </c>
      <c r="D648" s="516"/>
      <c r="E648" s="516"/>
      <c r="F648" s="516"/>
      <c r="G648" s="516"/>
      <c r="H648" s="516"/>
      <c r="I648" s="57">
        <f>ROUNDDOWN(H667,-2)</f>
        <v>1375900</v>
      </c>
      <c r="M648" s="205"/>
    </row>
    <row r="649" spans="3:13" s="58" customFormat="1" ht="31.5" customHeight="1" thickTop="1">
      <c r="C649" s="120" t="s">
        <v>1207</v>
      </c>
      <c r="D649" s="121" t="s">
        <v>1208</v>
      </c>
      <c r="E649" s="121" t="s">
        <v>1209</v>
      </c>
      <c r="F649" s="121" t="s">
        <v>1210</v>
      </c>
      <c r="G649" s="121" t="s">
        <v>1211</v>
      </c>
      <c r="H649" s="122" t="s">
        <v>1212</v>
      </c>
      <c r="I649" s="161"/>
      <c r="M649" s="205"/>
    </row>
    <row r="650" spans="3:13">
      <c r="C650" s="142" t="s">
        <v>1213</v>
      </c>
      <c r="D650" s="60" t="s">
        <v>1214</v>
      </c>
      <c r="E650" s="74"/>
      <c r="F650" s="74"/>
      <c r="G650" s="74"/>
      <c r="H650" s="147"/>
      <c r="M650" s="205"/>
    </row>
    <row r="651" spans="3:13">
      <c r="C651" s="201" t="s">
        <v>1215</v>
      </c>
      <c r="D651" s="60" t="s">
        <v>5</v>
      </c>
      <c r="E651" s="73" t="s">
        <v>6</v>
      </c>
      <c r="F651" s="75">
        <v>1</v>
      </c>
      <c r="G651" s="65">
        <f>VLOOKUP(D651,upahbahan,3,FALSE)</f>
        <v>100000</v>
      </c>
      <c r="H651" s="125">
        <f>F651*G651</f>
        <v>100000</v>
      </c>
      <c r="M651" s="205"/>
    </row>
    <row r="652" spans="3:13">
      <c r="C652" s="201" t="s">
        <v>1216</v>
      </c>
      <c r="D652" s="60" t="s">
        <v>7</v>
      </c>
      <c r="E652" s="73" t="s">
        <v>6</v>
      </c>
      <c r="F652" s="75">
        <v>0.25</v>
      </c>
      <c r="G652" s="65">
        <f>VLOOKUP(D652,upahbahan,3,FALSE)</f>
        <v>145000</v>
      </c>
      <c r="H652" s="125">
        <f>F652*G652</f>
        <v>36250</v>
      </c>
      <c r="M652" s="205"/>
    </row>
    <row r="653" spans="3:13">
      <c r="C653" s="201" t="s">
        <v>1217</v>
      </c>
      <c r="D653" s="60" t="s">
        <v>1373</v>
      </c>
      <c r="E653" s="73" t="s">
        <v>6</v>
      </c>
      <c r="F653" s="75">
        <v>2.5000000000000001E-2</v>
      </c>
      <c r="G653" s="65">
        <f>VLOOKUP(D653,upahbahan,3,FALSE)</f>
        <v>150000</v>
      </c>
      <c r="H653" s="125">
        <f>F653*G653</f>
        <v>3750</v>
      </c>
      <c r="M653" s="205"/>
    </row>
    <row r="654" spans="3:13">
      <c r="C654" s="201" t="s">
        <v>1218</v>
      </c>
      <c r="D654" s="60" t="s">
        <v>19</v>
      </c>
      <c r="E654" s="73" t="s">
        <v>6</v>
      </c>
      <c r="F654" s="75">
        <v>0.1</v>
      </c>
      <c r="G654" s="65">
        <f>VLOOKUP(D654,upahbahan,3,FALSE)</f>
        <v>145000</v>
      </c>
      <c r="H654" s="125">
        <f>F654*G654</f>
        <v>14500</v>
      </c>
      <c r="M654" s="205"/>
    </row>
    <row r="655" spans="3:13" ht="15.75" customHeight="1">
      <c r="C655" s="145" t="s">
        <v>1220</v>
      </c>
      <c r="D655" s="81"/>
      <c r="E655" s="81"/>
      <c r="F655" s="190"/>
      <c r="G655" s="163"/>
      <c r="H655" s="125">
        <f>SUM(H651:H654)</f>
        <v>154500</v>
      </c>
    </row>
    <row r="656" spans="3:13">
      <c r="C656" s="142" t="s">
        <v>1221</v>
      </c>
      <c r="D656" s="60" t="s">
        <v>1222</v>
      </c>
      <c r="E656" s="74"/>
      <c r="F656" s="74"/>
      <c r="G656" s="74"/>
      <c r="H656" s="147"/>
    </row>
    <row r="657" spans="3:13">
      <c r="C657" s="146" t="s">
        <v>1215</v>
      </c>
      <c r="D657" s="60" t="s">
        <v>1243</v>
      </c>
      <c r="E657" s="171" t="s">
        <v>66</v>
      </c>
      <c r="F657" s="172">
        <v>407</v>
      </c>
      <c r="G657" s="65">
        <f>VLOOKUP(D657,upahbahan,3,FALSE)</f>
        <v>1300</v>
      </c>
      <c r="H657" s="125">
        <f>F657*G657</f>
        <v>529100</v>
      </c>
    </row>
    <row r="658" spans="3:13">
      <c r="C658" s="146" t="s">
        <v>1216</v>
      </c>
      <c r="D658" s="60" t="s">
        <v>80</v>
      </c>
      <c r="E658" s="171" t="s">
        <v>66</v>
      </c>
      <c r="F658" s="172">
        <v>731</v>
      </c>
      <c r="G658" s="65">
        <f>VLOOKUP(D658,upahbahan,3,FALSE)</f>
        <v>300</v>
      </c>
      <c r="H658" s="125">
        <f>F658*G658</f>
        <v>219300</v>
      </c>
    </row>
    <row r="659" spans="3:13">
      <c r="C659" s="146" t="s">
        <v>1217</v>
      </c>
      <c r="D659" s="60" t="s">
        <v>73</v>
      </c>
      <c r="E659" s="171" t="s">
        <v>66</v>
      </c>
      <c r="F659" s="172">
        <v>1009</v>
      </c>
      <c r="G659" s="65">
        <f>VLOOKUP(D659,upahbahan,3,FALSE)/1350</f>
        <v>260.96296296296299</v>
      </c>
      <c r="H659" s="125">
        <f>F659*G659</f>
        <v>263311.62962962966</v>
      </c>
    </row>
    <row r="660" spans="3:13">
      <c r="C660" s="146" t="s">
        <v>1218</v>
      </c>
      <c r="D660" s="60" t="s">
        <v>970</v>
      </c>
      <c r="E660" s="171" t="s">
        <v>535</v>
      </c>
      <c r="F660" s="172">
        <v>202</v>
      </c>
      <c r="G660" s="65">
        <f>VLOOKUP(D660,upahbahan,3,FALSE)</f>
        <v>200</v>
      </c>
      <c r="H660" s="125">
        <f>F660*G660</f>
        <v>40400</v>
      </c>
    </row>
    <row r="661" spans="3:13" ht="15.75" customHeight="1">
      <c r="C661" s="145" t="s">
        <v>1226</v>
      </c>
      <c r="D661" s="81"/>
      <c r="E661" s="81"/>
      <c r="F661" s="81"/>
      <c r="G661" s="163"/>
      <c r="H661" s="125">
        <f>SUM(H657:H660)</f>
        <v>1052111.6296296297</v>
      </c>
    </row>
    <row r="662" spans="3:13">
      <c r="C662" s="142" t="s">
        <v>1227</v>
      </c>
      <c r="D662" s="60" t="s">
        <v>1228</v>
      </c>
      <c r="E662" s="74"/>
      <c r="F662" s="74"/>
      <c r="G662" s="74"/>
      <c r="H662" s="152"/>
    </row>
    <row r="663" spans="3:13">
      <c r="C663" s="142">
        <v>1</v>
      </c>
      <c r="D663" s="60" t="s">
        <v>1179</v>
      </c>
      <c r="E663" s="171" t="s">
        <v>1091</v>
      </c>
      <c r="F663" s="191">
        <v>0.14749999999999999</v>
      </c>
      <c r="G663" s="65">
        <f>VLOOKUP(D663,upahbahan,3,FALSE)</f>
        <v>300000</v>
      </c>
      <c r="H663" s="125">
        <f>F663*G663</f>
        <v>44250</v>
      </c>
    </row>
    <row r="664" spans="3:13" ht="15.75" customHeight="1">
      <c r="C664" s="145" t="s">
        <v>1229</v>
      </c>
      <c r="D664" s="81"/>
      <c r="E664" s="81"/>
      <c r="F664" s="81"/>
      <c r="G664" s="163"/>
      <c r="H664" s="125">
        <f>SUM(H663)</f>
        <v>44250</v>
      </c>
    </row>
    <row r="665" spans="3:13" s="164" customFormat="1">
      <c r="C665" s="123" t="s">
        <v>1230</v>
      </c>
      <c r="D665" s="70" t="s">
        <v>1231</v>
      </c>
      <c r="E665" s="71"/>
      <c r="F665" s="71"/>
      <c r="G665" s="72"/>
      <c r="H665" s="125">
        <f>H664+H661+H655</f>
        <v>1250861.6296296297</v>
      </c>
      <c r="I665" s="55"/>
    </row>
    <row r="666" spans="3:13" s="164" customFormat="1">
      <c r="C666" s="123" t="s">
        <v>1232</v>
      </c>
      <c r="D666" s="70" t="s">
        <v>1410</v>
      </c>
      <c r="E666" s="71"/>
      <c r="F666" s="72"/>
      <c r="G666" s="96">
        <f>$M$7</f>
        <v>0.1</v>
      </c>
      <c r="H666" s="125">
        <f>H665*G666</f>
        <v>125086.16296296298</v>
      </c>
      <c r="I666" s="55"/>
    </row>
    <row r="667" spans="3:13" s="164" customFormat="1" ht="15.75" thickBot="1">
      <c r="C667" s="131" t="s">
        <v>1233</v>
      </c>
      <c r="D667" s="132" t="s">
        <v>1234</v>
      </c>
      <c r="E667" s="133"/>
      <c r="F667" s="133"/>
      <c r="G667" s="156"/>
      <c r="H667" s="135">
        <f>SUM(H665:H666)</f>
        <v>1375947.7925925925</v>
      </c>
      <c r="I667" s="55"/>
    </row>
    <row r="668" spans="3:13" ht="15.75" thickTop="1"/>
    <row r="669" spans="3:13" ht="33" customHeight="1" thickBot="1">
      <c r="C669" s="516" t="s">
        <v>1385</v>
      </c>
      <c r="D669" s="516"/>
      <c r="E669" s="516"/>
      <c r="F669" s="516"/>
      <c r="G669" s="516"/>
      <c r="H669" s="516"/>
      <c r="I669" s="57">
        <f>ROUNDDOWN(H688,-2)</f>
        <v>1408900</v>
      </c>
      <c r="M669" s="205"/>
    </row>
    <row r="670" spans="3:13" s="58" customFormat="1" ht="31.5" customHeight="1" thickTop="1">
      <c r="C670" s="120" t="s">
        <v>1207</v>
      </c>
      <c r="D670" s="121" t="s">
        <v>1208</v>
      </c>
      <c r="E670" s="121" t="s">
        <v>1209</v>
      </c>
      <c r="F670" s="121" t="s">
        <v>1210</v>
      </c>
      <c r="G670" s="121" t="s">
        <v>1211</v>
      </c>
      <c r="H670" s="122" t="s">
        <v>1212</v>
      </c>
      <c r="I670" s="161"/>
      <c r="M670" s="205"/>
    </row>
    <row r="671" spans="3:13">
      <c r="C671" s="142" t="s">
        <v>1213</v>
      </c>
      <c r="D671" s="60" t="s">
        <v>1214</v>
      </c>
      <c r="E671" s="74"/>
      <c r="F671" s="74"/>
      <c r="G671" s="74"/>
      <c r="H671" s="147"/>
      <c r="M671" s="205"/>
    </row>
    <row r="672" spans="3:13">
      <c r="C672" s="201" t="s">
        <v>1215</v>
      </c>
      <c r="D672" s="60" t="s">
        <v>5</v>
      </c>
      <c r="E672" s="73" t="s">
        <v>6</v>
      </c>
      <c r="F672" s="75">
        <v>1</v>
      </c>
      <c r="G672" s="65">
        <f>VLOOKUP(D672,upahbahan,3,FALSE)</f>
        <v>100000</v>
      </c>
      <c r="H672" s="125">
        <f>F672*G672</f>
        <v>100000</v>
      </c>
      <c r="M672" s="205"/>
    </row>
    <row r="673" spans="3:13">
      <c r="C673" s="201" t="s">
        <v>1216</v>
      </c>
      <c r="D673" s="60" t="s">
        <v>7</v>
      </c>
      <c r="E673" s="73" t="s">
        <v>6</v>
      </c>
      <c r="F673" s="75">
        <v>0.25</v>
      </c>
      <c r="G673" s="65">
        <f>VLOOKUP(D673,upahbahan,3,FALSE)</f>
        <v>145000</v>
      </c>
      <c r="H673" s="125">
        <f>F673*G673</f>
        <v>36250</v>
      </c>
      <c r="M673" s="205"/>
    </row>
    <row r="674" spans="3:13">
      <c r="C674" s="201" t="s">
        <v>1217</v>
      </c>
      <c r="D674" s="60" t="s">
        <v>1373</v>
      </c>
      <c r="E674" s="73" t="s">
        <v>6</v>
      </c>
      <c r="F674" s="75">
        <v>2.5000000000000001E-2</v>
      </c>
      <c r="G674" s="65">
        <f>VLOOKUP(D674,upahbahan,3,FALSE)</f>
        <v>150000</v>
      </c>
      <c r="H674" s="125">
        <f>F674*G674</f>
        <v>3750</v>
      </c>
      <c r="M674" s="205"/>
    </row>
    <row r="675" spans="3:13">
      <c r="C675" s="201" t="s">
        <v>1218</v>
      </c>
      <c r="D675" s="60" t="s">
        <v>19</v>
      </c>
      <c r="E675" s="73" t="s">
        <v>6</v>
      </c>
      <c r="F675" s="75">
        <v>0.1</v>
      </c>
      <c r="G675" s="65">
        <f>VLOOKUP(D675,upahbahan,3,FALSE)</f>
        <v>145000</v>
      </c>
      <c r="H675" s="125">
        <f>F675*G675</f>
        <v>14500</v>
      </c>
      <c r="M675" s="205"/>
    </row>
    <row r="676" spans="3:13" ht="15.75" customHeight="1">
      <c r="C676" s="145" t="s">
        <v>1220</v>
      </c>
      <c r="D676" s="81"/>
      <c r="E676" s="81"/>
      <c r="F676" s="190"/>
      <c r="G676" s="163"/>
      <c r="H676" s="125">
        <f>SUM(H672:H675)</f>
        <v>154500</v>
      </c>
    </row>
    <row r="677" spans="3:13">
      <c r="C677" s="142" t="s">
        <v>1221</v>
      </c>
      <c r="D677" s="60" t="s">
        <v>1222</v>
      </c>
      <c r="E677" s="74"/>
      <c r="F677" s="74"/>
      <c r="G677" s="74"/>
      <c r="H677" s="147"/>
    </row>
    <row r="678" spans="3:13">
      <c r="C678" s="146" t="s">
        <v>1215</v>
      </c>
      <c r="D678" s="60" t="s">
        <v>1243</v>
      </c>
      <c r="E678" s="171" t="s">
        <v>66</v>
      </c>
      <c r="F678" s="172">
        <v>437</v>
      </c>
      <c r="G678" s="65">
        <f>VLOOKUP(D678,upahbahan,3,FALSE)</f>
        <v>1300</v>
      </c>
      <c r="H678" s="125">
        <f>F678*G678</f>
        <v>568100</v>
      </c>
    </row>
    <row r="679" spans="3:13">
      <c r="C679" s="146" t="s">
        <v>1216</v>
      </c>
      <c r="D679" s="60" t="s">
        <v>80</v>
      </c>
      <c r="E679" s="171" t="s">
        <v>66</v>
      </c>
      <c r="F679" s="172">
        <v>701</v>
      </c>
      <c r="G679" s="65">
        <f>VLOOKUP(D679,upahbahan,3,FALSE)</f>
        <v>300</v>
      </c>
      <c r="H679" s="125">
        <f>F679*G679</f>
        <v>210300</v>
      </c>
    </row>
    <row r="680" spans="3:13">
      <c r="C680" s="146" t="s">
        <v>1217</v>
      </c>
      <c r="D680" s="60" t="s">
        <v>73</v>
      </c>
      <c r="E680" s="171" t="s">
        <v>66</v>
      </c>
      <c r="F680" s="172">
        <v>1009</v>
      </c>
      <c r="G680" s="65">
        <f>VLOOKUP(D680,upahbahan,3,FALSE)/1350</f>
        <v>260.96296296296299</v>
      </c>
      <c r="H680" s="125">
        <f>F680*G680</f>
        <v>263311.62962962966</v>
      </c>
    </row>
    <row r="681" spans="3:13">
      <c r="C681" s="146" t="s">
        <v>1218</v>
      </c>
      <c r="D681" s="60" t="s">
        <v>970</v>
      </c>
      <c r="E681" s="171" t="s">
        <v>535</v>
      </c>
      <c r="F681" s="172">
        <v>202</v>
      </c>
      <c r="G681" s="65">
        <f>VLOOKUP(D681,upahbahan,3,FALSE)</f>
        <v>200</v>
      </c>
      <c r="H681" s="125">
        <f>F681*G681</f>
        <v>40400</v>
      </c>
    </row>
    <row r="682" spans="3:13" ht="15.75" customHeight="1">
      <c r="C682" s="145" t="s">
        <v>1226</v>
      </c>
      <c r="D682" s="81"/>
      <c r="E682" s="81"/>
      <c r="F682" s="81"/>
      <c r="G682" s="163"/>
      <c r="H682" s="125">
        <f>SUM(H678:H681)</f>
        <v>1082111.6296296297</v>
      </c>
    </row>
    <row r="683" spans="3:13">
      <c r="C683" s="142" t="s">
        <v>1227</v>
      </c>
      <c r="D683" s="60" t="s">
        <v>1228</v>
      </c>
      <c r="E683" s="74"/>
      <c r="F683" s="74"/>
      <c r="G683" s="74"/>
      <c r="H683" s="152"/>
    </row>
    <row r="684" spans="3:13">
      <c r="C684" s="142">
        <v>1</v>
      </c>
      <c r="D684" s="60" t="s">
        <v>1179</v>
      </c>
      <c r="E684" s="171" t="s">
        <v>1091</v>
      </c>
      <c r="F684" s="191">
        <v>0.14749999999999999</v>
      </c>
      <c r="G684" s="65">
        <f>VLOOKUP(D684,upahbahan,3,FALSE)</f>
        <v>300000</v>
      </c>
      <c r="H684" s="125">
        <f>F684*G684</f>
        <v>44250</v>
      </c>
    </row>
    <row r="685" spans="3:13" ht="15.75" customHeight="1">
      <c r="C685" s="145" t="s">
        <v>1229</v>
      </c>
      <c r="D685" s="81"/>
      <c r="E685" s="81"/>
      <c r="F685" s="81"/>
      <c r="G685" s="163"/>
      <c r="H685" s="125">
        <f>SUM(H684)</f>
        <v>44250</v>
      </c>
    </row>
    <row r="686" spans="3:13" s="164" customFormat="1">
      <c r="C686" s="123" t="s">
        <v>1230</v>
      </c>
      <c r="D686" s="70" t="s">
        <v>1231</v>
      </c>
      <c r="E686" s="71"/>
      <c r="F686" s="71"/>
      <c r="G686" s="72"/>
      <c r="H686" s="125">
        <f>H685+H682+H676</f>
        <v>1280861.6296296297</v>
      </c>
      <c r="I686" s="55"/>
    </row>
    <row r="687" spans="3:13" s="164" customFormat="1">
      <c r="C687" s="123" t="s">
        <v>1232</v>
      </c>
      <c r="D687" s="70" t="s">
        <v>1410</v>
      </c>
      <c r="E687" s="71"/>
      <c r="F687" s="72"/>
      <c r="G687" s="96">
        <f>$M$7</f>
        <v>0.1</v>
      </c>
      <c r="H687" s="125">
        <f>H686*G687</f>
        <v>128086.16296296298</v>
      </c>
      <c r="I687" s="55"/>
    </row>
    <row r="688" spans="3:13" s="164" customFormat="1" ht="15.75" thickBot="1">
      <c r="C688" s="131" t="s">
        <v>1233</v>
      </c>
      <c r="D688" s="132" t="s">
        <v>1234</v>
      </c>
      <c r="E688" s="133"/>
      <c r="F688" s="133"/>
      <c r="G688" s="156"/>
      <c r="H688" s="135">
        <f>SUM(H686:H687)</f>
        <v>1408947.7925925925</v>
      </c>
      <c r="I688" s="55"/>
    </row>
    <row r="689" spans="3:13" ht="15.75" thickTop="1"/>
    <row r="690" spans="3:13" ht="33" customHeight="1" thickBot="1">
      <c r="C690" s="516" t="s">
        <v>1386</v>
      </c>
      <c r="D690" s="516"/>
      <c r="E690" s="516"/>
      <c r="F690" s="516"/>
      <c r="G690" s="516"/>
      <c r="H690" s="516"/>
      <c r="I690" s="57">
        <f>ROUNDDOWN(H709,-2)</f>
        <v>1430900</v>
      </c>
      <c r="M690" s="205"/>
    </row>
    <row r="691" spans="3:13" s="58" customFormat="1" ht="31.5" customHeight="1" thickTop="1">
      <c r="C691" s="120" t="s">
        <v>1207</v>
      </c>
      <c r="D691" s="121" t="s">
        <v>1208</v>
      </c>
      <c r="E691" s="121" t="s">
        <v>1209</v>
      </c>
      <c r="F691" s="121" t="s">
        <v>1210</v>
      </c>
      <c r="G691" s="121" t="s">
        <v>1211</v>
      </c>
      <c r="H691" s="122" t="s">
        <v>1212</v>
      </c>
      <c r="I691" s="161"/>
      <c r="M691" s="205"/>
    </row>
    <row r="692" spans="3:13">
      <c r="C692" s="142" t="s">
        <v>1213</v>
      </c>
      <c r="D692" s="60" t="s">
        <v>1214</v>
      </c>
      <c r="E692" s="74"/>
      <c r="F692" s="74"/>
      <c r="G692" s="74"/>
      <c r="H692" s="147"/>
      <c r="M692" s="205"/>
    </row>
    <row r="693" spans="3:13">
      <c r="C693" s="201" t="s">
        <v>1215</v>
      </c>
      <c r="D693" s="60" t="s">
        <v>5</v>
      </c>
      <c r="E693" s="73" t="s">
        <v>6</v>
      </c>
      <c r="F693" s="75">
        <v>1</v>
      </c>
      <c r="G693" s="65">
        <f>VLOOKUP(D693,upahbahan,3,FALSE)</f>
        <v>100000</v>
      </c>
      <c r="H693" s="125">
        <f>F693*G693</f>
        <v>100000</v>
      </c>
      <c r="M693" s="205"/>
    </row>
    <row r="694" spans="3:13">
      <c r="C694" s="201" t="s">
        <v>1216</v>
      </c>
      <c r="D694" s="60" t="s">
        <v>7</v>
      </c>
      <c r="E694" s="73" t="s">
        <v>6</v>
      </c>
      <c r="F694" s="75">
        <v>0.25</v>
      </c>
      <c r="G694" s="65">
        <f>VLOOKUP(D694,upahbahan,3,FALSE)</f>
        <v>145000</v>
      </c>
      <c r="H694" s="125">
        <f>F694*G694</f>
        <v>36250</v>
      </c>
      <c r="M694" s="205"/>
    </row>
    <row r="695" spans="3:13">
      <c r="C695" s="201" t="s">
        <v>1217</v>
      </c>
      <c r="D695" s="60" t="s">
        <v>1373</v>
      </c>
      <c r="E695" s="73" t="s">
        <v>6</v>
      </c>
      <c r="F695" s="75">
        <v>2.5000000000000001E-2</v>
      </c>
      <c r="G695" s="65">
        <f>VLOOKUP(D695,upahbahan,3,FALSE)</f>
        <v>150000</v>
      </c>
      <c r="H695" s="125">
        <f>F695*G695</f>
        <v>3750</v>
      </c>
      <c r="M695" s="205"/>
    </row>
    <row r="696" spans="3:13">
      <c r="C696" s="201" t="s">
        <v>1218</v>
      </c>
      <c r="D696" s="60" t="s">
        <v>19</v>
      </c>
      <c r="E696" s="73" t="s">
        <v>6</v>
      </c>
      <c r="F696" s="75">
        <v>0.1</v>
      </c>
      <c r="G696" s="65">
        <f>VLOOKUP(D696,upahbahan,3,FALSE)</f>
        <v>145000</v>
      </c>
      <c r="H696" s="125">
        <f>F696*G696</f>
        <v>14500</v>
      </c>
      <c r="M696" s="205"/>
    </row>
    <row r="697" spans="3:13" ht="15.75" customHeight="1">
      <c r="C697" s="145" t="s">
        <v>1220</v>
      </c>
      <c r="D697" s="81"/>
      <c r="E697" s="81"/>
      <c r="F697" s="190"/>
      <c r="G697" s="163"/>
      <c r="H697" s="125">
        <f>SUM(H693:H696)</f>
        <v>154500</v>
      </c>
    </row>
    <row r="698" spans="3:13">
      <c r="C698" s="142" t="s">
        <v>1221</v>
      </c>
      <c r="D698" s="60" t="s">
        <v>1222</v>
      </c>
      <c r="E698" s="74"/>
      <c r="F698" s="74"/>
      <c r="G698" s="74"/>
      <c r="H698" s="147"/>
    </row>
    <row r="699" spans="3:13">
      <c r="C699" s="146" t="s">
        <v>1215</v>
      </c>
      <c r="D699" s="60" t="s">
        <v>1243</v>
      </c>
      <c r="E699" s="171" t="s">
        <v>66</v>
      </c>
      <c r="F699" s="172">
        <v>457</v>
      </c>
      <c r="G699" s="65">
        <f>VLOOKUP(D699,upahbahan,3,FALSE)</f>
        <v>1300</v>
      </c>
      <c r="H699" s="125">
        <f>F699*G699</f>
        <v>594100</v>
      </c>
    </row>
    <row r="700" spans="3:13">
      <c r="C700" s="146" t="s">
        <v>1216</v>
      </c>
      <c r="D700" s="60" t="s">
        <v>80</v>
      </c>
      <c r="E700" s="171" t="s">
        <v>66</v>
      </c>
      <c r="F700" s="172">
        <v>681</v>
      </c>
      <c r="G700" s="65">
        <f>VLOOKUP(D700,upahbahan,3,FALSE)</f>
        <v>300</v>
      </c>
      <c r="H700" s="125">
        <f>F700*G700</f>
        <v>204300</v>
      </c>
    </row>
    <row r="701" spans="3:13">
      <c r="C701" s="146" t="s">
        <v>1217</v>
      </c>
      <c r="D701" s="60" t="s">
        <v>73</v>
      </c>
      <c r="E701" s="171" t="s">
        <v>66</v>
      </c>
      <c r="F701" s="172">
        <v>1009</v>
      </c>
      <c r="G701" s="65">
        <f>VLOOKUP(D701,upahbahan,3,FALSE)/1350</f>
        <v>260.96296296296299</v>
      </c>
      <c r="H701" s="125">
        <f>F701*G701</f>
        <v>263311.62962962966</v>
      </c>
    </row>
    <row r="702" spans="3:13">
      <c r="C702" s="146" t="s">
        <v>1218</v>
      </c>
      <c r="D702" s="60" t="s">
        <v>970</v>
      </c>
      <c r="E702" s="171" t="s">
        <v>535</v>
      </c>
      <c r="F702" s="172">
        <v>202</v>
      </c>
      <c r="G702" s="65">
        <f>VLOOKUP(D702,upahbahan,3,FALSE)</f>
        <v>200</v>
      </c>
      <c r="H702" s="125">
        <f>F702*G702</f>
        <v>40400</v>
      </c>
    </row>
    <row r="703" spans="3:13" ht="15.75" customHeight="1">
      <c r="C703" s="145" t="s">
        <v>1226</v>
      </c>
      <c r="D703" s="81"/>
      <c r="E703" s="81"/>
      <c r="F703" s="81"/>
      <c r="G703" s="163"/>
      <c r="H703" s="125">
        <f>SUM(H699:H702)</f>
        <v>1102111.6296296297</v>
      </c>
    </row>
    <row r="704" spans="3:13">
      <c r="C704" s="142" t="s">
        <v>1227</v>
      </c>
      <c r="D704" s="60" t="s">
        <v>1228</v>
      </c>
      <c r="E704" s="74"/>
      <c r="F704" s="74"/>
      <c r="G704" s="74"/>
      <c r="H704" s="152"/>
    </row>
    <row r="705" spans="3:13">
      <c r="C705" s="142">
        <v>1</v>
      </c>
      <c r="D705" s="60" t="s">
        <v>1179</v>
      </c>
      <c r="E705" s="171" t="s">
        <v>1091</v>
      </c>
      <c r="F705" s="191">
        <v>0.14749999999999999</v>
      </c>
      <c r="G705" s="65">
        <f>VLOOKUP(D705,upahbahan,3,FALSE)</f>
        <v>300000</v>
      </c>
      <c r="H705" s="125">
        <f>F705*G705</f>
        <v>44250</v>
      </c>
    </row>
    <row r="706" spans="3:13" ht="15.75" customHeight="1">
      <c r="C706" s="145" t="s">
        <v>1229</v>
      </c>
      <c r="D706" s="81"/>
      <c r="E706" s="81"/>
      <c r="F706" s="81"/>
      <c r="G706" s="163"/>
      <c r="H706" s="125">
        <f>SUM(H705)</f>
        <v>44250</v>
      </c>
    </row>
    <row r="707" spans="3:13" s="164" customFormat="1">
      <c r="C707" s="123" t="s">
        <v>1230</v>
      </c>
      <c r="D707" s="70" t="s">
        <v>1231</v>
      </c>
      <c r="E707" s="71"/>
      <c r="F707" s="71"/>
      <c r="G707" s="72"/>
      <c r="H707" s="125">
        <f>H706+H703+H697</f>
        <v>1300861.6296296297</v>
      </c>
      <c r="I707" s="55"/>
    </row>
    <row r="708" spans="3:13" s="164" customFormat="1">
      <c r="C708" s="123" t="s">
        <v>1232</v>
      </c>
      <c r="D708" s="70" t="s">
        <v>1410</v>
      </c>
      <c r="E708" s="71"/>
      <c r="F708" s="72"/>
      <c r="G708" s="96">
        <f>$M$7</f>
        <v>0.1</v>
      </c>
      <c r="H708" s="125">
        <f>H707*G708</f>
        <v>130086.16296296298</v>
      </c>
      <c r="I708" s="55"/>
    </row>
    <row r="709" spans="3:13" s="164" customFormat="1" ht="15.75" thickBot="1">
      <c r="C709" s="131" t="s">
        <v>1233</v>
      </c>
      <c r="D709" s="132" t="s">
        <v>1234</v>
      </c>
      <c r="E709" s="133"/>
      <c r="F709" s="133"/>
      <c r="G709" s="156"/>
      <c r="H709" s="135">
        <f>SUM(H707:H708)</f>
        <v>1430947.7925925925</v>
      </c>
      <c r="I709" s="55"/>
    </row>
    <row r="710" spans="3:13" ht="15.75" thickTop="1"/>
    <row r="711" spans="3:13" ht="33" customHeight="1" thickBot="1">
      <c r="C711" s="516" t="s">
        <v>1387</v>
      </c>
      <c r="D711" s="516"/>
      <c r="E711" s="516"/>
      <c r="F711" s="516"/>
      <c r="G711" s="516"/>
      <c r="H711" s="516"/>
      <c r="I711" s="57">
        <f>ROUNDDOWN(H730,-2)</f>
        <v>1443300</v>
      </c>
      <c r="M711" s="205"/>
    </row>
    <row r="712" spans="3:13" s="58" customFormat="1" ht="31.5" customHeight="1" thickTop="1">
      <c r="C712" s="120" t="s">
        <v>1207</v>
      </c>
      <c r="D712" s="121" t="s">
        <v>1208</v>
      </c>
      <c r="E712" s="121" t="s">
        <v>1209</v>
      </c>
      <c r="F712" s="121" t="s">
        <v>1210</v>
      </c>
      <c r="G712" s="121" t="s">
        <v>1211</v>
      </c>
      <c r="H712" s="122" t="s">
        <v>1212</v>
      </c>
      <c r="I712" s="161"/>
      <c r="M712" s="205"/>
    </row>
    <row r="713" spans="3:13">
      <c r="C713" s="142" t="s">
        <v>1213</v>
      </c>
      <c r="D713" s="60" t="s">
        <v>1214</v>
      </c>
      <c r="E713" s="74"/>
      <c r="F713" s="74"/>
      <c r="G713" s="74"/>
      <c r="H713" s="147"/>
      <c r="M713" s="205"/>
    </row>
    <row r="714" spans="3:13">
      <c r="C714" s="201" t="s">
        <v>1215</v>
      </c>
      <c r="D714" s="60" t="s">
        <v>5</v>
      </c>
      <c r="E714" s="73" t="s">
        <v>6</v>
      </c>
      <c r="F714" s="75">
        <v>1</v>
      </c>
      <c r="G714" s="65">
        <f>VLOOKUP(D714,upahbahan,3,FALSE)</f>
        <v>100000</v>
      </c>
      <c r="H714" s="125">
        <f>F714*G714</f>
        <v>100000</v>
      </c>
      <c r="M714" s="205"/>
    </row>
    <row r="715" spans="3:13">
      <c r="C715" s="201" t="s">
        <v>1216</v>
      </c>
      <c r="D715" s="60" t="s">
        <v>7</v>
      </c>
      <c r="E715" s="73" t="s">
        <v>6</v>
      </c>
      <c r="F715" s="75">
        <v>0.25</v>
      </c>
      <c r="G715" s="65">
        <f>VLOOKUP(D715,upahbahan,3,FALSE)</f>
        <v>145000</v>
      </c>
      <c r="H715" s="125">
        <f>F715*G715</f>
        <v>36250</v>
      </c>
      <c r="M715" s="205"/>
    </row>
    <row r="716" spans="3:13">
      <c r="C716" s="201" t="s">
        <v>1217</v>
      </c>
      <c r="D716" s="60" t="s">
        <v>1373</v>
      </c>
      <c r="E716" s="73" t="s">
        <v>6</v>
      </c>
      <c r="F716" s="75">
        <v>2.5000000000000001E-2</v>
      </c>
      <c r="G716" s="65">
        <f>VLOOKUP(D716,upahbahan,3,FALSE)</f>
        <v>150000</v>
      </c>
      <c r="H716" s="125">
        <f>F716*G716</f>
        <v>3750</v>
      </c>
      <c r="M716" s="205"/>
    </row>
    <row r="717" spans="3:13">
      <c r="C717" s="201" t="s">
        <v>1218</v>
      </c>
      <c r="D717" s="60" t="s">
        <v>19</v>
      </c>
      <c r="E717" s="73" t="s">
        <v>6</v>
      </c>
      <c r="F717" s="75">
        <v>0.1</v>
      </c>
      <c r="G717" s="65">
        <f>VLOOKUP(D717,upahbahan,3,FALSE)</f>
        <v>145000</v>
      </c>
      <c r="H717" s="125">
        <f>F717*G717</f>
        <v>14500</v>
      </c>
      <c r="M717" s="205"/>
    </row>
    <row r="718" spans="3:13" ht="15.75" customHeight="1">
      <c r="C718" s="145" t="s">
        <v>1220</v>
      </c>
      <c r="D718" s="81"/>
      <c r="E718" s="81"/>
      <c r="F718" s="190"/>
      <c r="G718" s="163"/>
      <c r="H718" s="125">
        <f>SUM(H714:H717)</f>
        <v>154500</v>
      </c>
    </row>
    <row r="719" spans="3:13">
      <c r="C719" s="142" t="s">
        <v>1221</v>
      </c>
      <c r="D719" s="60" t="s">
        <v>1222</v>
      </c>
      <c r="E719" s="74"/>
      <c r="F719" s="74"/>
      <c r="G719" s="74"/>
      <c r="H719" s="147"/>
    </row>
    <row r="720" spans="3:13">
      <c r="C720" s="146" t="s">
        <v>1215</v>
      </c>
      <c r="D720" s="60" t="s">
        <v>1243</v>
      </c>
      <c r="E720" s="171" t="s">
        <v>66</v>
      </c>
      <c r="F720" s="172">
        <v>468</v>
      </c>
      <c r="G720" s="65">
        <f>VLOOKUP(D720,upahbahan,3,FALSE)</f>
        <v>1300</v>
      </c>
      <c r="H720" s="125">
        <f>F720*G720</f>
        <v>608400</v>
      </c>
    </row>
    <row r="721" spans="3:13">
      <c r="C721" s="146" t="s">
        <v>1216</v>
      </c>
      <c r="D721" s="60" t="s">
        <v>80</v>
      </c>
      <c r="E721" s="171" t="s">
        <v>66</v>
      </c>
      <c r="F721" s="172">
        <v>671</v>
      </c>
      <c r="G721" s="65">
        <f>VLOOKUP(D721,upahbahan,3,FALSE)</f>
        <v>300</v>
      </c>
      <c r="H721" s="125">
        <f>F721*G721</f>
        <v>201300</v>
      </c>
    </row>
    <row r="722" spans="3:13">
      <c r="C722" s="146" t="s">
        <v>1217</v>
      </c>
      <c r="D722" s="60" t="s">
        <v>73</v>
      </c>
      <c r="E722" s="171" t="s">
        <v>66</v>
      </c>
      <c r="F722" s="172">
        <v>1009</v>
      </c>
      <c r="G722" s="65">
        <f>VLOOKUP(D722,upahbahan,3,FALSE)/1350</f>
        <v>260.96296296296299</v>
      </c>
      <c r="H722" s="125">
        <f>F722*G722</f>
        <v>263311.62962962966</v>
      </c>
    </row>
    <row r="723" spans="3:13">
      <c r="C723" s="146" t="s">
        <v>1218</v>
      </c>
      <c r="D723" s="60" t="s">
        <v>970</v>
      </c>
      <c r="E723" s="171" t="s">
        <v>535</v>
      </c>
      <c r="F723" s="172">
        <v>202</v>
      </c>
      <c r="G723" s="65">
        <f>VLOOKUP(D723,upahbahan,3,FALSE)</f>
        <v>200</v>
      </c>
      <c r="H723" s="125">
        <f>F723*G723</f>
        <v>40400</v>
      </c>
    </row>
    <row r="724" spans="3:13" ht="15.75" customHeight="1">
      <c r="C724" s="145" t="s">
        <v>1226</v>
      </c>
      <c r="D724" s="81"/>
      <c r="E724" s="81"/>
      <c r="F724" s="81"/>
      <c r="G724" s="163"/>
      <c r="H724" s="125">
        <f>SUM(H720:H723)</f>
        <v>1113411.6296296297</v>
      </c>
    </row>
    <row r="725" spans="3:13">
      <c r="C725" s="142" t="s">
        <v>1227</v>
      </c>
      <c r="D725" s="60" t="s">
        <v>1228</v>
      </c>
      <c r="E725" s="74"/>
      <c r="F725" s="74"/>
      <c r="G725" s="74"/>
      <c r="H725" s="152"/>
    </row>
    <row r="726" spans="3:13">
      <c r="C726" s="142">
        <v>1</v>
      </c>
      <c r="D726" s="60" t="s">
        <v>1179</v>
      </c>
      <c r="E726" s="171" t="s">
        <v>1091</v>
      </c>
      <c r="F726" s="191">
        <v>0.14749999999999999</v>
      </c>
      <c r="G726" s="65">
        <f>VLOOKUP(D726,upahbahan,3,FALSE)</f>
        <v>300000</v>
      </c>
      <c r="H726" s="125">
        <f>F726*G726</f>
        <v>44250</v>
      </c>
    </row>
    <row r="727" spans="3:13" ht="15.75" customHeight="1">
      <c r="C727" s="145" t="s">
        <v>1229</v>
      </c>
      <c r="D727" s="81"/>
      <c r="E727" s="81"/>
      <c r="F727" s="81"/>
      <c r="G727" s="163"/>
      <c r="H727" s="125">
        <f>SUM(H726)</f>
        <v>44250</v>
      </c>
    </row>
    <row r="728" spans="3:13" s="164" customFormat="1">
      <c r="C728" s="123" t="s">
        <v>1230</v>
      </c>
      <c r="D728" s="70" t="s">
        <v>1231</v>
      </c>
      <c r="E728" s="71"/>
      <c r="F728" s="71"/>
      <c r="G728" s="72"/>
      <c r="H728" s="125">
        <f>H727+H724+H718</f>
        <v>1312161.6296296297</v>
      </c>
      <c r="I728" s="55"/>
    </row>
    <row r="729" spans="3:13" s="164" customFormat="1">
      <c r="C729" s="123" t="s">
        <v>1232</v>
      </c>
      <c r="D729" s="70" t="s">
        <v>1410</v>
      </c>
      <c r="E729" s="71"/>
      <c r="F729" s="72"/>
      <c r="G729" s="96">
        <f>$M$7</f>
        <v>0.1</v>
      </c>
      <c r="H729" s="125">
        <f>H728*G729</f>
        <v>131216.16296296296</v>
      </c>
      <c r="I729" s="55"/>
    </row>
    <row r="730" spans="3:13" s="164" customFormat="1" ht="15.75" thickBot="1">
      <c r="C730" s="131" t="s">
        <v>1233</v>
      </c>
      <c r="D730" s="132" t="s">
        <v>1234</v>
      </c>
      <c r="E730" s="133"/>
      <c r="F730" s="133"/>
      <c r="G730" s="156"/>
      <c r="H730" s="135">
        <f>SUM(H728:H729)</f>
        <v>1443377.7925925925</v>
      </c>
      <c r="I730" s="55"/>
    </row>
    <row r="731" spans="3:13" ht="15.75" thickTop="1"/>
    <row r="732" spans="3:13" ht="33" customHeight="1" thickBot="1">
      <c r="C732" s="516" t="s">
        <v>1388</v>
      </c>
      <c r="D732" s="516"/>
      <c r="E732" s="516"/>
      <c r="F732" s="516"/>
      <c r="G732" s="516"/>
      <c r="H732" s="516"/>
      <c r="I732" s="57">
        <f>ROUNDDOWN(H752,-2)</f>
        <v>1411000</v>
      </c>
      <c r="M732" s="205"/>
    </row>
    <row r="733" spans="3:13" s="58" customFormat="1" ht="31.5" customHeight="1" thickTop="1">
      <c r="C733" s="120" t="s">
        <v>1207</v>
      </c>
      <c r="D733" s="121" t="s">
        <v>1208</v>
      </c>
      <c r="E733" s="121" t="s">
        <v>1209</v>
      </c>
      <c r="F733" s="121" t="s">
        <v>1210</v>
      </c>
      <c r="G733" s="121" t="s">
        <v>1211</v>
      </c>
      <c r="H733" s="122" t="s">
        <v>1212</v>
      </c>
      <c r="I733" s="161"/>
      <c r="M733" s="205"/>
    </row>
    <row r="734" spans="3:13">
      <c r="C734" s="142" t="s">
        <v>1213</v>
      </c>
      <c r="D734" s="60" t="s">
        <v>1214</v>
      </c>
      <c r="E734" s="74"/>
      <c r="F734" s="74"/>
      <c r="G734" s="74"/>
      <c r="H734" s="147"/>
      <c r="M734" s="205"/>
    </row>
    <row r="735" spans="3:13">
      <c r="C735" s="201" t="s">
        <v>1215</v>
      </c>
      <c r="D735" s="60" t="s">
        <v>5</v>
      </c>
      <c r="E735" s="73" t="s">
        <v>6</v>
      </c>
      <c r="F735" s="75">
        <v>1</v>
      </c>
      <c r="G735" s="65">
        <f>VLOOKUP(D735,upahbahan,3,FALSE)</f>
        <v>100000</v>
      </c>
      <c r="H735" s="125">
        <f>F735*G735</f>
        <v>100000</v>
      </c>
      <c r="M735" s="205"/>
    </row>
    <row r="736" spans="3:13">
      <c r="C736" s="201" t="s">
        <v>1216</v>
      </c>
      <c r="D736" s="60" t="s">
        <v>7</v>
      </c>
      <c r="E736" s="73" t="s">
        <v>6</v>
      </c>
      <c r="F736" s="75">
        <v>0.25</v>
      </c>
      <c r="G736" s="65">
        <f>VLOOKUP(D736,upahbahan,3,FALSE)</f>
        <v>145000</v>
      </c>
      <c r="H736" s="125">
        <f>F736*G736</f>
        <v>36250</v>
      </c>
      <c r="M736" s="205"/>
    </row>
    <row r="737" spans="3:13">
      <c r="C737" s="201" t="s">
        <v>1217</v>
      </c>
      <c r="D737" s="60" t="s">
        <v>1373</v>
      </c>
      <c r="E737" s="73" t="s">
        <v>6</v>
      </c>
      <c r="F737" s="75">
        <v>2.5000000000000001E-2</v>
      </c>
      <c r="G737" s="65">
        <f>VLOOKUP(D737,upahbahan,3,FALSE)</f>
        <v>150000</v>
      </c>
      <c r="H737" s="125">
        <f>F737*G737</f>
        <v>3750</v>
      </c>
      <c r="M737" s="205"/>
    </row>
    <row r="738" spans="3:13">
      <c r="C738" s="201" t="s">
        <v>1218</v>
      </c>
      <c r="D738" s="60" t="s">
        <v>19</v>
      </c>
      <c r="E738" s="73" t="s">
        <v>6</v>
      </c>
      <c r="F738" s="75">
        <v>0.1</v>
      </c>
      <c r="G738" s="65">
        <f>VLOOKUP(D738,upahbahan,3,FALSE)</f>
        <v>145000</v>
      </c>
      <c r="H738" s="125">
        <f>F738*G738</f>
        <v>14500</v>
      </c>
      <c r="M738" s="205"/>
    </row>
    <row r="739" spans="3:13" ht="15.75" customHeight="1">
      <c r="C739" s="145" t="s">
        <v>1220</v>
      </c>
      <c r="D739" s="81"/>
      <c r="E739" s="81"/>
      <c r="F739" s="190"/>
      <c r="G739" s="163"/>
      <c r="H739" s="125">
        <f>SUM(H735:H738)</f>
        <v>154500</v>
      </c>
    </row>
    <row r="740" spans="3:13">
      <c r="C740" s="142" t="s">
        <v>1221</v>
      </c>
      <c r="D740" s="60" t="s">
        <v>1222</v>
      </c>
      <c r="E740" s="74"/>
      <c r="F740" s="74"/>
      <c r="G740" s="74"/>
      <c r="H740" s="147"/>
    </row>
    <row r="741" spans="3:13">
      <c r="C741" s="146" t="s">
        <v>1215</v>
      </c>
      <c r="D741" s="60" t="s">
        <v>1243</v>
      </c>
      <c r="E741" s="171" t="s">
        <v>66</v>
      </c>
      <c r="F741" s="172">
        <v>408</v>
      </c>
      <c r="G741" s="65">
        <f>VLOOKUP(D741,upahbahan,3,FALSE)</f>
        <v>1300</v>
      </c>
      <c r="H741" s="125">
        <f>F741*G741</f>
        <v>530400</v>
      </c>
    </row>
    <row r="742" spans="3:13">
      <c r="C742" s="146" t="s">
        <v>1216</v>
      </c>
      <c r="D742" s="60" t="s">
        <v>80</v>
      </c>
      <c r="E742" s="171" t="s">
        <v>66</v>
      </c>
      <c r="F742" s="172">
        <v>629</v>
      </c>
      <c r="G742" s="65">
        <f>VLOOKUP(D742,upahbahan,3,FALSE)</f>
        <v>300</v>
      </c>
      <c r="H742" s="125">
        <f>F742*G742</f>
        <v>188700</v>
      </c>
    </row>
    <row r="743" spans="3:13">
      <c r="C743" s="146" t="s">
        <v>1217</v>
      </c>
      <c r="D743" s="60" t="s">
        <v>73</v>
      </c>
      <c r="E743" s="171" t="s">
        <v>66</v>
      </c>
      <c r="F743" s="172">
        <v>1009</v>
      </c>
      <c r="G743" s="65">
        <f>VLOOKUP(D743,upahbahan,3,FALSE)/1350</f>
        <v>260.96296296296299</v>
      </c>
      <c r="H743" s="125">
        <f>F743*G743</f>
        <v>263311.62962962966</v>
      </c>
    </row>
    <row r="744" spans="3:13">
      <c r="C744" s="146" t="s">
        <v>1218</v>
      </c>
      <c r="D744" s="60" t="s">
        <v>970</v>
      </c>
      <c r="E744" s="171" t="s">
        <v>535</v>
      </c>
      <c r="F744" s="172">
        <v>202</v>
      </c>
      <c r="G744" s="65">
        <f>VLOOKUP(D744,upahbahan,3,FALSE)</f>
        <v>200</v>
      </c>
      <c r="H744" s="125">
        <f>F744*G744</f>
        <v>40400</v>
      </c>
    </row>
    <row r="745" spans="3:13">
      <c r="C745" s="146" t="s">
        <v>1219</v>
      </c>
      <c r="D745" s="60" t="s">
        <v>75</v>
      </c>
      <c r="E745" s="171" t="s">
        <v>66</v>
      </c>
      <c r="F745" s="172">
        <v>102</v>
      </c>
      <c r="G745" s="65">
        <f>VLOOKUP(D745,upahbahan,3,FALSE)</f>
        <v>600</v>
      </c>
      <c r="H745" s="125">
        <f>F745*G745</f>
        <v>61200</v>
      </c>
    </row>
    <row r="746" spans="3:13" ht="15.75" customHeight="1">
      <c r="C746" s="145" t="s">
        <v>1226</v>
      </c>
      <c r="D746" s="81"/>
      <c r="E746" s="81"/>
      <c r="F746" s="81"/>
      <c r="G746" s="163"/>
      <c r="H746" s="125">
        <f>SUM(H741:H745)</f>
        <v>1084011.6296296297</v>
      </c>
    </row>
    <row r="747" spans="3:13">
      <c r="C747" s="142" t="s">
        <v>1227</v>
      </c>
      <c r="D747" s="60" t="s">
        <v>1228</v>
      </c>
      <c r="E747" s="74"/>
      <c r="F747" s="74"/>
      <c r="G747" s="74"/>
      <c r="H747" s="152"/>
    </row>
    <row r="748" spans="3:13">
      <c r="C748" s="142">
        <v>1</v>
      </c>
      <c r="D748" s="60" t="s">
        <v>1179</v>
      </c>
      <c r="E748" s="171" t="s">
        <v>1091</v>
      </c>
      <c r="F748" s="191">
        <v>0.14749999999999999</v>
      </c>
      <c r="G748" s="65">
        <f>VLOOKUP(D748,upahbahan,3,FALSE)</f>
        <v>300000</v>
      </c>
      <c r="H748" s="125">
        <f>F748*G748</f>
        <v>44250</v>
      </c>
    </row>
    <row r="749" spans="3:13" ht="15.75" customHeight="1">
      <c r="C749" s="145" t="s">
        <v>1229</v>
      </c>
      <c r="D749" s="81"/>
      <c r="E749" s="81"/>
      <c r="F749" s="81"/>
      <c r="G749" s="163"/>
      <c r="H749" s="125">
        <f>SUM(H748)</f>
        <v>44250</v>
      </c>
    </row>
    <row r="750" spans="3:13" s="164" customFormat="1">
      <c r="C750" s="123" t="s">
        <v>1230</v>
      </c>
      <c r="D750" s="70" t="s">
        <v>1231</v>
      </c>
      <c r="E750" s="71"/>
      <c r="F750" s="71"/>
      <c r="G750" s="72"/>
      <c r="H750" s="125">
        <f>H749+H746+H739</f>
        <v>1282761.6296296297</v>
      </c>
      <c r="I750" s="55"/>
    </row>
    <row r="751" spans="3:13" s="164" customFormat="1">
      <c r="C751" s="123" t="s">
        <v>1232</v>
      </c>
      <c r="D751" s="70" t="s">
        <v>1410</v>
      </c>
      <c r="E751" s="71"/>
      <c r="F751" s="72"/>
      <c r="G751" s="96">
        <f>$M$7</f>
        <v>0.1</v>
      </c>
      <c r="H751" s="125">
        <f>H750*G751</f>
        <v>128276.16296296298</v>
      </c>
      <c r="I751" s="55"/>
    </row>
    <row r="752" spans="3:13" s="164" customFormat="1" ht="15.75" thickBot="1">
      <c r="C752" s="131" t="s">
        <v>1233</v>
      </c>
      <c r="D752" s="132" t="s">
        <v>1234</v>
      </c>
      <c r="E752" s="133"/>
      <c r="F752" s="133"/>
      <c r="G752" s="156"/>
      <c r="H752" s="135">
        <f>SUM(H750:H751)</f>
        <v>1411037.7925925925</v>
      </c>
      <c r="I752" s="55"/>
    </row>
    <row r="753" spans="3:13" ht="15.75" thickTop="1"/>
    <row r="754" spans="3:13" ht="15.75" thickBot="1">
      <c r="C754" s="54" t="s">
        <v>1389</v>
      </c>
      <c r="D754" s="54"/>
      <c r="E754" s="54"/>
      <c r="F754" s="54"/>
      <c r="G754" s="54"/>
      <c r="H754" s="54"/>
      <c r="I754" s="57">
        <f>ROUNDDOWN(H774,-2)</f>
        <v>1496200</v>
      </c>
      <c r="M754" s="205"/>
    </row>
    <row r="755" spans="3:13" s="58" customFormat="1" ht="31.5" customHeight="1" thickTop="1">
      <c r="C755" s="120" t="s">
        <v>1207</v>
      </c>
      <c r="D755" s="121" t="s">
        <v>1208</v>
      </c>
      <c r="E755" s="121" t="s">
        <v>1209</v>
      </c>
      <c r="F755" s="121" t="s">
        <v>1210</v>
      </c>
      <c r="G755" s="121" t="s">
        <v>1211</v>
      </c>
      <c r="H755" s="122" t="s">
        <v>1212</v>
      </c>
      <c r="I755" s="161"/>
      <c r="M755" s="205"/>
    </row>
    <row r="756" spans="3:13">
      <c r="C756" s="142" t="s">
        <v>1213</v>
      </c>
      <c r="D756" s="60" t="s">
        <v>1214</v>
      </c>
      <c r="E756" s="74"/>
      <c r="F756" s="74"/>
      <c r="G756" s="74"/>
      <c r="H756" s="147"/>
      <c r="M756" s="205"/>
    </row>
    <row r="757" spans="3:13">
      <c r="C757" s="201" t="s">
        <v>1215</v>
      </c>
      <c r="D757" s="60" t="s">
        <v>5</v>
      </c>
      <c r="E757" s="73" t="s">
        <v>6</v>
      </c>
      <c r="F757" s="75">
        <v>1</v>
      </c>
      <c r="G757" s="65">
        <f>VLOOKUP(D757,upahbahan,3,FALSE)</f>
        <v>100000</v>
      </c>
      <c r="H757" s="125">
        <f>F757*G757</f>
        <v>100000</v>
      </c>
      <c r="M757" s="205"/>
    </row>
    <row r="758" spans="3:13">
      <c r="C758" s="201" t="s">
        <v>1216</v>
      </c>
      <c r="D758" s="60" t="s">
        <v>7</v>
      </c>
      <c r="E758" s="73" t="s">
        <v>6</v>
      </c>
      <c r="F758" s="75">
        <v>0.25</v>
      </c>
      <c r="G758" s="65">
        <f>VLOOKUP(D758,upahbahan,3,FALSE)</f>
        <v>145000</v>
      </c>
      <c r="H758" s="125">
        <f>F758*G758</f>
        <v>36250</v>
      </c>
      <c r="M758" s="205"/>
    </row>
    <row r="759" spans="3:13">
      <c r="C759" s="201" t="s">
        <v>1217</v>
      </c>
      <c r="D759" s="60" t="s">
        <v>1373</v>
      </c>
      <c r="E759" s="73" t="s">
        <v>6</v>
      </c>
      <c r="F759" s="75">
        <v>2.5000000000000001E-2</v>
      </c>
      <c r="G759" s="65">
        <f>VLOOKUP(D759,upahbahan,3,FALSE)</f>
        <v>150000</v>
      </c>
      <c r="H759" s="125">
        <f>F759*G759</f>
        <v>3750</v>
      </c>
      <c r="M759" s="205"/>
    </row>
    <row r="760" spans="3:13">
      <c r="C760" s="201" t="s">
        <v>1218</v>
      </c>
      <c r="D760" s="60" t="s">
        <v>19</v>
      </c>
      <c r="E760" s="73" t="s">
        <v>6</v>
      </c>
      <c r="F760" s="75">
        <v>0.1</v>
      </c>
      <c r="G760" s="65">
        <f>VLOOKUP(D760,upahbahan,3,FALSE)</f>
        <v>145000</v>
      </c>
      <c r="H760" s="125">
        <f>F760*G760</f>
        <v>14500</v>
      </c>
      <c r="M760" s="205"/>
    </row>
    <row r="761" spans="3:13" ht="15.75" customHeight="1">
      <c r="C761" s="145" t="s">
        <v>1220</v>
      </c>
      <c r="D761" s="81"/>
      <c r="E761" s="81"/>
      <c r="F761" s="190"/>
      <c r="G761" s="163"/>
      <c r="H761" s="125">
        <f>SUM(H757:H760)</f>
        <v>154500</v>
      </c>
    </row>
    <row r="762" spans="3:13">
      <c r="C762" s="142" t="s">
        <v>1221</v>
      </c>
      <c r="D762" s="60" t="s">
        <v>1222</v>
      </c>
      <c r="E762" s="74"/>
      <c r="F762" s="74"/>
      <c r="G762" s="74"/>
      <c r="H762" s="147"/>
    </row>
    <row r="763" spans="3:13">
      <c r="C763" s="146" t="s">
        <v>1215</v>
      </c>
      <c r="D763" s="60" t="s">
        <v>1243</v>
      </c>
      <c r="E763" s="171" t="s">
        <v>66</v>
      </c>
      <c r="F763" s="206">
        <v>400</v>
      </c>
      <c r="G763" s="65">
        <f>VLOOKUP(D763,upahbahan,3,FALSE)</f>
        <v>1300</v>
      </c>
      <c r="H763" s="125">
        <f>F763*G763</f>
        <v>520000</v>
      </c>
    </row>
    <row r="764" spans="3:13">
      <c r="C764" s="146" t="s">
        <v>1216</v>
      </c>
      <c r="D764" s="60" t="s">
        <v>80</v>
      </c>
      <c r="E764" s="171" t="s">
        <v>66</v>
      </c>
      <c r="F764" s="206">
        <v>672</v>
      </c>
      <c r="G764" s="65">
        <f>VLOOKUP(D764,upahbahan,3,FALSE)</f>
        <v>300</v>
      </c>
      <c r="H764" s="125">
        <f>F764*G764</f>
        <v>201600</v>
      </c>
    </row>
    <row r="765" spans="3:13">
      <c r="C765" s="146" t="s">
        <v>1217</v>
      </c>
      <c r="D765" s="60" t="s">
        <v>73</v>
      </c>
      <c r="E765" s="171" t="s">
        <v>66</v>
      </c>
      <c r="F765" s="206">
        <v>1440</v>
      </c>
      <c r="G765" s="65">
        <f>VLOOKUP(D765,upahbahan,3,FALSE)/1450</f>
        <v>242.9655172413793</v>
      </c>
      <c r="H765" s="125">
        <f>F765*G765</f>
        <v>349870.3448275862</v>
      </c>
    </row>
    <row r="766" spans="3:13">
      <c r="C766" s="146" t="s">
        <v>1218</v>
      </c>
      <c r="D766" s="60" t="s">
        <v>1071</v>
      </c>
      <c r="E766" s="171" t="s">
        <v>66</v>
      </c>
      <c r="F766" s="191">
        <v>1.2</v>
      </c>
      <c r="G766" s="65">
        <f>VLOOKUP(D766,upahbahan,3,FALSE)</f>
        <v>40000</v>
      </c>
      <c r="H766" s="125">
        <f>F766*G766</f>
        <v>48000</v>
      </c>
    </row>
    <row r="767" spans="3:13">
      <c r="C767" s="146" t="s">
        <v>1219</v>
      </c>
      <c r="D767" s="60" t="s">
        <v>970</v>
      </c>
      <c r="E767" s="171" t="s">
        <v>535</v>
      </c>
      <c r="F767" s="206">
        <v>210</v>
      </c>
      <c r="G767" s="65">
        <f>VLOOKUP(D767,upahbahan,3,FALSE)</f>
        <v>200</v>
      </c>
      <c r="H767" s="125">
        <f>F767*G767</f>
        <v>42000</v>
      </c>
    </row>
    <row r="768" spans="3:13" ht="15.75" customHeight="1">
      <c r="C768" s="145" t="s">
        <v>1226</v>
      </c>
      <c r="D768" s="81"/>
      <c r="E768" s="81"/>
      <c r="F768" s="81"/>
      <c r="G768" s="163"/>
      <c r="H768" s="125">
        <f>SUM(H763:H767)</f>
        <v>1161470.3448275863</v>
      </c>
    </row>
    <row r="769" spans="3:13">
      <c r="C769" s="142" t="s">
        <v>1227</v>
      </c>
      <c r="D769" s="60" t="s">
        <v>1228</v>
      </c>
      <c r="E769" s="74"/>
      <c r="F769" s="74"/>
      <c r="G769" s="74"/>
      <c r="H769" s="152"/>
    </row>
    <row r="770" spans="3:13">
      <c r="C770" s="142">
        <v>1</v>
      </c>
      <c r="D770" s="60" t="s">
        <v>1179</v>
      </c>
      <c r="E770" s="171" t="s">
        <v>1091</v>
      </c>
      <c r="F770" s="191">
        <v>0.14749999999999999</v>
      </c>
      <c r="G770" s="65">
        <f>VLOOKUP(D770,upahbahan,3,FALSE)</f>
        <v>300000</v>
      </c>
      <c r="H770" s="125">
        <f>F770*G770</f>
        <v>44250</v>
      </c>
    </row>
    <row r="771" spans="3:13" ht="15.75" customHeight="1">
      <c r="C771" s="145" t="s">
        <v>1229</v>
      </c>
      <c r="D771" s="81"/>
      <c r="E771" s="81"/>
      <c r="F771" s="81"/>
      <c r="G771" s="163"/>
      <c r="H771" s="125">
        <f>SUM(H770)</f>
        <v>44250</v>
      </c>
    </row>
    <row r="772" spans="3:13" s="164" customFormat="1">
      <c r="C772" s="123" t="s">
        <v>1230</v>
      </c>
      <c r="D772" s="70" t="s">
        <v>1231</v>
      </c>
      <c r="E772" s="71"/>
      <c r="F772" s="71"/>
      <c r="G772" s="72"/>
      <c r="H772" s="125">
        <f>H771+H768+H761</f>
        <v>1360220.3448275863</v>
      </c>
      <c r="I772" s="55"/>
    </row>
    <row r="773" spans="3:13" s="164" customFormat="1">
      <c r="C773" s="123" t="s">
        <v>1232</v>
      </c>
      <c r="D773" s="70" t="s">
        <v>1410</v>
      </c>
      <c r="E773" s="71"/>
      <c r="F773" s="72"/>
      <c r="G773" s="96">
        <f>$M$7</f>
        <v>0.1</v>
      </c>
      <c r="H773" s="125">
        <f>H772*G773</f>
        <v>136022.03448275864</v>
      </c>
      <c r="I773" s="55"/>
    </row>
    <row r="774" spans="3:13" s="164" customFormat="1" ht="15.75" thickBot="1">
      <c r="C774" s="131" t="s">
        <v>1233</v>
      </c>
      <c r="D774" s="132" t="s">
        <v>1234</v>
      </c>
      <c r="E774" s="133"/>
      <c r="F774" s="133"/>
      <c r="G774" s="156"/>
      <c r="H774" s="135">
        <f>SUM(H772:H773)</f>
        <v>1496242.379310345</v>
      </c>
      <c r="I774" s="55"/>
    </row>
    <row r="775" spans="3:13" ht="15.75" thickTop="1"/>
    <row r="776" spans="3:13" ht="15.75" thickBot="1">
      <c r="C776" s="54" t="s">
        <v>1390</v>
      </c>
      <c r="D776" s="54"/>
      <c r="E776" s="54"/>
      <c r="F776" s="54"/>
      <c r="G776" s="54"/>
      <c r="H776" s="54"/>
      <c r="I776" s="57">
        <f>ROUNDDOWN(H791,-2)</f>
        <v>1119400</v>
      </c>
      <c r="M776" s="205"/>
    </row>
    <row r="777" spans="3:13" s="58" customFormat="1" ht="31.5" customHeight="1" thickTop="1">
      <c r="C777" s="120" t="s">
        <v>1207</v>
      </c>
      <c r="D777" s="121" t="s">
        <v>1208</v>
      </c>
      <c r="E777" s="121" t="s">
        <v>1209</v>
      </c>
      <c r="F777" s="121" t="s">
        <v>1210</v>
      </c>
      <c r="G777" s="121" t="s">
        <v>1211</v>
      </c>
      <c r="H777" s="122" t="s">
        <v>1212</v>
      </c>
      <c r="I777" s="161"/>
      <c r="M777" s="205"/>
    </row>
    <row r="778" spans="3:13">
      <c r="C778" s="142" t="s">
        <v>1213</v>
      </c>
      <c r="D778" s="60" t="s">
        <v>1214</v>
      </c>
      <c r="E778" s="74"/>
      <c r="F778" s="74"/>
      <c r="G778" s="74"/>
      <c r="H778" s="147"/>
      <c r="M778" s="205"/>
    </row>
    <row r="779" spans="3:13">
      <c r="C779" s="201" t="s">
        <v>1215</v>
      </c>
      <c r="D779" s="60" t="s">
        <v>5</v>
      </c>
      <c r="E779" s="73" t="s">
        <v>6</v>
      </c>
      <c r="F779" s="75">
        <v>0.4</v>
      </c>
      <c r="G779" s="65">
        <f>VLOOKUP(D779,upahbahan,3,FALSE)</f>
        <v>100000</v>
      </c>
      <c r="H779" s="125">
        <f>F779*G779</f>
        <v>40000</v>
      </c>
      <c r="M779" s="205"/>
    </row>
    <row r="780" spans="3:13">
      <c r="C780" s="201" t="s">
        <v>1216</v>
      </c>
      <c r="D780" s="60" t="s">
        <v>7</v>
      </c>
      <c r="E780" s="73" t="s">
        <v>6</v>
      </c>
      <c r="F780" s="75">
        <v>0.1</v>
      </c>
      <c r="G780" s="65">
        <f>VLOOKUP(D780,upahbahan,3,FALSE)</f>
        <v>145000</v>
      </c>
      <c r="H780" s="125">
        <f>F780*G780</f>
        <v>14500</v>
      </c>
      <c r="M780" s="205"/>
    </row>
    <row r="781" spans="3:13">
      <c r="C781" s="201" t="s">
        <v>1217</v>
      </c>
      <c r="D781" s="60" t="s">
        <v>1373</v>
      </c>
      <c r="E781" s="73" t="s">
        <v>6</v>
      </c>
      <c r="F781" s="75">
        <v>0.01</v>
      </c>
      <c r="G781" s="65">
        <f>VLOOKUP(D781,upahbahan,3,FALSE)</f>
        <v>150000</v>
      </c>
      <c r="H781" s="125">
        <f>F781*G781</f>
        <v>1500</v>
      </c>
      <c r="M781" s="205"/>
    </row>
    <row r="782" spans="3:13">
      <c r="C782" s="201" t="s">
        <v>1218</v>
      </c>
      <c r="D782" s="60" t="s">
        <v>19</v>
      </c>
      <c r="E782" s="73" t="s">
        <v>6</v>
      </c>
      <c r="F782" s="75">
        <v>0.04</v>
      </c>
      <c r="G782" s="65">
        <f>VLOOKUP(D782,upahbahan,3,FALSE)</f>
        <v>145000</v>
      </c>
      <c r="H782" s="125">
        <f>F782*G782</f>
        <v>5800</v>
      </c>
      <c r="M782" s="205"/>
    </row>
    <row r="783" spans="3:13" ht="15.75" customHeight="1">
      <c r="C783" s="145" t="s">
        <v>1220</v>
      </c>
      <c r="D783" s="81"/>
      <c r="E783" s="81"/>
      <c r="F783" s="190"/>
      <c r="G783" s="163"/>
      <c r="H783" s="125">
        <f>SUM(H779:H782)</f>
        <v>61800</v>
      </c>
    </row>
    <row r="784" spans="3:13">
      <c r="C784" s="142" t="s">
        <v>1221</v>
      </c>
      <c r="D784" s="60" t="s">
        <v>1222</v>
      </c>
      <c r="E784" s="74"/>
      <c r="F784" s="74"/>
      <c r="G784" s="74"/>
      <c r="H784" s="147"/>
    </row>
    <row r="785" spans="3:13">
      <c r="C785" s="146" t="s">
        <v>1215</v>
      </c>
      <c r="D785" s="60" t="s">
        <v>543</v>
      </c>
      <c r="E785" s="171" t="s">
        <v>42</v>
      </c>
      <c r="F785" s="172">
        <v>1.02</v>
      </c>
      <c r="G785" s="65">
        <f>VLOOKUP(D785,upahbahan,3,FALSE)</f>
        <v>937100</v>
      </c>
      <c r="H785" s="125">
        <f>F785*G785</f>
        <v>955842</v>
      </c>
    </row>
    <row r="786" spans="3:13" ht="15.75" customHeight="1">
      <c r="C786" s="145" t="s">
        <v>1226</v>
      </c>
      <c r="D786" s="81"/>
      <c r="E786" s="81"/>
      <c r="F786" s="81"/>
      <c r="G786" s="163"/>
      <c r="H786" s="125">
        <f>SUM(H785:H785)</f>
        <v>955842</v>
      </c>
    </row>
    <row r="787" spans="3:13">
      <c r="C787" s="142" t="s">
        <v>1227</v>
      </c>
      <c r="D787" s="60" t="s">
        <v>1228</v>
      </c>
      <c r="E787" s="74"/>
      <c r="F787" s="74"/>
      <c r="G787" s="74"/>
      <c r="H787" s="152"/>
    </row>
    <row r="788" spans="3:13" ht="15.75" customHeight="1">
      <c r="C788" s="145" t="s">
        <v>1229</v>
      </c>
      <c r="D788" s="81"/>
      <c r="E788" s="81"/>
      <c r="F788" s="81"/>
      <c r="G788" s="163"/>
      <c r="H788" s="185">
        <v>0</v>
      </c>
    </row>
    <row r="789" spans="3:13" s="164" customFormat="1">
      <c r="C789" s="123" t="s">
        <v>1230</v>
      </c>
      <c r="D789" s="70" t="s">
        <v>1231</v>
      </c>
      <c r="E789" s="71"/>
      <c r="F789" s="71"/>
      <c r="G789" s="72"/>
      <c r="H789" s="125">
        <f>H788+H786+H783</f>
        <v>1017642</v>
      </c>
      <c r="I789" s="55"/>
    </row>
    <row r="790" spans="3:13" s="164" customFormat="1">
      <c r="C790" s="123" t="s">
        <v>1232</v>
      </c>
      <c r="D790" s="70" t="s">
        <v>1410</v>
      </c>
      <c r="E790" s="71"/>
      <c r="F790" s="72"/>
      <c r="G790" s="96">
        <f>$M$7</f>
        <v>0.1</v>
      </c>
      <c r="H790" s="125">
        <f>H789*G790</f>
        <v>101764.20000000001</v>
      </c>
      <c r="I790" s="55"/>
    </row>
    <row r="791" spans="3:13" s="164" customFormat="1" ht="15.75" thickBot="1">
      <c r="C791" s="131" t="s">
        <v>1233</v>
      </c>
      <c r="D791" s="132" t="s">
        <v>1234</v>
      </c>
      <c r="E791" s="133"/>
      <c r="F791" s="133"/>
      <c r="G791" s="156"/>
      <c r="H791" s="135">
        <f>SUM(H789:H790)</f>
        <v>1119406.2</v>
      </c>
      <c r="I791" s="55"/>
    </row>
    <row r="792" spans="3:13" ht="15.75" thickTop="1"/>
    <row r="793" spans="3:13" ht="15.75" thickBot="1">
      <c r="C793" s="54" t="s">
        <v>1391</v>
      </c>
      <c r="D793" s="54"/>
      <c r="E793" s="54"/>
      <c r="F793" s="54"/>
      <c r="G793" s="54"/>
      <c r="H793" s="54"/>
      <c r="I793" s="57">
        <f>ROUNDDOWN(H805,-2)</f>
        <v>63400</v>
      </c>
      <c r="M793" s="205"/>
    </row>
    <row r="794" spans="3:13" s="58" customFormat="1" ht="31.5" customHeight="1" thickTop="1">
      <c r="C794" s="120" t="s">
        <v>1207</v>
      </c>
      <c r="D794" s="121" t="s">
        <v>1208</v>
      </c>
      <c r="E794" s="121" t="s">
        <v>1209</v>
      </c>
      <c r="F794" s="121" t="s">
        <v>1210</v>
      </c>
      <c r="G794" s="121" t="s">
        <v>1211</v>
      </c>
      <c r="H794" s="122" t="s">
        <v>1212</v>
      </c>
      <c r="I794" s="161"/>
      <c r="M794" s="205"/>
    </row>
    <row r="795" spans="3:13">
      <c r="C795" s="142" t="s">
        <v>1213</v>
      </c>
      <c r="D795" s="60" t="s">
        <v>1214</v>
      </c>
      <c r="E795" s="74"/>
      <c r="F795" s="74"/>
      <c r="G795" s="74"/>
      <c r="H795" s="147"/>
      <c r="M795" s="205"/>
    </row>
    <row r="796" spans="3:13">
      <c r="C796" s="201" t="s">
        <v>1215</v>
      </c>
      <c r="D796" s="60" t="s">
        <v>5</v>
      </c>
      <c r="E796" s="73" t="s">
        <v>6</v>
      </c>
      <c r="F796" s="184">
        <v>0.50370000000000004</v>
      </c>
      <c r="G796" s="65">
        <f>VLOOKUP(D796,upahbahan,3,FALSE)</f>
        <v>100000</v>
      </c>
      <c r="H796" s="125">
        <f>F796*G796</f>
        <v>50370.000000000007</v>
      </c>
      <c r="M796" s="205"/>
    </row>
    <row r="797" spans="3:13">
      <c r="C797" s="201" t="s">
        <v>1216</v>
      </c>
      <c r="D797" s="60" t="s">
        <v>19</v>
      </c>
      <c r="E797" s="73" t="s">
        <v>6</v>
      </c>
      <c r="F797" s="184">
        <v>5.04E-2</v>
      </c>
      <c r="G797" s="65">
        <f>VLOOKUP(D797,upahbahan,3,FALSE)</f>
        <v>145000</v>
      </c>
      <c r="H797" s="125">
        <f>F797*G797</f>
        <v>7308</v>
      </c>
      <c r="M797" s="205"/>
    </row>
    <row r="798" spans="3:13" ht="15.75" customHeight="1">
      <c r="C798" s="145" t="s">
        <v>1220</v>
      </c>
      <c r="D798" s="81"/>
      <c r="E798" s="81"/>
      <c r="F798" s="190"/>
      <c r="G798" s="163"/>
      <c r="H798" s="125">
        <f>SUM(H796:H797)</f>
        <v>57678.000000000007</v>
      </c>
    </row>
    <row r="799" spans="3:13">
      <c r="C799" s="142" t="s">
        <v>1221</v>
      </c>
      <c r="D799" s="60" t="s">
        <v>1222</v>
      </c>
      <c r="E799" s="74"/>
      <c r="F799" s="74"/>
      <c r="G799" s="74"/>
      <c r="H799" s="147"/>
    </row>
    <row r="800" spans="3:13" ht="15.75" customHeight="1">
      <c r="C800" s="145" t="s">
        <v>1226</v>
      </c>
      <c r="D800" s="81"/>
      <c r="E800" s="81"/>
      <c r="F800" s="81"/>
      <c r="G800" s="163"/>
      <c r="H800" s="185">
        <v>0</v>
      </c>
    </row>
    <row r="801" spans="3:13">
      <c r="C801" s="142" t="s">
        <v>1227</v>
      </c>
      <c r="D801" s="60" t="s">
        <v>1228</v>
      </c>
      <c r="E801" s="74"/>
      <c r="F801" s="74"/>
      <c r="G801" s="74"/>
      <c r="H801" s="152"/>
    </row>
    <row r="802" spans="3:13" ht="15.75" customHeight="1">
      <c r="C802" s="145" t="s">
        <v>1229</v>
      </c>
      <c r="D802" s="81"/>
      <c r="E802" s="81"/>
      <c r="F802" s="81"/>
      <c r="G802" s="163"/>
      <c r="H802" s="185">
        <v>0</v>
      </c>
    </row>
    <row r="803" spans="3:13" s="164" customFormat="1">
      <c r="C803" s="123" t="s">
        <v>1230</v>
      </c>
      <c r="D803" s="70" t="s">
        <v>1231</v>
      </c>
      <c r="E803" s="71"/>
      <c r="F803" s="71"/>
      <c r="G803" s="72"/>
      <c r="H803" s="125">
        <f>H802+H800+H798</f>
        <v>57678.000000000007</v>
      </c>
      <c r="I803" s="55"/>
    </row>
    <row r="804" spans="3:13" s="164" customFormat="1">
      <c r="C804" s="123" t="s">
        <v>1232</v>
      </c>
      <c r="D804" s="70" t="s">
        <v>1410</v>
      </c>
      <c r="E804" s="71"/>
      <c r="F804" s="72"/>
      <c r="G804" s="96">
        <f>$M$7</f>
        <v>0.1</v>
      </c>
      <c r="H804" s="125">
        <f>H803*G804</f>
        <v>5767.8000000000011</v>
      </c>
      <c r="I804" s="55"/>
    </row>
    <row r="805" spans="3:13" s="164" customFormat="1" ht="15.75" thickBot="1">
      <c r="C805" s="131" t="s">
        <v>1233</v>
      </c>
      <c r="D805" s="132" t="s">
        <v>1234</v>
      </c>
      <c r="E805" s="133"/>
      <c r="F805" s="133"/>
      <c r="G805" s="156"/>
      <c r="H805" s="135">
        <f>SUM(H803:H804)</f>
        <v>63445.80000000001</v>
      </c>
      <c r="I805" s="55"/>
    </row>
    <row r="806" spans="3:13" ht="15.75" thickTop="1"/>
    <row r="807" spans="3:13" ht="15.75" thickBot="1">
      <c r="C807" s="54" t="s">
        <v>1392</v>
      </c>
      <c r="D807" s="54"/>
      <c r="E807" s="54"/>
      <c r="F807" s="54"/>
      <c r="G807" s="54"/>
      <c r="H807" s="54"/>
      <c r="I807" s="57">
        <f>ROUNDDOWN(H819,-2)</f>
        <v>135100</v>
      </c>
      <c r="M807" s="205"/>
    </row>
    <row r="808" spans="3:13" s="58" customFormat="1" ht="31.5" customHeight="1" thickTop="1">
      <c r="C808" s="120" t="s">
        <v>1207</v>
      </c>
      <c r="D808" s="121" t="s">
        <v>1208</v>
      </c>
      <c r="E808" s="121" t="s">
        <v>1209</v>
      </c>
      <c r="F808" s="121" t="s">
        <v>1210</v>
      </c>
      <c r="G808" s="121" t="s">
        <v>1211</v>
      </c>
      <c r="H808" s="122" t="s">
        <v>1212</v>
      </c>
      <c r="I808" s="161"/>
      <c r="M808" s="205"/>
    </row>
    <row r="809" spans="3:13">
      <c r="C809" s="142" t="s">
        <v>1213</v>
      </c>
      <c r="D809" s="60" t="s">
        <v>1214</v>
      </c>
      <c r="E809" s="74"/>
      <c r="F809" s="74"/>
      <c r="G809" s="74"/>
      <c r="H809" s="147"/>
      <c r="M809" s="205"/>
    </row>
    <row r="810" spans="3:13">
      <c r="C810" s="201" t="s">
        <v>1215</v>
      </c>
      <c r="D810" s="60" t="s">
        <v>5</v>
      </c>
      <c r="E810" s="73" t="s">
        <v>6</v>
      </c>
      <c r="F810" s="184">
        <v>1.0733999999999999</v>
      </c>
      <c r="G810" s="65">
        <f>VLOOKUP(D810,upahbahan,3,FALSE)</f>
        <v>100000</v>
      </c>
      <c r="H810" s="125">
        <f>F810*G810</f>
        <v>107339.99999999999</v>
      </c>
      <c r="M810" s="205"/>
    </row>
    <row r="811" spans="3:13">
      <c r="C811" s="201" t="s">
        <v>1216</v>
      </c>
      <c r="D811" s="60" t="s">
        <v>19</v>
      </c>
      <c r="E811" s="73" t="s">
        <v>6</v>
      </c>
      <c r="F811" s="184">
        <v>0.10730000000000001</v>
      </c>
      <c r="G811" s="65">
        <f>VLOOKUP(D811,upahbahan,3,FALSE)</f>
        <v>145000</v>
      </c>
      <c r="H811" s="125">
        <f>F811*G811</f>
        <v>15558.500000000002</v>
      </c>
      <c r="M811" s="205"/>
    </row>
    <row r="812" spans="3:13" ht="15.75" customHeight="1">
      <c r="C812" s="145" t="s">
        <v>1220</v>
      </c>
      <c r="D812" s="81"/>
      <c r="E812" s="81"/>
      <c r="F812" s="190"/>
      <c r="G812" s="163"/>
      <c r="H812" s="125">
        <f>SUM(H810:H811)</f>
        <v>122898.49999999999</v>
      </c>
    </row>
    <row r="813" spans="3:13">
      <c r="C813" s="142" t="s">
        <v>1221</v>
      </c>
      <c r="D813" s="60" t="s">
        <v>1222</v>
      </c>
      <c r="E813" s="74"/>
      <c r="F813" s="74"/>
      <c r="G813" s="74"/>
      <c r="H813" s="147"/>
    </row>
    <row r="814" spans="3:13" ht="15.75" customHeight="1">
      <c r="C814" s="145" t="s">
        <v>1226</v>
      </c>
      <c r="D814" s="81"/>
      <c r="E814" s="81"/>
      <c r="F814" s="81"/>
      <c r="G814" s="163"/>
      <c r="H814" s="185">
        <v>0</v>
      </c>
    </row>
    <row r="815" spans="3:13">
      <c r="C815" s="142" t="s">
        <v>1227</v>
      </c>
      <c r="D815" s="60" t="s">
        <v>1228</v>
      </c>
      <c r="E815" s="74"/>
      <c r="F815" s="74"/>
      <c r="G815" s="74"/>
      <c r="H815" s="152"/>
    </row>
    <row r="816" spans="3:13" ht="15.75" customHeight="1">
      <c r="C816" s="145" t="s">
        <v>1229</v>
      </c>
      <c r="D816" s="81"/>
      <c r="E816" s="81"/>
      <c r="F816" s="81"/>
      <c r="G816" s="163"/>
      <c r="H816" s="185">
        <v>0</v>
      </c>
    </row>
    <row r="817" spans="3:13" s="164" customFormat="1">
      <c r="C817" s="123" t="s">
        <v>1230</v>
      </c>
      <c r="D817" s="70" t="s">
        <v>1231</v>
      </c>
      <c r="E817" s="71"/>
      <c r="F817" s="71"/>
      <c r="G817" s="72"/>
      <c r="H817" s="125">
        <f>H816+H814+H812</f>
        <v>122898.49999999999</v>
      </c>
      <c r="I817" s="55"/>
    </row>
    <row r="818" spans="3:13" s="164" customFormat="1">
      <c r="C818" s="123" t="s">
        <v>1232</v>
      </c>
      <c r="D818" s="70" t="s">
        <v>1410</v>
      </c>
      <c r="E818" s="71"/>
      <c r="F818" s="72"/>
      <c r="G818" s="96">
        <f>$M$7</f>
        <v>0.1</v>
      </c>
      <c r="H818" s="125">
        <f>H817*G818</f>
        <v>12289.849999999999</v>
      </c>
      <c r="I818" s="55"/>
    </row>
    <row r="819" spans="3:13" s="164" customFormat="1" ht="15.75" thickBot="1">
      <c r="C819" s="131" t="s">
        <v>1233</v>
      </c>
      <c r="D819" s="132" t="s">
        <v>1234</v>
      </c>
      <c r="E819" s="133"/>
      <c r="F819" s="133"/>
      <c r="G819" s="156"/>
      <c r="H819" s="135">
        <f>SUM(H817:H818)</f>
        <v>135188.34999999998</v>
      </c>
      <c r="I819" s="55"/>
    </row>
    <row r="820" spans="3:13" ht="15.75" thickTop="1"/>
    <row r="821" spans="3:13" ht="15.75" thickBot="1">
      <c r="C821" s="54" t="s">
        <v>1393</v>
      </c>
      <c r="D821" s="54"/>
      <c r="E821" s="54"/>
      <c r="F821" s="54"/>
      <c r="G821" s="54"/>
      <c r="H821" s="54"/>
      <c r="I821" s="57">
        <f>ROUNDDOWN(H834,-2)</f>
        <v>941600</v>
      </c>
      <c r="M821" s="205"/>
    </row>
    <row r="822" spans="3:13" s="58" customFormat="1" ht="31.5" customHeight="1" thickTop="1">
      <c r="C822" s="120" t="s">
        <v>1207</v>
      </c>
      <c r="D822" s="121" t="s">
        <v>1208</v>
      </c>
      <c r="E822" s="121" t="s">
        <v>1209</v>
      </c>
      <c r="F822" s="121" t="s">
        <v>1210</v>
      </c>
      <c r="G822" s="121" t="s">
        <v>1211</v>
      </c>
      <c r="H822" s="122" t="s">
        <v>1212</v>
      </c>
      <c r="I822" s="161"/>
      <c r="M822" s="205"/>
    </row>
    <row r="823" spans="3:13">
      <c r="C823" s="142" t="s">
        <v>1213</v>
      </c>
      <c r="D823" s="60" t="s">
        <v>1214</v>
      </c>
      <c r="E823" s="74"/>
      <c r="F823" s="74"/>
      <c r="G823" s="74"/>
      <c r="H823" s="147"/>
      <c r="M823" s="205"/>
    </row>
    <row r="824" spans="3:13">
      <c r="C824" s="201" t="s">
        <v>1215</v>
      </c>
      <c r="D824" s="60" t="s">
        <v>5</v>
      </c>
      <c r="E824" s="73" t="s">
        <v>6</v>
      </c>
      <c r="F824" s="75">
        <v>0.14000000000000001</v>
      </c>
      <c r="G824" s="65">
        <f>VLOOKUP(D824,upahbahan,3,FALSE)</f>
        <v>100000</v>
      </c>
      <c r="H824" s="125">
        <f>F824*G824</f>
        <v>14000.000000000002</v>
      </c>
      <c r="M824" s="205"/>
    </row>
    <row r="825" spans="3:13">
      <c r="C825" s="201" t="s">
        <v>1216</v>
      </c>
      <c r="D825" s="60" t="s">
        <v>19</v>
      </c>
      <c r="E825" s="73" t="s">
        <v>6</v>
      </c>
      <c r="F825" s="75">
        <v>1.4E-2</v>
      </c>
      <c r="G825" s="65">
        <f>VLOOKUP(D825,upahbahan,3,FALSE)</f>
        <v>145000</v>
      </c>
      <c r="H825" s="125">
        <f>F825*G825</f>
        <v>2030</v>
      </c>
      <c r="M825" s="205"/>
    </row>
    <row r="826" spans="3:13" ht="15.75" customHeight="1">
      <c r="C826" s="145" t="s">
        <v>1220</v>
      </c>
      <c r="D826" s="81"/>
      <c r="E826" s="81"/>
      <c r="F826" s="190"/>
      <c r="G826" s="163"/>
      <c r="H826" s="125">
        <f>SUM(H824:H825)</f>
        <v>16030.000000000002</v>
      </c>
    </row>
    <row r="827" spans="3:13">
      <c r="C827" s="142" t="s">
        <v>1221</v>
      </c>
      <c r="D827" s="60" t="s">
        <v>1222</v>
      </c>
      <c r="E827" s="74"/>
      <c r="F827" s="74"/>
      <c r="G827" s="74"/>
      <c r="H827" s="147"/>
    </row>
    <row r="828" spans="3:13" ht="15.75" customHeight="1">
      <c r="C828" s="145" t="s">
        <v>1226</v>
      </c>
      <c r="D828" s="81"/>
      <c r="E828" s="81"/>
      <c r="F828" s="81"/>
      <c r="G828" s="163"/>
      <c r="H828" s="185">
        <v>0</v>
      </c>
    </row>
    <row r="829" spans="3:13">
      <c r="C829" s="142" t="s">
        <v>1227</v>
      </c>
      <c r="D829" s="60" t="s">
        <v>1228</v>
      </c>
      <c r="E829" s="74"/>
      <c r="F829" s="74"/>
      <c r="G829" s="74"/>
      <c r="H829" s="152"/>
    </row>
    <row r="830" spans="3:13">
      <c r="C830" s="146" t="s">
        <v>1215</v>
      </c>
      <c r="D830" s="78" t="s">
        <v>1143</v>
      </c>
      <c r="E830" s="171" t="s">
        <v>1091</v>
      </c>
      <c r="F830" s="172">
        <v>0.14000000000000001</v>
      </c>
      <c r="G830" s="65">
        <f>VLOOKUP(D830,upahbahan,3,FALSE)</f>
        <v>6000000</v>
      </c>
      <c r="H830" s="125">
        <f>F830*G830</f>
        <v>840000.00000000012</v>
      </c>
    </row>
    <row r="831" spans="3:13" ht="15.75" customHeight="1">
      <c r="C831" s="145" t="s">
        <v>1229</v>
      </c>
      <c r="D831" s="81"/>
      <c r="E831" s="81"/>
      <c r="F831" s="81"/>
      <c r="G831" s="163"/>
      <c r="H831" s="125">
        <f>SUM(H830)</f>
        <v>840000.00000000012</v>
      </c>
    </row>
    <row r="832" spans="3:13" s="164" customFormat="1">
      <c r="C832" s="123" t="s">
        <v>1230</v>
      </c>
      <c r="D832" s="70" t="s">
        <v>1231</v>
      </c>
      <c r="E832" s="71"/>
      <c r="F832" s="71"/>
      <c r="G832" s="72"/>
      <c r="H832" s="125">
        <f>H831+H828+H826</f>
        <v>856030.00000000012</v>
      </c>
      <c r="I832" s="55"/>
    </row>
    <row r="833" spans="3:13" s="164" customFormat="1">
      <c r="C833" s="123" t="s">
        <v>1232</v>
      </c>
      <c r="D833" s="70" t="s">
        <v>1410</v>
      </c>
      <c r="E833" s="71"/>
      <c r="F833" s="72"/>
      <c r="G833" s="96">
        <f>$M$7</f>
        <v>0.1</v>
      </c>
      <c r="H833" s="125">
        <f>H832*G833</f>
        <v>85603.000000000015</v>
      </c>
      <c r="I833" s="55"/>
    </row>
    <row r="834" spans="3:13" s="164" customFormat="1" ht="15.75" thickBot="1">
      <c r="C834" s="131" t="s">
        <v>1233</v>
      </c>
      <c r="D834" s="132" t="s">
        <v>1234</v>
      </c>
      <c r="E834" s="133"/>
      <c r="F834" s="133"/>
      <c r="G834" s="156"/>
      <c r="H834" s="135">
        <f>SUM(H832:H833)</f>
        <v>941633.00000000012</v>
      </c>
      <c r="I834" s="55"/>
    </row>
    <row r="835" spans="3:13" ht="15.75" thickTop="1"/>
    <row r="836" spans="3:13" ht="15.75" thickBot="1">
      <c r="C836" s="54" t="s">
        <v>1394</v>
      </c>
      <c r="D836" s="54"/>
      <c r="E836" s="54"/>
      <c r="F836" s="54"/>
      <c r="G836" s="54"/>
      <c r="H836" s="54"/>
      <c r="I836" s="57" t="e">
        <f>ROUNDDOWN(H849,-2)</f>
        <v>#VALUE!</v>
      </c>
      <c r="M836" s="205"/>
    </row>
    <row r="837" spans="3:13" s="58" customFormat="1" ht="31.5" customHeight="1" thickTop="1">
      <c r="C837" s="120" t="s">
        <v>1207</v>
      </c>
      <c r="D837" s="121" t="s">
        <v>1208</v>
      </c>
      <c r="E837" s="121" t="s">
        <v>1209</v>
      </c>
      <c r="F837" s="121" t="s">
        <v>1210</v>
      </c>
      <c r="G837" s="121" t="s">
        <v>1211</v>
      </c>
      <c r="H837" s="122" t="s">
        <v>1212</v>
      </c>
      <c r="I837" s="161"/>
      <c r="M837" s="205"/>
    </row>
    <row r="838" spans="3:13">
      <c r="C838" s="142" t="s">
        <v>1213</v>
      </c>
      <c r="D838" s="60" t="s">
        <v>1214</v>
      </c>
      <c r="E838" s="74"/>
      <c r="F838" s="74"/>
      <c r="G838" s="74"/>
      <c r="H838" s="147"/>
      <c r="M838" s="205"/>
    </row>
    <row r="839" spans="3:13">
      <c r="C839" s="201" t="s">
        <v>1215</v>
      </c>
      <c r="D839" s="60" t="s">
        <v>5</v>
      </c>
      <c r="E839" s="73" t="s">
        <v>6</v>
      </c>
      <c r="F839" s="75">
        <v>0.12</v>
      </c>
      <c r="G839" s="65">
        <f>VLOOKUP(D839,upahbahan,3,FALSE)</f>
        <v>100000</v>
      </c>
      <c r="H839" s="125">
        <f>F839*G839</f>
        <v>12000</v>
      </c>
      <c r="M839" s="205"/>
    </row>
    <row r="840" spans="3:13">
      <c r="C840" s="201" t="s">
        <v>1216</v>
      </c>
      <c r="D840" s="60" t="s">
        <v>19</v>
      </c>
      <c r="E840" s="73" t="s">
        <v>6</v>
      </c>
      <c r="F840" s="75">
        <v>1.2E-2</v>
      </c>
      <c r="G840" s="65">
        <f>VLOOKUP(D840,upahbahan,3,FALSE)</f>
        <v>145000</v>
      </c>
      <c r="H840" s="125">
        <f>F840*G840</f>
        <v>1740</v>
      </c>
      <c r="M840" s="205"/>
    </row>
    <row r="841" spans="3:13" ht="15.75" customHeight="1">
      <c r="C841" s="145" t="s">
        <v>1220</v>
      </c>
      <c r="D841" s="81"/>
      <c r="E841" s="81"/>
      <c r="F841" s="190"/>
      <c r="G841" s="163"/>
      <c r="H841" s="125">
        <f>SUM(H839:H840)</f>
        <v>13740</v>
      </c>
    </row>
    <row r="842" spans="3:13">
      <c r="C842" s="142" t="s">
        <v>1221</v>
      </c>
      <c r="D842" s="60" t="s">
        <v>1222</v>
      </c>
      <c r="E842" s="74"/>
      <c r="F842" s="74"/>
      <c r="G842" s="74"/>
      <c r="H842" s="147"/>
    </row>
    <row r="843" spans="3:13" ht="15.75" customHeight="1">
      <c r="C843" s="145" t="s">
        <v>1226</v>
      </c>
      <c r="D843" s="81"/>
      <c r="E843" s="81"/>
      <c r="F843" s="81"/>
      <c r="G843" s="163"/>
      <c r="H843" s="185">
        <v>0</v>
      </c>
    </row>
    <row r="844" spans="3:13">
      <c r="C844" s="142" t="s">
        <v>1227</v>
      </c>
      <c r="D844" s="60" t="s">
        <v>1228</v>
      </c>
      <c r="E844" s="74"/>
      <c r="F844" s="74"/>
      <c r="G844" s="74"/>
      <c r="H844" s="152"/>
    </row>
    <row r="845" spans="3:13">
      <c r="C845" s="146" t="s">
        <v>1215</v>
      </c>
      <c r="D845" s="78" t="s">
        <v>1141</v>
      </c>
      <c r="E845" s="171" t="s">
        <v>1091</v>
      </c>
      <c r="F845" s="172" t="s">
        <v>1395</v>
      </c>
      <c r="G845" s="65">
        <f>VLOOKUP(D845,upahbahan,3,FALSE)</f>
        <v>6300000</v>
      </c>
      <c r="H845" s="125" t="e">
        <f>F845*G845</f>
        <v>#VALUE!</v>
      </c>
    </row>
    <row r="846" spans="3:13" ht="15.75" customHeight="1">
      <c r="C846" s="145" t="s">
        <v>1229</v>
      </c>
      <c r="D846" s="81"/>
      <c r="E846" s="81"/>
      <c r="F846" s="81"/>
      <c r="G846" s="163"/>
      <c r="H846" s="125" t="e">
        <f>SUM(H845)</f>
        <v>#VALUE!</v>
      </c>
    </row>
    <row r="847" spans="3:13" s="164" customFormat="1">
      <c r="C847" s="123" t="s">
        <v>1230</v>
      </c>
      <c r="D847" s="70" t="s">
        <v>1231</v>
      </c>
      <c r="E847" s="71"/>
      <c r="F847" s="71"/>
      <c r="G847" s="72"/>
      <c r="H847" s="125" t="e">
        <f>H846+H843+H841</f>
        <v>#VALUE!</v>
      </c>
      <c r="I847" s="55"/>
    </row>
    <row r="848" spans="3:13" s="164" customFormat="1">
      <c r="C848" s="123" t="s">
        <v>1232</v>
      </c>
      <c r="D848" s="70" t="s">
        <v>1410</v>
      </c>
      <c r="E848" s="71"/>
      <c r="F848" s="72"/>
      <c r="G848" s="96">
        <f>$M$7</f>
        <v>0.1</v>
      </c>
      <c r="H848" s="125" t="e">
        <f>H847*G848</f>
        <v>#VALUE!</v>
      </c>
      <c r="I848" s="55"/>
    </row>
    <row r="849" spans="3:13" s="164" customFormat="1" ht="15.75" thickBot="1">
      <c r="C849" s="131" t="s">
        <v>1233</v>
      </c>
      <c r="D849" s="132" t="s">
        <v>1234</v>
      </c>
      <c r="E849" s="133"/>
      <c r="F849" s="133"/>
      <c r="G849" s="156"/>
      <c r="H849" s="135" t="e">
        <f>SUM(H847:H848)</f>
        <v>#VALUE!</v>
      </c>
      <c r="I849" s="55"/>
    </row>
    <row r="850" spans="3:13" ht="15.75" thickTop="1"/>
    <row r="851" spans="3:13" ht="15.75" thickBot="1">
      <c r="C851" s="54" t="s">
        <v>1396</v>
      </c>
      <c r="D851" s="54"/>
      <c r="E851" s="54"/>
      <c r="F851" s="54"/>
      <c r="G851" s="54"/>
      <c r="H851" s="54"/>
      <c r="I851" s="57" t="e">
        <f>ROUNDDOWN(H864,-2)</f>
        <v>#VALUE!</v>
      </c>
      <c r="M851" s="205"/>
    </row>
    <row r="852" spans="3:13" s="58" customFormat="1" ht="31.5" customHeight="1" thickTop="1">
      <c r="C852" s="120" t="s">
        <v>1207</v>
      </c>
      <c r="D852" s="121" t="s">
        <v>1208</v>
      </c>
      <c r="E852" s="121" t="s">
        <v>1209</v>
      </c>
      <c r="F852" s="121" t="s">
        <v>1210</v>
      </c>
      <c r="G852" s="121" t="s">
        <v>1211</v>
      </c>
      <c r="H852" s="122" t="s">
        <v>1212</v>
      </c>
      <c r="I852" s="161"/>
      <c r="M852" s="205"/>
    </row>
    <row r="853" spans="3:13">
      <c r="C853" s="142" t="s">
        <v>1213</v>
      </c>
      <c r="D853" s="60" t="s">
        <v>1214</v>
      </c>
      <c r="E853" s="74"/>
      <c r="F853" s="74"/>
      <c r="G853" s="74"/>
      <c r="H853" s="147"/>
      <c r="M853" s="205"/>
    </row>
    <row r="854" spans="3:13">
      <c r="C854" s="201" t="s">
        <v>1215</v>
      </c>
      <c r="D854" s="60" t="s">
        <v>5</v>
      </c>
      <c r="E854" s="73" t="s">
        <v>6</v>
      </c>
      <c r="F854" s="75">
        <v>0.1</v>
      </c>
      <c r="G854" s="65">
        <f>VLOOKUP(D854,upahbahan,3,FALSE)</f>
        <v>100000</v>
      </c>
      <c r="H854" s="125">
        <f>F854*G854</f>
        <v>10000</v>
      </c>
      <c r="M854" s="205"/>
    </row>
    <row r="855" spans="3:13">
      <c r="C855" s="201" t="s">
        <v>1216</v>
      </c>
      <c r="D855" s="60" t="s">
        <v>19</v>
      </c>
      <c r="E855" s="73" t="s">
        <v>6</v>
      </c>
      <c r="F855" s="75">
        <v>0.01</v>
      </c>
      <c r="G855" s="65">
        <f>VLOOKUP(D855,upahbahan,3,FALSE)</f>
        <v>145000</v>
      </c>
      <c r="H855" s="125">
        <f>F855*G855</f>
        <v>1450</v>
      </c>
      <c r="M855" s="205"/>
    </row>
    <row r="856" spans="3:13" ht="15.75" customHeight="1">
      <c r="C856" s="145" t="s">
        <v>1220</v>
      </c>
      <c r="D856" s="81"/>
      <c r="E856" s="81"/>
      <c r="F856" s="190"/>
      <c r="G856" s="163"/>
      <c r="H856" s="125">
        <f>SUM(H854:H855)</f>
        <v>11450</v>
      </c>
    </row>
    <row r="857" spans="3:13">
      <c r="C857" s="142" t="s">
        <v>1221</v>
      </c>
      <c r="D857" s="60" t="s">
        <v>1222</v>
      </c>
      <c r="E857" s="74"/>
      <c r="F857" s="74"/>
      <c r="G857" s="74"/>
      <c r="H857" s="147"/>
    </row>
    <row r="858" spans="3:13" ht="15.75" customHeight="1">
      <c r="C858" s="145" t="s">
        <v>1226</v>
      </c>
      <c r="D858" s="81"/>
      <c r="E858" s="81"/>
      <c r="F858" s="81"/>
      <c r="G858" s="163"/>
      <c r="H858" s="185">
        <v>0</v>
      </c>
    </row>
    <row r="859" spans="3:13">
      <c r="C859" s="142" t="s">
        <v>1227</v>
      </c>
      <c r="D859" s="60" t="s">
        <v>1228</v>
      </c>
      <c r="E859" s="74"/>
      <c r="F859" s="74"/>
      <c r="G859" s="74"/>
      <c r="H859" s="152"/>
    </row>
    <row r="860" spans="3:13" ht="28.5">
      <c r="C860" s="146" t="s">
        <v>1215</v>
      </c>
      <c r="D860" s="60" t="s">
        <v>1140</v>
      </c>
      <c r="E860" s="89" t="s">
        <v>1091</v>
      </c>
      <c r="F860" s="207" t="s">
        <v>1397</v>
      </c>
      <c r="G860" s="65">
        <f>VLOOKUP(D860,upahbahan,3,FALSE)</f>
        <v>6600000</v>
      </c>
      <c r="H860" s="125" t="e">
        <f>F860*G860</f>
        <v>#VALUE!</v>
      </c>
    </row>
    <row r="861" spans="3:13" ht="15.75" customHeight="1">
      <c r="C861" s="145" t="s">
        <v>1229</v>
      </c>
      <c r="D861" s="81"/>
      <c r="E861" s="81"/>
      <c r="F861" s="81"/>
      <c r="G861" s="163"/>
      <c r="H861" s="125" t="e">
        <f>SUM(H860)</f>
        <v>#VALUE!</v>
      </c>
    </row>
    <row r="862" spans="3:13" s="164" customFormat="1">
      <c r="C862" s="123" t="s">
        <v>1230</v>
      </c>
      <c r="D862" s="70" t="s">
        <v>1231</v>
      </c>
      <c r="E862" s="71"/>
      <c r="F862" s="71"/>
      <c r="G862" s="72"/>
      <c r="H862" s="125" t="e">
        <f>H861+H858+H856</f>
        <v>#VALUE!</v>
      </c>
      <c r="I862" s="55"/>
    </row>
    <row r="863" spans="3:13" s="164" customFormat="1">
      <c r="C863" s="123" t="s">
        <v>1232</v>
      </c>
      <c r="D863" s="70" t="s">
        <v>1410</v>
      </c>
      <c r="E863" s="71"/>
      <c r="F863" s="72"/>
      <c r="G863" s="96">
        <f>$M$7</f>
        <v>0.1</v>
      </c>
      <c r="H863" s="125" t="e">
        <f>H862*G863</f>
        <v>#VALUE!</v>
      </c>
      <c r="I863" s="55"/>
    </row>
    <row r="864" spans="3:13" s="164" customFormat="1" ht="15.75" thickBot="1">
      <c r="C864" s="131" t="s">
        <v>1233</v>
      </c>
      <c r="D864" s="132" t="s">
        <v>1234</v>
      </c>
      <c r="E864" s="133"/>
      <c r="F864" s="133"/>
      <c r="G864" s="156"/>
      <c r="H864" s="135" t="e">
        <f>SUM(H862:H863)</f>
        <v>#VALUE!</v>
      </c>
      <c r="I864" s="55"/>
    </row>
    <row r="865" spans="3:13" ht="15.75" thickTop="1"/>
    <row r="866" spans="3:13" ht="15.75" thickBot="1">
      <c r="C866" s="54" t="s">
        <v>1398</v>
      </c>
      <c r="D866" s="54"/>
      <c r="E866" s="54"/>
      <c r="F866" s="54"/>
      <c r="G866" s="54"/>
      <c r="H866" s="54"/>
      <c r="I866" s="57">
        <f>ROUNDDOWN(H879,-2)</f>
        <v>724100</v>
      </c>
      <c r="M866" s="205"/>
    </row>
    <row r="867" spans="3:13" s="58" customFormat="1" ht="31.5" customHeight="1" thickTop="1">
      <c r="C867" s="120" t="s">
        <v>1207</v>
      </c>
      <c r="D867" s="121" t="s">
        <v>1208</v>
      </c>
      <c r="E867" s="121" t="s">
        <v>1209</v>
      </c>
      <c r="F867" s="121" t="s">
        <v>1210</v>
      </c>
      <c r="G867" s="121" t="s">
        <v>1211</v>
      </c>
      <c r="H867" s="122" t="s">
        <v>1212</v>
      </c>
      <c r="I867" s="161"/>
      <c r="M867" s="205"/>
    </row>
    <row r="868" spans="3:13">
      <c r="C868" s="142" t="s">
        <v>1213</v>
      </c>
      <c r="D868" s="60" t="s">
        <v>1214</v>
      </c>
      <c r="E868" s="74"/>
      <c r="F868" s="74"/>
      <c r="G868" s="74"/>
      <c r="H868" s="147"/>
      <c r="M868" s="205"/>
    </row>
    <row r="869" spans="3:13">
      <c r="C869" s="201" t="s">
        <v>1215</v>
      </c>
      <c r="D869" s="60" t="s">
        <v>5</v>
      </c>
      <c r="E869" s="73" t="s">
        <v>6</v>
      </c>
      <c r="F869" s="75">
        <v>0.16</v>
      </c>
      <c r="G869" s="65">
        <f>VLOOKUP(D869,upahbahan,3,FALSE)</f>
        <v>100000</v>
      </c>
      <c r="H869" s="125">
        <f>F869*G869</f>
        <v>16000</v>
      </c>
      <c r="M869" s="205"/>
    </row>
    <row r="870" spans="3:13">
      <c r="C870" s="201" t="s">
        <v>1216</v>
      </c>
      <c r="D870" s="60" t="s">
        <v>19</v>
      </c>
      <c r="E870" s="73" t="s">
        <v>6</v>
      </c>
      <c r="F870" s="75">
        <v>1.6E-2</v>
      </c>
      <c r="G870" s="65">
        <f>VLOOKUP(D870,upahbahan,3,FALSE)</f>
        <v>145000</v>
      </c>
      <c r="H870" s="125">
        <f>F870*G870</f>
        <v>2320</v>
      </c>
      <c r="M870" s="205"/>
    </row>
    <row r="871" spans="3:13" ht="15.75" customHeight="1">
      <c r="C871" s="145" t="s">
        <v>1220</v>
      </c>
      <c r="D871" s="81"/>
      <c r="E871" s="81"/>
      <c r="F871" s="190"/>
      <c r="G871" s="163"/>
      <c r="H871" s="125">
        <f>SUM(H869:H870)</f>
        <v>18320</v>
      </c>
    </row>
    <row r="872" spans="3:13">
      <c r="C872" s="142" t="s">
        <v>1221</v>
      </c>
      <c r="D872" s="60" t="s">
        <v>1222</v>
      </c>
      <c r="E872" s="74"/>
      <c r="F872" s="208"/>
      <c r="G872" s="74"/>
      <c r="H872" s="147"/>
    </row>
    <row r="873" spans="3:13" ht="15.75" customHeight="1">
      <c r="C873" s="145" t="s">
        <v>1226</v>
      </c>
      <c r="D873" s="81"/>
      <c r="E873" s="81"/>
      <c r="F873" s="190"/>
      <c r="G873" s="163"/>
      <c r="H873" s="185">
        <v>0</v>
      </c>
    </row>
    <row r="874" spans="3:13">
      <c r="C874" s="142" t="s">
        <v>1227</v>
      </c>
      <c r="D874" s="60" t="s">
        <v>1228</v>
      </c>
      <c r="E874" s="74"/>
      <c r="F874" s="208"/>
      <c r="G874" s="74"/>
      <c r="H874" s="152"/>
    </row>
    <row r="875" spans="3:13" ht="28.5">
      <c r="C875" s="146" t="s">
        <v>1215</v>
      </c>
      <c r="D875" s="60" t="s">
        <v>1142</v>
      </c>
      <c r="E875" s="59" t="s">
        <v>1091</v>
      </c>
      <c r="F875" s="207">
        <v>0.08</v>
      </c>
      <c r="G875" s="65">
        <f>VLOOKUP(D875,upahbahan,3,FALSE)</f>
        <v>8000000</v>
      </c>
      <c r="H875" s="125">
        <f>F875*G875</f>
        <v>640000</v>
      </c>
    </row>
    <row r="876" spans="3:13" ht="15.75" customHeight="1">
      <c r="C876" s="145" t="s">
        <v>1229</v>
      </c>
      <c r="D876" s="81"/>
      <c r="E876" s="81"/>
      <c r="F876" s="81"/>
      <c r="G876" s="163"/>
      <c r="H876" s="125">
        <f>SUM(H875)</f>
        <v>640000</v>
      </c>
    </row>
    <row r="877" spans="3:13" s="164" customFormat="1">
      <c r="C877" s="123" t="s">
        <v>1230</v>
      </c>
      <c r="D877" s="70" t="s">
        <v>1231</v>
      </c>
      <c r="E877" s="71"/>
      <c r="F877" s="71"/>
      <c r="G877" s="72"/>
      <c r="H877" s="125">
        <f>H876+H873+H871</f>
        <v>658320</v>
      </c>
      <c r="I877" s="55"/>
    </row>
    <row r="878" spans="3:13" s="164" customFormat="1">
      <c r="C878" s="123" t="s">
        <v>1232</v>
      </c>
      <c r="D878" s="70" t="s">
        <v>1410</v>
      </c>
      <c r="E878" s="71"/>
      <c r="F878" s="72"/>
      <c r="G878" s="96">
        <f>$M$7</f>
        <v>0.1</v>
      </c>
      <c r="H878" s="125">
        <f>H877*G878</f>
        <v>65832</v>
      </c>
      <c r="I878" s="55"/>
    </row>
    <row r="879" spans="3:13" s="164" customFormat="1" ht="15.75" thickBot="1">
      <c r="C879" s="131" t="s">
        <v>1233</v>
      </c>
      <c r="D879" s="132" t="s">
        <v>1234</v>
      </c>
      <c r="E879" s="133"/>
      <c r="F879" s="133"/>
      <c r="G879" s="156"/>
      <c r="H879" s="135">
        <f>SUM(H877:H878)</f>
        <v>724152</v>
      </c>
      <c r="I879" s="55"/>
    </row>
    <row r="880" spans="3:13" ht="15.75" thickTop="1"/>
    <row r="881" spans="3:13" ht="15.75" thickBot="1">
      <c r="C881" s="54" t="s">
        <v>1399</v>
      </c>
      <c r="D881" s="54"/>
      <c r="E881" s="54"/>
      <c r="F881" s="54"/>
      <c r="G881" s="54"/>
      <c r="H881" s="54"/>
      <c r="I881" s="57">
        <f>ROUNDDOWN(H893,-2)</f>
        <v>25100</v>
      </c>
      <c r="M881" s="205"/>
    </row>
    <row r="882" spans="3:13" s="58" customFormat="1" ht="31.5" customHeight="1" thickTop="1">
      <c r="C882" s="120" t="s">
        <v>1207</v>
      </c>
      <c r="D882" s="121" t="s">
        <v>1208</v>
      </c>
      <c r="E882" s="121" t="s">
        <v>1209</v>
      </c>
      <c r="F882" s="121" t="s">
        <v>1210</v>
      </c>
      <c r="G882" s="121" t="s">
        <v>1211</v>
      </c>
      <c r="H882" s="122" t="s">
        <v>1212</v>
      </c>
      <c r="I882" s="161"/>
      <c r="M882" s="205"/>
    </row>
    <row r="883" spans="3:13">
      <c r="C883" s="142" t="s">
        <v>1213</v>
      </c>
      <c r="D883" s="60" t="s">
        <v>1214</v>
      </c>
      <c r="E883" s="74"/>
      <c r="F883" s="74"/>
      <c r="G883" s="74"/>
      <c r="H883" s="147"/>
      <c r="M883" s="205"/>
    </row>
    <row r="884" spans="3:13">
      <c r="C884" s="201" t="s">
        <v>1215</v>
      </c>
      <c r="D884" s="60" t="s">
        <v>5</v>
      </c>
      <c r="E884" s="73" t="s">
        <v>6</v>
      </c>
      <c r="F884" s="75">
        <v>0.2</v>
      </c>
      <c r="G884" s="65">
        <f>VLOOKUP(D884,upahbahan,3,FALSE)</f>
        <v>100000</v>
      </c>
      <c r="H884" s="125">
        <f>F884*G884</f>
        <v>20000</v>
      </c>
      <c r="M884" s="205"/>
    </row>
    <row r="885" spans="3:13">
      <c r="C885" s="201" t="s">
        <v>1216</v>
      </c>
      <c r="D885" s="60" t="s">
        <v>19</v>
      </c>
      <c r="E885" s="73" t="s">
        <v>6</v>
      </c>
      <c r="F885" s="75">
        <v>0.02</v>
      </c>
      <c r="G885" s="65">
        <f>VLOOKUP(D885,upahbahan,3,FALSE)</f>
        <v>145000</v>
      </c>
      <c r="H885" s="125">
        <f>F885*G885</f>
        <v>2900</v>
      </c>
      <c r="M885" s="205"/>
    </row>
    <row r="886" spans="3:13" ht="15.75" customHeight="1">
      <c r="C886" s="145" t="s">
        <v>1220</v>
      </c>
      <c r="D886" s="81"/>
      <c r="E886" s="81"/>
      <c r="F886" s="190"/>
      <c r="G886" s="163"/>
      <c r="H886" s="125">
        <f>SUM(H884:H885)</f>
        <v>22900</v>
      </c>
    </row>
    <row r="887" spans="3:13">
      <c r="C887" s="142" t="s">
        <v>1221</v>
      </c>
      <c r="D887" s="60" t="s">
        <v>1222</v>
      </c>
      <c r="E887" s="74"/>
      <c r="F887" s="208"/>
      <c r="G887" s="74"/>
      <c r="H887" s="147"/>
    </row>
    <row r="888" spans="3:13" ht="15.75" customHeight="1">
      <c r="C888" s="145" t="s">
        <v>1226</v>
      </c>
      <c r="D888" s="81"/>
      <c r="E888" s="81"/>
      <c r="F888" s="190"/>
      <c r="G888" s="163"/>
      <c r="H888" s="185">
        <v>0</v>
      </c>
    </row>
    <row r="889" spans="3:13">
      <c r="C889" s="142" t="s">
        <v>1227</v>
      </c>
      <c r="D889" s="60" t="s">
        <v>1228</v>
      </c>
      <c r="E889" s="74"/>
      <c r="F889" s="208"/>
      <c r="G889" s="74"/>
      <c r="H889" s="152"/>
    </row>
    <row r="890" spans="3:13" ht="15.75" customHeight="1">
      <c r="C890" s="145" t="s">
        <v>1229</v>
      </c>
      <c r="D890" s="81"/>
      <c r="E890" s="81"/>
      <c r="F890" s="81"/>
      <c r="G890" s="163"/>
      <c r="H890" s="185">
        <v>0</v>
      </c>
    </row>
    <row r="891" spans="3:13" s="164" customFormat="1">
      <c r="C891" s="123" t="s">
        <v>1230</v>
      </c>
      <c r="D891" s="70" t="s">
        <v>1231</v>
      </c>
      <c r="E891" s="71"/>
      <c r="F891" s="71"/>
      <c r="G891" s="72"/>
      <c r="H891" s="125">
        <f>H890+H888+H886</f>
        <v>22900</v>
      </c>
      <c r="I891" s="55"/>
    </row>
    <row r="892" spans="3:13" s="164" customFormat="1">
      <c r="C892" s="123" t="s">
        <v>1232</v>
      </c>
      <c r="D892" s="70" t="s">
        <v>1410</v>
      </c>
      <c r="E892" s="71"/>
      <c r="F892" s="72"/>
      <c r="G892" s="96">
        <f>$M$7</f>
        <v>0.1</v>
      </c>
      <c r="H892" s="125">
        <f>H891*G892</f>
        <v>2290</v>
      </c>
      <c r="I892" s="55"/>
    </row>
    <row r="893" spans="3:13" s="164" customFormat="1" ht="15.75" thickBot="1">
      <c r="C893" s="131" t="s">
        <v>1233</v>
      </c>
      <c r="D893" s="132" t="s">
        <v>1234</v>
      </c>
      <c r="E893" s="133"/>
      <c r="F893" s="133"/>
      <c r="G893" s="156"/>
      <c r="H893" s="135">
        <f>SUM(H891:H892)</f>
        <v>25190</v>
      </c>
      <c r="I893" s="55"/>
    </row>
    <row r="894" spans="3:13" ht="15.75" thickTop="1"/>
    <row r="895" spans="3:13" ht="15.75" thickBot="1">
      <c r="C895" s="54" t="s">
        <v>1400</v>
      </c>
      <c r="D895" s="54"/>
      <c r="E895" s="54"/>
      <c r="F895" s="54"/>
      <c r="G895" s="54"/>
      <c r="H895" s="54"/>
      <c r="I895" s="57">
        <f>ROUNDDOWN(H908,-2)</f>
        <v>80400</v>
      </c>
      <c r="M895" s="205"/>
    </row>
    <row r="896" spans="3:13" s="58" customFormat="1" ht="31.5" customHeight="1" thickTop="1">
      <c r="C896" s="120" t="s">
        <v>1207</v>
      </c>
      <c r="D896" s="121" t="s">
        <v>1208</v>
      </c>
      <c r="E896" s="121" t="s">
        <v>1209</v>
      </c>
      <c r="F896" s="121" t="s">
        <v>1210</v>
      </c>
      <c r="G896" s="121" t="s">
        <v>1211</v>
      </c>
      <c r="H896" s="122" t="s">
        <v>1212</v>
      </c>
      <c r="I896" s="161"/>
      <c r="M896" s="205"/>
    </row>
    <row r="897" spans="3:13">
      <c r="C897" s="142" t="s">
        <v>1213</v>
      </c>
      <c r="D897" s="60" t="s">
        <v>1214</v>
      </c>
      <c r="E897" s="74"/>
      <c r="F897" s="74"/>
      <c r="G897" s="74"/>
      <c r="H897" s="147"/>
      <c r="M897" s="205"/>
    </row>
    <row r="898" spans="3:13">
      <c r="C898" s="201" t="s">
        <v>1215</v>
      </c>
      <c r="D898" s="60" t="s">
        <v>5</v>
      </c>
      <c r="E898" s="73" t="s">
        <v>6</v>
      </c>
      <c r="F898" s="75">
        <v>0.08</v>
      </c>
      <c r="G898" s="65">
        <f>VLOOKUP(D898,upahbahan,3,FALSE)</f>
        <v>100000</v>
      </c>
      <c r="H898" s="125">
        <f>F898*G898</f>
        <v>8000</v>
      </c>
      <c r="M898" s="205"/>
    </row>
    <row r="899" spans="3:13">
      <c r="C899" s="201" t="s">
        <v>1216</v>
      </c>
      <c r="D899" s="60" t="s">
        <v>19</v>
      </c>
      <c r="E899" s="73" t="s">
        <v>6</v>
      </c>
      <c r="F899" s="75">
        <v>8.0000000000000002E-3</v>
      </c>
      <c r="G899" s="65">
        <f>VLOOKUP(D899,upahbahan,3,FALSE)</f>
        <v>145000</v>
      </c>
      <c r="H899" s="125">
        <f>F899*G899</f>
        <v>1160</v>
      </c>
      <c r="M899" s="205"/>
    </row>
    <row r="900" spans="3:13" ht="15.75" customHeight="1">
      <c r="C900" s="145" t="s">
        <v>1220</v>
      </c>
      <c r="D900" s="81"/>
      <c r="E900" s="81"/>
      <c r="F900" s="190"/>
      <c r="G900" s="163"/>
      <c r="H900" s="125">
        <f>SUM(H898:H899)</f>
        <v>9160</v>
      </c>
    </row>
    <row r="901" spans="3:13">
      <c r="C901" s="142" t="s">
        <v>1221</v>
      </c>
      <c r="D901" s="60" t="s">
        <v>1222</v>
      </c>
      <c r="E901" s="74"/>
      <c r="F901" s="208"/>
      <c r="G901" s="74"/>
      <c r="H901" s="147"/>
    </row>
    <row r="902" spans="3:13" ht="15.75" customHeight="1">
      <c r="C902" s="145" t="s">
        <v>1226</v>
      </c>
      <c r="D902" s="81"/>
      <c r="E902" s="81"/>
      <c r="F902" s="190"/>
      <c r="G902" s="163"/>
      <c r="H902" s="185">
        <v>0</v>
      </c>
    </row>
    <row r="903" spans="3:13">
      <c r="C903" s="142" t="s">
        <v>1227</v>
      </c>
      <c r="D903" s="60" t="s">
        <v>1228</v>
      </c>
      <c r="E903" s="74"/>
      <c r="F903" s="208"/>
      <c r="G903" s="74"/>
      <c r="H903" s="152"/>
    </row>
    <row r="904" spans="3:13">
      <c r="C904" s="146" t="s">
        <v>1215</v>
      </c>
      <c r="D904" s="60" t="s">
        <v>1106</v>
      </c>
      <c r="E904" s="171" t="s">
        <v>1091</v>
      </c>
      <c r="F904" s="172">
        <v>0.08</v>
      </c>
      <c r="G904" s="65">
        <f>VLOOKUP(D904,upahbahan,3,FALSE)</f>
        <v>800000</v>
      </c>
      <c r="H904" s="125">
        <f>F904*G904</f>
        <v>64000</v>
      </c>
    </row>
    <row r="905" spans="3:13" ht="15.75" customHeight="1">
      <c r="C905" s="145" t="s">
        <v>1229</v>
      </c>
      <c r="D905" s="81"/>
      <c r="E905" s="81"/>
      <c r="F905" s="81"/>
      <c r="G905" s="163"/>
      <c r="H905" s="125">
        <f>SUM(H904)</f>
        <v>64000</v>
      </c>
    </row>
    <row r="906" spans="3:13" s="164" customFormat="1">
      <c r="C906" s="123" t="s">
        <v>1230</v>
      </c>
      <c r="D906" s="70" t="s">
        <v>1231</v>
      </c>
      <c r="E906" s="71"/>
      <c r="F906" s="71"/>
      <c r="G906" s="72"/>
      <c r="H906" s="125">
        <f>H905+H902+H900</f>
        <v>73160</v>
      </c>
      <c r="I906" s="55"/>
    </row>
    <row r="907" spans="3:13" s="164" customFormat="1">
      <c r="C907" s="123" t="s">
        <v>1232</v>
      </c>
      <c r="D907" s="70" t="s">
        <v>1410</v>
      </c>
      <c r="E907" s="71"/>
      <c r="F907" s="72"/>
      <c r="G907" s="96">
        <f>$M$7</f>
        <v>0.1</v>
      </c>
      <c r="H907" s="125">
        <f>H906*G907</f>
        <v>7316</v>
      </c>
      <c r="I907" s="55"/>
    </row>
    <row r="908" spans="3:13" s="164" customFormat="1" ht="15.75" thickBot="1">
      <c r="C908" s="131" t="s">
        <v>1233</v>
      </c>
      <c r="D908" s="132" t="s">
        <v>1234</v>
      </c>
      <c r="E908" s="133"/>
      <c r="F908" s="133"/>
      <c r="G908" s="156"/>
      <c r="H908" s="135">
        <f>SUM(H906:H907)</f>
        <v>80476</v>
      </c>
      <c r="I908" s="55"/>
    </row>
    <row r="909" spans="3:13" ht="15.75" thickTop="1"/>
    <row r="910" spans="3:13" ht="15.75" thickBot="1">
      <c r="C910" s="54" t="s">
        <v>1401</v>
      </c>
      <c r="D910" s="54"/>
      <c r="E910" s="54"/>
      <c r="F910" s="54"/>
      <c r="G910" s="54"/>
      <c r="H910" s="54"/>
      <c r="I910" s="57">
        <f>ROUNDDOWN(H923,-2)</f>
        <v>3600</v>
      </c>
      <c r="M910" s="205"/>
    </row>
    <row r="911" spans="3:13" s="58" customFormat="1" ht="31.5" customHeight="1" thickTop="1">
      <c r="C911" s="120" t="s">
        <v>1207</v>
      </c>
      <c r="D911" s="121" t="s">
        <v>1208</v>
      </c>
      <c r="E911" s="121" t="s">
        <v>1209</v>
      </c>
      <c r="F911" s="121" t="s">
        <v>1210</v>
      </c>
      <c r="G911" s="121" t="s">
        <v>1211</v>
      </c>
      <c r="H911" s="122" t="s">
        <v>1212</v>
      </c>
      <c r="I911" s="161"/>
      <c r="M911" s="205"/>
    </row>
    <row r="912" spans="3:13">
      <c r="C912" s="142" t="s">
        <v>1213</v>
      </c>
      <c r="D912" s="60" t="s">
        <v>1214</v>
      </c>
      <c r="E912" s="74"/>
      <c r="F912" s="74"/>
      <c r="G912" s="74"/>
      <c r="H912" s="147"/>
      <c r="M912" s="205"/>
    </row>
    <row r="913" spans="3:13">
      <c r="C913" s="201" t="s">
        <v>1215</v>
      </c>
      <c r="D913" s="60" t="s">
        <v>5</v>
      </c>
      <c r="E913" s="73" t="s">
        <v>6</v>
      </c>
      <c r="F913" s="94">
        <v>8.0000000000000002E-3</v>
      </c>
      <c r="G913" s="65">
        <f>VLOOKUP(D913,upahbahan,3,FALSE)</f>
        <v>100000</v>
      </c>
      <c r="H913" s="125">
        <f>F913*G913</f>
        <v>800</v>
      </c>
      <c r="M913" s="205"/>
    </row>
    <row r="914" spans="3:13">
      <c r="C914" s="201" t="s">
        <v>1216</v>
      </c>
      <c r="D914" s="60" t="s">
        <v>19</v>
      </c>
      <c r="E914" s="73" t="s">
        <v>6</v>
      </c>
      <c r="F914" s="94">
        <v>4.0000000000000002E-4</v>
      </c>
      <c r="G914" s="65">
        <f>VLOOKUP(D914,upahbahan,3,FALSE)</f>
        <v>145000</v>
      </c>
      <c r="H914" s="125">
        <f>F914*G914</f>
        <v>58</v>
      </c>
      <c r="M914" s="205"/>
    </row>
    <row r="915" spans="3:13" ht="15.75" customHeight="1">
      <c r="C915" s="145" t="s">
        <v>1220</v>
      </c>
      <c r="D915" s="81"/>
      <c r="E915" s="81"/>
      <c r="F915" s="190"/>
      <c r="G915" s="163"/>
      <c r="H915" s="125">
        <f>SUM(H913:H914)</f>
        <v>858</v>
      </c>
    </row>
    <row r="916" spans="3:13">
      <c r="C916" s="142" t="s">
        <v>1221</v>
      </c>
      <c r="D916" s="60" t="s">
        <v>1222</v>
      </c>
      <c r="E916" s="74"/>
      <c r="F916" s="208"/>
      <c r="G916" s="74"/>
      <c r="H916" s="147"/>
    </row>
    <row r="917" spans="3:13">
      <c r="C917" s="146" t="s">
        <v>1215</v>
      </c>
      <c r="D917" s="60" t="s">
        <v>1408</v>
      </c>
      <c r="E917" s="171" t="s">
        <v>42</v>
      </c>
      <c r="F917" s="172">
        <v>0.05</v>
      </c>
      <c r="G917" s="65">
        <f>VLOOKUP(D917,upahbahan,3,FALSE)</f>
        <v>50000</v>
      </c>
      <c r="H917" s="125">
        <f>F917*G917</f>
        <v>2500</v>
      </c>
    </row>
    <row r="918" spans="3:13" ht="15.75" customHeight="1">
      <c r="C918" s="145" t="s">
        <v>1226</v>
      </c>
      <c r="D918" s="81"/>
      <c r="E918" s="81"/>
      <c r="F918" s="190"/>
      <c r="G918" s="163"/>
      <c r="H918" s="125">
        <f>SUM(H917)</f>
        <v>2500</v>
      </c>
    </row>
    <row r="919" spans="3:13">
      <c r="C919" s="142" t="s">
        <v>1227</v>
      </c>
      <c r="D919" s="60" t="s">
        <v>1228</v>
      </c>
      <c r="E919" s="74"/>
      <c r="F919" s="208"/>
      <c r="G919" s="74"/>
      <c r="H919" s="152"/>
    </row>
    <row r="920" spans="3:13" ht="15.75" customHeight="1">
      <c r="C920" s="145" t="s">
        <v>1229</v>
      </c>
      <c r="D920" s="81"/>
      <c r="E920" s="81"/>
      <c r="F920" s="81"/>
      <c r="G920" s="163"/>
      <c r="H920" s="185">
        <v>0</v>
      </c>
    </row>
    <row r="921" spans="3:13" s="164" customFormat="1">
      <c r="C921" s="123" t="s">
        <v>1230</v>
      </c>
      <c r="D921" s="70" t="s">
        <v>1231</v>
      </c>
      <c r="E921" s="71"/>
      <c r="F921" s="71"/>
      <c r="G921" s="72"/>
      <c r="H921" s="125">
        <f>H920+H918+H915</f>
        <v>3358</v>
      </c>
      <c r="I921" s="55"/>
    </row>
    <row r="922" spans="3:13" s="164" customFormat="1">
      <c r="C922" s="123" t="s">
        <v>1232</v>
      </c>
      <c r="D922" s="70" t="s">
        <v>1410</v>
      </c>
      <c r="E922" s="71"/>
      <c r="F922" s="72"/>
      <c r="G922" s="96">
        <f>$M$7</f>
        <v>0.1</v>
      </c>
      <c r="H922" s="125">
        <f>H921*G922</f>
        <v>335.8</v>
      </c>
      <c r="I922" s="55"/>
    </row>
    <row r="923" spans="3:13" s="164" customFormat="1" ht="15.75" thickBot="1">
      <c r="C923" s="131" t="s">
        <v>1233</v>
      </c>
      <c r="D923" s="132" t="s">
        <v>1234</v>
      </c>
      <c r="E923" s="133"/>
      <c r="F923" s="133"/>
      <c r="G923" s="156"/>
      <c r="H923" s="135">
        <f>SUM(H921:H922)</f>
        <v>3693.8</v>
      </c>
      <c r="I923" s="55"/>
    </row>
    <row r="924" spans="3:13" ht="15.75" thickTop="1"/>
    <row r="925" spans="3:13" ht="15.75" thickBot="1">
      <c r="C925" s="54" t="s">
        <v>1402</v>
      </c>
      <c r="D925" s="54"/>
      <c r="E925" s="54"/>
      <c r="F925" s="54"/>
      <c r="G925" s="54"/>
      <c r="H925" s="54"/>
      <c r="I925" s="57">
        <f>ROUNDDOWN(H938,-2)</f>
        <v>15800</v>
      </c>
      <c r="M925" s="205"/>
    </row>
    <row r="926" spans="3:13" s="58" customFormat="1" ht="31.5" customHeight="1" thickTop="1">
      <c r="C926" s="120" t="s">
        <v>1207</v>
      </c>
      <c r="D926" s="121" t="s">
        <v>1208</v>
      </c>
      <c r="E926" s="121" t="s">
        <v>1209</v>
      </c>
      <c r="F926" s="121" t="s">
        <v>1210</v>
      </c>
      <c r="G926" s="121" t="s">
        <v>1211</v>
      </c>
      <c r="H926" s="122" t="s">
        <v>1212</v>
      </c>
      <c r="I926" s="161"/>
      <c r="M926" s="205"/>
    </row>
    <row r="927" spans="3:13">
      <c r="C927" s="142" t="s">
        <v>1213</v>
      </c>
      <c r="D927" s="60" t="s">
        <v>1214</v>
      </c>
      <c r="E927" s="74"/>
      <c r="F927" s="74"/>
      <c r="G927" s="74"/>
      <c r="H927" s="147"/>
      <c r="M927" s="205"/>
    </row>
    <row r="928" spans="3:13">
      <c r="C928" s="201" t="s">
        <v>1215</v>
      </c>
      <c r="D928" s="60" t="s">
        <v>5</v>
      </c>
      <c r="E928" s="73" t="s">
        <v>6</v>
      </c>
      <c r="F928" s="75">
        <v>0.02</v>
      </c>
      <c r="G928" s="65">
        <f>VLOOKUP(D928,upahbahan,3,FALSE)</f>
        <v>100000</v>
      </c>
      <c r="H928" s="125">
        <f>F928*G928</f>
        <v>2000</v>
      </c>
      <c r="M928" s="205"/>
    </row>
    <row r="929" spans="3:13">
      <c r="C929" s="201" t="s">
        <v>1216</v>
      </c>
      <c r="D929" s="60" t="s">
        <v>19</v>
      </c>
      <c r="E929" s="73" t="s">
        <v>6</v>
      </c>
      <c r="F929" s="75">
        <v>1E-3</v>
      </c>
      <c r="G929" s="65">
        <f>VLOOKUP(D929,upahbahan,3,FALSE)</f>
        <v>145000</v>
      </c>
      <c r="H929" s="125">
        <f>F929*G929</f>
        <v>145</v>
      </c>
      <c r="M929" s="205"/>
    </row>
    <row r="930" spans="3:13" ht="15.75" customHeight="1">
      <c r="C930" s="145" t="s">
        <v>1220</v>
      </c>
      <c r="D930" s="81"/>
      <c r="E930" s="81"/>
      <c r="F930" s="190"/>
      <c r="G930" s="163"/>
      <c r="H930" s="125">
        <f>SUM(H928:H929)</f>
        <v>2145</v>
      </c>
    </row>
    <row r="931" spans="3:13">
      <c r="C931" s="142" t="s">
        <v>1221</v>
      </c>
      <c r="D931" s="60" t="s">
        <v>1222</v>
      </c>
      <c r="E931" s="74"/>
      <c r="F931" s="208"/>
      <c r="G931" s="74"/>
      <c r="H931" s="147"/>
    </row>
    <row r="932" spans="3:13">
      <c r="C932" s="146" t="s">
        <v>1215</v>
      </c>
      <c r="D932" s="60" t="s">
        <v>1073</v>
      </c>
      <c r="E932" s="171" t="s">
        <v>63</v>
      </c>
      <c r="F932" s="172">
        <v>1.02</v>
      </c>
      <c r="G932" s="65">
        <f>VLOOKUP(D932,upahbahan,3,FALSE)</f>
        <v>12000</v>
      </c>
      <c r="H932" s="125">
        <f>F932*G932</f>
        <v>12240</v>
      </c>
    </row>
    <row r="933" spans="3:13" ht="15.75" customHeight="1">
      <c r="C933" s="145" t="s">
        <v>1226</v>
      </c>
      <c r="D933" s="81"/>
      <c r="E933" s="81"/>
      <c r="F933" s="190"/>
      <c r="G933" s="163"/>
      <c r="H933" s="125">
        <f>SUM(H932)</f>
        <v>12240</v>
      </c>
    </row>
    <row r="934" spans="3:13">
      <c r="C934" s="142" t="s">
        <v>1227</v>
      </c>
      <c r="D934" s="60" t="s">
        <v>1228</v>
      </c>
      <c r="E934" s="74"/>
      <c r="F934" s="208"/>
      <c r="G934" s="74"/>
      <c r="H934" s="152"/>
    </row>
    <row r="935" spans="3:13" ht="15.75" customHeight="1">
      <c r="C935" s="145" t="s">
        <v>1229</v>
      </c>
      <c r="D935" s="81"/>
      <c r="E935" s="81"/>
      <c r="F935" s="81"/>
      <c r="G935" s="163"/>
      <c r="H935" s="185">
        <v>0</v>
      </c>
    </row>
    <row r="936" spans="3:13" s="164" customFormat="1">
      <c r="C936" s="123" t="s">
        <v>1230</v>
      </c>
      <c r="D936" s="70" t="s">
        <v>1231</v>
      </c>
      <c r="E936" s="71"/>
      <c r="F936" s="71"/>
      <c r="G936" s="72"/>
      <c r="H936" s="125">
        <f>H935+H933+H930</f>
        <v>14385</v>
      </c>
      <c r="I936" s="55"/>
    </row>
    <row r="937" spans="3:13" s="164" customFormat="1">
      <c r="C937" s="123" t="s">
        <v>1232</v>
      </c>
      <c r="D937" s="70" t="s">
        <v>1410</v>
      </c>
      <c r="E937" s="71"/>
      <c r="F937" s="72"/>
      <c r="G937" s="96">
        <f>$M$7</f>
        <v>0.1</v>
      </c>
      <c r="H937" s="125">
        <f>H936*G937</f>
        <v>1438.5</v>
      </c>
      <c r="I937" s="55"/>
    </row>
    <row r="938" spans="3:13" s="164" customFormat="1" ht="15.75" thickBot="1">
      <c r="C938" s="131" t="s">
        <v>1233</v>
      </c>
      <c r="D938" s="132" t="s">
        <v>1234</v>
      </c>
      <c r="E938" s="133"/>
      <c r="F938" s="133"/>
      <c r="G938" s="156"/>
      <c r="H938" s="135">
        <f>SUM(H936:H937)</f>
        <v>15823.5</v>
      </c>
      <c r="I938" s="55"/>
    </row>
    <row r="939" spans="3:13" ht="15.75" thickTop="1"/>
    <row r="940" spans="3:13" ht="15.75" thickBot="1">
      <c r="C940" s="54" t="s">
        <v>1403</v>
      </c>
      <c r="D940" s="54"/>
      <c r="E940" s="54"/>
      <c r="F940" s="54"/>
      <c r="G940" s="54"/>
      <c r="H940" s="54"/>
      <c r="I940" s="57">
        <f>ROUNDDOWN(H953,-2)</f>
        <v>18600</v>
      </c>
      <c r="M940" s="205"/>
    </row>
    <row r="941" spans="3:13" s="58" customFormat="1" ht="31.5" customHeight="1" thickTop="1">
      <c r="C941" s="120" t="s">
        <v>1207</v>
      </c>
      <c r="D941" s="121" t="s">
        <v>1208</v>
      </c>
      <c r="E941" s="121" t="s">
        <v>1209</v>
      </c>
      <c r="F941" s="121" t="s">
        <v>1210</v>
      </c>
      <c r="G941" s="121" t="s">
        <v>1211</v>
      </c>
      <c r="H941" s="122" t="s">
        <v>1212</v>
      </c>
      <c r="I941" s="161"/>
      <c r="M941" s="205"/>
    </row>
    <row r="942" spans="3:13">
      <c r="C942" s="142" t="s">
        <v>1213</v>
      </c>
      <c r="D942" s="60" t="s">
        <v>1214</v>
      </c>
      <c r="E942" s="74"/>
      <c r="F942" s="74"/>
      <c r="G942" s="74"/>
      <c r="H942" s="147"/>
      <c r="M942" s="205"/>
    </row>
    <row r="943" spans="3:13">
      <c r="C943" s="201" t="s">
        <v>1215</v>
      </c>
      <c r="D943" s="60" t="s">
        <v>5</v>
      </c>
      <c r="E943" s="73" t="s">
        <v>6</v>
      </c>
      <c r="F943" s="75">
        <v>0.02</v>
      </c>
      <c r="G943" s="65">
        <f>VLOOKUP(D943,upahbahan,3,FALSE)</f>
        <v>100000</v>
      </c>
      <c r="H943" s="125">
        <f>F943*G943</f>
        <v>2000</v>
      </c>
      <c r="M943" s="205"/>
    </row>
    <row r="944" spans="3:13">
      <c r="C944" s="201" t="s">
        <v>1216</v>
      </c>
      <c r="D944" s="60" t="s">
        <v>19</v>
      </c>
      <c r="E944" s="73" t="s">
        <v>6</v>
      </c>
      <c r="F944" s="75">
        <v>1E-3</v>
      </c>
      <c r="G944" s="65">
        <f>VLOOKUP(D944,upahbahan,3,FALSE)</f>
        <v>145000</v>
      </c>
      <c r="H944" s="125">
        <f>F944*G944</f>
        <v>145</v>
      </c>
      <c r="M944" s="205"/>
    </row>
    <row r="945" spans="3:13" ht="15.75" customHeight="1">
      <c r="C945" s="145" t="s">
        <v>1220</v>
      </c>
      <c r="D945" s="81"/>
      <c r="E945" s="81"/>
      <c r="F945" s="190"/>
      <c r="G945" s="163"/>
      <c r="H945" s="125">
        <f>SUM(H943:H944)</f>
        <v>2145</v>
      </c>
    </row>
    <row r="946" spans="3:13">
      <c r="C946" s="142" t="s">
        <v>1221</v>
      </c>
      <c r="D946" s="60" t="s">
        <v>1222</v>
      </c>
      <c r="E946" s="74"/>
      <c r="F946" s="208"/>
      <c r="G946" s="74"/>
      <c r="H946" s="147"/>
    </row>
    <row r="947" spans="3:13">
      <c r="C947" s="146" t="s">
        <v>1215</v>
      </c>
      <c r="D947" s="60" t="s">
        <v>1009</v>
      </c>
      <c r="E947" s="171" t="s">
        <v>63</v>
      </c>
      <c r="F947" s="172">
        <v>1.02</v>
      </c>
      <c r="G947" s="65">
        <f>VLOOKUP(D947,upahbahan,3,FALSE)</f>
        <v>14500</v>
      </c>
      <c r="H947" s="125">
        <f>F947*G947</f>
        <v>14790</v>
      </c>
    </row>
    <row r="948" spans="3:13" ht="15.75" customHeight="1">
      <c r="C948" s="145" t="s">
        <v>1226</v>
      </c>
      <c r="D948" s="81"/>
      <c r="E948" s="81"/>
      <c r="F948" s="190"/>
      <c r="G948" s="163"/>
      <c r="H948" s="125">
        <f>SUM(H947)</f>
        <v>14790</v>
      </c>
    </row>
    <row r="949" spans="3:13">
      <c r="C949" s="142" t="s">
        <v>1227</v>
      </c>
      <c r="D949" s="60" t="s">
        <v>1228</v>
      </c>
      <c r="E949" s="74"/>
      <c r="F949" s="208"/>
      <c r="G949" s="74"/>
      <c r="H949" s="152"/>
    </row>
    <row r="950" spans="3:13" ht="15.75" customHeight="1">
      <c r="C950" s="145" t="s">
        <v>1229</v>
      </c>
      <c r="D950" s="81"/>
      <c r="E950" s="81"/>
      <c r="F950" s="81"/>
      <c r="G950" s="163"/>
      <c r="H950" s="185">
        <v>0</v>
      </c>
    </row>
    <row r="951" spans="3:13" s="164" customFormat="1">
      <c r="C951" s="123" t="s">
        <v>1230</v>
      </c>
      <c r="D951" s="70" t="s">
        <v>1231</v>
      </c>
      <c r="E951" s="71"/>
      <c r="F951" s="71"/>
      <c r="G951" s="72"/>
      <c r="H951" s="125">
        <f>H950+H948+H945</f>
        <v>16935</v>
      </c>
      <c r="I951" s="55"/>
    </row>
    <row r="952" spans="3:13" s="164" customFormat="1">
      <c r="C952" s="123" t="s">
        <v>1232</v>
      </c>
      <c r="D952" s="70" t="s">
        <v>1410</v>
      </c>
      <c r="E952" s="71"/>
      <c r="F952" s="72"/>
      <c r="G952" s="96">
        <f>$M$7</f>
        <v>0.1</v>
      </c>
      <c r="H952" s="125">
        <f>H951*G952</f>
        <v>1693.5</v>
      </c>
      <c r="I952" s="55"/>
    </row>
    <row r="953" spans="3:13" s="164" customFormat="1" ht="15.75" thickBot="1">
      <c r="C953" s="131" t="s">
        <v>1233</v>
      </c>
      <c r="D953" s="132" t="s">
        <v>1234</v>
      </c>
      <c r="E953" s="133"/>
      <c r="F953" s="133"/>
      <c r="G953" s="156"/>
      <c r="H953" s="135">
        <f>SUM(H951:H952)</f>
        <v>18628.5</v>
      </c>
      <c r="I953" s="55"/>
    </row>
    <row r="954" spans="3:13" ht="15.75" thickTop="1"/>
    <row r="955" spans="3:13" ht="15.75" thickBot="1">
      <c r="C955" s="54" t="s">
        <v>1404</v>
      </c>
      <c r="D955" s="54"/>
      <c r="E955" s="54"/>
      <c r="F955" s="54"/>
      <c r="G955" s="54"/>
      <c r="H955" s="54"/>
      <c r="I955" s="57">
        <f>ROUNDDOWN(H978,-2)</f>
        <v>117700</v>
      </c>
      <c r="M955" s="205"/>
    </row>
    <row r="956" spans="3:13" s="58" customFormat="1" ht="31.5" customHeight="1" thickTop="1">
      <c r="C956" s="120" t="s">
        <v>1207</v>
      </c>
      <c r="D956" s="121" t="s">
        <v>1208</v>
      </c>
      <c r="E956" s="121" t="s">
        <v>1209</v>
      </c>
      <c r="F956" s="121" t="s">
        <v>1210</v>
      </c>
      <c r="G956" s="121" t="s">
        <v>1211</v>
      </c>
      <c r="H956" s="122" t="s">
        <v>1212</v>
      </c>
      <c r="I956" s="161"/>
      <c r="M956" s="205"/>
    </row>
    <row r="957" spans="3:13">
      <c r="C957" s="142" t="s">
        <v>1213</v>
      </c>
      <c r="D957" s="60" t="s">
        <v>1214</v>
      </c>
      <c r="E957" s="74"/>
      <c r="F957" s="74"/>
      <c r="G957" s="74"/>
      <c r="H957" s="147"/>
      <c r="M957" s="205"/>
    </row>
    <row r="958" spans="3:13">
      <c r="C958" s="201" t="s">
        <v>1215</v>
      </c>
      <c r="D958" s="60" t="s">
        <v>5</v>
      </c>
      <c r="E958" s="73" t="s">
        <v>6</v>
      </c>
      <c r="F958" s="75">
        <v>0.18</v>
      </c>
      <c r="G958" s="65">
        <f t="shared" ref="G958:G963" si="2">VLOOKUP(D958,upahbahan,3,FALSE)</f>
        <v>100000</v>
      </c>
      <c r="H958" s="125">
        <f t="shared" ref="H958:H963" si="3">F958*G958</f>
        <v>18000</v>
      </c>
      <c r="M958" s="205"/>
    </row>
    <row r="959" spans="3:13">
      <c r="C959" s="201" t="s">
        <v>1216</v>
      </c>
      <c r="D959" s="60" t="s">
        <v>7</v>
      </c>
      <c r="E959" s="73" t="s">
        <v>6</v>
      </c>
      <c r="F959" s="75">
        <v>0.02</v>
      </c>
      <c r="G959" s="65">
        <f t="shared" si="2"/>
        <v>145000</v>
      </c>
      <c r="H959" s="125">
        <f t="shared" si="3"/>
        <v>2900</v>
      </c>
      <c r="M959" s="205"/>
    </row>
    <row r="960" spans="3:13">
      <c r="C960" s="201" t="s">
        <v>1217</v>
      </c>
      <c r="D960" s="60" t="s">
        <v>8</v>
      </c>
      <c r="E960" s="73" t="s">
        <v>6</v>
      </c>
      <c r="F960" s="75">
        <v>0.02</v>
      </c>
      <c r="G960" s="65">
        <f t="shared" si="2"/>
        <v>145000</v>
      </c>
      <c r="H960" s="125">
        <f t="shared" si="3"/>
        <v>2900</v>
      </c>
      <c r="M960" s="205"/>
    </row>
    <row r="961" spans="3:13">
      <c r="C961" s="201" t="s">
        <v>1218</v>
      </c>
      <c r="D961" s="60" t="s">
        <v>9</v>
      </c>
      <c r="E961" s="73" t="s">
        <v>6</v>
      </c>
      <c r="F961" s="75">
        <v>0.02</v>
      </c>
      <c r="G961" s="65">
        <f t="shared" si="2"/>
        <v>145000</v>
      </c>
      <c r="H961" s="125">
        <f t="shared" si="3"/>
        <v>2900</v>
      </c>
      <c r="M961" s="205"/>
    </row>
    <row r="962" spans="3:13">
      <c r="C962" s="201" t="s">
        <v>1219</v>
      </c>
      <c r="D962" s="60" t="s">
        <v>18</v>
      </c>
      <c r="E962" s="73" t="s">
        <v>6</v>
      </c>
      <c r="F962" s="75">
        <v>6.0000000000000001E-3</v>
      </c>
      <c r="G962" s="65">
        <f t="shared" si="2"/>
        <v>150000</v>
      </c>
      <c r="H962" s="125">
        <f t="shared" si="3"/>
        <v>900</v>
      </c>
      <c r="M962" s="205"/>
    </row>
    <row r="963" spans="3:13">
      <c r="C963" s="201" t="s">
        <v>1223</v>
      </c>
      <c r="D963" s="60" t="s">
        <v>19</v>
      </c>
      <c r="E963" s="73" t="s">
        <v>6</v>
      </c>
      <c r="F963" s="75">
        <v>8.9999999999999993E-3</v>
      </c>
      <c r="G963" s="65">
        <f t="shared" si="2"/>
        <v>145000</v>
      </c>
      <c r="H963" s="125">
        <f t="shared" si="3"/>
        <v>1305</v>
      </c>
      <c r="M963" s="205"/>
    </row>
    <row r="964" spans="3:13" ht="15.75" customHeight="1">
      <c r="C964" s="145" t="s">
        <v>1220</v>
      </c>
      <c r="D964" s="81"/>
      <c r="E964" s="81"/>
      <c r="F964" s="190"/>
      <c r="G964" s="163"/>
      <c r="H964" s="125">
        <f>SUM(H958:H963)</f>
        <v>28905</v>
      </c>
    </row>
    <row r="965" spans="3:13">
      <c r="C965" s="142" t="s">
        <v>1221</v>
      </c>
      <c r="D965" s="60" t="s">
        <v>1222</v>
      </c>
      <c r="E965" s="74"/>
      <c r="F965" s="208"/>
      <c r="G965" s="74"/>
      <c r="H965" s="147"/>
    </row>
    <row r="966" spans="3:13">
      <c r="C966" s="146" t="s">
        <v>1215</v>
      </c>
      <c r="D966" s="60" t="s">
        <v>127</v>
      </c>
      <c r="E966" s="171" t="s">
        <v>42</v>
      </c>
      <c r="F966" s="172">
        <v>2E-3</v>
      </c>
      <c r="G966" s="65">
        <f t="shared" ref="G966:G972" si="4">VLOOKUP(D966,upahbahan,3,FALSE)</f>
        <v>8000000</v>
      </c>
      <c r="H966" s="125">
        <f t="shared" ref="H966:H972" si="5">F966*G966</f>
        <v>16000</v>
      </c>
    </row>
    <row r="967" spans="3:13">
      <c r="C967" s="146" t="s">
        <v>1216</v>
      </c>
      <c r="D967" s="60" t="s">
        <v>267</v>
      </c>
      <c r="E967" s="171" t="s">
        <v>66</v>
      </c>
      <c r="F967" s="172">
        <v>0.01</v>
      </c>
      <c r="G967" s="65">
        <f t="shared" si="4"/>
        <v>20000</v>
      </c>
      <c r="H967" s="125">
        <f t="shared" si="5"/>
        <v>200</v>
      </c>
    </row>
    <row r="968" spans="3:13">
      <c r="C968" s="146" t="s">
        <v>1217</v>
      </c>
      <c r="D968" s="60" t="s">
        <v>236</v>
      </c>
      <c r="E968" s="171" t="s">
        <v>66</v>
      </c>
      <c r="F968" s="172">
        <v>3</v>
      </c>
      <c r="G968" s="65">
        <f t="shared" si="4"/>
        <v>14250</v>
      </c>
      <c r="H968" s="125">
        <f t="shared" si="5"/>
        <v>42750</v>
      </c>
    </row>
    <row r="969" spans="3:13">
      <c r="C969" s="146" t="s">
        <v>1218</v>
      </c>
      <c r="D969" s="60" t="s">
        <v>255</v>
      </c>
      <c r="E969" s="171" t="s">
        <v>66</v>
      </c>
      <c r="F969" s="172">
        <v>0.45</v>
      </c>
      <c r="G969" s="65">
        <f t="shared" si="4"/>
        <v>18800</v>
      </c>
      <c r="H969" s="125">
        <f t="shared" si="5"/>
        <v>8460</v>
      </c>
    </row>
    <row r="970" spans="3:13">
      <c r="C970" s="146" t="s">
        <v>1219</v>
      </c>
      <c r="D970" s="60" t="s">
        <v>568</v>
      </c>
      <c r="E970" s="171" t="s">
        <v>66</v>
      </c>
      <c r="F970" s="172">
        <v>4</v>
      </c>
      <c r="G970" s="65">
        <f t="shared" si="4"/>
        <v>1300</v>
      </c>
      <c r="H970" s="125">
        <f t="shared" si="5"/>
        <v>5200</v>
      </c>
    </row>
    <row r="971" spans="3:13">
      <c r="C971" s="146" t="s">
        <v>1223</v>
      </c>
      <c r="D971" s="60" t="s">
        <v>83</v>
      </c>
      <c r="E971" s="171" t="s">
        <v>42</v>
      </c>
      <c r="F971" s="172">
        <v>6.0000000000000001E-3</v>
      </c>
      <c r="G971" s="65">
        <f t="shared" si="4"/>
        <v>370200</v>
      </c>
      <c r="H971" s="125">
        <f t="shared" si="5"/>
        <v>2221.2000000000003</v>
      </c>
    </row>
    <row r="972" spans="3:13">
      <c r="C972" s="146" t="s">
        <v>1224</v>
      </c>
      <c r="D972" s="60" t="s">
        <v>72</v>
      </c>
      <c r="E972" s="171" t="s">
        <v>42</v>
      </c>
      <c r="F972" s="172">
        <v>8.9999999999999993E-3</v>
      </c>
      <c r="G972" s="65">
        <f t="shared" si="4"/>
        <v>370200</v>
      </c>
      <c r="H972" s="125">
        <f t="shared" si="5"/>
        <v>3331.7999999999997</v>
      </c>
    </row>
    <row r="973" spans="3:13" ht="15.75" customHeight="1">
      <c r="C973" s="145" t="s">
        <v>1226</v>
      </c>
      <c r="D973" s="81"/>
      <c r="E973" s="81"/>
      <c r="F973" s="190"/>
      <c r="G973" s="163"/>
      <c r="H973" s="125">
        <f>SUM(H966:H972)</f>
        <v>78163</v>
      </c>
    </row>
    <row r="974" spans="3:13">
      <c r="C974" s="142" t="s">
        <v>1227</v>
      </c>
      <c r="D974" s="60" t="s">
        <v>1228</v>
      </c>
      <c r="E974" s="74"/>
      <c r="F974" s="208"/>
      <c r="G974" s="74"/>
      <c r="H974" s="152"/>
    </row>
    <row r="975" spans="3:13" ht="15.75" customHeight="1">
      <c r="C975" s="145" t="s">
        <v>1229</v>
      </c>
      <c r="D975" s="81"/>
      <c r="E975" s="81"/>
      <c r="F975" s="81"/>
      <c r="G975" s="163"/>
      <c r="H975" s="185">
        <v>0</v>
      </c>
    </row>
    <row r="976" spans="3:13" s="164" customFormat="1">
      <c r="C976" s="123" t="s">
        <v>1230</v>
      </c>
      <c r="D976" s="70" t="s">
        <v>1231</v>
      </c>
      <c r="E976" s="71"/>
      <c r="F976" s="71"/>
      <c r="G976" s="72"/>
      <c r="H976" s="125">
        <f>H975+H973+H964</f>
        <v>107068</v>
      </c>
      <c r="I976" s="55"/>
    </row>
    <row r="977" spans="3:13" s="164" customFormat="1">
      <c r="C977" s="123" t="s">
        <v>1232</v>
      </c>
      <c r="D977" s="70" t="s">
        <v>1410</v>
      </c>
      <c r="E977" s="71"/>
      <c r="F977" s="72"/>
      <c r="G977" s="96">
        <f>$M$7</f>
        <v>0.1</v>
      </c>
      <c r="H977" s="125">
        <f>H976*G977</f>
        <v>10706.800000000001</v>
      </c>
      <c r="I977" s="55"/>
    </row>
    <row r="978" spans="3:13" s="164" customFormat="1" ht="15.75" thickBot="1">
      <c r="C978" s="131" t="s">
        <v>1233</v>
      </c>
      <c r="D978" s="132" t="s">
        <v>1234</v>
      </c>
      <c r="E978" s="133"/>
      <c r="F978" s="133"/>
      <c r="G978" s="156"/>
      <c r="H978" s="135">
        <f>SUM(H976:H977)</f>
        <v>117774.8</v>
      </c>
      <c r="I978" s="55"/>
    </row>
    <row r="979" spans="3:13" ht="15.75" thickTop="1"/>
    <row r="980" spans="3:13" ht="15.75" thickBot="1">
      <c r="C980" s="54" t="s">
        <v>1405</v>
      </c>
      <c r="D980" s="54"/>
      <c r="E980" s="54"/>
      <c r="F980" s="54"/>
      <c r="G980" s="54"/>
      <c r="H980" s="54"/>
      <c r="I980" s="57">
        <f>ROUNDDOWN(H1004,-2)</f>
        <v>158100</v>
      </c>
      <c r="M980" s="205"/>
    </row>
    <row r="981" spans="3:13" s="58" customFormat="1" ht="31.5" customHeight="1" thickTop="1">
      <c r="C981" s="120" t="s">
        <v>1207</v>
      </c>
      <c r="D981" s="121" t="s">
        <v>1208</v>
      </c>
      <c r="E981" s="121" t="s">
        <v>1209</v>
      </c>
      <c r="F981" s="121" t="s">
        <v>1210</v>
      </c>
      <c r="G981" s="121" t="s">
        <v>1211</v>
      </c>
      <c r="H981" s="122" t="s">
        <v>1212</v>
      </c>
      <c r="I981" s="161"/>
      <c r="M981" s="205"/>
    </row>
    <row r="982" spans="3:13">
      <c r="C982" s="142" t="s">
        <v>1213</v>
      </c>
      <c r="D982" s="60" t="s">
        <v>1214</v>
      </c>
      <c r="E982" s="74"/>
      <c r="F982" s="74"/>
      <c r="G982" s="74"/>
      <c r="H982" s="147"/>
      <c r="M982" s="205"/>
    </row>
    <row r="983" spans="3:13">
      <c r="C983" s="201" t="s">
        <v>1215</v>
      </c>
      <c r="D983" s="60" t="s">
        <v>5</v>
      </c>
      <c r="E983" s="73" t="s">
        <v>6</v>
      </c>
      <c r="F983" s="75">
        <v>0.29699999999999999</v>
      </c>
      <c r="G983" s="65">
        <f t="shared" ref="G983:G988" si="6">VLOOKUP(D983,upahbahan,3,FALSE)</f>
        <v>100000</v>
      </c>
      <c r="H983" s="125">
        <f t="shared" ref="H983:H988" si="7">F983*G983</f>
        <v>29700</v>
      </c>
      <c r="M983" s="205"/>
    </row>
    <row r="984" spans="3:13">
      <c r="C984" s="201" t="s">
        <v>1216</v>
      </c>
      <c r="D984" s="60" t="s">
        <v>7</v>
      </c>
      <c r="E984" s="73" t="s">
        <v>6</v>
      </c>
      <c r="F984" s="75">
        <v>3.3000000000000002E-2</v>
      </c>
      <c r="G984" s="65">
        <f t="shared" si="6"/>
        <v>145000</v>
      </c>
      <c r="H984" s="125">
        <f t="shared" si="7"/>
        <v>4785</v>
      </c>
      <c r="M984" s="205"/>
    </row>
    <row r="985" spans="3:13">
      <c r="C985" s="201" t="s">
        <v>1217</v>
      </c>
      <c r="D985" s="60" t="s">
        <v>8</v>
      </c>
      <c r="E985" s="73" t="s">
        <v>6</v>
      </c>
      <c r="F985" s="75">
        <v>3.3000000000000002E-2</v>
      </c>
      <c r="G985" s="65">
        <f t="shared" si="6"/>
        <v>145000</v>
      </c>
      <c r="H985" s="125">
        <f t="shared" si="7"/>
        <v>4785</v>
      </c>
      <c r="M985" s="205"/>
    </row>
    <row r="986" spans="3:13">
      <c r="C986" s="201" t="s">
        <v>1218</v>
      </c>
      <c r="D986" s="60" t="s">
        <v>9</v>
      </c>
      <c r="E986" s="73" t="s">
        <v>6</v>
      </c>
      <c r="F986" s="75">
        <v>3.3000000000000002E-2</v>
      </c>
      <c r="G986" s="65">
        <f t="shared" si="6"/>
        <v>145000</v>
      </c>
      <c r="H986" s="125">
        <f t="shared" si="7"/>
        <v>4785</v>
      </c>
      <c r="M986" s="205"/>
    </row>
    <row r="987" spans="3:13">
      <c r="C987" s="201" t="s">
        <v>1219</v>
      </c>
      <c r="D987" s="60" t="s">
        <v>18</v>
      </c>
      <c r="E987" s="73" t="s">
        <v>6</v>
      </c>
      <c r="F987" s="75">
        <v>0.01</v>
      </c>
      <c r="G987" s="65">
        <f t="shared" si="6"/>
        <v>150000</v>
      </c>
      <c r="H987" s="125">
        <f t="shared" si="7"/>
        <v>1500</v>
      </c>
      <c r="M987" s="205"/>
    </row>
    <row r="988" spans="3:13">
      <c r="C988" s="201" t="s">
        <v>1223</v>
      </c>
      <c r="D988" s="60" t="s">
        <v>19</v>
      </c>
      <c r="E988" s="73" t="s">
        <v>6</v>
      </c>
      <c r="F988" s="75">
        <v>1.4999999999999999E-2</v>
      </c>
      <c r="G988" s="65">
        <f t="shared" si="6"/>
        <v>145000</v>
      </c>
      <c r="H988" s="125">
        <f t="shared" si="7"/>
        <v>2175</v>
      </c>
      <c r="M988" s="205"/>
    </row>
    <row r="989" spans="3:13" ht="15.75" customHeight="1">
      <c r="C989" s="145" t="s">
        <v>1220</v>
      </c>
      <c r="D989" s="81"/>
      <c r="E989" s="81"/>
      <c r="F989" s="190"/>
      <c r="G989" s="163"/>
      <c r="H989" s="125">
        <f>SUM(H983:H988)</f>
        <v>47730</v>
      </c>
    </row>
    <row r="990" spans="3:13">
      <c r="C990" s="142" t="s">
        <v>1221</v>
      </c>
      <c r="D990" s="60" t="s">
        <v>1222</v>
      </c>
      <c r="E990" s="74"/>
      <c r="F990" s="208"/>
      <c r="G990" s="74"/>
      <c r="H990" s="147"/>
    </row>
    <row r="991" spans="3:13">
      <c r="C991" s="146" t="s">
        <v>1215</v>
      </c>
      <c r="D991" s="60" t="s">
        <v>127</v>
      </c>
      <c r="E991" s="171" t="s">
        <v>42</v>
      </c>
      <c r="F991" s="172">
        <v>3.0000000000000001E-3</v>
      </c>
      <c r="G991" s="65">
        <f t="shared" ref="G991:G998" si="8">VLOOKUP(D991,upahbahan,3,FALSE)</f>
        <v>8000000</v>
      </c>
      <c r="H991" s="125">
        <f t="shared" ref="H991:H998" si="9">F991*G991</f>
        <v>24000</v>
      </c>
    </row>
    <row r="992" spans="3:13">
      <c r="C992" s="146" t="s">
        <v>1216</v>
      </c>
      <c r="D992" s="60" t="s">
        <v>267</v>
      </c>
      <c r="E992" s="171" t="s">
        <v>66</v>
      </c>
      <c r="F992" s="172">
        <v>0.02</v>
      </c>
      <c r="G992" s="65">
        <f t="shared" si="8"/>
        <v>20000</v>
      </c>
      <c r="H992" s="125">
        <f t="shared" si="9"/>
        <v>400</v>
      </c>
    </row>
    <row r="993" spans="3:13">
      <c r="C993" s="146" t="s">
        <v>1217</v>
      </c>
      <c r="D993" s="60" t="s">
        <v>765</v>
      </c>
      <c r="E993" s="171" t="s">
        <v>535</v>
      </c>
      <c r="F993" s="172">
        <v>0.2</v>
      </c>
      <c r="G993" s="65">
        <f t="shared" si="8"/>
        <v>16800</v>
      </c>
      <c r="H993" s="125">
        <f t="shared" si="9"/>
        <v>3360</v>
      </c>
    </row>
    <row r="994" spans="3:13">
      <c r="C994" s="146" t="s">
        <v>1218</v>
      </c>
      <c r="D994" s="60" t="s">
        <v>236</v>
      </c>
      <c r="E994" s="171" t="s">
        <v>66</v>
      </c>
      <c r="F994" s="172">
        <v>3.6</v>
      </c>
      <c r="G994" s="65">
        <f t="shared" si="8"/>
        <v>14250</v>
      </c>
      <c r="H994" s="125">
        <f t="shared" si="9"/>
        <v>51300</v>
      </c>
    </row>
    <row r="995" spans="3:13">
      <c r="C995" s="146" t="s">
        <v>1219</v>
      </c>
      <c r="D995" s="60" t="s">
        <v>255</v>
      </c>
      <c r="E995" s="171" t="s">
        <v>66</v>
      </c>
      <c r="F995" s="172">
        <v>0.05</v>
      </c>
      <c r="G995" s="65">
        <f t="shared" si="8"/>
        <v>18800</v>
      </c>
      <c r="H995" s="125">
        <f t="shared" si="9"/>
        <v>940</v>
      </c>
    </row>
    <row r="996" spans="3:13">
      <c r="C996" s="146" t="s">
        <v>1223</v>
      </c>
      <c r="D996" s="60" t="s">
        <v>568</v>
      </c>
      <c r="E996" s="171" t="s">
        <v>66</v>
      </c>
      <c r="F996" s="172">
        <v>5.5</v>
      </c>
      <c r="G996" s="65">
        <f t="shared" si="8"/>
        <v>1300</v>
      </c>
      <c r="H996" s="125">
        <f t="shared" si="9"/>
        <v>7150</v>
      </c>
    </row>
    <row r="997" spans="3:13">
      <c r="C997" s="146" t="s">
        <v>1224</v>
      </c>
      <c r="D997" s="60" t="s">
        <v>83</v>
      </c>
      <c r="E997" s="171" t="s">
        <v>42</v>
      </c>
      <c r="F997" s="172">
        <v>8.9999999999999993E-3</v>
      </c>
      <c r="G997" s="65">
        <f t="shared" si="8"/>
        <v>370200</v>
      </c>
      <c r="H997" s="125">
        <f t="shared" si="9"/>
        <v>3331.7999999999997</v>
      </c>
    </row>
    <row r="998" spans="3:13">
      <c r="C998" s="146" t="s">
        <v>1225</v>
      </c>
      <c r="D998" s="60" t="s">
        <v>72</v>
      </c>
      <c r="E998" s="171" t="s">
        <v>42</v>
      </c>
      <c r="F998" s="172">
        <v>1.4999999999999999E-2</v>
      </c>
      <c r="G998" s="65">
        <f t="shared" si="8"/>
        <v>370200</v>
      </c>
      <c r="H998" s="125">
        <f t="shared" si="9"/>
        <v>5553</v>
      </c>
    </row>
    <row r="999" spans="3:13" ht="15.75" customHeight="1">
      <c r="C999" s="145" t="s">
        <v>1226</v>
      </c>
      <c r="D999" s="81"/>
      <c r="E999" s="81"/>
      <c r="F999" s="190"/>
      <c r="G999" s="163"/>
      <c r="H999" s="125">
        <f>SUM(H991:H998)</f>
        <v>96034.8</v>
      </c>
    </row>
    <row r="1000" spans="3:13">
      <c r="C1000" s="142" t="s">
        <v>1227</v>
      </c>
      <c r="D1000" s="60" t="s">
        <v>1228</v>
      </c>
      <c r="E1000" s="74"/>
      <c r="F1000" s="208"/>
      <c r="G1000" s="74"/>
      <c r="H1000" s="152"/>
    </row>
    <row r="1001" spans="3:13" ht="15.75" customHeight="1">
      <c r="C1001" s="145" t="s">
        <v>1229</v>
      </c>
      <c r="D1001" s="81"/>
      <c r="E1001" s="81"/>
      <c r="F1001" s="81"/>
      <c r="G1001" s="163"/>
      <c r="H1001" s="185">
        <v>0</v>
      </c>
    </row>
    <row r="1002" spans="3:13" s="164" customFormat="1">
      <c r="C1002" s="123" t="s">
        <v>1230</v>
      </c>
      <c r="D1002" s="70" t="s">
        <v>1231</v>
      </c>
      <c r="E1002" s="71"/>
      <c r="F1002" s="71"/>
      <c r="G1002" s="72"/>
      <c r="H1002" s="125">
        <f>H1001+H999+H989</f>
        <v>143764.79999999999</v>
      </c>
      <c r="I1002" s="55"/>
    </row>
    <row r="1003" spans="3:13" s="164" customFormat="1">
      <c r="C1003" s="123" t="s">
        <v>1232</v>
      </c>
      <c r="D1003" s="70" t="s">
        <v>1410</v>
      </c>
      <c r="E1003" s="71"/>
      <c r="F1003" s="72"/>
      <c r="G1003" s="96">
        <f>$M$7</f>
        <v>0.1</v>
      </c>
      <c r="H1003" s="125">
        <f>H1002*G1003</f>
        <v>14376.48</v>
      </c>
      <c r="I1003" s="55"/>
    </row>
    <row r="1004" spans="3:13" s="164" customFormat="1" ht="15.75" thickBot="1">
      <c r="C1004" s="131" t="s">
        <v>1233</v>
      </c>
      <c r="D1004" s="132" t="s">
        <v>1234</v>
      </c>
      <c r="E1004" s="133"/>
      <c r="F1004" s="133"/>
      <c r="G1004" s="156"/>
      <c r="H1004" s="135">
        <f>SUM(H1002:H1003)</f>
        <v>158141.28</v>
      </c>
      <c r="I1004" s="55"/>
    </row>
    <row r="1005" spans="3:13" ht="15.75" thickTop="1"/>
    <row r="1006" spans="3:13" ht="15.75" thickBot="1">
      <c r="C1006" s="54" t="s">
        <v>1406</v>
      </c>
      <c r="D1006" s="54"/>
      <c r="E1006" s="54"/>
      <c r="F1006" s="54"/>
      <c r="G1006" s="54"/>
      <c r="H1006" s="54"/>
      <c r="I1006" s="57">
        <f>ROUNDDOWN(H1022,-2)</f>
        <v>13025900</v>
      </c>
      <c r="M1006" s="205"/>
    </row>
    <row r="1007" spans="3:13" s="58" customFormat="1" ht="31.5" customHeight="1" thickTop="1">
      <c r="C1007" s="120" t="s">
        <v>1207</v>
      </c>
      <c r="D1007" s="121" t="s">
        <v>1208</v>
      </c>
      <c r="E1007" s="121" t="s">
        <v>1209</v>
      </c>
      <c r="F1007" s="121" t="s">
        <v>1210</v>
      </c>
      <c r="G1007" s="121" t="s">
        <v>1211</v>
      </c>
      <c r="H1007" s="122" t="s">
        <v>1212</v>
      </c>
      <c r="I1007" s="161"/>
      <c r="M1007" s="205"/>
    </row>
    <row r="1008" spans="3:13">
      <c r="C1008" s="142" t="s">
        <v>1213</v>
      </c>
      <c r="D1008" s="60" t="s">
        <v>1214</v>
      </c>
      <c r="E1008" s="74"/>
      <c r="F1008" s="74"/>
      <c r="G1008" s="74"/>
      <c r="H1008" s="147"/>
      <c r="M1008" s="205"/>
    </row>
    <row r="1009" spans="3:13">
      <c r="C1009" s="201" t="s">
        <v>1215</v>
      </c>
      <c r="D1009" s="60" t="s">
        <v>5</v>
      </c>
      <c r="E1009" s="73" t="s">
        <v>6</v>
      </c>
      <c r="F1009" s="184">
        <v>0.83330000000000004</v>
      </c>
      <c r="G1009" s="65">
        <f>VLOOKUP(D1009,upahbahan,3,FALSE)</f>
        <v>100000</v>
      </c>
      <c r="H1009" s="125">
        <f>F1009*G1009</f>
        <v>83330</v>
      </c>
      <c r="M1009" s="205"/>
    </row>
    <row r="1010" spans="3:13">
      <c r="C1010" s="201" t="s">
        <v>1216</v>
      </c>
      <c r="D1010" s="60" t="s">
        <v>7</v>
      </c>
      <c r="E1010" s="73" t="s">
        <v>6</v>
      </c>
      <c r="F1010" s="184">
        <v>0.27779999999999999</v>
      </c>
      <c r="G1010" s="65">
        <f>VLOOKUP(D1010,upahbahan,3,FALSE)</f>
        <v>145000</v>
      </c>
      <c r="H1010" s="125">
        <f>F1010*G1010</f>
        <v>40281</v>
      </c>
      <c r="M1010" s="205"/>
    </row>
    <row r="1011" spans="3:13">
      <c r="C1011" s="201" t="s">
        <v>1217</v>
      </c>
      <c r="D1011" s="60" t="s">
        <v>18</v>
      </c>
      <c r="E1011" s="73" t="s">
        <v>6</v>
      </c>
      <c r="F1011" s="184">
        <v>2.7799999999999998E-2</v>
      </c>
      <c r="G1011" s="65">
        <f>VLOOKUP(D1011,upahbahan,3,FALSE)</f>
        <v>150000</v>
      </c>
      <c r="H1011" s="125">
        <f>F1011*G1011</f>
        <v>4170</v>
      </c>
      <c r="M1011" s="205"/>
    </row>
    <row r="1012" spans="3:13">
      <c r="C1012" s="201" t="s">
        <v>1218</v>
      </c>
      <c r="D1012" s="60" t="s">
        <v>19</v>
      </c>
      <c r="E1012" s="73" t="s">
        <v>6</v>
      </c>
      <c r="F1012" s="184">
        <v>9.2999999999999992E-3</v>
      </c>
      <c r="G1012" s="65">
        <f>VLOOKUP(D1012,upahbahan,3,FALSE)</f>
        <v>145000</v>
      </c>
      <c r="H1012" s="125">
        <f>F1012*G1012</f>
        <v>1348.5</v>
      </c>
      <c r="M1012" s="205"/>
    </row>
    <row r="1013" spans="3:13" ht="15.75" customHeight="1">
      <c r="C1013" s="145" t="s">
        <v>1220</v>
      </c>
      <c r="D1013" s="81"/>
      <c r="E1013" s="81"/>
      <c r="F1013" s="190"/>
      <c r="G1013" s="163"/>
      <c r="H1013" s="125">
        <f>SUM(H1009:H1012)</f>
        <v>129129.5</v>
      </c>
      <c r="J1013" s="204"/>
    </row>
    <row r="1014" spans="3:13">
      <c r="C1014" s="142" t="s">
        <v>1221</v>
      </c>
      <c r="D1014" s="60" t="s">
        <v>1222</v>
      </c>
      <c r="E1014" s="74"/>
      <c r="F1014" s="208"/>
      <c r="G1014" s="74"/>
      <c r="H1014" s="147"/>
    </row>
    <row r="1015" spans="3:13">
      <c r="C1015" s="146" t="s">
        <v>1215</v>
      </c>
      <c r="D1015" s="60" t="s">
        <v>563</v>
      </c>
      <c r="E1015" s="171" t="s">
        <v>66</v>
      </c>
      <c r="F1015" s="206">
        <v>1920</v>
      </c>
      <c r="G1015" s="65">
        <f>VLOOKUP(D1015,upahbahan,3,FALSE)</f>
        <v>6000</v>
      </c>
      <c r="H1015" s="125">
        <f>F1015*G1015</f>
        <v>11520000</v>
      </c>
    </row>
    <row r="1016" spans="3:13">
      <c r="C1016" s="146" t="s">
        <v>1216</v>
      </c>
      <c r="D1016" s="60" t="s">
        <v>970</v>
      </c>
      <c r="E1016" s="171" t="s">
        <v>535</v>
      </c>
      <c r="F1016" s="206">
        <v>963</v>
      </c>
      <c r="G1016" s="65">
        <f>VLOOKUP(D1016,upahbahan,3,FALSE)</f>
        <v>200</v>
      </c>
      <c r="H1016" s="125">
        <f>F1016*G1016</f>
        <v>192600</v>
      </c>
    </row>
    <row r="1017" spans="3:13" ht="15.75" customHeight="1">
      <c r="C1017" s="145" t="s">
        <v>1226</v>
      </c>
      <c r="D1017" s="81"/>
      <c r="E1017" s="81"/>
      <c r="F1017" s="190"/>
      <c r="G1017" s="163"/>
      <c r="H1017" s="125">
        <f>SUM(H1015:H1016)</f>
        <v>11712600</v>
      </c>
    </row>
    <row r="1018" spans="3:13">
      <c r="C1018" s="142" t="s">
        <v>1227</v>
      </c>
      <c r="D1018" s="60" t="s">
        <v>1228</v>
      </c>
      <c r="E1018" s="74"/>
      <c r="F1018" s="208"/>
      <c r="G1018" s="74"/>
      <c r="H1018" s="152"/>
    </row>
    <row r="1019" spans="3:13" ht="15.75" customHeight="1">
      <c r="C1019" s="145" t="s">
        <v>1229</v>
      </c>
      <c r="D1019" s="81"/>
      <c r="E1019" s="81"/>
      <c r="F1019" s="81"/>
      <c r="G1019" s="163"/>
      <c r="H1019" s="185">
        <v>0</v>
      </c>
    </row>
    <row r="1020" spans="3:13" s="164" customFormat="1">
      <c r="C1020" s="123" t="s">
        <v>1230</v>
      </c>
      <c r="D1020" s="70" t="s">
        <v>1231</v>
      </c>
      <c r="E1020" s="71"/>
      <c r="F1020" s="71"/>
      <c r="G1020" s="72"/>
      <c r="H1020" s="125">
        <f>H1019+H1017+H1013</f>
        <v>11841729.5</v>
      </c>
      <c r="I1020" s="55"/>
    </row>
    <row r="1021" spans="3:13" s="164" customFormat="1">
      <c r="C1021" s="123" t="s">
        <v>1232</v>
      </c>
      <c r="D1021" s="70" t="s">
        <v>1410</v>
      </c>
      <c r="E1021" s="71"/>
      <c r="F1021" s="72"/>
      <c r="G1021" s="96">
        <f>$M$7</f>
        <v>0.1</v>
      </c>
      <c r="H1021" s="125">
        <f>H1020*G1021</f>
        <v>1184172.95</v>
      </c>
      <c r="I1021" s="55"/>
    </row>
    <row r="1022" spans="3:13" s="164" customFormat="1" ht="15.75" thickBot="1">
      <c r="C1022" s="131" t="s">
        <v>1233</v>
      </c>
      <c r="D1022" s="132" t="s">
        <v>1234</v>
      </c>
      <c r="E1022" s="133"/>
      <c r="F1022" s="133"/>
      <c r="G1022" s="156"/>
      <c r="H1022" s="135">
        <f>SUM(H1020:H1021)</f>
        <v>13025902.449999999</v>
      </c>
      <c r="I1022" s="55"/>
    </row>
    <row r="1023" spans="3:13" ht="15.75" thickTop="1"/>
    <row r="1024" spans="3:13" ht="15.75" thickBot="1">
      <c r="C1024" s="54" t="s">
        <v>1407</v>
      </c>
      <c r="D1024" s="54"/>
      <c r="E1024" s="54"/>
      <c r="F1024" s="54"/>
      <c r="G1024" s="54"/>
      <c r="H1024" s="54"/>
      <c r="I1024" s="57">
        <f>ROUNDDOWN(H1037,-2)</f>
        <v>285400</v>
      </c>
      <c r="J1024" s="195"/>
      <c r="M1024" s="205"/>
    </row>
    <row r="1025" spans="3:13" s="58" customFormat="1" ht="31.5" customHeight="1" thickTop="1">
      <c r="C1025" s="120" t="s">
        <v>1207</v>
      </c>
      <c r="D1025" s="121" t="s">
        <v>1208</v>
      </c>
      <c r="E1025" s="121" t="s">
        <v>1209</v>
      </c>
      <c r="F1025" s="121" t="s">
        <v>1210</v>
      </c>
      <c r="G1025" s="121" t="s">
        <v>1211</v>
      </c>
      <c r="H1025" s="122" t="s">
        <v>1212</v>
      </c>
      <c r="I1025" s="161"/>
      <c r="M1025" s="205"/>
    </row>
    <row r="1026" spans="3:13">
      <c r="C1026" s="142" t="s">
        <v>1213</v>
      </c>
      <c r="D1026" s="60" t="s">
        <v>1214</v>
      </c>
      <c r="E1026" s="74"/>
      <c r="F1026" s="74"/>
      <c r="G1026" s="74"/>
      <c r="H1026" s="147"/>
      <c r="M1026" s="205"/>
    </row>
    <row r="1027" spans="3:13" ht="15.75" customHeight="1">
      <c r="C1027" s="145" t="s">
        <v>1220</v>
      </c>
      <c r="D1027" s="81"/>
      <c r="E1027" s="81"/>
      <c r="F1027" s="190"/>
      <c r="G1027" s="163"/>
      <c r="H1027" s="185">
        <v>0</v>
      </c>
    </row>
    <row r="1028" spans="3:13">
      <c r="C1028" s="142" t="s">
        <v>1221</v>
      </c>
      <c r="D1028" s="60" t="s">
        <v>1222</v>
      </c>
      <c r="E1028" s="74"/>
      <c r="F1028" s="208"/>
      <c r="G1028" s="74"/>
      <c r="H1028" s="147"/>
    </row>
    <row r="1029" spans="3:13">
      <c r="C1029" s="146" t="s">
        <v>1215</v>
      </c>
      <c r="D1029" s="60" t="s">
        <v>993</v>
      </c>
      <c r="E1029" s="171" t="s">
        <v>66</v>
      </c>
      <c r="F1029" s="172">
        <v>1.1000000000000001</v>
      </c>
      <c r="G1029" s="65">
        <f>VLOOKUP(D1029,upahbahan,3,FALSE)</f>
        <v>216700</v>
      </c>
      <c r="H1029" s="125">
        <f>F1029*G1029</f>
        <v>238370.00000000003</v>
      </c>
    </row>
    <row r="1030" spans="3:13" ht="15.75" customHeight="1">
      <c r="C1030" s="145" t="s">
        <v>1226</v>
      </c>
      <c r="D1030" s="81"/>
      <c r="E1030" s="81"/>
      <c r="F1030" s="190"/>
      <c r="G1030" s="163"/>
      <c r="H1030" s="125">
        <f>SUM(H1029:H1029)</f>
        <v>238370.00000000003</v>
      </c>
    </row>
    <row r="1031" spans="3:13">
      <c r="C1031" s="142" t="s">
        <v>1227</v>
      </c>
      <c r="D1031" s="60" t="s">
        <v>1228</v>
      </c>
      <c r="E1031" s="74"/>
      <c r="F1031" s="208"/>
      <c r="G1031" s="74"/>
      <c r="H1031" s="152"/>
    </row>
    <row r="1032" spans="3:13">
      <c r="C1032" s="146" t="s">
        <v>1215</v>
      </c>
      <c r="D1032" s="78" t="s">
        <v>1189</v>
      </c>
      <c r="E1032" s="171" t="s">
        <v>1085</v>
      </c>
      <c r="F1032" s="191">
        <v>0.16667000000000001</v>
      </c>
      <c r="G1032" s="65">
        <f>VLOOKUP(D1032,upahbahan,3,FALSE)</f>
        <v>42000</v>
      </c>
      <c r="H1032" s="125">
        <f>F1032*G1032</f>
        <v>7000.14</v>
      </c>
    </row>
    <row r="1033" spans="3:13">
      <c r="C1033" s="146" t="s">
        <v>1216</v>
      </c>
      <c r="D1033" s="60" t="s">
        <v>1409</v>
      </c>
      <c r="E1033" s="171" t="s">
        <v>1085</v>
      </c>
      <c r="F1033" s="191">
        <v>0.16667000000000001</v>
      </c>
      <c r="G1033" s="65">
        <f>VLOOKUP(D1033,upahbahan,3,FALSE)</f>
        <v>85000</v>
      </c>
      <c r="H1033" s="125">
        <f>F1033*G1033</f>
        <v>14166.95</v>
      </c>
    </row>
    <row r="1034" spans="3:13" ht="15.75" customHeight="1">
      <c r="C1034" s="145" t="s">
        <v>1229</v>
      </c>
      <c r="D1034" s="81"/>
      <c r="E1034" s="81"/>
      <c r="F1034" s="81"/>
      <c r="G1034" s="163"/>
      <c r="H1034" s="125">
        <f>SUM(H1032:H1033)</f>
        <v>21167.09</v>
      </c>
    </row>
    <row r="1035" spans="3:13" s="164" customFormat="1">
      <c r="C1035" s="123" t="s">
        <v>1230</v>
      </c>
      <c r="D1035" s="70" t="s">
        <v>1231</v>
      </c>
      <c r="E1035" s="71"/>
      <c r="F1035" s="71"/>
      <c r="G1035" s="72"/>
      <c r="H1035" s="125">
        <f>H1034+H1030+H1027</f>
        <v>259537.09000000003</v>
      </c>
      <c r="I1035" s="55"/>
    </row>
    <row r="1036" spans="3:13" s="164" customFormat="1">
      <c r="C1036" s="123" t="s">
        <v>1232</v>
      </c>
      <c r="D1036" s="70" t="s">
        <v>1410</v>
      </c>
      <c r="E1036" s="71"/>
      <c r="F1036" s="72"/>
      <c r="G1036" s="96">
        <f>$M$7</f>
        <v>0.1</v>
      </c>
      <c r="H1036" s="125">
        <f>H1035*G1036</f>
        <v>25953.709000000003</v>
      </c>
      <c r="I1036" s="55"/>
    </row>
    <row r="1037" spans="3:13" s="164" customFormat="1" ht="15.75" thickBot="1">
      <c r="C1037" s="131" t="s">
        <v>1233</v>
      </c>
      <c r="D1037" s="132" t="s">
        <v>1234</v>
      </c>
      <c r="E1037" s="133"/>
      <c r="F1037" s="133"/>
      <c r="G1037" s="156"/>
      <c r="H1037" s="135">
        <f>SUM(H1035:H1036)</f>
        <v>285490.799</v>
      </c>
      <c r="I1037" s="55"/>
    </row>
    <row r="1038" spans="3:13" ht="15.75" thickTop="1"/>
  </sheetData>
  <mergeCells count="25">
    <mergeCell ref="C732:H732"/>
    <mergeCell ref="C606:H606"/>
    <mergeCell ref="C627:H627"/>
    <mergeCell ref="C648:H648"/>
    <mergeCell ref="C669:H669"/>
    <mergeCell ref="C690:H690"/>
    <mergeCell ref="C711:H711"/>
    <mergeCell ref="C585:H585"/>
    <mergeCell ref="C145:H145"/>
    <mergeCell ref="C395:H395"/>
    <mergeCell ref="C409:H409"/>
    <mergeCell ref="C423:H423"/>
    <mergeCell ref="C443:H443"/>
    <mergeCell ref="C463:H463"/>
    <mergeCell ref="C483:H483"/>
    <mergeCell ref="C503:H503"/>
    <mergeCell ref="C523:H523"/>
    <mergeCell ref="C543:H543"/>
    <mergeCell ref="C564:H564"/>
    <mergeCell ref="C131:H131"/>
    <mergeCell ref="C22:H22"/>
    <mergeCell ref="C42:H42"/>
    <mergeCell ref="C60:H60"/>
    <mergeCell ref="C80:H80"/>
    <mergeCell ref="C98:H9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M150"/>
  <sheetViews>
    <sheetView workbookViewId="0">
      <selection activeCell="C3" sqref="C3:I158"/>
    </sheetView>
    <sheetView workbookViewId="1"/>
  </sheetViews>
  <sheetFormatPr defaultColWidth="9.28515625" defaultRowHeight="15"/>
  <cols>
    <col min="1" max="2" width="3.28515625" style="63" customWidth="1"/>
    <col min="3" max="3" width="5.7109375" style="63" customWidth="1"/>
    <col min="4" max="4" width="36.7109375" style="63" customWidth="1"/>
    <col min="5" max="5" width="7.140625" style="63" customWidth="1"/>
    <col min="6" max="6" width="10.7109375" style="63" customWidth="1"/>
    <col min="7" max="7" width="14.7109375" style="63" customWidth="1"/>
    <col min="8" max="8" width="15.85546875" style="63" customWidth="1"/>
    <col min="9" max="9" width="16.7109375" style="55" customWidth="1"/>
    <col min="10" max="16384" width="9.28515625" style="63"/>
  </cols>
  <sheetData>
    <row r="3" spans="3:13" ht="15.75" customHeight="1">
      <c r="C3" s="217" t="str">
        <f>'[1]Daftar HSP'!A151</f>
        <v>G</v>
      </c>
      <c r="D3" s="218" t="str">
        <f>'[1]Daftar HSP'!B151</f>
        <v>PEKERJAAN RANGKA ATAP</v>
      </c>
      <c r="E3" s="219"/>
      <c r="F3" s="219"/>
      <c r="G3" s="219"/>
      <c r="H3" s="219"/>
    </row>
    <row r="4" spans="3:13" ht="15.75" thickBot="1">
      <c r="C4" s="224" t="s">
        <v>1411</v>
      </c>
      <c r="D4" s="225"/>
      <c r="E4" s="225"/>
      <c r="F4" s="225"/>
      <c r="G4" s="225"/>
      <c r="H4" s="225"/>
      <c r="I4" s="57">
        <f>ROUNDDOWN(H19,-2)</f>
        <v>295200</v>
      </c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56" t="s">
        <v>1265</v>
      </c>
      <c r="K6" s="56"/>
      <c r="L6" s="56"/>
      <c r="M6" s="56"/>
    </row>
    <row r="7" spans="3:13">
      <c r="C7" s="143">
        <v>1</v>
      </c>
      <c r="D7" s="60" t="s">
        <v>5</v>
      </c>
      <c r="E7" s="73" t="s">
        <v>6</v>
      </c>
      <c r="F7" s="184">
        <v>0.73399999999999999</v>
      </c>
      <c r="G7" s="65">
        <f>VLOOKUP(D7,upahbahan,3,FALSE)</f>
        <v>100000</v>
      </c>
      <c r="H7" s="125">
        <f>F7*G7</f>
        <v>73400</v>
      </c>
      <c r="J7" s="56" t="s">
        <v>1266</v>
      </c>
      <c r="K7" s="56"/>
      <c r="L7" s="56"/>
      <c r="M7" s="66">
        <v>0.1</v>
      </c>
    </row>
    <row r="8" spans="3:13">
      <c r="C8" s="143">
        <v>2</v>
      </c>
      <c r="D8" s="60" t="s">
        <v>9</v>
      </c>
      <c r="E8" s="73" t="s">
        <v>6</v>
      </c>
      <c r="F8" s="184">
        <v>0.73399999999999999</v>
      </c>
      <c r="G8" s="65">
        <f>VLOOKUP(D8,upahbahan,3,FALSE)</f>
        <v>145000</v>
      </c>
      <c r="H8" s="125">
        <f>F8*G8</f>
        <v>106430</v>
      </c>
    </row>
    <row r="9" spans="3:13">
      <c r="C9" s="143">
        <v>3</v>
      </c>
      <c r="D9" s="60" t="s">
        <v>18</v>
      </c>
      <c r="E9" s="73" t="s">
        <v>6</v>
      </c>
      <c r="F9" s="184">
        <v>7.2999999999999995E-2</v>
      </c>
      <c r="G9" s="65">
        <f>VLOOKUP(D9,upahbahan,3,FALSE)</f>
        <v>150000</v>
      </c>
      <c r="H9" s="125">
        <f>F9*G9</f>
        <v>10950</v>
      </c>
    </row>
    <row r="10" spans="3:13">
      <c r="C10" s="143">
        <v>4</v>
      </c>
      <c r="D10" s="60" t="s">
        <v>19</v>
      </c>
      <c r="E10" s="73" t="s">
        <v>6</v>
      </c>
      <c r="F10" s="184">
        <v>2.4E-2</v>
      </c>
      <c r="G10" s="65">
        <f>VLOOKUP(D10,upahbahan,3,FALSE)</f>
        <v>145000</v>
      </c>
      <c r="H10" s="125">
        <f>F10*G10</f>
        <v>3480</v>
      </c>
    </row>
    <row r="11" spans="3:13" ht="15.75" customHeight="1">
      <c r="C11" s="145" t="s">
        <v>1220</v>
      </c>
      <c r="D11" s="81"/>
      <c r="E11" s="81"/>
      <c r="F11" s="220"/>
      <c r="G11" s="221"/>
      <c r="H11" s="125">
        <f>SUM(H7:H10)</f>
        <v>194260</v>
      </c>
      <c r="I11" s="222"/>
      <c r="J11" s="223"/>
      <c r="K11" s="223"/>
    </row>
    <row r="12" spans="3:13">
      <c r="C12" s="142" t="s">
        <v>1221</v>
      </c>
      <c r="D12" s="60" t="s">
        <v>1222</v>
      </c>
      <c r="E12" s="74"/>
      <c r="F12" s="74"/>
      <c r="G12" s="74"/>
      <c r="H12" s="147"/>
    </row>
    <row r="13" spans="3:13">
      <c r="C13" s="143">
        <v>1</v>
      </c>
      <c r="D13" s="60" t="s">
        <v>978</v>
      </c>
      <c r="E13" s="69" t="s">
        <v>107</v>
      </c>
      <c r="F13" s="184">
        <v>0.96030000000000004</v>
      </c>
      <c r="G13" s="65">
        <f>VLOOKUP(D13,upahbahan,3,FALSE)</f>
        <v>77200</v>
      </c>
      <c r="H13" s="125">
        <f>F13*G13</f>
        <v>74135.16</v>
      </c>
    </row>
    <row r="14" spans="3:13" ht="15.75" customHeight="1">
      <c r="C14" s="145" t="s">
        <v>1226</v>
      </c>
      <c r="D14" s="81"/>
      <c r="E14" s="81"/>
      <c r="F14" s="81"/>
      <c r="G14" s="163"/>
      <c r="H14" s="125">
        <f>SUM(H13)</f>
        <v>74135.16</v>
      </c>
    </row>
    <row r="15" spans="3:13">
      <c r="C15" s="153" t="s">
        <v>1227</v>
      </c>
      <c r="D15" s="60" t="s">
        <v>1228</v>
      </c>
      <c r="E15" s="74"/>
      <c r="F15" s="74"/>
      <c r="G15" s="74"/>
      <c r="H15" s="147"/>
    </row>
    <row r="16" spans="3:13" ht="15.75" customHeight="1">
      <c r="C16" s="145" t="s">
        <v>1229</v>
      </c>
      <c r="D16" s="81"/>
      <c r="E16" s="81"/>
      <c r="F16" s="81"/>
      <c r="G16" s="163"/>
      <c r="H16" s="154">
        <v>0</v>
      </c>
    </row>
    <row r="17" spans="3:11" s="164" customFormat="1">
      <c r="C17" s="123" t="s">
        <v>1230</v>
      </c>
      <c r="D17" s="70" t="s">
        <v>1231</v>
      </c>
      <c r="E17" s="71"/>
      <c r="F17" s="71"/>
      <c r="G17" s="72"/>
      <c r="H17" s="125">
        <f>H16+H14+H11</f>
        <v>268395.16000000003</v>
      </c>
      <c r="I17" s="55"/>
    </row>
    <row r="18" spans="3:11" s="164" customFormat="1">
      <c r="C18" s="123" t="s">
        <v>1232</v>
      </c>
      <c r="D18" s="70" t="s">
        <v>1410</v>
      </c>
      <c r="E18" s="71"/>
      <c r="F18" s="72"/>
      <c r="G18" s="96">
        <f>$M$7</f>
        <v>0.1</v>
      </c>
      <c r="H18" s="125">
        <f>H17*G18</f>
        <v>26839.516000000003</v>
      </c>
      <c r="I18" s="55"/>
    </row>
    <row r="19" spans="3:11" s="164" customFormat="1" ht="15.75" thickBot="1">
      <c r="C19" s="131" t="s">
        <v>1233</v>
      </c>
      <c r="D19" s="132" t="s">
        <v>1234</v>
      </c>
      <c r="E19" s="133"/>
      <c r="F19" s="133"/>
      <c r="G19" s="156"/>
      <c r="H19" s="135">
        <f>SUM(H17:H18)</f>
        <v>295234.67600000004</v>
      </c>
      <c r="I19" s="55"/>
    </row>
    <row r="20" spans="3:11" ht="15.75" thickTop="1">
      <c r="C20" s="90"/>
      <c r="D20" s="91"/>
      <c r="E20" s="91"/>
      <c r="F20" s="91"/>
      <c r="G20" s="91"/>
      <c r="H20" s="92"/>
    </row>
    <row r="21" spans="3:11" ht="15.75" thickBot="1">
      <c r="C21" s="224" t="s">
        <v>1412</v>
      </c>
      <c r="D21" s="226"/>
      <c r="E21" s="226"/>
      <c r="F21" s="226"/>
      <c r="G21" s="226"/>
      <c r="H21" s="226"/>
      <c r="I21" s="57">
        <f>ROUNDDOWN(H36,-2)</f>
        <v>303000</v>
      </c>
    </row>
    <row r="22" spans="3:11" ht="29.25" thickTop="1">
      <c r="C22" s="120" t="s">
        <v>1207</v>
      </c>
      <c r="D22" s="121" t="s">
        <v>1208</v>
      </c>
      <c r="E22" s="121" t="s">
        <v>1209</v>
      </c>
      <c r="F22" s="121" t="s">
        <v>1210</v>
      </c>
      <c r="G22" s="121" t="s">
        <v>1211</v>
      </c>
      <c r="H22" s="122" t="s">
        <v>1212</v>
      </c>
    </row>
    <row r="23" spans="3:11">
      <c r="C23" s="142" t="s">
        <v>1213</v>
      </c>
      <c r="D23" s="60" t="s">
        <v>1214</v>
      </c>
      <c r="E23" s="74"/>
      <c r="F23" s="74"/>
      <c r="G23" s="74"/>
      <c r="H23" s="147"/>
    </row>
    <row r="24" spans="3:11">
      <c r="C24" s="143">
        <v>1</v>
      </c>
      <c r="D24" s="60" t="s">
        <v>5</v>
      </c>
      <c r="E24" s="73" t="s">
        <v>6</v>
      </c>
      <c r="F24" s="94">
        <v>0.76039999999999996</v>
      </c>
      <c r="G24" s="65">
        <f>VLOOKUP(D24,upahbahan,3,FALSE)</f>
        <v>100000</v>
      </c>
      <c r="H24" s="125">
        <f>F24*G24</f>
        <v>76040</v>
      </c>
    </row>
    <row r="25" spans="3:11">
      <c r="C25" s="143">
        <v>2</v>
      </c>
      <c r="D25" s="60" t="str">
        <f>D8</f>
        <v>Tukang besi</v>
      </c>
      <c r="E25" s="73" t="s">
        <v>6</v>
      </c>
      <c r="F25" s="94">
        <v>0.76039999999999996</v>
      </c>
      <c r="G25" s="65">
        <f>VLOOKUP(D25,upahbahan,3,FALSE)</f>
        <v>145000</v>
      </c>
      <c r="H25" s="125">
        <f>F25*G25</f>
        <v>110258</v>
      </c>
    </row>
    <row r="26" spans="3:11">
      <c r="C26" s="143">
        <v>3</v>
      </c>
      <c r="D26" s="60" t="s">
        <v>18</v>
      </c>
      <c r="E26" s="73" t="s">
        <v>6</v>
      </c>
      <c r="F26" s="94">
        <v>7.5999999999999998E-2</v>
      </c>
      <c r="G26" s="65">
        <f>VLOOKUP(D26,upahbahan,3,FALSE)</f>
        <v>150000</v>
      </c>
      <c r="H26" s="125">
        <f>F26*G26</f>
        <v>11400</v>
      </c>
    </row>
    <row r="27" spans="3:11">
      <c r="C27" s="143">
        <v>4</v>
      </c>
      <c r="D27" s="60" t="s">
        <v>19</v>
      </c>
      <c r="E27" s="73" t="s">
        <v>6</v>
      </c>
      <c r="F27" s="94">
        <v>2.53E-2</v>
      </c>
      <c r="G27" s="65">
        <f>VLOOKUP(D27,upahbahan,3,FALSE)</f>
        <v>145000</v>
      </c>
      <c r="H27" s="125">
        <f>F27*G27</f>
        <v>3668.5</v>
      </c>
    </row>
    <row r="28" spans="3:11" ht="15.75" customHeight="1">
      <c r="C28" s="145" t="s">
        <v>1220</v>
      </c>
      <c r="D28" s="81"/>
      <c r="E28" s="81"/>
      <c r="F28" s="220"/>
      <c r="G28" s="221"/>
      <c r="H28" s="125">
        <f>SUM(H24:H27)</f>
        <v>201366.5</v>
      </c>
      <c r="I28" s="222"/>
      <c r="J28" s="223"/>
      <c r="K28" s="223"/>
    </row>
    <row r="29" spans="3:11">
      <c r="C29" s="142" t="s">
        <v>1221</v>
      </c>
      <c r="D29" s="60" t="s">
        <v>1222</v>
      </c>
      <c r="E29" s="74"/>
      <c r="F29" s="74"/>
      <c r="G29" s="74"/>
      <c r="H29" s="147"/>
    </row>
    <row r="30" spans="3:11">
      <c r="C30" s="143">
        <v>1</v>
      </c>
      <c r="D30" s="60" t="s">
        <v>978</v>
      </c>
      <c r="E30" s="69" t="s">
        <v>107</v>
      </c>
      <c r="F30" s="184">
        <v>0.96030000000000004</v>
      </c>
      <c r="G30" s="65">
        <f>VLOOKUP(D30,upahbahan,3,FALSE)</f>
        <v>77200</v>
      </c>
      <c r="H30" s="125">
        <f>F30*G30</f>
        <v>74135.16</v>
      </c>
    </row>
    <row r="31" spans="3:11" ht="15.75" customHeight="1">
      <c r="C31" s="145" t="s">
        <v>1226</v>
      </c>
      <c r="D31" s="81"/>
      <c r="E31" s="81"/>
      <c r="F31" s="81"/>
      <c r="G31" s="163"/>
      <c r="H31" s="125">
        <f>SUM(H30)</f>
        <v>74135.16</v>
      </c>
    </row>
    <row r="32" spans="3:11">
      <c r="C32" s="153" t="s">
        <v>1227</v>
      </c>
      <c r="D32" s="60" t="s">
        <v>1228</v>
      </c>
      <c r="E32" s="74"/>
      <c r="F32" s="74"/>
      <c r="G32" s="74"/>
      <c r="H32" s="147"/>
    </row>
    <row r="33" spans="3:11" ht="15.75" customHeight="1">
      <c r="C33" s="145" t="s">
        <v>1229</v>
      </c>
      <c r="D33" s="81"/>
      <c r="E33" s="81"/>
      <c r="F33" s="81"/>
      <c r="G33" s="163"/>
      <c r="H33" s="154">
        <v>0</v>
      </c>
    </row>
    <row r="34" spans="3:11" s="164" customFormat="1">
      <c r="C34" s="123" t="s">
        <v>1230</v>
      </c>
      <c r="D34" s="70" t="s">
        <v>1231</v>
      </c>
      <c r="E34" s="71"/>
      <c r="F34" s="71"/>
      <c r="G34" s="72"/>
      <c r="H34" s="125">
        <f>H33+H31+H28</f>
        <v>275501.66000000003</v>
      </c>
      <c r="I34" s="55"/>
    </row>
    <row r="35" spans="3:11" s="164" customFormat="1">
      <c r="C35" s="123" t="s">
        <v>1232</v>
      </c>
      <c r="D35" s="70" t="s">
        <v>1410</v>
      </c>
      <c r="E35" s="71"/>
      <c r="F35" s="72"/>
      <c r="G35" s="96">
        <f>$M$7</f>
        <v>0.1</v>
      </c>
      <c r="H35" s="125">
        <f>H34*G35</f>
        <v>27550.166000000005</v>
      </c>
      <c r="I35" s="55"/>
    </row>
    <row r="36" spans="3:11" s="164" customFormat="1" ht="15.75" thickBot="1">
      <c r="C36" s="131" t="s">
        <v>1233</v>
      </c>
      <c r="D36" s="132" t="s">
        <v>1234</v>
      </c>
      <c r="E36" s="133"/>
      <c r="F36" s="133"/>
      <c r="G36" s="156"/>
      <c r="H36" s="135">
        <f>SUM(H34:H35)</f>
        <v>303051.82600000006</v>
      </c>
      <c r="I36" s="55"/>
    </row>
    <row r="37" spans="3:11" ht="15.75" thickTop="1">
      <c r="C37" s="90"/>
      <c r="D37" s="91"/>
      <c r="E37" s="91"/>
      <c r="F37" s="91"/>
      <c r="G37" s="91"/>
      <c r="H37" s="92"/>
    </row>
    <row r="38" spans="3:11" ht="34.5" customHeight="1" thickBot="1">
      <c r="C38" s="518" t="s">
        <v>1413</v>
      </c>
      <c r="D38" s="518"/>
      <c r="E38" s="518"/>
      <c r="F38" s="518"/>
      <c r="G38" s="518"/>
      <c r="H38" s="518"/>
      <c r="I38" s="57">
        <f>ROUNDDOWN(H55,-2)</f>
        <v>17322200</v>
      </c>
    </row>
    <row r="39" spans="3:11" ht="29.25" thickTop="1">
      <c r="C39" s="120" t="s">
        <v>1207</v>
      </c>
      <c r="D39" s="121" t="s">
        <v>1208</v>
      </c>
      <c r="E39" s="121" t="s">
        <v>1209</v>
      </c>
      <c r="F39" s="121" t="s">
        <v>1210</v>
      </c>
      <c r="G39" s="121" t="s">
        <v>1211</v>
      </c>
      <c r="H39" s="122" t="s">
        <v>1212</v>
      </c>
    </row>
    <row r="40" spans="3:11">
      <c r="C40" s="142" t="s">
        <v>1213</v>
      </c>
      <c r="D40" s="60" t="s">
        <v>1214</v>
      </c>
      <c r="E40" s="74"/>
      <c r="F40" s="74"/>
      <c r="G40" s="74"/>
      <c r="H40" s="147"/>
    </row>
    <row r="41" spans="3:11">
      <c r="C41" s="143">
        <v>1</v>
      </c>
      <c r="D41" s="60" t="s">
        <v>5</v>
      </c>
      <c r="E41" s="73" t="s">
        <v>6</v>
      </c>
      <c r="F41" s="75">
        <v>4</v>
      </c>
      <c r="G41" s="65">
        <f>VLOOKUP(D41,upahbahan,3,FALSE)</f>
        <v>100000</v>
      </c>
      <c r="H41" s="125">
        <f>F41*G41</f>
        <v>400000</v>
      </c>
    </row>
    <row r="42" spans="3:11">
      <c r="C42" s="143">
        <v>2</v>
      </c>
      <c r="D42" s="60" t="s">
        <v>8</v>
      </c>
      <c r="E42" s="73" t="s">
        <v>6</v>
      </c>
      <c r="F42" s="75">
        <v>12</v>
      </c>
      <c r="G42" s="65">
        <f>VLOOKUP(D42,upahbahan,3,FALSE)</f>
        <v>145000</v>
      </c>
      <c r="H42" s="125">
        <f>F42*G42</f>
        <v>1740000</v>
      </c>
    </row>
    <row r="43" spans="3:11">
      <c r="C43" s="143">
        <v>3</v>
      </c>
      <c r="D43" s="60" t="s">
        <v>18</v>
      </c>
      <c r="E43" s="73" t="s">
        <v>6</v>
      </c>
      <c r="F43" s="75">
        <v>1.2</v>
      </c>
      <c r="G43" s="65">
        <f>VLOOKUP(D43,upahbahan,3,FALSE)</f>
        <v>150000</v>
      </c>
      <c r="H43" s="125">
        <f>F43*G43</f>
        <v>180000</v>
      </c>
    </row>
    <row r="44" spans="3:11">
      <c r="C44" s="143">
        <v>4</v>
      </c>
      <c r="D44" s="60" t="s">
        <v>19</v>
      </c>
      <c r="E44" s="73" t="s">
        <v>6</v>
      </c>
      <c r="F44" s="75">
        <v>0.4</v>
      </c>
      <c r="G44" s="65">
        <f>VLOOKUP(D44,upahbahan,3,FALSE)</f>
        <v>145000</v>
      </c>
      <c r="H44" s="125">
        <f>F44*G44</f>
        <v>58000</v>
      </c>
    </row>
    <row r="45" spans="3:11" ht="15.75" customHeight="1">
      <c r="C45" s="145" t="s">
        <v>1220</v>
      </c>
      <c r="D45" s="81"/>
      <c r="E45" s="81"/>
      <c r="F45" s="220"/>
      <c r="G45" s="221"/>
      <c r="H45" s="125">
        <f>SUM(H41:H44)</f>
        <v>2378000</v>
      </c>
      <c r="I45" s="222"/>
      <c r="J45" s="223"/>
      <c r="K45" s="223"/>
    </row>
    <row r="46" spans="3:11">
      <c r="C46" s="142" t="s">
        <v>1221</v>
      </c>
      <c r="D46" s="60" t="s">
        <v>1222</v>
      </c>
      <c r="E46" s="74"/>
      <c r="F46" s="74"/>
      <c r="G46" s="74"/>
      <c r="H46" s="147"/>
    </row>
    <row r="47" spans="3:11">
      <c r="C47" s="146" t="s">
        <v>1215</v>
      </c>
      <c r="D47" s="60" t="s">
        <v>116</v>
      </c>
      <c r="E47" s="171" t="s">
        <v>42</v>
      </c>
      <c r="F47" s="172">
        <v>1.1000000000000001</v>
      </c>
      <c r="G47" s="65">
        <f>VLOOKUP(D47,upahbahan,3,FALSE)</f>
        <v>11950000</v>
      </c>
      <c r="H47" s="125">
        <f>F47*G47</f>
        <v>13145000.000000002</v>
      </c>
    </row>
    <row r="48" spans="3:11">
      <c r="C48" s="146" t="s">
        <v>1216</v>
      </c>
      <c r="D48" s="60" t="s">
        <v>235</v>
      </c>
      <c r="E48" s="171" t="s">
        <v>66</v>
      </c>
      <c r="F48" s="172">
        <v>15</v>
      </c>
      <c r="G48" s="65">
        <f>VLOOKUP(D48,upahbahan,3,FALSE)</f>
        <v>7500</v>
      </c>
      <c r="H48" s="125">
        <f>F48*G48</f>
        <v>112500</v>
      </c>
    </row>
    <row r="49" spans="3:11">
      <c r="C49" s="146" t="s">
        <v>1217</v>
      </c>
      <c r="D49" s="60" t="s">
        <v>267</v>
      </c>
      <c r="E49" s="73" t="s">
        <v>66</v>
      </c>
      <c r="F49" s="75">
        <v>5.6</v>
      </c>
      <c r="G49" s="65">
        <f>VLOOKUP(D49,upahbahan,3,FALSE)</f>
        <v>20000</v>
      </c>
      <c r="H49" s="125">
        <f>F49*G49</f>
        <v>112000</v>
      </c>
    </row>
    <row r="50" spans="3:11" ht="15.75" customHeight="1">
      <c r="C50" s="145" t="s">
        <v>1226</v>
      </c>
      <c r="D50" s="81"/>
      <c r="E50" s="81"/>
      <c r="F50" s="81"/>
      <c r="G50" s="163"/>
      <c r="H50" s="125">
        <f>SUM(H47:H49)</f>
        <v>13369500.000000002</v>
      </c>
    </row>
    <row r="51" spans="3:11">
      <c r="C51" s="153" t="s">
        <v>1227</v>
      </c>
      <c r="D51" s="60" t="s">
        <v>1228</v>
      </c>
      <c r="E51" s="74"/>
      <c r="F51" s="74"/>
      <c r="G51" s="74"/>
      <c r="H51" s="147"/>
    </row>
    <row r="52" spans="3:11" ht="15.75" customHeight="1">
      <c r="C52" s="145" t="s">
        <v>1229</v>
      </c>
      <c r="D52" s="81"/>
      <c r="E52" s="81"/>
      <c r="F52" s="81"/>
      <c r="G52" s="163"/>
      <c r="H52" s="154">
        <v>0</v>
      </c>
    </row>
    <row r="53" spans="3:11" s="164" customFormat="1">
      <c r="C53" s="123" t="s">
        <v>1230</v>
      </c>
      <c r="D53" s="70" t="s">
        <v>1231</v>
      </c>
      <c r="E53" s="71"/>
      <c r="F53" s="71"/>
      <c r="G53" s="72"/>
      <c r="H53" s="125">
        <f>H52+H50+H45</f>
        <v>15747500.000000002</v>
      </c>
      <c r="I53" s="55"/>
    </row>
    <row r="54" spans="3:11" s="164" customFormat="1">
      <c r="C54" s="123" t="s">
        <v>1232</v>
      </c>
      <c r="D54" s="70" t="s">
        <v>1410</v>
      </c>
      <c r="E54" s="71"/>
      <c r="F54" s="72"/>
      <c r="G54" s="96">
        <f>$M$7</f>
        <v>0.1</v>
      </c>
      <c r="H54" s="125">
        <f>H53*G54</f>
        <v>1574750.0000000002</v>
      </c>
      <c r="I54" s="55"/>
    </row>
    <row r="55" spans="3:11" s="164" customFormat="1" ht="15.75" thickBot="1">
      <c r="C55" s="131" t="s">
        <v>1233</v>
      </c>
      <c r="D55" s="132" t="s">
        <v>1234</v>
      </c>
      <c r="E55" s="133"/>
      <c r="F55" s="133"/>
      <c r="G55" s="156"/>
      <c r="H55" s="135">
        <f>SUM(H53:H54)</f>
        <v>17322250.000000004</v>
      </c>
      <c r="I55" s="55"/>
    </row>
    <row r="56" spans="3:11" ht="15.75" thickTop="1"/>
    <row r="57" spans="3:11" ht="15.75" thickBot="1">
      <c r="C57" s="227" t="s">
        <v>1414</v>
      </c>
      <c r="D57" s="227"/>
      <c r="E57" s="227"/>
      <c r="F57" s="227"/>
      <c r="G57" s="227"/>
      <c r="H57" s="227"/>
      <c r="I57" s="57">
        <f>ROUNDDOWN(H74,-2)</f>
        <v>37628400</v>
      </c>
    </row>
    <row r="58" spans="3:11" ht="29.25" thickTop="1">
      <c r="C58" s="120" t="s">
        <v>1207</v>
      </c>
      <c r="D58" s="121" t="s">
        <v>1208</v>
      </c>
      <c r="E58" s="121" t="s">
        <v>1209</v>
      </c>
      <c r="F58" s="121" t="s">
        <v>1210</v>
      </c>
      <c r="G58" s="121" t="s">
        <v>1211</v>
      </c>
      <c r="H58" s="122" t="s">
        <v>1212</v>
      </c>
    </row>
    <row r="59" spans="3:11">
      <c r="C59" s="142" t="s">
        <v>1213</v>
      </c>
      <c r="D59" s="60" t="s">
        <v>1214</v>
      </c>
      <c r="E59" s="74"/>
      <c r="F59" s="74"/>
      <c r="G59" s="74"/>
      <c r="H59" s="147"/>
    </row>
    <row r="60" spans="3:11">
      <c r="C60" s="143">
        <v>1</v>
      </c>
      <c r="D60" s="60" t="s">
        <v>5</v>
      </c>
      <c r="E60" s="73" t="s">
        <v>6</v>
      </c>
      <c r="F60" s="75">
        <v>6.7</v>
      </c>
      <c r="G60" s="65">
        <f>VLOOKUP(D60,upahbahan,3,FALSE)</f>
        <v>100000</v>
      </c>
      <c r="H60" s="125">
        <f>F60*G60</f>
        <v>670000</v>
      </c>
    </row>
    <row r="61" spans="3:11">
      <c r="C61" s="143">
        <v>2</v>
      </c>
      <c r="D61" s="60" t="s">
        <v>8</v>
      </c>
      <c r="E61" s="73" t="s">
        <v>6</v>
      </c>
      <c r="F61" s="75">
        <v>20.100000000000001</v>
      </c>
      <c r="G61" s="65">
        <f>VLOOKUP(D61,upahbahan,3,FALSE)</f>
        <v>145000</v>
      </c>
      <c r="H61" s="125">
        <f>F61*G61</f>
        <v>2914500</v>
      </c>
    </row>
    <row r="62" spans="3:11">
      <c r="C62" s="143">
        <v>3</v>
      </c>
      <c r="D62" s="60" t="s">
        <v>18</v>
      </c>
      <c r="E62" s="73" t="s">
        <v>6</v>
      </c>
      <c r="F62" s="75">
        <v>2.0099999999999998</v>
      </c>
      <c r="G62" s="65">
        <f>VLOOKUP(D62,upahbahan,3,FALSE)</f>
        <v>150000</v>
      </c>
      <c r="H62" s="125">
        <f>F62*G62</f>
        <v>301499.99999999994</v>
      </c>
    </row>
    <row r="63" spans="3:11">
      <c r="C63" s="143">
        <v>4</v>
      </c>
      <c r="D63" s="60" t="s">
        <v>19</v>
      </c>
      <c r="E63" s="73" t="s">
        <v>6</v>
      </c>
      <c r="F63" s="75">
        <v>0.67</v>
      </c>
      <c r="G63" s="65">
        <f>VLOOKUP(D63,upahbahan,3,FALSE)</f>
        <v>145000</v>
      </c>
      <c r="H63" s="125">
        <f>F63*G63</f>
        <v>97150</v>
      </c>
    </row>
    <row r="64" spans="3:11" ht="15.75" customHeight="1">
      <c r="C64" s="145" t="s">
        <v>1220</v>
      </c>
      <c r="D64" s="81"/>
      <c r="E64" s="81"/>
      <c r="F64" s="220"/>
      <c r="G64" s="221"/>
      <c r="H64" s="125">
        <f>SUM(H60:H63)</f>
        <v>3983150</v>
      </c>
      <c r="I64" s="222"/>
      <c r="J64" s="223"/>
      <c r="K64" s="223"/>
    </row>
    <row r="65" spans="3:9">
      <c r="C65" s="142" t="s">
        <v>1221</v>
      </c>
      <c r="D65" s="60" t="s">
        <v>1222</v>
      </c>
      <c r="E65" s="74"/>
      <c r="F65" s="74"/>
      <c r="G65" s="74"/>
      <c r="H65" s="147"/>
    </row>
    <row r="66" spans="3:9">
      <c r="C66" s="146" t="s">
        <v>1215</v>
      </c>
      <c r="D66" s="60" t="s">
        <v>115</v>
      </c>
      <c r="E66" s="171" t="s">
        <v>42</v>
      </c>
      <c r="F66" s="172">
        <v>1.2</v>
      </c>
      <c r="G66" s="65">
        <f>VLOOKUP(D66,upahbahan,3,FALSE)</f>
        <v>25000000</v>
      </c>
      <c r="H66" s="125">
        <f>F66*G66</f>
        <v>30000000</v>
      </c>
    </row>
    <row r="67" spans="3:9">
      <c r="C67" s="146" t="s">
        <v>1216</v>
      </c>
      <c r="D67" s="60" t="s">
        <v>235</v>
      </c>
      <c r="E67" s="73" t="s">
        <v>66</v>
      </c>
      <c r="F67" s="75">
        <v>15</v>
      </c>
      <c r="G67" s="65">
        <f>VLOOKUP(D67,upahbahan,3,FALSE)</f>
        <v>7500</v>
      </c>
      <c r="H67" s="125">
        <f>F67*G67</f>
        <v>112500</v>
      </c>
    </row>
    <row r="68" spans="3:9">
      <c r="C68" s="146" t="s">
        <v>1217</v>
      </c>
      <c r="D68" s="60" t="s">
        <v>267</v>
      </c>
      <c r="E68" s="73" t="s">
        <v>66</v>
      </c>
      <c r="F68" s="75">
        <v>5.6</v>
      </c>
      <c r="G68" s="65">
        <f>VLOOKUP(D68,upahbahan,3,FALSE)</f>
        <v>20000</v>
      </c>
      <c r="H68" s="125">
        <f>F68*G68</f>
        <v>112000</v>
      </c>
    </row>
    <row r="69" spans="3:9" ht="15.75" customHeight="1">
      <c r="C69" s="145" t="s">
        <v>1226</v>
      </c>
      <c r="D69" s="81"/>
      <c r="E69" s="81"/>
      <c r="F69" s="81"/>
      <c r="G69" s="163"/>
      <c r="H69" s="125">
        <f>SUM(H66:H68)</f>
        <v>30224500</v>
      </c>
    </row>
    <row r="70" spans="3:9">
      <c r="C70" s="153" t="s">
        <v>1227</v>
      </c>
      <c r="D70" s="60" t="s">
        <v>1228</v>
      </c>
      <c r="E70" s="74"/>
      <c r="F70" s="74"/>
      <c r="G70" s="74"/>
      <c r="H70" s="147"/>
    </row>
    <row r="71" spans="3:9" ht="15.75" customHeight="1">
      <c r="C71" s="145" t="s">
        <v>1229</v>
      </c>
      <c r="D71" s="81"/>
      <c r="E71" s="81"/>
      <c r="F71" s="81"/>
      <c r="G71" s="163"/>
      <c r="H71" s="154">
        <v>0</v>
      </c>
    </row>
    <row r="72" spans="3:9" s="164" customFormat="1">
      <c r="C72" s="123" t="s">
        <v>1230</v>
      </c>
      <c r="D72" s="70" t="s">
        <v>1231</v>
      </c>
      <c r="E72" s="71"/>
      <c r="F72" s="71"/>
      <c r="G72" s="72"/>
      <c r="H72" s="125">
        <f>H71+H69+H64</f>
        <v>34207650</v>
      </c>
      <c r="I72" s="55"/>
    </row>
    <row r="73" spans="3:9" s="164" customFormat="1">
      <c r="C73" s="123" t="s">
        <v>1232</v>
      </c>
      <c r="D73" s="70" t="s">
        <v>1410</v>
      </c>
      <c r="E73" s="71"/>
      <c r="F73" s="72"/>
      <c r="G73" s="96">
        <f>$M$7</f>
        <v>0.1</v>
      </c>
      <c r="H73" s="125">
        <f>H72*G73</f>
        <v>3420765</v>
      </c>
      <c r="I73" s="55"/>
    </row>
    <row r="74" spans="3:9" s="164" customFormat="1" ht="15.75" thickBot="1">
      <c r="C74" s="131" t="s">
        <v>1233</v>
      </c>
      <c r="D74" s="132" t="s">
        <v>1234</v>
      </c>
      <c r="E74" s="133"/>
      <c r="F74" s="133"/>
      <c r="G74" s="156"/>
      <c r="H74" s="135">
        <f>SUM(H72:H73)</f>
        <v>37628415</v>
      </c>
      <c r="I74" s="55"/>
    </row>
    <row r="75" spans="3:9" ht="15.75" thickTop="1"/>
    <row r="76" spans="3:9" ht="15.75" thickBot="1">
      <c r="C76" s="224" t="s">
        <v>1415</v>
      </c>
      <c r="D76" s="225"/>
      <c r="E76" s="225"/>
      <c r="F76" s="225"/>
      <c r="G76" s="225"/>
      <c r="H76" s="225"/>
      <c r="I76" s="57">
        <f>ROUNDDOWN(H93,-2)</f>
        <v>16218700</v>
      </c>
    </row>
    <row r="77" spans="3:9" ht="29.25" thickTop="1">
      <c r="C77" s="120" t="s">
        <v>1207</v>
      </c>
      <c r="D77" s="121" t="s">
        <v>1208</v>
      </c>
      <c r="E77" s="121" t="s">
        <v>1209</v>
      </c>
      <c r="F77" s="121" t="s">
        <v>1210</v>
      </c>
      <c r="G77" s="121" t="s">
        <v>1211</v>
      </c>
      <c r="H77" s="122" t="s">
        <v>1212</v>
      </c>
    </row>
    <row r="78" spans="3:9">
      <c r="C78" s="142" t="s">
        <v>1213</v>
      </c>
      <c r="D78" s="60" t="s">
        <v>1214</v>
      </c>
      <c r="E78" s="74"/>
      <c r="F78" s="74"/>
      <c r="G78" s="74"/>
      <c r="H78" s="147"/>
    </row>
    <row r="79" spans="3:9">
      <c r="C79" s="143">
        <v>1</v>
      </c>
      <c r="D79" s="60" t="s">
        <v>5</v>
      </c>
      <c r="E79" s="73" t="s">
        <v>6</v>
      </c>
      <c r="F79" s="75">
        <v>2.4</v>
      </c>
      <c r="G79" s="65">
        <f>VLOOKUP(D79,upahbahan,3,FALSE)</f>
        <v>100000</v>
      </c>
      <c r="H79" s="125">
        <f>F79*G79</f>
        <v>240000</v>
      </c>
    </row>
    <row r="80" spans="3:9">
      <c r="C80" s="143">
        <v>2</v>
      </c>
      <c r="D80" s="60" t="s">
        <v>8</v>
      </c>
      <c r="E80" s="73" t="s">
        <v>6</v>
      </c>
      <c r="F80" s="75">
        <v>7.2</v>
      </c>
      <c r="G80" s="65">
        <f>VLOOKUP(D80,upahbahan,3,FALSE)</f>
        <v>145000</v>
      </c>
      <c r="H80" s="125">
        <f>F80*G80</f>
        <v>1044000</v>
      </c>
    </row>
    <row r="81" spans="3:11">
      <c r="C81" s="143">
        <v>3</v>
      </c>
      <c r="D81" s="60" t="s">
        <v>18</v>
      </c>
      <c r="E81" s="73" t="s">
        <v>6</v>
      </c>
      <c r="F81" s="75">
        <v>0.72</v>
      </c>
      <c r="G81" s="65">
        <f>VLOOKUP(D81,upahbahan,3,FALSE)</f>
        <v>150000</v>
      </c>
      <c r="H81" s="125">
        <f>F81*G81</f>
        <v>108000</v>
      </c>
    </row>
    <row r="82" spans="3:11">
      <c r="C82" s="143">
        <v>4</v>
      </c>
      <c r="D82" s="60" t="s">
        <v>19</v>
      </c>
      <c r="E82" s="73" t="s">
        <v>6</v>
      </c>
      <c r="F82" s="75">
        <v>0.24</v>
      </c>
      <c r="G82" s="65">
        <f>VLOOKUP(D82,upahbahan,3,FALSE)</f>
        <v>145000</v>
      </c>
      <c r="H82" s="125">
        <f>F82*G82</f>
        <v>34800</v>
      </c>
    </row>
    <row r="83" spans="3:11" ht="15.75" customHeight="1">
      <c r="C83" s="145" t="s">
        <v>1220</v>
      </c>
      <c r="D83" s="81"/>
      <c r="E83" s="81"/>
      <c r="F83" s="220"/>
      <c r="G83" s="221"/>
      <c r="H83" s="125">
        <f>SUM(H79:H82)</f>
        <v>1426800</v>
      </c>
      <c r="I83" s="222"/>
      <c r="J83" s="223"/>
      <c r="K83" s="223"/>
    </row>
    <row r="84" spans="3:11">
      <c r="C84" s="142" t="s">
        <v>1221</v>
      </c>
      <c r="D84" s="60" t="s">
        <v>1222</v>
      </c>
      <c r="E84" s="74"/>
      <c r="F84" s="74"/>
      <c r="G84" s="74"/>
      <c r="H84" s="147"/>
    </row>
    <row r="85" spans="3:11">
      <c r="C85" s="143">
        <v>1</v>
      </c>
      <c r="D85" s="60" t="s">
        <v>116</v>
      </c>
      <c r="E85" s="73" t="s">
        <v>42</v>
      </c>
      <c r="F85" s="75">
        <v>1.1000000000000001</v>
      </c>
      <c r="G85" s="65">
        <f>VLOOKUP(D85,upahbahan,3,FALSE)</f>
        <v>11950000</v>
      </c>
      <c r="H85" s="125">
        <f>F85*G85</f>
        <v>13145000.000000002</v>
      </c>
    </row>
    <row r="86" spans="3:11">
      <c r="C86" s="143">
        <v>2</v>
      </c>
      <c r="D86" s="60" t="s">
        <v>235</v>
      </c>
      <c r="E86" s="73" t="s">
        <v>66</v>
      </c>
      <c r="F86" s="75">
        <v>15</v>
      </c>
      <c r="G86" s="65">
        <f>VLOOKUP(D86,upahbahan,3,FALSE)</f>
        <v>7500</v>
      </c>
      <c r="H86" s="125">
        <f>F86*G86</f>
        <v>112500</v>
      </c>
    </row>
    <row r="87" spans="3:11">
      <c r="C87" s="143">
        <v>3</v>
      </c>
      <c r="D87" s="78" t="s">
        <v>267</v>
      </c>
      <c r="E87" s="73" t="s">
        <v>66</v>
      </c>
      <c r="F87" s="75">
        <v>3</v>
      </c>
      <c r="G87" s="65">
        <f>VLOOKUP(D87,upahbahan,3,FALSE)</f>
        <v>20000</v>
      </c>
      <c r="H87" s="125">
        <f>F87*G87</f>
        <v>60000</v>
      </c>
    </row>
    <row r="88" spans="3:11" ht="15.75" customHeight="1">
      <c r="C88" s="145" t="s">
        <v>1226</v>
      </c>
      <c r="D88" s="81"/>
      <c r="E88" s="81"/>
      <c r="F88" s="81"/>
      <c r="G88" s="163"/>
      <c r="H88" s="125">
        <f>SUM(H85:H87)</f>
        <v>13317500.000000002</v>
      </c>
    </row>
    <row r="89" spans="3:11">
      <c r="C89" s="153" t="s">
        <v>1227</v>
      </c>
      <c r="D89" s="60" t="s">
        <v>1228</v>
      </c>
      <c r="E89" s="74"/>
      <c r="F89" s="74"/>
      <c r="G89" s="74"/>
      <c r="H89" s="147"/>
    </row>
    <row r="90" spans="3:11" ht="15.75" customHeight="1">
      <c r="C90" s="145" t="s">
        <v>1229</v>
      </c>
      <c r="D90" s="81"/>
      <c r="E90" s="81"/>
      <c r="F90" s="81"/>
      <c r="G90" s="163"/>
      <c r="H90" s="154">
        <v>0</v>
      </c>
    </row>
    <row r="91" spans="3:11" s="164" customFormat="1">
      <c r="C91" s="123" t="s">
        <v>1230</v>
      </c>
      <c r="D91" s="70" t="s">
        <v>1231</v>
      </c>
      <c r="E91" s="71"/>
      <c r="F91" s="71"/>
      <c r="G91" s="72"/>
      <c r="H91" s="125">
        <f>H90+H88+H83</f>
        <v>14744300.000000002</v>
      </c>
      <c r="I91" s="55"/>
    </row>
    <row r="92" spans="3:11" s="164" customFormat="1">
      <c r="C92" s="123" t="s">
        <v>1232</v>
      </c>
      <c r="D92" s="70" t="s">
        <v>1410</v>
      </c>
      <c r="E92" s="71"/>
      <c r="F92" s="72"/>
      <c r="G92" s="96">
        <f>$M$7</f>
        <v>0.1</v>
      </c>
      <c r="H92" s="125">
        <f>H91*G92</f>
        <v>1474430.0000000002</v>
      </c>
      <c r="I92" s="55"/>
    </row>
    <row r="93" spans="3:11" s="164" customFormat="1" ht="15.75" thickBot="1">
      <c r="C93" s="131" t="s">
        <v>1233</v>
      </c>
      <c r="D93" s="132" t="s">
        <v>1234</v>
      </c>
      <c r="E93" s="133"/>
      <c r="F93" s="133"/>
      <c r="G93" s="156"/>
      <c r="H93" s="135">
        <f>SUM(H91:H92)</f>
        <v>16218730.000000002</v>
      </c>
      <c r="I93" s="55"/>
    </row>
    <row r="94" spans="3:11" ht="15.75" thickTop="1">
      <c r="C94" s="90"/>
      <c r="D94" s="91"/>
      <c r="E94" s="91"/>
      <c r="F94" s="91"/>
      <c r="G94" s="91"/>
      <c r="H94" s="92"/>
    </row>
    <row r="95" spans="3:11" ht="15.75" thickBot="1">
      <c r="C95" s="224" t="s">
        <v>1416</v>
      </c>
      <c r="D95" s="226"/>
      <c r="E95" s="226"/>
      <c r="F95" s="226"/>
      <c r="G95" s="226"/>
      <c r="H95" s="226"/>
      <c r="I95" s="57">
        <f>ROUNDDOWN(H112,-2)</f>
        <v>226300</v>
      </c>
    </row>
    <row r="96" spans="3:11" ht="29.25" thickTop="1">
      <c r="C96" s="120" t="s">
        <v>1207</v>
      </c>
      <c r="D96" s="121" t="s">
        <v>1208</v>
      </c>
      <c r="E96" s="121" t="s">
        <v>1209</v>
      </c>
      <c r="F96" s="121" t="s">
        <v>1210</v>
      </c>
      <c r="G96" s="121" t="s">
        <v>1211</v>
      </c>
      <c r="H96" s="122" t="s">
        <v>1212</v>
      </c>
    </row>
    <row r="97" spans="3:11">
      <c r="C97" s="142" t="s">
        <v>1213</v>
      </c>
      <c r="D97" s="60" t="s">
        <v>1214</v>
      </c>
      <c r="E97" s="74"/>
      <c r="F97" s="74"/>
      <c r="G97" s="74"/>
      <c r="H97" s="147"/>
    </row>
    <row r="98" spans="3:11">
      <c r="C98" s="143">
        <v>1</v>
      </c>
      <c r="D98" s="60" t="s">
        <v>5</v>
      </c>
      <c r="E98" s="73" t="s">
        <v>6</v>
      </c>
      <c r="F98" s="94">
        <v>0.1</v>
      </c>
      <c r="G98" s="65">
        <f>VLOOKUP(D98,upahbahan,3,FALSE)</f>
        <v>100000</v>
      </c>
      <c r="H98" s="125">
        <f>F98*G98</f>
        <v>10000</v>
      </c>
    </row>
    <row r="99" spans="3:11">
      <c r="C99" s="143">
        <v>2</v>
      </c>
      <c r="D99" s="60" t="s">
        <v>8</v>
      </c>
      <c r="E99" s="73" t="s">
        <v>6</v>
      </c>
      <c r="F99" s="94">
        <v>0.1</v>
      </c>
      <c r="G99" s="65">
        <f>VLOOKUP(D99,upahbahan,3,FALSE)</f>
        <v>145000</v>
      </c>
      <c r="H99" s="125">
        <f>F99*G99</f>
        <v>14500</v>
      </c>
    </row>
    <row r="100" spans="3:11">
      <c r="C100" s="143">
        <v>3</v>
      </c>
      <c r="D100" s="60" t="s">
        <v>18</v>
      </c>
      <c r="E100" s="73" t="s">
        <v>6</v>
      </c>
      <c r="F100" s="94">
        <v>0.01</v>
      </c>
      <c r="G100" s="65">
        <f>VLOOKUP(D100,upahbahan,3,FALSE)</f>
        <v>150000</v>
      </c>
      <c r="H100" s="125">
        <f>F100*G100</f>
        <v>1500</v>
      </c>
    </row>
    <row r="101" spans="3:11">
      <c r="C101" s="143">
        <v>4</v>
      </c>
      <c r="D101" s="60" t="s">
        <v>19</v>
      </c>
      <c r="E101" s="73" t="s">
        <v>6</v>
      </c>
      <c r="F101" s="94">
        <v>3.3E-3</v>
      </c>
      <c r="G101" s="65">
        <f>VLOOKUP(D101,upahbahan,3,FALSE)</f>
        <v>145000</v>
      </c>
      <c r="H101" s="125">
        <f>F101*G101</f>
        <v>478.5</v>
      </c>
    </row>
    <row r="102" spans="3:11" ht="15.75" customHeight="1">
      <c r="C102" s="145" t="s">
        <v>1220</v>
      </c>
      <c r="D102" s="81"/>
      <c r="E102" s="81"/>
      <c r="F102" s="220"/>
      <c r="G102" s="221"/>
      <c r="H102" s="125">
        <f>SUM(H98:H101)</f>
        <v>26478.5</v>
      </c>
      <c r="I102" s="222"/>
      <c r="J102" s="223"/>
      <c r="K102" s="223"/>
    </row>
    <row r="103" spans="3:11">
      <c r="C103" s="142" t="s">
        <v>1221</v>
      </c>
      <c r="D103" s="60" t="s">
        <v>1222</v>
      </c>
      <c r="E103" s="74"/>
      <c r="F103" s="74"/>
      <c r="G103" s="74"/>
      <c r="H103" s="147"/>
    </row>
    <row r="104" spans="3:11">
      <c r="C104" s="143">
        <v>1</v>
      </c>
      <c r="D104" s="78" t="s">
        <v>119</v>
      </c>
      <c r="E104" s="69" t="s">
        <v>42</v>
      </c>
      <c r="F104" s="94">
        <v>1.4E-2</v>
      </c>
      <c r="G104" s="65">
        <f>VLOOKUP(D104,upahbahan,3,FALSE)</f>
        <v>10214200</v>
      </c>
      <c r="H104" s="125">
        <f>F104*G104</f>
        <v>142998.80000000002</v>
      </c>
    </row>
    <row r="105" spans="3:11">
      <c r="C105" s="143">
        <v>2</v>
      </c>
      <c r="D105" s="60" t="s">
        <v>143</v>
      </c>
      <c r="E105" s="69" t="s">
        <v>42</v>
      </c>
      <c r="F105" s="94">
        <v>3.5999999999999999E-3</v>
      </c>
      <c r="G105" s="65">
        <f>VLOOKUP(D105,upahbahan,3,FALSE)</f>
        <v>8750000</v>
      </c>
      <c r="H105" s="125">
        <f>F105*G105</f>
        <v>31500</v>
      </c>
    </row>
    <row r="106" spans="3:11">
      <c r="C106" s="143">
        <v>3</v>
      </c>
      <c r="D106" s="78" t="s">
        <v>266</v>
      </c>
      <c r="E106" s="73" t="s">
        <v>66</v>
      </c>
      <c r="F106" s="94">
        <v>0.25</v>
      </c>
      <c r="G106" s="65">
        <f>VLOOKUP(D106,upahbahan,3,FALSE)</f>
        <v>19000</v>
      </c>
      <c r="H106" s="125">
        <f>F106*G106</f>
        <v>4750</v>
      </c>
    </row>
    <row r="107" spans="3:11" ht="15.75" customHeight="1">
      <c r="C107" s="145" t="s">
        <v>1226</v>
      </c>
      <c r="D107" s="81"/>
      <c r="E107" s="81"/>
      <c r="F107" s="81"/>
      <c r="G107" s="163"/>
      <c r="H107" s="125">
        <f>SUM(H104:H106)</f>
        <v>179248.80000000002</v>
      </c>
    </row>
    <row r="108" spans="3:11">
      <c r="C108" s="153" t="s">
        <v>1227</v>
      </c>
      <c r="D108" s="60" t="s">
        <v>1228</v>
      </c>
      <c r="E108" s="74"/>
      <c r="F108" s="74"/>
      <c r="G108" s="74"/>
      <c r="H108" s="147"/>
    </row>
    <row r="109" spans="3:11" ht="15.75" customHeight="1">
      <c r="C109" s="145" t="s">
        <v>1229</v>
      </c>
      <c r="D109" s="81"/>
      <c r="E109" s="81"/>
      <c r="F109" s="81"/>
      <c r="G109" s="163"/>
      <c r="H109" s="154">
        <v>0</v>
      </c>
    </row>
    <row r="110" spans="3:11" s="164" customFormat="1">
      <c r="C110" s="123" t="s">
        <v>1230</v>
      </c>
      <c r="D110" s="70" t="s">
        <v>1231</v>
      </c>
      <c r="E110" s="71"/>
      <c r="F110" s="71"/>
      <c r="G110" s="72"/>
      <c r="H110" s="125">
        <f>H109+H107+H102</f>
        <v>205727.30000000002</v>
      </c>
      <c r="I110" s="55"/>
    </row>
    <row r="111" spans="3:11" s="164" customFormat="1">
      <c r="C111" s="123" t="s">
        <v>1232</v>
      </c>
      <c r="D111" s="70" t="s">
        <v>1410</v>
      </c>
      <c r="E111" s="71"/>
      <c r="F111" s="72"/>
      <c r="G111" s="96">
        <f>$M$7</f>
        <v>0.1</v>
      </c>
      <c r="H111" s="125">
        <f>H110*G111</f>
        <v>20572.730000000003</v>
      </c>
      <c r="I111" s="55"/>
    </row>
    <row r="112" spans="3:11" s="164" customFormat="1" ht="15.75" thickBot="1">
      <c r="C112" s="131" t="s">
        <v>1233</v>
      </c>
      <c r="D112" s="132" t="s">
        <v>1234</v>
      </c>
      <c r="E112" s="133"/>
      <c r="F112" s="133"/>
      <c r="G112" s="156"/>
      <c r="H112" s="135">
        <f>SUM(H110:H111)</f>
        <v>226300.03000000003</v>
      </c>
      <c r="I112" s="55"/>
    </row>
    <row r="113" spans="3:11" ht="15.75" thickTop="1">
      <c r="C113" s="90"/>
      <c r="D113" s="91"/>
      <c r="E113" s="91"/>
      <c r="F113" s="91"/>
      <c r="G113" s="91"/>
      <c r="H113" s="92"/>
    </row>
    <row r="114" spans="3:11" ht="15.75" thickBot="1">
      <c r="C114" s="224" t="s">
        <v>1417</v>
      </c>
      <c r="D114" s="226"/>
      <c r="E114" s="226"/>
      <c r="F114" s="226"/>
      <c r="G114" s="226"/>
      <c r="H114" s="226"/>
      <c r="I114" s="57">
        <f>ROUNDDOWN(H131,-2)</f>
        <v>249900</v>
      </c>
    </row>
    <row r="115" spans="3:11" ht="29.25" thickTop="1">
      <c r="C115" s="120" t="s">
        <v>1207</v>
      </c>
      <c r="D115" s="121" t="s">
        <v>1208</v>
      </c>
      <c r="E115" s="121" t="s">
        <v>1209</v>
      </c>
      <c r="F115" s="121" t="s">
        <v>1210</v>
      </c>
      <c r="G115" s="121" t="s">
        <v>1211</v>
      </c>
      <c r="H115" s="122" t="s">
        <v>1212</v>
      </c>
    </row>
    <row r="116" spans="3:11">
      <c r="C116" s="142" t="s">
        <v>1213</v>
      </c>
      <c r="D116" s="60" t="s">
        <v>1214</v>
      </c>
      <c r="E116" s="74"/>
      <c r="F116" s="74"/>
      <c r="G116" s="74"/>
      <c r="H116" s="147"/>
    </row>
    <row r="117" spans="3:11">
      <c r="C117" s="143">
        <v>1</v>
      </c>
      <c r="D117" s="60" t="s">
        <v>5</v>
      </c>
      <c r="E117" s="73" t="s">
        <v>6</v>
      </c>
      <c r="F117" s="94">
        <v>0.1</v>
      </c>
      <c r="G117" s="65">
        <f>VLOOKUP(D117,upahbahan,3,FALSE)</f>
        <v>100000</v>
      </c>
      <c r="H117" s="125">
        <f>F117*G117</f>
        <v>10000</v>
      </c>
    </row>
    <row r="118" spans="3:11">
      <c r="C118" s="143">
        <v>2</v>
      </c>
      <c r="D118" s="60" t="s">
        <v>8</v>
      </c>
      <c r="E118" s="73" t="s">
        <v>6</v>
      </c>
      <c r="F118" s="94">
        <v>0.1</v>
      </c>
      <c r="G118" s="65">
        <f>VLOOKUP(D118,upahbahan,3,FALSE)</f>
        <v>145000</v>
      </c>
      <c r="H118" s="125">
        <f>F118*G118</f>
        <v>14500</v>
      </c>
    </row>
    <row r="119" spans="3:11">
      <c r="C119" s="143">
        <v>3</v>
      </c>
      <c r="D119" s="60" t="s">
        <v>18</v>
      </c>
      <c r="E119" s="73" t="s">
        <v>6</v>
      </c>
      <c r="F119" s="94">
        <v>0.01</v>
      </c>
      <c r="G119" s="65">
        <f>VLOOKUP(D119,upahbahan,3,FALSE)</f>
        <v>150000</v>
      </c>
      <c r="H119" s="125">
        <f>F119*G119</f>
        <v>1500</v>
      </c>
    </row>
    <row r="120" spans="3:11">
      <c r="C120" s="143">
        <v>4</v>
      </c>
      <c r="D120" s="60" t="s">
        <v>19</v>
      </c>
      <c r="E120" s="73" t="s">
        <v>6</v>
      </c>
      <c r="F120" s="94">
        <v>3.3E-3</v>
      </c>
      <c r="G120" s="65">
        <f>VLOOKUP(D120,upahbahan,3,FALSE)</f>
        <v>145000</v>
      </c>
      <c r="H120" s="125">
        <f>F120*G120</f>
        <v>478.5</v>
      </c>
    </row>
    <row r="121" spans="3:11" ht="15.75" customHeight="1">
      <c r="C121" s="145" t="s">
        <v>1220</v>
      </c>
      <c r="D121" s="81"/>
      <c r="E121" s="81"/>
      <c r="F121" s="220"/>
      <c r="G121" s="221"/>
      <c r="H121" s="125">
        <f>SUM(H117:H120)</f>
        <v>26478.5</v>
      </c>
      <c r="I121" s="222"/>
      <c r="J121" s="223"/>
      <c r="K121" s="223"/>
    </row>
    <row r="122" spans="3:11">
      <c r="C122" s="142" t="s">
        <v>1221</v>
      </c>
      <c r="D122" s="60" t="s">
        <v>1222</v>
      </c>
      <c r="E122" s="74"/>
      <c r="F122" s="74"/>
      <c r="G122" s="74"/>
      <c r="H122" s="147"/>
    </row>
    <row r="123" spans="3:11">
      <c r="C123" s="143">
        <v>1</v>
      </c>
      <c r="D123" s="78" t="s">
        <v>119</v>
      </c>
      <c r="E123" s="69" t="s">
        <v>42</v>
      </c>
      <c r="F123" s="94">
        <v>1.4E-2</v>
      </c>
      <c r="G123" s="65">
        <f>VLOOKUP(D123,upahbahan,3,FALSE)</f>
        <v>10214200</v>
      </c>
      <c r="H123" s="125">
        <f>F123*G123</f>
        <v>142998.80000000002</v>
      </c>
    </row>
    <row r="124" spans="3:11">
      <c r="C124" s="143">
        <v>2</v>
      </c>
      <c r="D124" s="60" t="s">
        <v>144</v>
      </c>
      <c r="E124" s="69" t="s">
        <v>42</v>
      </c>
      <c r="F124" s="94">
        <v>5.7000000000000002E-3</v>
      </c>
      <c r="G124" s="65">
        <f>VLOOKUP(D124,upahbahan,3,FALSE)</f>
        <v>9302000</v>
      </c>
      <c r="H124" s="125">
        <f>F124*G124</f>
        <v>53021.4</v>
      </c>
    </row>
    <row r="125" spans="3:11">
      <c r="C125" s="143">
        <v>3</v>
      </c>
      <c r="D125" s="78" t="s">
        <v>266</v>
      </c>
      <c r="E125" s="73" t="s">
        <v>66</v>
      </c>
      <c r="F125" s="94">
        <v>0.25</v>
      </c>
      <c r="G125" s="65">
        <f>VLOOKUP(D125,upahbahan,3,FALSE)</f>
        <v>19000</v>
      </c>
      <c r="H125" s="125">
        <f>F125*G125</f>
        <v>4750</v>
      </c>
    </row>
    <row r="126" spans="3:11" ht="15.75" customHeight="1">
      <c r="C126" s="145" t="s">
        <v>1226</v>
      </c>
      <c r="D126" s="81"/>
      <c r="E126" s="81"/>
      <c r="F126" s="81"/>
      <c r="G126" s="163"/>
      <c r="H126" s="125">
        <f>SUM(H123:H125)</f>
        <v>200770.2</v>
      </c>
    </row>
    <row r="127" spans="3:11">
      <c r="C127" s="153" t="s">
        <v>1227</v>
      </c>
      <c r="D127" s="60" t="s">
        <v>1228</v>
      </c>
      <c r="E127" s="74"/>
      <c r="F127" s="74"/>
      <c r="G127" s="74"/>
      <c r="H127" s="147"/>
    </row>
    <row r="128" spans="3:11" ht="15.75" customHeight="1">
      <c r="C128" s="145" t="s">
        <v>1229</v>
      </c>
      <c r="D128" s="81"/>
      <c r="E128" s="81"/>
      <c r="F128" s="81"/>
      <c r="G128" s="163"/>
      <c r="H128" s="154">
        <v>0</v>
      </c>
    </row>
    <row r="129" spans="3:11" s="164" customFormat="1">
      <c r="C129" s="123" t="s">
        <v>1230</v>
      </c>
      <c r="D129" s="70" t="s">
        <v>1231</v>
      </c>
      <c r="E129" s="71"/>
      <c r="F129" s="71"/>
      <c r="G129" s="72"/>
      <c r="H129" s="125">
        <f>H128+H126+H121</f>
        <v>227248.7</v>
      </c>
      <c r="I129" s="55"/>
    </row>
    <row r="130" spans="3:11" s="164" customFormat="1">
      <c r="C130" s="123" t="s">
        <v>1232</v>
      </c>
      <c r="D130" s="70" t="s">
        <v>1410</v>
      </c>
      <c r="E130" s="71"/>
      <c r="F130" s="72"/>
      <c r="G130" s="96">
        <f>$M$7</f>
        <v>0.1</v>
      </c>
      <c r="H130" s="125">
        <f>H129*G130</f>
        <v>22724.870000000003</v>
      </c>
      <c r="I130" s="55"/>
    </row>
    <row r="131" spans="3:11" s="164" customFormat="1" ht="15.75" thickBot="1">
      <c r="C131" s="131" t="s">
        <v>1233</v>
      </c>
      <c r="D131" s="132" t="s">
        <v>1234</v>
      </c>
      <c r="E131" s="133"/>
      <c r="F131" s="133"/>
      <c r="G131" s="156"/>
      <c r="H131" s="135">
        <f>SUM(H129:H130)</f>
        <v>249973.57</v>
      </c>
      <c r="I131" s="55"/>
    </row>
    <row r="132" spans="3:11" ht="15.75" thickTop="1">
      <c r="C132" s="90"/>
      <c r="D132" s="91"/>
      <c r="E132" s="91"/>
      <c r="F132" s="91"/>
      <c r="G132" s="91"/>
      <c r="H132" s="92"/>
    </row>
    <row r="133" spans="3:11" ht="15.75" thickBot="1">
      <c r="C133" s="224" t="s">
        <v>1418</v>
      </c>
      <c r="D133" s="226"/>
      <c r="E133" s="226"/>
      <c r="F133" s="226"/>
      <c r="G133" s="226"/>
      <c r="H133" s="226"/>
      <c r="I133" s="57">
        <f>ROUNDDOWN(H149,-2)</f>
        <v>114200</v>
      </c>
    </row>
    <row r="134" spans="3:11" ht="29.25" thickTop="1">
      <c r="C134" s="120" t="s">
        <v>1207</v>
      </c>
      <c r="D134" s="121" t="s">
        <v>1208</v>
      </c>
      <c r="E134" s="121" t="s">
        <v>1209</v>
      </c>
      <c r="F134" s="121" t="s">
        <v>1210</v>
      </c>
      <c r="G134" s="121" t="s">
        <v>1211</v>
      </c>
      <c r="H134" s="122" t="s">
        <v>1212</v>
      </c>
    </row>
    <row r="135" spans="3:11">
      <c r="C135" s="142" t="s">
        <v>1213</v>
      </c>
      <c r="D135" s="60" t="s">
        <v>1214</v>
      </c>
      <c r="E135" s="74"/>
      <c r="F135" s="74"/>
      <c r="G135" s="74"/>
      <c r="H135" s="147"/>
    </row>
    <row r="136" spans="3:11">
      <c r="C136" s="143">
        <v>1</v>
      </c>
      <c r="D136" s="60" t="s">
        <v>5</v>
      </c>
      <c r="E136" s="73" t="s">
        <v>6</v>
      </c>
      <c r="F136" s="75">
        <v>0.12</v>
      </c>
      <c r="G136" s="65">
        <f>VLOOKUP(D136,upahbahan,3,FALSE)</f>
        <v>100000</v>
      </c>
      <c r="H136" s="125">
        <f>F136*G136</f>
        <v>12000</v>
      </c>
    </row>
    <row r="137" spans="3:11">
      <c r="C137" s="143">
        <v>2</v>
      </c>
      <c r="D137" s="60" t="s">
        <v>8</v>
      </c>
      <c r="E137" s="73" t="s">
        <v>6</v>
      </c>
      <c r="F137" s="75">
        <v>0.12</v>
      </c>
      <c r="G137" s="65">
        <f>VLOOKUP(D137,upahbahan,3,FALSE)</f>
        <v>145000</v>
      </c>
      <c r="H137" s="125">
        <f>F137*G137</f>
        <v>17400</v>
      </c>
    </row>
    <row r="138" spans="3:11">
      <c r="C138" s="143">
        <v>3</v>
      </c>
      <c r="D138" s="60" t="s">
        <v>18</v>
      </c>
      <c r="E138" s="73" t="s">
        <v>6</v>
      </c>
      <c r="F138" s="75">
        <v>1.2E-2</v>
      </c>
      <c r="G138" s="65">
        <f>VLOOKUP(D138,upahbahan,3,FALSE)</f>
        <v>150000</v>
      </c>
      <c r="H138" s="125">
        <f>F138*G138</f>
        <v>1800</v>
      </c>
    </row>
    <row r="139" spans="3:11">
      <c r="C139" s="143">
        <v>4</v>
      </c>
      <c r="D139" s="60" t="s">
        <v>19</v>
      </c>
      <c r="E139" s="73" t="s">
        <v>6</v>
      </c>
      <c r="F139" s="75">
        <v>4.0000000000000001E-3</v>
      </c>
      <c r="G139" s="65">
        <f>VLOOKUP(D139,upahbahan,3,FALSE)</f>
        <v>145000</v>
      </c>
      <c r="H139" s="125">
        <f>F139*G139</f>
        <v>580</v>
      </c>
    </row>
    <row r="140" spans="3:11" ht="15.75" customHeight="1">
      <c r="C140" s="145" t="s">
        <v>1220</v>
      </c>
      <c r="D140" s="81"/>
      <c r="E140" s="81"/>
      <c r="F140" s="220"/>
      <c r="G140" s="221"/>
      <c r="H140" s="125">
        <f>SUM(H136:H139)</f>
        <v>31780</v>
      </c>
      <c r="I140" s="222"/>
      <c r="J140" s="223"/>
      <c r="K140" s="223"/>
    </row>
    <row r="141" spans="3:11">
      <c r="C141" s="142" t="s">
        <v>1221</v>
      </c>
      <c r="D141" s="60" t="s">
        <v>1222</v>
      </c>
      <c r="E141" s="74"/>
      <c r="F141" s="74"/>
      <c r="G141" s="74"/>
      <c r="H141" s="147"/>
    </row>
    <row r="142" spans="3:11">
      <c r="C142" s="143">
        <v>1</v>
      </c>
      <c r="D142" s="78" t="s">
        <v>1419</v>
      </c>
      <c r="E142" s="69" t="s">
        <v>107</v>
      </c>
      <c r="F142" s="75">
        <v>0.16500000000000001</v>
      </c>
      <c r="G142" s="65">
        <f>VLOOKUP(D142,upahbahan,3,FALSE)</f>
        <v>414000</v>
      </c>
      <c r="H142" s="125">
        <f>F142*G142</f>
        <v>68310</v>
      </c>
    </row>
    <row r="143" spans="3:11">
      <c r="C143" s="143">
        <v>2</v>
      </c>
      <c r="D143" s="78" t="s">
        <v>266</v>
      </c>
      <c r="E143" s="69" t="s">
        <v>66</v>
      </c>
      <c r="F143" s="75">
        <v>0.2</v>
      </c>
      <c r="G143" s="65">
        <f>VLOOKUP(D143,upahbahan,3,FALSE)</f>
        <v>19000</v>
      </c>
      <c r="H143" s="125">
        <f>F143*G143</f>
        <v>3800</v>
      </c>
    </row>
    <row r="144" spans="3:11" ht="15.75" customHeight="1">
      <c r="C144" s="145" t="s">
        <v>1226</v>
      </c>
      <c r="D144" s="81"/>
      <c r="E144" s="81"/>
      <c r="F144" s="81"/>
      <c r="G144" s="163"/>
      <c r="H144" s="125">
        <f>SUM(H142:H143)</f>
        <v>72110</v>
      </c>
    </row>
    <row r="145" spans="3:9">
      <c r="C145" s="142" t="s">
        <v>1227</v>
      </c>
      <c r="D145" s="60" t="s">
        <v>1228</v>
      </c>
      <c r="E145" s="74"/>
      <c r="F145" s="74"/>
      <c r="G145" s="74"/>
      <c r="H145" s="147"/>
    </row>
    <row r="146" spans="3:9" ht="15.75" customHeight="1">
      <c r="C146" s="145" t="s">
        <v>1229</v>
      </c>
      <c r="D146" s="81"/>
      <c r="E146" s="81"/>
      <c r="F146" s="81"/>
      <c r="G146" s="163"/>
      <c r="H146" s="154">
        <v>0</v>
      </c>
    </row>
    <row r="147" spans="3:9" s="164" customFormat="1">
      <c r="C147" s="123" t="s">
        <v>1230</v>
      </c>
      <c r="D147" s="70" t="s">
        <v>1231</v>
      </c>
      <c r="E147" s="71"/>
      <c r="F147" s="71"/>
      <c r="G147" s="72"/>
      <c r="H147" s="125">
        <f>H146+H144+H140</f>
        <v>103890</v>
      </c>
      <c r="I147" s="55"/>
    </row>
    <row r="148" spans="3:9" s="164" customFormat="1">
      <c r="C148" s="123" t="s">
        <v>1232</v>
      </c>
      <c r="D148" s="70" t="s">
        <v>1410</v>
      </c>
      <c r="E148" s="71"/>
      <c r="F148" s="72"/>
      <c r="G148" s="96">
        <f>$M$7</f>
        <v>0.1</v>
      </c>
      <c r="H148" s="125">
        <f>H147*G148</f>
        <v>10389</v>
      </c>
      <c r="I148" s="55"/>
    </row>
    <row r="149" spans="3:9" s="164" customFormat="1" ht="15.75" thickBot="1">
      <c r="C149" s="131" t="s">
        <v>1233</v>
      </c>
      <c r="D149" s="132" t="s">
        <v>1234</v>
      </c>
      <c r="E149" s="133"/>
      <c r="F149" s="133"/>
      <c r="G149" s="156"/>
      <c r="H149" s="135">
        <f>SUM(H147:H148)</f>
        <v>114279</v>
      </c>
      <c r="I149" s="55"/>
    </row>
    <row r="150" spans="3:9" ht="15.75" thickTop="1"/>
  </sheetData>
  <mergeCells count="1">
    <mergeCell ref="C38:H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M482"/>
  <sheetViews>
    <sheetView zoomScaleNormal="100" workbookViewId="0">
      <selection activeCell="C3" sqref="C3:I490"/>
    </sheetView>
    <sheetView workbookViewId="1"/>
  </sheetViews>
  <sheetFormatPr defaultColWidth="8.85546875" defaultRowHeight="14.25"/>
  <cols>
    <col min="1" max="2" width="3.140625" style="56" customWidth="1"/>
    <col min="3" max="3" width="5.42578125" style="63" customWidth="1"/>
    <col min="4" max="4" width="36.7109375" style="63" customWidth="1"/>
    <col min="5" max="5" width="6.140625" style="63" customWidth="1"/>
    <col min="6" max="6" width="10.7109375" style="63" customWidth="1"/>
    <col min="7" max="7" width="14.28515625" style="63" customWidth="1"/>
    <col min="8" max="8" width="16.42578125" style="63" customWidth="1"/>
    <col min="9" max="9" width="16.7109375" style="63" customWidth="1"/>
    <col min="10" max="16384" width="8.85546875" style="56"/>
  </cols>
  <sheetData>
    <row r="1" spans="3:13" ht="12" customHeight="1"/>
    <row r="2" spans="3:13" ht="12" customHeight="1"/>
    <row r="3" spans="3:13" ht="15">
      <c r="C3" s="228" t="str">
        <f>'[1]Daftar HSP'!A160</f>
        <v>H</v>
      </c>
      <c r="D3" s="229" t="str">
        <f>'[1]Daftar HSP'!B160</f>
        <v>PEKERJAAN PASANGAN DINDING</v>
      </c>
      <c r="E3" s="229"/>
      <c r="F3" s="229"/>
      <c r="G3" s="229"/>
      <c r="H3" s="229"/>
    </row>
    <row r="4" spans="3:13" ht="29.45" customHeight="1" thickBot="1">
      <c r="C4" s="520" t="s">
        <v>1420</v>
      </c>
      <c r="D4" s="520"/>
      <c r="E4" s="520"/>
      <c r="F4" s="520"/>
      <c r="G4" s="520"/>
      <c r="H4" s="520"/>
      <c r="I4" s="57">
        <f>ROUNDDOWN(H21,-2)</f>
        <v>277400</v>
      </c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  <c r="I5" s="58"/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56" t="s">
        <v>1265</v>
      </c>
    </row>
    <row r="7" spans="3:13">
      <c r="C7" s="143">
        <v>1</v>
      </c>
      <c r="D7" s="60" t="s">
        <v>5</v>
      </c>
      <c r="E7" s="73" t="s">
        <v>6</v>
      </c>
      <c r="F7" s="94">
        <v>0.4</v>
      </c>
      <c r="G7" s="65">
        <f>VLOOKUP(D7,upahbahan,3,FALSE)</f>
        <v>100000</v>
      </c>
      <c r="H7" s="125">
        <f>F7*G7</f>
        <v>40000</v>
      </c>
      <c r="J7" s="56" t="s">
        <v>1266</v>
      </c>
      <c r="M7" s="66">
        <v>0.1</v>
      </c>
    </row>
    <row r="8" spans="3:13">
      <c r="C8" s="143">
        <v>2</v>
      </c>
      <c r="D8" s="60" t="s">
        <v>7</v>
      </c>
      <c r="E8" s="73" t="s">
        <v>6</v>
      </c>
      <c r="F8" s="94">
        <v>0.2</v>
      </c>
      <c r="G8" s="65">
        <f>VLOOKUP(D8,upahbahan,3,FALSE)</f>
        <v>145000</v>
      </c>
      <c r="H8" s="125">
        <f>F8*G8</f>
        <v>29000</v>
      </c>
    </row>
    <row r="9" spans="3:13">
      <c r="C9" s="143">
        <v>3</v>
      </c>
      <c r="D9" s="60" t="s">
        <v>18</v>
      </c>
      <c r="E9" s="73" t="s">
        <v>6</v>
      </c>
      <c r="F9" s="94">
        <v>0.02</v>
      </c>
      <c r="G9" s="65">
        <f>VLOOKUP(D9,upahbahan,3,FALSE)</f>
        <v>150000</v>
      </c>
      <c r="H9" s="125">
        <f>F9*G9</f>
        <v>3000</v>
      </c>
    </row>
    <row r="10" spans="3:13">
      <c r="C10" s="143">
        <v>4</v>
      </c>
      <c r="D10" s="60" t="s">
        <v>19</v>
      </c>
      <c r="E10" s="73" t="s">
        <v>6</v>
      </c>
      <c r="F10" s="94">
        <v>6.7000000000000002E-3</v>
      </c>
      <c r="G10" s="65">
        <f>VLOOKUP(D10,upahbahan,3,FALSE)</f>
        <v>145000</v>
      </c>
      <c r="H10" s="125">
        <f>F10*G10</f>
        <v>971.5</v>
      </c>
    </row>
    <row r="11" spans="3:13">
      <c r="C11" s="145" t="s">
        <v>1421</v>
      </c>
      <c r="D11" s="81"/>
      <c r="E11" s="81"/>
      <c r="F11" s="81"/>
      <c r="G11" s="163"/>
      <c r="H11" s="125">
        <f>SUM(H7:H10)</f>
        <v>72971.5</v>
      </c>
    </row>
    <row r="12" spans="3:13">
      <c r="C12" s="142" t="s">
        <v>1221</v>
      </c>
      <c r="D12" s="60" t="s">
        <v>1222</v>
      </c>
      <c r="E12" s="74"/>
      <c r="F12" s="74"/>
      <c r="G12" s="74"/>
      <c r="H12" s="147"/>
    </row>
    <row r="13" spans="3:13">
      <c r="C13" s="143">
        <v>1</v>
      </c>
      <c r="D13" s="60" t="s">
        <v>43</v>
      </c>
      <c r="E13" s="73" t="s">
        <v>44</v>
      </c>
      <c r="F13" s="230">
        <v>143.81</v>
      </c>
      <c r="G13" s="65">
        <f>VLOOKUP(D13,upahbahan,3,FALSE)</f>
        <v>700</v>
      </c>
      <c r="H13" s="125">
        <f>F13*G13</f>
        <v>100667</v>
      </c>
    </row>
    <row r="14" spans="3:13">
      <c r="C14" s="143">
        <v>2</v>
      </c>
      <c r="D14" s="60" t="s">
        <v>568</v>
      </c>
      <c r="E14" s="73" t="s">
        <v>66</v>
      </c>
      <c r="F14" s="230">
        <v>43.5</v>
      </c>
      <c r="G14" s="65">
        <f>VLOOKUP(D14,upahbahan,3,FALSE)</f>
        <v>1300</v>
      </c>
      <c r="H14" s="125">
        <f>F14*G14</f>
        <v>56550</v>
      </c>
    </row>
    <row r="15" spans="3:13">
      <c r="C15" s="143">
        <v>3</v>
      </c>
      <c r="D15" s="78" t="s">
        <v>86</v>
      </c>
      <c r="E15" s="73" t="s">
        <v>42</v>
      </c>
      <c r="F15" s="230">
        <v>0.08</v>
      </c>
      <c r="G15" s="65">
        <f>VLOOKUP(D15,upahbahan,3,FALSE)</f>
        <v>275000</v>
      </c>
      <c r="H15" s="125">
        <f>F15*G15</f>
        <v>22000</v>
      </c>
    </row>
    <row r="16" spans="3:13">
      <c r="C16" s="145" t="s">
        <v>1226</v>
      </c>
      <c r="D16" s="81"/>
      <c r="E16" s="81"/>
      <c r="F16" s="81"/>
      <c r="G16" s="163"/>
      <c r="H16" s="125">
        <f>SUM(H13:H15)</f>
        <v>179217</v>
      </c>
    </row>
    <row r="17" spans="3:9">
      <c r="C17" s="153" t="s">
        <v>1227</v>
      </c>
      <c r="D17" s="60" t="s">
        <v>1228</v>
      </c>
      <c r="E17" s="74"/>
      <c r="F17" s="74"/>
      <c r="G17" s="74"/>
      <c r="H17" s="147"/>
    </row>
    <row r="18" spans="3:9">
      <c r="C18" s="145" t="s">
        <v>1229</v>
      </c>
      <c r="D18" s="81"/>
      <c r="E18" s="81"/>
      <c r="F18" s="81"/>
      <c r="G18" s="163"/>
      <c r="H18" s="154">
        <v>0</v>
      </c>
    </row>
    <row r="19" spans="3:9">
      <c r="C19" s="123" t="s">
        <v>1230</v>
      </c>
      <c r="D19" s="70" t="s">
        <v>1231</v>
      </c>
      <c r="E19" s="71"/>
      <c r="F19" s="71"/>
      <c r="G19" s="72"/>
      <c r="H19" s="125">
        <f>H18+H16+H11</f>
        <v>252188.5</v>
      </c>
    </row>
    <row r="20" spans="3:9">
      <c r="C20" s="123" t="s">
        <v>1232</v>
      </c>
      <c r="D20" s="70" t="s">
        <v>1410</v>
      </c>
      <c r="E20" s="71"/>
      <c r="F20" s="72"/>
      <c r="G20" s="96">
        <f>$M$7</f>
        <v>0.1</v>
      </c>
      <c r="H20" s="125">
        <f>H19*G20</f>
        <v>25218.850000000002</v>
      </c>
    </row>
    <row r="21" spans="3:9" ht="15.75" thickBot="1">
      <c r="C21" s="131" t="s">
        <v>1233</v>
      </c>
      <c r="D21" s="132" t="s">
        <v>1234</v>
      </c>
      <c r="E21" s="133"/>
      <c r="F21" s="133"/>
      <c r="G21" s="156"/>
      <c r="H21" s="135">
        <f>SUM(H19:H20)</f>
        <v>277407.34999999998</v>
      </c>
    </row>
    <row r="22" spans="3:9" ht="15" thickTop="1">
      <c r="C22" s="90"/>
      <c r="D22" s="91"/>
      <c r="E22" s="91"/>
      <c r="F22" s="91"/>
      <c r="G22" s="91"/>
      <c r="H22" s="200"/>
    </row>
    <row r="23" spans="3:9" ht="28.15" customHeight="1" thickBot="1">
      <c r="C23" s="520" t="s">
        <v>1422</v>
      </c>
      <c r="D23" s="520"/>
      <c r="E23" s="520"/>
      <c r="F23" s="520"/>
      <c r="G23" s="520"/>
      <c r="H23" s="520"/>
      <c r="I23" s="57">
        <f>ROUNDDOWN(H40,-2)</f>
        <v>262700</v>
      </c>
    </row>
    <row r="24" spans="3:9" ht="29.25" thickTop="1">
      <c r="C24" s="120" t="s">
        <v>1207</v>
      </c>
      <c r="D24" s="121" t="s">
        <v>1208</v>
      </c>
      <c r="E24" s="121" t="s">
        <v>1209</v>
      </c>
      <c r="F24" s="121" t="s">
        <v>1210</v>
      </c>
      <c r="G24" s="121" t="s">
        <v>1211</v>
      </c>
      <c r="H24" s="122" t="s">
        <v>1212</v>
      </c>
      <c r="I24" s="93"/>
    </row>
    <row r="25" spans="3:9">
      <c r="C25" s="142" t="s">
        <v>1213</v>
      </c>
      <c r="D25" s="60" t="s">
        <v>1214</v>
      </c>
      <c r="E25" s="74"/>
      <c r="F25" s="74"/>
      <c r="G25" s="74"/>
      <c r="H25" s="147"/>
    </row>
    <row r="26" spans="3:9">
      <c r="C26" s="143">
        <v>1</v>
      </c>
      <c r="D26" s="60" t="s">
        <v>5</v>
      </c>
      <c r="E26" s="73" t="s">
        <v>6</v>
      </c>
      <c r="F26" s="94">
        <v>0.4</v>
      </c>
      <c r="G26" s="65">
        <f>VLOOKUP(D26,upahbahan,3,FALSE)</f>
        <v>100000</v>
      </c>
      <c r="H26" s="125">
        <f>F26*G26</f>
        <v>40000</v>
      </c>
    </row>
    <row r="27" spans="3:9">
      <c r="C27" s="143">
        <v>2</v>
      </c>
      <c r="D27" s="60" t="s">
        <v>7</v>
      </c>
      <c r="E27" s="73" t="s">
        <v>6</v>
      </c>
      <c r="F27" s="94">
        <v>0.2</v>
      </c>
      <c r="G27" s="65">
        <f>VLOOKUP(D27,upahbahan,3,FALSE)</f>
        <v>145000</v>
      </c>
      <c r="H27" s="125">
        <f>F27*G27</f>
        <v>29000</v>
      </c>
    </row>
    <row r="28" spans="3:9">
      <c r="C28" s="143">
        <v>3</v>
      </c>
      <c r="D28" s="60" t="s">
        <v>18</v>
      </c>
      <c r="E28" s="73" t="s">
        <v>6</v>
      </c>
      <c r="F28" s="94">
        <v>0.02</v>
      </c>
      <c r="G28" s="65">
        <f>VLOOKUP(D28,upahbahan,3,FALSE)</f>
        <v>150000</v>
      </c>
      <c r="H28" s="125">
        <f>F28*G28</f>
        <v>3000</v>
      </c>
    </row>
    <row r="29" spans="3:9">
      <c r="C29" s="143">
        <v>4</v>
      </c>
      <c r="D29" s="60" t="s">
        <v>19</v>
      </c>
      <c r="E29" s="73" t="s">
        <v>6</v>
      </c>
      <c r="F29" s="94">
        <v>6.7000000000000002E-3</v>
      </c>
      <c r="G29" s="65">
        <f>VLOOKUP(D29,upahbahan,3,FALSE)</f>
        <v>145000</v>
      </c>
      <c r="H29" s="125">
        <f>F29*G29</f>
        <v>971.5</v>
      </c>
    </row>
    <row r="30" spans="3:9">
      <c r="C30" s="145" t="s">
        <v>1421</v>
      </c>
      <c r="D30" s="84"/>
      <c r="E30" s="84"/>
      <c r="F30" s="84"/>
      <c r="G30" s="84"/>
      <c r="H30" s="125">
        <f>SUM(H26:H29)</f>
        <v>72971.5</v>
      </c>
    </row>
    <row r="31" spans="3:9">
      <c r="C31" s="142" t="s">
        <v>1221</v>
      </c>
      <c r="D31" s="60" t="s">
        <v>1222</v>
      </c>
      <c r="E31" s="74"/>
      <c r="F31" s="74"/>
      <c r="G31" s="74"/>
      <c r="H31" s="147"/>
    </row>
    <row r="32" spans="3:9">
      <c r="C32" s="143">
        <v>1</v>
      </c>
      <c r="D32" s="60" t="s">
        <v>43</v>
      </c>
      <c r="E32" s="73" t="s">
        <v>44</v>
      </c>
      <c r="F32" s="75">
        <v>140</v>
      </c>
      <c r="G32" s="65">
        <f>VLOOKUP(D32,upahbahan,3,FALSE)</f>
        <v>700</v>
      </c>
      <c r="H32" s="125">
        <f>F32*G32</f>
        <v>98000</v>
      </c>
    </row>
    <row r="33" spans="3:9">
      <c r="C33" s="143">
        <v>2</v>
      </c>
      <c r="D33" s="60" t="s">
        <v>568</v>
      </c>
      <c r="E33" s="73" t="s">
        <v>66</v>
      </c>
      <c r="F33" s="75">
        <v>32.950000000000003</v>
      </c>
      <c r="G33" s="65">
        <f>VLOOKUP(D33,upahbahan,3,FALSE)</f>
        <v>1300</v>
      </c>
      <c r="H33" s="125">
        <f>F33*G33</f>
        <v>42835.000000000007</v>
      </c>
    </row>
    <row r="34" spans="3:9">
      <c r="C34" s="143">
        <v>3</v>
      </c>
      <c r="D34" s="78" t="s">
        <v>86</v>
      </c>
      <c r="E34" s="73" t="s">
        <v>42</v>
      </c>
      <c r="F34" s="75">
        <v>9.0999999999999998E-2</v>
      </c>
      <c r="G34" s="65">
        <f>VLOOKUP(D34,upahbahan,3,FALSE)</f>
        <v>275000</v>
      </c>
      <c r="H34" s="125">
        <f>F34*G34</f>
        <v>25025</v>
      </c>
    </row>
    <row r="35" spans="3:9">
      <c r="C35" s="145" t="s">
        <v>1226</v>
      </c>
      <c r="D35" s="84"/>
      <c r="E35" s="84"/>
      <c r="F35" s="84"/>
      <c r="G35" s="84"/>
      <c r="H35" s="125">
        <f>SUM(H32:H34)</f>
        <v>165860</v>
      </c>
    </row>
    <row r="36" spans="3:9">
      <c r="C36" s="153" t="s">
        <v>1227</v>
      </c>
      <c r="D36" s="60" t="s">
        <v>1228</v>
      </c>
      <c r="E36" s="74"/>
      <c r="F36" s="74"/>
      <c r="G36" s="74"/>
      <c r="H36" s="147"/>
    </row>
    <row r="37" spans="3:9">
      <c r="C37" s="145" t="s">
        <v>1229</v>
      </c>
      <c r="D37" s="84"/>
      <c r="E37" s="84"/>
      <c r="F37" s="84"/>
      <c r="G37" s="84"/>
      <c r="H37" s="154">
        <v>0</v>
      </c>
    </row>
    <row r="38" spans="3:9">
      <c r="C38" s="123" t="s">
        <v>1230</v>
      </c>
      <c r="D38" s="70" t="s">
        <v>1231</v>
      </c>
      <c r="E38" s="71"/>
      <c r="F38" s="71"/>
      <c r="G38" s="72"/>
      <c r="H38" s="125">
        <f>H37+H35+H30</f>
        <v>238831.5</v>
      </c>
    </row>
    <row r="39" spans="3:9">
      <c r="C39" s="123" t="s">
        <v>1232</v>
      </c>
      <c r="D39" s="70" t="s">
        <v>1410</v>
      </c>
      <c r="E39" s="71"/>
      <c r="F39" s="72"/>
      <c r="G39" s="96">
        <f>$M$7</f>
        <v>0.1</v>
      </c>
      <c r="H39" s="125">
        <f>H38*G39</f>
        <v>23883.15</v>
      </c>
    </row>
    <row r="40" spans="3:9" ht="15.75" thickBot="1">
      <c r="C40" s="131" t="s">
        <v>1233</v>
      </c>
      <c r="D40" s="132" t="s">
        <v>1234</v>
      </c>
      <c r="E40" s="133"/>
      <c r="F40" s="133"/>
      <c r="G40" s="156"/>
      <c r="H40" s="135">
        <f>SUM(H38:H39)</f>
        <v>262714.65000000002</v>
      </c>
    </row>
    <row r="41" spans="3:9" ht="15.75" thickTop="1">
      <c r="C41" s="90"/>
      <c r="D41" s="91"/>
      <c r="E41" s="91"/>
      <c r="F41" s="91"/>
      <c r="G41" s="91"/>
      <c r="H41" s="92"/>
    </row>
    <row r="42" spans="3:9" ht="30.6" customHeight="1" thickBot="1">
      <c r="C42" s="520" t="s">
        <v>1423</v>
      </c>
      <c r="D42" s="520"/>
      <c r="E42" s="520"/>
      <c r="F42" s="520"/>
      <c r="G42" s="520"/>
      <c r="H42" s="520"/>
      <c r="I42" s="57">
        <f>ROUNDDOWN(H59,-2)</f>
        <v>257100</v>
      </c>
    </row>
    <row r="43" spans="3:9" ht="29.25" thickTop="1">
      <c r="C43" s="120" t="s">
        <v>1207</v>
      </c>
      <c r="D43" s="121" t="s">
        <v>1208</v>
      </c>
      <c r="E43" s="121" t="s">
        <v>1209</v>
      </c>
      <c r="F43" s="121" t="s">
        <v>1210</v>
      </c>
      <c r="G43" s="121" t="s">
        <v>1211</v>
      </c>
      <c r="H43" s="122" t="s">
        <v>1212</v>
      </c>
      <c r="I43" s="93"/>
    </row>
    <row r="44" spans="3:9">
      <c r="C44" s="142" t="s">
        <v>1213</v>
      </c>
      <c r="D44" s="60" t="s">
        <v>1214</v>
      </c>
      <c r="E44" s="74"/>
      <c r="F44" s="74"/>
      <c r="G44" s="74"/>
      <c r="H44" s="147"/>
    </row>
    <row r="45" spans="3:9">
      <c r="C45" s="143">
        <v>1</v>
      </c>
      <c r="D45" s="60" t="s">
        <v>5</v>
      </c>
      <c r="E45" s="73" t="s">
        <v>6</v>
      </c>
      <c r="F45" s="94">
        <v>0.4</v>
      </c>
      <c r="G45" s="65">
        <f>VLOOKUP(D45,upahbahan,3,FALSE)</f>
        <v>100000</v>
      </c>
      <c r="H45" s="125">
        <f>F45*G45</f>
        <v>40000</v>
      </c>
    </row>
    <row r="46" spans="3:9">
      <c r="C46" s="143">
        <v>2</v>
      </c>
      <c r="D46" s="60" t="s">
        <v>7</v>
      </c>
      <c r="E46" s="73" t="s">
        <v>6</v>
      </c>
      <c r="F46" s="94">
        <v>0.2</v>
      </c>
      <c r="G46" s="65">
        <f>VLOOKUP(D46,upahbahan,3,FALSE)</f>
        <v>145000</v>
      </c>
      <c r="H46" s="125">
        <f>F46*G46</f>
        <v>29000</v>
      </c>
    </row>
    <row r="47" spans="3:9">
      <c r="C47" s="143">
        <v>3</v>
      </c>
      <c r="D47" s="60" t="s">
        <v>18</v>
      </c>
      <c r="E47" s="73" t="s">
        <v>6</v>
      </c>
      <c r="F47" s="94">
        <v>0.02</v>
      </c>
      <c r="G47" s="65">
        <f>VLOOKUP(D47,upahbahan,3,FALSE)</f>
        <v>150000</v>
      </c>
      <c r="H47" s="125">
        <f>F47*G47</f>
        <v>3000</v>
      </c>
    </row>
    <row r="48" spans="3:9">
      <c r="C48" s="143">
        <v>4</v>
      </c>
      <c r="D48" s="60" t="s">
        <v>19</v>
      </c>
      <c r="E48" s="73" t="s">
        <v>6</v>
      </c>
      <c r="F48" s="94">
        <v>6.7000000000000002E-3</v>
      </c>
      <c r="G48" s="65">
        <f>VLOOKUP(D48,upahbahan,3,FALSE)</f>
        <v>145000</v>
      </c>
      <c r="H48" s="125">
        <f>F48*G48</f>
        <v>971.5</v>
      </c>
    </row>
    <row r="49" spans="3:9">
      <c r="C49" s="145" t="s">
        <v>1421</v>
      </c>
      <c r="D49" s="84"/>
      <c r="E49" s="84"/>
      <c r="F49" s="84"/>
      <c r="G49" s="84"/>
      <c r="H49" s="125">
        <f>SUM(H45:H48)</f>
        <v>72971.5</v>
      </c>
    </row>
    <row r="50" spans="3:9">
      <c r="C50" s="142" t="s">
        <v>1221</v>
      </c>
      <c r="D50" s="60" t="s">
        <v>1222</v>
      </c>
      <c r="E50" s="74"/>
      <c r="F50" s="74"/>
      <c r="G50" s="74"/>
      <c r="H50" s="147"/>
    </row>
    <row r="51" spans="3:9">
      <c r="C51" s="143">
        <v>1</v>
      </c>
      <c r="D51" s="60" t="s">
        <v>43</v>
      </c>
      <c r="E51" s="73" t="s">
        <v>44</v>
      </c>
      <c r="F51" s="75">
        <v>143.81</v>
      </c>
      <c r="G51" s="65">
        <f>VLOOKUP(D51,upahbahan,3,FALSE)</f>
        <v>700</v>
      </c>
      <c r="H51" s="125">
        <f>F51*G51</f>
        <v>100667</v>
      </c>
    </row>
    <row r="52" spans="3:9">
      <c r="C52" s="143">
        <v>2</v>
      </c>
      <c r="D52" s="60" t="s">
        <v>568</v>
      </c>
      <c r="E52" s="73" t="s">
        <v>66</v>
      </c>
      <c r="F52" s="75">
        <v>26.55</v>
      </c>
      <c r="G52" s="65">
        <f>VLOOKUP(D52,upahbahan,3,FALSE)</f>
        <v>1300</v>
      </c>
      <c r="H52" s="125">
        <f>F52*G52</f>
        <v>34515</v>
      </c>
    </row>
    <row r="53" spans="3:9">
      <c r="C53" s="143">
        <v>3</v>
      </c>
      <c r="D53" s="78" t="s">
        <v>86</v>
      </c>
      <c r="E53" s="73" t="s">
        <v>42</v>
      </c>
      <c r="F53" s="75">
        <v>9.2999999999999999E-2</v>
      </c>
      <c r="G53" s="65">
        <f>VLOOKUP(D53,upahbahan,3,FALSE)</f>
        <v>275000</v>
      </c>
      <c r="H53" s="125">
        <f>F53*G53</f>
        <v>25575</v>
      </c>
    </row>
    <row r="54" spans="3:9">
      <c r="C54" s="145" t="s">
        <v>1226</v>
      </c>
      <c r="D54" s="84"/>
      <c r="E54" s="84"/>
      <c r="F54" s="84"/>
      <c r="G54" s="84"/>
      <c r="H54" s="125">
        <f>SUM(H51:H53)</f>
        <v>160757</v>
      </c>
    </row>
    <row r="55" spans="3:9">
      <c r="C55" s="153" t="s">
        <v>1227</v>
      </c>
      <c r="D55" s="60" t="s">
        <v>1228</v>
      </c>
      <c r="E55" s="74"/>
      <c r="F55" s="74"/>
      <c r="G55" s="74"/>
      <c r="H55" s="147"/>
    </row>
    <row r="56" spans="3:9">
      <c r="C56" s="145" t="s">
        <v>1229</v>
      </c>
      <c r="D56" s="84"/>
      <c r="E56" s="84"/>
      <c r="F56" s="84"/>
      <c r="G56" s="84"/>
      <c r="H56" s="154">
        <v>0</v>
      </c>
    </row>
    <row r="57" spans="3:9">
      <c r="C57" s="123" t="s">
        <v>1230</v>
      </c>
      <c r="D57" s="70" t="s">
        <v>1231</v>
      </c>
      <c r="E57" s="71"/>
      <c r="F57" s="71"/>
      <c r="G57" s="72"/>
      <c r="H57" s="125">
        <f>H56+H54+H49</f>
        <v>233728.5</v>
      </c>
    </row>
    <row r="58" spans="3:9">
      <c r="C58" s="123" t="s">
        <v>1232</v>
      </c>
      <c r="D58" s="70" t="s">
        <v>1410</v>
      </c>
      <c r="E58" s="71"/>
      <c r="F58" s="72"/>
      <c r="G58" s="96">
        <f>$M$7</f>
        <v>0.1</v>
      </c>
      <c r="H58" s="125">
        <f>H57*G58</f>
        <v>23372.850000000002</v>
      </c>
    </row>
    <row r="59" spans="3:9" ht="15.75" thickBot="1">
      <c r="C59" s="131" t="s">
        <v>1233</v>
      </c>
      <c r="D59" s="132" t="s">
        <v>1234</v>
      </c>
      <c r="E59" s="133"/>
      <c r="F59" s="133"/>
      <c r="G59" s="156"/>
      <c r="H59" s="135">
        <f>SUM(H57:H58)</f>
        <v>257101.35</v>
      </c>
    </row>
    <row r="60" spans="3:9" ht="15" thickTop="1"/>
    <row r="61" spans="3:9" ht="31.9" customHeight="1" thickBot="1">
      <c r="C61" s="520" t="s">
        <v>1424</v>
      </c>
      <c r="D61" s="520"/>
      <c r="E61" s="520"/>
      <c r="F61" s="520"/>
      <c r="G61" s="520"/>
      <c r="H61" s="520"/>
      <c r="I61" s="57">
        <f>ROUNDDOWN(H78,-2)</f>
        <v>253600</v>
      </c>
    </row>
    <row r="62" spans="3:9" ht="29.25" thickTop="1">
      <c r="C62" s="120" t="s">
        <v>1207</v>
      </c>
      <c r="D62" s="121" t="s">
        <v>1208</v>
      </c>
      <c r="E62" s="121" t="s">
        <v>1209</v>
      </c>
      <c r="F62" s="121" t="s">
        <v>1210</v>
      </c>
      <c r="G62" s="121" t="s">
        <v>1211</v>
      </c>
      <c r="H62" s="122" t="s">
        <v>1212</v>
      </c>
      <c r="I62" s="58"/>
    </row>
    <row r="63" spans="3:9">
      <c r="C63" s="142" t="s">
        <v>1213</v>
      </c>
      <c r="D63" s="60" t="s">
        <v>1214</v>
      </c>
      <c r="E63" s="74"/>
      <c r="F63" s="74"/>
      <c r="G63" s="74"/>
      <c r="H63" s="147"/>
    </row>
    <row r="64" spans="3:9">
      <c r="C64" s="143">
        <v>1</v>
      </c>
      <c r="D64" s="60" t="s">
        <v>5</v>
      </c>
      <c r="E64" s="73" t="s">
        <v>6</v>
      </c>
      <c r="F64" s="94">
        <v>0.4</v>
      </c>
      <c r="G64" s="65">
        <f>VLOOKUP(D64,upahbahan,3,FALSE)</f>
        <v>100000</v>
      </c>
      <c r="H64" s="125">
        <f>F64*G64</f>
        <v>40000</v>
      </c>
    </row>
    <row r="65" spans="3:9">
      <c r="C65" s="143">
        <v>2</v>
      </c>
      <c r="D65" s="60" t="s">
        <v>7</v>
      </c>
      <c r="E65" s="73" t="s">
        <v>6</v>
      </c>
      <c r="F65" s="94">
        <v>0.2</v>
      </c>
      <c r="G65" s="65">
        <f>VLOOKUP(D65,upahbahan,3,FALSE)</f>
        <v>145000</v>
      </c>
      <c r="H65" s="125">
        <f>F65*G65</f>
        <v>29000</v>
      </c>
    </row>
    <row r="66" spans="3:9">
      <c r="C66" s="143">
        <v>3</v>
      </c>
      <c r="D66" s="60" t="s">
        <v>18</v>
      </c>
      <c r="E66" s="73" t="s">
        <v>6</v>
      </c>
      <c r="F66" s="94">
        <v>0.02</v>
      </c>
      <c r="G66" s="65">
        <f>VLOOKUP(D66,upahbahan,3,FALSE)</f>
        <v>150000</v>
      </c>
      <c r="H66" s="125">
        <f>F66*G66</f>
        <v>3000</v>
      </c>
    </row>
    <row r="67" spans="3:9">
      <c r="C67" s="143">
        <v>4</v>
      </c>
      <c r="D67" s="60" t="s">
        <v>19</v>
      </c>
      <c r="E67" s="73" t="s">
        <v>6</v>
      </c>
      <c r="F67" s="94">
        <v>6.7000000000000002E-3</v>
      </c>
      <c r="G67" s="65">
        <f>VLOOKUP(D67,upahbahan,3,FALSE)</f>
        <v>145000</v>
      </c>
      <c r="H67" s="125">
        <f>F67*G67</f>
        <v>971.5</v>
      </c>
    </row>
    <row r="68" spans="3:9">
      <c r="C68" s="145" t="s">
        <v>1421</v>
      </c>
      <c r="D68" s="81"/>
      <c r="E68" s="81"/>
      <c r="F68" s="81"/>
      <c r="G68" s="163"/>
      <c r="H68" s="125">
        <f>SUM(H64:H67)</f>
        <v>72971.5</v>
      </c>
    </row>
    <row r="69" spans="3:9">
      <c r="C69" s="142" t="s">
        <v>1221</v>
      </c>
      <c r="D69" s="60" t="s">
        <v>1222</v>
      </c>
      <c r="E69" s="74"/>
      <c r="F69" s="74"/>
      <c r="G69" s="74"/>
      <c r="H69" s="147"/>
    </row>
    <row r="70" spans="3:9">
      <c r="C70" s="143">
        <v>1</v>
      </c>
      <c r="D70" s="60" t="s">
        <v>43</v>
      </c>
      <c r="E70" s="73" t="s">
        <v>44</v>
      </c>
      <c r="F70" s="75">
        <v>143.81</v>
      </c>
      <c r="G70" s="65">
        <f>VLOOKUP(D70,upahbahan,3,FALSE)</f>
        <v>700</v>
      </c>
      <c r="H70" s="125">
        <f>F70*G70</f>
        <v>100667</v>
      </c>
    </row>
    <row r="71" spans="3:9">
      <c r="C71" s="143">
        <v>2</v>
      </c>
      <c r="D71" s="60" t="s">
        <v>568</v>
      </c>
      <c r="E71" s="73" t="s">
        <v>66</v>
      </c>
      <c r="F71" s="75">
        <v>22.2</v>
      </c>
      <c r="G71" s="65">
        <f>VLOOKUP(D71,upahbahan,3,FALSE)</f>
        <v>1300</v>
      </c>
      <c r="H71" s="125">
        <f>F71*G71</f>
        <v>28860</v>
      </c>
    </row>
    <row r="72" spans="3:9">
      <c r="C72" s="143">
        <v>3</v>
      </c>
      <c r="D72" s="78" t="s">
        <v>86</v>
      </c>
      <c r="E72" s="73" t="s">
        <v>42</v>
      </c>
      <c r="F72" s="75">
        <v>0.10199999999999999</v>
      </c>
      <c r="G72" s="65">
        <f>VLOOKUP(D72,upahbahan,3,FALSE)</f>
        <v>275000</v>
      </c>
      <c r="H72" s="125">
        <f>F72*G72</f>
        <v>28050</v>
      </c>
    </row>
    <row r="73" spans="3:9">
      <c r="C73" s="145" t="s">
        <v>1226</v>
      </c>
      <c r="D73" s="81"/>
      <c r="E73" s="81"/>
      <c r="F73" s="81"/>
      <c r="G73" s="163"/>
      <c r="H73" s="125">
        <f>SUM(H70:H72)</f>
        <v>157577</v>
      </c>
    </row>
    <row r="74" spans="3:9">
      <c r="C74" s="153" t="s">
        <v>1227</v>
      </c>
      <c r="D74" s="60" t="s">
        <v>1228</v>
      </c>
      <c r="E74" s="74"/>
      <c r="F74" s="74"/>
      <c r="G74" s="74"/>
      <c r="H74" s="147"/>
    </row>
    <row r="75" spans="3:9">
      <c r="C75" s="145" t="s">
        <v>1229</v>
      </c>
      <c r="D75" s="81"/>
      <c r="E75" s="81"/>
      <c r="F75" s="81"/>
      <c r="G75" s="163"/>
      <c r="H75" s="154">
        <v>0</v>
      </c>
    </row>
    <row r="76" spans="3:9">
      <c r="C76" s="123" t="s">
        <v>1230</v>
      </c>
      <c r="D76" s="70" t="s">
        <v>1231</v>
      </c>
      <c r="E76" s="71"/>
      <c r="F76" s="71"/>
      <c r="G76" s="72"/>
      <c r="H76" s="125">
        <f>H75+H73+H68</f>
        <v>230548.5</v>
      </c>
    </row>
    <row r="77" spans="3:9">
      <c r="C77" s="123" t="s">
        <v>1232</v>
      </c>
      <c r="D77" s="70" t="s">
        <v>1410</v>
      </c>
      <c r="E77" s="71"/>
      <c r="F77" s="72"/>
      <c r="G77" s="96">
        <f>$M$7</f>
        <v>0.1</v>
      </c>
      <c r="H77" s="125">
        <f>H76*G77</f>
        <v>23054.850000000002</v>
      </c>
    </row>
    <row r="78" spans="3:9" ht="15.75" thickBot="1">
      <c r="C78" s="131" t="s">
        <v>1233</v>
      </c>
      <c r="D78" s="132" t="s">
        <v>1234</v>
      </c>
      <c r="E78" s="133"/>
      <c r="F78" s="133"/>
      <c r="G78" s="156"/>
      <c r="H78" s="135">
        <f>SUM(H76:H77)</f>
        <v>253603.35</v>
      </c>
    </row>
    <row r="79" spans="3:9" ht="15.75" thickTop="1">
      <c r="C79" s="90"/>
      <c r="D79" s="91"/>
      <c r="E79" s="91"/>
      <c r="F79" s="91"/>
      <c r="G79" s="91"/>
      <c r="H79" s="92"/>
    </row>
    <row r="80" spans="3:9" ht="15.75" thickBot="1">
      <c r="C80" s="235" t="s">
        <v>1425</v>
      </c>
      <c r="D80" s="236"/>
      <c r="E80" s="236"/>
      <c r="F80" s="236"/>
      <c r="G80" s="236"/>
      <c r="H80" s="236"/>
      <c r="I80" s="57">
        <f>ROUNDDOWN(H97,-2)</f>
        <v>280000</v>
      </c>
    </row>
    <row r="81" spans="3:8" ht="29.25" thickTop="1">
      <c r="C81" s="120" t="s">
        <v>1207</v>
      </c>
      <c r="D81" s="121" t="s">
        <v>1208</v>
      </c>
      <c r="E81" s="121" t="s">
        <v>1209</v>
      </c>
      <c r="F81" s="121" t="s">
        <v>1210</v>
      </c>
      <c r="G81" s="121" t="s">
        <v>1211</v>
      </c>
      <c r="H81" s="122" t="s">
        <v>1212</v>
      </c>
    </row>
    <row r="82" spans="3:8">
      <c r="C82" s="142" t="s">
        <v>1213</v>
      </c>
      <c r="D82" s="60" t="s">
        <v>1214</v>
      </c>
      <c r="E82" s="74"/>
      <c r="F82" s="74"/>
      <c r="G82" s="74"/>
      <c r="H82" s="147"/>
    </row>
    <row r="83" spans="3:8">
      <c r="C83" s="143">
        <v>1</v>
      </c>
      <c r="D83" s="60" t="s">
        <v>5</v>
      </c>
      <c r="E83" s="73" t="s">
        <v>6</v>
      </c>
      <c r="F83" s="75">
        <v>0.6</v>
      </c>
      <c r="G83" s="65">
        <f>VLOOKUP(D83,upahbahan,3,FALSE)</f>
        <v>100000</v>
      </c>
      <c r="H83" s="125">
        <f>F83*G83</f>
        <v>60000</v>
      </c>
    </row>
    <row r="84" spans="3:8">
      <c r="C84" s="143">
        <v>2</v>
      </c>
      <c r="D84" s="60" t="s">
        <v>7</v>
      </c>
      <c r="E84" s="73" t="s">
        <v>6</v>
      </c>
      <c r="F84" s="75">
        <v>0.2</v>
      </c>
      <c r="G84" s="65">
        <f>VLOOKUP(D84,upahbahan,3,FALSE)</f>
        <v>145000</v>
      </c>
      <c r="H84" s="125">
        <f>F84*G84</f>
        <v>29000</v>
      </c>
    </row>
    <row r="85" spans="3:8">
      <c r="C85" s="143">
        <v>3</v>
      </c>
      <c r="D85" s="60" t="s">
        <v>18</v>
      </c>
      <c r="E85" s="73" t="s">
        <v>6</v>
      </c>
      <c r="F85" s="75">
        <v>0.02</v>
      </c>
      <c r="G85" s="65">
        <f>VLOOKUP(D85,upahbahan,3,FALSE)</f>
        <v>150000</v>
      </c>
      <c r="H85" s="125">
        <f>F85*G85</f>
        <v>3000</v>
      </c>
    </row>
    <row r="86" spans="3:8">
      <c r="C86" s="143">
        <v>4</v>
      </c>
      <c r="D86" s="60" t="s">
        <v>19</v>
      </c>
      <c r="E86" s="73" t="s">
        <v>6</v>
      </c>
      <c r="F86" s="75">
        <v>0.03</v>
      </c>
      <c r="G86" s="65">
        <f>VLOOKUP(D86,upahbahan,3,FALSE)</f>
        <v>145000</v>
      </c>
      <c r="H86" s="125">
        <f>F86*G86</f>
        <v>4350</v>
      </c>
    </row>
    <row r="87" spans="3:8">
      <c r="C87" s="145" t="s">
        <v>1421</v>
      </c>
      <c r="D87" s="81"/>
      <c r="E87" s="81"/>
      <c r="F87" s="81"/>
      <c r="G87" s="163"/>
      <c r="H87" s="125">
        <f>SUM(H83:H86)</f>
        <v>96350</v>
      </c>
    </row>
    <row r="88" spans="3:8">
      <c r="C88" s="142" t="s">
        <v>1221</v>
      </c>
      <c r="D88" s="60" t="s">
        <v>1222</v>
      </c>
      <c r="E88" s="74"/>
      <c r="F88" s="74"/>
      <c r="G88" s="74"/>
      <c r="H88" s="147"/>
    </row>
    <row r="89" spans="3:8">
      <c r="C89" s="143">
        <v>1</v>
      </c>
      <c r="D89" s="60" t="s">
        <v>43</v>
      </c>
      <c r="E89" s="73" t="s">
        <v>44</v>
      </c>
      <c r="F89" s="75">
        <v>143.81</v>
      </c>
      <c r="G89" s="65">
        <f>VLOOKUP(D89,upahbahan,3,FALSE)</f>
        <v>700</v>
      </c>
      <c r="H89" s="125">
        <f>F89*G89</f>
        <v>100667</v>
      </c>
    </row>
    <row r="90" spans="3:8">
      <c r="C90" s="143">
        <v>2</v>
      </c>
      <c r="D90" s="60" t="s">
        <v>568</v>
      </c>
      <c r="E90" s="73" t="s">
        <v>66</v>
      </c>
      <c r="F90" s="75">
        <v>18.5</v>
      </c>
      <c r="G90" s="65">
        <f>VLOOKUP(D90,upahbahan,3,FALSE)</f>
        <v>1300</v>
      </c>
      <c r="H90" s="125">
        <f>F90*G90</f>
        <v>24050</v>
      </c>
    </row>
    <row r="91" spans="3:8">
      <c r="C91" s="143">
        <v>3</v>
      </c>
      <c r="D91" s="78" t="s">
        <v>86</v>
      </c>
      <c r="E91" s="73" t="s">
        <v>42</v>
      </c>
      <c r="F91" s="75">
        <v>0.122</v>
      </c>
      <c r="G91" s="65">
        <f>VLOOKUP(D91,upahbahan,3,FALSE)</f>
        <v>275000</v>
      </c>
      <c r="H91" s="125">
        <f>F91*G91</f>
        <v>33550</v>
      </c>
    </row>
    <row r="92" spans="3:8">
      <c r="C92" s="145" t="s">
        <v>1226</v>
      </c>
      <c r="D92" s="81"/>
      <c r="E92" s="81"/>
      <c r="F92" s="81"/>
      <c r="G92" s="163"/>
      <c r="H92" s="125">
        <f>SUM(H89:H91)</f>
        <v>158267</v>
      </c>
    </row>
    <row r="93" spans="3:8">
      <c r="C93" s="153" t="s">
        <v>1227</v>
      </c>
      <c r="D93" s="60" t="s">
        <v>1228</v>
      </c>
      <c r="E93" s="74"/>
      <c r="F93" s="74"/>
      <c r="G93" s="74"/>
      <c r="H93" s="147"/>
    </row>
    <row r="94" spans="3:8">
      <c r="C94" s="145" t="s">
        <v>1229</v>
      </c>
      <c r="D94" s="81"/>
      <c r="E94" s="81"/>
      <c r="F94" s="81"/>
      <c r="G94" s="163"/>
      <c r="H94" s="154">
        <v>0</v>
      </c>
    </row>
    <row r="95" spans="3:8">
      <c r="C95" s="123" t="s">
        <v>1230</v>
      </c>
      <c r="D95" s="70" t="s">
        <v>1231</v>
      </c>
      <c r="E95" s="71"/>
      <c r="F95" s="71"/>
      <c r="G95" s="72"/>
      <c r="H95" s="125">
        <f>H94+H92+H87</f>
        <v>254617</v>
      </c>
    </row>
    <row r="96" spans="3:8">
      <c r="C96" s="123" t="s">
        <v>1232</v>
      </c>
      <c r="D96" s="70" t="s">
        <v>1410</v>
      </c>
      <c r="E96" s="71"/>
      <c r="F96" s="72"/>
      <c r="G96" s="96">
        <f>$M$7</f>
        <v>0.1</v>
      </c>
      <c r="H96" s="125">
        <f>H95*G96</f>
        <v>25461.7</v>
      </c>
    </row>
    <row r="97" spans="3:9" ht="15.75" thickBot="1">
      <c r="C97" s="131" t="s">
        <v>1233</v>
      </c>
      <c r="D97" s="132" t="s">
        <v>1234</v>
      </c>
      <c r="E97" s="133"/>
      <c r="F97" s="133"/>
      <c r="G97" s="156"/>
      <c r="H97" s="135">
        <f>SUM(H95:H96)</f>
        <v>280078.7</v>
      </c>
    </row>
    <row r="98" spans="3:9" ht="15.75" thickTop="1">
      <c r="C98" s="90"/>
      <c r="D98" s="91"/>
      <c r="E98" s="91"/>
      <c r="F98" s="91"/>
      <c r="G98" s="91"/>
      <c r="H98" s="92"/>
    </row>
    <row r="99" spans="3:9" ht="30" customHeight="1" thickBot="1">
      <c r="C99" s="521" t="s">
        <v>1426</v>
      </c>
      <c r="D99" s="521"/>
      <c r="E99" s="521"/>
      <c r="F99" s="521"/>
      <c r="G99" s="521"/>
      <c r="H99" s="521"/>
      <c r="I99" s="57">
        <f>ROUNDDOWN(H116,-2)</f>
        <v>134000</v>
      </c>
    </row>
    <row r="100" spans="3:9" ht="29.25" thickTop="1">
      <c r="C100" s="120" t="s">
        <v>1207</v>
      </c>
      <c r="D100" s="121" t="s">
        <v>1208</v>
      </c>
      <c r="E100" s="121" t="s">
        <v>1209</v>
      </c>
      <c r="F100" s="121" t="s">
        <v>1210</v>
      </c>
      <c r="G100" s="121" t="s">
        <v>1211</v>
      </c>
      <c r="H100" s="122" t="s">
        <v>1212</v>
      </c>
    </row>
    <row r="101" spans="3:9">
      <c r="C101" s="142" t="s">
        <v>1213</v>
      </c>
      <c r="D101" s="60" t="s">
        <v>1214</v>
      </c>
      <c r="E101" s="74"/>
      <c r="F101" s="74"/>
      <c r="G101" s="74"/>
      <c r="H101" s="147"/>
    </row>
    <row r="102" spans="3:9">
      <c r="C102" s="143">
        <v>1</v>
      </c>
      <c r="D102" s="60" t="s">
        <v>5</v>
      </c>
      <c r="E102" s="73" t="s">
        <v>6</v>
      </c>
      <c r="F102" s="94">
        <v>0.2</v>
      </c>
      <c r="G102" s="65">
        <f>VLOOKUP(D102,upahbahan,3,FALSE)</f>
        <v>100000</v>
      </c>
      <c r="H102" s="125">
        <f>F102*G102</f>
        <v>20000</v>
      </c>
    </row>
    <row r="103" spans="3:9">
      <c r="C103" s="143">
        <v>2</v>
      </c>
      <c r="D103" s="60" t="s">
        <v>7</v>
      </c>
      <c r="E103" s="73" t="s">
        <v>6</v>
      </c>
      <c r="F103" s="94">
        <v>0.1</v>
      </c>
      <c r="G103" s="65">
        <f>VLOOKUP(D103,upahbahan,3,FALSE)</f>
        <v>145000</v>
      </c>
      <c r="H103" s="125">
        <f>F103*G103</f>
        <v>14500</v>
      </c>
    </row>
    <row r="104" spans="3:9">
      <c r="C104" s="143">
        <v>3</v>
      </c>
      <c r="D104" s="60" t="s">
        <v>18</v>
      </c>
      <c r="E104" s="73" t="s">
        <v>6</v>
      </c>
      <c r="F104" s="94">
        <v>0.01</v>
      </c>
      <c r="G104" s="65">
        <f>VLOOKUP(D104,upahbahan,3,FALSE)</f>
        <v>150000</v>
      </c>
      <c r="H104" s="125">
        <f>F104*G104</f>
        <v>1500</v>
      </c>
    </row>
    <row r="105" spans="3:9">
      <c r="C105" s="143">
        <v>4</v>
      </c>
      <c r="D105" s="60" t="s">
        <v>19</v>
      </c>
      <c r="E105" s="73" t="s">
        <v>6</v>
      </c>
      <c r="F105" s="94">
        <v>3.3E-3</v>
      </c>
      <c r="G105" s="65">
        <f>VLOOKUP(D105,upahbahan,3,FALSE)</f>
        <v>145000</v>
      </c>
      <c r="H105" s="125">
        <f>F105*G105</f>
        <v>478.5</v>
      </c>
    </row>
    <row r="106" spans="3:9">
      <c r="C106" s="145" t="s">
        <v>1421</v>
      </c>
      <c r="D106" s="81"/>
      <c r="E106" s="81"/>
      <c r="F106" s="81"/>
      <c r="G106" s="163"/>
      <c r="H106" s="125">
        <f>SUM(H102:H105)</f>
        <v>36478.5</v>
      </c>
    </row>
    <row r="107" spans="3:9">
      <c r="C107" s="142" t="s">
        <v>1221</v>
      </c>
      <c r="D107" s="60" t="s">
        <v>1222</v>
      </c>
      <c r="E107" s="74"/>
      <c r="F107" s="74"/>
      <c r="G107" s="74"/>
      <c r="H107" s="147"/>
    </row>
    <row r="108" spans="3:9">
      <c r="C108" s="143">
        <v>1</v>
      </c>
      <c r="D108" s="60" t="s">
        <v>43</v>
      </c>
      <c r="E108" s="73" t="s">
        <v>44</v>
      </c>
      <c r="F108" s="75">
        <v>71.91</v>
      </c>
      <c r="G108" s="65">
        <f>VLOOKUP(D108,upahbahan,3,FALSE)</f>
        <v>700</v>
      </c>
      <c r="H108" s="125">
        <f>F108*G108</f>
        <v>50337</v>
      </c>
    </row>
    <row r="109" spans="3:9">
      <c r="C109" s="143">
        <v>2</v>
      </c>
      <c r="D109" s="60" t="s">
        <v>568</v>
      </c>
      <c r="E109" s="73" t="s">
        <v>66</v>
      </c>
      <c r="F109" s="75">
        <v>18.95</v>
      </c>
      <c r="G109" s="65">
        <f>VLOOKUP(D109,upahbahan,3,FALSE)</f>
        <v>1300</v>
      </c>
      <c r="H109" s="125">
        <f>F109*G109</f>
        <v>24635</v>
      </c>
    </row>
    <row r="110" spans="3:9">
      <c r="C110" s="143">
        <v>3</v>
      </c>
      <c r="D110" s="78" t="s">
        <v>86</v>
      </c>
      <c r="E110" s="73" t="s">
        <v>42</v>
      </c>
      <c r="F110" s="75">
        <v>3.7999999999999999E-2</v>
      </c>
      <c r="G110" s="65">
        <f>VLOOKUP(D110,upahbahan,3,FALSE)</f>
        <v>275000</v>
      </c>
      <c r="H110" s="125">
        <f>F110*G110</f>
        <v>10450</v>
      </c>
    </row>
    <row r="111" spans="3:9">
      <c r="C111" s="145" t="s">
        <v>1226</v>
      </c>
      <c r="D111" s="81"/>
      <c r="E111" s="81"/>
      <c r="F111" s="81"/>
      <c r="G111" s="163"/>
      <c r="H111" s="125">
        <f>SUM(H108:H110)</f>
        <v>85422</v>
      </c>
    </row>
    <row r="112" spans="3:9">
      <c r="C112" s="153" t="s">
        <v>1227</v>
      </c>
      <c r="D112" s="60" t="s">
        <v>1228</v>
      </c>
      <c r="E112" s="74"/>
      <c r="F112" s="74"/>
      <c r="G112" s="74"/>
      <c r="H112" s="147"/>
    </row>
    <row r="113" spans="3:9">
      <c r="C113" s="145" t="s">
        <v>1229</v>
      </c>
      <c r="D113" s="81"/>
      <c r="E113" s="81"/>
      <c r="F113" s="81"/>
      <c r="G113" s="163"/>
      <c r="H113" s="154">
        <v>0</v>
      </c>
    </row>
    <row r="114" spans="3:9">
      <c r="C114" s="123" t="s">
        <v>1230</v>
      </c>
      <c r="D114" s="70" t="s">
        <v>1231</v>
      </c>
      <c r="E114" s="71"/>
      <c r="F114" s="71"/>
      <c r="G114" s="72"/>
      <c r="H114" s="125">
        <f>H113+H111+H106</f>
        <v>121900.5</v>
      </c>
    </row>
    <row r="115" spans="3:9">
      <c r="C115" s="123" t="s">
        <v>1232</v>
      </c>
      <c r="D115" s="70" t="s">
        <v>1410</v>
      </c>
      <c r="E115" s="71"/>
      <c r="F115" s="72"/>
      <c r="G115" s="96">
        <f>$M$7</f>
        <v>0.1</v>
      </c>
      <c r="H115" s="125">
        <f>H114*G115</f>
        <v>12190.050000000001</v>
      </c>
    </row>
    <row r="116" spans="3:9" ht="15.75" thickBot="1">
      <c r="C116" s="131" t="s">
        <v>1233</v>
      </c>
      <c r="D116" s="132" t="s">
        <v>1234</v>
      </c>
      <c r="E116" s="133"/>
      <c r="F116" s="133"/>
      <c r="G116" s="156"/>
      <c r="H116" s="135">
        <f>SUM(H114:H115)</f>
        <v>134090.54999999999</v>
      </c>
    </row>
    <row r="117" spans="3:9" ht="15" thickTop="1"/>
    <row r="118" spans="3:9" ht="31.9" customHeight="1" thickBot="1">
      <c r="C118" s="521" t="s">
        <v>1427</v>
      </c>
      <c r="D118" s="521"/>
      <c r="E118" s="521"/>
      <c r="F118" s="521"/>
      <c r="G118" s="521"/>
      <c r="H118" s="521"/>
      <c r="I118" s="57">
        <f>ROUNDDOWN(H135,-2)</f>
        <v>128100</v>
      </c>
    </row>
    <row r="119" spans="3:9" ht="29.25" thickTop="1">
      <c r="C119" s="120" t="s">
        <v>1207</v>
      </c>
      <c r="D119" s="121" t="s">
        <v>1208</v>
      </c>
      <c r="E119" s="121" t="s">
        <v>1209</v>
      </c>
      <c r="F119" s="121" t="s">
        <v>1210</v>
      </c>
      <c r="G119" s="121" t="s">
        <v>1211</v>
      </c>
      <c r="H119" s="122" t="s">
        <v>1212</v>
      </c>
    </row>
    <row r="120" spans="3:9">
      <c r="C120" s="142" t="s">
        <v>1213</v>
      </c>
      <c r="D120" s="60" t="s">
        <v>1214</v>
      </c>
      <c r="E120" s="74"/>
      <c r="F120" s="74"/>
      <c r="G120" s="74"/>
      <c r="H120" s="147"/>
    </row>
    <row r="121" spans="3:9">
      <c r="C121" s="143">
        <v>1</v>
      </c>
      <c r="D121" s="60" t="s">
        <v>5</v>
      </c>
      <c r="E121" s="73" t="s">
        <v>6</v>
      </c>
      <c r="F121" s="94">
        <v>0.2</v>
      </c>
      <c r="G121" s="65">
        <f>VLOOKUP(D121,upahbahan,3,FALSE)</f>
        <v>100000</v>
      </c>
      <c r="H121" s="125">
        <f>F121*G121</f>
        <v>20000</v>
      </c>
    </row>
    <row r="122" spans="3:9">
      <c r="C122" s="143">
        <v>2</v>
      </c>
      <c r="D122" s="60" t="s">
        <v>7</v>
      </c>
      <c r="E122" s="73" t="s">
        <v>6</v>
      </c>
      <c r="F122" s="94">
        <v>0.1</v>
      </c>
      <c r="G122" s="65">
        <f>VLOOKUP(D122,upahbahan,3,FALSE)</f>
        <v>145000</v>
      </c>
      <c r="H122" s="125">
        <f>F122*G122</f>
        <v>14500</v>
      </c>
    </row>
    <row r="123" spans="3:9">
      <c r="C123" s="143">
        <v>3</v>
      </c>
      <c r="D123" s="60" t="s">
        <v>18</v>
      </c>
      <c r="E123" s="73" t="s">
        <v>6</v>
      </c>
      <c r="F123" s="94">
        <v>0.01</v>
      </c>
      <c r="G123" s="65">
        <f>VLOOKUP(D123,upahbahan,3,FALSE)</f>
        <v>150000</v>
      </c>
      <c r="H123" s="125">
        <f>F123*G123</f>
        <v>1500</v>
      </c>
    </row>
    <row r="124" spans="3:9">
      <c r="C124" s="143">
        <v>4</v>
      </c>
      <c r="D124" s="60" t="s">
        <v>19</v>
      </c>
      <c r="E124" s="73" t="s">
        <v>6</v>
      </c>
      <c r="F124" s="94">
        <v>3.3E-3</v>
      </c>
      <c r="G124" s="65">
        <f>VLOOKUP(D124,upahbahan,3,FALSE)</f>
        <v>145000</v>
      </c>
      <c r="H124" s="125">
        <f>F124*G124</f>
        <v>478.5</v>
      </c>
    </row>
    <row r="125" spans="3:9">
      <c r="C125" s="145" t="s">
        <v>1421</v>
      </c>
      <c r="D125" s="81"/>
      <c r="E125" s="81"/>
      <c r="F125" s="81"/>
      <c r="G125" s="163"/>
      <c r="H125" s="125">
        <f>SUM(H121:H124)</f>
        <v>36478.5</v>
      </c>
    </row>
    <row r="126" spans="3:9">
      <c r="C126" s="142" t="s">
        <v>1221</v>
      </c>
      <c r="D126" s="60" t="s">
        <v>1222</v>
      </c>
      <c r="E126" s="74"/>
      <c r="F126" s="74"/>
      <c r="G126" s="74"/>
      <c r="H126" s="147"/>
    </row>
    <row r="127" spans="3:9">
      <c r="C127" s="143">
        <v>1</v>
      </c>
      <c r="D127" s="60" t="s">
        <v>43</v>
      </c>
      <c r="E127" s="73" t="s">
        <v>44</v>
      </c>
      <c r="F127" s="75">
        <v>71.91</v>
      </c>
      <c r="G127" s="65">
        <f>VLOOKUP(D127,upahbahan,3,FALSE)</f>
        <v>700</v>
      </c>
      <c r="H127" s="125">
        <f>F127*G127</f>
        <v>50337</v>
      </c>
    </row>
    <row r="128" spans="3:9">
      <c r="C128" s="143">
        <v>2</v>
      </c>
      <c r="D128" s="60" t="s">
        <v>568</v>
      </c>
      <c r="E128" s="73" t="s">
        <v>66</v>
      </c>
      <c r="F128" s="75">
        <v>14.37</v>
      </c>
      <c r="G128" s="65">
        <f>VLOOKUP(D128,upahbahan,3,FALSE)</f>
        <v>1300</v>
      </c>
      <c r="H128" s="125">
        <f>F128*G128</f>
        <v>18681</v>
      </c>
    </row>
    <row r="129" spans="3:9">
      <c r="C129" s="143">
        <v>3</v>
      </c>
      <c r="D129" s="78" t="s">
        <v>86</v>
      </c>
      <c r="E129" s="73" t="s">
        <v>42</v>
      </c>
      <c r="F129" s="75">
        <v>0.04</v>
      </c>
      <c r="G129" s="65">
        <f>VLOOKUP(D129,upahbahan,3,FALSE)</f>
        <v>275000</v>
      </c>
      <c r="H129" s="125">
        <f>F129*G129</f>
        <v>11000</v>
      </c>
    </row>
    <row r="130" spans="3:9">
      <c r="C130" s="145" t="s">
        <v>1226</v>
      </c>
      <c r="D130" s="81"/>
      <c r="E130" s="81"/>
      <c r="F130" s="81"/>
      <c r="G130" s="163"/>
      <c r="H130" s="125">
        <f>SUM(H127:H129)</f>
        <v>80018</v>
      </c>
    </row>
    <row r="131" spans="3:9">
      <c r="C131" s="153" t="s">
        <v>1227</v>
      </c>
      <c r="D131" s="60" t="s">
        <v>1228</v>
      </c>
      <c r="E131" s="74"/>
      <c r="F131" s="74"/>
      <c r="G131" s="74"/>
      <c r="H131" s="147"/>
    </row>
    <row r="132" spans="3:9">
      <c r="C132" s="145" t="s">
        <v>1229</v>
      </c>
      <c r="D132" s="81"/>
      <c r="E132" s="81"/>
      <c r="F132" s="81"/>
      <c r="G132" s="163"/>
      <c r="H132" s="154">
        <v>0</v>
      </c>
    </row>
    <row r="133" spans="3:9">
      <c r="C133" s="123" t="s">
        <v>1230</v>
      </c>
      <c r="D133" s="70" t="s">
        <v>1231</v>
      </c>
      <c r="E133" s="71"/>
      <c r="F133" s="71"/>
      <c r="G133" s="72"/>
      <c r="H133" s="125">
        <f>H132+H130+H125</f>
        <v>116496.5</v>
      </c>
    </row>
    <row r="134" spans="3:9">
      <c r="C134" s="123" t="s">
        <v>1232</v>
      </c>
      <c r="D134" s="70" t="s">
        <v>1410</v>
      </c>
      <c r="E134" s="71"/>
      <c r="F134" s="72"/>
      <c r="G134" s="96">
        <f>$M$7</f>
        <v>0.1</v>
      </c>
      <c r="H134" s="125">
        <f>H133*G134</f>
        <v>11649.650000000001</v>
      </c>
    </row>
    <row r="135" spans="3:9" ht="15.75" thickBot="1">
      <c r="C135" s="131" t="s">
        <v>1233</v>
      </c>
      <c r="D135" s="132" t="s">
        <v>1234</v>
      </c>
      <c r="E135" s="133"/>
      <c r="F135" s="133"/>
      <c r="G135" s="156"/>
      <c r="H135" s="135">
        <f>SUM(H133:H134)</f>
        <v>128146.15</v>
      </c>
    </row>
    <row r="136" spans="3:9" ht="15.75" thickTop="1">
      <c r="C136" s="90"/>
      <c r="D136" s="91"/>
      <c r="E136" s="91"/>
      <c r="F136" s="91"/>
      <c r="G136" s="91"/>
      <c r="H136" s="92"/>
    </row>
    <row r="137" spans="3:9" ht="28.9" customHeight="1" thickBot="1">
      <c r="C137" s="521" t="s">
        <v>1428</v>
      </c>
      <c r="D137" s="521"/>
      <c r="E137" s="521"/>
      <c r="F137" s="521"/>
      <c r="G137" s="521"/>
      <c r="H137" s="521"/>
      <c r="I137" s="57">
        <f>ROUNDDOWN(H154,-2)</f>
        <v>124900</v>
      </c>
    </row>
    <row r="138" spans="3:9" ht="29.25" thickTop="1">
      <c r="C138" s="120" t="s">
        <v>1207</v>
      </c>
      <c r="D138" s="121" t="s">
        <v>1208</v>
      </c>
      <c r="E138" s="121" t="s">
        <v>1209</v>
      </c>
      <c r="F138" s="121" t="s">
        <v>1210</v>
      </c>
      <c r="G138" s="121" t="s">
        <v>1211</v>
      </c>
      <c r="H138" s="122" t="s">
        <v>1212</v>
      </c>
    </row>
    <row r="139" spans="3:9">
      <c r="C139" s="142" t="s">
        <v>1213</v>
      </c>
      <c r="D139" s="60" t="s">
        <v>1214</v>
      </c>
      <c r="E139" s="74"/>
      <c r="F139" s="74"/>
      <c r="G139" s="74"/>
      <c r="H139" s="147"/>
    </row>
    <row r="140" spans="3:9">
      <c r="C140" s="143">
        <v>1</v>
      </c>
      <c r="D140" s="60" t="s">
        <v>5</v>
      </c>
      <c r="E140" s="73" t="s">
        <v>6</v>
      </c>
      <c r="F140" s="94">
        <v>0.2</v>
      </c>
      <c r="G140" s="65">
        <f>VLOOKUP(D140,upahbahan,3,FALSE)</f>
        <v>100000</v>
      </c>
      <c r="H140" s="125">
        <f>F140*G140</f>
        <v>20000</v>
      </c>
    </row>
    <row r="141" spans="3:9">
      <c r="C141" s="143">
        <v>2</v>
      </c>
      <c r="D141" s="60" t="s">
        <v>7</v>
      </c>
      <c r="E141" s="73" t="s">
        <v>6</v>
      </c>
      <c r="F141" s="94">
        <v>0.1</v>
      </c>
      <c r="G141" s="65">
        <f>VLOOKUP(D141,upahbahan,3,FALSE)</f>
        <v>145000</v>
      </c>
      <c r="H141" s="125">
        <f>F141*G141</f>
        <v>14500</v>
      </c>
    </row>
    <row r="142" spans="3:9">
      <c r="C142" s="143">
        <v>3</v>
      </c>
      <c r="D142" s="60" t="s">
        <v>18</v>
      </c>
      <c r="E142" s="73" t="s">
        <v>6</v>
      </c>
      <c r="F142" s="94">
        <v>0.01</v>
      </c>
      <c r="G142" s="65">
        <f>VLOOKUP(D142,upahbahan,3,FALSE)</f>
        <v>150000</v>
      </c>
      <c r="H142" s="125">
        <f>F142*G142</f>
        <v>1500</v>
      </c>
    </row>
    <row r="143" spans="3:9">
      <c r="C143" s="143">
        <v>4</v>
      </c>
      <c r="D143" s="60" t="s">
        <v>19</v>
      </c>
      <c r="E143" s="73" t="s">
        <v>6</v>
      </c>
      <c r="F143" s="94">
        <v>3.3E-3</v>
      </c>
      <c r="G143" s="65">
        <f>VLOOKUP(D143,upahbahan,3,FALSE)</f>
        <v>145000</v>
      </c>
      <c r="H143" s="125">
        <f>F143*G143</f>
        <v>478.5</v>
      </c>
    </row>
    <row r="144" spans="3:9">
      <c r="C144" s="145" t="s">
        <v>1421</v>
      </c>
      <c r="D144" s="81"/>
      <c r="E144" s="81"/>
      <c r="F144" s="81"/>
      <c r="G144" s="163"/>
      <c r="H144" s="125">
        <f>SUM(H140:H143)</f>
        <v>36478.5</v>
      </c>
    </row>
    <row r="145" spans="3:9">
      <c r="C145" s="142" t="s">
        <v>1221</v>
      </c>
      <c r="D145" s="60" t="s">
        <v>1222</v>
      </c>
      <c r="E145" s="74"/>
      <c r="F145" s="74"/>
      <c r="G145" s="74"/>
      <c r="H145" s="147"/>
    </row>
    <row r="146" spans="3:9">
      <c r="C146" s="143">
        <v>1</v>
      </c>
      <c r="D146" s="60" t="s">
        <v>43</v>
      </c>
      <c r="E146" s="73" t="s">
        <v>44</v>
      </c>
      <c r="F146" s="75">
        <v>71.91</v>
      </c>
      <c r="G146" s="65">
        <f>VLOOKUP(D146,upahbahan,3,FALSE)</f>
        <v>700</v>
      </c>
      <c r="H146" s="125">
        <f>F146*G146</f>
        <v>50337</v>
      </c>
    </row>
    <row r="147" spans="3:9">
      <c r="C147" s="143">
        <v>2</v>
      </c>
      <c r="D147" s="60" t="s">
        <v>568</v>
      </c>
      <c r="E147" s="73" t="s">
        <v>66</v>
      </c>
      <c r="F147" s="75">
        <v>11.5</v>
      </c>
      <c r="G147" s="65">
        <f>VLOOKUP(D147,upahbahan,3,FALSE)</f>
        <v>1300</v>
      </c>
      <c r="H147" s="125">
        <f>F147*G147</f>
        <v>14950</v>
      </c>
    </row>
    <row r="148" spans="3:9">
      <c r="C148" s="143">
        <v>3</v>
      </c>
      <c r="D148" s="78" t="s">
        <v>86</v>
      </c>
      <c r="E148" s="73" t="s">
        <v>42</v>
      </c>
      <c r="F148" s="75">
        <v>4.2999999999999997E-2</v>
      </c>
      <c r="G148" s="65">
        <f>VLOOKUP(D148,upahbahan,3,FALSE)</f>
        <v>275000</v>
      </c>
      <c r="H148" s="125">
        <f>F148*G148</f>
        <v>11824.999999999998</v>
      </c>
    </row>
    <row r="149" spans="3:9">
      <c r="C149" s="145" t="s">
        <v>1226</v>
      </c>
      <c r="D149" s="81"/>
      <c r="E149" s="81"/>
      <c r="F149" s="81"/>
      <c r="G149" s="163"/>
      <c r="H149" s="125">
        <f>SUM(H146:H148)</f>
        <v>77112</v>
      </c>
    </row>
    <row r="150" spans="3:9">
      <c r="C150" s="153" t="s">
        <v>1227</v>
      </c>
      <c r="D150" s="60" t="s">
        <v>1228</v>
      </c>
      <c r="E150" s="74"/>
      <c r="F150" s="74"/>
      <c r="G150" s="74"/>
      <c r="H150" s="147"/>
    </row>
    <row r="151" spans="3:9">
      <c r="C151" s="145" t="s">
        <v>1229</v>
      </c>
      <c r="D151" s="81"/>
      <c r="E151" s="81"/>
      <c r="F151" s="81"/>
      <c r="G151" s="163"/>
      <c r="H151" s="154">
        <v>0</v>
      </c>
    </row>
    <row r="152" spans="3:9">
      <c r="C152" s="123" t="s">
        <v>1230</v>
      </c>
      <c r="D152" s="70" t="s">
        <v>1231</v>
      </c>
      <c r="E152" s="71"/>
      <c r="F152" s="71"/>
      <c r="G152" s="72"/>
      <c r="H152" s="125">
        <f>H151+H149+H144</f>
        <v>113590.5</v>
      </c>
    </row>
    <row r="153" spans="3:9">
      <c r="C153" s="123" t="s">
        <v>1232</v>
      </c>
      <c r="D153" s="70" t="s">
        <v>1410</v>
      </c>
      <c r="E153" s="71"/>
      <c r="F153" s="72"/>
      <c r="G153" s="96">
        <f>$M$7</f>
        <v>0.1</v>
      </c>
      <c r="H153" s="125">
        <f>H152*G153</f>
        <v>11359.050000000001</v>
      </c>
    </row>
    <row r="154" spans="3:9" ht="15.75" thickBot="1">
      <c r="C154" s="131" t="s">
        <v>1233</v>
      </c>
      <c r="D154" s="132" t="s">
        <v>1234</v>
      </c>
      <c r="E154" s="133"/>
      <c r="F154" s="133"/>
      <c r="G154" s="156"/>
      <c r="H154" s="135">
        <f>SUM(H152:H153)</f>
        <v>124949.55</v>
      </c>
    </row>
    <row r="155" spans="3:9" ht="15.75" thickTop="1">
      <c r="C155" s="90"/>
      <c r="D155" s="91"/>
      <c r="E155" s="91"/>
      <c r="F155" s="91"/>
      <c r="G155" s="91"/>
      <c r="H155" s="92"/>
    </row>
    <row r="156" spans="3:9" ht="30" customHeight="1" thickBot="1">
      <c r="C156" s="519" t="s">
        <v>1429</v>
      </c>
      <c r="D156" s="519"/>
      <c r="E156" s="519"/>
      <c r="F156" s="519"/>
      <c r="G156" s="519"/>
      <c r="H156" s="519"/>
      <c r="I156" s="57">
        <f>ROUNDDOWN(H173,-2)</f>
        <v>122900</v>
      </c>
    </row>
    <row r="157" spans="3:9" ht="29.25" thickTop="1">
      <c r="C157" s="120" t="s">
        <v>1207</v>
      </c>
      <c r="D157" s="121" t="s">
        <v>1208</v>
      </c>
      <c r="E157" s="121" t="s">
        <v>1209</v>
      </c>
      <c r="F157" s="121" t="s">
        <v>1210</v>
      </c>
      <c r="G157" s="121" t="s">
        <v>1211</v>
      </c>
      <c r="H157" s="122" t="s">
        <v>1212</v>
      </c>
    </row>
    <row r="158" spans="3:9">
      <c r="C158" s="142" t="s">
        <v>1213</v>
      </c>
      <c r="D158" s="60" t="s">
        <v>1214</v>
      </c>
      <c r="E158" s="74"/>
      <c r="F158" s="74"/>
      <c r="G158" s="74"/>
      <c r="H158" s="147"/>
    </row>
    <row r="159" spans="3:9">
      <c r="C159" s="143">
        <v>1</v>
      </c>
      <c r="D159" s="60" t="s">
        <v>5</v>
      </c>
      <c r="E159" s="73" t="s">
        <v>6</v>
      </c>
      <c r="F159" s="94">
        <v>0.2</v>
      </c>
      <c r="G159" s="65">
        <f>VLOOKUP(D159,upahbahan,3,FALSE)</f>
        <v>100000</v>
      </c>
      <c r="H159" s="125">
        <f>F159*G159</f>
        <v>20000</v>
      </c>
    </row>
    <row r="160" spans="3:9">
      <c r="C160" s="143">
        <v>2</v>
      </c>
      <c r="D160" s="60" t="s">
        <v>7</v>
      </c>
      <c r="E160" s="73" t="s">
        <v>6</v>
      </c>
      <c r="F160" s="94">
        <v>0.1</v>
      </c>
      <c r="G160" s="65">
        <f>VLOOKUP(D160,upahbahan,3,FALSE)</f>
        <v>145000</v>
      </c>
      <c r="H160" s="125">
        <f>F160*G160</f>
        <v>14500</v>
      </c>
    </row>
    <row r="161" spans="3:9">
      <c r="C161" s="143">
        <v>3</v>
      </c>
      <c r="D161" s="60" t="s">
        <v>18</v>
      </c>
      <c r="E161" s="73" t="s">
        <v>6</v>
      </c>
      <c r="F161" s="94">
        <v>0.01</v>
      </c>
      <c r="G161" s="65">
        <f>VLOOKUP(D161,upahbahan,3,FALSE)</f>
        <v>150000</v>
      </c>
      <c r="H161" s="125">
        <f>F161*G161</f>
        <v>1500</v>
      </c>
    </row>
    <row r="162" spans="3:9">
      <c r="C162" s="143">
        <v>4</v>
      </c>
      <c r="D162" s="60" t="s">
        <v>19</v>
      </c>
      <c r="E162" s="73" t="s">
        <v>6</v>
      </c>
      <c r="F162" s="94">
        <v>3.3E-3</v>
      </c>
      <c r="G162" s="65">
        <f>VLOOKUP(D162,upahbahan,3,FALSE)</f>
        <v>145000</v>
      </c>
      <c r="H162" s="125">
        <f>F162*G162</f>
        <v>478.5</v>
      </c>
    </row>
    <row r="163" spans="3:9">
      <c r="C163" s="145" t="s">
        <v>1421</v>
      </c>
      <c r="D163" s="81"/>
      <c r="E163" s="81"/>
      <c r="F163" s="81"/>
      <c r="G163" s="163"/>
      <c r="H163" s="125">
        <f>SUM(H159:H162)</f>
        <v>36478.5</v>
      </c>
    </row>
    <row r="164" spans="3:9">
      <c r="C164" s="142" t="s">
        <v>1221</v>
      </c>
      <c r="D164" s="60" t="s">
        <v>1222</v>
      </c>
      <c r="E164" s="74"/>
      <c r="F164" s="74"/>
      <c r="G164" s="74"/>
      <c r="H164" s="147"/>
    </row>
    <row r="165" spans="3:9">
      <c r="C165" s="143">
        <v>1</v>
      </c>
      <c r="D165" s="60" t="s">
        <v>43</v>
      </c>
      <c r="E165" s="73" t="s">
        <v>44</v>
      </c>
      <c r="F165" s="75">
        <v>71.91</v>
      </c>
      <c r="G165" s="65">
        <f>VLOOKUP(D165,upahbahan,3,FALSE)</f>
        <v>700</v>
      </c>
      <c r="H165" s="125">
        <f>F165*G165</f>
        <v>50337</v>
      </c>
    </row>
    <row r="166" spans="3:9">
      <c r="C166" s="143">
        <v>2</v>
      </c>
      <c r="D166" s="60" t="s">
        <v>568</v>
      </c>
      <c r="E166" s="73" t="s">
        <v>66</v>
      </c>
      <c r="F166" s="75">
        <v>9.68</v>
      </c>
      <c r="G166" s="65">
        <f>VLOOKUP(D166,upahbahan,3,FALSE)</f>
        <v>1300</v>
      </c>
      <c r="H166" s="125">
        <f>F166*G166</f>
        <v>12584</v>
      </c>
    </row>
    <row r="167" spans="3:9">
      <c r="C167" s="143">
        <v>3</v>
      </c>
      <c r="D167" s="78" t="s">
        <v>86</v>
      </c>
      <c r="E167" s="73" t="s">
        <v>42</v>
      </c>
      <c r="F167" s="75">
        <v>4.4999999999999998E-2</v>
      </c>
      <c r="G167" s="65">
        <f>VLOOKUP(D167,upahbahan,3,FALSE)</f>
        <v>275000</v>
      </c>
      <c r="H167" s="125">
        <f>F167*G167</f>
        <v>12375</v>
      </c>
    </row>
    <row r="168" spans="3:9">
      <c r="C168" s="145" t="s">
        <v>1226</v>
      </c>
      <c r="D168" s="81"/>
      <c r="E168" s="81"/>
      <c r="F168" s="81"/>
      <c r="G168" s="163"/>
      <c r="H168" s="125">
        <f>SUM(H165:H167)</f>
        <v>75296</v>
      </c>
    </row>
    <row r="169" spans="3:9">
      <c r="C169" s="153" t="s">
        <v>1227</v>
      </c>
      <c r="D169" s="60" t="s">
        <v>1228</v>
      </c>
      <c r="E169" s="74"/>
      <c r="F169" s="74"/>
      <c r="G169" s="74"/>
      <c r="H169" s="147"/>
    </row>
    <row r="170" spans="3:9">
      <c r="C170" s="145" t="s">
        <v>1229</v>
      </c>
      <c r="D170" s="81"/>
      <c r="E170" s="81"/>
      <c r="F170" s="81"/>
      <c r="G170" s="163"/>
      <c r="H170" s="154">
        <v>0</v>
      </c>
    </row>
    <row r="171" spans="3:9">
      <c r="C171" s="123" t="s">
        <v>1230</v>
      </c>
      <c r="D171" s="70" t="s">
        <v>1231</v>
      </c>
      <c r="E171" s="71"/>
      <c r="F171" s="71"/>
      <c r="G171" s="72"/>
      <c r="H171" s="125">
        <f>H170+H168+H163</f>
        <v>111774.5</v>
      </c>
    </row>
    <row r="172" spans="3:9">
      <c r="C172" s="123" t="s">
        <v>1232</v>
      </c>
      <c r="D172" s="70" t="s">
        <v>1410</v>
      </c>
      <c r="E172" s="71"/>
      <c r="F172" s="72"/>
      <c r="G172" s="96">
        <f>$M$7</f>
        <v>0.1</v>
      </c>
      <c r="H172" s="125">
        <f>H171*G172</f>
        <v>11177.45</v>
      </c>
    </row>
    <row r="173" spans="3:9" ht="15.75" thickBot="1">
      <c r="C173" s="131" t="s">
        <v>1233</v>
      </c>
      <c r="D173" s="132" t="s">
        <v>1234</v>
      </c>
      <c r="E173" s="133"/>
      <c r="F173" s="133"/>
      <c r="G173" s="156"/>
      <c r="H173" s="135">
        <f>SUM(H171:H172)</f>
        <v>122951.95</v>
      </c>
    </row>
    <row r="174" spans="3:9" ht="15.75" thickTop="1">
      <c r="C174" s="90"/>
      <c r="D174" s="91"/>
      <c r="E174" s="91"/>
      <c r="F174" s="91"/>
      <c r="G174" s="91"/>
      <c r="H174" s="92"/>
    </row>
    <row r="175" spans="3:9" ht="15.75" thickBot="1">
      <c r="C175" s="237" t="s">
        <v>1430</v>
      </c>
      <c r="D175" s="238"/>
      <c r="E175" s="238"/>
      <c r="F175" s="238"/>
      <c r="G175" s="238"/>
      <c r="H175" s="238"/>
      <c r="I175" s="57">
        <f>ROUNDDOWN(H192,-2)</f>
        <v>122200</v>
      </c>
    </row>
    <row r="176" spans="3:9" ht="29.25" thickTop="1">
      <c r="C176" s="120" t="s">
        <v>1207</v>
      </c>
      <c r="D176" s="121" t="s">
        <v>1208</v>
      </c>
      <c r="E176" s="121" t="s">
        <v>1209</v>
      </c>
      <c r="F176" s="121" t="s">
        <v>1210</v>
      </c>
      <c r="G176" s="121" t="s">
        <v>1211</v>
      </c>
      <c r="H176" s="122" t="s">
        <v>1212</v>
      </c>
    </row>
    <row r="177" spans="3:8">
      <c r="C177" s="142" t="s">
        <v>1213</v>
      </c>
      <c r="D177" s="60" t="s">
        <v>1214</v>
      </c>
      <c r="E177" s="74"/>
      <c r="F177" s="74"/>
      <c r="G177" s="74"/>
      <c r="H177" s="147"/>
    </row>
    <row r="178" spans="3:8">
      <c r="C178" s="143">
        <v>1</v>
      </c>
      <c r="D178" s="60" t="s">
        <v>5</v>
      </c>
      <c r="E178" s="73" t="s">
        <v>6</v>
      </c>
      <c r="F178" s="94">
        <v>0.2</v>
      </c>
      <c r="G178" s="65">
        <f>VLOOKUP(D178,upahbahan,3,FALSE)</f>
        <v>100000</v>
      </c>
      <c r="H178" s="125">
        <f>F178*G178</f>
        <v>20000</v>
      </c>
    </row>
    <row r="179" spans="3:8">
      <c r="C179" s="143">
        <v>2</v>
      </c>
      <c r="D179" s="60" t="s">
        <v>7</v>
      </c>
      <c r="E179" s="73" t="s">
        <v>6</v>
      </c>
      <c r="F179" s="94">
        <v>0.1</v>
      </c>
      <c r="G179" s="65">
        <f>VLOOKUP(D179,upahbahan,3,FALSE)</f>
        <v>145000</v>
      </c>
      <c r="H179" s="125">
        <f>F179*G179</f>
        <v>14500</v>
      </c>
    </row>
    <row r="180" spans="3:8">
      <c r="C180" s="143">
        <v>3</v>
      </c>
      <c r="D180" s="60" t="s">
        <v>18</v>
      </c>
      <c r="E180" s="73" t="s">
        <v>6</v>
      </c>
      <c r="F180" s="94">
        <v>0.01</v>
      </c>
      <c r="G180" s="65">
        <f>VLOOKUP(D180,upahbahan,3,FALSE)</f>
        <v>150000</v>
      </c>
      <c r="H180" s="125">
        <f>F180*G180</f>
        <v>1500</v>
      </c>
    </row>
    <row r="181" spans="3:8">
      <c r="C181" s="143">
        <v>4</v>
      </c>
      <c r="D181" s="60" t="s">
        <v>19</v>
      </c>
      <c r="E181" s="73" t="s">
        <v>6</v>
      </c>
      <c r="F181" s="94">
        <v>3.3E-3</v>
      </c>
      <c r="G181" s="65">
        <f>VLOOKUP(D181,upahbahan,3,FALSE)</f>
        <v>145000</v>
      </c>
      <c r="H181" s="125">
        <f>F181*G181</f>
        <v>478.5</v>
      </c>
    </row>
    <row r="182" spans="3:8">
      <c r="C182" s="145" t="s">
        <v>1421</v>
      </c>
      <c r="D182" s="81"/>
      <c r="E182" s="81"/>
      <c r="F182" s="81"/>
      <c r="G182" s="163"/>
      <c r="H182" s="125">
        <f>SUM(H178:H181)</f>
        <v>36478.5</v>
      </c>
    </row>
    <row r="183" spans="3:8">
      <c r="C183" s="142" t="s">
        <v>1221</v>
      </c>
      <c r="D183" s="60" t="s">
        <v>1222</v>
      </c>
      <c r="E183" s="74"/>
      <c r="F183" s="74"/>
      <c r="G183" s="74"/>
      <c r="H183" s="147"/>
    </row>
    <row r="184" spans="3:8">
      <c r="C184" s="143">
        <v>1</v>
      </c>
      <c r="D184" s="60" t="s">
        <v>43</v>
      </c>
      <c r="E184" s="73" t="s">
        <v>44</v>
      </c>
      <c r="F184" s="75">
        <v>71.91</v>
      </c>
      <c r="G184" s="65">
        <f>VLOOKUP(D184,upahbahan,3,FALSE)</f>
        <v>700</v>
      </c>
      <c r="H184" s="125">
        <f>F184*G184</f>
        <v>50337</v>
      </c>
    </row>
    <row r="185" spans="3:8">
      <c r="C185" s="143">
        <v>2</v>
      </c>
      <c r="D185" s="60" t="s">
        <v>568</v>
      </c>
      <c r="E185" s="73" t="s">
        <v>66</v>
      </c>
      <c r="F185" s="75">
        <v>8.32</v>
      </c>
      <c r="G185" s="65">
        <f>VLOOKUP(D185,upahbahan,3,FALSE)</f>
        <v>1300</v>
      </c>
      <c r="H185" s="125">
        <f>F185*G185</f>
        <v>10816</v>
      </c>
    </row>
    <row r="186" spans="3:8">
      <c r="C186" s="143">
        <v>3</v>
      </c>
      <c r="D186" s="78" t="s">
        <v>86</v>
      </c>
      <c r="E186" s="73" t="s">
        <v>42</v>
      </c>
      <c r="F186" s="75">
        <v>4.9000000000000002E-2</v>
      </c>
      <c r="G186" s="65">
        <f>VLOOKUP(D186,upahbahan,3,FALSE)</f>
        <v>275000</v>
      </c>
      <c r="H186" s="125">
        <f>F186*G186</f>
        <v>13475</v>
      </c>
    </row>
    <row r="187" spans="3:8">
      <c r="C187" s="145" t="s">
        <v>1226</v>
      </c>
      <c r="D187" s="81"/>
      <c r="E187" s="81"/>
      <c r="F187" s="81"/>
      <c r="G187" s="163"/>
      <c r="H187" s="125">
        <f>SUM(H184:H186)</f>
        <v>74628</v>
      </c>
    </row>
    <row r="188" spans="3:8">
      <c r="C188" s="153" t="s">
        <v>1227</v>
      </c>
      <c r="D188" s="60" t="s">
        <v>1228</v>
      </c>
      <c r="E188" s="74"/>
      <c r="F188" s="74"/>
      <c r="G188" s="74"/>
      <c r="H188" s="147"/>
    </row>
    <row r="189" spans="3:8">
      <c r="C189" s="145" t="s">
        <v>1229</v>
      </c>
      <c r="D189" s="81"/>
      <c r="E189" s="81"/>
      <c r="F189" s="81"/>
      <c r="G189" s="163"/>
      <c r="H189" s="154">
        <v>0</v>
      </c>
    </row>
    <row r="190" spans="3:8">
      <c r="C190" s="123" t="s">
        <v>1230</v>
      </c>
      <c r="D190" s="70" t="s">
        <v>1231</v>
      </c>
      <c r="E190" s="71"/>
      <c r="F190" s="71"/>
      <c r="G190" s="72"/>
      <c r="H190" s="125">
        <f>H189+H187+H182</f>
        <v>111106.5</v>
      </c>
    </row>
    <row r="191" spans="3:8">
      <c r="C191" s="123" t="s">
        <v>1232</v>
      </c>
      <c r="D191" s="70" t="s">
        <v>1410</v>
      </c>
      <c r="E191" s="71"/>
      <c r="F191" s="72"/>
      <c r="G191" s="96">
        <f>$M$7</f>
        <v>0.1</v>
      </c>
      <c r="H191" s="125">
        <f>H190*G191</f>
        <v>11110.650000000001</v>
      </c>
    </row>
    <row r="192" spans="3:8" ht="15.75" thickBot="1">
      <c r="C192" s="131" t="s">
        <v>1233</v>
      </c>
      <c r="D192" s="132" t="s">
        <v>1234</v>
      </c>
      <c r="E192" s="133"/>
      <c r="F192" s="133"/>
      <c r="G192" s="156"/>
      <c r="H192" s="135">
        <f>SUM(H190:H191)</f>
        <v>122217.15</v>
      </c>
    </row>
    <row r="193" spans="3:9" ht="15.75" thickTop="1">
      <c r="C193" s="231"/>
      <c r="D193" s="522"/>
      <c r="E193" s="522"/>
      <c r="F193" s="522"/>
      <c r="G193" s="522"/>
      <c r="H193" s="522"/>
    </row>
    <row r="194" spans="3:9" ht="31.9" customHeight="1" thickBot="1">
      <c r="C194" s="519" t="s">
        <v>1431</v>
      </c>
      <c r="D194" s="519"/>
      <c r="E194" s="519"/>
      <c r="F194" s="519"/>
      <c r="G194" s="519"/>
      <c r="H194" s="519"/>
      <c r="I194" s="57">
        <f>ROUNDDOWN(H212,-2)</f>
        <v>342800</v>
      </c>
    </row>
    <row r="195" spans="3:9" ht="29.25" thickTop="1">
      <c r="C195" s="120" t="s">
        <v>1207</v>
      </c>
      <c r="D195" s="121" t="s">
        <v>1208</v>
      </c>
      <c r="E195" s="121" t="s">
        <v>1209</v>
      </c>
      <c r="F195" s="121" t="s">
        <v>1210</v>
      </c>
      <c r="G195" s="121" t="s">
        <v>1211</v>
      </c>
      <c r="H195" s="122" t="s">
        <v>1212</v>
      </c>
    </row>
    <row r="196" spans="3:9">
      <c r="C196" s="142" t="s">
        <v>1213</v>
      </c>
      <c r="D196" s="60" t="s">
        <v>1214</v>
      </c>
      <c r="E196" s="74"/>
      <c r="F196" s="74"/>
      <c r="G196" s="74"/>
      <c r="H196" s="147"/>
    </row>
    <row r="197" spans="3:9">
      <c r="C197" s="143">
        <v>1</v>
      </c>
      <c r="D197" s="60" t="s">
        <v>5</v>
      </c>
      <c r="E197" s="73" t="s">
        <v>6</v>
      </c>
      <c r="F197" s="184">
        <v>0.16669999999999999</v>
      </c>
      <c r="G197" s="65">
        <f>VLOOKUP(D197,upahbahan,3,FALSE)</f>
        <v>100000</v>
      </c>
      <c r="H197" s="125">
        <f>F197*G197</f>
        <v>16670</v>
      </c>
    </row>
    <row r="198" spans="3:9">
      <c r="C198" s="143">
        <v>2</v>
      </c>
      <c r="D198" s="60" t="s">
        <v>7</v>
      </c>
      <c r="E198" s="73" t="s">
        <v>6</v>
      </c>
      <c r="F198" s="184">
        <v>8.3299999999999999E-2</v>
      </c>
      <c r="G198" s="65">
        <f>VLOOKUP(D198,upahbahan,3,FALSE)</f>
        <v>145000</v>
      </c>
      <c r="H198" s="125">
        <f>F198*G198</f>
        <v>12078.5</v>
      </c>
    </row>
    <row r="199" spans="3:9">
      <c r="C199" s="143">
        <v>3</v>
      </c>
      <c r="D199" s="60" t="s">
        <v>18</v>
      </c>
      <c r="E199" s="73" t="s">
        <v>6</v>
      </c>
      <c r="F199" s="184">
        <v>8.3000000000000001E-3</v>
      </c>
      <c r="G199" s="65">
        <f>VLOOKUP(D199,upahbahan,3,FALSE)</f>
        <v>150000</v>
      </c>
      <c r="H199" s="125">
        <f>F199*G199</f>
        <v>1245</v>
      </c>
    </row>
    <row r="200" spans="3:9">
      <c r="C200" s="143">
        <v>4</v>
      </c>
      <c r="D200" s="60" t="s">
        <v>19</v>
      </c>
      <c r="E200" s="73" t="s">
        <v>6</v>
      </c>
      <c r="F200" s="184">
        <v>2.8E-3</v>
      </c>
      <c r="G200" s="65">
        <f>VLOOKUP(D200,upahbahan,3,FALSE)</f>
        <v>145000</v>
      </c>
      <c r="H200" s="125">
        <f>F200*G200</f>
        <v>406</v>
      </c>
    </row>
    <row r="201" spans="3:9">
      <c r="C201" s="145" t="s">
        <v>1421</v>
      </c>
      <c r="D201" s="81"/>
      <c r="E201" s="81"/>
      <c r="F201" s="81"/>
      <c r="G201" s="163"/>
      <c r="H201" s="125">
        <f>SUM(H197:H200)</f>
        <v>30399.5</v>
      </c>
    </row>
    <row r="202" spans="3:9">
      <c r="C202" s="142" t="s">
        <v>1221</v>
      </c>
      <c r="D202" s="60" t="s">
        <v>1222</v>
      </c>
      <c r="E202" s="74"/>
      <c r="F202" s="74"/>
      <c r="G202" s="74"/>
      <c r="H202" s="147"/>
    </row>
    <row r="203" spans="3:9">
      <c r="C203" s="201" t="s">
        <v>1215</v>
      </c>
      <c r="D203" s="60" t="s">
        <v>78</v>
      </c>
      <c r="E203" s="73" t="s">
        <v>44</v>
      </c>
      <c r="F203" s="75">
        <v>14</v>
      </c>
      <c r="G203" s="65">
        <f>VLOOKUP(D203,upahbahan,3,FALSE)</f>
        <v>13000</v>
      </c>
      <c r="H203" s="125">
        <f>F203*G203</f>
        <v>182000</v>
      </c>
    </row>
    <row r="204" spans="3:9">
      <c r="C204" s="201" t="s">
        <v>1216</v>
      </c>
      <c r="D204" s="60" t="s">
        <v>568</v>
      </c>
      <c r="E204" s="73" t="s">
        <v>66</v>
      </c>
      <c r="F204" s="75">
        <v>30.32</v>
      </c>
      <c r="G204" s="65">
        <f>VLOOKUP(D204,upahbahan,3,FALSE)</f>
        <v>1300</v>
      </c>
      <c r="H204" s="125">
        <f>F204*G204</f>
        <v>39416</v>
      </c>
    </row>
    <row r="205" spans="3:9">
      <c r="C205" s="201" t="s">
        <v>1217</v>
      </c>
      <c r="D205" s="78" t="s">
        <v>86</v>
      </c>
      <c r="E205" s="73" t="s">
        <v>42</v>
      </c>
      <c r="F205" s="75">
        <v>0.182</v>
      </c>
      <c r="G205" s="65">
        <f>VLOOKUP(D205,upahbahan,3,FALSE)</f>
        <v>275000</v>
      </c>
      <c r="H205" s="125">
        <f>F205*G205</f>
        <v>50050</v>
      </c>
    </row>
    <row r="206" spans="3:9">
      <c r="C206" s="201" t="s">
        <v>1218</v>
      </c>
      <c r="D206" s="78" t="s">
        <v>222</v>
      </c>
      <c r="E206" s="73" t="s">
        <v>66</v>
      </c>
      <c r="F206" s="75">
        <v>0.28000000000000003</v>
      </c>
      <c r="G206" s="65">
        <f>VLOOKUP(D206,upahbahan,3,FALSE)</f>
        <v>35000</v>
      </c>
      <c r="H206" s="125">
        <f>F206*G206</f>
        <v>9800.0000000000018</v>
      </c>
    </row>
    <row r="207" spans="3:9">
      <c r="C207" s="145" t="s">
        <v>1226</v>
      </c>
      <c r="D207" s="81"/>
      <c r="E207" s="81"/>
      <c r="F207" s="81"/>
      <c r="G207" s="163"/>
      <c r="H207" s="125">
        <f>SUM(H203:H206)</f>
        <v>281266</v>
      </c>
    </row>
    <row r="208" spans="3:9">
      <c r="C208" s="153" t="s">
        <v>1227</v>
      </c>
      <c r="D208" s="60" t="s">
        <v>1228</v>
      </c>
      <c r="E208" s="74"/>
      <c r="F208" s="74"/>
      <c r="G208" s="74"/>
      <c r="H208" s="147"/>
    </row>
    <row r="209" spans="3:9">
      <c r="C209" s="145" t="s">
        <v>1229</v>
      </c>
      <c r="D209" s="81"/>
      <c r="E209" s="81"/>
      <c r="F209" s="81"/>
      <c r="G209" s="163"/>
      <c r="H209" s="154">
        <v>0</v>
      </c>
    </row>
    <row r="210" spans="3:9">
      <c r="C210" s="123" t="s">
        <v>1230</v>
      </c>
      <c r="D210" s="70" t="s">
        <v>1231</v>
      </c>
      <c r="E210" s="71"/>
      <c r="F210" s="71"/>
      <c r="G210" s="72"/>
      <c r="H210" s="125">
        <f>H209+H207+H201</f>
        <v>311665.5</v>
      </c>
    </row>
    <row r="211" spans="3:9">
      <c r="C211" s="123" t="s">
        <v>1232</v>
      </c>
      <c r="D211" s="70" t="s">
        <v>1410</v>
      </c>
      <c r="E211" s="71"/>
      <c r="F211" s="72"/>
      <c r="G211" s="96">
        <f>$M$7</f>
        <v>0.1</v>
      </c>
      <c r="H211" s="125">
        <f>H210*G211</f>
        <v>31166.550000000003</v>
      </c>
    </row>
    <row r="212" spans="3:9" ht="15.75" thickBot="1">
      <c r="C212" s="131" t="s">
        <v>1233</v>
      </c>
      <c r="D212" s="132" t="s">
        <v>1234</v>
      </c>
      <c r="E212" s="133"/>
      <c r="F212" s="133"/>
      <c r="G212" s="156"/>
      <c r="H212" s="135">
        <f>SUM(H210:H211)</f>
        <v>342832.05</v>
      </c>
    </row>
    <row r="213" spans="3:9" ht="15.75" thickTop="1">
      <c r="C213" s="90"/>
      <c r="D213" s="91"/>
      <c r="E213" s="91"/>
      <c r="F213" s="91"/>
      <c r="G213" s="91"/>
      <c r="H213" s="92"/>
    </row>
    <row r="214" spans="3:9" ht="30" customHeight="1" thickBot="1">
      <c r="C214" s="519" t="s">
        <v>1432</v>
      </c>
      <c r="D214" s="519"/>
      <c r="E214" s="519"/>
      <c r="F214" s="519"/>
      <c r="G214" s="519"/>
      <c r="H214" s="519"/>
      <c r="I214" s="57">
        <f>ROUNDDOWN(H232,-2)</f>
        <v>340800</v>
      </c>
    </row>
    <row r="215" spans="3:9" ht="29.25" thickTop="1">
      <c r="C215" s="120" t="s">
        <v>1207</v>
      </c>
      <c r="D215" s="121" t="s">
        <v>1208</v>
      </c>
      <c r="E215" s="121" t="s">
        <v>1209</v>
      </c>
      <c r="F215" s="121" t="s">
        <v>1210</v>
      </c>
      <c r="G215" s="121" t="s">
        <v>1211</v>
      </c>
      <c r="H215" s="122" t="s">
        <v>1212</v>
      </c>
    </row>
    <row r="216" spans="3:9">
      <c r="C216" s="142" t="s">
        <v>1213</v>
      </c>
      <c r="D216" s="60" t="s">
        <v>1214</v>
      </c>
      <c r="E216" s="74"/>
      <c r="F216" s="74"/>
      <c r="G216" s="74"/>
      <c r="H216" s="147"/>
    </row>
    <row r="217" spans="3:9">
      <c r="C217" s="143">
        <v>1</v>
      </c>
      <c r="D217" s="60" t="s">
        <v>5</v>
      </c>
      <c r="E217" s="73" t="s">
        <v>6</v>
      </c>
      <c r="F217" s="75">
        <v>0.2</v>
      </c>
      <c r="G217" s="65">
        <f>VLOOKUP(D217,upahbahan,3,FALSE)</f>
        <v>100000</v>
      </c>
      <c r="H217" s="125">
        <f>F217*G217</f>
        <v>20000</v>
      </c>
    </row>
    <row r="218" spans="3:9">
      <c r="C218" s="143">
        <v>2</v>
      </c>
      <c r="D218" s="60" t="s">
        <v>7</v>
      </c>
      <c r="E218" s="73" t="s">
        <v>6</v>
      </c>
      <c r="F218" s="75">
        <v>0.1</v>
      </c>
      <c r="G218" s="65">
        <f>VLOOKUP(D218,upahbahan,3,FALSE)</f>
        <v>145000</v>
      </c>
      <c r="H218" s="125">
        <f>F218*G218</f>
        <v>14500</v>
      </c>
    </row>
    <row r="219" spans="3:9">
      <c r="C219" s="143">
        <v>3</v>
      </c>
      <c r="D219" s="60" t="s">
        <v>18</v>
      </c>
      <c r="E219" s="73" t="s">
        <v>6</v>
      </c>
      <c r="F219" s="75">
        <v>0.01</v>
      </c>
      <c r="G219" s="65">
        <f>VLOOKUP(D219,upahbahan,3,FALSE)</f>
        <v>150000</v>
      </c>
      <c r="H219" s="125">
        <f>F219*G219</f>
        <v>1500</v>
      </c>
    </row>
    <row r="220" spans="3:9">
      <c r="C220" s="143">
        <v>4</v>
      </c>
      <c r="D220" s="60" t="s">
        <v>19</v>
      </c>
      <c r="E220" s="73" t="s">
        <v>6</v>
      </c>
      <c r="F220" s="75">
        <v>3.3E-3</v>
      </c>
      <c r="G220" s="65">
        <f>VLOOKUP(D220,upahbahan,3,FALSE)</f>
        <v>145000</v>
      </c>
      <c r="H220" s="125">
        <f>F220*G220</f>
        <v>478.5</v>
      </c>
    </row>
    <row r="221" spans="3:9">
      <c r="C221" s="145" t="s">
        <v>1421</v>
      </c>
      <c r="D221" s="81"/>
      <c r="E221" s="81"/>
      <c r="F221" s="81"/>
      <c r="G221" s="163"/>
      <c r="H221" s="125">
        <f>SUM(H217:H220)</f>
        <v>36478.5</v>
      </c>
    </row>
    <row r="222" spans="3:9">
      <c r="C222" s="142" t="s">
        <v>1221</v>
      </c>
      <c r="D222" s="60" t="s">
        <v>1222</v>
      </c>
      <c r="E222" s="74"/>
      <c r="F222" s="74"/>
      <c r="G222" s="74"/>
      <c r="H222" s="147"/>
    </row>
    <row r="223" spans="3:9">
      <c r="C223" s="201" t="s">
        <v>1215</v>
      </c>
      <c r="D223" s="60" t="s">
        <v>78</v>
      </c>
      <c r="E223" s="73" t="s">
        <v>44</v>
      </c>
      <c r="F223" s="75">
        <v>14</v>
      </c>
      <c r="G223" s="65">
        <f>VLOOKUP(D223,upahbahan,3,FALSE)</f>
        <v>13000</v>
      </c>
      <c r="H223" s="125">
        <f>F223*G223</f>
        <v>182000</v>
      </c>
    </row>
    <row r="224" spans="3:9">
      <c r="C224" s="201" t="s">
        <v>1216</v>
      </c>
      <c r="D224" s="60" t="s">
        <v>568</v>
      </c>
      <c r="E224" s="73" t="s">
        <v>66</v>
      </c>
      <c r="F224" s="75">
        <v>24.26</v>
      </c>
      <c r="G224" s="65">
        <f>VLOOKUP(D224,upahbahan,3,FALSE)</f>
        <v>1300</v>
      </c>
      <c r="H224" s="125">
        <f>F224*G224</f>
        <v>31538.000000000004</v>
      </c>
    </row>
    <row r="225" spans="3:9">
      <c r="C225" s="201" t="s">
        <v>1217</v>
      </c>
      <c r="D225" s="78" t="s">
        <v>86</v>
      </c>
      <c r="E225" s="73" t="s">
        <v>42</v>
      </c>
      <c r="F225" s="75">
        <v>0.182</v>
      </c>
      <c r="G225" s="65">
        <f>VLOOKUP(D225,upahbahan,3,FALSE)</f>
        <v>275000</v>
      </c>
      <c r="H225" s="125">
        <f>F225*G225</f>
        <v>50050</v>
      </c>
    </row>
    <row r="226" spans="3:9">
      <c r="C226" s="201" t="s">
        <v>1218</v>
      </c>
      <c r="D226" s="78" t="s">
        <v>222</v>
      </c>
      <c r="E226" s="73" t="s">
        <v>66</v>
      </c>
      <c r="F226" s="75">
        <v>0.28000000000000003</v>
      </c>
      <c r="G226" s="65">
        <f>VLOOKUP(D226,upahbahan,3,FALSE)</f>
        <v>35000</v>
      </c>
      <c r="H226" s="125">
        <f>F226*G226</f>
        <v>9800.0000000000018</v>
      </c>
    </row>
    <row r="227" spans="3:9">
      <c r="C227" s="145" t="s">
        <v>1226</v>
      </c>
      <c r="D227" s="81"/>
      <c r="E227" s="81"/>
      <c r="F227" s="81"/>
      <c r="G227" s="163"/>
      <c r="H227" s="125">
        <f>SUM(H223:H226)</f>
        <v>273388</v>
      </c>
    </row>
    <row r="228" spans="3:9">
      <c r="C228" s="153" t="s">
        <v>1227</v>
      </c>
      <c r="D228" s="60" t="s">
        <v>1228</v>
      </c>
      <c r="E228" s="74"/>
      <c r="F228" s="74"/>
      <c r="G228" s="74"/>
      <c r="H228" s="147"/>
    </row>
    <row r="229" spans="3:9">
      <c r="C229" s="145" t="s">
        <v>1229</v>
      </c>
      <c r="D229" s="81"/>
      <c r="E229" s="81"/>
      <c r="F229" s="81"/>
      <c r="G229" s="163"/>
      <c r="H229" s="154">
        <v>0</v>
      </c>
    </row>
    <row r="230" spans="3:9">
      <c r="C230" s="123" t="s">
        <v>1230</v>
      </c>
      <c r="D230" s="70" t="s">
        <v>1231</v>
      </c>
      <c r="E230" s="71"/>
      <c r="F230" s="71"/>
      <c r="G230" s="72"/>
      <c r="H230" s="125">
        <f>H229+H227+H221</f>
        <v>309866.5</v>
      </c>
    </row>
    <row r="231" spans="3:9">
      <c r="C231" s="123" t="s">
        <v>1232</v>
      </c>
      <c r="D231" s="70" t="s">
        <v>1410</v>
      </c>
      <c r="E231" s="71"/>
      <c r="F231" s="72"/>
      <c r="G231" s="96">
        <f>$M$7</f>
        <v>0.1</v>
      </c>
      <c r="H231" s="125">
        <f>H230*G231</f>
        <v>30986.65</v>
      </c>
    </row>
    <row r="232" spans="3:9" ht="15.75" thickBot="1">
      <c r="C232" s="131" t="s">
        <v>1233</v>
      </c>
      <c r="D232" s="132" t="s">
        <v>1234</v>
      </c>
      <c r="E232" s="133"/>
      <c r="F232" s="133"/>
      <c r="G232" s="156"/>
      <c r="H232" s="135">
        <f>SUM(H230:H231)</f>
        <v>340853.15</v>
      </c>
    </row>
    <row r="233" spans="3:9" ht="15.75" thickTop="1">
      <c r="C233" s="90"/>
      <c r="D233" s="91"/>
      <c r="E233" s="91"/>
      <c r="F233" s="91"/>
      <c r="G233" s="91"/>
      <c r="H233" s="92"/>
    </row>
    <row r="234" spans="3:9" ht="30.6" customHeight="1" thickBot="1">
      <c r="C234" s="519" t="s">
        <v>1433</v>
      </c>
      <c r="D234" s="519"/>
      <c r="E234" s="519"/>
      <c r="F234" s="519"/>
      <c r="G234" s="519"/>
      <c r="H234" s="519"/>
      <c r="I234" s="57">
        <f>ROUNDDOWN(H252,-2)</f>
        <v>299600</v>
      </c>
    </row>
    <row r="235" spans="3:9" ht="29.25" thickTop="1">
      <c r="C235" s="120" t="s">
        <v>1207</v>
      </c>
      <c r="D235" s="121" t="s">
        <v>1208</v>
      </c>
      <c r="E235" s="121" t="s">
        <v>1209</v>
      </c>
      <c r="F235" s="121" t="s">
        <v>1210</v>
      </c>
      <c r="G235" s="121" t="s">
        <v>1211</v>
      </c>
      <c r="H235" s="122" t="s">
        <v>1212</v>
      </c>
    </row>
    <row r="236" spans="3:9">
      <c r="C236" s="142" t="s">
        <v>1213</v>
      </c>
      <c r="D236" s="60" t="s">
        <v>1214</v>
      </c>
      <c r="E236" s="74"/>
      <c r="F236" s="74"/>
      <c r="G236" s="74"/>
      <c r="H236" s="147"/>
    </row>
    <row r="237" spans="3:9">
      <c r="C237" s="143">
        <v>1</v>
      </c>
      <c r="D237" s="60" t="s">
        <v>5</v>
      </c>
      <c r="E237" s="73" t="s">
        <v>6</v>
      </c>
      <c r="F237" s="75">
        <v>0.16669999999999999</v>
      </c>
      <c r="G237" s="65">
        <f>VLOOKUP(D237,upahbahan,3,FALSE)</f>
        <v>100000</v>
      </c>
      <c r="H237" s="125">
        <f>F237*G237</f>
        <v>16670</v>
      </c>
    </row>
    <row r="238" spans="3:9">
      <c r="C238" s="143">
        <v>2</v>
      </c>
      <c r="D238" s="60" t="s">
        <v>7</v>
      </c>
      <c r="E238" s="73" t="s">
        <v>6</v>
      </c>
      <c r="F238" s="75">
        <v>8.3299999999999999E-2</v>
      </c>
      <c r="G238" s="65">
        <f>VLOOKUP(D238,upahbahan,3,FALSE)</f>
        <v>145000</v>
      </c>
      <c r="H238" s="125">
        <f>F238*G238</f>
        <v>12078.5</v>
      </c>
    </row>
    <row r="239" spans="3:9">
      <c r="C239" s="143">
        <v>3</v>
      </c>
      <c r="D239" s="60" t="s">
        <v>18</v>
      </c>
      <c r="E239" s="73" t="s">
        <v>6</v>
      </c>
      <c r="F239" s="75">
        <v>8.3000000000000001E-3</v>
      </c>
      <c r="G239" s="65">
        <f>VLOOKUP(D239,upahbahan,3,FALSE)</f>
        <v>150000</v>
      </c>
      <c r="H239" s="125">
        <f>F239*G239</f>
        <v>1245</v>
      </c>
    </row>
    <row r="240" spans="3:9">
      <c r="C240" s="143">
        <v>4</v>
      </c>
      <c r="D240" s="60" t="s">
        <v>19</v>
      </c>
      <c r="E240" s="73" t="s">
        <v>6</v>
      </c>
      <c r="F240" s="75">
        <v>2.8E-3</v>
      </c>
      <c r="G240" s="65">
        <f>VLOOKUP(D240,upahbahan,3,FALSE)</f>
        <v>145000</v>
      </c>
      <c r="H240" s="125">
        <f>F240*G240</f>
        <v>406</v>
      </c>
    </row>
    <row r="241" spans="3:9">
      <c r="C241" s="145" t="s">
        <v>1421</v>
      </c>
      <c r="D241" s="81"/>
      <c r="E241" s="81"/>
      <c r="F241" s="81"/>
      <c r="G241" s="163"/>
      <c r="H241" s="125">
        <f>SUM(H237:H240)</f>
        <v>30399.5</v>
      </c>
    </row>
    <row r="242" spans="3:9">
      <c r="C242" s="142" t="s">
        <v>1221</v>
      </c>
      <c r="D242" s="60" t="s">
        <v>1222</v>
      </c>
      <c r="E242" s="74"/>
      <c r="F242" s="208"/>
      <c r="G242" s="74"/>
      <c r="H242" s="147"/>
    </row>
    <row r="243" spans="3:9">
      <c r="C243" s="201" t="s">
        <v>1215</v>
      </c>
      <c r="D243" s="60" t="s">
        <v>77</v>
      </c>
      <c r="E243" s="73" t="s">
        <v>44</v>
      </c>
      <c r="F243" s="75">
        <v>12.5</v>
      </c>
      <c r="G243" s="65">
        <f>VLOOKUP(D243,upahbahan,3,FALSE)</f>
        <v>12000</v>
      </c>
      <c r="H243" s="125">
        <f>F243*G243</f>
        <v>150000</v>
      </c>
    </row>
    <row r="244" spans="3:9">
      <c r="C244" s="201" t="s">
        <v>1216</v>
      </c>
      <c r="D244" s="60" t="s">
        <v>568</v>
      </c>
      <c r="E244" s="73" t="s">
        <v>66</v>
      </c>
      <c r="F244" s="75">
        <v>24.74</v>
      </c>
      <c r="G244" s="65">
        <f>VLOOKUP(D244,upahbahan,3,FALSE)</f>
        <v>1300</v>
      </c>
      <c r="H244" s="125">
        <f>F244*G244</f>
        <v>32161.999999999996</v>
      </c>
    </row>
    <row r="245" spans="3:9">
      <c r="C245" s="201" t="s">
        <v>1217</v>
      </c>
      <c r="D245" s="78" t="s">
        <v>86</v>
      </c>
      <c r="E245" s="73" t="s">
        <v>42</v>
      </c>
      <c r="F245" s="75">
        <v>0.182</v>
      </c>
      <c r="G245" s="65">
        <f>VLOOKUP(D245,upahbahan,3,FALSE)</f>
        <v>275000</v>
      </c>
      <c r="H245" s="125">
        <f>F245*G245</f>
        <v>50050</v>
      </c>
    </row>
    <row r="246" spans="3:9">
      <c r="C246" s="201" t="s">
        <v>1218</v>
      </c>
      <c r="D246" s="78" t="s">
        <v>222</v>
      </c>
      <c r="E246" s="73" t="s">
        <v>66</v>
      </c>
      <c r="F246" s="75">
        <v>0.28000000000000003</v>
      </c>
      <c r="G246" s="65">
        <f>VLOOKUP(D246,upahbahan,3,FALSE)</f>
        <v>35000</v>
      </c>
      <c r="H246" s="125">
        <f>F246*G246</f>
        <v>9800.0000000000018</v>
      </c>
    </row>
    <row r="247" spans="3:9">
      <c r="C247" s="145" t="s">
        <v>1226</v>
      </c>
      <c r="D247" s="81"/>
      <c r="E247" s="81"/>
      <c r="F247" s="81"/>
      <c r="G247" s="163"/>
      <c r="H247" s="125">
        <f>SUM(H243:H246)</f>
        <v>242012</v>
      </c>
    </row>
    <row r="248" spans="3:9">
      <c r="C248" s="153" t="s">
        <v>1227</v>
      </c>
      <c r="D248" s="60" t="s">
        <v>1228</v>
      </c>
      <c r="E248" s="74"/>
      <c r="F248" s="74"/>
      <c r="G248" s="74"/>
      <c r="H248" s="147"/>
    </row>
    <row r="249" spans="3:9">
      <c r="C249" s="145" t="s">
        <v>1229</v>
      </c>
      <c r="D249" s="81"/>
      <c r="E249" s="81"/>
      <c r="F249" s="81"/>
      <c r="G249" s="163"/>
      <c r="H249" s="154">
        <v>0</v>
      </c>
    </row>
    <row r="250" spans="3:9">
      <c r="C250" s="123" t="s">
        <v>1230</v>
      </c>
      <c r="D250" s="70" t="s">
        <v>1231</v>
      </c>
      <c r="E250" s="71"/>
      <c r="F250" s="71"/>
      <c r="G250" s="72"/>
      <c r="H250" s="125">
        <f>H249+H247+H241</f>
        <v>272411.5</v>
      </c>
    </row>
    <row r="251" spans="3:9">
      <c r="C251" s="123" t="s">
        <v>1232</v>
      </c>
      <c r="D251" s="70" t="s">
        <v>1410</v>
      </c>
      <c r="E251" s="71"/>
      <c r="F251" s="72"/>
      <c r="G251" s="96">
        <f>$M$7</f>
        <v>0.1</v>
      </c>
      <c r="H251" s="125">
        <f>H250*G251</f>
        <v>27241.15</v>
      </c>
    </row>
    <row r="252" spans="3:9" ht="15.75" thickBot="1">
      <c r="C252" s="131" t="s">
        <v>1233</v>
      </c>
      <c r="D252" s="132" t="s">
        <v>1234</v>
      </c>
      <c r="E252" s="133"/>
      <c r="F252" s="133"/>
      <c r="G252" s="156"/>
      <c r="H252" s="135">
        <f>SUM(H250:H251)</f>
        <v>299652.65000000002</v>
      </c>
    </row>
    <row r="253" spans="3:9" ht="15.75" thickTop="1">
      <c r="C253" s="90"/>
      <c r="D253" s="91"/>
      <c r="E253" s="91"/>
      <c r="F253" s="91"/>
      <c r="G253" s="91"/>
      <c r="H253" s="92"/>
    </row>
    <row r="254" spans="3:9" ht="30.6" customHeight="1" thickBot="1">
      <c r="C254" s="519" t="s">
        <v>1434</v>
      </c>
      <c r="D254" s="519"/>
      <c r="E254" s="519"/>
      <c r="F254" s="519"/>
      <c r="G254" s="519"/>
      <c r="H254" s="519"/>
      <c r="I254" s="57">
        <f>ROUNDDOWN(H272,-2)</f>
        <v>290300</v>
      </c>
    </row>
    <row r="255" spans="3:9" ht="29.25" thickTop="1">
      <c r="C255" s="120" t="s">
        <v>1207</v>
      </c>
      <c r="D255" s="121" t="s">
        <v>1208</v>
      </c>
      <c r="E255" s="121" t="s">
        <v>1209</v>
      </c>
      <c r="F255" s="121" t="s">
        <v>1210</v>
      </c>
      <c r="G255" s="121" t="s">
        <v>1211</v>
      </c>
      <c r="H255" s="122" t="s">
        <v>1212</v>
      </c>
    </row>
    <row r="256" spans="3:9">
      <c r="C256" s="142" t="s">
        <v>1213</v>
      </c>
      <c r="D256" s="60" t="s">
        <v>1214</v>
      </c>
      <c r="E256" s="74"/>
      <c r="F256" s="74"/>
      <c r="G256" s="74"/>
      <c r="H256" s="147"/>
    </row>
    <row r="257" spans="3:8">
      <c r="C257" s="143">
        <v>1</v>
      </c>
      <c r="D257" s="60" t="s">
        <v>5</v>
      </c>
      <c r="E257" s="73" t="s">
        <v>6</v>
      </c>
      <c r="F257" s="75">
        <v>0.16669999999999999</v>
      </c>
      <c r="G257" s="65">
        <f>VLOOKUP(D257,upahbahan,3,FALSE)</f>
        <v>100000</v>
      </c>
      <c r="H257" s="125">
        <f>F257*G257</f>
        <v>16670</v>
      </c>
    </row>
    <row r="258" spans="3:8">
      <c r="C258" s="143">
        <v>2</v>
      </c>
      <c r="D258" s="60" t="s">
        <v>7</v>
      </c>
      <c r="E258" s="73" t="s">
        <v>6</v>
      </c>
      <c r="F258" s="75">
        <v>8.3299999999999999E-2</v>
      </c>
      <c r="G258" s="65">
        <f>VLOOKUP(D258,upahbahan,3,FALSE)</f>
        <v>145000</v>
      </c>
      <c r="H258" s="125">
        <f>F258*G258</f>
        <v>12078.5</v>
      </c>
    </row>
    <row r="259" spans="3:8">
      <c r="C259" s="143">
        <v>3</v>
      </c>
      <c r="D259" s="60" t="s">
        <v>18</v>
      </c>
      <c r="E259" s="73" t="s">
        <v>6</v>
      </c>
      <c r="F259" s="75">
        <v>8.3000000000000001E-3</v>
      </c>
      <c r="G259" s="65">
        <f>VLOOKUP(D259,upahbahan,3,FALSE)</f>
        <v>150000</v>
      </c>
      <c r="H259" s="125">
        <f>F259*G259</f>
        <v>1245</v>
      </c>
    </row>
    <row r="260" spans="3:8">
      <c r="C260" s="143">
        <v>4</v>
      </c>
      <c r="D260" s="60" t="s">
        <v>19</v>
      </c>
      <c r="E260" s="73" t="s">
        <v>6</v>
      </c>
      <c r="F260" s="75">
        <v>2.8E-3</v>
      </c>
      <c r="G260" s="65">
        <f>VLOOKUP(D260,upahbahan,3,FALSE)</f>
        <v>145000</v>
      </c>
      <c r="H260" s="125">
        <f>F260*G260</f>
        <v>406</v>
      </c>
    </row>
    <row r="261" spans="3:8">
      <c r="C261" s="145" t="s">
        <v>1421</v>
      </c>
      <c r="D261" s="81"/>
      <c r="E261" s="81"/>
      <c r="F261" s="190"/>
      <c r="G261" s="163"/>
      <c r="H261" s="125">
        <f>SUM(H257:H260)</f>
        <v>30399.5</v>
      </c>
    </row>
    <row r="262" spans="3:8">
      <c r="C262" s="142" t="s">
        <v>1221</v>
      </c>
      <c r="D262" s="60" t="s">
        <v>1222</v>
      </c>
      <c r="E262" s="74"/>
      <c r="F262" s="208"/>
      <c r="G262" s="74"/>
      <c r="H262" s="147"/>
    </row>
    <row r="263" spans="3:8">
      <c r="C263" s="201" t="s">
        <v>1215</v>
      </c>
      <c r="D263" s="60" t="s">
        <v>77</v>
      </c>
      <c r="E263" s="73" t="s">
        <v>44</v>
      </c>
      <c r="F263" s="75">
        <v>12.5</v>
      </c>
      <c r="G263" s="65">
        <f>VLOOKUP(D263,upahbahan,3,FALSE)</f>
        <v>12000</v>
      </c>
      <c r="H263" s="125">
        <f>F263*G263</f>
        <v>150000</v>
      </c>
    </row>
    <row r="264" spans="3:8">
      <c r="C264" s="201" t="s">
        <v>1216</v>
      </c>
      <c r="D264" s="60" t="s">
        <v>568</v>
      </c>
      <c r="E264" s="73" t="s">
        <v>66</v>
      </c>
      <c r="F264" s="75">
        <v>18.2</v>
      </c>
      <c r="G264" s="65">
        <f>VLOOKUP(D264,upahbahan,3,FALSE)</f>
        <v>1300</v>
      </c>
      <c r="H264" s="125">
        <f>F264*G264</f>
        <v>23660</v>
      </c>
    </row>
    <row r="265" spans="3:8">
      <c r="C265" s="201" t="s">
        <v>1217</v>
      </c>
      <c r="D265" s="78" t="s">
        <v>86</v>
      </c>
      <c r="E265" s="73" t="s">
        <v>42</v>
      </c>
      <c r="F265" s="75">
        <v>0.182</v>
      </c>
      <c r="G265" s="65">
        <f>VLOOKUP(D265,upahbahan,3,FALSE)</f>
        <v>275000</v>
      </c>
      <c r="H265" s="125">
        <f>F265*G265</f>
        <v>50050</v>
      </c>
    </row>
    <row r="266" spans="3:8">
      <c r="C266" s="201" t="s">
        <v>1218</v>
      </c>
      <c r="D266" s="78" t="s">
        <v>222</v>
      </c>
      <c r="E266" s="73" t="s">
        <v>66</v>
      </c>
      <c r="F266" s="75">
        <v>0.28000000000000003</v>
      </c>
      <c r="G266" s="65">
        <f>VLOOKUP(D266,upahbahan,3,FALSE)</f>
        <v>35000</v>
      </c>
      <c r="H266" s="125">
        <f>F266*G266</f>
        <v>9800.0000000000018</v>
      </c>
    </row>
    <row r="267" spans="3:8">
      <c r="C267" s="145" t="s">
        <v>1226</v>
      </c>
      <c r="D267" s="81"/>
      <c r="E267" s="81"/>
      <c r="F267" s="81"/>
      <c r="G267" s="163"/>
      <c r="H267" s="125">
        <f>SUM(H263:H266)</f>
        <v>233510</v>
      </c>
    </row>
    <row r="268" spans="3:8">
      <c r="C268" s="153" t="s">
        <v>1227</v>
      </c>
      <c r="D268" s="60" t="s">
        <v>1228</v>
      </c>
      <c r="E268" s="74"/>
      <c r="F268" s="74"/>
      <c r="G268" s="74"/>
      <c r="H268" s="147"/>
    </row>
    <row r="269" spans="3:8">
      <c r="C269" s="145" t="s">
        <v>1229</v>
      </c>
      <c r="D269" s="81"/>
      <c r="E269" s="81"/>
      <c r="F269" s="81"/>
      <c r="G269" s="163"/>
      <c r="H269" s="154">
        <v>0</v>
      </c>
    </row>
    <row r="270" spans="3:8">
      <c r="C270" s="123" t="s">
        <v>1230</v>
      </c>
      <c r="D270" s="70" t="s">
        <v>1231</v>
      </c>
      <c r="E270" s="71"/>
      <c r="F270" s="71"/>
      <c r="G270" s="72"/>
      <c r="H270" s="125">
        <f>H269+H267+H261</f>
        <v>263909.5</v>
      </c>
    </row>
    <row r="271" spans="3:8">
      <c r="C271" s="123" t="s">
        <v>1232</v>
      </c>
      <c r="D271" s="70" t="s">
        <v>1410</v>
      </c>
      <c r="E271" s="71"/>
      <c r="F271" s="72"/>
      <c r="G271" s="96">
        <f>$M$7</f>
        <v>0.1</v>
      </c>
      <c r="H271" s="125">
        <f>H270*G271</f>
        <v>26390.95</v>
      </c>
    </row>
    <row r="272" spans="3:8" ht="15.75" thickBot="1">
      <c r="C272" s="131" t="s">
        <v>1233</v>
      </c>
      <c r="D272" s="132" t="s">
        <v>1234</v>
      </c>
      <c r="E272" s="133"/>
      <c r="F272" s="133"/>
      <c r="G272" s="156"/>
      <c r="H272" s="135">
        <f>SUM(H270:H271)</f>
        <v>290300.45</v>
      </c>
    </row>
    <row r="273" spans="3:9" ht="15" thickTop="1"/>
    <row r="274" spans="3:9" ht="31.15" customHeight="1" thickBot="1">
      <c r="C274" s="519" t="s">
        <v>1435</v>
      </c>
      <c r="D274" s="519"/>
      <c r="E274" s="519"/>
      <c r="F274" s="519"/>
      <c r="G274" s="519"/>
      <c r="H274" s="519"/>
      <c r="I274" s="57">
        <f>ROUNDDOWN(H292,-2)</f>
        <v>285900</v>
      </c>
    </row>
    <row r="275" spans="3:9" ht="29.25" thickTop="1">
      <c r="C275" s="120" t="s">
        <v>1207</v>
      </c>
      <c r="D275" s="121" t="s">
        <v>1208</v>
      </c>
      <c r="E275" s="121" t="s">
        <v>1209</v>
      </c>
      <c r="F275" s="121" t="s">
        <v>1210</v>
      </c>
      <c r="G275" s="121" t="s">
        <v>1211</v>
      </c>
      <c r="H275" s="122" t="s">
        <v>1212</v>
      </c>
    </row>
    <row r="276" spans="3:9">
      <c r="C276" s="142" t="s">
        <v>1213</v>
      </c>
      <c r="D276" s="60" t="s">
        <v>1214</v>
      </c>
      <c r="E276" s="74"/>
      <c r="F276" s="74"/>
      <c r="G276" s="74"/>
      <c r="H276" s="147"/>
    </row>
    <row r="277" spans="3:9">
      <c r="C277" s="143">
        <v>1</v>
      </c>
      <c r="D277" s="60" t="s">
        <v>5</v>
      </c>
      <c r="E277" s="73" t="s">
        <v>6</v>
      </c>
      <c r="F277" s="75">
        <v>0.16669999999999999</v>
      </c>
      <c r="G277" s="65">
        <f>VLOOKUP(D277,upahbahan,3,FALSE)</f>
        <v>100000</v>
      </c>
      <c r="H277" s="125">
        <f>F277*G277</f>
        <v>16670</v>
      </c>
    </row>
    <row r="278" spans="3:9">
      <c r="C278" s="143">
        <v>2</v>
      </c>
      <c r="D278" s="60" t="s">
        <v>7</v>
      </c>
      <c r="E278" s="73" t="s">
        <v>6</v>
      </c>
      <c r="F278" s="75">
        <v>8.3299999999999999E-2</v>
      </c>
      <c r="G278" s="65">
        <f>VLOOKUP(D278,upahbahan,3,FALSE)</f>
        <v>145000</v>
      </c>
      <c r="H278" s="125">
        <f>F278*G278</f>
        <v>12078.5</v>
      </c>
    </row>
    <row r="279" spans="3:9">
      <c r="C279" s="143">
        <v>3</v>
      </c>
      <c r="D279" s="60" t="s">
        <v>18</v>
      </c>
      <c r="E279" s="73" t="s">
        <v>6</v>
      </c>
      <c r="F279" s="75">
        <v>8.3000000000000001E-3</v>
      </c>
      <c r="G279" s="65">
        <f>VLOOKUP(D279,upahbahan,3,FALSE)</f>
        <v>150000</v>
      </c>
      <c r="H279" s="125">
        <f>F279*G279</f>
        <v>1245</v>
      </c>
    </row>
    <row r="280" spans="3:9">
      <c r="C280" s="143">
        <v>4</v>
      </c>
      <c r="D280" s="60" t="s">
        <v>19</v>
      </c>
      <c r="E280" s="73" t="s">
        <v>6</v>
      </c>
      <c r="F280" s="75">
        <v>2.8E-3</v>
      </c>
      <c r="G280" s="65">
        <f>VLOOKUP(D280,upahbahan,3,FALSE)</f>
        <v>145000</v>
      </c>
      <c r="H280" s="125">
        <f>F280*G280</f>
        <v>406</v>
      </c>
    </row>
    <row r="281" spans="3:9">
      <c r="C281" s="145" t="s">
        <v>1421</v>
      </c>
      <c r="D281" s="81"/>
      <c r="E281" s="81"/>
      <c r="F281" s="190"/>
      <c r="G281" s="163"/>
      <c r="H281" s="125">
        <f>SUM(H277:H280)</f>
        <v>30399.5</v>
      </c>
    </row>
    <row r="282" spans="3:9">
      <c r="C282" s="142" t="s">
        <v>1221</v>
      </c>
      <c r="D282" s="60" t="s">
        <v>1222</v>
      </c>
      <c r="E282" s="74"/>
      <c r="F282" s="208"/>
      <c r="G282" s="74"/>
      <c r="H282" s="147"/>
    </row>
    <row r="283" spans="3:9">
      <c r="C283" s="201" t="s">
        <v>1215</v>
      </c>
      <c r="D283" s="60" t="s">
        <v>76</v>
      </c>
      <c r="E283" s="73" t="s">
        <v>44</v>
      </c>
      <c r="F283" s="75">
        <v>12.5</v>
      </c>
      <c r="G283" s="65">
        <f>VLOOKUP(D283,upahbahan,3,FALSE)</f>
        <v>12000</v>
      </c>
      <c r="H283" s="125">
        <f>F283*G283</f>
        <v>150000</v>
      </c>
    </row>
    <row r="284" spans="3:9">
      <c r="C284" s="201" t="s">
        <v>1216</v>
      </c>
      <c r="D284" s="60" t="s">
        <v>568</v>
      </c>
      <c r="E284" s="73" t="s">
        <v>66</v>
      </c>
      <c r="F284" s="75">
        <v>15.16</v>
      </c>
      <c r="G284" s="65">
        <f>VLOOKUP(D284,upahbahan,3,FALSE)</f>
        <v>1300</v>
      </c>
      <c r="H284" s="125">
        <f>F284*G284</f>
        <v>19708</v>
      </c>
    </row>
    <row r="285" spans="3:9">
      <c r="C285" s="201" t="s">
        <v>1217</v>
      </c>
      <c r="D285" s="78" t="s">
        <v>86</v>
      </c>
      <c r="E285" s="73" t="s">
        <v>42</v>
      </c>
      <c r="F285" s="75">
        <v>0.182</v>
      </c>
      <c r="G285" s="65">
        <f>VLOOKUP(D285,upahbahan,3,FALSE)</f>
        <v>275000</v>
      </c>
      <c r="H285" s="125">
        <f>F285*G285</f>
        <v>50050</v>
      </c>
    </row>
    <row r="286" spans="3:9">
      <c r="C286" s="201" t="s">
        <v>1218</v>
      </c>
      <c r="D286" s="78" t="s">
        <v>222</v>
      </c>
      <c r="E286" s="73" t="s">
        <v>66</v>
      </c>
      <c r="F286" s="75">
        <v>0.28000000000000003</v>
      </c>
      <c r="G286" s="65">
        <f>VLOOKUP(D286,upahbahan,3,FALSE)</f>
        <v>35000</v>
      </c>
      <c r="H286" s="125">
        <f>F286*G286</f>
        <v>9800.0000000000018</v>
      </c>
    </row>
    <row r="287" spans="3:9">
      <c r="C287" s="145" t="s">
        <v>1226</v>
      </c>
      <c r="D287" s="81"/>
      <c r="E287" s="81"/>
      <c r="F287" s="81"/>
      <c r="G287" s="163"/>
      <c r="H287" s="125">
        <f>SUM(H283:H286)</f>
        <v>229558</v>
      </c>
    </row>
    <row r="288" spans="3:9">
      <c r="C288" s="153" t="s">
        <v>1227</v>
      </c>
      <c r="D288" s="60" t="s">
        <v>1228</v>
      </c>
      <c r="E288" s="74"/>
      <c r="F288" s="74"/>
      <c r="G288" s="74"/>
      <c r="H288" s="147"/>
    </row>
    <row r="289" spans="3:9">
      <c r="C289" s="145" t="s">
        <v>1229</v>
      </c>
      <c r="D289" s="81"/>
      <c r="E289" s="81"/>
      <c r="F289" s="81"/>
      <c r="G289" s="163"/>
      <c r="H289" s="154">
        <v>0</v>
      </c>
    </row>
    <row r="290" spans="3:9">
      <c r="C290" s="123" t="s">
        <v>1230</v>
      </c>
      <c r="D290" s="70" t="s">
        <v>1231</v>
      </c>
      <c r="E290" s="71"/>
      <c r="F290" s="71"/>
      <c r="G290" s="72"/>
      <c r="H290" s="125">
        <f>H289+H287+H281</f>
        <v>259957.5</v>
      </c>
    </row>
    <row r="291" spans="3:9">
      <c r="C291" s="123" t="s">
        <v>1232</v>
      </c>
      <c r="D291" s="70" t="s">
        <v>1410</v>
      </c>
      <c r="E291" s="71"/>
      <c r="F291" s="72"/>
      <c r="G291" s="96">
        <f>$M$7</f>
        <v>0.1</v>
      </c>
      <c r="H291" s="125">
        <f>H290*G291</f>
        <v>25995.75</v>
      </c>
    </row>
    <row r="292" spans="3:9" ht="15.75" thickBot="1">
      <c r="C292" s="131" t="s">
        <v>1233</v>
      </c>
      <c r="D292" s="132" t="s">
        <v>1234</v>
      </c>
      <c r="E292" s="133"/>
      <c r="F292" s="133"/>
      <c r="G292" s="156"/>
      <c r="H292" s="135">
        <f>SUM(H290:H291)</f>
        <v>285953.25</v>
      </c>
    </row>
    <row r="293" spans="3:9" ht="15.75" thickTop="1">
      <c r="C293" s="90"/>
      <c r="D293" s="91"/>
      <c r="E293" s="91"/>
      <c r="F293" s="91"/>
      <c r="G293" s="91"/>
      <c r="H293" s="92"/>
    </row>
    <row r="294" spans="3:9" ht="28.9" customHeight="1" thickBot="1">
      <c r="C294" s="519" t="s">
        <v>1436</v>
      </c>
      <c r="D294" s="519"/>
      <c r="E294" s="519"/>
      <c r="F294" s="519"/>
      <c r="G294" s="519"/>
      <c r="H294" s="519"/>
      <c r="I294" s="57" t="e">
        <f>ROUNDDOWN(H312,-2)</f>
        <v>#VALUE!</v>
      </c>
    </row>
    <row r="295" spans="3:9" ht="29.25" thickTop="1">
      <c r="C295" s="120" t="s">
        <v>1207</v>
      </c>
      <c r="D295" s="121" t="s">
        <v>1208</v>
      </c>
      <c r="E295" s="121" t="s">
        <v>1209</v>
      </c>
      <c r="F295" s="121" t="s">
        <v>1210</v>
      </c>
      <c r="G295" s="121" t="s">
        <v>1211</v>
      </c>
      <c r="H295" s="122" t="s">
        <v>1212</v>
      </c>
    </row>
    <row r="296" spans="3:9">
      <c r="C296" s="142" t="s">
        <v>1213</v>
      </c>
      <c r="D296" s="60" t="s">
        <v>1214</v>
      </c>
      <c r="E296" s="74"/>
      <c r="F296" s="74"/>
      <c r="G296" s="74"/>
      <c r="H296" s="147"/>
    </row>
    <row r="297" spans="3:9">
      <c r="C297" s="143">
        <v>1</v>
      </c>
      <c r="D297" s="60" t="s">
        <v>5</v>
      </c>
      <c r="E297" s="73" t="s">
        <v>6</v>
      </c>
      <c r="F297" s="75" t="s">
        <v>1437</v>
      </c>
      <c r="G297" s="65">
        <f>VLOOKUP(D297,upahbahan,3,FALSE)</f>
        <v>100000</v>
      </c>
      <c r="H297" s="125" t="e">
        <f>F297*G297</f>
        <v>#VALUE!</v>
      </c>
    </row>
    <row r="298" spans="3:9">
      <c r="C298" s="143">
        <v>2</v>
      </c>
      <c r="D298" s="60" t="s">
        <v>7</v>
      </c>
      <c r="E298" s="73" t="s">
        <v>6</v>
      </c>
      <c r="F298" s="75" t="s">
        <v>1438</v>
      </c>
      <c r="G298" s="65">
        <f>VLOOKUP(D298,upahbahan,3,FALSE)</f>
        <v>145000</v>
      </c>
      <c r="H298" s="125" t="e">
        <f>F298*G298</f>
        <v>#VALUE!</v>
      </c>
    </row>
    <row r="299" spans="3:9">
      <c r="C299" s="143">
        <v>3</v>
      </c>
      <c r="D299" s="60" t="s">
        <v>18</v>
      </c>
      <c r="E299" s="73" t="s">
        <v>6</v>
      </c>
      <c r="F299" s="75" t="s">
        <v>1439</v>
      </c>
      <c r="G299" s="65">
        <f>VLOOKUP(D299,upahbahan,3,FALSE)</f>
        <v>150000</v>
      </c>
      <c r="H299" s="125" t="e">
        <f>F299*G299</f>
        <v>#VALUE!</v>
      </c>
    </row>
    <row r="300" spans="3:9">
      <c r="C300" s="143">
        <v>4</v>
      </c>
      <c r="D300" s="60" t="s">
        <v>19</v>
      </c>
      <c r="E300" s="73" t="s">
        <v>6</v>
      </c>
      <c r="F300" s="75" t="s">
        <v>1440</v>
      </c>
      <c r="G300" s="65">
        <f>VLOOKUP(D300,upahbahan,3,FALSE)</f>
        <v>145000</v>
      </c>
      <c r="H300" s="125" t="e">
        <f>F300*G300</f>
        <v>#VALUE!</v>
      </c>
    </row>
    <row r="301" spans="3:9">
      <c r="C301" s="145" t="s">
        <v>1421</v>
      </c>
      <c r="D301" s="81"/>
      <c r="E301" s="81"/>
      <c r="F301" s="81"/>
      <c r="G301" s="163"/>
      <c r="H301" s="125" t="e">
        <f>SUM(H297:H300)</f>
        <v>#VALUE!</v>
      </c>
    </row>
    <row r="302" spans="3:9">
      <c r="C302" s="142" t="s">
        <v>1221</v>
      </c>
      <c r="D302" s="60" t="s">
        <v>1222</v>
      </c>
      <c r="E302" s="74"/>
      <c r="F302" s="74"/>
      <c r="G302" s="74"/>
      <c r="H302" s="147"/>
    </row>
    <row r="303" spans="3:9">
      <c r="C303" s="201" t="s">
        <v>1215</v>
      </c>
      <c r="D303" s="60" t="s">
        <v>76</v>
      </c>
      <c r="E303" s="73" t="s">
        <v>44</v>
      </c>
      <c r="F303" s="230" t="s">
        <v>1441</v>
      </c>
      <c r="G303" s="65">
        <f>VLOOKUP(D303,upahbahan,3,FALSE)</f>
        <v>12000</v>
      </c>
      <c r="H303" s="125" t="e">
        <f>F303*G303</f>
        <v>#VALUE!</v>
      </c>
    </row>
    <row r="304" spans="3:9">
      <c r="C304" s="201" t="s">
        <v>1216</v>
      </c>
      <c r="D304" s="60" t="s">
        <v>568</v>
      </c>
      <c r="E304" s="73" t="s">
        <v>66</v>
      </c>
      <c r="F304" s="230" t="s">
        <v>1442</v>
      </c>
      <c r="G304" s="65">
        <f>VLOOKUP(D304,upahbahan,3,FALSE)</f>
        <v>1300</v>
      </c>
      <c r="H304" s="125" t="e">
        <f>F304*G304</f>
        <v>#VALUE!</v>
      </c>
    </row>
    <row r="305" spans="3:9">
      <c r="C305" s="201" t="s">
        <v>1217</v>
      </c>
      <c r="D305" s="78" t="s">
        <v>86</v>
      </c>
      <c r="E305" s="73" t="s">
        <v>42</v>
      </c>
      <c r="F305" s="75" t="s">
        <v>1443</v>
      </c>
      <c r="G305" s="65">
        <f>VLOOKUP(D305,upahbahan,3,FALSE)</f>
        <v>275000</v>
      </c>
      <c r="H305" s="125" t="e">
        <f>F305*G305</f>
        <v>#VALUE!</v>
      </c>
    </row>
    <row r="306" spans="3:9">
      <c r="C306" s="201" t="s">
        <v>1218</v>
      </c>
      <c r="D306" s="78" t="s">
        <v>222</v>
      </c>
      <c r="E306" s="73" t="s">
        <v>66</v>
      </c>
      <c r="F306" s="75" t="s">
        <v>1444</v>
      </c>
      <c r="G306" s="65">
        <f>VLOOKUP(D306,upahbahan,3,FALSE)</f>
        <v>35000</v>
      </c>
      <c r="H306" s="125" t="e">
        <f>F306*G306</f>
        <v>#VALUE!</v>
      </c>
    </row>
    <row r="307" spans="3:9">
      <c r="C307" s="145" t="s">
        <v>1226</v>
      </c>
      <c r="D307" s="81"/>
      <c r="E307" s="81"/>
      <c r="F307" s="81"/>
      <c r="G307" s="163"/>
      <c r="H307" s="125" t="e">
        <f>SUM(H303:H306)</f>
        <v>#VALUE!</v>
      </c>
    </row>
    <row r="308" spans="3:9">
      <c r="C308" s="153" t="s">
        <v>1227</v>
      </c>
      <c r="D308" s="60" t="s">
        <v>1228</v>
      </c>
      <c r="E308" s="74"/>
      <c r="F308" s="74"/>
      <c r="G308" s="74"/>
      <c r="H308" s="147"/>
    </row>
    <row r="309" spans="3:9">
      <c r="C309" s="145" t="s">
        <v>1229</v>
      </c>
      <c r="D309" s="81"/>
      <c r="E309" s="81"/>
      <c r="F309" s="81"/>
      <c r="G309" s="163"/>
      <c r="H309" s="154">
        <v>0</v>
      </c>
    </row>
    <row r="310" spans="3:9">
      <c r="C310" s="123" t="s">
        <v>1230</v>
      </c>
      <c r="D310" s="70" t="s">
        <v>1231</v>
      </c>
      <c r="E310" s="71"/>
      <c r="F310" s="71"/>
      <c r="G310" s="72"/>
      <c r="H310" s="125" t="e">
        <f>H309+H307+H301</f>
        <v>#VALUE!</v>
      </c>
    </row>
    <row r="311" spans="3:9">
      <c r="C311" s="123" t="s">
        <v>1232</v>
      </c>
      <c r="D311" s="70" t="s">
        <v>1410</v>
      </c>
      <c r="E311" s="71"/>
      <c r="F311" s="72"/>
      <c r="G311" s="96">
        <f>$M$7</f>
        <v>0.1</v>
      </c>
      <c r="H311" s="125" t="e">
        <f>H310*G311</f>
        <v>#VALUE!</v>
      </c>
    </row>
    <row r="312" spans="3:9" ht="15.75" thickBot="1">
      <c r="C312" s="131" t="s">
        <v>1233</v>
      </c>
      <c r="D312" s="132" t="s">
        <v>1234</v>
      </c>
      <c r="E312" s="133"/>
      <c r="F312" s="133"/>
      <c r="G312" s="156"/>
      <c r="H312" s="135" t="e">
        <f>SUM(H310:H311)</f>
        <v>#VALUE!</v>
      </c>
    </row>
    <row r="313" spans="3:9" ht="15.75" thickTop="1">
      <c r="C313" s="90"/>
      <c r="D313" s="91"/>
      <c r="E313" s="91"/>
      <c r="F313" s="91"/>
      <c r="G313" s="91"/>
      <c r="H313" s="92"/>
    </row>
    <row r="314" spans="3:9" ht="31.15" customHeight="1" thickBot="1">
      <c r="C314" s="519" t="s">
        <v>1445</v>
      </c>
      <c r="D314" s="519"/>
      <c r="E314" s="519"/>
      <c r="F314" s="519"/>
      <c r="G314" s="519"/>
      <c r="H314" s="519"/>
      <c r="I314" s="57">
        <f>ROUNDDOWN(H331,-2)</f>
        <v>668000</v>
      </c>
    </row>
    <row r="315" spans="3:9" ht="29.25" thickTop="1">
      <c r="C315" s="120" t="s">
        <v>1207</v>
      </c>
      <c r="D315" s="121" t="s">
        <v>1208</v>
      </c>
      <c r="E315" s="121" t="s">
        <v>1209</v>
      </c>
      <c r="F315" s="121" t="s">
        <v>1210</v>
      </c>
      <c r="G315" s="121" t="s">
        <v>1211</v>
      </c>
      <c r="H315" s="122" t="s">
        <v>1212</v>
      </c>
    </row>
    <row r="316" spans="3:9">
      <c r="C316" s="142" t="s">
        <v>1213</v>
      </c>
      <c r="D316" s="60" t="s">
        <v>1214</v>
      </c>
      <c r="E316" s="74"/>
      <c r="F316" s="74"/>
      <c r="G316" s="74"/>
      <c r="H316" s="147"/>
    </row>
    <row r="317" spans="3:9">
      <c r="C317" s="143">
        <v>1</v>
      </c>
      <c r="D317" s="60" t="s">
        <v>5</v>
      </c>
      <c r="E317" s="73" t="s">
        <v>6</v>
      </c>
      <c r="F317" s="75">
        <v>0.2</v>
      </c>
      <c r="G317" s="65">
        <f>VLOOKUP(D317,upahbahan,3,FALSE)</f>
        <v>100000</v>
      </c>
      <c r="H317" s="125">
        <f>F317*G317</f>
        <v>20000</v>
      </c>
    </row>
    <row r="318" spans="3:9">
      <c r="C318" s="143">
        <v>2</v>
      </c>
      <c r="D318" s="60" t="s">
        <v>7</v>
      </c>
      <c r="E318" s="73" t="s">
        <v>6</v>
      </c>
      <c r="F318" s="75">
        <v>0.1</v>
      </c>
      <c r="G318" s="65">
        <f>VLOOKUP(D318,upahbahan,3,FALSE)</f>
        <v>145000</v>
      </c>
      <c r="H318" s="125">
        <f>F318*G318</f>
        <v>14500</v>
      </c>
    </row>
    <row r="319" spans="3:9">
      <c r="C319" s="143">
        <v>3</v>
      </c>
      <c r="D319" s="60" t="s">
        <v>18</v>
      </c>
      <c r="E319" s="73" t="s">
        <v>6</v>
      </c>
      <c r="F319" s="75">
        <v>0.01</v>
      </c>
      <c r="G319" s="65">
        <f>VLOOKUP(D319,upahbahan,3,FALSE)</f>
        <v>150000</v>
      </c>
      <c r="H319" s="125">
        <f>F319*G319</f>
        <v>1500</v>
      </c>
    </row>
    <row r="320" spans="3:9">
      <c r="C320" s="143">
        <v>4</v>
      </c>
      <c r="D320" s="60" t="s">
        <v>19</v>
      </c>
      <c r="E320" s="73" t="s">
        <v>6</v>
      </c>
      <c r="F320" s="75">
        <v>3.3E-3</v>
      </c>
      <c r="G320" s="65">
        <f>VLOOKUP(D320,upahbahan,3,FALSE)</f>
        <v>145000</v>
      </c>
      <c r="H320" s="125">
        <f>F320*G320</f>
        <v>478.5</v>
      </c>
    </row>
    <row r="321" spans="3:9">
      <c r="C321" s="145" t="s">
        <v>1421</v>
      </c>
      <c r="D321" s="81"/>
      <c r="E321" s="81"/>
      <c r="F321" s="190"/>
      <c r="G321" s="232"/>
      <c r="H321" s="125">
        <f>SUM(H317:H320)</f>
        <v>36478.5</v>
      </c>
    </row>
    <row r="322" spans="3:9">
      <c r="C322" s="142" t="s">
        <v>1221</v>
      </c>
      <c r="D322" s="60" t="s">
        <v>1222</v>
      </c>
      <c r="E322" s="74"/>
      <c r="F322" s="208"/>
      <c r="G322" s="208"/>
      <c r="H322" s="147"/>
    </row>
    <row r="323" spans="3:9">
      <c r="C323" s="143">
        <v>1</v>
      </c>
      <c r="D323" s="60" t="s">
        <v>51</v>
      </c>
      <c r="E323" s="73" t="s">
        <v>44</v>
      </c>
      <c r="F323" s="75">
        <v>36.46</v>
      </c>
      <c r="G323" s="65">
        <f>VLOOKUP(D323,upahbahan,3,FALSE)</f>
        <v>15000</v>
      </c>
      <c r="H323" s="125">
        <f>F323*G323</f>
        <v>546900</v>
      </c>
    </row>
    <row r="324" spans="3:9">
      <c r="C324" s="143">
        <v>2</v>
      </c>
      <c r="D324" s="60" t="s">
        <v>568</v>
      </c>
      <c r="E324" s="73" t="s">
        <v>66</v>
      </c>
      <c r="F324" s="75">
        <v>11</v>
      </c>
      <c r="G324" s="65">
        <f>VLOOKUP(D324,upahbahan,3,FALSE)</f>
        <v>1300</v>
      </c>
      <c r="H324" s="125">
        <f>F324*G324</f>
        <v>14300</v>
      </c>
    </row>
    <row r="325" spans="3:9">
      <c r="C325" s="143">
        <v>3</v>
      </c>
      <c r="D325" s="78" t="s">
        <v>86</v>
      </c>
      <c r="E325" s="73" t="s">
        <v>42</v>
      </c>
      <c r="F325" s="75">
        <v>3.5000000000000003E-2</v>
      </c>
      <c r="G325" s="65">
        <f>VLOOKUP(D325,upahbahan,3,FALSE)</f>
        <v>275000</v>
      </c>
      <c r="H325" s="125">
        <f>F325*G325</f>
        <v>9625.0000000000018</v>
      </c>
    </row>
    <row r="326" spans="3:9">
      <c r="C326" s="145" t="s">
        <v>1226</v>
      </c>
      <c r="D326" s="81"/>
      <c r="E326" s="81"/>
      <c r="F326" s="81"/>
      <c r="G326" s="163"/>
      <c r="H326" s="125">
        <f>SUM(H323:H325)</f>
        <v>570825</v>
      </c>
    </row>
    <row r="327" spans="3:9">
      <c r="C327" s="153" t="s">
        <v>1227</v>
      </c>
      <c r="D327" s="60" t="s">
        <v>1228</v>
      </c>
      <c r="E327" s="74"/>
      <c r="F327" s="74"/>
      <c r="G327" s="74"/>
      <c r="H327" s="147"/>
    </row>
    <row r="328" spans="3:9">
      <c r="C328" s="145" t="s">
        <v>1229</v>
      </c>
      <c r="D328" s="81"/>
      <c r="E328" s="81"/>
      <c r="F328" s="81"/>
      <c r="G328" s="163"/>
      <c r="H328" s="154">
        <v>0</v>
      </c>
    </row>
    <row r="329" spans="3:9">
      <c r="C329" s="123" t="s">
        <v>1230</v>
      </c>
      <c r="D329" s="70" t="s">
        <v>1231</v>
      </c>
      <c r="E329" s="71"/>
      <c r="F329" s="71"/>
      <c r="G329" s="72"/>
      <c r="H329" s="125">
        <f>H328+H326+H321</f>
        <v>607303.5</v>
      </c>
    </row>
    <row r="330" spans="3:9">
      <c r="C330" s="123" t="s">
        <v>1232</v>
      </c>
      <c r="D330" s="70" t="s">
        <v>1410</v>
      </c>
      <c r="E330" s="71"/>
      <c r="F330" s="72"/>
      <c r="G330" s="96">
        <f>$M$7</f>
        <v>0.1</v>
      </c>
      <c r="H330" s="125">
        <f>H329*G330</f>
        <v>60730.350000000006</v>
      </c>
    </row>
    <row r="331" spans="3:9" ht="15.75" thickBot="1">
      <c r="C331" s="131" t="s">
        <v>1233</v>
      </c>
      <c r="D331" s="132" t="s">
        <v>1234</v>
      </c>
      <c r="E331" s="133"/>
      <c r="F331" s="133"/>
      <c r="G331" s="156"/>
      <c r="H331" s="135">
        <f>SUM(H329:H330)</f>
        <v>668033.85</v>
      </c>
    </row>
    <row r="332" spans="3:9" ht="15" thickTop="1">
      <c r="C332" s="240"/>
      <c r="D332" s="523"/>
      <c r="E332" s="523"/>
      <c r="F332" s="198"/>
      <c r="G332" s="198"/>
      <c r="H332" s="198"/>
    </row>
    <row r="333" spans="3:9" ht="29.45" customHeight="1" thickBot="1">
      <c r="C333" s="519" t="s">
        <v>1446</v>
      </c>
      <c r="D333" s="519"/>
      <c r="E333" s="519"/>
      <c r="F333" s="519"/>
      <c r="G333" s="519"/>
      <c r="H333" s="519"/>
      <c r="I333" s="57">
        <f>ROUNDDOWN(H350,-2)</f>
        <v>668000</v>
      </c>
    </row>
    <row r="334" spans="3:9" ht="29.25" thickTop="1">
      <c r="C334" s="120" t="s">
        <v>1207</v>
      </c>
      <c r="D334" s="121" t="s">
        <v>1208</v>
      </c>
      <c r="E334" s="121" t="s">
        <v>1209</v>
      </c>
      <c r="F334" s="121" t="s">
        <v>1210</v>
      </c>
      <c r="G334" s="121" t="s">
        <v>1211</v>
      </c>
      <c r="H334" s="122" t="s">
        <v>1212</v>
      </c>
    </row>
    <row r="335" spans="3:9">
      <c r="C335" s="142" t="s">
        <v>1213</v>
      </c>
      <c r="D335" s="60" t="s">
        <v>1214</v>
      </c>
      <c r="E335" s="74"/>
      <c r="F335" s="74"/>
      <c r="G335" s="74"/>
      <c r="H335" s="147"/>
    </row>
    <row r="336" spans="3:9">
      <c r="C336" s="143">
        <v>1</v>
      </c>
      <c r="D336" s="60" t="s">
        <v>5</v>
      </c>
      <c r="E336" s="73" t="s">
        <v>6</v>
      </c>
      <c r="F336" s="75">
        <v>0.2</v>
      </c>
      <c r="G336" s="65">
        <f>VLOOKUP(D336,upahbahan,3,FALSE)</f>
        <v>100000</v>
      </c>
      <c r="H336" s="125">
        <f>F336*G336</f>
        <v>20000</v>
      </c>
    </row>
    <row r="337" spans="3:9">
      <c r="C337" s="143">
        <v>2</v>
      </c>
      <c r="D337" s="60" t="s">
        <v>7</v>
      </c>
      <c r="E337" s="73" t="s">
        <v>6</v>
      </c>
      <c r="F337" s="75">
        <v>0.1</v>
      </c>
      <c r="G337" s="65">
        <f>VLOOKUP(D337,upahbahan,3,FALSE)</f>
        <v>145000</v>
      </c>
      <c r="H337" s="125">
        <f>F337*G337</f>
        <v>14500</v>
      </c>
    </row>
    <row r="338" spans="3:9">
      <c r="C338" s="143">
        <v>3</v>
      </c>
      <c r="D338" s="60" t="s">
        <v>18</v>
      </c>
      <c r="E338" s="73" t="s">
        <v>6</v>
      </c>
      <c r="F338" s="75">
        <v>0.01</v>
      </c>
      <c r="G338" s="65">
        <f>VLOOKUP(D338,upahbahan,3,FALSE)</f>
        <v>150000</v>
      </c>
      <c r="H338" s="125">
        <f>F338*G338</f>
        <v>1500</v>
      </c>
    </row>
    <row r="339" spans="3:9">
      <c r="C339" s="143">
        <v>4</v>
      </c>
      <c r="D339" s="60" t="s">
        <v>19</v>
      </c>
      <c r="E339" s="73" t="s">
        <v>6</v>
      </c>
      <c r="F339" s="75">
        <v>3.3E-3</v>
      </c>
      <c r="G339" s="65">
        <f>VLOOKUP(D339,upahbahan,3,FALSE)</f>
        <v>145000</v>
      </c>
      <c r="H339" s="125">
        <f>F339*G339</f>
        <v>478.5</v>
      </c>
    </row>
    <row r="340" spans="3:9">
      <c r="C340" s="145" t="s">
        <v>1421</v>
      </c>
      <c r="D340" s="81"/>
      <c r="E340" s="81"/>
      <c r="F340" s="190"/>
      <c r="G340" s="163"/>
      <c r="H340" s="125">
        <f>SUM(H336:H339)</f>
        <v>36478.5</v>
      </c>
    </row>
    <row r="341" spans="3:9">
      <c r="C341" s="142" t="s">
        <v>1221</v>
      </c>
      <c r="D341" s="60" t="s">
        <v>1222</v>
      </c>
      <c r="E341" s="74"/>
      <c r="F341" s="208"/>
      <c r="G341" s="74"/>
      <c r="H341" s="147"/>
    </row>
    <row r="342" spans="3:9">
      <c r="C342" s="143">
        <v>1</v>
      </c>
      <c r="D342" s="60" t="s">
        <v>51</v>
      </c>
      <c r="E342" s="73" t="s">
        <v>44</v>
      </c>
      <c r="F342" s="75">
        <v>36.46</v>
      </c>
      <c r="G342" s="65">
        <f>VLOOKUP(D342,upahbahan,3,FALSE)</f>
        <v>15000</v>
      </c>
      <c r="H342" s="125">
        <f>F342*G342</f>
        <v>546900</v>
      </c>
    </row>
    <row r="343" spans="3:9">
      <c r="C343" s="143">
        <v>2</v>
      </c>
      <c r="D343" s="60" t="s">
        <v>568</v>
      </c>
      <c r="E343" s="73" t="s">
        <v>66</v>
      </c>
      <c r="F343" s="75">
        <v>11</v>
      </c>
      <c r="G343" s="65">
        <f>VLOOKUP(D343,upahbahan,3,FALSE)</f>
        <v>1300</v>
      </c>
      <c r="H343" s="125">
        <f>F343*G343</f>
        <v>14300</v>
      </c>
    </row>
    <row r="344" spans="3:9">
      <c r="C344" s="143">
        <v>3</v>
      </c>
      <c r="D344" s="78" t="s">
        <v>86</v>
      </c>
      <c r="E344" s="73" t="s">
        <v>42</v>
      </c>
      <c r="F344" s="75">
        <v>3.5000000000000003E-2</v>
      </c>
      <c r="G344" s="65">
        <f>VLOOKUP(D344,upahbahan,3,FALSE)</f>
        <v>275000</v>
      </c>
      <c r="H344" s="125">
        <f>F344*G344</f>
        <v>9625.0000000000018</v>
      </c>
    </row>
    <row r="345" spans="3:9">
      <c r="C345" s="145" t="s">
        <v>1226</v>
      </c>
      <c r="D345" s="81"/>
      <c r="E345" s="81"/>
      <c r="F345" s="81"/>
      <c r="G345" s="163"/>
      <c r="H345" s="125">
        <f>SUM(H342:H344)</f>
        <v>570825</v>
      </c>
    </row>
    <row r="346" spans="3:9">
      <c r="C346" s="153" t="s">
        <v>1227</v>
      </c>
      <c r="D346" s="60" t="s">
        <v>1228</v>
      </c>
      <c r="E346" s="74"/>
      <c r="F346" s="74"/>
      <c r="G346" s="74"/>
      <c r="H346" s="147"/>
    </row>
    <row r="347" spans="3:9">
      <c r="C347" s="145" t="s">
        <v>1229</v>
      </c>
      <c r="D347" s="81"/>
      <c r="E347" s="81"/>
      <c r="F347" s="81"/>
      <c r="G347" s="163"/>
      <c r="H347" s="154">
        <v>0</v>
      </c>
    </row>
    <row r="348" spans="3:9">
      <c r="C348" s="123" t="s">
        <v>1230</v>
      </c>
      <c r="D348" s="70" t="s">
        <v>1231</v>
      </c>
      <c r="E348" s="71"/>
      <c r="F348" s="71"/>
      <c r="G348" s="72"/>
      <c r="H348" s="125">
        <f>H347+H345+H340</f>
        <v>607303.5</v>
      </c>
    </row>
    <row r="349" spans="3:9">
      <c r="C349" s="123" t="s">
        <v>1232</v>
      </c>
      <c r="D349" s="70" t="s">
        <v>1410</v>
      </c>
      <c r="E349" s="71"/>
      <c r="F349" s="72"/>
      <c r="G349" s="96">
        <f>$M$7</f>
        <v>0.1</v>
      </c>
      <c r="H349" s="125">
        <f>H348*G349</f>
        <v>60730.350000000006</v>
      </c>
    </row>
    <row r="350" spans="3:9" ht="15.75" thickBot="1">
      <c r="C350" s="131" t="s">
        <v>1233</v>
      </c>
      <c r="D350" s="132" t="s">
        <v>1234</v>
      </c>
      <c r="E350" s="133"/>
      <c r="F350" s="133"/>
      <c r="G350" s="156"/>
      <c r="H350" s="135">
        <f>SUM(H348:H349)</f>
        <v>668033.85</v>
      </c>
    </row>
    <row r="351" spans="3:9" ht="15" thickTop="1">
      <c r="C351" s="240"/>
      <c r="D351" s="523"/>
      <c r="E351" s="523"/>
      <c r="F351" s="198"/>
      <c r="G351" s="198"/>
      <c r="H351" s="198"/>
    </row>
    <row r="352" spans="3:9" ht="28.9" customHeight="1" thickBot="1">
      <c r="C352" s="519" t="s">
        <v>1447</v>
      </c>
      <c r="D352" s="519"/>
      <c r="E352" s="519"/>
      <c r="F352" s="519"/>
      <c r="G352" s="519"/>
      <c r="H352" s="519"/>
      <c r="I352" s="57">
        <f>ROUNDDOWN(H369,-2)</f>
        <v>691400</v>
      </c>
    </row>
    <row r="353" spans="3:8" ht="29.25" thickTop="1">
      <c r="C353" s="120" t="s">
        <v>1207</v>
      </c>
      <c r="D353" s="121" t="s">
        <v>1208</v>
      </c>
      <c r="E353" s="121" t="s">
        <v>1209</v>
      </c>
      <c r="F353" s="121" t="s">
        <v>1210</v>
      </c>
      <c r="G353" s="121" t="s">
        <v>1211</v>
      </c>
      <c r="H353" s="122" t="s">
        <v>1212</v>
      </c>
    </row>
    <row r="354" spans="3:8">
      <c r="C354" s="142" t="s">
        <v>1213</v>
      </c>
      <c r="D354" s="60" t="s">
        <v>1214</v>
      </c>
      <c r="E354" s="74"/>
      <c r="F354" s="74"/>
      <c r="G354" s="65"/>
      <c r="H354" s="147"/>
    </row>
    <row r="355" spans="3:8">
      <c r="C355" s="143">
        <v>1</v>
      </c>
      <c r="D355" s="60" t="s">
        <v>5</v>
      </c>
      <c r="E355" s="73" t="s">
        <v>6</v>
      </c>
      <c r="F355" s="75">
        <v>0.3</v>
      </c>
      <c r="G355" s="65">
        <f>VLOOKUP(D355,upahbahan,3,FALSE)</f>
        <v>100000</v>
      </c>
      <c r="H355" s="125">
        <f>F355*G355</f>
        <v>30000</v>
      </c>
    </row>
    <row r="356" spans="3:8">
      <c r="C356" s="143">
        <v>2</v>
      </c>
      <c r="D356" s="60" t="s">
        <v>7</v>
      </c>
      <c r="E356" s="73" t="s">
        <v>6</v>
      </c>
      <c r="F356" s="75">
        <v>0.15</v>
      </c>
      <c r="G356" s="65">
        <f>VLOOKUP(D356,upahbahan,3,FALSE)</f>
        <v>145000</v>
      </c>
      <c r="H356" s="125">
        <f>F356*G356</f>
        <v>21750</v>
      </c>
    </row>
    <row r="357" spans="3:8">
      <c r="C357" s="143">
        <v>3</v>
      </c>
      <c r="D357" s="60" t="s">
        <v>18</v>
      </c>
      <c r="E357" s="73" t="s">
        <v>6</v>
      </c>
      <c r="F357" s="75">
        <v>1.4999999999999999E-2</v>
      </c>
      <c r="G357" s="65">
        <f>VLOOKUP(D357,upahbahan,3,FALSE)</f>
        <v>150000</v>
      </c>
      <c r="H357" s="125">
        <f>F357*G357</f>
        <v>2250</v>
      </c>
    </row>
    <row r="358" spans="3:8">
      <c r="C358" s="143">
        <v>4</v>
      </c>
      <c r="D358" s="60" t="s">
        <v>19</v>
      </c>
      <c r="E358" s="73" t="s">
        <v>6</v>
      </c>
      <c r="F358" s="75">
        <v>5.0000000000000001E-3</v>
      </c>
      <c r="G358" s="65">
        <f>VLOOKUP(D358,upahbahan,3,FALSE)</f>
        <v>145000</v>
      </c>
      <c r="H358" s="125">
        <f>F358*G358</f>
        <v>725</v>
      </c>
    </row>
    <row r="359" spans="3:8">
      <c r="C359" s="145" t="s">
        <v>1421</v>
      </c>
      <c r="D359" s="81"/>
      <c r="E359" s="81"/>
      <c r="F359" s="190"/>
      <c r="G359" s="163"/>
      <c r="H359" s="125">
        <f>SUM(H355:H358)</f>
        <v>54725</v>
      </c>
    </row>
    <row r="360" spans="3:8">
      <c r="C360" s="142" t="s">
        <v>1221</v>
      </c>
      <c r="D360" s="60" t="s">
        <v>1222</v>
      </c>
      <c r="E360" s="74"/>
      <c r="F360" s="208"/>
      <c r="G360" s="74"/>
      <c r="H360" s="147"/>
    </row>
    <row r="361" spans="3:8">
      <c r="C361" s="143">
        <v>1</v>
      </c>
      <c r="D361" s="60" t="s">
        <v>51</v>
      </c>
      <c r="E361" s="73" t="s">
        <v>44</v>
      </c>
      <c r="F361" s="75">
        <v>36.46</v>
      </c>
      <c r="G361" s="65">
        <f>VLOOKUP(D361,upahbahan,3,FALSE)</f>
        <v>15000</v>
      </c>
      <c r="H361" s="125">
        <f>F361*G361</f>
        <v>546900</v>
      </c>
    </row>
    <row r="362" spans="3:8">
      <c r="C362" s="143">
        <v>2</v>
      </c>
      <c r="D362" s="60" t="s">
        <v>568</v>
      </c>
      <c r="E362" s="73" t="s">
        <v>66</v>
      </c>
      <c r="F362" s="75">
        <v>14</v>
      </c>
      <c r="G362" s="65">
        <f>VLOOKUP(D362,upahbahan,3,FALSE)</f>
        <v>1300</v>
      </c>
      <c r="H362" s="125">
        <f>F362*G362</f>
        <v>18200</v>
      </c>
    </row>
    <row r="363" spans="3:8">
      <c r="C363" s="143">
        <v>3</v>
      </c>
      <c r="D363" s="78" t="s">
        <v>86</v>
      </c>
      <c r="E363" s="73" t="s">
        <v>42</v>
      </c>
      <c r="F363" s="75">
        <v>3.2000000000000001E-2</v>
      </c>
      <c r="G363" s="65">
        <f>VLOOKUP(D363,upahbahan,3,FALSE)</f>
        <v>275000</v>
      </c>
      <c r="H363" s="125">
        <f>F363*G363</f>
        <v>8800</v>
      </c>
    </row>
    <row r="364" spans="3:8">
      <c r="C364" s="145" t="s">
        <v>1226</v>
      </c>
      <c r="D364" s="81"/>
      <c r="E364" s="81"/>
      <c r="F364" s="81"/>
      <c r="G364" s="163"/>
      <c r="H364" s="125">
        <f>SUM(H361:H363)</f>
        <v>573900</v>
      </c>
    </row>
    <row r="365" spans="3:8">
      <c r="C365" s="153" t="s">
        <v>1227</v>
      </c>
      <c r="D365" s="60" t="s">
        <v>1228</v>
      </c>
      <c r="E365" s="74"/>
      <c r="F365" s="74"/>
      <c r="G365" s="74"/>
      <c r="H365" s="147"/>
    </row>
    <row r="366" spans="3:8">
      <c r="C366" s="145" t="s">
        <v>1229</v>
      </c>
      <c r="D366" s="81"/>
      <c r="E366" s="81"/>
      <c r="F366" s="81"/>
      <c r="G366" s="163"/>
      <c r="H366" s="154">
        <v>0</v>
      </c>
    </row>
    <row r="367" spans="3:8">
      <c r="C367" s="123" t="s">
        <v>1230</v>
      </c>
      <c r="D367" s="70" t="s">
        <v>1231</v>
      </c>
      <c r="E367" s="71"/>
      <c r="F367" s="71"/>
      <c r="G367" s="72"/>
      <c r="H367" s="125">
        <f>H366+H364+H359</f>
        <v>628625</v>
      </c>
    </row>
    <row r="368" spans="3:8">
      <c r="C368" s="123" t="s">
        <v>1232</v>
      </c>
      <c r="D368" s="70" t="s">
        <v>1410</v>
      </c>
      <c r="E368" s="71"/>
      <c r="F368" s="72"/>
      <c r="G368" s="96">
        <f>$M$7</f>
        <v>0.1</v>
      </c>
      <c r="H368" s="125">
        <f>H367*G368</f>
        <v>62862.5</v>
      </c>
    </row>
    <row r="369" spans="3:9" ht="15.75" thickBot="1">
      <c r="C369" s="131" t="s">
        <v>1233</v>
      </c>
      <c r="D369" s="132" t="s">
        <v>1234</v>
      </c>
      <c r="E369" s="133"/>
      <c r="F369" s="133"/>
      <c r="G369" s="156"/>
      <c r="H369" s="135">
        <f>SUM(H367:H368)</f>
        <v>691487.5</v>
      </c>
    </row>
    <row r="370" spans="3:9" ht="15.75" thickTop="1">
      <c r="C370" s="58"/>
      <c r="D370" s="82"/>
      <c r="E370" s="82"/>
      <c r="F370" s="82"/>
      <c r="G370" s="82"/>
      <c r="H370" s="83"/>
    </row>
    <row r="371" spans="3:9" ht="15.75" thickBot="1">
      <c r="C371" s="235" t="s">
        <v>1448</v>
      </c>
      <c r="D371" s="239"/>
      <c r="E371" s="238"/>
      <c r="F371" s="238"/>
      <c r="G371" s="238"/>
      <c r="H371" s="238"/>
      <c r="I371" s="57">
        <f>ROUNDDOWN(H388,-2)</f>
        <v>142000</v>
      </c>
    </row>
    <row r="372" spans="3:9" ht="29.25" thickTop="1">
      <c r="C372" s="120" t="s">
        <v>1207</v>
      </c>
      <c r="D372" s="121" t="s">
        <v>1208</v>
      </c>
      <c r="E372" s="121" t="s">
        <v>1209</v>
      </c>
      <c r="F372" s="121" t="s">
        <v>1210</v>
      </c>
      <c r="G372" s="121" t="s">
        <v>1211</v>
      </c>
      <c r="H372" s="122" t="s">
        <v>1212</v>
      </c>
    </row>
    <row r="373" spans="3:9">
      <c r="C373" s="142" t="s">
        <v>1213</v>
      </c>
      <c r="D373" s="60" t="s">
        <v>1214</v>
      </c>
      <c r="E373" s="74"/>
      <c r="F373" s="74"/>
      <c r="G373" s="74"/>
      <c r="H373" s="147"/>
    </row>
    <row r="374" spans="3:9">
      <c r="C374" s="143">
        <v>1</v>
      </c>
      <c r="D374" s="60" t="s">
        <v>5</v>
      </c>
      <c r="E374" s="73" t="s">
        <v>6</v>
      </c>
      <c r="F374" s="75">
        <v>0.2</v>
      </c>
      <c r="G374" s="65">
        <f>VLOOKUP(D374,upahbahan,3,FALSE)</f>
        <v>100000</v>
      </c>
      <c r="H374" s="125">
        <f>F374*G374</f>
        <v>20000</v>
      </c>
    </row>
    <row r="375" spans="3:9">
      <c r="C375" s="143">
        <v>2</v>
      </c>
      <c r="D375" s="60" t="s">
        <v>7</v>
      </c>
      <c r="E375" s="73" t="s">
        <v>6</v>
      </c>
      <c r="F375" s="75">
        <v>0.1</v>
      </c>
      <c r="G375" s="65">
        <f>VLOOKUP(D375,upahbahan,3,FALSE)</f>
        <v>145000</v>
      </c>
      <c r="H375" s="125">
        <f>F375*G375</f>
        <v>14500</v>
      </c>
    </row>
    <row r="376" spans="3:9">
      <c r="C376" s="143">
        <v>3</v>
      </c>
      <c r="D376" s="60" t="s">
        <v>18</v>
      </c>
      <c r="E376" s="73" t="s">
        <v>6</v>
      </c>
      <c r="F376" s="75">
        <v>0.01</v>
      </c>
      <c r="G376" s="65">
        <f>VLOOKUP(D376,upahbahan,3,FALSE)</f>
        <v>150000</v>
      </c>
      <c r="H376" s="125">
        <f>F376*G376</f>
        <v>1500</v>
      </c>
    </row>
    <row r="377" spans="3:9">
      <c r="C377" s="143">
        <v>4</v>
      </c>
      <c r="D377" s="60" t="s">
        <v>19</v>
      </c>
      <c r="E377" s="73" t="s">
        <v>6</v>
      </c>
      <c r="F377" s="75">
        <v>3.3E-3</v>
      </c>
      <c r="G377" s="65">
        <f>VLOOKUP(D377,upahbahan,3,FALSE)</f>
        <v>145000</v>
      </c>
      <c r="H377" s="125">
        <f>F377*G377</f>
        <v>478.5</v>
      </c>
    </row>
    <row r="378" spans="3:9">
      <c r="C378" s="145" t="s">
        <v>1421</v>
      </c>
      <c r="D378" s="81"/>
      <c r="E378" s="81"/>
      <c r="F378" s="190"/>
      <c r="G378" s="163"/>
      <c r="H378" s="125">
        <f>SUM(H374:H377)</f>
        <v>36478.5</v>
      </c>
    </row>
    <row r="379" spans="3:9">
      <c r="C379" s="142" t="s">
        <v>1221</v>
      </c>
      <c r="D379" s="60" t="s">
        <v>1222</v>
      </c>
      <c r="E379" s="74"/>
      <c r="F379" s="208"/>
      <c r="G379" s="74"/>
      <c r="H379" s="147"/>
    </row>
    <row r="380" spans="3:9">
      <c r="C380" s="143">
        <v>1</v>
      </c>
      <c r="D380" s="60" t="s">
        <v>644</v>
      </c>
      <c r="E380" s="73" t="s">
        <v>44</v>
      </c>
      <c r="F380" s="75">
        <v>26.25</v>
      </c>
      <c r="G380" s="65">
        <f>VLOOKUP(D380,upahbahan,3,FALSE)</f>
        <v>2500</v>
      </c>
      <c r="H380" s="125">
        <f>F380*G380</f>
        <v>65625</v>
      </c>
    </row>
    <row r="381" spans="3:9">
      <c r="C381" s="143">
        <v>2</v>
      </c>
      <c r="D381" s="60" t="s">
        <v>568</v>
      </c>
      <c r="E381" s="73" t="s">
        <v>66</v>
      </c>
      <c r="F381" s="75">
        <v>14</v>
      </c>
      <c r="G381" s="65">
        <f>VLOOKUP(D381,upahbahan,3,FALSE)</f>
        <v>1300</v>
      </c>
      <c r="H381" s="125">
        <f>F381*G381</f>
        <v>18200</v>
      </c>
    </row>
    <row r="382" spans="3:9">
      <c r="C382" s="143">
        <v>3</v>
      </c>
      <c r="D382" s="78" t="s">
        <v>86</v>
      </c>
      <c r="E382" s="73" t="s">
        <v>42</v>
      </c>
      <c r="F382" s="75">
        <v>3.2000000000000001E-2</v>
      </c>
      <c r="G382" s="65">
        <f>VLOOKUP(D382,upahbahan,3,FALSE)</f>
        <v>275000</v>
      </c>
      <c r="H382" s="125">
        <f>F382*G382</f>
        <v>8800</v>
      </c>
    </row>
    <row r="383" spans="3:9">
      <c r="C383" s="145" t="s">
        <v>1226</v>
      </c>
      <c r="D383" s="81"/>
      <c r="E383" s="81"/>
      <c r="F383" s="81"/>
      <c r="G383" s="163"/>
      <c r="H383" s="125">
        <f>SUM(H380:H382)</f>
        <v>92625</v>
      </c>
    </row>
    <row r="384" spans="3:9">
      <c r="C384" s="153" t="s">
        <v>1227</v>
      </c>
      <c r="D384" s="60" t="s">
        <v>1228</v>
      </c>
      <c r="E384" s="74"/>
      <c r="F384" s="74"/>
      <c r="G384" s="74"/>
      <c r="H384" s="147"/>
    </row>
    <row r="385" spans="3:9">
      <c r="C385" s="145" t="s">
        <v>1229</v>
      </c>
      <c r="D385" s="81"/>
      <c r="E385" s="81"/>
      <c r="F385" s="81"/>
      <c r="G385" s="163"/>
      <c r="H385" s="154">
        <v>0</v>
      </c>
    </row>
    <row r="386" spans="3:9">
      <c r="C386" s="123" t="s">
        <v>1230</v>
      </c>
      <c r="D386" s="70" t="s">
        <v>1231</v>
      </c>
      <c r="E386" s="71"/>
      <c r="F386" s="71"/>
      <c r="G386" s="72"/>
      <c r="H386" s="125">
        <f>H385+H383+H378</f>
        <v>129103.5</v>
      </c>
    </row>
    <row r="387" spans="3:9">
      <c r="C387" s="123" t="s">
        <v>1232</v>
      </c>
      <c r="D387" s="70" t="s">
        <v>1410</v>
      </c>
      <c r="E387" s="71"/>
      <c r="F387" s="72"/>
      <c r="G387" s="96">
        <f>$M$7</f>
        <v>0.1</v>
      </c>
      <c r="H387" s="125">
        <f>H386*G387</f>
        <v>12910.35</v>
      </c>
    </row>
    <row r="388" spans="3:9" ht="15.75" thickBot="1">
      <c r="C388" s="131" t="s">
        <v>1233</v>
      </c>
      <c r="D388" s="132" t="s">
        <v>1234</v>
      </c>
      <c r="E388" s="133"/>
      <c r="F388" s="133"/>
      <c r="G388" s="156"/>
      <c r="H388" s="135">
        <f>SUM(H386:H387)</f>
        <v>142013.85</v>
      </c>
    </row>
    <row r="389" spans="3:9" ht="15.75" thickTop="1">
      <c r="C389" s="58"/>
      <c r="D389" s="82"/>
      <c r="E389" s="82"/>
      <c r="F389" s="82"/>
      <c r="G389" s="82"/>
      <c r="H389" s="83"/>
    </row>
    <row r="390" spans="3:9" ht="15.75" thickBot="1">
      <c r="C390" s="235" t="s">
        <v>1449</v>
      </c>
      <c r="D390" s="239"/>
      <c r="E390" s="225"/>
      <c r="F390" s="225"/>
      <c r="G390" s="225"/>
      <c r="H390" s="225"/>
      <c r="I390" s="57">
        <f>ROUNDDOWN(H406,-2)</f>
        <v>120500</v>
      </c>
    </row>
    <row r="391" spans="3:9" ht="29.25" thickTop="1">
      <c r="C391" s="120" t="s">
        <v>1207</v>
      </c>
      <c r="D391" s="121" t="s">
        <v>1208</v>
      </c>
      <c r="E391" s="121" t="s">
        <v>1209</v>
      </c>
      <c r="F391" s="121" t="s">
        <v>1210</v>
      </c>
      <c r="G391" s="121" t="s">
        <v>1211</v>
      </c>
      <c r="H391" s="122" t="s">
        <v>1212</v>
      </c>
    </row>
    <row r="392" spans="3:9">
      <c r="C392" s="142" t="s">
        <v>1213</v>
      </c>
      <c r="D392" s="60" t="s">
        <v>1214</v>
      </c>
      <c r="E392" s="74"/>
      <c r="F392" s="74"/>
      <c r="G392" s="74"/>
      <c r="H392" s="147"/>
    </row>
    <row r="393" spans="3:9">
      <c r="C393" s="143">
        <v>1</v>
      </c>
      <c r="D393" s="60" t="s">
        <v>5</v>
      </c>
      <c r="E393" s="73" t="s">
        <v>6</v>
      </c>
      <c r="F393" s="75">
        <v>0.16769999999999999</v>
      </c>
      <c r="G393" s="65">
        <f>VLOOKUP(D393,upahbahan,3,FALSE)</f>
        <v>100000</v>
      </c>
      <c r="H393" s="125">
        <f>F393*G393</f>
        <v>16770</v>
      </c>
    </row>
    <row r="394" spans="3:9">
      <c r="C394" s="143">
        <v>2</v>
      </c>
      <c r="D394" s="60" t="s">
        <v>7</v>
      </c>
      <c r="E394" s="73" t="s">
        <v>6</v>
      </c>
      <c r="F394" s="75">
        <v>8.3299999999999999E-2</v>
      </c>
      <c r="G394" s="65">
        <f>VLOOKUP(D394,upahbahan,3,FALSE)</f>
        <v>145000</v>
      </c>
      <c r="H394" s="125">
        <f>F394*G394</f>
        <v>12078.5</v>
      </c>
    </row>
    <row r="395" spans="3:9">
      <c r="C395" s="143">
        <v>3</v>
      </c>
      <c r="D395" s="60" t="s">
        <v>18</v>
      </c>
      <c r="E395" s="73" t="s">
        <v>6</v>
      </c>
      <c r="F395" s="75">
        <v>8.3000000000000001E-3</v>
      </c>
      <c r="G395" s="65">
        <f>VLOOKUP(D395,upahbahan,3,FALSE)</f>
        <v>150000</v>
      </c>
      <c r="H395" s="125">
        <f>F395*G395</f>
        <v>1245</v>
      </c>
    </row>
    <row r="396" spans="3:9">
      <c r="C396" s="143">
        <v>4</v>
      </c>
      <c r="D396" s="60" t="s">
        <v>19</v>
      </c>
      <c r="E396" s="73" t="s">
        <v>6</v>
      </c>
      <c r="F396" s="75">
        <v>2.8E-3</v>
      </c>
      <c r="G396" s="65">
        <f>VLOOKUP(D396,upahbahan,3,FALSE)</f>
        <v>145000</v>
      </c>
      <c r="H396" s="125">
        <f>F396*G396</f>
        <v>406</v>
      </c>
    </row>
    <row r="397" spans="3:9">
      <c r="C397" s="145" t="s">
        <v>1421</v>
      </c>
      <c r="D397" s="81"/>
      <c r="E397" s="81"/>
      <c r="F397" s="190"/>
      <c r="G397" s="163"/>
      <c r="H397" s="125">
        <f>SUM(H393:H396)</f>
        <v>30499.5</v>
      </c>
    </row>
    <row r="398" spans="3:9">
      <c r="C398" s="142" t="s">
        <v>1221</v>
      </c>
      <c r="D398" s="60" t="s">
        <v>1222</v>
      </c>
      <c r="E398" s="74"/>
      <c r="F398" s="208"/>
      <c r="G398" s="74"/>
      <c r="H398" s="147"/>
    </row>
    <row r="399" spans="3:9">
      <c r="C399" s="143">
        <v>1</v>
      </c>
      <c r="D399" s="60" t="s">
        <v>50</v>
      </c>
      <c r="E399" s="73" t="s">
        <v>44</v>
      </c>
      <c r="F399" s="75">
        <v>8.75</v>
      </c>
      <c r="G399" s="65">
        <f>VLOOKUP(D399,upahbahan,3,FALSE)</f>
        <v>8500</v>
      </c>
      <c r="H399" s="125">
        <f>F399*G399</f>
        <v>74375</v>
      </c>
    </row>
    <row r="400" spans="3:9">
      <c r="C400" s="143">
        <v>2</v>
      </c>
      <c r="D400" s="60" t="s">
        <v>1024</v>
      </c>
      <c r="E400" s="73" t="s">
        <v>66</v>
      </c>
      <c r="F400" s="75">
        <v>2.5710000000000002</v>
      </c>
      <c r="G400" s="65">
        <f>VLOOKUP(D400,upahbahan,3,FALSE)</f>
        <v>1850</v>
      </c>
      <c r="H400" s="125">
        <f>F400*G400</f>
        <v>4756.3500000000004</v>
      </c>
    </row>
    <row r="401" spans="3:9">
      <c r="C401" s="145" t="s">
        <v>1226</v>
      </c>
      <c r="D401" s="81"/>
      <c r="E401" s="233"/>
      <c r="F401" s="233"/>
      <c r="G401" s="233"/>
      <c r="H401" s="125">
        <f>SUM(H399:H400)</f>
        <v>79131.350000000006</v>
      </c>
    </row>
    <row r="402" spans="3:9">
      <c r="C402" s="153" t="s">
        <v>1227</v>
      </c>
      <c r="D402" s="60" t="s">
        <v>1228</v>
      </c>
      <c r="E402" s="74"/>
      <c r="F402" s="74"/>
      <c r="G402" s="74"/>
      <c r="H402" s="147"/>
    </row>
    <row r="403" spans="3:9">
      <c r="C403" s="145" t="s">
        <v>1229</v>
      </c>
      <c r="D403" s="81"/>
      <c r="E403" s="81"/>
      <c r="F403" s="81"/>
      <c r="G403" s="163"/>
      <c r="H403" s="154">
        <v>0</v>
      </c>
    </row>
    <row r="404" spans="3:9">
      <c r="C404" s="123" t="s">
        <v>1230</v>
      </c>
      <c r="D404" s="70" t="s">
        <v>1231</v>
      </c>
      <c r="E404" s="71"/>
      <c r="F404" s="71"/>
      <c r="G404" s="72"/>
      <c r="H404" s="125">
        <f>H403+H401+H397</f>
        <v>109630.85</v>
      </c>
    </row>
    <row r="405" spans="3:9">
      <c r="C405" s="123" t="s">
        <v>1232</v>
      </c>
      <c r="D405" s="70" t="s">
        <v>1410</v>
      </c>
      <c r="E405" s="71"/>
      <c r="F405" s="72"/>
      <c r="G405" s="96">
        <f>$M$7</f>
        <v>0.1</v>
      </c>
      <c r="H405" s="125">
        <f>H404*G405</f>
        <v>10963.085000000001</v>
      </c>
    </row>
    <row r="406" spans="3:9" ht="15.75" thickBot="1">
      <c r="C406" s="131" t="s">
        <v>1233</v>
      </c>
      <c r="D406" s="132" t="s">
        <v>1234</v>
      </c>
      <c r="E406" s="133"/>
      <c r="F406" s="133"/>
      <c r="G406" s="156"/>
      <c r="H406" s="135">
        <f>SUM(H404:H405)</f>
        <v>120593.93500000001</v>
      </c>
    </row>
    <row r="407" spans="3:9" ht="15.75" thickTop="1">
      <c r="C407" s="90"/>
      <c r="D407" s="91"/>
      <c r="E407" s="91"/>
      <c r="F407" s="91"/>
      <c r="G407" s="91"/>
      <c r="H407" s="92"/>
    </row>
    <row r="408" spans="3:9" ht="15.75" thickBot="1">
      <c r="C408" s="235" t="s">
        <v>1450</v>
      </c>
      <c r="D408" s="239"/>
      <c r="E408" s="226"/>
      <c r="F408" s="226"/>
      <c r="G408" s="226"/>
      <c r="H408" s="226"/>
      <c r="I408" s="57">
        <f>ROUNDDOWN(H424,-2)</f>
        <v>146400</v>
      </c>
    </row>
    <row r="409" spans="3:9" ht="29.25" thickTop="1">
      <c r="C409" s="120" t="s">
        <v>1207</v>
      </c>
      <c r="D409" s="121" t="s">
        <v>1208</v>
      </c>
      <c r="E409" s="121" t="s">
        <v>1209</v>
      </c>
      <c r="F409" s="121" t="s">
        <v>1210</v>
      </c>
      <c r="G409" s="121" t="s">
        <v>1211</v>
      </c>
      <c r="H409" s="122" t="s">
        <v>1212</v>
      </c>
    </row>
    <row r="410" spans="3:9">
      <c r="C410" s="142" t="s">
        <v>1213</v>
      </c>
      <c r="D410" s="60" t="s">
        <v>1214</v>
      </c>
      <c r="E410" s="74"/>
      <c r="F410" s="74"/>
      <c r="G410" s="74"/>
      <c r="H410" s="147"/>
    </row>
    <row r="411" spans="3:9">
      <c r="C411" s="143">
        <v>1</v>
      </c>
      <c r="D411" s="60" t="s">
        <v>5</v>
      </c>
      <c r="E411" s="73" t="s">
        <v>6</v>
      </c>
      <c r="F411" s="94">
        <v>0.16769999999999999</v>
      </c>
      <c r="G411" s="65">
        <f>VLOOKUP(D411,upahbahan,3,FALSE)</f>
        <v>100000</v>
      </c>
      <c r="H411" s="125">
        <f>F411*G411</f>
        <v>16770</v>
      </c>
    </row>
    <row r="412" spans="3:9">
      <c r="C412" s="143">
        <v>2</v>
      </c>
      <c r="D412" s="60" t="s">
        <v>7</v>
      </c>
      <c r="E412" s="73" t="s">
        <v>6</v>
      </c>
      <c r="F412" s="94">
        <v>8.3299999999999999E-2</v>
      </c>
      <c r="G412" s="65">
        <f>VLOOKUP(D412,upahbahan,3,FALSE)</f>
        <v>145000</v>
      </c>
      <c r="H412" s="125">
        <f>F412*G412</f>
        <v>12078.5</v>
      </c>
    </row>
    <row r="413" spans="3:9">
      <c r="C413" s="143">
        <v>3</v>
      </c>
      <c r="D413" s="60" t="s">
        <v>18</v>
      </c>
      <c r="E413" s="73" t="s">
        <v>6</v>
      </c>
      <c r="F413" s="94">
        <v>8.3000000000000001E-3</v>
      </c>
      <c r="G413" s="65">
        <f>VLOOKUP(D413,upahbahan,3,FALSE)</f>
        <v>150000</v>
      </c>
      <c r="H413" s="125">
        <f>F413*G413</f>
        <v>1245</v>
      </c>
    </row>
    <row r="414" spans="3:9">
      <c r="C414" s="143">
        <v>4</v>
      </c>
      <c r="D414" s="60" t="s">
        <v>19</v>
      </c>
      <c r="E414" s="73" t="s">
        <v>6</v>
      </c>
      <c r="F414" s="94">
        <v>2.8E-3</v>
      </c>
      <c r="G414" s="65">
        <f>VLOOKUP(D414,upahbahan,3,FALSE)</f>
        <v>145000</v>
      </c>
      <c r="H414" s="125">
        <f>F414*G414</f>
        <v>406</v>
      </c>
    </row>
    <row r="415" spans="3:9">
      <c r="C415" s="145" t="s">
        <v>1421</v>
      </c>
      <c r="D415" s="81"/>
      <c r="E415" s="81"/>
      <c r="F415" s="190"/>
      <c r="G415" s="163"/>
      <c r="H415" s="125">
        <f>SUM(H411:H414)</f>
        <v>30499.5</v>
      </c>
    </row>
    <row r="416" spans="3:9">
      <c r="C416" s="142" t="s">
        <v>1221</v>
      </c>
      <c r="D416" s="60" t="s">
        <v>1222</v>
      </c>
      <c r="E416" s="74"/>
      <c r="F416" s="234"/>
      <c r="G416" s="74"/>
      <c r="H416" s="147"/>
    </row>
    <row r="417" spans="3:9">
      <c r="C417" s="143">
        <v>1</v>
      </c>
      <c r="D417" s="60" t="s">
        <v>48</v>
      </c>
      <c r="E417" s="73" t="s">
        <v>44</v>
      </c>
      <c r="F417" s="75">
        <v>8.75</v>
      </c>
      <c r="G417" s="65">
        <f>VLOOKUP(D417,upahbahan,3,FALSE)</f>
        <v>11000</v>
      </c>
      <c r="H417" s="125">
        <f>F417*G417</f>
        <v>96250</v>
      </c>
    </row>
    <row r="418" spans="3:9">
      <c r="C418" s="143">
        <v>2</v>
      </c>
      <c r="D418" s="60" t="s">
        <v>1024</v>
      </c>
      <c r="E418" s="73" t="s">
        <v>66</v>
      </c>
      <c r="F418" s="75">
        <v>3.4289999999999998</v>
      </c>
      <c r="G418" s="65">
        <f>VLOOKUP(D418,upahbahan,3,FALSE)</f>
        <v>1850</v>
      </c>
      <c r="H418" s="125">
        <f>F418*G418</f>
        <v>6343.65</v>
      </c>
    </row>
    <row r="419" spans="3:9">
      <c r="C419" s="145" t="s">
        <v>1226</v>
      </c>
      <c r="D419" s="81"/>
      <c r="E419" s="81"/>
      <c r="F419" s="190"/>
      <c r="G419" s="163"/>
      <c r="H419" s="125">
        <f>SUM(H417:H418)</f>
        <v>102593.65</v>
      </c>
    </row>
    <row r="420" spans="3:9">
      <c r="C420" s="153" t="s">
        <v>1227</v>
      </c>
      <c r="D420" s="60" t="s">
        <v>1228</v>
      </c>
      <c r="E420" s="74"/>
      <c r="F420" s="74"/>
      <c r="G420" s="74"/>
      <c r="H420" s="147"/>
    </row>
    <row r="421" spans="3:9">
      <c r="C421" s="145" t="s">
        <v>1229</v>
      </c>
      <c r="D421" s="81"/>
      <c r="E421" s="81"/>
      <c r="F421" s="190"/>
      <c r="G421" s="163"/>
      <c r="H421" s="154">
        <v>0</v>
      </c>
    </row>
    <row r="422" spans="3:9">
      <c r="C422" s="123" t="s">
        <v>1230</v>
      </c>
      <c r="D422" s="70" t="s">
        <v>1231</v>
      </c>
      <c r="E422" s="71"/>
      <c r="F422" s="71"/>
      <c r="G422" s="72"/>
      <c r="H422" s="125">
        <f>H421+H419+H415</f>
        <v>133093.15</v>
      </c>
    </row>
    <row r="423" spans="3:9">
      <c r="C423" s="123" t="s">
        <v>1232</v>
      </c>
      <c r="D423" s="70" t="s">
        <v>1410</v>
      </c>
      <c r="E423" s="71"/>
      <c r="F423" s="72"/>
      <c r="G423" s="96">
        <f>$M$7</f>
        <v>0.1</v>
      </c>
      <c r="H423" s="125">
        <f>H422*G423</f>
        <v>13309.315000000001</v>
      </c>
    </row>
    <row r="424" spans="3:9" ht="15.75" thickBot="1">
      <c r="C424" s="131" t="s">
        <v>1233</v>
      </c>
      <c r="D424" s="132" t="s">
        <v>1234</v>
      </c>
      <c r="E424" s="133"/>
      <c r="F424" s="133"/>
      <c r="G424" s="156"/>
      <c r="H424" s="135">
        <f>SUM(H422:H423)</f>
        <v>146402.465</v>
      </c>
    </row>
    <row r="425" spans="3:9" ht="15" thickTop="1"/>
    <row r="426" spans="3:9" ht="15.75" thickBot="1">
      <c r="C426" s="235" t="s">
        <v>1451</v>
      </c>
      <c r="D426" s="239"/>
      <c r="E426" s="226"/>
      <c r="F426" s="226"/>
      <c r="G426" s="226"/>
      <c r="H426" s="226"/>
      <c r="I426" s="57">
        <f>ROUNDDOWN(H442,-2)</f>
        <v>256600</v>
      </c>
    </row>
    <row r="427" spans="3:9" ht="29.25" thickTop="1">
      <c r="C427" s="120" t="s">
        <v>1207</v>
      </c>
      <c r="D427" s="121" t="s">
        <v>1208</v>
      </c>
      <c r="E427" s="121" t="s">
        <v>1209</v>
      </c>
      <c r="F427" s="121" t="s">
        <v>1210</v>
      </c>
      <c r="G427" s="121" t="s">
        <v>1211</v>
      </c>
      <c r="H427" s="122" t="s">
        <v>1212</v>
      </c>
    </row>
    <row r="428" spans="3:9">
      <c r="C428" s="142" t="s">
        <v>1213</v>
      </c>
      <c r="D428" s="60" t="s">
        <v>1214</v>
      </c>
      <c r="E428" s="74"/>
      <c r="F428" s="74"/>
      <c r="G428" s="74"/>
      <c r="H428" s="147"/>
    </row>
    <row r="429" spans="3:9">
      <c r="C429" s="143">
        <v>1</v>
      </c>
      <c r="D429" s="60" t="s">
        <v>5</v>
      </c>
      <c r="E429" s="73" t="s">
        <v>6</v>
      </c>
      <c r="F429" s="94">
        <v>0.25</v>
      </c>
      <c r="G429" s="65">
        <f>VLOOKUP(D429,upahbahan,3,FALSE)</f>
        <v>100000</v>
      </c>
      <c r="H429" s="125">
        <f>F429*G429</f>
        <v>25000</v>
      </c>
    </row>
    <row r="430" spans="3:9">
      <c r="C430" s="143">
        <v>2</v>
      </c>
      <c r="D430" s="60" t="s">
        <v>7</v>
      </c>
      <c r="E430" s="73" t="s">
        <v>6</v>
      </c>
      <c r="F430" s="94">
        <v>0.125</v>
      </c>
      <c r="G430" s="65">
        <f>VLOOKUP(D430,upahbahan,3,FALSE)</f>
        <v>145000</v>
      </c>
      <c r="H430" s="125">
        <f>F430*G430</f>
        <v>18125</v>
      </c>
    </row>
    <row r="431" spans="3:9">
      <c r="C431" s="143">
        <v>3</v>
      </c>
      <c r="D431" s="60" t="s">
        <v>18</v>
      </c>
      <c r="E431" s="73" t="s">
        <v>6</v>
      </c>
      <c r="F431" s="94">
        <v>1.2500000000000001E-2</v>
      </c>
      <c r="G431" s="65">
        <f>VLOOKUP(D431,upahbahan,3,FALSE)</f>
        <v>150000</v>
      </c>
      <c r="H431" s="125">
        <f>F431*G431</f>
        <v>1875</v>
      </c>
    </row>
    <row r="432" spans="3:9">
      <c r="C432" s="143">
        <v>4</v>
      </c>
      <c r="D432" s="60" t="s">
        <v>19</v>
      </c>
      <c r="E432" s="73" t="s">
        <v>6</v>
      </c>
      <c r="F432" s="94">
        <v>4.1999999999999997E-3</v>
      </c>
      <c r="G432" s="65">
        <f>VLOOKUP(D432,upahbahan,3,FALSE)</f>
        <v>145000</v>
      </c>
      <c r="H432" s="125">
        <f>F432*G432</f>
        <v>609</v>
      </c>
    </row>
    <row r="433" spans="3:9">
      <c r="C433" s="145" t="s">
        <v>1421</v>
      </c>
      <c r="D433" s="81"/>
      <c r="E433" s="81"/>
      <c r="F433" s="190"/>
      <c r="G433" s="163"/>
      <c r="H433" s="125">
        <f>SUM(H429:H432)</f>
        <v>45609</v>
      </c>
    </row>
    <row r="434" spans="3:9">
      <c r="C434" s="142" t="s">
        <v>1221</v>
      </c>
      <c r="D434" s="60" t="s">
        <v>1222</v>
      </c>
      <c r="E434" s="74"/>
      <c r="F434" s="234"/>
      <c r="G434" s="74"/>
      <c r="H434" s="147"/>
    </row>
    <row r="435" spans="3:9">
      <c r="C435" s="143">
        <v>1</v>
      </c>
      <c r="D435" s="60" t="s">
        <v>49</v>
      </c>
      <c r="E435" s="73" t="s">
        <v>44</v>
      </c>
      <c r="F435" s="75">
        <v>8.75</v>
      </c>
      <c r="G435" s="65">
        <f>VLOOKUP(D435,upahbahan,3,FALSE)</f>
        <v>20000</v>
      </c>
      <c r="H435" s="125">
        <f>F435*G435</f>
        <v>175000</v>
      </c>
    </row>
    <row r="436" spans="3:9">
      <c r="C436" s="143">
        <v>2</v>
      </c>
      <c r="D436" s="60" t="s">
        <v>1024</v>
      </c>
      <c r="E436" s="73" t="s">
        <v>66</v>
      </c>
      <c r="F436" s="75">
        <v>6.8570000000000002</v>
      </c>
      <c r="G436" s="65">
        <f>VLOOKUP(D436,upahbahan,3,FALSE)</f>
        <v>1850</v>
      </c>
      <c r="H436" s="125">
        <f>F436*G436</f>
        <v>12685.45</v>
      </c>
    </row>
    <row r="437" spans="3:9">
      <c r="C437" s="145" t="s">
        <v>1226</v>
      </c>
      <c r="D437" s="81"/>
      <c r="E437" s="81"/>
      <c r="F437" s="190"/>
      <c r="G437" s="163"/>
      <c r="H437" s="125">
        <f>SUM(H435:H436)</f>
        <v>187685.45</v>
      </c>
    </row>
    <row r="438" spans="3:9">
      <c r="C438" s="153" t="s">
        <v>1227</v>
      </c>
      <c r="D438" s="60" t="s">
        <v>1228</v>
      </c>
      <c r="E438" s="74"/>
      <c r="F438" s="74"/>
      <c r="G438" s="74"/>
      <c r="H438" s="147"/>
    </row>
    <row r="439" spans="3:9">
      <c r="C439" s="145" t="s">
        <v>1229</v>
      </c>
      <c r="D439" s="81"/>
      <c r="E439" s="81"/>
      <c r="F439" s="190"/>
      <c r="G439" s="163"/>
      <c r="H439" s="154">
        <v>0</v>
      </c>
    </row>
    <row r="440" spans="3:9">
      <c r="C440" s="123" t="s">
        <v>1230</v>
      </c>
      <c r="D440" s="70" t="s">
        <v>1231</v>
      </c>
      <c r="E440" s="71"/>
      <c r="F440" s="71"/>
      <c r="G440" s="72"/>
      <c r="H440" s="125">
        <f>H439+H437+H433</f>
        <v>233294.45</v>
      </c>
    </row>
    <row r="441" spans="3:9">
      <c r="C441" s="123" t="s">
        <v>1232</v>
      </c>
      <c r="D441" s="70" t="s">
        <v>1410</v>
      </c>
      <c r="E441" s="71"/>
      <c r="F441" s="72"/>
      <c r="G441" s="96">
        <f>$M$7</f>
        <v>0.1</v>
      </c>
      <c r="H441" s="125">
        <f>H440*G441</f>
        <v>23329.445000000003</v>
      </c>
    </row>
    <row r="442" spans="3:9" ht="15.75" thickBot="1">
      <c r="C442" s="131" t="s">
        <v>1233</v>
      </c>
      <c r="D442" s="132" t="s">
        <v>1234</v>
      </c>
      <c r="E442" s="133"/>
      <c r="F442" s="133"/>
      <c r="G442" s="156"/>
      <c r="H442" s="135">
        <f>SUM(H440:H441)</f>
        <v>256623.89500000002</v>
      </c>
    </row>
    <row r="443" spans="3:9" ht="15" thickTop="1"/>
    <row r="444" spans="3:9" ht="31.9" customHeight="1" thickBot="1">
      <c r="C444" s="519" t="s">
        <v>1452</v>
      </c>
      <c r="D444" s="519"/>
      <c r="E444" s="519"/>
      <c r="F444" s="519"/>
      <c r="G444" s="519"/>
      <c r="H444" s="519"/>
      <c r="I444" s="57">
        <f>ROUNDDOWN(H461,-2)</f>
        <v>154400</v>
      </c>
    </row>
    <row r="445" spans="3:9" ht="29.25" thickTop="1">
      <c r="C445" s="120" t="s">
        <v>1207</v>
      </c>
      <c r="D445" s="121" t="s">
        <v>1208</v>
      </c>
      <c r="E445" s="121" t="s">
        <v>1209</v>
      </c>
      <c r="F445" s="121" t="s">
        <v>1210</v>
      </c>
      <c r="G445" s="121" t="s">
        <v>1211</v>
      </c>
      <c r="H445" s="122" t="s">
        <v>1212</v>
      </c>
    </row>
    <row r="446" spans="3:9">
      <c r="C446" s="142" t="s">
        <v>1213</v>
      </c>
      <c r="D446" s="60" t="s">
        <v>1214</v>
      </c>
      <c r="E446" s="74"/>
      <c r="F446" s="74"/>
      <c r="G446" s="74"/>
      <c r="H446" s="147"/>
    </row>
    <row r="447" spans="3:9">
      <c r="C447" s="143">
        <v>1</v>
      </c>
      <c r="D447" s="60" t="s">
        <v>5</v>
      </c>
      <c r="E447" s="73" t="s">
        <v>6</v>
      </c>
      <c r="F447" s="94">
        <v>0.18179999999999999</v>
      </c>
      <c r="G447" s="65">
        <f>VLOOKUP(D447,upahbahan,3,FALSE)</f>
        <v>100000</v>
      </c>
      <c r="H447" s="125">
        <f>F447*G447</f>
        <v>18180</v>
      </c>
    </row>
    <row r="448" spans="3:9">
      <c r="C448" s="143">
        <v>2</v>
      </c>
      <c r="D448" s="60" t="s">
        <v>7</v>
      </c>
      <c r="E448" s="73" t="s">
        <v>6</v>
      </c>
      <c r="F448" s="94">
        <v>9.0899999999999995E-2</v>
      </c>
      <c r="G448" s="65">
        <f>VLOOKUP(D448,upahbahan,3,FALSE)</f>
        <v>145000</v>
      </c>
      <c r="H448" s="125">
        <f>F448*G448</f>
        <v>13180.5</v>
      </c>
    </row>
    <row r="449" spans="3:9">
      <c r="C449" s="143">
        <v>3</v>
      </c>
      <c r="D449" s="60" t="s">
        <v>18</v>
      </c>
      <c r="E449" s="73" t="s">
        <v>6</v>
      </c>
      <c r="F449" s="94">
        <v>9.1000000000000004E-3</v>
      </c>
      <c r="G449" s="65">
        <f>VLOOKUP(D449,upahbahan,3,FALSE)</f>
        <v>150000</v>
      </c>
      <c r="H449" s="125">
        <f>F449*G449</f>
        <v>1365</v>
      </c>
    </row>
    <row r="450" spans="3:9">
      <c r="C450" s="143">
        <v>4</v>
      </c>
      <c r="D450" s="60" t="s">
        <v>19</v>
      </c>
      <c r="E450" s="73" t="s">
        <v>6</v>
      </c>
      <c r="F450" s="94">
        <v>3.0000000000000001E-3</v>
      </c>
      <c r="G450" s="65">
        <f>VLOOKUP(D450,upahbahan,3,FALSE)</f>
        <v>145000</v>
      </c>
      <c r="H450" s="125">
        <f>F450*G450</f>
        <v>435</v>
      </c>
    </row>
    <row r="451" spans="3:9">
      <c r="C451" s="145" t="s">
        <v>1421</v>
      </c>
      <c r="D451" s="81"/>
      <c r="E451" s="81"/>
      <c r="F451" s="190"/>
      <c r="G451" s="163"/>
      <c r="H451" s="125">
        <f>SUM(H447:H450)</f>
        <v>33160.5</v>
      </c>
    </row>
    <row r="452" spans="3:9">
      <c r="C452" s="142" t="s">
        <v>1221</v>
      </c>
      <c r="D452" s="60" t="s">
        <v>1222</v>
      </c>
      <c r="E452" s="74"/>
      <c r="F452" s="208"/>
      <c r="G452" s="74"/>
      <c r="H452" s="147"/>
    </row>
    <row r="453" spans="3:9">
      <c r="C453" s="201" t="s">
        <v>1215</v>
      </c>
      <c r="D453" s="60" t="s">
        <v>405</v>
      </c>
      <c r="E453" s="73" t="s">
        <v>44</v>
      </c>
      <c r="F453" s="75">
        <v>14</v>
      </c>
      <c r="G453" s="65">
        <f>VLOOKUP(D453,upahbahan,3,FALSE)</f>
        <v>3000</v>
      </c>
      <c r="H453" s="125">
        <f>F453*G453</f>
        <v>42000</v>
      </c>
    </row>
    <row r="454" spans="3:9">
      <c r="C454" s="201" t="s">
        <v>1216</v>
      </c>
      <c r="D454" s="60" t="s">
        <v>568</v>
      </c>
      <c r="E454" s="73" t="s">
        <v>66</v>
      </c>
      <c r="F454" s="75">
        <v>30.95</v>
      </c>
      <c r="G454" s="65">
        <f>VLOOKUP(D454,upahbahan,3,FALSE)</f>
        <v>1300</v>
      </c>
      <c r="H454" s="125">
        <f>F454*G454</f>
        <v>40235</v>
      </c>
    </row>
    <row r="455" spans="3:9">
      <c r="C455" s="201" t="s">
        <v>1217</v>
      </c>
      <c r="D455" s="78" t="s">
        <v>86</v>
      </c>
      <c r="E455" s="73" t="s">
        <v>42</v>
      </c>
      <c r="F455" s="75">
        <v>9.0999999999999998E-2</v>
      </c>
      <c r="G455" s="65">
        <f>VLOOKUP(D455,upahbahan,3,FALSE)</f>
        <v>275000</v>
      </c>
      <c r="H455" s="125">
        <f>F455*G455</f>
        <v>25025</v>
      </c>
    </row>
    <row r="456" spans="3:9">
      <c r="C456" s="145" t="s">
        <v>1226</v>
      </c>
      <c r="D456" s="81"/>
      <c r="E456" s="81"/>
      <c r="F456" s="190"/>
      <c r="G456" s="163"/>
      <c r="H456" s="125">
        <f>SUM(H453:H455)</f>
        <v>107260</v>
      </c>
    </row>
    <row r="457" spans="3:9">
      <c r="C457" s="153" t="s">
        <v>1227</v>
      </c>
      <c r="D457" s="60" t="s">
        <v>1228</v>
      </c>
      <c r="E457" s="74"/>
      <c r="F457" s="74"/>
      <c r="G457" s="74"/>
      <c r="H457" s="147"/>
    </row>
    <row r="458" spans="3:9">
      <c r="C458" s="145" t="s">
        <v>1229</v>
      </c>
      <c r="D458" s="81"/>
      <c r="E458" s="81"/>
      <c r="F458" s="190"/>
      <c r="G458" s="163"/>
      <c r="H458" s="154">
        <v>0</v>
      </c>
    </row>
    <row r="459" spans="3:9">
      <c r="C459" s="123" t="s">
        <v>1230</v>
      </c>
      <c r="D459" s="70" t="s">
        <v>1231</v>
      </c>
      <c r="E459" s="71"/>
      <c r="F459" s="71"/>
      <c r="G459" s="72"/>
      <c r="H459" s="125">
        <f>H458+H456+H451</f>
        <v>140420.5</v>
      </c>
    </row>
    <row r="460" spans="3:9">
      <c r="C460" s="123" t="s">
        <v>1232</v>
      </c>
      <c r="D460" s="70" t="s">
        <v>1410</v>
      </c>
      <c r="E460" s="71"/>
      <c r="F460" s="72"/>
      <c r="G460" s="96">
        <f>$M$7</f>
        <v>0.1</v>
      </c>
      <c r="H460" s="125">
        <f>H459*G460</f>
        <v>14042.050000000001</v>
      </c>
    </row>
    <row r="461" spans="3:9" ht="15.75" thickBot="1">
      <c r="C461" s="131" t="s">
        <v>1233</v>
      </c>
      <c r="D461" s="132" t="s">
        <v>1234</v>
      </c>
      <c r="E461" s="133"/>
      <c r="F461" s="133"/>
      <c r="G461" s="156"/>
      <c r="H461" s="135">
        <f>SUM(H459:H460)</f>
        <v>154462.54999999999</v>
      </c>
    </row>
    <row r="462" spans="3:9" ht="15" thickTop="1"/>
    <row r="463" spans="3:9" ht="30.6" customHeight="1" thickBot="1">
      <c r="C463" s="519" t="s">
        <v>1453</v>
      </c>
      <c r="D463" s="519"/>
      <c r="E463" s="519"/>
      <c r="F463" s="519"/>
      <c r="G463" s="519"/>
      <c r="H463" s="519"/>
      <c r="I463" s="57">
        <f>ROUNDDOWN(H481,-2)</f>
        <v>358600</v>
      </c>
    </row>
    <row r="464" spans="3:9" ht="29.25" thickTop="1">
      <c r="C464" s="120" t="s">
        <v>1207</v>
      </c>
      <c r="D464" s="121" t="s">
        <v>1208</v>
      </c>
      <c r="E464" s="121" t="s">
        <v>1209</v>
      </c>
      <c r="F464" s="121" t="s">
        <v>1210</v>
      </c>
      <c r="G464" s="121" t="s">
        <v>1211</v>
      </c>
      <c r="H464" s="122" t="s">
        <v>1212</v>
      </c>
    </row>
    <row r="465" spans="3:8">
      <c r="C465" s="142" t="s">
        <v>1213</v>
      </c>
      <c r="D465" s="60" t="s">
        <v>1214</v>
      </c>
      <c r="E465" s="74"/>
      <c r="F465" s="74"/>
      <c r="G465" s="74"/>
      <c r="H465" s="147"/>
    </row>
    <row r="466" spans="3:8">
      <c r="C466" s="143">
        <v>1</v>
      </c>
      <c r="D466" s="60" t="s">
        <v>5</v>
      </c>
      <c r="E466" s="73" t="s">
        <v>6</v>
      </c>
      <c r="F466" s="94">
        <v>0.16669999999999999</v>
      </c>
      <c r="G466" s="65">
        <f>VLOOKUP(D466,upahbahan,3,FALSE)</f>
        <v>100000</v>
      </c>
      <c r="H466" s="125">
        <f>F466*G466</f>
        <v>16670</v>
      </c>
    </row>
    <row r="467" spans="3:8">
      <c r="C467" s="143">
        <v>2</v>
      </c>
      <c r="D467" s="60" t="s">
        <v>7</v>
      </c>
      <c r="E467" s="73" t="s">
        <v>6</v>
      </c>
      <c r="F467" s="94">
        <v>8.3299999999999999E-2</v>
      </c>
      <c r="G467" s="65">
        <f>VLOOKUP(D467,upahbahan,3,FALSE)</f>
        <v>145000</v>
      </c>
      <c r="H467" s="125">
        <f>F467*G467</f>
        <v>12078.5</v>
      </c>
    </row>
    <row r="468" spans="3:8">
      <c r="C468" s="143">
        <v>3</v>
      </c>
      <c r="D468" s="60" t="s">
        <v>18</v>
      </c>
      <c r="E468" s="73" t="s">
        <v>6</v>
      </c>
      <c r="F468" s="94">
        <v>8.3000000000000001E-3</v>
      </c>
      <c r="G468" s="65">
        <f>VLOOKUP(D468,upahbahan,3,FALSE)</f>
        <v>150000</v>
      </c>
      <c r="H468" s="125">
        <f>F468*G468</f>
        <v>1245</v>
      </c>
    </row>
    <row r="469" spans="3:8">
      <c r="C469" s="143">
        <v>4</v>
      </c>
      <c r="D469" s="60" t="s">
        <v>19</v>
      </c>
      <c r="E469" s="73" t="s">
        <v>6</v>
      </c>
      <c r="F469" s="94">
        <v>2.8E-3</v>
      </c>
      <c r="G469" s="65">
        <f>VLOOKUP(D469,upahbahan,3,FALSE)</f>
        <v>145000</v>
      </c>
      <c r="H469" s="125">
        <f>F469*G469</f>
        <v>406</v>
      </c>
    </row>
    <row r="470" spans="3:8">
      <c r="C470" s="145" t="s">
        <v>1421</v>
      </c>
      <c r="D470" s="81"/>
      <c r="E470" s="81"/>
      <c r="F470" s="220"/>
      <c r="G470" s="221"/>
      <c r="H470" s="125">
        <f>SUM(H466:H469)</f>
        <v>30399.5</v>
      </c>
    </row>
    <row r="471" spans="3:8">
      <c r="C471" s="142" t="s">
        <v>1221</v>
      </c>
      <c r="D471" s="60" t="s">
        <v>1222</v>
      </c>
      <c r="E471" s="74"/>
      <c r="F471" s="234"/>
      <c r="G471" s="234"/>
      <c r="H471" s="147"/>
    </row>
    <row r="472" spans="3:8">
      <c r="C472" s="201" t="s">
        <v>1215</v>
      </c>
      <c r="D472" s="60" t="s">
        <v>405</v>
      </c>
      <c r="E472" s="73" t="s">
        <v>44</v>
      </c>
      <c r="F472" s="75">
        <v>14</v>
      </c>
      <c r="G472" s="65">
        <f>VLOOKUP(D472,upahbahan,3,FALSE)</f>
        <v>3000</v>
      </c>
      <c r="H472" s="125">
        <f>F472*G472</f>
        <v>42000</v>
      </c>
    </row>
    <row r="473" spans="3:8">
      <c r="C473" s="201" t="s">
        <v>1216</v>
      </c>
      <c r="D473" s="60" t="s">
        <v>568</v>
      </c>
      <c r="E473" s="73" t="s">
        <v>66</v>
      </c>
      <c r="F473" s="75">
        <v>24.26</v>
      </c>
      <c r="G473" s="65">
        <f>VLOOKUP(D473,upahbahan,3,FALSE)</f>
        <v>1300</v>
      </c>
      <c r="H473" s="125">
        <f>F473*G473</f>
        <v>31538.000000000004</v>
      </c>
    </row>
    <row r="474" spans="3:8">
      <c r="C474" s="201" t="s">
        <v>1217</v>
      </c>
      <c r="D474" s="78" t="s">
        <v>86</v>
      </c>
      <c r="E474" s="73" t="s">
        <v>42</v>
      </c>
      <c r="F474" s="75">
        <v>0.77200000000000002</v>
      </c>
      <c r="G474" s="65">
        <f>VLOOKUP(D474,upahbahan,3,FALSE)</f>
        <v>275000</v>
      </c>
      <c r="H474" s="125">
        <f>F474*G474</f>
        <v>212300</v>
      </c>
    </row>
    <row r="475" spans="3:8">
      <c r="C475" s="201" t="s">
        <v>1218</v>
      </c>
      <c r="D475" s="78" t="s">
        <v>222</v>
      </c>
      <c r="E475" s="73" t="s">
        <v>66</v>
      </c>
      <c r="F475" s="75">
        <v>0.28000000000000003</v>
      </c>
      <c r="G475" s="65">
        <f>VLOOKUP(D475,upahbahan,3,FALSE)</f>
        <v>35000</v>
      </c>
      <c r="H475" s="125">
        <f>F475*G475</f>
        <v>9800.0000000000018</v>
      </c>
    </row>
    <row r="476" spans="3:8">
      <c r="C476" s="145" t="s">
        <v>1226</v>
      </c>
      <c r="D476" s="81"/>
      <c r="E476" s="81"/>
      <c r="F476" s="190"/>
      <c r="G476" s="163"/>
      <c r="H476" s="125">
        <f>SUM(H472:H475)</f>
        <v>295638</v>
      </c>
    </row>
    <row r="477" spans="3:8">
      <c r="C477" s="153" t="s">
        <v>1227</v>
      </c>
      <c r="D477" s="60" t="s">
        <v>1228</v>
      </c>
      <c r="E477" s="74"/>
      <c r="F477" s="74"/>
      <c r="G477" s="74"/>
      <c r="H477" s="147"/>
    </row>
    <row r="478" spans="3:8">
      <c r="C478" s="145" t="s">
        <v>1229</v>
      </c>
      <c r="D478" s="81"/>
      <c r="E478" s="81"/>
      <c r="F478" s="190"/>
      <c r="G478" s="163"/>
      <c r="H478" s="154">
        <v>0</v>
      </c>
    </row>
    <row r="479" spans="3:8">
      <c r="C479" s="123" t="s">
        <v>1230</v>
      </c>
      <c r="D479" s="70" t="s">
        <v>1231</v>
      </c>
      <c r="E479" s="71"/>
      <c r="F479" s="71"/>
      <c r="G479" s="72"/>
      <c r="H479" s="125">
        <f>H478+H476+H470</f>
        <v>326037.5</v>
      </c>
    </row>
    <row r="480" spans="3:8">
      <c r="C480" s="123" t="s">
        <v>1232</v>
      </c>
      <c r="D480" s="70" t="s">
        <v>1410</v>
      </c>
      <c r="E480" s="71"/>
      <c r="F480" s="72"/>
      <c r="G480" s="96">
        <f>$M$7</f>
        <v>0.1</v>
      </c>
      <c r="H480" s="125">
        <f>H479*G480</f>
        <v>32603.75</v>
      </c>
    </row>
    <row r="481" spans="3:8" ht="15.75" thickBot="1">
      <c r="C481" s="131" t="s">
        <v>1233</v>
      </c>
      <c r="D481" s="132" t="s">
        <v>1234</v>
      </c>
      <c r="E481" s="133"/>
      <c r="F481" s="133"/>
      <c r="G481" s="156"/>
      <c r="H481" s="135">
        <f>SUM(H479:H480)</f>
        <v>358641.25</v>
      </c>
    </row>
    <row r="482" spans="3:8" ht="15" thickTop="1"/>
  </sheetData>
  <mergeCells count="22">
    <mergeCell ref="D351:E351"/>
    <mergeCell ref="C352:H352"/>
    <mergeCell ref="C444:H444"/>
    <mergeCell ref="C463:H463"/>
    <mergeCell ref="C254:H254"/>
    <mergeCell ref="C274:H274"/>
    <mergeCell ref="C294:H294"/>
    <mergeCell ref="C314:H314"/>
    <mergeCell ref="D332:E332"/>
    <mergeCell ref="C333:H333"/>
    <mergeCell ref="C234:H234"/>
    <mergeCell ref="C4:H4"/>
    <mergeCell ref="C23:H23"/>
    <mergeCell ref="C42:H42"/>
    <mergeCell ref="C61:H61"/>
    <mergeCell ref="C99:H99"/>
    <mergeCell ref="C118:H118"/>
    <mergeCell ref="C137:H137"/>
    <mergeCell ref="C156:H156"/>
    <mergeCell ref="D193:H193"/>
    <mergeCell ref="C194:H194"/>
    <mergeCell ref="C214:H2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M998"/>
  <sheetViews>
    <sheetView workbookViewId="0">
      <selection activeCell="C3" sqref="C3:I1004"/>
    </sheetView>
    <sheetView workbookViewId="1"/>
  </sheetViews>
  <sheetFormatPr defaultColWidth="8.85546875" defaultRowHeight="15"/>
  <cols>
    <col min="1" max="2" width="3.7109375" style="56" customWidth="1"/>
    <col min="3" max="3" width="5.7109375" style="242" customWidth="1"/>
    <col min="4" max="4" width="36.7109375" style="242" customWidth="1"/>
    <col min="5" max="5" width="7.140625" style="242" customWidth="1"/>
    <col min="6" max="6" width="10.7109375" style="242" customWidth="1"/>
    <col min="7" max="7" width="14.7109375" style="242" customWidth="1"/>
    <col min="8" max="8" width="16.28515625" style="242" customWidth="1"/>
    <col min="9" max="9" width="13.42578125" style="243" customWidth="1"/>
    <col min="10" max="16384" width="8.85546875" style="56"/>
  </cols>
  <sheetData>
    <row r="1" spans="3:13" ht="12.6" customHeight="1"/>
    <row r="2" spans="3:13" ht="12.6" customHeight="1"/>
    <row r="3" spans="3:13">
      <c r="C3" s="244" t="str">
        <f>'[1]Daftar HSP'!A186</f>
        <v>I</v>
      </c>
      <c r="D3" s="245" t="str">
        <f>'[1]Daftar HSP'!B186</f>
        <v>PEKERJAAN PENUTUP ATAP</v>
      </c>
      <c r="E3" s="245"/>
      <c r="F3" s="245"/>
      <c r="G3" s="245"/>
      <c r="H3" s="245"/>
    </row>
    <row r="4" spans="3:13" ht="15.75" thickBot="1">
      <c r="C4" s="277" t="s">
        <v>1454</v>
      </c>
      <c r="D4" s="278"/>
      <c r="E4" s="278"/>
      <c r="F4" s="278"/>
      <c r="G4" s="278"/>
      <c r="H4" s="278"/>
      <c r="I4" s="246">
        <f>ROUNDDOWN(H19,-2)</f>
        <v>107100</v>
      </c>
    </row>
    <row r="5" spans="3:13" ht="29.25" thickTop="1">
      <c r="C5" s="281" t="s">
        <v>1207</v>
      </c>
      <c r="D5" s="282" t="s">
        <v>1208</v>
      </c>
      <c r="E5" s="282" t="s">
        <v>1209</v>
      </c>
      <c r="F5" s="282" t="s">
        <v>1210</v>
      </c>
      <c r="G5" s="282" t="s">
        <v>1211</v>
      </c>
      <c r="H5" s="283" t="s">
        <v>1212</v>
      </c>
    </row>
    <row r="6" spans="3:13">
      <c r="C6" s="284" t="s">
        <v>1213</v>
      </c>
      <c r="D6" s="248" t="s">
        <v>1214</v>
      </c>
      <c r="E6" s="249"/>
      <c r="F6" s="249"/>
      <c r="G6" s="249"/>
      <c r="H6" s="285"/>
      <c r="J6" s="56" t="s">
        <v>1265</v>
      </c>
    </row>
    <row r="7" spans="3:13">
      <c r="C7" s="286">
        <v>1</v>
      </c>
      <c r="D7" s="248" t="s">
        <v>5</v>
      </c>
      <c r="E7" s="247" t="s">
        <v>6</v>
      </c>
      <c r="F7" s="250">
        <v>0.15</v>
      </c>
      <c r="G7" s="65">
        <f>VLOOKUP(D7,upahbahan,3,FALSE)</f>
        <v>100000</v>
      </c>
      <c r="H7" s="287">
        <f>F7*G7</f>
        <v>15000</v>
      </c>
      <c r="J7" s="56" t="s">
        <v>1266</v>
      </c>
      <c r="M7" s="66">
        <v>0.1</v>
      </c>
    </row>
    <row r="8" spans="3:13">
      <c r="C8" s="286">
        <v>2</v>
      </c>
      <c r="D8" s="248" t="s">
        <v>8</v>
      </c>
      <c r="E8" s="247" t="s">
        <v>6</v>
      </c>
      <c r="F8" s="250">
        <v>7.4999999999999997E-2</v>
      </c>
      <c r="G8" s="65">
        <f>VLOOKUP(D8,upahbahan,3,FALSE)</f>
        <v>145000</v>
      </c>
      <c r="H8" s="287">
        <f>F8*G8</f>
        <v>10875</v>
      </c>
    </row>
    <row r="9" spans="3:13">
      <c r="C9" s="286">
        <v>3</v>
      </c>
      <c r="D9" s="248" t="s">
        <v>18</v>
      </c>
      <c r="E9" s="247" t="s">
        <v>6</v>
      </c>
      <c r="F9" s="250">
        <v>7.4999999999999997E-3</v>
      </c>
      <c r="G9" s="65">
        <f>VLOOKUP(D9,upahbahan,3,FALSE)</f>
        <v>150000</v>
      </c>
      <c r="H9" s="287">
        <f>F9*G9</f>
        <v>1125</v>
      </c>
    </row>
    <row r="10" spans="3:13">
      <c r="C10" s="286">
        <v>4</v>
      </c>
      <c r="D10" s="248" t="s">
        <v>19</v>
      </c>
      <c r="E10" s="247" t="s">
        <v>6</v>
      </c>
      <c r="F10" s="250">
        <v>3.0000000000000001E-3</v>
      </c>
      <c r="G10" s="65">
        <f>VLOOKUP(D10,upahbahan,3,FALSE)</f>
        <v>145000</v>
      </c>
      <c r="H10" s="287">
        <f>F10*G10</f>
        <v>435</v>
      </c>
    </row>
    <row r="11" spans="3:13">
      <c r="C11" s="288" t="s">
        <v>1220</v>
      </c>
      <c r="D11" s="251"/>
      <c r="E11" s="251"/>
      <c r="F11" s="252"/>
      <c r="G11" s="253"/>
      <c r="H11" s="287">
        <f>SUM(H7:H10)</f>
        <v>27435</v>
      </c>
      <c r="I11" s="254"/>
    </row>
    <row r="12" spans="3:13">
      <c r="C12" s="284" t="s">
        <v>1221</v>
      </c>
      <c r="D12" s="248" t="s">
        <v>1222</v>
      </c>
      <c r="E12" s="249"/>
      <c r="F12" s="249"/>
      <c r="G12" s="249"/>
      <c r="H12" s="285"/>
    </row>
    <row r="13" spans="3:13">
      <c r="C13" s="286">
        <v>1</v>
      </c>
      <c r="D13" s="248" t="s">
        <v>342</v>
      </c>
      <c r="E13" s="247" t="s">
        <v>44</v>
      </c>
      <c r="F13" s="255">
        <v>25</v>
      </c>
      <c r="G13" s="65">
        <f>VLOOKUP(D13,upahbahan,3,FALSE)</f>
        <v>2800</v>
      </c>
      <c r="H13" s="287">
        <f>F13*G13</f>
        <v>70000</v>
      </c>
    </row>
    <row r="14" spans="3:13">
      <c r="C14" s="288" t="s">
        <v>1226</v>
      </c>
      <c r="D14" s="251"/>
      <c r="E14" s="251"/>
      <c r="F14" s="251"/>
      <c r="G14" s="256"/>
      <c r="H14" s="287">
        <f>SUM(H13)</f>
        <v>70000</v>
      </c>
    </row>
    <row r="15" spans="3:13">
      <c r="C15" s="289" t="s">
        <v>1227</v>
      </c>
      <c r="D15" s="248" t="s">
        <v>1228</v>
      </c>
      <c r="E15" s="249"/>
      <c r="F15" s="249"/>
      <c r="G15" s="249"/>
      <c r="H15" s="285"/>
    </row>
    <row r="16" spans="3:13">
      <c r="C16" s="288" t="s">
        <v>1229</v>
      </c>
      <c r="D16" s="251"/>
      <c r="E16" s="251"/>
      <c r="F16" s="251"/>
      <c r="G16" s="256"/>
      <c r="H16" s="290">
        <v>0</v>
      </c>
    </row>
    <row r="17" spans="3:9" ht="14.25">
      <c r="C17" s="291" t="s">
        <v>1230</v>
      </c>
      <c r="D17" s="257" t="s">
        <v>1231</v>
      </c>
      <c r="E17" s="258"/>
      <c r="F17" s="258"/>
      <c r="G17" s="259"/>
      <c r="H17" s="287">
        <f>H16+H14+H11</f>
        <v>97435</v>
      </c>
      <c r="I17" s="260"/>
    </row>
    <row r="18" spans="3:9" ht="14.25">
      <c r="C18" s="123" t="s">
        <v>1232</v>
      </c>
      <c r="D18" s="70" t="s">
        <v>1410</v>
      </c>
      <c r="E18" s="71"/>
      <c r="F18" s="72"/>
      <c r="G18" s="96">
        <f>$M$7</f>
        <v>0.1</v>
      </c>
      <c r="H18" s="125">
        <f>H17*G18</f>
        <v>9743.5</v>
      </c>
      <c r="I18" s="260"/>
    </row>
    <row r="19" spans="3:9" ht="15.75" thickBot="1">
      <c r="C19" s="292" t="s">
        <v>1233</v>
      </c>
      <c r="D19" s="293" t="s">
        <v>1234</v>
      </c>
      <c r="E19" s="294"/>
      <c r="F19" s="294"/>
      <c r="G19" s="295"/>
      <c r="H19" s="296">
        <f>SUM(H17:H18)</f>
        <v>107178.5</v>
      </c>
      <c r="I19" s="260"/>
    </row>
    <row r="20" spans="3:9" ht="15.75" thickTop="1">
      <c r="C20" s="261"/>
      <c r="D20" s="262"/>
      <c r="E20" s="262"/>
      <c r="F20" s="262"/>
      <c r="G20" s="262"/>
      <c r="H20" s="280"/>
    </row>
    <row r="21" spans="3:9" ht="15.75" thickBot="1">
      <c r="C21" s="277" t="s">
        <v>1455</v>
      </c>
      <c r="D21" s="279"/>
      <c r="E21" s="279"/>
      <c r="F21" s="279"/>
      <c r="G21" s="279"/>
      <c r="H21" s="279"/>
      <c r="I21" s="246">
        <f>ROUNDDOWN(H36,-2)</f>
        <v>189600</v>
      </c>
    </row>
    <row r="22" spans="3:9" ht="29.25" thickTop="1">
      <c r="C22" s="281" t="s">
        <v>1207</v>
      </c>
      <c r="D22" s="282" t="s">
        <v>1208</v>
      </c>
      <c r="E22" s="282" t="s">
        <v>1209</v>
      </c>
      <c r="F22" s="282" t="s">
        <v>1210</v>
      </c>
      <c r="G22" s="282" t="s">
        <v>1211</v>
      </c>
      <c r="H22" s="283" t="s">
        <v>1212</v>
      </c>
    </row>
    <row r="23" spans="3:9">
      <c r="C23" s="284" t="s">
        <v>1213</v>
      </c>
      <c r="D23" s="248" t="s">
        <v>1214</v>
      </c>
      <c r="E23" s="249"/>
      <c r="F23" s="249"/>
      <c r="G23" s="249"/>
      <c r="H23" s="285"/>
    </row>
    <row r="24" spans="3:9">
      <c r="C24" s="286">
        <v>1</v>
      </c>
      <c r="D24" s="248" t="s">
        <v>5</v>
      </c>
      <c r="E24" s="247" t="s">
        <v>6</v>
      </c>
      <c r="F24" s="250">
        <v>0.15</v>
      </c>
      <c r="G24" s="65">
        <f>VLOOKUP(D24,upahbahan,3,FALSE)</f>
        <v>100000</v>
      </c>
      <c r="H24" s="287">
        <f>F24*G24</f>
        <v>15000</v>
      </c>
    </row>
    <row r="25" spans="3:9">
      <c r="C25" s="286">
        <v>2</v>
      </c>
      <c r="D25" s="248" t="s">
        <v>8</v>
      </c>
      <c r="E25" s="247" t="s">
        <v>6</v>
      </c>
      <c r="F25" s="250">
        <v>7.4999999999999997E-2</v>
      </c>
      <c r="G25" s="65">
        <f>VLOOKUP(D25,upahbahan,3,FALSE)</f>
        <v>145000</v>
      </c>
      <c r="H25" s="287">
        <f>F25*G25</f>
        <v>10875</v>
      </c>
    </row>
    <row r="26" spans="3:9">
      <c r="C26" s="286">
        <v>3</v>
      </c>
      <c r="D26" s="248" t="s">
        <v>18</v>
      </c>
      <c r="E26" s="247" t="s">
        <v>6</v>
      </c>
      <c r="F26" s="250">
        <v>7.4999999999999997E-3</v>
      </c>
      <c r="G26" s="65">
        <f>VLOOKUP(D26,upahbahan,3,FALSE)</f>
        <v>150000</v>
      </c>
      <c r="H26" s="287">
        <f>F26*G26</f>
        <v>1125</v>
      </c>
    </row>
    <row r="27" spans="3:9">
      <c r="C27" s="286">
        <v>4</v>
      </c>
      <c r="D27" s="248" t="s">
        <v>19</v>
      </c>
      <c r="E27" s="247" t="s">
        <v>6</v>
      </c>
      <c r="F27" s="250">
        <v>3.0000000000000001E-3</v>
      </c>
      <c r="G27" s="65">
        <f>VLOOKUP(D27,upahbahan,3,FALSE)</f>
        <v>145000</v>
      </c>
      <c r="H27" s="287">
        <f>F27*G27</f>
        <v>435</v>
      </c>
    </row>
    <row r="28" spans="3:9">
      <c r="C28" s="288" t="s">
        <v>1220</v>
      </c>
      <c r="D28" s="251"/>
      <c r="E28" s="251"/>
      <c r="F28" s="252"/>
      <c r="G28" s="253"/>
      <c r="H28" s="287">
        <f>SUM(H24:H27)</f>
        <v>27435</v>
      </c>
      <c r="I28" s="254"/>
    </row>
    <row r="29" spans="3:9">
      <c r="C29" s="284" t="s">
        <v>1221</v>
      </c>
      <c r="D29" s="248" t="s">
        <v>1222</v>
      </c>
      <c r="E29" s="249"/>
      <c r="F29" s="249"/>
      <c r="G29" s="249"/>
      <c r="H29" s="285"/>
    </row>
    <row r="30" spans="3:9">
      <c r="C30" s="286">
        <v>1</v>
      </c>
      <c r="D30" s="248" t="s">
        <v>339</v>
      </c>
      <c r="E30" s="247" t="s">
        <v>44</v>
      </c>
      <c r="F30" s="263">
        <v>25</v>
      </c>
      <c r="G30" s="65">
        <f>VLOOKUP(D30,upahbahan,3,FALSE)</f>
        <v>5800</v>
      </c>
      <c r="H30" s="287">
        <f>F30*G30</f>
        <v>145000</v>
      </c>
    </row>
    <row r="31" spans="3:9">
      <c r="C31" s="288" t="s">
        <v>1226</v>
      </c>
      <c r="D31" s="251"/>
      <c r="E31" s="251"/>
      <c r="F31" s="251"/>
      <c r="G31" s="256"/>
      <c r="H31" s="287">
        <f>SUM(H30)</f>
        <v>145000</v>
      </c>
    </row>
    <row r="32" spans="3:9">
      <c r="C32" s="289" t="s">
        <v>1227</v>
      </c>
      <c r="D32" s="248" t="s">
        <v>1228</v>
      </c>
      <c r="E32" s="249"/>
      <c r="F32" s="249"/>
      <c r="G32" s="249"/>
      <c r="H32" s="285"/>
    </row>
    <row r="33" spans="3:9">
      <c r="C33" s="288" t="s">
        <v>1229</v>
      </c>
      <c r="D33" s="251"/>
      <c r="E33" s="251"/>
      <c r="F33" s="251"/>
      <c r="G33" s="256"/>
      <c r="H33" s="290">
        <v>0</v>
      </c>
    </row>
    <row r="34" spans="3:9" ht="14.25">
      <c r="C34" s="291" t="s">
        <v>1230</v>
      </c>
      <c r="D34" s="257" t="s">
        <v>1231</v>
      </c>
      <c r="E34" s="258"/>
      <c r="F34" s="258"/>
      <c r="G34" s="259"/>
      <c r="H34" s="287">
        <f>H33+H31+H28</f>
        <v>172435</v>
      </c>
      <c r="I34" s="264"/>
    </row>
    <row r="35" spans="3:9" ht="14.25">
      <c r="C35" s="123" t="s">
        <v>1232</v>
      </c>
      <c r="D35" s="70" t="s">
        <v>1410</v>
      </c>
      <c r="E35" s="71"/>
      <c r="F35" s="72"/>
      <c r="G35" s="96">
        <f>$M$7</f>
        <v>0.1</v>
      </c>
      <c r="H35" s="125">
        <f>H34*G35</f>
        <v>17243.5</v>
      </c>
      <c r="I35" s="264"/>
    </row>
    <row r="36" spans="3:9" ht="15.75" thickBot="1">
      <c r="C36" s="292" t="s">
        <v>1233</v>
      </c>
      <c r="D36" s="293" t="s">
        <v>1234</v>
      </c>
      <c r="E36" s="294"/>
      <c r="F36" s="294"/>
      <c r="G36" s="295"/>
      <c r="H36" s="296">
        <f>SUM(H34:H35)</f>
        <v>189678.5</v>
      </c>
      <c r="I36" s="264"/>
    </row>
    <row r="37" spans="3:9" ht="15.75" thickTop="1">
      <c r="C37" s="261"/>
      <c r="D37" s="262"/>
      <c r="E37" s="262"/>
      <c r="F37" s="262"/>
      <c r="G37" s="262"/>
      <c r="H37" s="280"/>
    </row>
    <row r="38" spans="3:9" ht="15.75" thickBot="1">
      <c r="C38" s="277" t="s">
        <v>1456</v>
      </c>
      <c r="D38" s="279"/>
      <c r="E38" s="279"/>
      <c r="F38" s="279"/>
      <c r="G38" s="279"/>
      <c r="H38" s="279"/>
      <c r="I38" s="246">
        <f>ROUNDDOWN(H53,-2)</f>
        <v>100000</v>
      </c>
    </row>
    <row r="39" spans="3:9" ht="29.25" thickTop="1">
      <c r="C39" s="281" t="s">
        <v>1207</v>
      </c>
      <c r="D39" s="282" t="s">
        <v>1208</v>
      </c>
      <c r="E39" s="282" t="s">
        <v>1209</v>
      </c>
      <c r="F39" s="282" t="s">
        <v>1210</v>
      </c>
      <c r="G39" s="282" t="s">
        <v>1211</v>
      </c>
      <c r="H39" s="283" t="s">
        <v>1212</v>
      </c>
    </row>
    <row r="40" spans="3:9">
      <c r="C40" s="284" t="s">
        <v>1213</v>
      </c>
      <c r="D40" s="248" t="s">
        <v>1214</v>
      </c>
      <c r="E40" s="249"/>
      <c r="F40" s="249"/>
      <c r="G40" s="249"/>
      <c r="H40" s="285"/>
    </row>
    <row r="41" spans="3:9">
      <c r="C41" s="286">
        <v>1</v>
      </c>
      <c r="D41" s="248" t="s">
        <v>5</v>
      </c>
      <c r="E41" s="247" t="s">
        <v>6</v>
      </c>
      <c r="F41" s="250">
        <v>0.15</v>
      </c>
      <c r="G41" s="65">
        <f>VLOOKUP(D41,upahbahan,3,FALSE)</f>
        <v>100000</v>
      </c>
      <c r="H41" s="287">
        <f>F41*G41</f>
        <v>15000</v>
      </c>
    </row>
    <row r="42" spans="3:9">
      <c r="C42" s="286">
        <v>2</v>
      </c>
      <c r="D42" s="248" t="s">
        <v>8</v>
      </c>
      <c r="E42" s="247" t="s">
        <v>6</v>
      </c>
      <c r="F42" s="250">
        <v>7.4999999999999997E-2</v>
      </c>
      <c r="G42" s="65">
        <f>VLOOKUP(D42,upahbahan,3,FALSE)</f>
        <v>145000</v>
      </c>
      <c r="H42" s="287">
        <f>F42*G42</f>
        <v>10875</v>
      </c>
    </row>
    <row r="43" spans="3:9">
      <c r="C43" s="286">
        <v>3</v>
      </c>
      <c r="D43" s="248" t="s">
        <v>18</v>
      </c>
      <c r="E43" s="247" t="s">
        <v>6</v>
      </c>
      <c r="F43" s="250">
        <v>7.4999999999999997E-3</v>
      </c>
      <c r="G43" s="65">
        <f>VLOOKUP(D43,upahbahan,3,FALSE)</f>
        <v>150000</v>
      </c>
      <c r="H43" s="287">
        <f>F43*G43</f>
        <v>1125</v>
      </c>
    </row>
    <row r="44" spans="3:9">
      <c r="C44" s="286">
        <v>4</v>
      </c>
      <c r="D44" s="248" t="s">
        <v>19</v>
      </c>
      <c r="E44" s="247" t="s">
        <v>6</v>
      </c>
      <c r="F44" s="250">
        <v>2.5000000000000001E-3</v>
      </c>
      <c r="G44" s="65">
        <f>VLOOKUP(D44,upahbahan,3,FALSE)</f>
        <v>145000</v>
      </c>
      <c r="H44" s="287">
        <f>F44*G44</f>
        <v>362.5</v>
      </c>
    </row>
    <row r="45" spans="3:9">
      <c r="C45" s="288" t="s">
        <v>1220</v>
      </c>
      <c r="D45" s="251"/>
      <c r="E45" s="251"/>
      <c r="F45" s="252"/>
      <c r="G45" s="253"/>
      <c r="H45" s="287">
        <f>SUM(H41:H44)</f>
        <v>27362.5</v>
      </c>
      <c r="I45" s="254"/>
    </row>
    <row r="46" spans="3:9">
      <c r="C46" s="284" t="s">
        <v>1221</v>
      </c>
      <c r="D46" s="248" t="s">
        <v>1222</v>
      </c>
      <c r="E46" s="249"/>
      <c r="F46" s="249"/>
      <c r="G46" s="249"/>
      <c r="H46" s="285"/>
    </row>
    <row r="47" spans="3:9">
      <c r="C47" s="286">
        <v>1</v>
      </c>
      <c r="D47" s="248" t="s">
        <v>343</v>
      </c>
      <c r="E47" s="247" t="s">
        <v>44</v>
      </c>
      <c r="F47" s="255">
        <v>12</v>
      </c>
      <c r="G47" s="65">
        <f>VLOOKUP(D47,upahbahan,3,FALSE)</f>
        <v>5300</v>
      </c>
      <c r="H47" s="287">
        <f>F47*G47</f>
        <v>63600</v>
      </c>
    </row>
    <row r="48" spans="3:9">
      <c r="C48" s="288" t="s">
        <v>1226</v>
      </c>
      <c r="D48" s="251"/>
      <c r="E48" s="251"/>
      <c r="F48" s="251"/>
      <c r="G48" s="256"/>
      <c r="H48" s="287">
        <f>SUM(H47)</f>
        <v>63600</v>
      </c>
    </row>
    <row r="49" spans="3:9">
      <c r="C49" s="289" t="s">
        <v>1227</v>
      </c>
      <c r="D49" s="248" t="s">
        <v>1228</v>
      </c>
      <c r="E49" s="249"/>
      <c r="F49" s="249"/>
      <c r="G49" s="249"/>
      <c r="H49" s="285"/>
    </row>
    <row r="50" spans="3:9">
      <c r="C50" s="288" t="s">
        <v>1229</v>
      </c>
      <c r="D50" s="251"/>
      <c r="E50" s="251"/>
      <c r="F50" s="251"/>
      <c r="G50" s="256"/>
      <c r="H50" s="290">
        <v>0</v>
      </c>
    </row>
    <row r="51" spans="3:9" ht="14.25">
      <c r="C51" s="291" t="s">
        <v>1230</v>
      </c>
      <c r="D51" s="257" t="s">
        <v>1231</v>
      </c>
      <c r="E51" s="258"/>
      <c r="F51" s="258"/>
      <c r="G51" s="259"/>
      <c r="H51" s="287">
        <f>H50+H48+H45</f>
        <v>90962.5</v>
      </c>
      <c r="I51" s="260"/>
    </row>
    <row r="52" spans="3:9" ht="14.25">
      <c r="C52" s="123" t="s">
        <v>1232</v>
      </c>
      <c r="D52" s="70" t="s">
        <v>1410</v>
      </c>
      <c r="E52" s="71"/>
      <c r="F52" s="72"/>
      <c r="G52" s="96">
        <f>$M$7</f>
        <v>0.1</v>
      </c>
      <c r="H52" s="125">
        <f>H51*G52</f>
        <v>9096.25</v>
      </c>
      <c r="I52" s="260"/>
    </row>
    <row r="53" spans="3:9" ht="15.75" thickBot="1">
      <c r="C53" s="292" t="s">
        <v>1233</v>
      </c>
      <c r="D53" s="293" t="s">
        <v>1234</v>
      </c>
      <c r="E53" s="294"/>
      <c r="F53" s="294"/>
      <c r="G53" s="295"/>
      <c r="H53" s="296">
        <f>SUM(H51:H52)</f>
        <v>100058.75</v>
      </c>
      <c r="I53" s="260"/>
    </row>
    <row r="54" spans="3:9" ht="15.75" thickTop="1"/>
    <row r="55" spans="3:9" ht="15.75" thickBot="1">
      <c r="C55" s="277" t="s">
        <v>1457</v>
      </c>
      <c r="D55" s="279"/>
      <c r="E55" s="279"/>
      <c r="F55" s="279"/>
      <c r="G55" s="279"/>
      <c r="H55" s="279"/>
      <c r="I55" s="246">
        <f>ROUNDDOWN(H71,-2)</f>
        <v>123000</v>
      </c>
    </row>
    <row r="56" spans="3:9" ht="29.25" thickTop="1">
      <c r="C56" s="281" t="s">
        <v>1207</v>
      </c>
      <c r="D56" s="282" t="s">
        <v>1208</v>
      </c>
      <c r="E56" s="282" t="s">
        <v>1209</v>
      </c>
      <c r="F56" s="282" t="s">
        <v>1210</v>
      </c>
      <c r="G56" s="282" t="s">
        <v>1211</v>
      </c>
      <c r="H56" s="283" t="s">
        <v>1212</v>
      </c>
    </row>
    <row r="57" spans="3:9">
      <c r="C57" s="284" t="s">
        <v>1213</v>
      </c>
      <c r="D57" s="248" t="s">
        <v>1214</v>
      </c>
      <c r="E57" s="249"/>
      <c r="F57" s="249"/>
      <c r="G57" s="249"/>
      <c r="H57" s="285"/>
    </row>
    <row r="58" spans="3:9">
      <c r="C58" s="286">
        <v>1</v>
      </c>
      <c r="D58" s="248" t="s">
        <v>5</v>
      </c>
      <c r="E58" s="247" t="s">
        <v>6</v>
      </c>
      <c r="F58" s="250">
        <v>0.2</v>
      </c>
      <c r="G58" s="65">
        <f>VLOOKUP(D58,upahbahan,3,FALSE)</f>
        <v>100000</v>
      </c>
      <c r="H58" s="287">
        <f>F58*G58</f>
        <v>20000</v>
      </c>
    </row>
    <row r="59" spans="3:9">
      <c r="C59" s="286">
        <v>2</v>
      </c>
      <c r="D59" s="248" t="s">
        <v>8</v>
      </c>
      <c r="E59" s="247" t="s">
        <v>6</v>
      </c>
      <c r="F59" s="250">
        <v>0.1</v>
      </c>
      <c r="G59" s="65">
        <f>VLOOKUP(D59,upahbahan,3,FALSE)</f>
        <v>145000</v>
      </c>
      <c r="H59" s="287">
        <f>F59*G59</f>
        <v>14500</v>
      </c>
    </row>
    <row r="60" spans="3:9">
      <c r="C60" s="286">
        <v>3</v>
      </c>
      <c r="D60" s="248" t="s">
        <v>18</v>
      </c>
      <c r="E60" s="247" t="s">
        <v>6</v>
      </c>
      <c r="F60" s="250">
        <v>0.01</v>
      </c>
      <c r="G60" s="65">
        <f>VLOOKUP(D60,upahbahan,3,FALSE)</f>
        <v>150000</v>
      </c>
      <c r="H60" s="287">
        <f>F60*G60</f>
        <v>1500</v>
      </c>
    </row>
    <row r="61" spans="3:9">
      <c r="C61" s="286">
        <v>4</v>
      </c>
      <c r="D61" s="248" t="s">
        <v>19</v>
      </c>
      <c r="E61" s="247" t="s">
        <v>6</v>
      </c>
      <c r="F61" s="250">
        <v>3.3E-3</v>
      </c>
      <c r="G61" s="65">
        <f>VLOOKUP(D61,upahbahan,3,FALSE)</f>
        <v>145000</v>
      </c>
      <c r="H61" s="287">
        <f>F61*G61</f>
        <v>478.5</v>
      </c>
    </row>
    <row r="62" spans="3:9">
      <c r="C62" s="288" t="s">
        <v>1220</v>
      </c>
      <c r="D62" s="251"/>
      <c r="E62" s="251"/>
      <c r="F62" s="252"/>
      <c r="G62" s="253"/>
      <c r="H62" s="287">
        <f>SUM(H58:H61)</f>
        <v>36478.5</v>
      </c>
      <c r="I62" s="254"/>
    </row>
    <row r="63" spans="3:9">
      <c r="C63" s="284" t="s">
        <v>1221</v>
      </c>
      <c r="D63" s="248" t="s">
        <v>1222</v>
      </c>
      <c r="E63" s="249"/>
      <c r="F63" s="249"/>
      <c r="G63" s="249"/>
      <c r="H63" s="285"/>
    </row>
    <row r="64" spans="3:9">
      <c r="C64" s="286">
        <v>1</v>
      </c>
      <c r="D64" s="248" t="s">
        <v>336</v>
      </c>
      <c r="E64" s="247" t="s">
        <v>44</v>
      </c>
      <c r="F64" s="263">
        <v>11</v>
      </c>
      <c r="G64" s="65">
        <f>VLOOKUP(D64,upahbahan,3,FALSE)</f>
        <v>6800</v>
      </c>
      <c r="H64" s="287">
        <f>F64*G64</f>
        <v>74800</v>
      </c>
    </row>
    <row r="65" spans="3:9">
      <c r="C65" s="286">
        <v>2</v>
      </c>
      <c r="D65" s="248" t="s">
        <v>267</v>
      </c>
      <c r="E65" s="247" t="s">
        <v>66</v>
      </c>
      <c r="F65" s="263">
        <v>0.03</v>
      </c>
      <c r="G65" s="65">
        <f>VLOOKUP(D65,upahbahan,3,FALSE)</f>
        <v>20000</v>
      </c>
      <c r="H65" s="287">
        <f>F65*G65</f>
        <v>600</v>
      </c>
    </row>
    <row r="66" spans="3:9">
      <c r="C66" s="288" t="s">
        <v>1226</v>
      </c>
      <c r="D66" s="251"/>
      <c r="E66" s="251"/>
      <c r="F66" s="251"/>
      <c r="G66" s="256"/>
      <c r="H66" s="287">
        <f>SUM(H64:H65)</f>
        <v>75400</v>
      </c>
    </row>
    <row r="67" spans="3:9">
      <c r="C67" s="289" t="s">
        <v>1227</v>
      </c>
      <c r="D67" s="248" t="s">
        <v>1228</v>
      </c>
      <c r="E67" s="249"/>
      <c r="F67" s="249"/>
      <c r="G67" s="249"/>
      <c r="H67" s="285"/>
    </row>
    <row r="68" spans="3:9">
      <c r="C68" s="288" t="s">
        <v>1229</v>
      </c>
      <c r="D68" s="251"/>
      <c r="E68" s="251"/>
      <c r="F68" s="251"/>
      <c r="G68" s="256"/>
      <c r="H68" s="290">
        <v>0</v>
      </c>
    </row>
    <row r="69" spans="3:9" ht="14.25">
      <c r="C69" s="291" t="s">
        <v>1230</v>
      </c>
      <c r="D69" s="257" t="s">
        <v>1231</v>
      </c>
      <c r="E69" s="258"/>
      <c r="F69" s="258"/>
      <c r="G69" s="259"/>
      <c r="H69" s="287">
        <f>H68+H66+H62</f>
        <v>111878.5</v>
      </c>
      <c r="I69" s="260"/>
    </row>
    <row r="70" spans="3:9" ht="14.25">
      <c r="C70" s="123" t="s">
        <v>1232</v>
      </c>
      <c r="D70" s="70" t="s">
        <v>1410</v>
      </c>
      <c r="E70" s="71"/>
      <c r="F70" s="72"/>
      <c r="G70" s="96">
        <f>$M$7</f>
        <v>0.1</v>
      </c>
      <c r="H70" s="125">
        <f>H69*G70</f>
        <v>11187.85</v>
      </c>
      <c r="I70" s="260"/>
    </row>
    <row r="71" spans="3:9" ht="15.75" thickBot="1">
      <c r="C71" s="292" t="s">
        <v>1233</v>
      </c>
      <c r="D71" s="293" t="s">
        <v>1234</v>
      </c>
      <c r="E71" s="294"/>
      <c r="F71" s="294"/>
      <c r="G71" s="295"/>
      <c r="H71" s="296">
        <f>SUM(H69:H70)</f>
        <v>123066.35</v>
      </c>
      <c r="I71" s="260"/>
    </row>
    <row r="72" spans="3:9" ht="15.75" thickTop="1"/>
    <row r="73" spans="3:9" ht="15.75" thickBot="1">
      <c r="C73" s="277" t="s">
        <v>1458</v>
      </c>
      <c r="D73" s="278"/>
      <c r="E73" s="278"/>
      <c r="F73" s="278"/>
      <c r="G73" s="278"/>
      <c r="H73" s="278"/>
      <c r="I73" s="246">
        <f>ROUNDDOWN(H90,-2)</f>
        <v>160200</v>
      </c>
    </row>
    <row r="74" spans="3:9" ht="29.25" thickTop="1">
      <c r="C74" s="281" t="s">
        <v>1207</v>
      </c>
      <c r="D74" s="282" t="s">
        <v>1208</v>
      </c>
      <c r="E74" s="282" t="s">
        <v>1209</v>
      </c>
      <c r="F74" s="282" t="s">
        <v>1210</v>
      </c>
      <c r="G74" s="282" t="s">
        <v>1211</v>
      </c>
      <c r="H74" s="283" t="s">
        <v>1212</v>
      </c>
    </row>
    <row r="75" spans="3:9">
      <c r="C75" s="284" t="s">
        <v>1213</v>
      </c>
      <c r="D75" s="248" t="s">
        <v>1214</v>
      </c>
      <c r="E75" s="249"/>
      <c r="F75" s="249"/>
      <c r="G75" s="249"/>
      <c r="H75" s="285"/>
    </row>
    <row r="76" spans="3:9">
      <c r="C76" s="286">
        <v>1</v>
      </c>
      <c r="D76" s="248" t="s">
        <v>5</v>
      </c>
      <c r="E76" s="247" t="s">
        <v>6</v>
      </c>
      <c r="F76" s="250">
        <v>0.4</v>
      </c>
      <c r="G76" s="65">
        <f>VLOOKUP(D76,upahbahan,3,FALSE)</f>
        <v>100000</v>
      </c>
      <c r="H76" s="287">
        <f>F76*G76</f>
        <v>40000</v>
      </c>
    </row>
    <row r="77" spans="3:9">
      <c r="C77" s="286">
        <v>2</v>
      </c>
      <c r="D77" s="248" t="s">
        <v>8</v>
      </c>
      <c r="E77" s="247" t="s">
        <v>6</v>
      </c>
      <c r="F77" s="250">
        <v>0.2</v>
      </c>
      <c r="G77" s="65">
        <f>VLOOKUP(D77,upahbahan,3,FALSE)</f>
        <v>145000</v>
      </c>
      <c r="H77" s="287">
        <f>F77*G77</f>
        <v>29000</v>
      </c>
    </row>
    <row r="78" spans="3:9">
      <c r="C78" s="286">
        <v>3</v>
      </c>
      <c r="D78" s="248" t="s">
        <v>18</v>
      </c>
      <c r="E78" s="247" t="s">
        <v>6</v>
      </c>
      <c r="F78" s="250">
        <v>0.02</v>
      </c>
      <c r="G78" s="65">
        <f>VLOOKUP(D78,upahbahan,3,FALSE)</f>
        <v>150000</v>
      </c>
      <c r="H78" s="287">
        <f>F78*G78</f>
        <v>3000</v>
      </c>
    </row>
    <row r="79" spans="3:9">
      <c r="C79" s="286">
        <v>4</v>
      </c>
      <c r="D79" s="248" t="s">
        <v>19</v>
      </c>
      <c r="E79" s="247" t="s">
        <v>6</v>
      </c>
      <c r="F79" s="250">
        <v>6.7000000000000002E-3</v>
      </c>
      <c r="G79" s="65">
        <f>VLOOKUP(D79,upahbahan,3,FALSE)</f>
        <v>145000</v>
      </c>
      <c r="H79" s="287">
        <f>F79*G79</f>
        <v>971.5</v>
      </c>
    </row>
    <row r="80" spans="3:9">
      <c r="C80" s="288" t="s">
        <v>1220</v>
      </c>
      <c r="D80" s="251"/>
      <c r="E80" s="251"/>
      <c r="F80" s="252"/>
      <c r="G80" s="253"/>
      <c r="H80" s="287">
        <f>SUM(H76:H79)</f>
        <v>72971.5</v>
      </c>
      <c r="I80" s="254"/>
    </row>
    <row r="81" spans="3:9">
      <c r="C81" s="284" t="s">
        <v>1221</v>
      </c>
      <c r="D81" s="248" t="s">
        <v>1222</v>
      </c>
      <c r="E81" s="249"/>
      <c r="F81" s="249"/>
      <c r="G81" s="249"/>
      <c r="H81" s="285"/>
    </row>
    <row r="82" spans="3:9">
      <c r="C82" s="286">
        <v>1</v>
      </c>
      <c r="D82" s="248" t="s">
        <v>323</v>
      </c>
      <c r="E82" s="247" t="s">
        <v>44</v>
      </c>
      <c r="F82" s="263">
        <v>5</v>
      </c>
      <c r="G82" s="65">
        <f>VLOOKUP(D82,upahbahan,3,FALSE)</f>
        <v>10700</v>
      </c>
      <c r="H82" s="287">
        <f>F82*G82</f>
        <v>53500</v>
      </c>
    </row>
    <row r="83" spans="3:9">
      <c r="C83" s="286">
        <v>2</v>
      </c>
      <c r="D83" s="248" t="s">
        <v>568</v>
      </c>
      <c r="E83" s="247" t="s">
        <v>66</v>
      </c>
      <c r="F83" s="263">
        <v>8</v>
      </c>
      <c r="G83" s="65">
        <f>VLOOKUP(D83,upahbahan,3,FALSE)</f>
        <v>1300</v>
      </c>
      <c r="H83" s="287">
        <f>F83*G83</f>
        <v>10400</v>
      </c>
    </row>
    <row r="84" spans="3:9">
      <c r="C84" s="286">
        <v>3</v>
      </c>
      <c r="D84" s="265" t="s">
        <v>86</v>
      </c>
      <c r="E84" s="247" t="s">
        <v>42</v>
      </c>
      <c r="F84" s="263">
        <v>3.2000000000000001E-2</v>
      </c>
      <c r="G84" s="65">
        <f>VLOOKUP(D84,upahbahan,3,FALSE)</f>
        <v>275000</v>
      </c>
      <c r="H84" s="287">
        <f>F84*G84</f>
        <v>8800</v>
      </c>
    </row>
    <row r="85" spans="3:9">
      <c r="C85" s="288" t="s">
        <v>1226</v>
      </c>
      <c r="D85" s="251"/>
      <c r="E85" s="251"/>
      <c r="F85" s="251"/>
      <c r="G85" s="256"/>
      <c r="H85" s="287">
        <f>SUM(H82:H84)</f>
        <v>72700</v>
      </c>
    </row>
    <row r="86" spans="3:9">
      <c r="C86" s="289" t="s">
        <v>1227</v>
      </c>
      <c r="D86" s="248" t="s">
        <v>1228</v>
      </c>
      <c r="E86" s="249"/>
      <c r="F86" s="249"/>
      <c r="G86" s="249"/>
      <c r="H86" s="285"/>
    </row>
    <row r="87" spans="3:9">
      <c r="C87" s="288" t="s">
        <v>1229</v>
      </c>
      <c r="D87" s="251"/>
      <c r="E87" s="251"/>
      <c r="F87" s="251"/>
      <c r="G87" s="256"/>
      <c r="H87" s="290">
        <v>0</v>
      </c>
    </row>
    <row r="88" spans="3:9" ht="14.25">
      <c r="C88" s="291" t="s">
        <v>1230</v>
      </c>
      <c r="D88" s="257" t="s">
        <v>1231</v>
      </c>
      <c r="E88" s="258"/>
      <c r="F88" s="258"/>
      <c r="G88" s="259"/>
      <c r="H88" s="287">
        <f>H87+H85+H80</f>
        <v>145671.5</v>
      </c>
      <c r="I88" s="260"/>
    </row>
    <row r="89" spans="3:9" ht="14.25">
      <c r="C89" s="123" t="s">
        <v>1232</v>
      </c>
      <c r="D89" s="70" t="s">
        <v>1410</v>
      </c>
      <c r="E89" s="71"/>
      <c r="F89" s="72"/>
      <c r="G89" s="96">
        <f>$M$7</f>
        <v>0.1</v>
      </c>
      <c r="H89" s="125">
        <f>H88*G89</f>
        <v>14567.150000000001</v>
      </c>
      <c r="I89" s="260"/>
    </row>
    <row r="90" spans="3:9" ht="15.75" thickBot="1">
      <c r="C90" s="292" t="s">
        <v>1233</v>
      </c>
      <c r="D90" s="293" t="s">
        <v>1234</v>
      </c>
      <c r="E90" s="294"/>
      <c r="F90" s="294"/>
      <c r="G90" s="295"/>
      <c r="H90" s="296">
        <f>SUM(H88:H89)</f>
        <v>160238.65</v>
      </c>
      <c r="I90" s="260"/>
    </row>
    <row r="91" spans="3:9" ht="15.75" thickTop="1">
      <c r="C91" s="261"/>
      <c r="D91" s="262"/>
      <c r="E91" s="262"/>
      <c r="F91" s="262"/>
      <c r="G91" s="262"/>
      <c r="H91" s="280"/>
    </row>
    <row r="92" spans="3:9" ht="15.75" thickBot="1">
      <c r="C92" s="277" t="s">
        <v>1459</v>
      </c>
      <c r="D92" s="279"/>
      <c r="E92" s="279"/>
      <c r="F92" s="279"/>
      <c r="G92" s="279"/>
      <c r="H92" s="279"/>
      <c r="I92" s="246">
        <f>ROUNDDOWN(H109,-2)</f>
        <v>148600</v>
      </c>
    </row>
    <row r="93" spans="3:9" ht="29.25" thickTop="1">
      <c r="C93" s="281" t="s">
        <v>1207</v>
      </c>
      <c r="D93" s="282" t="s">
        <v>1208</v>
      </c>
      <c r="E93" s="282" t="s">
        <v>1209</v>
      </c>
      <c r="F93" s="282" t="s">
        <v>1210</v>
      </c>
      <c r="G93" s="282" t="s">
        <v>1211</v>
      </c>
      <c r="H93" s="283" t="s">
        <v>1212</v>
      </c>
    </row>
    <row r="94" spans="3:9">
      <c r="C94" s="284" t="s">
        <v>1213</v>
      </c>
      <c r="D94" s="248" t="s">
        <v>1214</v>
      </c>
      <c r="E94" s="249"/>
      <c r="F94" s="249"/>
      <c r="G94" s="249"/>
      <c r="H94" s="285"/>
    </row>
    <row r="95" spans="3:9">
      <c r="C95" s="286">
        <v>1</v>
      </c>
      <c r="D95" s="248" t="s">
        <v>5</v>
      </c>
      <c r="E95" s="247" t="s">
        <v>6</v>
      </c>
      <c r="F95" s="250">
        <v>0.4</v>
      </c>
      <c r="G95" s="65">
        <f>VLOOKUP(D95,upahbahan,3,FALSE)</f>
        <v>100000</v>
      </c>
      <c r="H95" s="287">
        <f>F95*G95</f>
        <v>40000</v>
      </c>
    </row>
    <row r="96" spans="3:9">
      <c r="C96" s="286">
        <v>2</v>
      </c>
      <c r="D96" s="248" t="s">
        <v>8</v>
      </c>
      <c r="E96" s="247" t="s">
        <v>6</v>
      </c>
      <c r="F96" s="250">
        <v>0.2</v>
      </c>
      <c r="G96" s="65">
        <f>VLOOKUP(D96,upahbahan,3,FALSE)</f>
        <v>145000</v>
      </c>
      <c r="H96" s="287">
        <f>F96*G96</f>
        <v>29000</v>
      </c>
    </row>
    <row r="97" spans="3:9">
      <c r="C97" s="286">
        <v>3</v>
      </c>
      <c r="D97" s="248" t="s">
        <v>18</v>
      </c>
      <c r="E97" s="247" t="s">
        <v>6</v>
      </c>
      <c r="F97" s="250">
        <v>0.02</v>
      </c>
      <c r="G97" s="65">
        <f>VLOOKUP(D97,upahbahan,3,FALSE)</f>
        <v>150000</v>
      </c>
      <c r="H97" s="287">
        <f>F97*G97</f>
        <v>3000</v>
      </c>
    </row>
    <row r="98" spans="3:9">
      <c r="C98" s="286">
        <v>4</v>
      </c>
      <c r="D98" s="248" t="s">
        <v>19</v>
      </c>
      <c r="E98" s="247" t="s">
        <v>6</v>
      </c>
      <c r="F98" s="250">
        <v>6.7000000000000002E-3</v>
      </c>
      <c r="G98" s="65">
        <f>VLOOKUP(D98,upahbahan,3,FALSE)</f>
        <v>145000</v>
      </c>
      <c r="H98" s="287">
        <f>F98*G98</f>
        <v>971.5</v>
      </c>
    </row>
    <row r="99" spans="3:9">
      <c r="C99" s="288" t="s">
        <v>1220</v>
      </c>
      <c r="D99" s="251"/>
      <c r="E99" s="251"/>
      <c r="F99" s="252"/>
      <c r="G99" s="253"/>
      <c r="H99" s="287">
        <f>SUM(H95:H98)</f>
        <v>72971.5</v>
      </c>
      <c r="I99" s="254"/>
    </row>
    <row r="100" spans="3:9">
      <c r="C100" s="284" t="s">
        <v>1221</v>
      </c>
      <c r="D100" s="248" t="s">
        <v>1222</v>
      </c>
      <c r="E100" s="249"/>
      <c r="F100" s="249"/>
      <c r="G100" s="249"/>
      <c r="H100" s="285"/>
    </row>
    <row r="101" spans="3:9">
      <c r="C101" s="286">
        <v>1</v>
      </c>
      <c r="D101" s="265" t="s">
        <v>322</v>
      </c>
      <c r="E101" s="266" t="s">
        <v>44</v>
      </c>
      <c r="F101" s="263">
        <v>5</v>
      </c>
      <c r="G101" s="65">
        <f>VLOOKUP(D101,upahbahan,3,FALSE)</f>
        <v>8600</v>
      </c>
      <c r="H101" s="287">
        <f>F101*G101</f>
        <v>43000</v>
      </c>
    </row>
    <row r="102" spans="3:9">
      <c r="C102" s="286">
        <v>2</v>
      </c>
      <c r="D102" s="248" t="s">
        <v>568</v>
      </c>
      <c r="E102" s="247" t="s">
        <v>66</v>
      </c>
      <c r="F102" s="263">
        <v>8</v>
      </c>
      <c r="G102" s="65">
        <f>VLOOKUP(D102,upahbahan,3,FALSE)</f>
        <v>1300</v>
      </c>
      <c r="H102" s="287">
        <f>F102*G102</f>
        <v>10400</v>
      </c>
    </row>
    <row r="103" spans="3:9">
      <c r="C103" s="286">
        <v>3</v>
      </c>
      <c r="D103" s="265" t="s">
        <v>86</v>
      </c>
      <c r="E103" s="247" t="s">
        <v>42</v>
      </c>
      <c r="F103" s="263">
        <v>3.2000000000000001E-2</v>
      </c>
      <c r="G103" s="65">
        <f>VLOOKUP(D103,upahbahan,3,FALSE)</f>
        <v>275000</v>
      </c>
      <c r="H103" s="287">
        <f>F103*G103</f>
        <v>8800</v>
      </c>
    </row>
    <row r="104" spans="3:9">
      <c r="C104" s="288" t="s">
        <v>1226</v>
      </c>
      <c r="D104" s="251"/>
      <c r="E104" s="251"/>
      <c r="F104" s="251"/>
      <c r="G104" s="256"/>
      <c r="H104" s="287">
        <f>SUM(H101:H103)</f>
        <v>62200</v>
      </c>
    </row>
    <row r="105" spans="3:9">
      <c r="C105" s="289" t="s">
        <v>1227</v>
      </c>
      <c r="D105" s="248" t="s">
        <v>1228</v>
      </c>
      <c r="E105" s="249"/>
      <c r="F105" s="249"/>
      <c r="G105" s="249"/>
      <c r="H105" s="285"/>
    </row>
    <row r="106" spans="3:9">
      <c r="C106" s="288" t="s">
        <v>1229</v>
      </c>
      <c r="D106" s="251"/>
      <c r="E106" s="251"/>
      <c r="F106" s="251"/>
      <c r="G106" s="256"/>
      <c r="H106" s="290">
        <v>0</v>
      </c>
    </row>
    <row r="107" spans="3:9" ht="14.25">
      <c r="C107" s="291" t="s">
        <v>1230</v>
      </c>
      <c r="D107" s="257" t="s">
        <v>1231</v>
      </c>
      <c r="E107" s="258"/>
      <c r="F107" s="258"/>
      <c r="G107" s="259"/>
      <c r="H107" s="287">
        <f>H106+H104+H99</f>
        <v>135171.5</v>
      </c>
      <c r="I107" s="260"/>
    </row>
    <row r="108" spans="3:9" ht="14.25">
      <c r="C108" s="123" t="s">
        <v>1232</v>
      </c>
      <c r="D108" s="70" t="s">
        <v>1410</v>
      </c>
      <c r="E108" s="71"/>
      <c r="F108" s="72"/>
      <c r="G108" s="96">
        <f>$M$7</f>
        <v>0.1</v>
      </c>
      <c r="H108" s="125">
        <f>H107*G108</f>
        <v>13517.150000000001</v>
      </c>
      <c r="I108" s="260"/>
    </row>
    <row r="109" spans="3:9" ht="15.75" thickBot="1">
      <c r="C109" s="292" t="s">
        <v>1233</v>
      </c>
      <c r="D109" s="293" t="s">
        <v>1234</v>
      </c>
      <c r="E109" s="294"/>
      <c r="F109" s="294"/>
      <c r="G109" s="295"/>
      <c r="H109" s="296">
        <f>SUM(H107:H108)</f>
        <v>148688.65</v>
      </c>
      <c r="I109" s="260"/>
    </row>
    <row r="110" spans="3:9" ht="15.75" thickTop="1">
      <c r="C110" s="261"/>
      <c r="D110" s="262"/>
      <c r="E110" s="262"/>
      <c r="F110" s="262"/>
      <c r="G110" s="262"/>
      <c r="H110" s="280"/>
    </row>
    <row r="111" spans="3:9" ht="15.75" thickBot="1">
      <c r="C111" s="277" t="s">
        <v>1460</v>
      </c>
      <c r="D111" s="279"/>
      <c r="E111" s="279"/>
      <c r="F111" s="279"/>
      <c r="G111" s="279"/>
      <c r="H111" s="279"/>
      <c r="I111" s="246">
        <f>ROUNDDOWN(H128,-2)</f>
        <v>148400</v>
      </c>
    </row>
    <row r="112" spans="3:9" ht="29.25" thickTop="1">
      <c r="C112" s="281" t="s">
        <v>1207</v>
      </c>
      <c r="D112" s="282" t="s">
        <v>1208</v>
      </c>
      <c r="E112" s="282" t="s">
        <v>1209</v>
      </c>
      <c r="F112" s="282" t="s">
        <v>1210</v>
      </c>
      <c r="G112" s="282" t="s">
        <v>1211</v>
      </c>
      <c r="H112" s="283" t="s">
        <v>1212</v>
      </c>
    </row>
    <row r="113" spans="3:9">
      <c r="C113" s="284" t="s">
        <v>1213</v>
      </c>
      <c r="D113" s="248" t="s">
        <v>1214</v>
      </c>
      <c r="E113" s="249"/>
      <c r="F113" s="249"/>
      <c r="G113" s="249"/>
      <c r="H113" s="285"/>
    </row>
    <row r="114" spans="3:9">
      <c r="C114" s="286">
        <v>1</v>
      </c>
      <c r="D114" s="248" t="s">
        <v>5</v>
      </c>
      <c r="E114" s="247" t="s">
        <v>6</v>
      </c>
      <c r="F114" s="250">
        <v>0.4</v>
      </c>
      <c r="G114" s="65">
        <f>VLOOKUP(D114,upahbahan,3,FALSE)</f>
        <v>100000</v>
      </c>
      <c r="H114" s="287">
        <f>F114*G114</f>
        <v>40000</v>
      </c>
    </row>
    <row r="115" spans="3:9">
      <c r="C115" s="286">
        <v>2</v>
      </c>
      <c r="D115" s="248" t="s">
        <v>8</v>
      </c>
      <c r="E115" s="247" t="s">
        <v>6</v>
      </c>
      <c r="F115" s="250">
        <v>0.2</v>
      </c>
      <c r="G115" s="65">
        <f>VLOOKUP(D115,upahbahan,3,FALSE)</f>
        <v>145000</v>
      </c>
      <c r="H115" s="287">
        <f>F115*G115</f>
        <v>29000</v>
      </c>
    </row>
    <row r="116" spans="3:9">
      <c r="C116" s="286">
        <v>3</v>
      </c>
      <c r="D116" s="248" t="s">
        <v>18</v>
      </c>
      <c r="E116" s="247" t="s">
        <v>6</v>
      </c>
      <c r="F116" s="250">
        <v>0.02</v>
      </c>
      <c r="G116" s="65">
        <f>VLOOKUP(D116,upahbahan,3,FALSE)</f>
        <v>150000</v>
      </c>
      <c r="H116" s="287">
        <f>F116*G116</f>
        <v>3000</v>
      </c>
    </row>
    <row r="117" spans="3:9">
      <c r="C117" s="286">
        <v>4</v>
      </c>
      <c r="D117" s="248" t="s">
        <v>19</v>
      </c>
      <c r="E117" s="247" t="s">
        <v>6</v>
      </c>
      <c r="F117" s="250">
        <v>6.7000000000000002E-3</v>
      </c>
      <c r="G117" s="65">
        <f>VLOOKUP(D117,upahbahan,3,FALSE)</f>
        <v>145000</v>
      </c>
      <c r="H117" s="287">
        <f>F117*G117</f>
        <v>971.5</v>
      </c>
    </row>
    <row r="118" spans="3:9">
      <c r="C118" s="288" t="s">
        <v>1220</v>
      </c>
      <c r="D118" s="251"/>
      <c r="E118" s="251"/>
      <c r="F118" s="252"/>
      <c r="G118" s="253"/>
      <c r="H118" s="287">
        <f>SUM(H114:H117)</f>
        <v>72971.5</v>
      </c>
      <c r="I118" s="254"/>
    </row>
    <row r="119" spans="3:9">
      <c r="C119" s="284" t="s">
        <v>1221</v>
      </c>
      <c r="D119" s="248" t="s">
        <v>1222</v>
      </c>
      <c r="E119" s="249"/>
      <c r="F119" s="249"/>
      <c r="G119" s="249"/>
      <c r="H119" s="285"/>
    </row>
    <row r="120" spans="3:9">
      <c r="C120" s="286">
        <v>1</v>
      </c>
      <c r="D120" s="265" t="s">
        <v>323</v>
      </c>
      <c r="E120" s="266" t="s">
        <v>44</v>
      </c>
      <c r="F120" s="263">
        <v>4</v>
      </c>
      <c r="G120" s="65">
        <f>VLOOKUP(D120,upahbahan,3,FALSE)</f>
        <v>10700</v>
      </c>
      <c r="H120" s="287">
        <f>F120*G120</f>
        <v>42800</v>
      </c>
    </row>
    <row r="121" spans="3:9">
      <c r="C121" s="286">
        <v>2</v>
      </c>
      <c r="D121" s="248" t="s">
        <v>568</v>
      </c>
      <c r="E121" s="247" t="s">
        <v>66</v>
      </c>
      <c r="F121" s="263">
        <v>8</v>
      </c>
      <c r="G121" s="65">
        <f>VLOOKUP(D121,upahbahan,3,FALSE)</f>
        <v>1300</v>
      </c>
      <c r="H121" s="287">
        <f>F121*G121</f>
        <v>10400</v>
      </c>
    </row>
    <row r="122" spans="3:9">
      <c r="C122" s="286">
        <v>3</v>
      </c>
      <c r="D122" s="265" t="s">
        <v>86</v>
      </c>
      <c r="E122" s="247" t="s">
        <v>42</v>
      </c>
      <c r="F122" s="263">
        <v>3.2000000000000001E-2</v>
      </c>
      <c r="G122" s="65">
        <f>VLOOKUP(D122,upahbahan,3,FALSE)</f>
        <v>275000</v>
      </c>
      <c r="H122" s="287">
        <f>F122*G122</f>
        <v>8800</v>
      </c>
    </row>
    <row r="123" spans="3:9">
      <c r="C123" s="288" t="s">
        <v>1226</v>
      </c>
      <c r="D123" s="251"/>
      <c r="E123" s="251"/>
      <c r="F123" s="251"/>
      <c r="G123" s="256"/>
      <c r="H123" s="287">
        <f>SUM(H120:H122)</f>
        <v>62000</v>
      </c>
    </row>
    <row r="124" spans="3:9">
      <c r="C124" s="289" t="s">
        <v>1227</v>
      </c>
      <c r="D124" s="248" t="s">
        <v>1228</v>
      </c>
      <c r="E124" s="249"/>
      <c r="F124" s="249"/>
      <c r="G124" s="249"/>
      <c r="H124" s="285"/>
    </row>
    <row r="125" spans="3:9">
      <c r="C125" s="288" t="s">
        <v>1229</v>
      </c>
      <c r="D125" s="251"/>
      <c r="E125" s="251"/>
      <c r="F125" s="251"/>
      <c r="G125" s="256"/>
      <c r="H125" s="290">
        <v>0</v>
      </c>
    </row>
    <row r="126" spans="3:9" ht="14.25">
      <c r="C126" s="291" t="s">
        <v>1230</v>
      </c>
      <c r="D126" s="257" t="s">
        <v>1231</v>
      </c>
      <c r="E126" s="258"/>
      <c r="F126" s="258"/>
      <c r="G126" s="259"/>
      <c r="H126" s="287">
        <f>H125+H123+H118</f>
        <v>134971.5</v>
      </c>
      <c r="I126" s="260"/>
    </row>
    <row r="127" spans="3:9" ht="14.25">
      <c r="C127" s="123" t="s">
        <v>1232</v>
      </c>
      <c r="D127" s="70" t="s">
        <v>1410</v>
      </c>
      <c r="E127" s="71"/>
      <c r="F127" s="72"/>
      <c r="G127" s="96">
        <f>$M$7</f>
        <v>0.1</v>
      </c>
      <c r="H127" s="125">
        <f>H126*G127</f>
        <v>13497.150000000001</v>
      </c>
      <c r="I127" s="260"/>
    </row>
    <row r="128" spans="3:9" ht="15.75" thickBot="1">
      <c r="C128" s="292" t="s">
        <v>1233</v>
      </c>
      <c r="D128" s="293" t="s">
        <v>1234</v>
      </c>
      <c r="E128" s="294"/>
      <c r="F128" s="294"/>
      <c r="G128" s="295"/>
      <c r="H128" s="296">
        <f>SUM(H126:H127)</f>
        <v>148468.65</v>
      </c>
      <c r="I128" s="260"/>
    </row>
    <row r="129" spans="3:9" ht="15.75" thickTop="1">
      <c r="C129" s="261"/>
      <c r="D129" s="262"/>
      <c r="E129" s="262"/>
      <c r="F129" s="262"/>
      <c r="G129" s="262"/>
      <c r="H129" s="280"/>
    </row>
    <row r="130" spans="3:9" ht="15.75" thickBot="1">
      <c r="C130" s="277" t="s">
        <v>1461</v>
      </c>
      <c r="D130" s="279"/>
      <c r="E130" s="279"/>
      <c r="F130" s="279"/>
      <c r="G130" s="279"/>
      <c r="H130" s="279"/>
      <c r="I130" s="246">
        <f>ROUNDDOWN(H149,-2)</f>
        <v>151700</v>
      </c>
    </row>
    <row r="131" spans="3:9" ht="29.25" thickTop="1">
      <c r="C131" s="281" t="s">
        <v>1207</v>
      </c>
      <c r="D131" s="282" t="s">
        <v>1208</v>
      </c>
      <c r="E131" s="282" t="s">
        <v>1209</v>
      </c>
      <c r="F131" s="282" t="s">
        <v>1210</v>
      </c>
      <c r="G131" s="282" t="s">
        <v>1211</v>
      </c>
      <c r="H131" s="283" t="s">
        <v>1212</v>
      </c>
    </row>
    <row r="132" spans="3:9">
      <c r="C132" s="284" t="s">
        <v>1213</v>
      </c>
      <c r="D132" s="248" t="s">
        <v>1214</v>
      </c>
      <c r="E132" s="249"/>
      <c r="F132" s="249"/>
      <c r="G132" s="249"/>
      <c r="H132" s="285"/>
    </row>
    <row r="133" spans="3:9">
      <c r="C133" s="286">
        <v>1</v>
      </c>
      <c r="D133" s="248" t="s">
        <v>5</v>
      </c>
      <c r="E133" s="247" t="s">
        <v>6</v>
      </c>
      <c r="F133" s="250">
        <v>0.4</v>
      </c>
      <c r="G133" s="65">
        <f>VLOOKUP(D133,upahbahan,3,FALSE)</f>
        <v>100000</v>
      </c>
      <c r="H133" s="287">
        <f>F133*G133</f>
        <v>40000</v>
      </c>
    </row>
    <row r="134" spans="3:9">
      <c r="C134" s="286">
        <v>2</v>
      </c>
      <c r="D134" s="248" t="s">
        <v>8</v>
      </c>
      <c r="E134" s="247" t="s">
        <v>6</v>
      </c>
      <c r="F134" s="250">
        <v>0.2</v>
      </c>
      <c r="G134" s="65">
        <f>VLOOKUP(D134,upahbahan,3,FALSE)</f>
        <v>145000</v>
      </c>
      <c r="H134" s="287">
        <f>F134*G134</f>
        <v>29000</v>
      </c>
    </row>
    <row r="135" spans="3:9">
      <c r="C135" s="286">
        <v>3</v>
      </c>
      <c r="D135" s="248" t="s">
        <v>18</v>
      </c>
      <c r="E135" s="247" t="s">
        <v>6</v>
      </c>
      <c r="F135" s="250">
        <v>0.02</v>
      </c>
      <c r="G135" s="65">
        <f>VLOOKUP(D135,upahbahan,3,FALSE)</f>
        <v>150000</v>
      </c>
      <c r="H135" s="287">
        <f>F135*G135</f>
        <v>3000</v>
      </c>
    </row>
    <row r="136" spans="3:9">
      <c r="C136" s="286">
        <v>4</v>
      </c>
      <c r="D136" s="248" t="s">
        <v>19</v>
      </c>
      <c r="E136" s="247" t="s">
        <v>6</v>
      </c>
      <c r="F136" s="250">
        <v>6.7000000000000002E-3</v>
      </c>
      <c r="G136" s="65">
        <f>VLOOKUP(D136,upahbahan,3,FALSE)</f>
        <v>145000</v>
      </c>
      <c r="H136" s="287">
        <f>F136*G136</f>
        <v>971.5</v>
      </c>
    </row>
    <row r="137" spans="3:9">
      <c r="C137" s="288" t="s">
        <v>1220</v>
      </c>
      <c r="D137" s="251"/>
      <c r="E137" s="251"/>
      <c r="F137" s="252"/>
      <c r="G137" s="253"/>
      <c r="H137" s="287">
        <f>SUM(H133:H136)</f>
        <v>72971.5</v>
      </c>
      <c r="I137" s="254"/>
    </row>
    <row r="138" spans="3:9">
      <c r="C138" s="284" t="s">
        <v>1221</v>
      </c>
      <c r="D138" s="248" t="s">
        <v>1222</v>
      </c>
      <c r="E138" s="249"/>
      <c r="F138" s="249"/>
      <c r="G138" s="249"/>
      <c r="H138" s="285"/>
    </row>
    <row r="139" spans="3:9">
      <c r="C139" s="286">
        <v>1</v>
      </c>
      <c r="D139" s="248" t="s">
        <v>348</v>
      </c>
      <c r="E139" s="247" t="s">
        <v>44</v>
      </c>
      <c r="F139" s="263">
        <v>3.5</v>
      </c>
      <c r="G139" s="65">
        <f>VLOOKUP(D139,upahbahan,3,FALSE)</f>
        <v>9600</v>
      </c>
      <c r="H139" s="287">
        <f>F139*G139</f>
        <v>33600</v>
      </c>
    </row>
    <row r="140" spans="3:9">
      <c r="C140" s="286">
        <v>2</v>
      </c>
      <c r="D140" s="248" t="s">
        <v>263</v>
      </c>
      <c r="E140" s="247" t="s">
        <v>66</v>
      </c>
      <c r="F140" s="263">
        <v>0.05</v>
      </c>
      <c r="G140" s="65">
        <f>VLOOKUP(D140,upahbahan,3,FALSE)</f>
        <v>15000</v>
      </c>
      <c r="H140" s="287">
        <f>F140*G140</f>
        <v>750</v>
      </c>
    </row>
    <row r="141" spans="3:9">
      <c r="C141" s="286">
        <v>3</v>
      </c>
      <c r="D141" s="248" t="s">
        <v>568</v>
      </c>
      <c r="E141" s="247" t="s">
        <v>66</v>
      </c>
      <c r="F141" s="263">
        <v>10.8</v>
      </c>
      <c r="G141" s="65">
        <f>VLOOKUP(D141,upahbahan,3,FALSE)</f>
        <v>1300</v>
      </c>
      <c r="H141" s="287">
        <f>F141*G141</f>
        <v>14040.000000000002</v>
      </c>
    </row>
    <row r="142" spans="3:9">
      <c r="C142" s="286">
        <v>4</v>
      </c>
      <c r="D142" s="265" t="s">
        <v>86</v>
      </c>
      <c r="E142" s="247" t="s">
        <v>42</v>
      </c>
      <c r="F142" s="263">
        <v>3.2000000000000001E-2</v>
      </c>
      <c r="G142" s="65">
        <f>VLOOKUP(D142,upahbahan,3,FALSE)</f>
        <v>275000</v>
      </c>
      <c r="H142" s="287">
        <f>F142*G142</f>
        <v>8800</v>
      </c>
    </row>
    <row r="143" spans="3:9">
      <c r="C143" s="286">
        <v>5</v>
      </c>
      <c r="D143" s="248" t="s">
        <v>571</v>
      </c>
      <c r="E143" s="247" t="s">
        <v>66</v>
      </c>
      <c r="F143" s="263">
        <v>1</v>
      </c>
      <c r="G143" s="65">
        <f>VLOOKUP(D143,upahbahan,3,FALSE)</f>
        <v>7800</v>
      </c>
      <c r="H143" s="287">
        <f>F143*G143</f>
        <v>7800</v>
      </c>
    </row>
    <row r="144" spans="3:9">
      <c r="C144" s="288" t="s">
        <v>1226</v>
      </c>
      <c r="D144" s="251"/>
      <c r="E144" s="251"/>
      <c r="F144" s="251"/>
      <c r="G144" s="256"/>
      <c r="H144" s="287">
        <f>SUM(H139:H143)</f>
        <v>64990</v>
      </c>
    </row>
    <row r="145" spans="3:9">
      <c r="C145" s="289" t="s">
        <v>1227</v>
      </c>
      <c r="D145" s="248" t="s">
        <v>1228</v>
      </c>
      <c r="E145" s="249"/>
      <c r="F145" s="249"/>
      <c r="G145" s="249"/>
      <c r="H145" s="285"/>
    </row>
    <row r="146" spans="3:9">
      <c r="C146" s="288" t="s">
        <v>1229</v>
      </c>
      <c r="D146" s="251"/>
      <c r="E146" s="251"/>
      <c r="F146" s="251"/>
      <c r="G146" s="256"/>
      <c r="H146" s="290">
        <v>0</v>
      </c>
    </row>
    <row r="147" spans="3:9" ht="14.25">
      <c r="C147" s="291" t="s">
        <v>1230</v>
      </c>
      <c r="D147" s="257" t="s">
        <v>1231</v>
      </c>
      <c r="E147" s="258"/>
      <c r="F147" s="258"/>
      <c r="G147" s="259"/>
      <c r="H147" s="287">
        <f>H146+H144+H137</f>
        <v>137961.5</v>
      </c>
      <c r="I147" s="260"/>
    </row>
    <row r="148" spans="3:9" ht="14.25">
      <c r="C148" s="123" t="s">
        <v>1232</v>
      </c>
      <c r="D148" s="70" t="s">
        <v>1410</v>
      </c>
      <c r="E148" s="71"/>
      <c r="F148" s="72"/>
      <c r="G148" s="96">
        <f>$M$7</f>
        <v>0.1</v>
      </c>
      <c r="H148" s="125">
        <f>H147*G148</f>
        <v>13796.150000000001</v>
      </c>
      <c r="I148" s="260"/>
    </row>
    <row r="149" spans="3:9" ht="15.75" thickBot="1">
      <c r="C149" s="292" t="s">
        <v>1233</v>
      </c>
      <c r="D149" s="293" t="s">
        <v>1234</v>
      </c>
      <c r="E149" s="294"/>
      <c r="F149" s="294"/>
      <c r="G149" s="295"/>
      <c r="H149" s="296">
        <f>SUM(H147:H148)</f>
        <v>151757.65</v>
      </c>
      <c r="I149" s="260"/>
    </row>
    <row r="150" spans="3:9" ht="15.75" thickTop="1">
      <c r="C150" s="267"/>
      <c r="D150" s="268"/>
      <c r="E150" s="268"/>
      <c r="F150" s="268"/>
      <c r="G150" s="268"/>
      <c r="H150" s="269"/>
      <c r="I150" s="260"/>
    </row>
    <row r="151" spans="3:9" ht="15.75" thickBot="1">
      <c r="C151" s="277" t="s">
        <v>1462</v>
      </c>
      <c r="D151" s="278"/>
      <c r="E151" s="278"/>
      <c r="F151" s="278"/>
      <c r="G151" s="278"/>
      <c r="H151" s="278"/>
      <c r="I151" s="246">
        <f>ROUNDDOWN(H167,-2)</f>
        <v>93900</v>
      </c>
    </row>
    <row r="152" spans="3:9" ht="29.25" thickTop="1">
      <c r="C152" s="281" t="s">
        <v>1207</v>
      </c>
      <c r="D152" s="282" t="s">
        <v>1208</v>
      </c>
      <c r="E152" s="282" t="s">
        <v>1209</v>
      </c>
      <c r="F152" s="282" t="s">
        <v>1210</v>
      </c>
      <c r="G152" s="282" t="s">
        <v>1211</v>
      </c>
      <c r="H152" s="283" t="s">
        <v>1212</v>
      </c>
    </row>
    <row r="153" spans="3:9">
      <c r="C153" s="284" t="s">
        <v>1213</v>
      </c>
      <c r="D153" s="248" t="s">
        <v>1214</v>
      </c>
      <c r="E153" s="249"/>
      <c r="F153" s="249"/>
      <c r="G153" s="249"/>
      <c r="H153" s="285"/>
    </row>
    <row r="154" spans="3:9">
      <c r="C154" s="286">
        <v>1</v>
      </c>
      <c r="D154" s="248" t="s">
        <v>5</v>
      </c>
      <c r="E154" s="247" t="s">
        <v>6</v>
      </c>
      <c r="F154" s="250">
        <v>0.14000000000000001</v>
      </c>
      <c r="G154" s="65">
        <f>VLOOKUP(D154,upahbahan,3,FALSE)</f>
        <v>100000</v>
      </c>
      <c r="H154" s="287">
        <f>F154*G154</f>
        <v>14000.000000000002</v>
      </c>
    </row>
    <row r="155" spans="3:9">
      <c r="C155" s="286">
        <v>2</v>
      </c>
      <c r="D155" s="248" t="s">
        <v>8</v>
      </c>
      <c r="E155" s="247" t="s">
        <v>6</v>
      </c>
      <c r="F155" s="250">
        <v>7.4999999999999997E-2</v>
      </c>
      <c r="G155" s="65">
        <f>VLOOKUP(D155,upahbahan,3,FALSE)</f>
        <v>145000</v>
      </c>
      <c r="H155" s="287">
        <f>F155*G155</f>
        <v>10875</v>
      </c>
    </row>
    <row r="156" spans="3:9">
      <c r="C156" s="286">
        <v>3</v>
      </c>
      <c r="D156" s="248" t="s">
        <v>18</v>
      </c>
      <c r="E156" s="247" t="s">
        <v>6</v>
      </c>
      <c r="F156" s="250">
        <v>7.4999999999999997E-3</v>
      </c>
      <c r="G156" s="65">
        <f>VLOOKUP(D156,upahbahan,3,FALSE)</f>
        <v>150000</v>
      </c>
      <c r="H156" s="287">
        <f>F156*G156</f>
        <v>1125</v>
      </c>
    </row>
    <row r="157" spans="3:9">
      <c r="C157" s="286">
        <v>4</v>
      </c>
      <c r="D157" s="248" t="s">
        <v>19</v>
      </c>
      <c r="E157" s="247" t="s">
        <v>6</v>
      </c>
      <c r="F157" s="250">
        <v>2.5000000000000001E-3</v>
      </c>
      <c r="G157" s="65">
        <f>VLOOKUP(D157,upahbahan,3,FALSE)</f>
        <v>145000</v>
      </c>
      <c r="H157" s="287">
        <f>F157*G157</f>
        <v>362.5</v>
      </c>
    </row>
    <row r="158" spans="3:9">
      <c r="C158" s="288" t="s">
        <v>1220</v>
      </c>
      <c r="D158" s="251"/>
      <c r="E158" s="251"/>
      <c r="F158" s="252"/>
      <c r="G158" s="253"/>
      <c r="H158" s="287">
        <f>SUM(H154:H157)</f>
        <v>26362.5</v>
      </c>
      <c r="I158" s="254"/>
    </row>
    <row r="159" spans="3:9">
      <c r="C159" s="284" t="s">
        <v>1221</v>
      </c>
      <c r="D159" s="248" t="s">
        <v>1222</v>
      </c>
      <c r="E159" s="249"/>
      <c r="F159" s="249"/>
      <c r="G159" s="249"/>
      <c r="H159" s="285"/>
    </row>
    <row r="160" spans="3:9" ht="28.5">
      <c r="C160" s="286">
        <v>1</v>
      </c>
      <c r="D160" s="248" t="s">
        <v>308</v>
      </c>
      <c r="E160" s="266" t="s">
        <v>133</v>
      </c>
      <c r="F160" s="263">
        <v>0.5</v>
      </c>
      <c r="G160" s="65">
        <f>VLOOKUP(D160,upahbahan,3,FALSE)</f>
        <v>113400</v>
      </c>
      <c r="H160" s="287">
        <f>F160*G160</f>
        <v>56700</v>
      </c>
    </row>
    <row r="161" spans="3:9">
      <c r="C161" s="286">
        <v>2</v>
      </c>
      <c r="D161" s="248" t="s">
        <v>270</v>
      </c>
      <c r="E161" s="247" t="s">
        <v>66</v>
      </c>
      <c r="F161" s="263">
        <v>0.12</v>
      </c>
      <c r="G161" s="65">
        <f>VLOOKUP(D161,upahbahan,3,FALSE)</f>
        <v>19460</v>
      </c>
      <c r="H161" s="287">
        <f>F161*G161</f>
        <v>2335.1999999999998</v>
      </c>
    </row>
    <row r="162" spans="3:9">
      <c r="C162" s="288" t="s">
        <v>1226</v>
      </c>
      <c r="D162" s="251"/>
      <c r="E162" s="251"/>
      <c r="F162" s="251"/>
      <c r="G162" s="256"/>
      <c r="H162" s="287">
        <f>SUM(H160:H161)</f>
        <v>59035.199999999997</v>
      </c>
    </row>
    <row r="163" spans="3:9">
      <c r="C163" s="289" t="s">
        <v>1227</v>
      </c>
      <c r="D163" s="248" t="s">
        <v>1228</v>
      </c>
      <c r="E163" s="249"/>
      <c r="F163" s="249"/>
      <c r="G163" s="249"/>
      <c r="H163" s="285"/>
    </row>
    <row r="164" spans="3:9">
      <c r="C164" s="288" t="s">
        <v>1229</v>
      </c>
      <c r="D164" s="251"/>
      <c r="E164" s="251"/>
      <c r="F164" s="251"/>
      <c r="G164" s="256"/>
      <c r="H164" s="290">
        <v>0</v>
      </c>
    </row>
    <row r="165" spans="3:9" ht="14.25">
      <c r="C165" s="291" t="s">
        <v>1230</v>
      </c>
      <c r="D165" s="257" t="s">
        <v>1231</v>
      </c>
      <c r="E165" s="258"/>
      <c r="F165" s="258"/>
      <c r="G165" s="259"/>
      <c r="H165" s="287">
        <f>H164+H162+H158</f>
        <v>85397.7</v>
      </c>
      <c r="I165" s="260"/>
    </row>
    <row r="166" spans="3:9" ht="14.25">
      <c r="C166" s="123" t="s">
        <v>1232</v>
      </c>
      <c r="D166" s="70" t="s">
        <v>1410</v>
      </c>
      <c r="E166" s="71"/>
      <c r="F166" s="72"/>
      <c r="G166" s="96">
        <f>$M$7</f>
        <v>0.1</v>
      </c>
      <c r="H166" s="125">
        <f>H165*G166</f>
        <v>8539.77</v>
      </c>
      <c r="I166" s="260"/>
    </row>
    <row r="167" spans="3:9" ht="15.75" thickBot="1">
      <c r="C167" s="292" t="s">
        <v>1233</v>
      </c>
      <c r="D167" s="293" t="s">
        <v>1234</v>
      </c>
      <c r="E167" s="294"/>
      <c r="F167" s="294"/>
      <c r="G167" s="295"/>
      <c r="H167" s="296">
        <f>SUM(H165:H166)</f>
        <v>93937.47</v>
      </c>
      <c r="I167" s="260"/>
    </row>
    <row r="168" spans="3:9" ht="15.75" thickTop="1">
      <c r="C168" s="261"/>
      <c r="D168" s="262"/>
      <c r="E168" s="262"/>
      <c r="F168" s="262"/>
      <c r="G168" s="262"/>
      <c r="H168" s="280"/>
    </row>
    <row r="169" spans="3:9" ht="15.75" thickBot="1">
      <c r="C169" s="277" t="s">
        <v>1463</v>
      </c>
      <c r="D169" s="279"/>
      <c r="E169" s="279"/>
      <c r="F169" s="279"/>
      <c r="G169" s="279"/>
      <c r="H169" s="279"/>
      <c r="I169" s="246">
        <f>ROUNDDOWN(H185,-2)</f>
        <v>100800</v>
      </c>
    </row>
    <row r="170" spans="3:9" ht="29.25" thickTop="1">
      <c r="C170" s="281" t="s">
        <v>1207</v>
      </c>
      <c r="D170" s="282" t="s">
        <v>1208</v>
      </c>
      <c r="E170" s="282" t="s">
        <v>1209</v>
      </c>
      <c r="F170" s="282" t="s">
        <v>1210</v>
      </c>
      <c r="G170" s="282" t="s">
        <v>1211</v>
      </c>
      <c r="H170" s="283" t="s">
        <v>1212</v>
      </c>
    </row>
    <row r="171" spans="3:9">
      <c r="C171" s="284" t="s">
        <v>1213</v>
      </c>
      <c r="D171" s="248" t="s">
        <v>1214</v>
      </c>
      <c r="E171" s="249"/>
      <c r="F171" s="249"/>
      <c r="G171" s="249"/>
      <c r="H171" s="285"/>
    </row>
    <row r="172" spans="3:9">
      <c r="C172" s="286">
        <v>1</v>
      </c>
      <c r="D172" s="248" t="s">
        <v>5</v>
      </c>
      <c r="E172" s="247" t="s">
        <v>6</v>
      </c>
      <c r="F172" s="250">
        <v>0.14000000000000001</v>
      </c>
      <c r="G172" s="65">
        <f>VLOOKUP(D172,upahbahan,3,FALSE)</f>
        <v>100000</v>
      </c>
      <c r="H172" s="287">
        <f>F172*G172</f>
        <v>14000.000000000002</v>
      </c>
    </row>
    <row r="173" spans="3:9">
      <c r="C173" s="286">
        <v>2</v>
      </c>
      <c r="D173" s="248" t="s">
        <v>8</v>
      </c>
      <c r="E173" s="247" t="s">
        <v>6</v>
      </c>
      <c r="F173" s="250">
        <v>7.4999999999999997E-2</v>
      </c>
      <c r="G173" s="65">
        <f>VLOOKUP(D173,upahbahan,3,FALSE)</f>
        <v>145000</v>
      </c>
      <c r="H173" s="287">
        <f>F173*G173</f>
        <v>10875</v>
      </c>
    </row>
    <row r="174" spans="3:9">
      <c r="C174" s="286">
        <v>3</v>
      </c>
      <c r="D174" s="248" t="s">
        <v>18</v>
      </c>
      <c r="E174" s="247" t="s">
        <v>6</v>
      </c>
      <c r="F174" s="250">
        <v>7.4999999999999997E-3</v>
      </c>
      <c r="G174" s="65">
        <f>VLOOKUP(D174,upahbahan,3,FALSE)</f>
        <v>150000</v>
      </c>
      <c r="H174" s="287">
        <f>F174*G174</f>
        <v>1125</v>
      </c>
    </row>
    <row r="175" spans="3:9">
      <c r="C175" s="286">
        <v>4</v>
      </c>
      <c r="D175" s="248" t="s">
        <v>19</v>
      </c>
      <c r="E175" s="247" t="s">
        <v>6</v>
      </c>
      <c r="F175" s="250">
        <v>2.5000000000000001E-3</v>
      </c>
      <c r="G175" s="65">
        <f>VLOOKUP(D175,upahbahan,3,FALSE)</f>
        <v>145000</v>
      </c>
      <c r="H175" s="287">
        <f>F175*G175</f>
        <v>362.5</v>
      </c>
    </row>
    <row r="176" spans="3:9">
      <c r="C176" s="288" t="s">
        <v>1220</v>
      </c>
      <c r="D176" s="251"/>
      <c r="E176" s="251"/>
      <c r="F176" s="252"/>
      <c r="G176" s="253"/>
      <c r="H176" s="287">
        <f>SUM(H172:H175)</f>
        <v>26362.5</v>
      </c>
      <c r="I176" s="254"/>
    </row>
    <row r="177" spans="3:9">
      <c r="C177" s="284" t="s">
        <v>1221</v>
      </c>
      <c r="D177" s="248" t="s">
        <v>1222</v>
      </c>
      <c r="E177" s="249"/>
      <c r="F177" s="249"/>
      <c r="G177" s="249"/>
      <c r="H177" s="285"/>
    </row>
    <row r="178" spans="3:9" ht="28.5">
      <c r="C178" s="286">
        <v>1</v>
      </c>
      <c r="D178" s="248" t="s">
        <v>306</v>
      </c>
      <c r="E178" s="247" t="s">
        <v>133</v>
      </c>
      <c r="F178" s="263">
        <v>0.6</v>
      </c>
      <c r="G178" s="65">
        <f>VLOOKUP(D178,upahbahan,3,FALSE)</f>
        <v>104900</v>
      </c>
      <c r="H178" s="287">
        <f>F178*G178</f>
        <v>62940</v>
      </c>
    </row>
    <row r="179" spans="3:9">
      <c r="C179" s="286">
        <v>2</v>
      </c>
      <c r="D179" s="248" t="s">
        <v>270</v>
      </c>
      <c r="E179" s="247" t="s">
        <v>66</v>
      </c>
      <c r="F179" s="263">
        <v>0.12</v>
      </c>
      <c r="G179" s="65">
        <f>VLOOKUP(D179,upahbahan,3,FALSE)</f>
        <v>19460</v>
      </c>
      <c r="H179" s="287">
        <f>F179*G179</f>
        <v>2335.1999999999998</v>
      </c>
    </row>
    <row r="180" spans="3:9">
      <c r="C180" s="288" t="s">
        <v>1226</v>
      </c>
      <c r="D180" s="251"/>
      <c r="E180" s="251"/>
      <c r="F180" s="251"/>
      <c r="G180" s="256"/>
      <c r="H180" s="287">
        <f>SUM(H178:H179)</f>
        <v>65275.199999999997</v>
      </c>
    </row>
    <row r="181" spans="3:9">
      <c r="C181" s="289" t="s">
        <v>1227</v>
      </c>
      <c r="D181" s="248" t="s">
        <v>1228</v>
      </c>
      <c r="E181" s="249"/>
      <c r="F181" s="249"/>
      <c r="G181" s="249"/>
      <c r="H181" s="285"/>
    </row>
    <row r="182" spans="3:9">
      <c r="C182" s="288" t="s">
        <v>1229</v>
      </c>
      <c r="D182" s="251"/>
      <c r="E182" s="251"/>
      <c r="F182" s="251"/>
      <c r="G182" s="256"/>
      <c r="H182" s="290">
        <v>0</v>
      </c>
    </row>
    <row r="183" spans="3:9" ht="14.25">
      <c r="C183" s="291" t="s">
        <v>1230</v>
      </c>
      <c r="D183" s="257" t="s">
        <v>1231</v>
      </c>
      <c r="E183" s="258"/>
      <c r="F183" s="258"/>
      <c r="G183" s="259"/>
      <c r="H183" s="287">
        <f>H182+H180+H176</f>
        <v>91637.7</v>
      </c>
      <c r="I183" s="260"/>
    </row>
    <row r="184" spans="3:9" ht="14.25">
      <c r="C184" s="123" t="s">
        <v>1232</v>
      </c>
      <c r="D184" s="70" t="s">
        <v>1410</v>
      </c>
      <c r="E184" s="71"/>
      <c r="F184" s="72"/>
      <c r="G184" s="96">
        <f>$M$7</f>
        <v>0.1</v>
      </c>
      <c r="H184" s="125">
        <f>H183*G184</f>
        <v>9163.77</v>
      </c>
      <c r="I184" s="260"/>
    </row>
    <row r="185" spans="3:9" ht="15.75" thickBot="1">
      <c r="C185" s="292" t="s">
        <v>1233</v>
      </c>
      <c r="D185" s="293" t="s">
        <v>1234</v>
      </c>
      <c r="E185" s="294"/>
      <c r="F185" s="294"/>
      <c r="G185" s="295"/>
      <c r="H185" s="296">
        <f>SUM(H183:H184)</f>
        <v>100801.47</v>
      </c>
      <c r="I185" s="260"/>
    </row>
    <row r="186" spans="3:9" ht="15.75" thickTop="1">
      <c r="C186" s="261"/>
      <c r="D186" s="262"/>
      <c r="E186" s="262"/>
      <c r="F186" s="262"/>
      <c r="G186" s="262"/>
      <c r="H186" s="280"/>
    </row>
    <row r="187" spans="3:9" ht="15.75" thickBot="1">
      <c r="C187" s="277" t="s">
        <v>1464</v>
      </c>
      <c r="D187" s="279"/>
      <c r="E187" s="279"/>
      <c r="F187" s="279"/>
      <c r="G187" s="279"/>
      <c r="H187" s="279"/>
      <c r="I187" s="246">
        <f>ROUNDDOWN(H203,-2)</f>
        <v>92600</v>
      </c>
    </row>
    <row r="188" spans="3:9" ht="29.25" thickTop="1">
      <c r="C188" s="281" t="s">
        <v>1207</v>
      </c>
      <c r="D188" s="282" t="s">
        <v>1208</v>
      </c>
      <c r="E188" s="282" t="s">
        <v>1209</v>
      </c>
      <c r="F188" s="282" t="s">
        <v>1210</v>
      </c>
      <c r="G188" s="282" t="s">
        <v>1211</v>
      </c>
      <c r="H188" s="283" t="s">
        <v>1212</v>
      </c>
    </row>
    <row r="189" spans="3:9">
      <c r="C189" s="284" t="s">
        <v>1213</v>
      </c>
      <c r="D189" s="248" t="s">
        <v>1214</v>
      </c>
      <c r="E189" s="249"/>
      <c r="F189" s="249"/>
      <c r="G189" s="249"/>
      <c r="H189" s="285"/>
    </row>
    <row r="190" spans="3:9">
      <c r="C190" s="286">
        <v>1</v>
      </c>
      <c r="D190" s="248" t="s">
        <v>5</v>
      </c>
      <c r="E190" s="247" t="s">
        <v>6</v>
      </c>
      <c r="F190" s="250">
        <v>0.14000000000000001</v>
      </c>
      <c r="G190" s="65">
        <f>VLOOKUP(D190,upahbahan,3,FALSE)</f>
        <v>100000</v>
      </c>
      <c r="H190" s="287">
        <f>F190*G190</f>
        <v>14000.000000000002</v>
      </c>
    </row>
    <row r="191" spans="3:9">
      <c r="C191" s="286">
        <v>2</v>
      </c>
      <c r="D191" s="248" t="s">
        <v>8</v>
      </c>
      <c r="E191" s="247" t="s">
        <v>6</v>
      </c>
      <c r="F191" s="250">
        <v>7.0000000000000007E-2</v>
      </c>
      <c r="G191" s="65">
        <f>VLOOKUP(D191,upahbahan,3,FALSE)</f>
        <v>145000</v>
      </c>
      <c r="H191" s="287">
        <f>F191*G191</f>
        <v>10150.000000000002</v>
      </c>
    </row>
    <row r="192" spans="3:9">
      <c r="C192" s="286">
        <v>3</v>
      </c>
      <c r="D192" s="248" t="s">
        <v>18</v>
      </c>
      <c r="E192" s="247" t="s">
        <v>6</v>
      </c>
      <c r="F192" s="250">
        <v>7.0000000000000001E-3</v>
      </c>
      <c r="G192" s="65">
        <f>VLOOKUP(D192,upahbahan,3,FALSE)</f>
        <v>150000</v>
      </c>
      <c r="H192" s="287">
        <f>F192*G192</f>
        <v>1050</v>
      </c>
    </row>
    <row r="193" spans="3:9">
      <c r="C193" s="286">
        <v>4</v>
      </c>
      <c r="D193" s="248" t="s">
        <v>19</v>
      </c>
      <c r="E193" s="247" t="s">
        <v>6</v>
      </c>
      <c r="F193" s="250">
        <v>2.3E-3</v>
      </c>
      <c r="G193" s="65">
        <f>VLOOKUP(D193,upahbahan,3,FALSE)</f>
        <v>145000</v>
      </c>
      <c r="H193" s="287">
        <f>F193*G193</f>
        <v>333.5</v>
      </c>
    </row>
    <row r="194" spans="3:9">
      <c r="C194" s="288" t="s">
        <v>1220</v>
      </c>
      <c r="D194" s="251"/>
      <c r="E194" s="251"/>
      <c r="F194" s="252"/>
      <c r="G194" s="253"/>
      <c r="H194" s="287">
        <f>SUM(H190:H193)</f>
        <v>25533.500000000004</v>
      </c>
      <c r="I194" s="254"/>
    </row>
    <row r="195" spans="3:9">
      <c r="C195" s="284" t="s">
        <v>1221</v>
      </c>
      <c r="D195" s="248" t="s">
        <v>1222</v>
      </c>
      <c r="E195" s="249"/>
      <c r="F195" s="249"/>
      <c r="G195" s="249"/>
      <c r="H195" s="285"/>
    </row>
    <row r="196" spans="3:9" ht="28.5">
      <c r="C196" s="286">
        <v>1</v>
      </c>
      <c r="D196" s="248" t="s">
        <v>304</v>
      </c>
      <c r="E196" s="247" t="s">
        <v>133</v>
      </c>
      <c r="F196" s="263">
        <v>0.6</v>
      </c>
      <c r="G196" s="65">
        <f>VLOOKUP(D196,upahbahan,3,FALSE)</f>
        <v>94000</v>
      </c>
      <c r="H196" s="287">
        <f>F196*G196</f>
        <v>56400</v>
      </c>
    </row>
    <row r="197" spans="3:9">
      <c r="C197" s="286">
        <v>2</v>
      </c>
      <c r="D197" s="248" t="s">
        <v>270</v>
      </c>
      <c r="E197" s="247" t="s">
        <v>66</v>
      </c>
      <c r="F197" s="263">
        <v>0.12</v>
      </c>
      <c r="G197" s="65">
        <f>VLOOKUP(D197,upahbahan,3,FALSE)</f>
        <v>19460</v>
      </c>
      <c r="H197" s="287">
        <f>F197*G197</f>
        <v>2335.1999999999998</v>
      </c>
    </row>
    <row r="198" spans="3:9">
      <c r="C198" s="288" t="s">
        <v>1226</v>
      </c>
      <c r="D198" s="251"/>
      <c r="E198" s="251"/>
      <c r="F198" s="251"/>
      <c r="G198" s="256"/>
      <c r="H198" s="287">
        <f>SUM(H196:H197)</f>
        <v>58735.199999999997</v>
      </c>
    </row>
    <row r="199" spans="3:9">
      <c r="C199" s="289" t="s">
        <v>1227</v>
      </c>
      <c r="D199" s="248" t="s">
        <v>1228</v>
      </c>
      <c r="E199" s="249"/>
      <c r="F199" s="249"/>
      <c r="G199" s="249"/>
      <c r="H199" s="285"/>
    </row>
    <row r="200" spans="3:9">
      <c r="C200" s="288" t="s">
        <v>1229</v>
      </c>
      <c r="D200" s="251"/>
      <c r="E200" s="251"/>
      <c r="F200" s="251"/>
      <c r="G200" s="256"/>
      <c r="H200" s="290">
        <v>0</v>
      </c>
    </row>
    <row r="201" spans="3:9" ht="14.25">
      <c r="C201" s="291" t="s">
        <v>1230</v>
      </c>
      <c r="D201" s="257" t="s">
        <v>1231</v>
      </c>
      <c r="E201" s="258"/>
      <c r="F201" s="258"/>
      <c r="G201" s="259"/>
      <c r="H201" s="287">
        <f>H200+H198+H194</f>
        <v>84268.7</v>
      </c>
      <c r="I201" s="260"/>
    </row>
    <row r="202" spans="3:9" ht="14.25">
      <c r="C202" s="123" t="s">
        <v>1232</v>
      </c>
      <c r="D202" s="70" t="s">
        <v>1410</v>
      </c>
      <c r="E202" s="71"/>
      <c r="F202" s="72"/>
      <c r="G202" s="96">
        <f>$M$7</f>
        <v>0.1</v>
      </c>
      <c r="H202" s="125">
        <f>H201*G202</f>
        <v>8426.8700000000008</v>
      </c>
      <c r="I202" s="260"/>
    </row>
    <row r="203" spans="3:9" ht="15.75" thickBot="1">
      <c r="C203" s="292" t="s">
        <v>1233</v>
      </c>
      <c r="D203" s="293" t="s">
        <v>1234</v>
      </c>
      <c r="E203" s="294"/>
      <c r="F203" s="294"/>
      <c r="G203" s="295"/>
      <c r="H203" s="296">
        <f>SUM(H201:H202)</f>
        <v>92695.569999999992</v>
      </c>
      <c r="I203" s="260"/>
    </row>
    <row r="204" spans="3:9" ht="15.75" thickTop="1">
      <c r="C204" s="267"/>
      <c r="D204" s="268"/>
      <c r="E204" s="268"/>
      <c r="F204" s="268"/>
      <c r="G204" s="268"/>
      <c r="H204" s="269"/>
      <c r="I204" s="260"/>
    </row>
    <row r="205" spans="3:9" ht="15.75" thickBot="1">
      <c r="C205" s="277" t="s">
        <v>1465</v>
      </c>
      <c r="D205" s="279"/>
      <c r="E205" s="279"/>
      <c r="F205" s="279"/>
      <c r="G205" s="279"/>
      <c r="H205" s="279"/>
      <c r="I205" s="246">
        <f>ROUNDDOWN(H221,-2)</f>
        <v>101100</v>
      </c>
    </row>
    <row r="206" spans="3:9" ht="29.25" thickTop="1">
      <c r="C206" s="281" t="s">
        <v>1207</v>
      </c>
      <c r="D206" s="282" t="s">
        <v>1208</v>
      </c>
      <c r="E206" s="282" t="s">
        <v>1209</v>
      </c>
      <c r="F206" s="282" t="s">
        <v>1210</v>
      </c>
      <c r="G206" s="282" t="s">
        <v>1211</v>
      </c>
      <c r="H206" s="283" t="s">
        <v>1212</v>
      </c>
    </row>
    <row r="207" spans="3:9">
      <c r="C207" s="284" t="s">
        <v>1213</v>
      </c>
      <c r="D207" s="248" t="s">
        <v>1214</v>
      </c>
      <c r="E207" s="249"/>
      <c r="F207" s="249"/>
      <c r="G207" s="249"/>
      <c r="H207" s="285"/>
    </row>
    <row r="208" spans="3:9">
      <c r="C208" s="286">
        <v>1</v>
      </c>
      <c r="D208" s="248" t="s">
        <v>5</v>
      </c>
      <c r="E208" s="247" t="s">
        <v>6</v>
      </c>
      <c r="F208" s="250">
        <v>0.14000000000000001</v>
      </c>
      <c r="G208" s="65">
        <f>VLOOKUP(D208,upahbahan,3,FALSE)</f>
        <v>100000</v>
      </c>
      <c r="H208" s="287">
        <f>F208*G208</f>
        <v>14000.000000000002</v>
      </c>
    </row>
    <row r="209" spans="3:9">
      <c r="C209" s="286">
        <v>2</v>
      </c>
      <c r="D209" s="248" t="s">
        <v>8</v>
      </c>
      <c r="E209" s="247" t="s">
        <v>6</v>
      </c>
      <c r="F209" s="250">
        <v>7.0000000000000007E-2</v>
      </c>
      <c r="G209" s="65">
        <f>VLOOKUP(D209,upahbahan,3,FALSE)</f>
        <v>145000</v>
      </c>
      <c r="H209" s="287">
        <f>F209*G209</f>
        <v>10150.000000000002</v>
      </c>
    </row>
    <row r="210" spans="3:9">
      <c r="C210" s="286">
        <v>3</v>
      </c>
      <c r="D210" s="248" t="s">
        <v>18</v>
      </c>
      <c r="E210" s="247" t="s">
        <v>6</v>
      </c>
      <c r="F210" s="250">
        <v>7.0000000000000001E-3</v>
      </c>
      <c r="G210" s="65">
        <f>VLOOKUP(D210,upahbahan,3,FALSE)</f>
        <v>150000</v>
      </c>
      <c r="H210" s="287">
        <f>F210*G210</f>
        <v>1050</v>
      </c>
    </row>
    <row r="211" spans="3:9">
      <c r="C211" s="286">
        <v>4</v>
      </c>
      <c r="D211" s="248" t="s">
        <v>19</v>
      </c>
      <c r="E211" s="247" t="s">
        <v>6</v>
      </c>
      <c r="F211" s="250">
        <v>2.3E-3</v>
      </c>
      <c r="G211" s="65">
        <f>VLOOKUP(D211,upahbahan,3,FALSE)</f>
        <v>145000</v>
      </c>
      <c r="H211" s="287">
        <f>F211*G211</f>
        <v>333.5</v>
      </c>
    </row>
    <row r="212" spans="3:9">
      <c r="C212" s="288" t="s">
        <v>1220</v>
      </c>
      <c r="D212" s="251"/>
      <c r="E212" s="251"/>
      <c r="F212" s="252"/>
      <c r="G212" s="253"/>
      <c r="H212" s="287">
        <f>SUM(H208:H211)</f>
        <v>25533.500000000004</v>
      </c>
      <c r="I212" s="254"/>
    </row>
    <row r="213" spans="3:9">
      <c r="C213" s="284" t="s">
        <v>1221</v>
      </c>
      <c r="D213" s="248" t="s">
        <v>1222</v>
      </c>
      <c r="E213" s="249"/>
      <c r="F213" s="249"/>
      <c r="G213" s="249"/>
      <c r="H213" s="285"/>
    </row>
    <row r="214" spans="3:9" ht="28.5">
      <c r="C214" s="286">
        <v>1</v>
      </c>
      <c r="D214" s="248" t="s">
        <v>303</v>
      </c>
      <c r="E214" s="247" t="s">
        <v>133</v>
      </c>
      <c r="F214" s="263">
        <v>0.75</v>
      </c>
      <c r="G214" s="65">
        <f>VLOOKUP(D214,upahbahan,3,FALSE)</f>
        <v>85500</v>
      </c>
      <c r="H214" s="287">
        <f>F214*G214</f>
        <v>64125</v>
      </c>
    </row>
    <row r="215" spans="3:9">
      <c r="C215" s="286">
        <v>2</v>
      </c>
      <c r="D215" s="248" t="s">
        <v>270</v>
      </c>
      <c r="E215" s="247" t="s">
        <v>66</v>
      </c>
      <c r="F215" s="263">
        <v>0.12</v>
      </c>
      <c r="G215" s="65">
        <f>VLOOKUP(D215,upahbahan,3,FALSE)</f>
        <v>19460</v>
      </c>
      <c r="H215" s="287">
        <f>F215*G215</f>
        <v>2335.1999999999998</v>
      </c>
    </row>
    <row r="216" spans="3:9">
      <c r="C216" s="288" t="s">
        <v>1226</v>
      </c>
      <c r="D216" s="251"/>
      <c r="E216" s="251"/>
      <c r="F216" s="251"/>
      <c r="G216" s="256"/>
      <c r="H216" s="287">
        <f>SUM(H214:H215)</f>
        <v>66460.2</v>
      </c>
    </row>
    <row r="217" spans="3:9">
      <c r="C217" s="289" t="s">
        <v>1227</v>
      </c>
      <c r="D217" s="248" t="s">
        <v>1228</v>
      </c>
      <c r="E217" s="249"/>
      <c r="F217" s="249"/>
      <c r="G217" s="249"/>
      <c r="H217" s="285"/>
    </row>
    <row r="218" spans="3:9">
      <c r="C218" s="288" t="s">
        <v>1229</v>
      </c>
      <c r="D218" s="251"/>
      <c r="E218" s="251"/>
      <c r="F218" s="251"/>
      <c r="G218" s="256"/>
      <c r="H218" s="290">
        <v>0</v>
      </c>
    </row>
    <row r="219" spans="3:9" ht="14.25">
      <c r="C219" s="291" t="s">
        <v>1230</v>
      </c>
      <c r="D219" s="257" t="s">
        <v>1231</v>
      </c>
      <c r="E219" s="258"/>
      <c r="F219" s="258"/>
      <c r="G219" s="259"/>
      <c r="H219" s="287">
        <f>H218+H216+H212</f>
        <v>91993.7</v>
      </c>
      <c r="I219" s="260"/>
    </row>
    <row r="220" spans="3:9" ht="14.25">
      <c r="C220" s="123" t="s">
        <v>1232</v>
      </c>
      <c r="D220" s="70" t="s">
        <v>1410</v>
      </c>
      <c r="E220" s="71"/>
      <c r="F220" s="72"/>
      <c r="G220" s="96">
        <f>$M$7</f>
        <v>0.1</v>
      </c>
      <c r="H220" s="125">
        <f>H219*G220</f>
        <v>9199.3700000000008</v>
      </c>
      <c r="I220" s="260"/>
    </row>
    <row r="221" spans="3:9" ht="15.75" thickBot="1">
      <c r="C221" s="292" t="s">
        <v>1233</v>
      </c>
      <c r="D221" s="293" t="s">
        <v>1234</v>
      </c>
      <c r="E221" s="294"/>
      <c r="F221" s="294"/>
      <c r="G221" s="295"/>
      <c r="H221" s="296">
        <f>SUM(H219:H220)</f>
        <v>101193.06999999999</v>
      </c>
      <c r="I221" s="260"/>
    </row>
    <row r="222" spans="3:9" ht="15.75" thickTop="1">
      <c r="C222" s="267"/>
      <c r="D222" s="268"/>
      <c r="E222" s="268"/>
      <c r="F222" s="268"/>
      <c r="G222" s="268"/>
      <c r="H222" s="269"/>
      <c r="I222" s="260"/>
    </row>
    <row r="223" spans="3:9" ht="15.75" thickBot="1">
      <c r="C223" s="277" t="s">
        <v>1466</v>
      </c>
      <c r="D223" s="279"/>
      <c r="E223" s="279"/>
      <c r="F223" s="279"/>
      <c r="G223" s="279"/>
      <c r="H223" s="279"/>
      <c r="I223" s="246">
        <f>ROUNDDOWN(H239,-2)</f>
        <v>71400</v>
      </c>
    </row>
    <row r="224" spans="3:9" ht="29.25" thickTop="1">
      <c r="C224" s="281" t="s">
        <v>1207</v>
      </c>
      <c r="D224" s="282" t="s">
        <v>1208</v>
      </c>
      <c r="E224" s="282" t="s">
        <v>1209</v>
      </c>
      <c r="F224" s="282" t="s">
        <v>1210</v>
      </c>
      <c r="G224" s="282" t="s">
        <v>1211</v>
      </c>
      <c r="H224" s="283" t="s">
        <v>1212</v>
      </c>
    </row>
    <row r="225" spans="3:9">
      <c r="C225" s="284" t="s">
        <v>1213</v>
      </c>
      <c r="D225" s="248" t="s">
        <v>1214</v>
      </c>
      <c r="E225" s="249"/>
      <c r="F225" s="249"/>
      <c r="G225" s="249"/>
      <c r="H225" s="285"/>
    </row>
    <row r="226" spans="3:9">
      <c r="C226" s="286">
        <v>1</v>
      </c>
      <c r="D226" s="248" t="s">
        <v>5</v>
      </c>
      <c r="E226" s="247" t="s">
        <v>6</v>
      </c>
      <c r="F226" s="250">
        <v>0.14000000000000001</v>
      </c>
      <c r="G226" s="65">
        <f>VLOOKUP(D226,upahbahan,3,FALSE)</f>
        <v>100000</v>
      </c>
      <c r="H226" s="287">
        <f>F226*G226</f>
        <v>14000.000000000002</v>
      </c>
    </row>
    <row r="227" spans="3:9">
      <c r="C227" s="286">
        <v>2</v>
      </c>
      <c r="D227" s="248" t="s">
        <v>8</v>
      </c>
      <c r="E227" s="247" t="s">
        <v>6</v>
      </c>
      <c r="F227" s="250">
        <v>7.0000000000000007E-2</v>
      </c>
      <c r="G227" s="65">
        <f>VLOOKUP(D227,upahbahan,3,FALSE)</f>
        <v>145000</v>
      </c>
      <c r="H227" s="287">
        <f>F227*G227</f>
        <v>10150.000000000002</v>
      </c>
    </row>
    <row r="228" spans="3:9">
      <c r="C228" s="286">
        <v>3</v>
      </c>
      <c r="D228" s="248" t="s">
        <v>18</v>
      </c>
      <c r="E228" s="247" t="s">
        <v>6</v>
      </c>
      <c r="F228" s="250">
        <v>7.0000000000000001E-3</v>
      </c>
      <c r="G228" s="65">
        <f>VLOOKUP(D228,upahbahan,3,FALSE)</f>
        <v>150000</v>
      </c>
      <c r="H228" s="287">
        <f>F228*G228</f>
        <v>1050</v>
      </c>
    </row>
    <row r="229" spans="3:9">
      <c r="C229" s="286">
        <v>4</v>
      </c>
      <c r="D229" s="248" t="s">
        <v>19</v>
      </c>
      <c r="E229" s="247" t="s">
        <v>6</v>
      </c>
      <c r="F229" s="250">
        <v>2.3E-3</v>
      </c>
      <c r="G229" s="65">
        <f>VLOOKUP(D229,upahbahan,3,FALSE)</f>
        <v>145000</v>
      </c>
      <c r="H229" s="287">
        <f>F229*G229</f>
        <v>333.5</v>
      </c>
    </row>
    <row r="230" spans="3:9">
      <c r="C230" s="288" t="s">
        <v>1220</v>
      </c>
      <c r="D230" s="251"/>
      <c r="E230" s="251"/>
      <c r="F230" s="252"/>
      <c r="G230" s="253"/>
      <c r="H230" s="287">
        <f>SUM(H226:H229)</f>
        <v>25533.500000000004</v>
      </c>
      <c r="I230" s="254"/>
    </row>
    <row r="231" spans="3:9">
      <c r="C231" s="284" t="s">
        <v>1221</v>
      </c>
      <c r="D231" s="248" t="s">
        <v>1222</v>
      </c>
      <c r="E231" s="249"/>
      <c r="F231" s="249"/>
      <c r="G231" s="249"/>
      <c r="H231" s="285"/>
    </row>
    <row r="232" spans="3:9" ht="28.5">
      <c r="C232" s="286">
        <v>1</v>
      </c>
      <c r="D232" s="248" t="s">
        <v>315</v>
      </c>
      <c r="E232" s="247" t="s">
        <v>133</v>
      </c>
      <c r="F232" s="263">
        <v>0.42</v>
      </c>
      <c r="G232" s="65">
        <f>VLOOKUP(D232,upahbahan,3,FALSE)</f>
        <v>88400</v>
      </c>
      <c r="H232" s="287">
        <f>F232*G232</f>
        <v>37128</v>
      </c>
    </row>
    <row r="233" spans="3:9">
      <c r="C233" s="286">
        <v>2</v>
      </c>
      <c r="D233" s="248" t="s">
        <v>270</v>
      </c>
      <c r="E233" s="247" t="s">
        <v>66</v>
      </c>
      <c r="F233" s="263">
        <v>0.12</v>
      </c>
      <c r="G233" s="65">
        <f>VLOOKUP(D233,upahbahan,3,FALSE)</f>
        <v>19460</v>
      </c>
      <c r="H233" s="287">
        <f>F233*G233</f>
        <v>2335.1999999999998</v>
      </c>
    </row>
    <row r="234" spans="3:9">
      <c r="C234" s="288" t="s">
        <v>1226</v>
      </c>
      <c r="D234" s="251"/>
      <c r="E234" s="251"/>
      <c r="F234" s="251"/>
      <c r="G234" s="256"/>
      <c r="H234" s="287">
        <f>SUM(H232:H233)</f>
        <v>39463.199999999997</v>
      </c>
    </row>
    <row r="235" spans="3:9">
      <c r="C235" s="289" t="s">
        <v>1227</v>
      </c>
      <c r="D235" s="248" t="s">
        <v>1228</v>
      </c>
      <c r="E235" s="249"/>
      <c r="F235" s="249"/>
      <c r="G235" s="249"/>
      <c r="H235" s="285"/>
    </row>
    <row r="236" spans="3:9">
      <c r="C236" s="288" t="s">
        <v>1229</v>
      </c>
      <c r="D236" s="251"/>
      <c r="E236" s="251"/>
      <c r="F236" s="251"/>
      <c r="G236" s="256"/>
      <c r="H236" s="290">
        <v>0</v>
      </c>
    </row>
    <row r="237" spans="3:9" ht="14.25">
      <c r="C237" s="291" t="s">
        <v>1230</v>
      </c>
      <c r="D237" s="257" t="s">
        <v>1231</v>
      </c>
      <c r="E237" s="258"/>
      <c r="F237" s="258"/>
      <c r="G237" s="259"/>
      <c r="H237" s="287">
        <f>H236+H234+H230</f>
        <v>64996.7</v>
      </c>
      <c r="I237" s="260"/>
    </row>
    <row r="238" spans="3:9" ht="14.25">
      <c r="C238" s="123" t="s">
        <v>1232</v>
      </c>
      <c r="D238" s="70" t="s">
        <v>1410</v>
      </c>
      <c r="E238" s="71"/>
      <c r="F238" s="72"/>
      <c r="G238" s="96">
        <f>$M$7</f>
        <v>0.1</v>
      </c>
      <c r="H238" s="125">
        <f>H237*G238</f>
        <v>6499.67</v>
      </c>
      <c r="I238" s="260"/>
    </row>
    <row r="239" spans="3:9" ht="15.75" thickBot="1">
      <c r="C239" s="292" t="s">
        <v>1233</v>
      </c>
      <c r="D239" s="293" t="s">
        <v>1234</v>
      </c>
      <c r="E239" s="294"/>
      <c r="F239" s="294"/>
      <c r="G239" s="295"/>
      <c r="H239" s="296">
        <f>SUM(H237:H238)</f>
        <v>71496.37</v>
      </c>
      <c r="I239" s="260"/>
    </row>
    <row r="240" spans="3:9" ht="15.75" thickTop="1">
      <c r="C240" s="267"/>
      <c r="D240" s="268"/>
      <c r="E240" s="268"/>
      <c r="F240" s="268"/>
      <c r="G240" s="268"/>
      <c r="H240" s="269"/>
      <c r="I240" s="260"/>
    </row>
    <row r="241" spans="3:9" ht="15.75" thickBot="1">
      <c r="C241" s="277" t="s">
        <v>1467</v>
      </c>
      <c r="D241" s="279"/>
      <c r="E241" s="279"/>
      <c r="F241" s="279"/>
      <c r="G241" s="279"/>
      <c r="H241" s="279"/>
      <c r="I241" s="246">
        <f>ROUNDDOWN(H257,-2)</f>
        <v>82600</v>
      </c>
    </row>
    <row r="242" spans="3:9" ht="29.25" thickTop="1">
      <c r="C242" s="281" t="s">
        <v>1207</v>
      </c>
      <c r="D242" s="282" t="s">
        <v>1208</v>
      </c>
      <c r="E242" s="282" t="s">
        <v>1209</v>
      </c>
      <c r="F242" s="282" t="s">
        <v>1210</v>
      </c>
      <c r="G242" s="282" t="s">
        <v>1211</v>
      </c>
      <c r="H242" s="283" t="s">
        <v>1212</v>
      </c>
    </row>
    <row r="243" spans="3:9">
      <c r="C243" s="284" t="s">
        <v>1213</v>
      </c>
      <c r="D243" s="248" t="s">
        <v>1214</v>
      </c>
      <c r="E243" s="249"/>
      <c r="F243" s="249"/>
      <c r="G243" s="249"/>
      <c r="H243" s="285"/>
    </row>
    <row r="244" spans="3:9">
      <c r="C244" s="286">
        <v>1</v>
      </c>
      <c r="D244" s="248" t="s">
        <v>5</v>
      </c>
      <c r="E244" s="247" t="s">
        <v>6</v>
      </c>
      <c r="F244" s="250">
        <v>0.14000000000000001</v>
      </c>
      <c r="G244" s="65">
        <f>VLOOKUP(D244,upahbahan,3,FALSE)</f>
        <v>100000</v>
      </c>
      <c r="H244" s="287">
        <f>F244*G244</f>
        <v>14000.000000000002</v>
      </c>
    </row>
    <row r="245" spans="3:9">
      <c r="C245" s="286">
        <v>2</v>
      </c>
      <c r="D245" s="248" t="s">
        <v>8</v>
      </c>
      <c r="E245" s="247" t="s">
        <v>6</v>
      </c>
      <c r="F245" s="250">
        <v>7.0000000000000007E-2</v>
      </c>
      <c r="G245" s="65">
        <f>VLOOKUP(D245,upahbahan,3,FALSE)</f>
        <v>145000</v>
      </c>
      <c r="H245" s="287">
        <f>F245*G245</f>
        <v>10150.000000000002</v>
      </c>
    </row>
    <row r="246" spans="3:9">
      <c r="C246" s="286">
        <v>3</v>
      </c>
      <c r="D246" s="248" t="s">
        <v>18</v>
      </c>
      <c r="E246" s="247" t="s">
        <v>6</v>
      </c>
      <c r="F246" s="250">
        <v>7.0000000000000001E-3</v>
      </c>
      <c r="G246" s="65">
        <f>VLOOKUP(D246,upahbahan,3,FALSE)</f>
        <v>150000</v>
      </c>
      <c r="H246" s="287">
        <f>F246*G246</f>
        <v>1050</v>
      </c>
    </row>
    <row r="247" spans="3:9">
      <c r="C247" s="286">
        <v>4</v>
      </c>
      <c r="D247" s="248" t="s">
        <v>19</v>
      </c>
      <c r="E247" s="247" t="s">
        <v>6</v>
      </c>
      <c r="F247" s="250">
        <v>2.3E-3</v>
      </c>
      <c r="G247" s="65">
        <f>VLOOKUP(D247,upahbahan,3,FALSE)</f>
        <v>145000</v>
      </c>
      <c r="H247" s="287">
        <f>F247*G247</f>
        <v>333.5</v>
      </c>
    </row>
    <row r="248" spans="3:9">
      <c r="C248" s="288" t="s">
        <v>1220</v>
      </c>
      <c r="D248" s="251"/>
      <c r="E248" s="251"/>
      <c r="F248" s="252"/>
      <c r="G248" s="253"/>
      <c r="H248" s="287">
        <f>SUM(H244:H247)</f>
        <v>25533.500000000004</v>
      </c>
      <c r="I248" s="254"/>
    </row>
    <row r="249" spans="3:9">
      <c r="C249" s="284" t="s">
        <v>1221</v>
      </c>
      <c r="D249" s="248" t="s">
        <v>1222</v>
      </c>
      <c r="E249" s="249"/>
      <c r="F249" s="249"/>
      <c r="G249" s="249"/>
      <c r="H249" s="285"/>
    </row>
    <row r="250" spans="3:9" ht="28.5">
      <c r="C250" s="286">
        <v>1</v>
      </c>
      <c r="D250" s="248" t="s">
        <v>309</v>
      </c>
      <c r="E250" s="247" t="s">
        <v>133</v>
      </c>
      <c r="F250" s="263">
        <v>0.35</v>
      </c>
      <c r="G250" s="65">
        <f>VLOOKUP(D250,upahbahan,3,FALSE)</f>
        <v>135000</v>
      </c>
      <c r="H250" s="287">
        <f>F250*G250</f>
        <v>47250</v>
      </c>
    </row>
    <row r="251" spans="3:9">
      <c r="C251" s="286">
        <v>2</v>
      </c>
      <c r="D251" s="248" t="s">
        <v>270</v>
      </c>
      <c r="E251" s="247" t="s">
        <v>66</v>
      </c>
      <c r="F251" s="263">
        <v>0.12</v>
      </c>
      <c r="G251" s="65">
        <f>VLOOKUP(D251,upahbahan,3,FALSE)</f>
        <v>19460</v>
      </c>
      <c r="H251" s="287">
        <f>F251*G251</f>
        <v>2335.1999999999998</v>
      </c>
    </row>
    <row r="252" spans="3:9">
      <c r="C252" s="288" t="s">
        <v>1226</v>
      </c>
      <c r="D252" s="251"/>
      <c r="E252" s="251"/>
      <c r="F252" s="251"/>
      <c r="G252" s="256"/>
      <c r="H252" s="287">
        <f>SUM(H250:H251)</f>
        <v>49585.2</v>
      </c>
    </row>
    <row r="253" spans="3:9">
      <c r="C253" s="289" t="s">
        <v>1227</v>
      </c>
      <c r="D253" s="248" t="s">
        <v>1228</v>
      </c>
      <c r="E253" s="249"/>
      <c r="F253" s="249"/>
      <c r="G253" s="249"/>
      <c r="H253" s="285"/>
    </row>
    <row r="254" spans="3:9">
      <c r="C254" s="288" t="s">
        <v>1229</v>
      </c>
      <c r="D254" s="251"/>
      <c r="E254" s="251"/>
      <c r="F254" s="251"/>
      <c r="G254" s="256"/>
      <c r="H254" s="290">
        <v>0</v>
      </c>
    </row>
    <row r="255" spans="3:9" ht="14.25">
      <c r="C255" s="291" t="s">
        <v>1230</v>
      </c>
      <c r="D255" s="257" t="s">
        <v>1231</v>
      </c>
      <c r="E255" s="258"/>
      <c r="F255" s="258"/>
      <c r="G255" s="259"/>
      <c r="H255" s="287">
        <f>H254+H252+H248</f>
        <v>75118.7</v>
      </c>
      <c r="I255" s="260"/>
    </row>
    <row r="256" spans="3:9" ht="14.25">
      <c r="C256" s="123" t="s">
        <v>1232</v>
      </c>
      <c r="D256" s="70" t="s">
        <v>1410</v>
      </c>
      <c r="E256" s="71"/>
      <c r="F256" s="72"/>
      <c r="G256" s="96">
        <f>$M$7</f>
        <v>0.1</v>
      </c>
      <c r="H256" s="125">
        <f>H255*G256</f>
        <v>7511.87</v>
      </c>
      <c r="I256" s="260"/>
    </row>
    <row r="257" spans="3:9" ht="15.75" thickBot="1">
      <c r="C257" s="292" t="s">
        <v>1233</v>
      </c>
      <c r="D257" s="293" t="s">
        <v>1234</v>
      </c>
      <c r="E257" s="294"/>
      <c r="F257" s="294"/>
      <c r="G257" s="295"/>
      <c r="H257" s="296">
        <f>SUM(H255:H256)</f>
        <v>82630.569999999992</v>
      </c>
      <c r="I257" s="260"/>
    </row>
    <row r="258" spans="3:9" ht="15.75" thickTop="1">
      <c r="C258" s="267"/>
      <c r="D258" s="268"/>
      <c r="E258" s="268"/>
      <c r="F258" s="268"/>
      <c r="G258" s="268"/>
      <c r="H258" s="269"/>
      <c r="I258" s="260"/>
    </row>
    <row r="259" spans="3:9" ht="15.75" thickBot="1">
      <c r="C259" s="277" t="s">
        <v>1468</v>
      </c>
      <c r="D259" s="279"/>
      <c r="E259" s="279"/>
      <c r="F259" s="279"/>
      <c r="G259" s="279"/>
      <c r="H259" s="279"/>
      <c r="I259" s="246">
        <f>ROUNDDOWN(H275,-2)</f>
        <v>93500</v>
      </c>
    </row>
    <row r="260" spans="3:9" ht="29.25" thickTop="1">
      <c r="C260" s="281" t="s">
        <v>1207</v>
      </c>
      <c r="D260" s="282" t="s">
        <v>1208</v>
      </c>
      <c r="E260" s="282" t="s">
        <v>1209</v>
      </c>
      <c r="F260" s="282" t="s">
        <v>1210</v>
      </c>
      <c r="G260" s="282" t="s">
        <v>1211</v>
      </c>
      <c r="H260" s="283" t="s">
        <v>1212</v>
      </c>
    </row>
    <row r="261" spans="3:9">
      <c r="C261" s="284" t="s">
        <v>1213</v>
      </c>
      <c r="D261" s="248" t="s">
        <v>1214</v>
      </c>
      <c r="E261" s="249"/>
      <c r="F261" s="249"/>
      <c r="G261" s="249"/>
      <c r="H261" s="285"/>
    </row>
    <row r="262" spans="3:9">
      <c r="C262" s="286">
        <v>1</v>
      </c>
      <c r="D262" s="248" t="s">
        <v>5</v>
      </c>
      <c r="E262" s="247" t="s">
        <v>6</v>
      </c>
      <c r="F262" s="250">
        <v>0.14000000000000001</v>
      </c>
      <c r="G262" s="65">
        <f>VLOOKUP(D262,upahbahan,3,FALSE)</f>
        <v>100000</v>
      </c>
      <c r="H262" s="287">
        <f>F262*G262</f>
        <v>14000.000000000002</v>
      </c>
    </row>
    <row r="263" spans="3:9">
      <c r="C263" s="286">
        <v>2</v>
      </c>
      <c r="D263" s="248" t="s">
        <v>8</v>
      </c>
      <c r="E263" s="247" t="s">
        <v>6</v>
      </c>
      <c r="F263" s="250">
        <v>7.0000000000000007E-2</v>
      </c>
      <c r="G263" s="65">
        <f>VLOOKUP(D263,upahbahan,3,FALSE)</f>
        <v>145000</v>
      </c>
      <c r="H263" s="287">
        <f>F263*G263</f>
        <v>10150.000000000002</v>
      </c>
    </row>
    <row r="264" spans="3:9">
      <c r="C264" s="286">
        <v>3</v>
      </c>
      <c r="D264" s="248" t="s">
        <v>18</v>
      </c>
      <c r="E264" s="247" t="s">
        <v>6</v>
      </c>
      <c r="F264" s="250">
        <v>7.0000000000000001E-3</v>
      </c>
      <c r="G264" s="65">
        <f>VLOOKUP(D264,upahbahan,3,FALSE)</f>
        <v>150000</v>
      </c>
      <c r="H264" s="287">
        <f>F264*G264</f>
        <v>1050</v>
      </c>
    </row>
    <row r="265" spans="3:9">
      <c r="C265" s="286">
        <v>4</v>
      </c>
      <c r="D265" s="248" t="s">
        <v>19</v>
      </c>
      <c r="E265" s="247" t="s">
        <v>6</v>
      </c>
      <c r="F265" s="250">
        <v>2.3E-3</v>
      </c>
      <c r="G265" s="65">
        <f>VLOOKUP(D265,upahbahan,3,FALSE)</f>
        <v>145000</v>
      </c>
      <c r="H265" s="287">
        <f>F265*G265</f>
        <v>333.5</v>
      </c>
    </row>
    <row r="266" spans="3:9">
      <c r="C266" s="288" t="s">
        <v>1220</v>
      </c>
      <c r="D266" s="251"/>
      <c r="E266" s="251"/>
      <c r="F266" s="252"/>
      <c r="G266" s="253"/>
      <c r="H266" s="287">
        <f>SUM(H262:H265)</f>
        <v>25533.500000000004</v>
      </c>
      <c r="I266" s="254"/>
    </row>
    <row r="267" spans="3:9">
      <c r="C267" s="284" t="s">
        <v>1221</v>
      </c>
      <c r="D267" s="248" t="s">
        <v>1222</v>
      </c>
      <c r="E267" s="249"/>
      <c r="F267" s="249"/>
      <c r="G267" s="249"/>
      <c r="H267" s="285"/>
    </row>
    <row r="268" spans="3:9" ht="28.5">
      <c r="C268" s="286">
        <v>1</v>
      </c>
      <c r="D268" s="248" t="s">
        <v>307</v>
      </c>
      <c r="E268" s="247" t="s">
        <v>133</v>
      </c>
      <c r="F268" s="263">
        <v>0.44</v>
      </c>
      <c r="G268" s="65">
        <f>VLOOKUP(D268,upahbahan,3,FALSE)</f>
        <v>130000</v>
      </c>
      <c r="H268" s="287">
        <f>F268*G268</f>
        <v>57200</v>
      </c>
    </row>
    <row r="269" spans="3:9">
      <c r="C269" s="286">
        <v>2</v>
      </c>
      <c r="D269" s="248" t="s">
        <v>270</v>
      </c>
      <c r="E269" s="247" t="s">
        <v>66</v>
      </c>
      <c r="F269" s="263">
        <v>0.12</v>
      </c>
      <c r="G269" s="65">
        <f>VLOOKUP(D269,upahbahan,3,FALSE)</f>
        <v>19460</v>
      </c>
      <c r="H269" s="287">
        <f>F269*G269</f>
        <v>2335.1999999999998</v>
      </c>
    </row>
    <row r="270" spans="3:9">
      <c r="C270" s="288" t="s">
        <v>1226</v>
      </c>
      <c r="D270" s="251"/>
      <c r="E270" s="251"/>
      <c r="F270" s="251"/>
      <c r="G270" s="256"/>
      <c r="H270" s="287">
        <f>SUM(H268:H269)</f>
        <v>59535.199999999997</v>
      </c>
    </row>
    <row r="271" spans="3:9">
      <c r="C271" s="289" t="s">
        <v>1227</v>
      </c>
      <c r="D271" s="248" t="s">
        <v>1228</v>
      </c>
      <c r="E271" s="249"/>
      <c r="F271" s="249"/>
      <c r="G271" s="249"/>
      <c r="H271" s="285"/>
    </row>
    <row r="272" spans="3:9">
      <c r="C272" s="288" t="s">
        <v>1229</v>
      </c>
      <c r="D272" s="251"/>
      <c r="E272" s="251"/>
      <c r="F272" s="251"/>
      <c r="G272" s="256"/>
      <c r="H272" s="290">
        <v>0</v>
      </c>
    </row>
    <row r="273" spans="3:9" ht="14.25">
      <c r="C273" s="291" t="s">
        <v>1230</v>
      </c>
      <c r="D273" s="257" t="s">
        <v>1231</v>
      </c>
      <c r="E273" s="258"/>
      <c r="F273" s="258"/>
      <c r="G273" s="259"/>
      <c r="H273" s="287">
        <f>H272+H270+H266</f>
        <v>85068.7</v>
      </c>
      <c r="I273" s="260"/>
    </row>
    <row r="274" spans="3:9" ht="14.25">
      <c r="C274" s="123" t="s">
        <v>1232</v>
      </c>
      <c r="D274" s="70" t="s">
        <v>1410</v>
      </c>
      <c r="E274" s="71"/>
      <c r="F274" s="72"/>
      <c r="G274" s="96">
        <f>$M$7</f>
        <v>0.1</v>
      </c>
      <c r="H274" s="125">
        <f>H273*G274</f>
        <v>8506.8700000000008</v>
      </c>
      <c r="I274" s="260"/>
    </row>
    <row r="275" spans="3:9" ht="15.75" thickBot="1">
      <c r="C275" s="292" t="s">
        <v>1233</v>
      </c>
      <c r="D275" s="293" t="s">
        <v>1234</v>
      </c>
      <c r="E275" s="294"/>
      <c r="F275" s="294"/>
      <c r="G275" s="295"/>
      <c r="H275" s="296">
        <f>SUM(H273:H274)</f>
        <v>93575.569999999992</v>
      </c>
      <c r="I275" s="260"/>
    </row>
    <row r="276" spans="3:9" ht="15.75" thickTop="1">
      <c r="C276" s="267"/>
      <c r="D276" s="268"/>
      <c r="E276" s="268"/>
      <c r="F276" s="268"/>
      <c r="G276" s="268"/>
      <c r="H276" s="269"/>
      <c r="I276" s="260"/>
    </row>
    <row r="277" spans="3:9" ht="15.75" thickBot="1">
      <c r="C277" s="277" t="s">
        <v>1469</v>
      </c>
      <c r="D277" s="279"/>
      <c r="E277" s="279"/>
      <c r="F277" s="279"/>
      <c r="G277" s="279"/>
      <c r="H277" s="279"/>
      <c r="I277" s="246">
        <f>ROUNDDOWN(H293,-2)</f>
        <v>100700</v>
      </c>
    </row>
    <row r="278" spans="3:9" ht="29.25" thickTop="1">
      <c r="C278" s="281" t="s">
        <v>1207</v>
      </c>
      <c r="D278" s="282" t="s">
        <v>1208</v>
      </c>
      <c r="E278" s="282" t="s">
        <v>1209</v>
      </c>
      <c r="F278" s="282" t="s">
        <v>1210</v>
      </c>
      <c r="G278" s="282" t="s">
        <v>1211</v>
      </c>
      <c r="H278" s="283" t="s">
        <v>1212</v>
      </c>
    </row>
    <row r="279" spans="3:9">
      <c r="C279" s="284" t="s">
        <v>1213</v>
      </c>
      <c r="D279" s="248" t="s">
        <v>1214</v>
      </c>
      <c r="E279" s="249"/>
      <c r="F279" s="249"/>
      <c r="G279" s="249"/>
      <c r="H279" s="285"/>
    </row>
    <row r="280" spans="3:9">
      <c r="C280" s="286">
        <v>1</v>
      </c>
      <c r="D280" s="248" t="s">
        <v>5</v>
      </c>
      <c r="E280" s="247" t="s">
        <v>6</v>
      </c>
      <c r="F280" s="250">
        <v>0.14000000000000001</v>
      </c>
      <c r="G280" s="65">
        <f>VLOOKUP(D280,upahbahan,3,FALSE)</f>
        <v>100000</v>
      </c>
      <c r="H280" s="287">
        <f>F280*G280</f>
        <v>14000.000000000002</v>
      </c>
    </row>
    <row r="281" spans="3:9">
      <c r="C281" s="286">
        <v>2</v>
      </c>
      <c r="D281" s="248" t="s">
        <v>8</v>
      </c>
      <c r="E281" s="247" t="s">
        <v>6</v>
      </c>
      <c r="F281" s="250">
        <v>7.0000000000000007E-2</v>
      </c>
      <c r="G281" s="65">
        <f>VLOOKUP(D281,upahbahan,3,FALSE)</f>
        <v>145000</v>
      </c>
      <c r="H281" s="287">
        <f>F281*G281</f>
        <v>10150.000000000002</v>
      </c>
    </row>
    <row r="282" spans="3:9">
      <c r="C282" s="286">
        <v>3</v>
      </c>
      <c r="D282" s="248" t="s">
        <v>18</v>
      </c>
      <c r="E282" s="247" t="s">
        <v>6</v>
      </c>
      <c r="F282" s="250">
        <v>7.0000000000000001E-3</v>
      </c>
      <c r="G282" s="65">
        <f>VLOOKUP(D282,upahbahan,3,FALSE)</f>
        <v>150000</v>
      </c>
      <c r="H282" s="287">
        <f>F282*G282</f>
        <v>1050</v>
      </c>
    </row>
    <row r="283" spans="3:9">
      <c r="C283" s="286">
        <v>4</v>
      </c>
      <c r="D283" s="248" t="s">
        <v>19</v>
      </c>
      <c r="E283" s="247" t="s">
        <v>6</v>
      </c>
      <c r="F283" s="250">
        <v>2.3E-3</v>
      </c>
      <c r="G283" s="65">
        <f>VLOOKUP(D283,upahbahan,3,FALSE)</f>
        <v>145000</v>
      </c>
      <c r="H283" s="287">
        <f>F283*G283</f>
        <v>333.5</v>
      </c>
    </row>
    <row r="284" spans="3:9">
      <c r="C284" s="288" t="s">
        <v>1220</v>
      </c>
      <c r="D284" s="251"/>
      <c r="E284" s="251"/>
      <c r="F284" s="252"/>
      <c r="G284" s="253"/>
      <c r="H284" s="287">
        <f>SUM(H280:H283)</f>
        <v>25533.500000000004</v>
      </c>
      <c r="I284" s="254"/>
    </row>
    <row r="285" spans="3:9">
      <c r="C285" s="284" t="s">
        <v>1221</v>
      </c>
      <c r="D285" s="248" t="s">
        <v>1222</v>
      </c>
      <c r="E285" s="249"/>
      <c r="F285" s="249"/>
      <c r="G285" s="249"/>
      <c r="H285" s="285"/>
    </row>
    <row r="286" spans="3:9" ht="28.5">
      <c r="C286" s="286">
        <v>1</v>
      </c>
      <c r="D286" s="248" t="s">
        <v>305</v>
      </c>
      <c r="E286" s="247" t="s">
        <v>133</v>
      </c>
      <c r="F286" s="263">
        <v>0.51</v>
      </c>
      <c r="G286" s="65">
        <f>VLOOKUP(D286,upahbahan,3,FALSE)</f>
        <v>125000</v>
      </c>
      <c r="H286" s="287">
        <f>F286*G286</f>
        <v>63750</v>
      </c>
    </row>
    <row r="287" spans="3:9">
      <c r="C287" s="286">
        <v>2</v>
      </c>
      <c r="D287" s="248" t="s">
        <v>270</v>
      </c>
      <c r="E287" s="247" t="s">
        <v>66</v>
      </c>
      <c r="F287" s="263">
        <v>0.12</v>
      </c>
      <c r="G287" s="65">
        <f>VLOOKUP(D287,upahbahan,3,FALSE)</f>
        <v>19460</v>
      </c>
      <c r="H287" s="287">
        <f>F287*G287</f>
        <v>2335.1999999999998</v>
      </c>
    </row>
    <row r="288" spans="3:9">
      <c r="C288" s="288" t="s">
        <v>1226</v>
      </c>
      <c r="D288" s="251"/>
      <c r="E288" s="251"/>
      <c r="F288" s="251"/>
      <c r="G288" s="256"/>
      <c r="H288" s="287">
        <f>SUM(H286:H287)</f>
        <v>66085.2</v>
      </c>
    </row>
    <row r="289" spans="3:9">
      <c r="C289" s="289" t="s">
        <v>1227</v>
      </c>
      <c r="D289" s="248" t="s">
        <v>1228</v>
      </c>
      <c r="E289" s="249"/>
      <c r="F289" s="249"/>
      <c r="G289" s="249"/>
      <c r="H289" s="285"/>
    </row>
    <row r="290" spans="3:9">
      <c r="C290" s="288" t="s">
        <v>1229</v>
      </c>
      <c r="D290" s="251"/>
      <c r="E290" s="251"/>
      <c r="F290" s="251"/>
      <c r="G290" s="256"/>
      <c r="H290" s="290">
        <v>0</v>
      </c>
    </row>
    <row r="291" spans="3:9" ht="14.25">
      <c r="C291" s="291" t="s">
        <v>1230</v>
      </c>
      <c r="D291" s="257" t="s">
        <v>1231</v>
      </c>
      <c r="E291" s="258"/>
      <c r="F291" s="258"/>
      <c r="G291" s="259"/>
      <c r="H291" s="287">
        <f>H290+H288+H284</f>
        <v>91618.7</v>
      </c>
      <c r="I291" s="260"/>
    </row>
    <row r="292" spans="3:9" ht="14.25">
      <c r="C292" s="123" t="s">
        <v>1232</v>
      </c>
      <c r="D292" s="70" t="s">
        <v>1410</v>
      </c>
      <c r="E292" s="71"/>
      <c r="F292" s="72"/>
      <c r="G292" s="96">
        <f>$M$7</f>
        <v>0.1</v>
      </c>
      <c r="H292" s="125">
        <f>H291*G292</f>
        <v>9161.8700000000008</v>
      </c>
      <c r="I292" s="260"/>
    </row>
    <row r="293" spans="3:9" ht="15.75" thickBot="1">
      <c r="C293" s="292" t="s">
        <v>1233</v>
      </c>
      <c r="D293" s="293" t="s">
        <v>1234</v>
      </c>
      <c r="E293" s="294"/>
      <c r="F293" s="294"/>
      <c r="G293" s="295"/>
      <c r="H293" s="296">
        <f>SUM(H291:H292)</f>
        <v>100780.56999999999</v>
      </c>
      <c r="I293" s="260"/>
    </row>
    <row r="294" spans="3:9" ht="15.75" thickTop="1">
      <c r="C294" s="267"/>
      <c r="D294" s="268"/>
      <c r="E294" s="268"/>
      <c r="F294" s="268"/>
      <c r="G294" s="268"/>
      <c r="H294" s="269"/>
      <c r="I294" s="260"/>
    </row>
    <row r="295" spans="3:9" ht="15.75" thickBot="1">
      <c r="C295" s="277" t="s">
        <v>1470</v>
      </c>
      <c r="D295" s="279"/>
      <c r="E295" s="279"/>
      <c r="F295" s="279"/>
      <c r="G295" s="279"/>
      <c r="H295" s="279"/>
      <c r="I295" s="246">
        <f>ROUNDDOWN(H311,-2)</f>
        <v>136200</v>
      </c>
    </row>
    <row r="296" spans="3:9" ht="29.25" thickTop="1">
      <c r="C296" s="281" t="s">
        <v>1207</v>
      </c>
      <c r="D296" s="282" t="s">
        <v>1208</v>
      </c>
      <c r="E296" s="282" t="s">
        <v>1209</v>
      </c>
      <c r="F296" s="282" t="s">
        <v>1210</v>
      </c>
      <c r="G296" s="282" t="s">
        <v>1211</v>
      </c>
      <c r="H296" s="283" t="s">
        <v>1212</v>
      </c>
    </row>
    <row r="297" spans="3:9">
      <c r="C297" s="284" t="s">
        <v>1213</v>
      </c>
      <c r="D297" s="248" t="s">
        <v>1214</v>
      </c>
      <c r="E297" s="249"/>
      <c r="F297" s="249"/>
      <c r="G297" s="249"/>
      <c r="H297" s="285"/>
    </row>
    <row r="298" spans="3:9">
      <c r="C298" s="286">
        <v>1</v>
      </c>
      <c r="D298" s="248" t="s">
        <v>5</v>
      </c>
      <c r="E298" s="247" t="s">
        <v>6</v>
      </c>
      <c r="F298" s="250">
        <v>0.14000000000000001</v>
      </c>
      <c r="G298" s="65">
        <f>VLOOKUP(D298,upahbahan,3,FALSE)</f>
        <v>100000</v>
      </c>
      <c r="H298" s="287">
        <f>F298*G298</f>
        <v>14000.000000000002</v>
      </c>
    </row>
    <row r="299" spans="3:9">
      <c r="C299" s="286">
        <v>2</v>
      </c>
      <c r="D299" s="248" t="s">
        <v>8</v>
      </c>
      <c r="E299" s="247" t="s">
        <v>6</v>
      </c>
      <c r="F299" s="250">
        <v>7.0000000000000007E-2</v>
      </c>
      <c r="G299" s="65">
        <f>VLOOKUP(D299,upahbahan,3,FALSE)</f>
        <v>145000</v>
      </c>
      <c r="H299" s="287">
        <f>F299*G299</f>
        <v>10150.000000000002</v>
      </c>
    </row>
    <row r="300" spans="3:9">
      <c r="C300" s="286">
        <v>3</v>
      </c>
      <c r="D300" s="248" t="s">
        <v>18</v>
      </c>
      <c r="E300" s="247" t="s">
        <v>6</v>
      </c>
      <c r="F300" s="250">
        <v>7.0000000000000001E-3</v>
      </c>
      <c r="G300" s="65">
        <f>VLOOKUP(D300,upahbahan,3,FALSE)</f>
        <v>150000</v>
      </c>
      <c r="H300" s="287">
        <f>F300*G300</f>
        <v>1050</v>
      </c>
    </row>
    <row r="301" spans="3:9">
      <c r="C301" s="286">
        <v>4</v>
      </c>
      <c r="D301" s="248" t="s">
        <v>19</v>
      </c>
      <c r="E301" s="247" t="s">
        <v>6</v>
      </c>
      <c r="F301" s="250">
        <v>2.3E-3</v>
      </c>
      <c r="G301" s="65">
        <f>VLOOKUP(D301,upahbahan,3,FALSE)</f>
        <v>145000</v>
      </c>
      <c r="H301" s="287">
        <f>F301*G301</f>
        <v>333.5</v>
      </c>
    </row>
    <row r="302" spans="3:9">
      <c r="C302" s="288" t="s">
        <v>1220</v>
      </c>
      <c r="D302" s="251"/>
      <c r="E302" s="251"/>
      <c r="F302" s="252"/>
      <c r="G302" s="253"/>
      <c r="H302" s="287">
        <f>SUM(H298:H301)</f>
        <v>25533.500000000004</v>
      </c>
      <c r="I302" s="254"/>
    </row>
    <row r="303" spans="3:9">
      <c r="C303" s="284" t="s">
        <v>1221</v>
      </c>
      <c r="D303" s="248" t="s">
        <v>1222</v>
      </c>
      <c r="E303" s="249"/>
      <c r="F303" s="249"/>
      <c r="G303" s="249"/>
      <c r="H303" s="285"/>
    </row>
    <row r="304" spans="3:9" ht="28.5">
      <c r="C304" s="286">
        <v>1</v>
      </c>
      <c r="D304" s="248" t="s">
        <v>302</v>
      </c>
      <c r="E304" s="247" t="s">
        <v>133</v>
      </c>
      <c r="F304" s="263">
        <v>0.8</v>
      </c>
      <c r="G304" s="65">
        <f>VLOOKUP(D304,upahbahan,3,FALSE)</f>
        <v>120000</v>
      </c>
      <c r="H304" s="287">
        <f>F304*G304</f>
        <v>96000</v>
      </c>
    </row>
    <row r="305" spans="3:9">
      <c r="C305" s="286">
        <v>2</v>
      </c>
      <c r="D305" s="248" t="s">
        <v>270</v>
      </c>
      <c r="E305" s="247" t="s">
        <v>66</v>
      </c>
      <c r="F305" s="263">
        <v>0.12</v>
      </c>
      <c r="G305" s="65">
        <f>VLOOKUP(D305,upahbahan,3,FALSE)</f>
        <v>19460</v>
      </c>
      <c r="H305" s="287">
        <f>F305*G305</f>
        <v>2335.1999999999998</v>
      </c>
    </row>
    <row r="306" spans="3:9">
      <c r="C306" s="288" t="s">
        <v>1226</v>
      </c>
      <c r="D306" s="251"/>
      <c r="E306" s="251"/>
      <c r="F306" s="251"/>
      <c r="G306" s="256"/>
      <c r="H306" s="287">
        <f>SUM(H304:H305)</f>
        <v>98335.2</v>
      </c>
    </row>
    <row r="307" spans="3:9">
      <c r="C307" s="289" t="s">
        <v>1227</v>
      </c>
      <c r="D307" s="248" t="s">
        <v>1228</v>
      </c>
      <c r="E307" s="249"/>
      <c r="F307" s="249"/>
      <c r="G307" s="249"/>
      <c r="H307" s="285"/>
    </row>
    <row r="308" spans="3:9">
      <c r="C308" s="288" t="s">
        <v>1229</v>
      </c>
      <c r="D308" s="251"/>
      <c r="E308" s="251"/>
      <c r="F308" s="251"/>
      <c r="G308" s="256"/>
      <c r="H308" s="290">
        <v>0</v>
      </c>
    </row>
    <row r="309" spans="3:9" ht="14.25">
      <c r="C309" s="291" t="s">
        <v>1230</v>
      </c>
      <c r="D309" s="257" t="s">
        <v>1231</v>
      </c>
      <c r="E309" s="258"/>
      <c r="F309" s="258"/>
      <c r="G309" s="259"/>
      <c r="H309" s="287">
        <f>H308+H306+H302</f>
        <v>123868.7</v>
      </c>
      <c r="I309" s="260"/>
    </row>
    <row r="310" spans="3:9" ht="14.25">
      <c r="C310" s="123" t="s">
        <v>1232</v>
      </c>
      <c r="D310" s="70" t="s">
        <v>1410</v>
      </c>
      <c r="E310" s="71"/>
      <c r="F310" s="72"/>
      <c r="G310" s="96">
        <f>$M$7</f>
        <v>0.1</v>
      </c>
      <c r="H310" s="125">
        <f>H309*G310</f>
        <v>12386.87</v>
      </c>
      <c r="I310" s="260"/>
    </row>
    <row r="311" spans="3:9" ht="15.75" thickBot="1">
      <c r="C311" s="292" t="s">
        <v>1233</v>
      </c>
      <c r="D311" s="293" t="s">
        <v>1234</v>
      </c>
      <c r="E311" s="294"/>
      <c r="F311" s="294"/>
      <c r="G311" s="295"/>
      <c r="H311" s="296">
        <f>SUM(H309:H310)</f>
        <v>136255.57</v>
      </c>
      <c r="I311" s="260"/>
    </row>
    <row r="312" spans="3:9" ht="15.75" thickTop="1">
      <c r="C312" s="267"/>
      <c r="D312" s="268"/>
      <c r="E312" s="268"/>
      <c r="F312" s="268"/>
      <c r="G312" s="268"/>
      <c r="H312" s="269"/>
      <c r="I312" s="260"/>
    </row>
    <row r="313" spans="3:9" ht="15.75" thickBot="1">
      <c r="C313" s="277" t="s">
        <v>1471</v>
      </c>
      <c r="D313" s="279"/>
      <c r="E313" s="279"/>
      <c r="F313" s="279"/>
      <c r="G313" s="279"/>
      <c r="H313" s="279"/>
      <c r="I313" s="246">
        <f>ROUNDDOWN(H329,-2)</f>
        <v>83900</v>
      </c>
    </row>
    <row r="314" spans="3:9" ht="29.25" thickTop="1">
      <c r="C314" s="281" t="s">
        <v>1207</v>
      </c>
      <c r="D314" s="282" t="s">
        <v>1208</v>
      </c>
      <c r="E314" s="282" t="s">
        <v>1209</v>
      </c>
      <c r="F314" s="282" t="s">
        <v>1210</v>
      </c>
      <c r="G314" s="282" t="s">
        <v>1211</v>
      </c>
      <c r="H314" s="283" t="s">
        <v>1212</v>
      </c>
    </row>
    <row r="315" spans="3:9">
      <c r="C315" s="284" t="s">
        <v>1213</v>
      </c>
      <c r="D315" s="248" t="s">
        <v>1214</v>
      </c>
      <c r="E315" s="249"/>
      <c r="F315" s="249"/>
      <c r="G315" s="249"/>
      <c r="H315" s="285"/>
    </row>
    <row r="316" spans="3:9">
      <c r="C316" s="286">
        <v>1</v>
      </c>
      <c r="D316" s="248" t="s">
        <v>5</v>
      </c>
      <c r="E316" s="247" t="s">
        <v>6</v>
      </c>
      <c r="F316" s="250">
        <v>0.14000000000000001</v>
      </c>
      <c r="G316" s="65">
        <f>VLOOKUP(D316,upahbahan,3,FALSE)</f>
        <v>100000</v>
      </c>
      <c r="H316" s="287">
        <f>F316*G316</f>
        <v>14000.000000000002</v>
      </c>
    </row>
    <row r="317" spans="3:9">
      <c r="C317" s="286">
        <v>2</v>
      </c>
      <c r="D317" s="248" t="s">
        <v>8</v>
      </c>
      <c r="E317" s="247" t="s">
        <v>6</v>
      </c>
      <c r="F317" s="250">
        <v>7.0000000000000007E-2</v>
      </c>
      <c r="G317" s="65">
        <f>VLOOKUP(D317,upahbahan,3,FALSE)</f>
        <v>145000</v>
      </c>
      <c r="H317" s="287">
        <f>F317*G317</f>
        <v>10150.000000000002</v>
      </c>
    </row>
    <row r="318" spans="3:9">
      <c r="C318" s="286">
        <v>3</v>
      </c>
      <c r="D318" s="248" t="s">
        <v>18</v>
      </c>
      <c r="E318" s="247" t="s">
        <v>6</v>
      </c>
      <c r="F318" s="250">
        <v>7.0000000000000001E-3</v>
      </c>
      <c r="G318" s="65">
        <f>VLOOKUP(D318,upahbahan,3,FALSE)</f>
        <v>150000</v>
      </c>
      <c r="H318" s="287">
        <f>F318*G318</f>
        <v>1050</v>
      </c>
    </row>
    <row r="319" spans="3:9">
      <c r="C319" s="286">
        <v>4</v>
      </c>
      <c r="D319" s="248" t="s">
        <v>19</v>
      </c>
      <c r="E319" s="247" t="s">
        <v>6</v>
      </c>
      <c r="F319" s="250">
        <v>2.3E-3</v>
      </c>
      <c r="G319" s="65">
        <f>VLOOKUP(D319,upahbahan,3,FALSE)</f>
        <v>145000</v>
      </c>
      <c r="H319" s="287">
        <f>F319*G319</f>
        <v>333.5</v>
      </c>
    </row>
    <row r="320" spans="3:9">
      <c r="C320" s="288" t="s">
        <v>1220</v>
      </c>
      <c r="D320" s="251"/>
      <c r="E320" s="251"/>
      <c r="F320" s="252"/>
      <c r="G320" s="253"/>
      <c r="H320" s="287">
        <f>SUM(H316:H319)</f>
        <v>25533.500000000004</v>
      </c>
      <c r="I320" s="254"/>
    </row>
    <row r="321" spans="3:9">
      <c r="C321" s="284" t="s">
        <v>1221</v>
      </c>
      <c r="D321" s="248" t="s">
        <v>1222</v>
      </c>
      <c r="E321" s="249"/>
      <c r="F321" s="249"/>
      <c r="G321" s="249"/>
      <c r="H321" s="285"/>
    </row>
    <row r="322" spans="3:9" ht="28.5">
      <c r="C322" s="286">
        <v>1</v>
      </c>
      <c r="D322" s="248" t="s">
        <v>314</v>
      </c>
      <c r="E322" s="247" t="s">
        <v>133</v>
      </c>
      <c r="F322" s="263">
        <v>0.37</v>
      </c>
      <c r="G322" s="65">
        <f>VLOOKUP(D322,upahbahan,3,FALSE)</f>
        <v>131000</v>
      </c>
      <c r="H322" s="287">
        <f>F322*G322</f>
        <v>48470</v>
      </c>
    </row>
    <row r="323" spans="3:9">
      <c r="C323" s="286">
        <v>2</v>
      </c>
      <c r="D323" s="248" t="s">
        <v>270</v>
      </c>
      <c r="E323" s="247" t="s">
        <v>66</v>
      </c>
      <c r="F323" s="263">
        <v>0.12</v>
      </c>
      <c r="G323" s="65">
        <f>VLOOKUP(D323,upahbahan,3,FALSE)</f>
        <v>19460</v>
      </c>
      <c r="H323" s="287">
        <f>F323*G323</f>
        <v>2335.1999999999998</v>
      </c>
    </row>
    <row r="324" spans="3:9">
      <c r="C324" s="288" t="s">
        <v>1226</v>
      </c>
      <c r="D324" s="251"/>
      <c r="E324" s="251"/>
      <c r="F324" s="251"/>
      <c r="G324" s="256"/>
      <c r="H324" s="287">
        <f>SUM(H322:H323)</f>
        <v>50805.2</v>
      </c>
    </row>
    <row r="325" spans="3:9">
      <c r="C325" s="289" t="s">
        <v>1227</v>
      </c>
      <c r="D325" s="248" t="s">
        <v>1228</v>
      </c>
      <c r="E325" s="249"/>
      <c r="F325" s="249"/>
      <c r="G325" s="249"/>
      <c r="H325" s="285"/>
    </row>
    <row r="326" spans="3:9">
      <c r="C326" s="288" t="s">
        <v>1229</v>
      </c>
      <c r="D326" s="251"/>
      <c r="E326" s="251"/>
      <c r="F326" s="251"/>
      <c r="G326" s="256"/>
      <c r="H326" s="290">
        <v>0</v>
      </c>
    </row>
    <row r="327" spans="3:9" ht="14.25">
      <c r="C327" s="291" t="s">
        <v>1230</v>
      </c>
      <c r="D327" s="257" t="s">
        <v>1231</v>
      </c>
      <c r="E327" s="258"/>
      <c r="F327" s="258"/>
      <c r="G327" s="259"/>
      <c r="H327" s="287">
        <f>H326+H324+H320</f>
        <v>76338.7</v>
      </c>
      <c r="I327" s="260"/>
    </row>
    <row r="328" spans="3:9" ht="14.25">
      <c r="C328" s="123" t="s">
        <v>1232</v>
      </c>
      <c r="D328" s="70" t="s">
        <v>1410</v>
      </c>
      <c r="E328" s="71"/>
      <c r="F328" s="72"/>
      <c r="G328" s="96">
        <f>$M$7</f>
        <v>0.1</v>
      </c>
      <c r="H328" s="125">
        <f>H327*G328</f>
        <v>7633.87</v>
      </c>
      <c r="I328" s="260"/>
    </row>
    <row r="329" spans="3:9" ht="15.75" thickBot="1">
      <c r="C329" s="292" t="s">
        <v>1233</v>
      </c>
      <c r="D329" s="293" t="s">
        <v>1234</v>
      </c>
      <c r="E329" s="294"/>
      <c r="F329" s="294"/>
      <c r="G329" s="295"/>
      <c r="H329" s="296">
        <f>SUM(H327:H328)</f>
        <v>83972.569999999992</v>
      </c>
      <c r="I329" s="260"/>
    </row>
    <row r="330" spans="3:9" ht="15.75" thickTop="1">
      <c r="C330" s="267"/>
      <c r="D330" s="268"/>
      <c r="E330" s="268"/>
      <c r="F330" s="268"/>
      <c r="G330" s="268"/>
      <c r="H330" s="269"/>
      <c r="I330" s="260"/>
    </row>
    <row r="331" spans="3:9" ht="15.75" thickBot="1">
      <c r="C331" s="277" t="s">
        <v>1472</v>
      </c>
      <c r="D331" s="279"/>
      <c r="E331" s="279"/>
      <c r="F331" s="279"/>
      <c r="G331" s="279"/>
      <c r="H331" s="279"/>
      <c r="I331" s="246">
        <f>ROUNDDOWN(H347,-2)</f>
        <v>78000</v>
      </c>
    </row>
    <row r="332" spans="3:9" ht="29.25" thickTop="1">
      <c r="C332" s="281" t="s">
        <v>1207</v>
      </c>
      <c r="D332" s="282" t="s">
        <v>1208</v>
      </c>
      <c r="E332" s="282" t="s">
        <v>1209</v>
      </c>
      <c r="F332" s="282" t="s">
        <v>1210</v>
      </c>
      <c r="G332" s="282" t="s">
        <v>1211</v>
      </c>
      <c r="H332" s="283" t="s">
        <v>1212</v>
      </c>
    </row>
    <row r="333" spans="3:9">
      <c r="C333" s="284" t="s">
        <v>1213</v>
      </c>
      <c r="D333" s="248" t="s">
        <v>1214</v>
      </c>
      <c r="E333" s="249"/>
      <c r="F333" s="249"/>
      <c r="G333" s="249"/>
      <c r="H333" s="285"/>
    </row>
    <row r="334" spans="3:9">
      <c r="C334" s="286">
        <v>1</v>
      </c>
      <c r="D334" s="248" t="s">
        <v>5</v>
      </c>
      <c r="E334" s="247" t="s">
        <v>6</v>
      </c>
      <c r="F334" s="250">
        <v>0.14000000000000001</v>
      </c>
      <c r="G334" s="65">
        <f>VLOOKUP(D334,upahbahan,3,FALSE)</f>
        <v>100000</v>
      </c>
      <c r="H334" s="287">
        <f>F334*G334</f>
        <v>14000.000000000002</v>
      </c>
    </row>
    <row r="335" spans="3:9">
      <c r="C335" s="286">
        <v>2</v>
      </c>
      <c r="D335" s="248" t="s">
        <v>8</v>
      </c>
      <c r="E335" s="247" t="s">
        <v>6</v>
      </c>
      <c r="F335" s="250">
        <v>7.0000000000000007E-2</v>
      </c>
      <c r="G335" s="65">
        <f>VLOOKUP(D335,upahbahan,3,FALSE)</f>
        <v>145000</v>
      </c>
      <c r="H335" s="287">
        <f>F335*G335</f>
        <v>10150.000000000002</v>
      </c>
    </row>
    <row r="336" spans="3:9">
      <c r="C336" s="286">
        <v>3</v>
      </c>
      <c r="D336" s="248" t="s">
        <v>18</v>
      </c>
      <c r="E336" s="247" t="s">
        <v>6</v>
      </c>
      <c r="F336" s="250">
        <v>7.0000000000000001E-3</v>
      </c>
      <c r="G336" s="65">
        <f>VLOOKUP(D336,upahbahan,3,FALSE)</f>
        <v>150000</v>
      </c>
      <c r="H336" s="287">
        <f>F336*G336</f>
        <v>1050</v>
      </c>
    </row>
    <row r="337" spans="3:9">
      <c r="C337" s="286">
        <v>4</v>
      </c>
      <c r="D337" s="248" t="s">
        <v>19</v>
      </c>
      <c r="E337" s="247" t="s">
        <v>6</v>
      </c>
      <c r="F337" s="250">
        <v>2.3E-3</v>
      </c>
      <c r="G337" s="65">
        <f>VLOOKUP(D337,upahbahan,3,FALSE)</f>
        <v>145000</v>
      </c>
      <c r="H337" s="287">
        <f>F337*G337</f>
        <v>333.5</v>
      </c>
    </row>
    <row r="338" spans="3:9">
      <c r="C338" s="288" t="s">
        <v>1220</v>
      </c>
      <c r="D338" s="251"/>
      <c r="E338" s="251"/>
      <c r="F338" s="252"/>
      <c r="G338" s="253"/>
      <c r="H338" s="287">
        <f>SUM(H334:H337)</f>
        <v>25533.500000000004</v>
      </c>
      <c r="I338" s="254"/>
    </row>
    <row r="339" spans="3:9">
      <c r="C339" s="284" t="s">
        <v>1221</v>
      </c>
      <c r="D339" s="248" t="s">
        <v>1222</v>
      </c>
      <c r="E339" s="249"/>
      <c r="F339" s="249"/>
      <c r="G339" s="249"/>
      <c r="H339" s="285"/>
    </row>
    <row r="340" spans="3:9" ht="28.5">
      <c r="C340" s="286">
        <v>1</v>
      </c>
      <c r="D340" s="248" t="s">
        <v>313</v>
      </c>
      <c r="E340" s="247" t="s">
        <v>133</v>
      </c>
      <c r="F340" s="263">
        <v>0.38</v>
      </c>
      <c r="G340" s="65">
        <f>VLOOKUP(D340,upahbahan,3,FALSE)</f>
        <v>113400</v>
      </c>
      <c r="H340" s="287">
        <f>F340*G340</f>
        <v>43092</v>
      </c>
    </row>
    <row r="341" spans="3:9">
      <c r="C341" s="286">
        <v>2</v>
      </c>
      <c r="D341" s="248" t="s">
        <v>270</v>
      </c>
      <c r="E341" s="247" t="s">
        <v>66</v>
      </c>
      <c r="F341" s="263">
        <v>0.12</v>
      </c>
      <c r="G341" s="65">
        <f>VLOOKUP(D341,upahbahan,3,FALSE)</f>
        <v>19460</v>
      </c>
      <c r="H341" s="287">
        <f>F341*G341</f>
        <v>2335.1999999999998</v>
      </c>
    </row>
    <row r="342" spans="3:9">
      <c r="C342" s="288" t="s">
        <v>1226</v>
      </c>
      <c r="D342" s="251"/>
      <c r="E342" s="251"/>
      <c r="F342" s="251"/>
      <c r="G342" s="256"/>
      <c r="H342" s="287">
        <f>SUM(H340:H341)</f>
        <v>45427.199999999997</v>
      </c>
    </row>
    <row r="343" spans="3:9">
      <c r="C343" s="289" t="s">
        <v>1227</v>
      </c>
      <c r="D343" s="248" t="s">
        <v>1228</v>
      </c>
      <c r="E343" s="249"/>
      <c r="F343" s="249"/>
      <c r="G343" s="249"/>
      <c r="H343" s="285"/>
    </row>
    <row r="344" spans="3:9">
      <c r="C344" s="288" t="s">
        <v>1229</v>
      </c>
      <c r="D344" s="251"/>
      <c r="E344" s="251"/>
      <c r="F344" s="251"/>
      <c r="G344" s="256"/>
      <c r="H344" s="290">
        <v>0</v>
      </c>
    </row>
    <row r="345" spans="3:9" ht="14.25">
      <c r="C345" s="291" t="s">
        <v>1230</v>
      </c>
      <c r="D345" s="257" t="s">
        <v>1231</v>
      </c>
      <c r="E345" s="258"/>
      <c r="F345" s="258"/>
      <c r="G345" s="259"/>
      <c r="H345" s="287">
        <f>H344+H342+H338</f>
        <v>70960.7</v>
      </c>
      <c r="I345" s="260"/>
    </row>
    <row r="346" spans="3:9" ht="14.25">
      <c r="C346" s="123" t="s">
        <v>1232</v>
      </c>
      <c r="D346" s="70" t="s">
        <v>1410</v>
      </c>
      <c r="E346" s="71"/>
      <c r="F346" s="72"/>
      <c r="G346" s="96">
        <f>$M$7</f>
        <v>0.1</v>
      </c>
      <c r="H346" s="125">
        <f>H345*G346</f>
        <v>7096.07</v>
      </c>
      <c r="I346" s="260"/>
    </row>
    <row r="347" spans="3:9" ht="15.75" thickBot="1">
      <c r="C347" s="292" t="s">
        <v>1233</v>
      </c>
      <c r="D347" s="293" t="s">
        <v>1234</v>
      </c>
      <c r="E347" s="294"/>
      <c r="F347" s="294"/>
      <c r="G347" s="295"/>
      <c r="H347" s="296">
        <f>SUM(H345:H346)</f>
        <v>78056.76999999999</v>
      </c>
      <c r="I347" s="260"/>
    </row>
    <row r="348" spans="3:9" ht="15.75" thickTop="1">
      <c r="C348" s="267"/>
      <c r="D348" s="268"/>
      <c r="E348" s="268"/>
      <c r="F348" s="268"/>
      <c r="G348" s="268"/>
      <c r="H348" s="269"/>
      <c r="I348" s="260"/>
    </row>
    <row r="349" spans="3:9" ht="15.75" thickBot="1">
      <c r="C349" s="277" t="s">
        <v>1473</v>
      </c>
      <c r="D349" s="279"/>
      <c r="E349" s="279"/>
      <c r="F349" s="279"/>
      <c r="G349" s="279"/>
      <c r="H349" s="279"/>
      <c r="I349" s="246">
        <f>ROUNDDOWN(H365,-2)</f>
        <v>81000</v>
      </c>
    </row>
    <row r="350" spans="3:9" ht="29.25" thickTop="1">
      <c r="C350" s="281" t="s">
        <v>1207</v>
      </c>
      <c r="D350" s="282" t="s">
        <v>1208</v>
      </c>
      <c r="E350" s="282" t="s">
        <v>1209</v>
      </c>
      <c r="F350" s="282" t="s">
        <v>1210</v>
      </c>
      <c r="G350" s="282" t="s">
        <v>1211</v>
      </c>
      <c r="H350" s="283" t="s">
        <v>1212</v>
      </c>
    </row>
    <row r="351" spans="3:9">
      <c r="C351" s="284" t="s">
        <v>1213</v>
      </c>
      <c r="D351" s="248" t="s">
        <v>1214</v>
      </c>
      <c r="E351" s="249"/>
      <c r="F351" s="249"/>
      <c r="G351" s="249"/>
      <c r="H351" s="285"/>
    </row>
    <row r="352" spans="3:9">
      <c r="C352" s="286">
        <v>1</v>
      </c>
      <c r="D352" s="248" t="s">
        <v>5</v>
      </c>
      <c r="E352" s="247" t="s">
        <v>6</v>
      </c>
      <c r="F352" s="250">
        <v>0.14000000000000001</v>
      </c>
      <c r="G352" s="65">
        <f>VLOOKUP(D352,upahbahan,3,FALSE)</f>
        <v>100000</v>
      </c>
      <c r="H352" s="287">
        <f>F352*G352</f>
        <v>14000.000000000002</v>
      </c>
    </row>
    <row r="353" spans="3:9">
      <c r="C353" s="286">
        <v>2</v>
      </c>
      <c r="D353" s="248" t="s">
        <v>8</v>
      </c>
      <c r="E353" s="247" t="s">
        <v>6</v>
      </c>
      <c r="F353" s="250">
        <v>7.0000000000000007E-2</v>
      </c>
      <c r="G353" s="65">
        <f>VLOOKUP(D353,upahbahan,3,FALSE)</f>
        <v>145000</v>
      </c>
      <c r="H353" s="287">
        <f>F353*G353</f>
        <v>10150.000000000002</v>
      </c>
    </row>
    <row r="354" spans="3:9">
      <c r="C354" s="286">
        <v>3</v>
      </c>
      <c r="D354" s="248" t="s">
        <v>18</v>
      </c>
      <c r="E354" s="247" t="s">
        <v>6</v>
      </c>
      <c r="F354" s="250">
        <v>7.0000000000000001E-3</v>
      </c>
      <c r="G354" s="65">
        <f>VLOOKUP(D354,upahbahan,3,FALSE)</f>
        <v>150000</v>
      </c>
      <c r="H354" s="287">
        <f>F354*G354</f>
        <v>1050</v>
      </c>
    </row>
    <row r="355" spans="3:9">
      <c r="C355" s="286">
        <v>4</v>
      </c>
      <c r="D355" s="248" t="s">
        <v>19</v>
      </c>
      <c r="E355" s="247" t="s">
        <v>6</v>
      </c>
      <c r="F355" s="250">
        <v>2.3E-3</v>
      </c>
      <c r="G355" s="65">
        <f>VLOOKUP(D355,upahbahan,3,FALSE)</f>
        <v>145000</v>
      </c>
      <c r="H355" s="287">
        <f>F355*G355</f>
        <v>333.5</v>
      </c>
    </row>
    <row r="356" spans="3:9">
      <c r="C356" s="288" t="s">
        <v>1220</v>
      </c>
      <c r="D356" s="251"/>
      <c r="E356" s="251"/>
      <c r="F356" s="252"/>
      <c r="G356" s="253"/>
      <c r="H356" s="287">
        <f>SUM(H352:H355)</f>
        <v>25533.500000000004</v>
      </c>
      <c r="I356" s="254"/>
    </row>
    <row r="357" spans="3:9">
      <c r="C357" s="284" t="s">
        <v>1221</v>
      </c>
      <c r="D357" s="248" t="s">
        <v>1222</v>
      </c>
      <c r="E357" s="249"/>
      <c r="F357" s="249"/>
      <c r="G357" s="249"/>
      <c r="H357" s="285"/>
    </row>
    <row r="358" spans="3:9" ht="28.5">
      <c r="C358" s="286">
        <v>1</v>
      </c>
      <c r="D358" s="248" t="s">
        <v>312</v>
      </c>
      <c r="E358" s="247" t="s">
        <v>133</v>
      </c>
      <c r="F358" s="263">
        <v>0.46</v>
      </c>
      <c r="G358" s="65">
        <f>VLOOKUP(D358,upahbahan,3,FALSE)</f>
        <v>99600</v>
      </c>
      <c r="H358" s="287">
        <f>F358*G358</f>
        <v>45816</v>
      </c>
    </row>
    <row r="359" spans="3:9">
      <c r="C359" s="286">
        <v>2</v>
      </c>
      <c r="D359" s="248" t="s">
        <v>270</v>
      </c>
      <c r="E359" s="247" t="s">
        <v>66</v>
      </c>
      <c r="F359" s="263">
        <v>0.12</v>
      </c>
      <c r="G359" s="65">
        <f>VLOOKUP(D359,upahbahan,3,FALSE)</f>
        <v>19460</v>
      </c>
      <c r="H359" s="287">
        <f>F359*G359</f>
        <v>2335.1999999999998</v>
      </c>
    </row>
    <row r="360" spans="3:9">
      <c r="C360" s="288" t="s">
        <v>1226</v>
      </c>
      <c r="D360" s="251"/>
      <c r="E360" s="251"/>
      <c r="F360" s="251"/>
      <c r="G360" s="256"/>
      <c r="H360" s="287">
        <f>SUM(H358:H359)</f>
        <v>48151.199999999997</v>
      </c>
    </row>
    <row r="361" spans="3:9">
      <c r="C361" s="289" t="s">
        <v>1227</v>
      </c>
      <c r="D361" s="248" t="s">
        <v>1228</v>
      </c>
      <c r="E361" s="249"/>
      <c r="F361" s="249"/>
      <c r="G361" s="249"/>
      <c r="H361" s="285"/>
    </row>
    <row r="362" spans="3:9">
      <c r="C362" s="288" t="s">
        <v>1229</v>
      </c>
      <c r="D362" s="251"/>
      <c r="E362" s="251"/>
      <c r="F362" s="251"/>
      <c r="G362" s="256"/>
      <c r="H362" s="290">
        <v>0</v>
      </c>
    </row>
    <row r="363" spans="3:9" ht="14.25">
      <c r="C363" s="291" t="s">
        <v>1230</v>
      </c>
      <c r="D363" s="257" t="s">
        <v>1231</v>
      </c>
      <c r="E363" s="258"/>
      <c r="F363" s="258"/>
      <c r="G363" s="259"/>
      <c r="H363" s="287">
        <f>H362+H360+H356</f>
        <v>73684.7</v>
      </c>
      <c r="I363" s="260"/>
    </row>
    <row r="364" spans="3:9" ht="14.25">
      <c r="C364" s="123" t="s">
        <v>1232</v>
      </c>
      <c r="D364" s="70" t="s">
        <v>1410</v>
      </c>
      <c r="E364" s="71"/>
      <c r="F364" s="72"/>
      <c r="G364" s="96">
        <f>$M$7</f>
        <v>0.1</v>
      </c>
      <c r="H364" s="125">
        <f>H363*G364</f>
        <v>7368.47</v>
      </c>
      <c r="I364" s="260"/>
    </row>
    <row r="365" spans="3:9" ht="15.75" thickBot="1">
      <c r="C365" s="292" t="s">
        <v>1233</v>
      </c>
      <c r="D365" s="293" t="s">
        <v>1234</v>
      </c>
      <c r="E365" s="294"/>
      <c r="F365" s="294"/>
      <c r="G365" s="295"/>
      <c r="H365" s="296">
        <f>SUM(H363:H364)</f>
        <v>81053.17</v>
      </c>
      <c r="I365" s="260"/>
    </row>
    <row r="366" spans="3:9" ht="15.75" thickTop="1">
      <c r="C366" s="267"/>
      <c r="D366" s="268"/>
      <c r="E366" s="268"/>
      <c r="F366" s="268"/>
      <c r="G366" s="268"/>
      <c r="H366" s="269"/>
      <c r="I366" s="260"/>
    </row>
    <row r="367" spans="3:9" ht="15.75" thickBot="1">
      <c r="C367" s="277" t="s">
        <v>1474</v>
      </c>
      <c r="D367" s="279"/>
      <c r="E367" s="279"/>
      <c r="F367" s="279"/>
      <c r="G367" s="279"/>
      <c r="H367" s="279"/>
      <c r="I367" s="246">
        <f>ROUNDDOWN(H383,-2)</f>
        <v>80700</v>
      </c>
    </row>
    <row r="368" spans="3:9" ht="29.25" thickTop="1">
      <c r="C368" s="281" t="s">
        <v>1207</v>
      </c>
      <c r="D368" s="282" t="s">
        <v>1208</v>
      </c>
      <c r="E368" s="282" t="s">
        <v>1209</v>
      </c>
      <c r="F368" s="282" t="s">
        <v>1210</v>
      </c>
      <c r="G368" s="282" t="s">
        <v>1211</v>
      </c>
      <c r="H368" s="283" t="s">
        <v>1212</v>
      </c>
    </row>
    <row r="369" spans="3:9">
      <c r="C369" s="284" t="s">
        <v>1213</v>
      </c>
      <c r="D369" s="248" t="s">
        <v>1214</v>
      </c>
      <c r="E369" s="249"/>
      <c r="F369" s="249"/>
      <c r="G369" s="249"/>
      <c r="H369" s="285"/>
    </row>
    <row r="370" spans="3:9">
      <c r="C370" s="286">
        <v>1</v>
      </c>
      <c r="D370" s="248" t="s">
        <v>5</v>
      </c>
      <c r="E370" s="247" t="s">
        <v>6</v>
      </c>
      <c r="F370" s="250">
        <v>0.14000000000000001</v>
      </c>
      <c r="G370" s="65">
        <f>VLOOKUP(D370,upahbahan,3,FALSE)</f>
        <v>100000</v>
      </c>
      <c r="H370" s="287">
        <f>F370*G370</f>
        <v>14000.000000000002</v>
      </c>
    </row>
    <row r="371" spans="3:9">
      <c r="C371" s="286">
        <v>2</v>
      </c>
      <c r="D371" s="248" t="s">
        <v>8</v>
      </c>
      <c r="E371" s="247" t="s">
        <v>6</v>
      </c>
      <c r="F371" s="250">
        <v>7.0000000000000007E-2</v>
      </c>
      <c r="G371" s="65">
        <f>VLOOKUP(D371,upahbahan,3,FALSE)</f>
        <v>145000</v>
      </c>
      <c r="H371" s="287">
        <f>F371*G371</f>
        <v>10150.000000000002</v>
      </c>
    </row>
    <row r="372" spans="3:9">
      <c r="C372" s="286">
        <v>3</v>
      </c>
      <c r="D372" s="248" t="s">
        <v>18</v>
      </c>
      <c r="E372" s="247" t="s">
        <v>6</v>
      </c>
      <c r="F372" s="250">
        <v>7.0000000000000001E-3</v>
      </c>
      <c r="G372" s="65">
        <f>VLOOKUP(D372,upahbahan,3,FALSE)</f>
        <v>150000</v>
      </c>
      <c r="H372" s="287">
        <f>F372*G372</f>
        <v>1050</v>
      </c>
    </row>
    <row r="373" spans="3:9">
      <c r="C373" s="286">
        <v>4</v>
      </c>
      <c r="D373" s="248" t="s">
        <v>19</v>
      </c>
      <c r="E373" s="247" t="s">
        <v>6</v>
      </c>
      <c r="F373" s="250">
        <v>2.3E-3</v>
      </c>
      <c r="G373" s="65">
        <f>VLOOKUP(D373,upahbahan,3,FALSE)</f>
        <v>145000</v>
      </c>
      <c r="H373" s="287">
        <f>F373*G373</f>
        <v>333.5</v>
      </c>
    </row>
    <row r="374" spans="3:9">
      <c r="C374" s="288" t="s">
        <v>1220</v>
      </c>
      <c r="D374" s="251"/>
      <c r="E374" s="251"/>
      <c r="F374" s="252"/>
      <c r="G374" s="253"/>
      <c r="H374" s="287">
        <f>SUM(H370:H373)</f>
        <v>25533.500000000004</v>
      </c>
      <c r="I374" s="254"/>
    </row>
    <row r="375" spans="3:9">
      <c r="C375" s="284" t="s">
        <v>1221</v>
      </c>
      <c r="D375" s="248" t="s">
        <v>1222</v>
      </c>
      <c r="E375" s="249"/>
      <c r="F375" s="249"/>
      <c r="G375" s="249"/>
      <c r="H375" s="285"/>
    </row>
    <row r="376" spans="3:9" ht="28.5">
      <c r="C376" s="286">
        <v>1</v>
      </c>
      <c r="D376" s="248" t="s">
        <v>311</v>
      </c>
      <c r="E376" s="247" t="s">
        <v>133</v>
      </c>
      <c r="F376" s="263">
        <v>0.49</v>
      </c>
      <c r="G376" s="65">
        <f>VLOOKUP(D376,upahbahan,3,FALSE)</f>
        <v>92900</v>
      </c>
      <c r="H376" s="287">
        <f>F376*G376</f>
        <v>45521</v>
      </c>
    </row>
    <row r="377" spans="3:9">
      <c r="C377" s="286">
        <v>2</v>
      </c>
      <c r="D377" s="248" t="s">
        <v>270</v>
      </c>
      <c r="E377" s="247" t="s">
        <v>66</v>
      </c>
      <c r="F377" s="263">
        <v>0.12</v>
      </c>
      <c r="G377" s="65">
        <f>VLOOKUP(D377,upahbahan,3,FALSE)</f>
        <v>19460</v>
      </c>
      <c r="H377" s="287">
        <f>F377*G377</f>
        <v>2335.1999999999998</v>
      </c>
    </row>
    <row r="378" spans="3:9">
      <c r="C378" s="288" t="s">
        <v>1226</v>
      </c>
      <c r="D378" s="251"/>
      <c r="E378" s="251"/>
      <c r="F378" s="251"/>
      <c r="G378" s="256"/>
      <c r="H378" s="287">
        <f>SUM(H376:H377)</f>
        <v>47856.2</v>
      </c>
    </row>
    <row r="379" spans="3:9">
      <c r="C379" s="289" t="s">
        <v>1227</v>
      </c>
      <c r="D379" s="248" t="s">
        <v>1228</v>
      </c>
      <c r="E379" s="249"/>
      <c r="F379" s="249"/>
      <c r="G379" s="249"/>
      <c r="H379" s="285"/>
    </row>
    <row r="380" spans="3:9">
      <c r="C380" s="288" t="s">
        <v>1229</v>
      </c>
      <c r="D380" s="251"/>
      <c r="E380" s="251"/>
      <c r="F380" s="251"/>
      <c r="G380" s="256"/>
      <c r="H380" s="290">
        <v>0</v>
      </c>
    </row>
    <row r="381" spans="3:9" ht="14.25">
      <c r="C381" s="291" t="s">
        <v>1230</v>
      </c>
      <c r="D381" s="257" t="s">
        <v>1231</v>
      </c>
      <c r="E381" s="258"/>
      <c r="F381" s="258"/>
      <c r="G381" s="259"/>
      <c r="H381" s="287">
        <f>H380+H378+H374</f>
        <v>73389.7</v>
      </c>
      <c r="I381" s="260"/>
    </row>
    <row r="382" spans="3:9" ht="14.25">
      <c r="C382" s="123" t="s">
        <v>1232</v>
      </c>
      <c r="D382" s="70" t="s">
        <v>1410</v>
      </c>
      <c r="E382" s="71"/>
      <c r="F382" s="72"/>
      <c r="G382" s="96">
        <f>$M$7</f>
        <v>0.1</v>
      </c>
      <c r="H382" s="125">
        <f>H381*G382</f>
        <v>7338.97</v>
      </c>
      <c r="I382" s="260"/>
    </row>
    <row r="383" spans="3:9" ht="15.75" thickBot="1">
      <c r="C383" s="292" t="s">
        <v>1233</v>
      </c>
      <c r="D383" s="293" t="s">
        <v>1234</v>
      </c>
      <c r="E383" s="294"/>
      <c r="F383" s="294"/>
      <c r="G383" s="295"/>
      <c r="H383" s="296">
        <f>SUM(H381:H382)</f>
        <v>80728.67</v>
      </c>
      <c r="I383" s="260"/>
    </row>
    <row r="384" spans="3:9" ht="15.75" thickTop="1">
      <c r="C384" s="267"/>
      <c r="D384" s="268"/>
      <c r="E384" s="268"/>
      <c r="F384" s="268"/>
      <c r="G384" s="268"/>
      <c r="H384" s="269"/>
      <c r="I384" s="260"/>
    </row>
    <row r="385" spans="3:9" ht="15.75" thickBot="1">
      <c r="C385" s="277" t="s">
        <v>1475</v>
      </c>
      <c r="D385" s="279"/>
      <c r="E385" s="279"/>
      <c r="F385" s="279"/>
      <c r="G385" s="279"/>
      <c r="H385" s="279"/>
      <c r="I385" s="246">
        <f>ROUNDDOWN(H401,-2)</f>
        <v>88900</v>
      </c>
    </row>
    <row r="386" spans="3:9" ht="29.25" thickTop="1">
      <c r="C386" s="281" t="s">
        <v>1207</v>
      </c>
      <c r="D386" s="282" t="s">
        <v>1208</v>
      </c>
      <c r="E386" s="282" t="s">
        <v>1209</v>
      </c>
      <c r="F386" s="282" t="s">
        <v>1210</v>
      </c>
      <c r="G386" s="282" t="s">
        <v>1211</v>
      </c>
      <c r="H386" s="283" t="s">
        <v>1212</v>
      </c>
    </row>
    <row r="387" spans="3:9">
      <c r="C387" s="284" t="s">
        <v>1213</v>
      </c>
      <c r="D387" s="248" t="s">
        <v>1214</v>
      </c>
      <c r="E387" s="249"/>
      <c r="F387" s="249"/>
      <c r="G387" s="249"/>
      <c r="H387" s="285"/>
    </row>
    <row r="388" spans="3:9">
      <c r="C388" s="286">
        <v>1</v>
      </c>
      <c r="D388" s="248" t="s">
        <v>5</v>
      </c>
      <c r="E388" s="247" t="s">
        <v>6</v>
      </c>
      <c r="F388" s="250">
        <v>0.14000000000000001</v>
      </c>
      <c r="G388" s="65">
        <f>VLOOKUP(D388,upahbahan,3,FALSE)</f>
        <v>100000</v>
      </c>
      <c r="H388" s="287">
        <f>F388*G388</f>
        <v>14000.000000000002</v>
      </c>
    </row>
    <row r="389" spans="3:9">
      <c r="C389" s="286">
        <v>2</v>
      </c>
      <c r="D389" s="248" t="s">
        <v>8</v>
      </c>
      <c r="E389" s="247" t="s">
        <v>6</v>
      </c>
      <c r="F389" s="250">
        <v>7.0000000000000007E-2</v>
      </c>
      <c r="G389" s="65">
        <f>VLOOKUP(D389,upahbahan,3,FALSE)</f>
        <v>145000</v>
      </c>
      <c r="H389" s="287">
        <f>F389*G389</f>
        <v>10150.000000000002</v>
      </c>
    </row>
    <row r="390" spans="3:9">
      <c r="C390" s="286">
        <v>3</v>
      </c>
      <c r="D390" s="248" t="s">
        <v>18</v>
      </c>
      <c r="E390" s="247" t="s">
        <v>6</v>
      </c>
      <c r="F390" s="250">
        <v>7.0000000000000001E-3</v>
      </c>
      <c r="G390" s="65">
        <f>VLOOKUP(D390,upahbahan,3,FALSE)</f>
        <v>150000</v>
      </c>
      <c r="H390" s="287">
        <f>F390*G390</f>
        <v>1050</v>
      </c>
    </row>
    <row r="391" spans="3:9">
      <c r="C391" s="286">
        <v>4</v>
      </c>
      <c r="D391" s="248" t="s">
        <v>19</v>
      </c>
      <c r="E391" s="247" t="s">
        <v>6</v>
      </c>
      <c r="F391" s="250">
        <v>2.3E-3</v>
      </c>
      <c r="G391" s="65">
        <f>VLOOKUP(D391,upahbahan,3,FALSE)</f>
        <v>145000</v>
      </c>
      <c r="H391" s="287">
        <f>F391*G391</f>
        <v>333.5</v>
      </c>
    </row>
    <row r="392" spans="3:9">
      <c r="C392" s="288" t="s">
        <v>1220</v>
      </c>
      <c r="D392" s="251"/>
      <c r="E392" s="251"/>
      <c r="F392" s="252"/>
      <c r="G392" s="253"/>
      <c r="H392" s="287">
        <f>SUM(H388:H391)</f>
        <v>25533.500000000004</v>
      </c>
      <c r="I392" s="254"/>
    </row>
    <row r="393" spans="3:9">
      <c r="C393" s="284" t="s">
        <v>1221</v>
      </c>
      <c r="D393" s="248" t="s">
        <v>1222</v>
      </c>
      <c r="E393" s="249"/>
      <c r="F393" s="249"/>
      <c r="G393" s="249"/>
      <c r="H393" s="285"/>
    </row>
    <row r="394" spans="3:9" ht="28.5">
      <c r="C394" s="286">
        <v>1</v>
      </c>
      <c r="D394" s="248" t="s">
        <v>310</v>
      </c>
      <c r="E394" s="247" t="s">
        <v>133</v>
      </c>
      <c r="F394" s="263">
        <v>0.56999999999999995</v>
      </c>
      <c r="G394" s="65">
        <f>VLOOKUP(D394,upahbahan,3,FALSE)</f>
        <v>93000</v>
      </c>
      <c r="H394" s="287">
        <f>F394*G394</f>
        <v>53009.999999999993</v>
      </c>
    </row>
    <row r="395" spans="3:9">
      <c r="C395" s="286">
        <v>2</v>
      </c>
      <c r="D395" s="248" t="s">
        <v>270</v>
      </c>
      <c r="E395" s="247" t="s">
        <v>66</v>
      </c>
      <c r="F395" s="263">
        <v>0.12</v>
      </c>
      <c r="G395" s="65">
        <f>VLOOKUP(D395,upahbahan,3,FALSE)</f>
        <v>19460</v>
      </c>
      <c r="H395" s="287">
        <f>F395*G395</f>
        <v>2335.1999999999998</v>
      </c>
    </row>
    <row r="396" spans="3:9">
      <c r="C396" s="288" t="s">
        <v>1226</v>
      </c>
      <c r="D396" s="251"/>
      <c r="E396" s="251"/>
      <c r="F396" s="251"/>
      <c r="G396" s="256"/>
      <c r="H396" s="287">
        <f>SUM(H394:H395)</f>
        <v>55345.19999999999</v>
      </c>
    </row>
    <row r="397" spans="3:9">
      <c r="C397" s="289" t="s">
        <v>1227</v>
      </c>
      <c r="D397" s="248" t="s">
        <v>1228</v>
      </c>
      <c r="E397" s="249"/>
      <c r="F397" s="249"/>
      <c r="G397" s="249"/>
      <c r="H397" s="285"/>
    </row>
    <row r="398" spans="3:9">
      <c r="C398" s="288" t="s">
        <v>1229</v>
      </c>
      <c r="D398" s="251"/>
      <c r="E398" s="251"/>
      <c r="F398" s="251"/>
      <c r="G398" s="256"/>
      <c r="H398" s="290">
        <v>0</v>
      </c>
    </row>
    <row r="399" spans="3:9" ht="14.25">
      <c r="C399" s="291" t="s">
        <v>1230</v>
      </c>
      <c r="D399" s="257" t="s">
        <v>1231</v>
      </c>
      <c r="E399" s="258"/>
      <c r="F399" s="258"/>
      <c r="G399" s="259"/>
      <c r="H399" s="287">
        <f>H398+H396+H392</f>
        <v>80878.7</v>
      </c>
      <c r="I399" s="260"/>
    </row>
    <row r="400" spans="3:9" ht="14.25">
      <c r="C400" s="123" t="s">
        <v>1232</v>
      </c>
      <c r="D400" s="70" t="s">
        <v>1410</v>
      </c>
      <c r="E400" s="71"/>
      <c r="F400" s="72"/>
      <c r="G400" s="96">
        <f>$M$7</f>
        <v>0.1</v>
      </c>
      <c r="H400" s="125">
        <f>H399*G400</f>
        <v>8087.87</v>
      </c>
      <c r="I400" s="260"/>
    </row>
    <row r="401" spans="3:9" ht="15.75" thickBot="1">
      <c r="C401" s="292" t="s">
        <v>1233</v>
      </c>
      <c r="D401" s="293" t="s">
        <v>1234</v>
      </c>
      <c r="E401" s="294"/>
      <c r="F401" s="294"/>
      <c r="G401" s="295"/>
      <c r="H401" s="296">
        <f>SUM(H399:H400)</f>
        <v>88966.569999999992</v>
      </c>
      <c r="I401" s="260"/>
    </row>
    <row r="402" spans="3:9" ht="15.75" thickTop="1">
      <c r="C402" s="267"/>
      <c r="D402" s="268"/>
      <c r="E402" s="268"/>
      <c r="F402" s="268"/>
      <c r="G402" s="268"/>
      <c r="H402" s="269"/>
      <c r="I402" s="260"/>
    </row>
    <row r="403" spans="3:9" ht="15.75" thickBot="1">
      <c r="C403" s="277" t="s">
        <v>1476</v>
      </c>
      <c r="D403" s="278"/>
      <c r="E403" s="278"/>
      <c r="F403" s="278"/>
      <c r="G403" s="278"/>
      <c r="H403" s="278"/>
      <c r="I403" s="246">
        <f>ROUNDDOWN(H419,-2)</f>
        <v>388900</v>
      </c>
    </row>
    <row r="404" spans="3:9" ht="29.25" thickTop="1">
      <c r="C404" s="281" t="s">
        <v>1207</v>
      </c>
      <c r="D404" s="282" t="s">
        <v>1208</v>
      </c>
      <c r="E404" s="282" t="s">
        <v>1209</v>
      </c>
      <c r="F404" s="282" t="s">
        <v>1210</v>
      </c>
      <c r="G404" s="282" t="s">
        <v>1211</v>
      </c>
      <c r="H404" s="283" t="s">
        <v>1212</v>
      </c>
    </row>
    <row r="405" spans="3:9">
      <c r="C405" s="284" t="s">
        <v>1213</v>
      </c>
      <c r="D405" s="248" t="s">
        <v>1214</v>
      </c>
      <c r="E405" s="249"/>
      <c r="F405" s="249"/>
      <c r="G405" s="249"/>
      <c r="H405" s="285"/>
    </row>
    <row r="406" spans="3:9">
      <c r="C406" s="286">
        <v>1</v>
      </c>
      <c r="D406" s="248" t="s">
        <v>5</v>
      </c>
      <c r="E406" s="247" t="s">
        <v>6</v>
      </c>
      <c r="F406" s="250">
        <v>8.4000000000000005E-2</v>
      </c>
      <c r="G406" s="65">
        <f>VLOOKUP(D406,upahbahan,3,FALSE)</f>
        <v>100000</v>
      </c>
      <c r="H406" s="287">
        <f>F406*G406</f>
        <v>8400</v>
      </c>
    </row>
    <row r="407" spans="3:9">
      <c r="C407" s="286">
        <v>2</v>
      </c>
      <c r="D407" s="248" t="s">
        <v>8</v>
      </c>
      <c r="E407" s="247" t="s">
        <v>6</v>
      </c>
      <c r="F407" s="250">
        <v>0.125</v>
      </c>
      <c r="G407" s="65">
        <f>VLOOKUP(D407,upahbahan,3,FALSE)</f>
        <v>145000</v>
      </c>
      <c r="H407" s="287">
        <f>F407*G407</f>
        <v>18125</v>
      </c>
    </row>
    <row r="408" spans="3:9">
      <c r="C408" s="286">
        <v>3</v>
      </c>
      <c r="D408" s="248" t="s">
        <v>18</v>
      </c>
      <c r="E408" s="247" t="s">
        <v>6</v>
      </c>
      <c r="F408" s="250">
        <v>1.2500000000000001E-2</v>
      </c>
      <c r="G408" s="65">
        <f>VLOOKUP(D408,upahbahan,3,FALSE)</f>
        <v>150000</v>
      </c>
      <c r="H408" s="287">
        <f>F408*G408</f>
        <v>1875</v>
      </c>
    </row>
    <row r="409" spans="3:9">
      <c r="C409" s="286">
        <v>4</v>
      </c>
      <c r="D409" s="248" t="s">
        <v>19</v>
      </c>
      <c r="E409" s="247" t="s">
        <v>6</v>
      </c>
      <c r="F409" s="250">
        <v>4.1999999999999997E-3</v>
      </c>
      <c r="G409" s="65">
        <f>VLOOKUP(D409,upahbahan,3,FALSE)</f>
        <v>145000</v>
      </c>
      <c r="H409" s="287">
        <f>F409*G409</f>
        <v>609</v>
      </c>
    </row>
    <row r="410" spans="3:9">
      <c r="C410" s="288" t="s">
        <v>1220</v>
      </c>
      <c r="D410" s="251"/>
      <c r="E410" s="251"/>
      <c r="F410" s="252"/>
      <c r="G410" s="253"/>
      <c r="H410" s="287">
        <f>SUM(H406:H409)</f>
        <v>29009</v>
      </c>
      <c r="I410" s="254"/>
    </row>
    <row r="411" spans="3:9">
      <c r="C411" s="284" t="s">
        <v>1221</v>
      </c>
      <c r="D411" s="248" t="s">
        <v>1222</v>
      </c>
      <c r="E411" s="249"/>
      <c r="F411" s="249"/>
      <c r="G411" s="249"/>
      <c r="H411" s="285"/>
    </row>
    <row r="412" spans="3:9">
      <c r="C412" s="286">
        <v>1</v>
      </c>
      <c r="D412" s="265" t="s">
        <v>359</v>
      </c>
      <c r="E412" s="266" t="s">
        <v>133</v>
      </c>
      <c r="F412" s="255">
        <v>2.4</v>
      </c>
      <c r="G412" s="65">
        <f>VLOOKUP(D412,upahbahan,3,FALSE)</f>
        <v>60000</v>
      </c>
      <c r="H412" s="287">
        <f>F412*G412</f>
        <v>144000</v>
      </c>
    </row>
    <row r="413" spans="3:9">
      <c r="C413" s="286">
        <v>2</v>
      </c>
      <c r="D413" s="248" t="s">
        <v>273</v>
      </c>
      <c r="E413" s="247" t="s">
        <v>66</v>
      </c>
      <c r="F413" s="255">
        <v>6</v>
      </c>
      <c r="G413" s="65">
        <f>VLOOKUP(D413,upahbahan,3,FALSE)</f>
        <v>30090</v>
      </c>
      <c r="H413" s="287">
        <f>F413*G413</f>
        <v>180540</v>
      </c>
    </row>
    <row r="414" spans="3:9">
      <c r="C414" s="288" t="s">
        <v>1226</v>
      </c>
      <c r="D414" s="251"/>
      <c r="E414" s="251"/>
      <c r="F414" s="251"/>
      <c r="G414" s="256"/>
      <c r="H414" s="287">
        <f>SUM(H412:H413)</f>
        <v>324540</v>
      </c>
    </row>
    <row r="415" spans="3:9">
      <c r="C415" s="289" t="s">
        <v>1227</v>
      </c>
      <c r="D415" s="248" t="s">
        <v>1228</v>
      </c>
      <c r="E415" s="249"/>
      <c r="F415" s="249"/>
      <c r="G415" s="249"/>
      <c r="H415" s="285"/>
    </row>
    <row r="416" spans="3:9">
      <c r="C416" s="288" t="s">
        <v>1229</v>
      </c>
      <c r="D416" s="251"/>
      <c r="E416" s="251"/>
      <c r="F416" s="251"/>
      <c r="G416" s="256"/>
      <c r="H416" s="290">
        <v>0</v>
      </c>
    </row>
    <row r="417" spans="3:9" ht="14.25">
      <c r="C417" s="291" t="s">
        <v>1230</v>
      </c>
      <c r="D417" s="257" t="s">
        <v>1231</v>
      </c>
      <c r="E417" s="258"/>
      <c r="F417" s="258"/>
      <c r="G417" s="259"/>
      <c r="H417" s="287">
        <f>H416+H414+H410</f>
        <v>353549</v>
      </c>
      <c r="I417" s="260"/>
    </row>
    <row r="418" spans="3:9" ht="14.25">
      <c r="C418" s="123" t="s">
        <v>1232</v>
      </c>
      <c r="D418" s="70" t="s">
        <v>1410</v>
      </c>
      <c r="E418" s="71"/>
      <c r="F418" s="72"/>
      <c r="G418" s="96">
        <f>$M$7</f>
        <v>0.1</v>
      </c>
      <c r="H418" s="125">
        <f>H417*G418</f>
        <v>35354.9</v>
      </c>
      <c r="I418" s="260"/>
    </row>
    <row r="419" spans="3:9" ht="15.75" thickBot="1">
      <c r="C419" s="292" t="s">
        <v>1233</v>
      </c>
      <c r="D419" s="293" t="s">
        <v>1234</v>
      </c>
      <c r="E419" s="294"/>
      <c r="F419" s="294"/>
      <c r="G419" s="295"/>
      <c r="H419" s="296">
        <f>SUM(H417:H418)</f>
        <v>388903.9</v>
      </c>
      <c r="I419" s="260"/>
    </row>
    <row r="420" spans="3:9" ht="15.75" thickTop="1">
      <c r="C420" s="261"/>
      <c r="D420" s="262"/>
      <c r="E420" s="262"/>
      <c r="F420" s="262"/>
      <c r="G420" s="262"/>
      <c r="H420" s="280"/>
    </row>
    <row r="421" spans="3:9" ht="15.75" thickBot="1">
      <c r="C421" s="277" t="s">
        <v>1477</v>
      </c>
      <c r="D421" s="297"/>
      <c r="E421" s="297"/>
      <c r="F421" s="297"/>
      <c r="G421" s="297"/>
      <c r="H421" s="297"/>
      <c r="I421" s="246">
        <f>ROUNDDOWN(H437,-2)</f>
        <v>392200</v>
      </c>
    </row>
    <row r="422" spans="3:9" ht="29.25" thickTop="1">
      <c r="C422" s="281" t="s">
        <v>1207</v>
      </c>
      <c r="D422" s="282" t="s">
        <v>1208</v>
      </c>
      <c r="E422" s="282" t="s">
        <v>1209</v>
      </c>
      <c r="F422" s="282" t="s">
        <v>1210</v>
      </c>
      <c r="G422" s="282" t="s">
        <v>1211</v>
      </c>
      <c r="H422" s="283" t="s">
        <v>1212</v>
      </c>
    </row>
    <row r="423" spans="3:9">
      <c r="C423" s="284" t="s">
        <v>1213</v>
      </c>
      <c r="D423" s="248" t="s">
        <v>1214</v>
      </c>
      <c r="E423" s="249"/>
      <c r="F423" s="249"/>
      <c r="G423" s="249"/>
      <c r="H423" s="285"/>
    </row>
    <row r="424" spans="3:9">
      <c r="C424" s="286">
        <v>1</v>
      </c>
      <c r="D424" s="248" t="s">
        <v>5</v>
      </c>
      <c r="E424" s="247" t="s">
        <v>6</v>
      </c>
      <c r="F424" s="250">
        <v>8.4000000000000005E-2</v>
      </c>
      <c r="G424" s="65">
        <f>VLOOKUP(D424,upahbahan,3,FALSE)</f>
        <v>100000</v>
      </c>
      <c r="H424" s="287">
        <f>F424*G424</f>
        <v>8400</v>
      </c>
    </row>
    <row r="425" spans="3:9">
      <c r="C425" s="286">
        <v>2</v>
      </c>
      <c r="D425" s="248" t="s">
        <v>8</v>
      </c>
      <c r="E425" s="247" t="s">
        <v>6</v>
      </c>
      <c r="F425" s="250">
        <v>0.125</v>
      </c>
      <c r="G425" s="65">
        <f>VLOOKUP(D425,upahbahan,3,FALSE)</f>
        <v>145000</v>
      </c>
      <c r="H425" s="287">
        <f>F425*G425</f>
        <v>18125</v>
      </c>
    </row>
    <row r="426" spans="3:9">
      <c r="C426" s="286">
        <v>3</v>
      </c>
      <c r="D426" s="248" t="s">
        <v>18</v>
      </c>
      <c r="E426" s="247" t="s">
        <v>6</v>
      </c>
      <c r="F426" s="250">
        <v>1.2500000000000001E-2</v>
      </c>
      <c r="G426" s="65">
        <f>VLOOKUP(D426,upahbahan,3,FALSE)</f>
        <v>150000</v>
      </c>
      <c r="H426" s="287">
        <f>F426*G426</f>
        <v>1875</v>
      </c>
    </row>
    <row r="427" spans="3:9">
      <c r="C427" s="286">
        <v>4</v>
      </c>
      <c r="D427" s="248" t="s">
        <v>19</v>
      </c>
      <c r="E427" s="247" t="s">
        <v>6</v>
      </c>
      <c r="F427" s="250">
        <v>4.1999999999999997E-3</v>
      </c>
      <c r="G427" s="65">
        <f>VLOOKUP(D427,upahbahan,3,FALSE)</f>
        <v>145000</v>
      </c>
      <c r="H427" s="287">
        <f>F427*G427</f>
        <v>609</v>
      </c>
    </row>
    <row r="428" spans="3:9">
      <c r="C428" s="288" t="s">
        <v>1220</v>
      </c>
      <c r="D428" s="251"/>
      <c r="E428" s="251"/>
      <c r="F428" s="252"/>
      <c r="G428" s="253"/>
      <c r="H428" s="287">
        <f>SUM(H424:H427)</f>
        <v>29009</v>
      </c>
      <c r="I428" s="254"/>
    </row>
    <row r="429" spans="3:9">
      <c r="C429" s="284" t="s">
        <v>1221</v>
      </c>
      <c r="D429" s="248" t="s">
        <v>1222</v>
      </c>
      <c r="E429" s="249"/>
      <c r="F429" s="249"/>
      <c r="G429" s="249"/>
      <c r="H429" s="285"/>
    </row>
    <row r="430" spans="3:9">
      <c r="C430" s="298">
        <v>1</v>
      </c>
      <c r="D430" s="265" t="s">
        <v>357</v>
      </c>
      <c r="E430" s="266" t="s">
        <v>133</v>
      </c>
      <c r="F430" s="270">
        <v>2.1</v>
      </c>
      <c r="G430" s="65">
        <f>VLOOKUP(D430,upahbahan,3,FALSE)</f>
        <v>70000</v>
      </c>
      <c r="H430" s="287">
        <f>F430*G430</f>
        <v>147000</v>
      </c>
      <c r="I430" s="271"/>
    </row>
    <row r="431" spans="3:9">
      <c r="C431" s="286">
        <v>2</v>
      </c>
      <c r="D431" s="248" t="s">
        <v>273</v>
      </c>
      <c r="E431" s="247" t="s">
        <v>66</v>
      </c>
      <c r="F431" s="263">
        <v>6</v>
      </c>
      <c r="G431" s="65">
        <f>VLOOKUP(D431,upahbahan,3,FALSE)</f>
        <v>30090</v>
      </c>
      <c r="H431" s="287">
        <f>F431*G431</f>
        <v>180540</v>
      </c>
    </row>
    <row r="432" spans="3:9">
      <c r="C432" s="288" t="s">
        <v>1226</v>
      </c>
      <c r="D432" s="251"/>
      <c r="E432" s="251"/>
      <c r="F432" s="251"/>
      <c r="G432" s="256"/>
      <c r="H432" s="287">
        <f>SUM(H430:H431)</f>
        <v>327540</v>
      </c>
    </row>
    <row r="433" spans="3:9">
      <c r="C433" s="289" t="s">
        <v>1227</v>
      </c>
      <c r="D433" s="248" t="s">
        <v>1228</v>
      </c>
      <c r="E433" s="249"/>
      <c r="F433" s="249"/>
      <c r="G433" s="249"/>
      <c r="H433" s="285"/>
    </row>
    <row r="434" spans="3:9">
      <c r="C434" s="288" t="s">
        <v>1229</v>
      </c>
      <c r="D434" s="251"/>
      <c r="E434" s="251"/>
      <c r="F434" s="251"/>
      <c r="G434" s="256"/>
      <c r="H434" s="290">
        <v>0</v>
      </c>
    </row>
    <row r="435" spans="3:9" ht="14.25">
      <c r="C435" s="291" t="s">
        <v>1230</v>
      </c>
      <c r="D435" s="257" t="s">
        <v>1231</v>
      </c>
      <c r="E435" s="258"/>
      <c r="F435" s="258"/>
      <c r="G435" s="259"/>
      <c r="H435" s="287">
        <f>H434+H432+H428</f>
        <v>356549</v>
      </c>
      <c r="I435" s="260"/>
    </row>
    <row r="436" spans="3:9" ht="14.25">
      <c r="C436" s="123" t="s">
        <v>1232</v>
      </c>
      <c r="D436" s="70" t="s">
        <v>1410</v>
      </c>
      <c r="E436" s="71"/>
      <c r="F436" s="72"/>
      <c r="G436" s="96">
        <f>$M$7</f>
        <v>0.1</v>
      </c>
      <c r="H436" s="125">
        <f>H435*G436</f>
        <v>35654.9</v>
      </c>
      <c r="I436" s="260"/>
    </row>
    <row r="437" spans="3:9" ht="15.75" thickBot="1">
      <c r="C437" s="292" t="s">
        <v>1233</v>
      </c>
      <c r="D437" s="293" t="s">
        <v>1234</v>
      </c>
      <c r="E437" s="294"/>
      <c r="F437" s="294"/>
      <c r="G437" s="295"/>
      <c r="H437" s="296">
        <f>SUM(H435:H436)</f>
        <v>392203.9</v>
      </c>
      <c r="I437" s="260"/>
    </row>
    <row r="438" spans="3:9" ht="15.75" thickTop="1">
      <c r="C438" s="261"/>
      <c r="D438" s="262"/>
      <c r="E438" s="262"/>
      <c r="F438" s="262"/>
      <c r="G438" s="262"/>
      <c r="H438" s="280"/>
    </row>
    <row r="439" spans="3:9" ht="15.75" thickBot="1">
      <c r="C439" s="277" t="s">
        <v>1478</v>
      </c>
      <c r="D439" s="279"/>
      <c r="E439" s="279"/>
      <c r="F439" s="279"/>
      <c r="G439" s="279"/>
      <c r="H439" s="279"/>
      <c r="I439" s="246">
        <f>ROUNDDOWN(H455,-2)</f>
        <v>406500</v>
      </c>
    </row>
    <row r="440" spans="3:9" ht="29.25" thickTop="1">
      <c r="C440" s="281" t="s">
        <v>1207</v>
      </c>
      <c r="D440" s="282" t="s">
        <v>1208</v>
      </c>
      <c r="E440" s="282" t="s">
        <v>1209</v>
      </c>
      <c r="F440" s="282" t="s">
        <v>1210</v>
      </c>
      <c r="G440" s="282" t="s">
        <v>1211</v>
      </c>
      <c r="H440" s="283" t="s">
        <v>1212</v>
      </c>
    </row>
    <row r="441" spans="3:9">
      <c r="C441" s="284" t="s">
        <v>1213</v>
      </c>
      <c r="D441" s="248" t="s">
        <v>1214</v>
      </c>
      <c r="E441" s="249"/>
      <c r="F441" s="249"/>
      <c r="G441" s="249"/>
      <c r="H441" s="285"/>
    </row>
    <row r="442" spans="3:9">
      <c r="C442" s="286">
        <v>1</v>
      </c>
      <c r="D442" s="248" t="s">
        <v>5</v>
      </c>
      <c r="E442" s="247" t="s">
        <v>6</v>
      </c>
      <c r="F442" s="250">
        <v>8.4000000000000005E-2</v>
      </c>
      <c r="G442" s="65">
        <f>VLOOKUP(D442,upahbahan,3,FALSE)</f>
        <v>100000</v>
      </c>
      <c r="H442" s="287">
        <f>F442*G442</f>
        <v>8400</v>
      </c>
    </row>
    <row r="443" spans="3:9">
      <c r="C443" s="286">
        <v>2</v>
      </c>
      <c r="D443" s="248" t="s">
        <v>8</v>
      </c>
      <c r="E443" s="247" t="s">
        <v>6</v>
      </c>
      <c r="F443" s="250">
        <v>0.125</v>
      </c>
      <c r="G443" s="65">
        <f>VLOOKUP(D443,upahbahan,3,FALSE)</f>
        <v>145000</v>
      </c>
      <c r="H443" s="287">
        <f>F443*G443</f>
        <v>18125</v>
      </c>
    </row>
    <row r="444" spans="3:9">
      <c r="C444" s="286">
        <v>3</v>
      </c>
      <c r="D444" s="248" t="s">
        <v>18</v>
      </c>
      <c r="E444" s="247" t="s">
        <v>6</v>
      </c>
      <c r="F444" s="250">
        <v>1.2500000000000001E-2</v>
      </c>
      <c r="G444" s="65">
        <f>VLOOKUP(D444,upahbahan,3,FALSE)</f>
        <v>150000</v>
      </c>
      <c r="H444" s="287">
        <f>F444*G444</f>
        <v>1875</v>
      </c>
    </row>
    <row r="445" spans="3:9">
      <c r="C445" s="286">
        <v>4</v>
      </c>
      <c r="D445" s="248" t="s">
        <v>19</v>
      </c>
      <c r="E445" s="247" t="s">
        <v>6</v>
      </c>
      <c r="F445" s="250">
        <v>4.1999999999999997E-3</v>
      </c>
      <c r="G445" s="65">
        <f>VLOOKUP(D445,upahbahan,3,FALSE)</f>
        <v>145000</v>
      </c>
      <c r="H445" s="287">
        <f>F445*G445</f>
        <v>609</v>
      </c>
    </row>
    <row r="446" spans="3:9">
      <c r="C446" s="288" t="s">
        <v>1220</v>
      </c>
      <c r="D446" s="251"/>
      <c r="E446" s="251"/>
      <c r="F446" s="252"/>
      <c r="G446" s="253"/>
      <c r="H446" s="287">
        <f>SUM(H442:H445)</f>
        <v>29009</v>
      </c>
      <c r="I446" s="254"/>
    </row>
    <row r="447" spans="3:9">
      <c r="C447" s="284" t="s">
        <v>1221</v>
      </c>
      <c r="D447" s="248" t="s">
        <v>1222</v>
      </c>
      <c r="E447" s="249"/>
      <c r="F447" s="249"/>
      <c r="G447" s="249"/>
      <c r="H447" s="285"/>
    </row>
    <row r="448" spans="3:9">
      <c r="C448" s="286">
        <v>1</v>
      </c>
      <c r="D448" s="248" t="s">
        <v>358</v>
      </c>
      <c r="E448" s="266" t="s">
        <v>133</v>
      </c>
      <c r="F448" s="263">
        <v>2</v>
      </c>
      <c r="G448" s="65">
        <f>VLOOKUP(D448,upahbahan,3,FALSE)</f>
        <v>80000</v>
      </c>
      <c r="H448" s="287">
        <f>F448*G448</f>
        <v>160000</v>
      </c>
    </row>
    <row r="449" spans="3:9">
      <c r="C449" s="286">
        <v>2</v>
      </c>
      <c r="D449" s="248" t="s">
        <v>273</v>
      </c>
      <c r="E449" s="247" t="s">
        <v>66</v>
      </c>
      <c r="F449" s="263">
        <v>6</v>
      </c>
      <c r="G449" s="65">
        <f>VLOOKUP(D449,upahbahan,3,FALSE)</f>
        <v>30090</v>
      </c>
      <c r="H449" s="287">
        <f>F449*G449</f>
        <v>180540</v>
      </c>
    </row>
    <row r="450" spans="3:9">
      <c r="C450" s="288" t="s">
        <v>1226</v>
      </c>
      <c r="D450" s="251"/>
      <c r="E450" s="251"/>
      <c r="F450" s="251"/>
      <c r="G450" s="256"/>
      <c r="H450" s="287">
        <f>SUM(H448:H449)</f>
        <v>340540</v>
      </c>
    </row>
    <row r="451" spans="3:9">
      <c r="C451" s="289" t="s">
        <v>1227</v>
      </c>
      <c r="D451" s="248" t="s">
        <v>1228</v>
      </c>
      <c r="E451" s="249"/>
      <c r="F451" s="249"/>
      <c r="G451" s="249"/>
      <c r="H451" s="285"/>
    </row>
    <row r="452" spans="3:9">
      <c r="C452" s="288" t="s">
        <v>1229</v>
      </c>
      <c r="D452" s="251"/>
      <c r="E452" s="251"/>
      <c r="F452" s="251"/>
      <c r="G452" s="256"/>
      <c r="H452" s="290">
        <v>0</v>
      </c>
    </row>
    <row r="453" spans="3:9" ht="14.25">
      <c r="C453" s="291" t="s">
        <v>1230</v>
      </c>
      <c r="D453" s="257" t="s">
        <v>1231</v>
      </c>
      <c r="E453" s="258"/>
      <c r="F453" s="258"/>
      <c r="G453" s="259"/>
      <c r="H453" s="287">
        <f>H452+H450+H446</f>
        <v>369549</v>
      </c>
      <c r="I453" s="260"/>
    </row>
    <row r="454" spans="3:9" ht="14.25">
      <c r="C454" s="123" t="s">
        <v>1232</v>
      </c>
      <c r="D454" s="70" t="s">
        <v>1410</v>
      </c>
      <c r="E454" s="71"/>
      <c r="F454" s="72"/>
      <c r="G454" s="96">
        <f>$M$7</f>
        <v>0.1</v>
      </c>
      <c r="H454" s="125">
        <f>H453*G454</f>
        <v>36954.9</v>
      </c>
      <c r="I454" s="260"/>
    </row>
    <row r="455" spans="3:9" ht="15.75" thickBot="1">
      <c r="C455" s="292" t="s">
        <v>1233</v>
      </c>
      <c r="D455" s="293" t="s">
        <v>1234</v>
      </c>
      <c r="E455" s="294"/>
      <c r="F455" s="294"/>
      <c r="G455" s="295"/>
      <c r="H455" s="296">
        <f>SUM(H453:H454)</f>
        <v>406503.9</v>
      </c>
      <c r="I455" s="260"/>
    </row>
    <row r="456" spans="3:9" ht="15.75" thickTop="1">
      <c r="C456" s="267"/>
      <c r="D456" s="268"/>
      <c r="E456" s="268"/>
      <c r="F456" s="268"/>
      <c r="G456" s="268"/>
      <c r="H456" s="269"/>
      <c r="I456" s="260"/>
    </row>
    <row r="457" spans="3:9" ht="15.75" thickBot="1">
      <c r="C457" s="277" t="s">
        <v>1479</v>
      </c>
      <c r="D457" s="279"/>
      <c r="E457" s="279"/>
      <c r="F457" s="279"/>
      <c r="G457" s="279"/>
      <c r="H457" s="279"/>
      <c r="I457" s="246">
        <f>ROUNDDOWN(H473,-2)</f>
        <v>309100</v>
      </c>
    </row>
    <row r="458" spans="3:9" ht="29.25" thickTop="1">
      <c r="C458" s="281" t="s">
        <v>1207</v>
      </c>
      <c r="D458" s="282" t="s">
        <v>1208</v>
      </c>
      <c r="E458" s="282" t="s">
        <v>1209</v>
      </c>
      <c r="F458" s="282" t="s">
        <v>1210</v>
      </c>
      <c r="G458" s="282" t="s">
        <v>1211</v>
      </c>
      <c r="H458" s="283" t="s">
        <v>1212</v>
      </c>
    </row>
    <row r="459" spans="3:9">
      <c r="C459" s="284" t="s">
        <v>1213</v>
      </c>
      <c r="D459" s="248" t="s">
        <v>1214</v>
      </c>
      <c r="E459" s="249"/>
      <c r="F459" s="249"/>
      <c r="G459" s="249"/>
      <c r="H459" s="285"/>
    </row>
    <row r="460" spans="3:9">
      <c r="C460" s="286">
        <v>1</v>
      </c>
      <c r="D460" s="248" t="s">
        <v>5</v>
      </c>
      <c r="E460" s="247" t="s">
        <v>6</v>
      </c>
      <c r="F460" s="250">
        <v>8.4000000000000005E-2</v>
      </c>
      <c r="G460" s="65">
        <f>VLOOKUP(D460,upahbahan,3,FALSE)</f>
        <v>100000</v>
      </c>
      <c r="H460" s="287">
        <f>F460*G460</f>
        <v>8400</v>
      </c>
    </row>
    <row r="461" spans="3:9">
      <c r="C461" s="286">
        <v>2</v>
      </c>
      <c r="D461" s="248" t="s">
        <v>8</v>
      </c>
      <c r="E461" s="247" t="s">
        <v>6</v>
      </c>
      <c r="F461" s="250">
        <v>0.125</v>
      </c>
      <c r="G461" s="65">
        <f>VLOOKUP(D461,upahbahan,3,FALSE)</f>
        <v>145000</v>
      </c>
      <c r="H461" s="287">
        <f>F461*G461</f>
        <v>18125</v>
      </c>
    </row>
    <row r="462" spans="3:9">
      <c r="C462" s="286">
        <v>3</v>
      </c>
      <c r="D462" s="248" t="s">
        <v>18</v>
      </c>
      <c r="E462" s="247" t="s">
        <v>6</v>
      </c>
      <c r="F462" s="250">
        <v>1.2500000000000001E-2</v>
      </c>
      <c r="G462" s="65">
        <f>VLOOKUP(D462,upahbahan,3,FALSE)</f>
        <v>150000</v>
      </c>
      <c r="H462" s="287">
        <f>F462*G462</f>
        <v>1875</v>
      </c>
    </row>
    <row r="463" spans="3:9">
      <c r="C463" s="286">
        <v>4</v>
      </c>
      <c r="D463" s="248" t="s">
        <v>19</v>
      </c>
      <c r="E463" s="247" t="s">
        <v>6</v>
      </c>
      <c r="F463" s="250">
        <v>4.1999999999999997E-3</v>
      </c>
      <c r="G463" s="65">
        <f>VLOOKUP(D463,upahbahan,3,FALSE)</f>
        <v>145000</v>
      </c>
      <c r="H463" s="287">
        <f>F463*G463</f>
        <v>609</v>
      </c>
    </row>
    <row r="464" spans="3:9">
      <c r="C464" s="288" t="s">
        <v>1220</v>
      </c>
      <c r="D464" s="251"/>
      <c r="E464" s="251"/>
      <c r="F464" s="252"/>
      <c r="G464" s="253"/>
      <c r="H464" s="287">
        <f>SUM(H460:H463)</f>
        <v>29009</v>
      </c>
      <c r="I464" s="254"/>
    </row>
    <row r="465" spans="3:9">
      <c r="C465" s="284" t="s">
        <v>1221</v>
      </c>
      <c r="D465" s="248" t="s">
        <v>1222</v>
      </c>
      <c r="E465" s="249"/>
      <c r="F465" s="249"/>
      <c r="G465" s="249"/>
      <c r="H465" s="285"/>
    </row>
    <row r="466" spans="3:9">
      <c r="C466" s="286">
        <v>1</v>
      </c>
      <c r="D466" s="248" t="s">
        <v>352</v>
      </c>
      <c r="E466" s="266" t="s">
        <v>133</v>
      </c>
      <c r="F466" s="263">
        <v>1.1000000000000001</v>
      </c>
      <c r="G466" s="65">
        <f>VLOOKUP(D466,upahbahan,3,FALSE)</f>
        <v>65000</v>
      </c>
      <c r="H466" s="287">
        <f>F466*G466</f>
        <v>71500</v>
      </c>
    </row>
    <row r="467" spans="3:9">
      <c r="C467" s="286">
        <v>2</v>
      </c>
      <c r="D467" s="248" t="s">
        <v>273</v>
      </c>
      <c r="E467" s="247" t="s">
        <v>66</v>
      </c>
      <c r="F467" s="263">
        <v>6</v>
      </c>
      <c r="G467" s="65">
        <f>VLOOKUP(D467,upahbahan,3,FALSE)</f>
        <v>30090</v>
      </c>
      <c r="H467" s="287">
        <f>F467*G467</f>
        <v>180540</v>
      </c>
    </row>
    <row r="468" spans="3:9">
      <c r="C468" s="288" t="s">
        <v>1226</v>
      </c>
      <c r="D468" s="251"/>
      <c r="E468" s="251"/>
      <c r="F468" s="251"/>
      <c r="G468" s="256"/>
      <c r="H468" s="287">
        <f>SUM(H466:H467)</f>
        <v>252040</v>
      </c>
    </row>
    <row r="469" spans="3:9">
      <c r="C469" s="289" t="s">
        <v>1227</v>
      </c>
      <c r="D469" s="248" t="s">
        <v>1228</v>
      </c>
      <c r="E469" s="249"/>
      <c r="F469" s="249"/>
      <c r="G469" s="249"/>
      <c r="H469" s="285"/>
    </row>
    <row r="470" spans="3:9">
      <c r="C470" s="288" t="s">
        <v>1229</v>
      </c>
      <c r="D470" s="251"/>
      <c r="E470" s="251"/>
      <c r="F470" s="251"/>
      <c r="G470" s="256"/>
      <c r="H470" s="290">
        <v>0</v>
      </c>
    </row>
    <row r="471" spans="3:9" ht="14.25">
      <c r="C471" s="291" t="s">
        <v>1230</v>
      </c>
      <c r="D471" s="257" t="s">
        <v>1231</v>
      </c>
      <c r="E471" s="258"/>
      <c r="F471" s="258"/>
      <c r="G471" s="259"/>
      <c r="H471" s="287">
        <f>H470+H468+H464</f>
        <v>281049</v>
      </c>
      <c r="I471" s="260"/>
    </row>
    <row r="472" spans="3:9" ht="14.25">
      <c r="C472" s="123" t="s">
        <v>1232</v>
      </c>
      <c r="D472" s="70" t="s">
        <v>1410</v>
      </c>
      <c r="E472" s="71"/>
      <c r="F472" s="72"/>
      <c r="G472" s="96">
        <f>$M$7</f>
        <v>0.1</v>
      </c>
      <c r="H472" s="125">
        <f>H471*G472</f>
        <v>28104.9</v>
      </c>
      <c r="I472" s="260"/>
    </row>
    <row r="473" spans="3:9" ht="15.75" thickBot="1">
      <c r="C473" s="292" t="s">
        <v>1233</v>
      </c>
      <c r="D473" s="293" t="s">
        <v>1234</v>
      </c>
      <c r="E473" s="294"/>
      <c r="F473" s="294"/>
      <c r="G473" s="295"/>
      <c r="H473" s="296">
        <f>SUM(H471:H472)</f>
        <v>309153.90000000002</v>
      </c>
      <c r="I473" s="260"/>
    </row>
    <row r="474" spans="3:9" ht="15.75" thickTop="1">
      <c r="C474" s="267"/>
      <c r="D474" s="268"/>
      <c r="E474" s="268"/>
      <c r="F474" s="268"/>
      <c r="G474" s="268"/>
      <c r="H474" s="269"/>
      <c r="I474" s="260"/>
    </row>
    <row r="475" spans="3:9" ht="15.75" thickBot="1">
      <c r="C475" s="277" t="s">
        <v>1480</v>
      </c>
      <c r="D475" s="279"/>
      <c r="E475" s="279"/>
      <c r="F475" s="279"/>
      <c r="G475" s="279"/>
      <c r="H475" s="279"/>
      <c r="I475" s="246">
        <f>ROUNDDOWN(H491,-2)</f>
        <v>322900</v>
      </c>
    </row>
    <row r="476" spans="3:9" ht="29.25" thickTop="1">
      <c r="C476" s="281" t="s">
        <v>1207</v>
      </c>
      <c r="D476" s="282" t="s">
        <v>1208</v>
      </c>
      <c r="E476" s="282" t="s">
        <v>1209</v>
      </c>
      <c r="F476" s="282" t="s">
        <v>1210</v>
      </c>
      <c r="G476" s="282" t="s">
        <v>1211</v>
      </c>
      <c r="H476" s="283" t="s">
        <v>1212</v>
      </c>
    </row>
    <row r="477" spans="3:9">
      <c r="C477" s="284" t="s">
        <v>1213</v>
      </c>
      <c r="D477" s="248" t="s">
        <v>1214</v>
      </c>
      <c r="E477" s="249"/>
      <c r="F477" s="249"/>
      <c r="G477" s="249"/>
      <c r="H477" s="285"/>
    </row>
    <row r="478" spans="3:9">
      <c r="C478" s="286">
        <v>1</v>
      </c>
      <c r="D478" s="248" t="s">
        <v>5</v>
      </c>
      <c r="E478" s="247" t="s">
        <v>6</v>
      </c>
      <c r="F478" s="250">
        <v>8.4000000000000005E-2</v>
      </c>
      <c r="G478" s="65">
        <f>VLOOKUP(D478,upahbahan,3,FALSE)</f>
        <v>100000</v>
      </c>
      <c r="H478" s="287">
        <f>F478*G478</f>
        <v>8400</v>
      </c>
    </row>
    <row r="479" spans="3:9">
      <c r="C479" s="286">
        <v>2</v>
      </c>
      <c r="D479" s="248" t="s">
        <v>8</v>
      </c>
      <c r="E479" s="247" t="s">
        <v>6</v>
      </c>
      <c r="F479" s="250">
        <v>0.125</v>
      </c>
      <c r="G479" s="65">
        <f>VLOOKUP(D479,upahbahan,3,FALSE)</f>
        <v>145000</v>
      </c>
      <c r="H479" s="287">
        <f>F479*G479</f>
        <v>18125</v>
      </c>
    </row>
    <row r="480" spans="3:9">
      <c r="C480" s="286">
        <v>3</v>
      </c>
      <c r="D480" s="248" t="s">
        <v>18</v>
      </c>
      <c r="E480" s="247" t="s">
        <v>6</v>
      </c>
      <c r="F480" s="250">
        <v>1.2500000000000001E-2</v>
      </c>
      <c r="G480" s="65">
        <f>VLOOKUP(D480,upahbahan,3,FALSE)</f>
        <v>150000</v>
      </c>
      <c r="H480" s="287">
        <f>F480*G480</f>
        <v>1875</v>
      </c>
    </row>
    <row r="481" spans="3:9">
      <c r="C481" s="286">
        <v>4</v>
      </c>
      <c r="D481" s="248" t="s">
        <v>19</v>
      </c>
      <c r="E481" s="247" t="s">
        <v>6</v>
      </c>
      <c r="F481" s="250">
        <v>4.1999999999999997E-3</v>
      </c>
      <c r="G481" s="65">
        <f>VLOOKUP(D481,upahbahan,3,FALSE)</f>
        <v>145000</v>
      </c>
      <c r="H481" s="287">
        <f>F481*G481</f>
        <v>609</v>
      </c>
    </row>
    <row r="482" spans="3:9">
      <c r="C482" s="288" t="s">
        <v>1220</v>
      </c>
      <c r="D482" s="251"/>
      <c r="E482" s="251"/>
      <c r="F482" s="252"/>
      <c r="G482" s="253"/>
      <c r="H482" s="287">
        <f>SUM(H478:H481)</f>
        <v>29009</v>
      </c>
      <c r="I482" s="254"/>
    </row>
    <row r="483" spans="3:9">
      <c r="C483" s="284" t="s">
        <v>1221</v>
      </c>
      <c r="D483" s="248" t="s">
        <v>1222</v>
      </c>
      <c r="E483" s="249"/>
      <c r="F483" s="249"/>
      <c r="G483" s="249"/>
      <c r="H483" s="285"/>
    </row>
    <row r="484" spans="3:9">
      <c r="C484" s="286">
        <v>1</v>
      </c>
      <c r="D484" s="248" t="s">
        <v>350</v>
      </c>
      <c r="E484" s="266" t="s">
        <v>133</v>
      </c>
      <c r="F484" s="263">
        <v>1.2</v>
      </c>
      <c r="G484" s="65">
        <f>VLOOKUP(D484,upahbahan,3,FALSE)</f>
        <v>70000</v>
      </c>
      <c r="H484" s="287">
        <f>F484*G484</f>
        <v>84000</v>
      </c>
    </row>
    <row r="485" spans="3:9">
      <c r="C485" s="286">
        <v>2</v>
      </c>
      <c r="D485" s="248" t="s">
        <v>273</v>
      </c>
      <c r="E485" s="247" t="s">
        <v>66</v>
      </c>
      <c r="F485" s="263">
        <v>6</v>
      </c>
      <c r="G485" s="65">
        <f>VLOOKUP(D485,upahbahan,3,FALSE)</f>
        <v>30090</v>
      </c>
      <c r="H485" s="287">
        <f>F485*G485</f>
        <v>180540</v>
      </c>
    </row>
    <row r="486" spans="3:9">
      <c r="C486" s="288" t="s">
        <v>1226</v>
      </c>
      <c r="D486" s="251"/>
      <c r="E486" s="251"/>
      <c r="F486" s="251"/>
      <c r="G486" s="256"/>
      <c r="H486" s="287">
        <f>SUM(H484:H485)</f>
        <v>264540</v>
      </c>
    </row>
    <row r="487" spans="3:9">
      <c r="C487" s="289" t="s">
        <v>1227</v>
      </c>
      <c r="D487" s="248" t="s">
        <v>1228</v>
      </c>
      <c r="E487" s="249"/>
      <c r="F487" s="249"/>
      <c r="G487" s="249"/>
      <c r="H487" s="285"/>
    </row>
    <row r="488" spans="3:9">
      <c r="C488" s="288" t="s">
        <v>1229</v>
      </c>
      <c r="D488" s="251"/>
      <c r="E488" s="251"/>
      <c r="F488" s="251"/>
      <c r="G488" s="256"/>
      <c r="H488" s="290">
        <v>0</v>
      </c>
    </row>
    <row r="489" spans="3:9" ht="14.25">
      <c r="C489" s="291" t="s">
        <v>1230</v>
      </c>
      <c r="D489" s="257" t="s">
        <v>1231</v>
      </c>
      <c r="E489" s="258"/>
      <c r="F489" s="258"/>
      <c r="G489" s="259"/>
      <c r="H489" s="287">
        <f>H488+H486+H482</f>
        <v>293549</v>
      </c>
      <c r="I489" s="260"/>
    </row>
    <row r="490" spans="3:9" ht="14.25">
      <c r="C490" s="123" t="s">
        <v>1232</v>
      </c>
      <c r="D490" s="70" t="s">
        <v>1410</v>
      </c>
      <c r="E490" s="71"/>
      <c r="F490" s="72"/>
      <c r="G490" s="96">
        <f>$M$7</f>
        <v>0.1</v>
      </c>
      <c r="H490" s="125">
        <f>H489*G490</f>
        <v>29354.9</v>
      </c>
      <c r="I490" s="260"/>
    </row>
    <row r="491" spans="3:9" ht="15.75" thickBot="1">
      <c r="C491" s="292" t="s">
        <v>1233</v>
      </c>
      <c r="D491" s="293" t="s">
        <v>1234</v>
      </c>
      <c r="E491" s="294"/>
      <c r="F491" s="294"/>
      <c r="G491" s="295"/>
      <c r="H491" s="296">
        <f>SUM(H489:H490)</f>
        <v>322903.90000000002</v>
      </c>
      <c r="I491" s="260"/>
    </row>
    <row r="492" spans="3:9" ht="15.75" thickTop="1">
      <c r="C492" s="267"/>
      <c r="D492" s="268"/>
      <c r="E492" s="268"/>
      <c r="F492" s="268"/>
      <c r="G492" s="268"/>
      <c r="H492" s="269"/>
      <c r="I492" s="260"/>
    </row>
    <row r="493" spans="3:9" ht="15.75" thickBot="1">
      <c r="C493" s="277" t="s">
        <v>1481</v>
      </c>
      <c r="D493" s="279"/>
      <c r="E493" s="279"/>
      <c r="F493" s="279"/>
      <c r="G493" s="279"/>
      <c r="H493" s="279"/>
      <c r="I493" s="246">
        <f>ROUNDDOWN(H509,-2)</f>
        <v>329500</v>
      </c>
    </row>
    <row r="494" spans="3:9" ht="29.25" thickTop="1">
      <c r="C494" s="281" t="s">
        <v>1207</v>
      </c>
      <c r="D494" s="282" t="s">
        <v>1208</v>
      </c>
      <c r="E494" s="282" t="s">
        <v>1209</v>
      </c>
      <c r="F494" s="282" t="s">
        <v>1210</v>
      </c>
      <c r="G494" s="282" t="s">
        <v>1211</v>
      </c>
      <c r="H494" s="283" t="s">
        <v>1212</v>
      </c>
    </row>
    <row r="495" spans="3:9">
      <c r="C495" s="284" t="s">
        <v>1213</v>
      </c>
      <c r="D495" s="248" t="s">
        <v>1214</v>
      </c>
      <c r="E495" s="249"/>
      <c r="F495" s="249"/>
      <c r="G495" s="249"/>
      <c r="H495" s="285"/>
    </row>
    <row r="496" spans="3:9">
      <c r="C496" s="286">
        <v>1</v>
      </c>
      <c r="D496" s="248" t="s">
        <v>5</v>
      </c>
      <c r="E496" s="247" t="s">
        <v>6</v>
      </c>
      <c r="F496" s="250">
        <v>8.4000000000000005E-2</v>
      </c>
      <c r="G496" s="65">
        <f>VLOOKUP(D496,upahbahan,3,FALSE)</f>
        <v>100000</v>
      </c>
      <c r="H496" s="287">
        <f>F496*G496</f>
        <v>8400</v>
      </c>
    </row>
    <row r="497" spans="3:9">
      <c r="C497" s="286">
        <v>2</v>
      </c>
      <c r="D497" s="248" t="s">
        <v>8</v>
      </c>
      <c r="E497" s="247" t="s">
        <v>6</v>
      </c>
      <c r="F497" s="250">
        <v>0.125</v>
      </c>
      <c r="G497" s="65">
        <f>VLOOKUP(D497,upahbahan,3,FALSE)</f>
        <v>145000</v>
      </c>
      <c r="H497" s="287">
        <f>F497*G497</f>
        <v>18125</v>
      </c>
    </row>
    <row r="498" spans="3:9">
      <c r="C498" s="286">
        <v>3</v>
      </c>
      <c r="D498" s="248" t="s">
        <v>18</v>
      </c>
      <c r="E498" s="247" t="s">
        <v>6</v>
      </c>
      <c r="F498" s="250">
        <v>1.2500000000000001E-2</v>
      </c>
      <c r="G498" s="65">
        <f>VLOOKUP(D498,upahbahan,3,FALSE)</f>
        <v>150000</v>
      </c>
      <c r="H498" s="287">
        <f>F498*G498</f>
        <v>1875</v>
      </c>
    </row>
    <row r="499" spans="3:9">
      <c r="C499" s="286">
        <v>4</v>
      </c>
      <c r="D499" s="248" t="s">
        <v>19</v>
      </c>
      <c r="E499" s="247" t="s">
        <v>6</v>
      </c>
      <c r="F499" s="250">
        <v>4.1999999999999997E-3</v>
      </c>
      <c r="G499" s="65">
        <f>VLOOKUP(D499,upahbahan,3,FALSE)</f>
        <v>145000</v>
      </c>
      <c r="H499" s="287">
        <f>F499*G499</f>
        <v>609</v>
      </c>
    </row>
    <row r="500" spans="3:9">
      <c r="C500" s="288" t="s">
        <v>1220</v>
      </c>
      <c r="D500" s="251"/>
      <c r="E500" s="251"/>
      <c r="F500" s="252"/>
      <c r="G500" s="253"/>
      <c r="H500" s="287">
        <f>SUM(H496:H499)</f>
        <v>29009</v>
      </c>
      <c r="I500" s="254"/>
    </row>
    <row r="501" spans="3:9">
      <c r="C501" s="284" t="s">
        <v>1221</v>
      </c>
      <c r="D501" s="248" t="s">
        <v>1222</v>
      </c>
      <c r="E501" s="249"/>
      <c r="F501" s="249"/>
      <c r="G501" s="249"/>
      <c r="H501" s="285"/>
    </row>
    <row r="502" spans="3:9">
      <c r="C502" s="286">
        <v>1</v>
      </c>
      <c r="D502" s="248" t="s">
        <v>351</v>
      </c>
      <c r="E502" s="266" t="s">
        <v>133</v>
      </c>
      <c r="F502" s="263">
        <v>1.2</v>
      </c>
      <c r="G502" s="65">
        <f>VLOOKUP(D502,upahbahan,3,FALSE)</f>
        <v>75000</v>
      </c>
      <c r="H502" s="287">
        <f>F502*G502</f>
        <v>90000</v>
      </c>
    </row>
    <row r="503" spans="3:9">
      <c r="C503" s="286">
        <v>2</v>
      </c>
      <c r="D503" s="248" t="s">
        <v>273</v>
      </c>
      <c r="E503" s="247" t="s">
        <v>66</v>
      </c>
      <c r="F503" s="263">
        <v>6</v>
      </c>
      <c r="G503" s="65">
        <f>VLOOKUP(D503,upahbahan,3,FALSE)</f>
        <v>30090</v>
      </c>
      <c r="H503" s="287">
        <f>F503*G503</f>
        <v>180540</v>
      </c>
    </row>
    <row r="504" spans="3:9">
      <c r="C504" s="288" t="s">
        <v>1226</v>
      </c>
      <c r="D504" s="251"/>
      <c r="E504" s="251"/>
      <c r="F504" s="251"/>
      <c r="G504" s="256"/>
      <c r="H504" s="287">
        <f>SUM(H502:H503)</f>
        <v>270540</v>
      </c>
    </row>
    <row r="505" spans="3:9">
      <c r="C505" s="289" t="s">
        <v>1227</v>
      </c>
      <c r="D505" s="248" t="s">
        <v>1228</v>
      </c>
      <c r="E505" s="249"/>
      <c r="F505" s="249"/>
      <c r="G505" s="249"/>
      <c r="H505" s="285"/>
    </row>
    <row r="506" spans="3:9">
      <c r="C506" s="288" t="s">
        <v>1229</v>
      </c>
      <c r="D506" s="251"/>
      <c r="E506" s="251"/>
      <c r="F506" s="251"/>
      <c r="G506" s="256"/>
      <c r="H506" s="290">
        <v>0</v>
      </c>
    </row>
    <row r="507" spans="3:9" ht="14.25">
      <c r="C507" s="291" t="s">
        <v>1230</v>
      </c>
      <c r="D507" s="257" t="s">
        <v>1231</v>
      </c>
      <c r="E507" s="258"/>
      <c r="F507" s="258"/>
      <c r="G507" s="259"/>
      <c r="H507" s="287">
        <f>H506+H504+H500</f>
        <v>299549</v>
      </c>
      <c r="I507" s="260"/>
    </row>
    <row r="508" spans="3:9" ht="14.25">
      <c r="C508" s="123" t="s">
        <v>1232</v>
      </c>
      <c r="D508" s="70" t="s">
        <v>1410</v>
      </c>
      <c r="E508" s="71"/>
      <c r="F508" s="72"/>
      <c r="G508" s="96">
        <f>$M$7</f>
        <v>0.1</v>
      </c>
      <c r="H508" s="125">
        <f>H507*G508</f>
        <v>29954.9</v>
      </c>
      <c r="I508" s="260"/>
    </row>
    <row r="509" spans="3:9" ht="15.75" thickBot="1">
      <c r="C509" s="292" t="s">
        <v>1233</v>
      </c>
      <c r="D509" s="293" t="s">
        <v>1234</v>
      </c>
      <c r="E509" s="294"/>
      <c r="F509" s="294"/>
      <c r="G509" s="295"/>
      <c r="H509" s="296">
        <f>SUM(H507:H508)</f>
        <v>329503.90000000002</v>
      </c>
      <c r="I509" s="260"/>
    </row>
    <row r="510" spans="3:9" ht="15.75" thickTop="1">
      <c r="C510" s="267"/>
      <c r="D510" s="268"/>
      <c r="E510" s="268"/>
      <c r="F510" s="268"/>
      <c r="G510" s="268"/>
      <c r="H510" s="269"/>
      <c r="I510" s="260"/>
    </row>
    <row r="511" spans="3:9" ht="15.75" thickBot="1">
      <c r="C511" s="277" t="s">
        <v>1482</v>
      </c>
      <c r="D511" s="279"/>
      <c r="E511" s="279"/>
      <c r="F511" s="279"/>
      <c r="G511" s="279"/>
      <c r="H511" s="279"/>
      <c r="I511" s="246">
        <f>ROUNDDOWN(H527,-2)</f>
        <v>321400</v>
      </c>
    </row>
    <row r="512" spans="3:9" ht="29.25" thickTop="1">
      <c r="C512" s="281" t="s">
        <v>1207</v>
      </c>
      <c r="D512" s="282" t="s">
        <v>1208</v>
      </c>
      <c r="E512" s="282" t="s">
        <v>1209</v>
      </c>
      <c r="F512" s="282" t="s">
        <v>1210</v>
      </c>
      <c r="G512" s="282" t="s">
        <v>1211</v>
      </c>
      <c r="H512" s="283" t="s">
        <v>1212</v>
      </c>
    </row>
    <row r="513" spans="3:9">
      <c r="C513" s="284" t="s">
        <v>1213</v>
      </c>
      <c r="D513" s="248" t="s">
        <v>1214</v>
      </c>
      <c r="E513" s="249"/>
      <c r="F513" s="249"/>
      <c r="G513" s="249"/>
      <c r="H513" s="285"/>
    </row>
    <row r="514" spans="3:9">
      <c r="C514" s="286">
        <v>1</v>
      </c>
      <c r="D514" s="248" t="s">
        <v>5</v>
      </c>
      <c r="E514" s="247" t="s">
        <v>6</v>
      </c>
      <c r="F514" s="250">
        <v>0.1</v>
      </c>
      <c r="G514" s="65">
        <f>VLOOKUP(D514,upahbahan,3,FALSE)</f>
        <v>100000</v>
      </c>
      <c r="H514" s="287">
        <f>F514*G514</f>
        <v>10000</v>
      </c>
    </row>
    <row r="515" spans="3:9">
      <c r="C515" s="286">
        <v>2</v>
      </c>
      <c r="D515" s="248" t="s">
        <v>8</v>
      </c>
      <c r="E515" s="247" t="s">
        <v>6</v>
      </c>
      <c r="F515" s="250">
        <v>0.15</v>
      </c>
      <c r="G515" s="65">
        <f>VLOOKUP(D515,upahbahan,3,FALSE)</f>
        <v>145000</v>
      </c>
      <c r="H515" s="287">
        <f>F515*G515</f>
        <v>21750</v>
      </c>
    </row>
    <row r="516" spans="3:9">
      <c r="C516" s="286">
        <v>3</v>
      </c>
      <c r="D516" s="248" t="s">
        <v>18</v>
      </c>
      <c r="E516" s="247" t="s">
        <v>6</v>
      </c>
      <c r="F516" s="250">
        <v>1.4999999999999999E-2</v>
      </c>
      <c r="G516" s="65">
        <f>VLOOKUP(D516,upahbahan,3,FALSE)</f>
        <v>150000</v>
      </c>
      <c r="H516" s="287">
        <f>F516*G516</f>
        <v>2250</v>
      </c>
    </row>
    <row r="517" spans="3:9">
      <c r="C517" s="286">
        <v>4</v>
      </c>
      <c r="D517" s="248" t="s">
        <v>19</v>
      </c>
      <c r="E517" s="247" t="s">
        <v>6</v>
      </c>
      <c r="F517" s="250">
        <v>5.0000000000000001E-3</v>
      </c>
      <c r="G517" s="65">
        <f>VLOOKUP(D517,upahbahan,3,FALSE)</f>
        <v>145000</v>
      </c>
      <c r="H517" s="287">
        <f>F517*G517</f>
        <v>725</v>
      </c>
    </row>
    <row r="518" spans="3:9">
      <c r="C518" s="288" t="s">
        <v>1220</v>
      </c>
      <c r="D518" s="251"/>
      <c r="E518" s="251"/>
      <c r="F518" s="252"/>
      <c r="G518" s="253"/>
      <c r="H518" s="287">
        <f>SUM(H514:H517)</f>
        <v>34725</v>
      </c>
      <c r="I518" s="254"/>
    </row>
    <row r="519" spans="3:9">
      <c r="C519" s="284" t="s">
        <v>1221</v>
      </c>
      <c r="D519" s="248" t="s">
        <v>1222</v>
      </c>
      <c r="E519" s="249"/>
      <c r="F519" s="249"/>
      <c r="G519" s="249"/>
      <c r="H519" s="285"/>
    </row>
    <row r="520" spans="3:9">
      <c r="C520" s="286">
        <v>1</v>
      </c>
      <c r="D520" s="248" t="s">
        <v>355</v>
      </c>
      <c r="E520" s="266" t="s">
        <v>133</v>
      </c>
      <c r="F520" s="263">
        <v>1.1000000000000001</v>
      </c>
      <c r="G520" s="65">
        <f>VLOOKUP(D520,upahbahan,3,FALSE)</f>
        <v>70000</v>
      </c>
      <c r="H520" s="287">
        <f>F520*G520</f>
        <v>77000</v>
      </c>
    </row>
    <row r="521" spans="3:9">
      <c r="C521" s="286">
        <v>2</v>
      </c>
      <c r="D521" s="248" t="s">
        <v>273</v>
      </c>
      <c r="E521" s="247" t="s">
        <v>66</v>
      </c>
      <c r="F521" s="263">
        <v>6</v>
      </c>
      <c r="G521" s="65">
        <f>VLOOKUP(D521,upahbahan,3,FALSE)</f>
        <v>30090</v>
      </c>
      <c r="H521" s="287">
        <f>F521*G521</f>
        <v>180540</v>
      </c>
    </row>
    <row r="522" spans="3:9">
      <c r="C522" s="288" t="s">
        <v>1226</v>
      </c>
      <c r="D522" s="251"/>
      <c r="E522" s="251"/>
      <c r="F522" s="251"/>
      <c r="G522" s="256"/>
      <c r="H522" s="287">
        <f>SUM(H520:H521)</f>
        <v>257540</v>
      </c>
    </row>
    <row r="523" spans="3:9">
      <c r="C523" s="289" t="s">
        <v>1227</v>
      </c>
      <c r="D523" s="248" t="s">
        <v>1228</v>
      </c>
      <c r="E523" s="249"/>
      <c r="F523" s="249"/>
      <c r="G523" s="249"/>
      <c r="H523" s="285"/>
    </row>
    <row r="524" spans="3:9">
      <c r="C524" s="288" t="s">
        <v>1229</v>
      </c>
      <c r="D524" s="251"/>
      <c r="E524" s="251"/>
      <c r="F524" s="251"/>
      <c r="G524" s="256"/>
      <c r="H524" s="290">
        <v>0</v>
      </c>
    </row>
    <row r="525" spans="3:9" ht="14.25">
      <c r="C525" s="291" t="s">
        <v>1230</v>
      </c>
      <c r="D525" s="257" t="s">
        <v>1231</v>
      </c>
      <c r="E525" s="258"/>
      <c r="F525" s="258"/>
      <c r="G525" s="259"/>
      <c r="H525" s="287">
        <f>H524+H522+H518</f>
        <v>292265</v>
      </c>
      <c r="I525" s="260"/>
    </row>
    <row r="526" spans="3:9" ht="14.25">
      <c r="C526" s="123" t="s">
        <v>1232</v>
      </c>
      <c r="D526" s="70" t="s">
        <v>1410</v>
      </c>
      <c r="E526" s="71"/>
      <c r="F526" s="72"/>
      <c r="G526" s="96">
        <f>$M$7</f>
        <v>0.1</v>
      </c>
      <c r="H526" s="125">
        <f>H525*G526</f>
        <v>29226.5</v>
      </c>
      <c r="I526" s="260"/>
    </row>
    <row r="527" spans="3:9" ht="15.75" thickBot="1">
      <c r="C527" s="292" t="s">
        <v>1233</v>
      </c>
      <c r="D527" s="293" t="s">
        <v>1234</v>
      </c>
      <c r="E527" s="294"/>
      <c r="F527" s="294"/>
      <c r="G527" s="295"/>
      <c r="H527" s="296">
        <f>SUM(H525:H526)</f>
        <v>321491.5</v>
      </c>
      <c r="I527" s="260"/>
    </row>
    <row r="528" spans="3:9" ht="15.75" thickTop="1">
      <c r="C528" s="267"/>
      <c r="D528" s="268"/>
      <c r="E528" s="268"/>
      <c r="F528" s="268"/>
      <c r="G528" s="268"/>
      <c r="H528" s="269"/>
      <c r="I528" s="260"/>
    </row>
    <row r="529" spans="3:9" ht="15.75" thickBot="1">
      <c r="C529" s="277" t="s">
        <v>1483</v>
      </c>
      <c r="D529" s="279"/>
      <c r="E529" s="279"/>
      <c r="F529" s="279"/>
      <c r="G529" s="279"/>
      <c r="H529" s="279"/>
      <c r="I529" s="246">
        <f>ROUNDDOWN(H545,-2)</f>
        <v>321200</v>
      </c>
    </row>
    <row r="530" spans="3:9" ht="29.25" thickTop="1">
      <c r="C530" s="281" t="s">
        <v>1207</v>
      </c>
      <c r="D530" s="282" t="s">
        <v>1208</v>
      </c>
      <c r="E530" s="282" t="s">
        <v>1209</v>
      </c>
      <c r="F530" s="282" t="s">
        <v>1210</v>
      </c>
      <c r="G530" s="282" t="s">
        <v>1211</v>
      </c>
      <c r="H530" s="283" t="s">
        <v>1212</v>
      </c>
    </row>
    <row r="531" spans="3:9">
      <c r="C531" s="284" t="s">
        <v>1213</v>
      </c>
      <c r="D531" s="248" t="s">
        <v>1214</v>
      </c>
      <c r="E531" s="249"/>
      <c r="F531" s="249"/>
      <c r="G531" s="249"/>
      <c r="H531" s="285"/>
    </row>
    <row r="532" spans="3:9">
      <c r="C532" s="286">
        <v>1</v>
      </c>
      <c r="D532" s="248" t="s">
        <v>5</v>
      </c>
      <c r="E532" s="247" t="s">
        <v>6</v>
      </c>
      <c r="F532" s="250">
        <v>8.4000000000000005E-2</v>
      </c>
      <c r="G532" s="65">
        <f>VLOOKUP(D532,upahbahan,3,FALSE)</f>
        <v>100000</v>
      </c>
      <c r="H532" s="287">
        <f>F532*G532</f>
        <v>8400</v>
      </c>
    </row>
    <row r="533" spans="3:9">
      <c r="C533" s="286">
        <v>2</v>
      </c>
      <c r="D533" s="248" t="s">
        <v>8</v>
      </c>
      <c r="E533" s="247" t="s">
        <v>6</v>
      </c>
      <c r="F533" s="250">
        <v>0.125</v>
      </c>
      <c r="G533" s="65">
        <f>VLOOKUP(D533,upahbahan,3,FALSE)</f>
        <v>145000</v>
      </c>
      <c r="H533" s="287">
        <f>F533*G533</f>
        <v>18125</v>
      </c>
    </row>
    <row r="534" spans="3:9">
      <c r="C534" s="286">
        <v>3</v>
      </c>
      <c r="D534" s="248" t="s">
        <v>18</v>
      </c>
      <c r="E534" s="247" t="s">
        <v>6</v>
      </c>
      <c r="F534" s="250">
        <v>1.2500000000000001E-2</v>
      </c>
      <c r="G534" s="65">
        <f>VLOOKUP(D534,upahbahan,3,FALSE)</f>
        <v>150000</v>
      </c>
      <c r="H534" s="287">
        <f>F534*G534</f>
        <v>1875</v>
      </c>
    </row>
    <row r="535" spans="3:9">
      <c r="C535" s="286">
        <v>4</v>
      </c>
      <c r="D535" s="248" t="s">
        <v>19</v>
      </c>
      <c r="E535" s="247" t="s">
        <v>6</v>
      </c>
      <c r="F535" s="250">
        <v>4.1999999999999997E-3</v>
      </c>
      <c r="G535" s="65">
        <f>VLOOKUP(D535,upahbahan,3,FALSE)</f>
        <v>145000</v>
      </c>
      <c r="H535" s="287">
        <f>F535*G535</f>
        <v>609</v>
      </c>
    </row>
    <row r="536" spans="3:9">
      <c r="C536" s="288" t="s">
        <v>1220</v>
      </c>
      <c r="D536" s="251"/>
      <c r="E536" s="251"/>
      <c r="F536" s="252"/>
      <c r="G536" s="253"/>
      <c r="H536" s="287">
        <f>SUM(H532:H535)</f>
        <v>29009</v>
      </c>
      <c r="I536" s="254"/>
    </row>
    <row r="537" spans="3:9">
      <c r="C537" s="284" t="s">
        <v>1221</v>
      </c>
      <c r="D537" s="248" t="s">
        <v>1222</v>
      </c>
      <c r="E537" s="249"/>
      <c r="F537" s="249"/>
      <c r="G537" s="249"/>
      <c r="H537" s="285"/>
    </row>
    <row r="538" spans="3:9">
      <c r="C538" s="286">
        <v>1</v>
      </c>
      <c r="D538" s="248" t="s">
        <v>353</v>
      </c>
      <c r="E538" s="266" t="s">
        <v>133</v>
      </c>
      <c r="F538" s="263">
        <v>1.1000000000000001</v>
      </c>
      <c r="G538" s="65">
        <f>VLOOKUP(D538,upahbahan,3,FALSE)</f>
        <v>75000</v>
      </c>
      <c r="H538" s="287">
        <f>F538*G538</f>
        <v>82500</v>
      </c>
    </row>
    <row r="539" spans="3:9">
      <c r="C539" s="286">
        <v>2</v>
      </c>
      <c r="D539" s="248" t="s">
        <v>273</v>
      </c>
      <c r="E539" s="247" t="s">
        <v>66</v>
      </c>
      <c r="F539" s="263">
        <v>6</v>
      </c>
      <c r="G539" s="65">
        <f>VLOOKUP(D539,upahbahan,3,FALSE)</f>
        <v>30090</v>
      </c>
      <c r="H539" s="287">
        <f>F539*G539</f>
        <v>180540</v>
      </c>
    </row>
    <row r="540" spans="3:9">
      <c r="C540" s="288" t="s">
        <v>1226</v>
      </c>
      <c r="D540" s="251"/>
      <c r="E540" s="251"/>
      <c r="F540" s="251"/>
      <c r="G540" s="256"/>
      <c r="H540" s="287">
        <f>SUM(H538:H539)</f>
        <v>263040</v>
      </c>
    </row>
    <row r="541" spans="3:9">
      <c r="C541" s="289" t="s">
        <v>1227</v>
      </c>
      <c r="D541" s="248" t="s">
        <v>1228</v>
      </c>
      <c r="E541" s="249"/>
      <c r="F541" s="249"/>
      <c r="G541" s="249"/>
      <c r="H541" s="285"/>
    </row>
    <row r="542" spans="3:9">
      <c r="C542" s="288" t="s">
        <v>1229</v>
      </c>
      <c r="D542" s="251"/>
      <c r="E542" s="251"/>
      <c r="F542" s="251"/>
      <c r="G542" s="256"/>
      <c r="H542" s="290">
        <v>0</v>
      </c>
    </row>
    <row r="543" spans="3:9" ht="14.25">
      <c r="C543" s="291" t="s">
        <v>1230</v>
      </c>
      <c r="D543" s="257" t="s">
        <v>1231</v>
      </c>
      <c r="E543" s="258"/>
      <c r="F543" s="258"/>
      <c r="G543" s="259"/>
      <c r="H543" s="287">
        <f>H542+H540+H536</f>
        <v>292049</v>
      </c>
      <c r="I543" s="260"/>
    </row>
    <row r="544" spans="3:9" ht="14.25">
      <c r="C544" s="123" t="s">
        <v>1232</v>
      </c>
      <c r="D544" s="70" t="s">
        <v>1410</v>
      </c>
      <c r="E544" s="71"/>
      <c r="F544" s="72"/>
      <c r="G544" s="96">
        <f>$M$7</f>
        <v>0.1</v>
      </c>
      <c r="H544" s="125">
        <f>H543*G544</f>
        <v>29204.9</v>
      </c>
      <c r="I544" s="260"/>
    </row>
    <row r="545" spans="3:9" ht="15.75" thickBot="1">
      <c r="C545" s="292" t="s">
        <v>1233</v>
      </c>
      <c r="D545" s="293" t="s">
        <v>1234</v>
      </c>
      <c r="E545" s="294"/>
      <c r="F545" s="294"/>
      <c r="G545" s="295"/>
      <c r="H545" s="296">
        <f>SUM(H543:H544)</f>
        <v>321253.90000000002</v>
      </c>
      <c r="I545" s="260"/>
    </row>
    <row r="546" spans="3:9" ht="15.75" thickTop="1">
      <c r="C546" s="267"/>
      <c r="D546" s="268"/>
      <c r="E546" s="268"/>
      <c r="F546" s="268"/>
      <c r="G546" s="268"/>
      <c r="H546" s="269"/>
      <c r="I546" s="260"/>
    </row>
    <row r="547" spans="3:9" ht="15.75" thickBot="1">
      <c r="C547" s="277" t="s">
        <v>1484</v>
      </c>
      <c r="D547" s="279"/>
      <c r="E547" s="279"/>
      <c r="F547" s="279"/>
      <c r="G547" s="279"/>
      <c r="H547" s="279"/>
      <c r="I547" s="246">
        <f>ROUNDDOWN(H563,-2)</f>
        <v>327300</v>
      </c>
    </row>
    <row r="548" spans="3:9" ht="29.25" thickTop="1">
      <c r="C548" s="281" t="s">
        <v>1207</v>
      </c>
      <c r="D548" s="282" t="s">
        <v>1208</v>
      </c>
      <c r="E548" s="282" t="s">
        <v>1209</v>
      </c>
      <c r="F548" s="282" t="s">
        <v>1210</v>
      </c>
      <c r="G548" s="282" t="s">
        <v>1211</v>
      </c>
      <c r="H548" s="283" t="s">
        <v>1212</v>
      </c>
    </row>
    <row r="549" spans="3:9">
      <c r="C549" s="284" t="s">
        <v>1213</v>
      </c>
      <c r="D549" s="248" t="s">
        <v>1214</v>
      </c>
      <c r="E549" s="249"/>
      <c r="F549" s="249"/>
      <c r="G549" s="249"/>
      <c r="H549" s="285"/>
    </row>
    <row r="550" spans="3:9">
      <c r="C550" s="286">
        <v>1</v>
      </c>
      <c r="D550" s="248" t="s">
        <v>5</v>
      </c>
      <c r="E550" s="247" t="s">
        <v>6</v>
      </c>
      <c r="F550" s="250">
        <v>8.4000000000000005E-2</v>
      </c>
      <c r="G550" s="65">
        <f>VLOOKUP(D550,upahbahan,3,FALSE)</f>
        <v>100000</v>
      </c>
      <c r="H550" s="287">
        <f>F550*G550</f>
        <v>8400</v>
      </c>
    </row>
    <row r="551" spans="3:9">
      <c r="C551" s="286">
        <v>2</v>
      </c>
      <c r="D551" s="248" t="s">
        <v>8</v>
      </c>
      <c r="E551" s="247" t="s">
        <v>6</v>
      </c>
      <c r="F551" s="250">
        <v>0.125</v>
      </c>
      <c r="G551" s="65">
        <f>VLOOKUP(D551,upahbahan,3,FALSE)</f>
        <v>145000</v>
      </c>
      <c r="H551" s="287">
        <f>F551*G551</f>
        <v>18125</v>
      </c>
    </row>
    <row r="552" spans="3:9">
      <c r="C552" s="286">
        <v>3</v>
      </c>
      <c r="D552" s="248" t="s">
        <v>18</v>
      </c>
      <c r="E552" s="247" t="s">
        <v>6</v>
      </c>
      <c r="F552" s="250">
        <v>1.2500000000000001E-2</v>
      </c>
      <c r="G552" s="65">
        <f>VLOOKUP(D552,upahbahan,3,FALSE)</f>
        <v>150000</v>
      </c>
      <c r="H552" s="287">
        <f>F552*G552</f>
        <v>1875</v>
      </c>
    </row>
    <row r="553" spans="3:9">
      <c r="C553" s="286">
        <v>4</v>
      </c>
      <c r="D553" s="248" t="s">
        <v>19</v>
      </c>
      <c r="E553" s="247" t="s">
        <v>6</v>
      </c>
      <c r="F553" s="250">
        <v>4.1999999999999997E-3</v>
      </c>
      <c r="G553" s="65">
        <f>VLOOKUP(D553,upahbahan,3,FALSE)</f>
        <v>145000</v>
      </c>
      <c r="H553" s="287">
        <f>F553*G553</f>
        <v>609</v>
      </c>
    </row>
    <row r="554" spans="3:9">
      <c r="C554" s="288" t="s">
        <v>1220</v>
      </c>
      <c r="D554" s="251"/>
      <c r="E554" s="251"/>
      <c r="F554" s="252"/>
      <c r="G554" s="253"/>
      <c r="H554" s="287">
        <f>SUM(H550:H553)</f>
        <v>29009</v>
      </c>
      <c r="I554" s="254"/>
    </row>
    <row r="555" spans="3:9">
      <c r="C555" s="284" t="s">
        <v>1221</v>
      </c>
      <c r="D555" s="248" t="s">
        <v>1222</v>
      </c>
      <c r="E555" s="249"/>
      <c r="F555" s="249"/>
      <c r="G555" s="249"/>
      <c r="H555" s="285"/>
    </row>
    <row r="556" spans="3:9">
      <c r="C556" s="286">
        <v>1</v>
      </c>
      <c r="D556" s="248" t="s">
        <v>354</v>
      </c>
      <c r="E556" s="266" t="s">
        <v>133</v>
      </c>
      <c r="F556" s="263">
        <v>1.1000000000000001</v>
      </c>
      <c r="G556" s="65">
        <f>VLOOKUP(D556,upahbahan,3,FALSE)</f>
        <v>80000</v>
      </c>
      <c r="H556" s="287">
        <f>F556*G556</f>
        <v>88000</v>
      </c>
    </row>
    <row r="557" spans="3:9">
      <c r="C557" s="286">
        <v>2</v>
      </c>
      <c r="D557" s="248" t="s">
        <v>273</v>
      </c>
      <c r="E557" s="247" t="s">
        <v>66</v>
      </c>
      <c r="F557" s="263">
        <v>6</v>
      </c>
      <c r="G557" s="65">
        <f>VLOOKUP(D557,upahbahan,3,FALSE)</f>
        <v>30090</v>
      </c>
      <c r="H557" s="287">
        <f>F557*G557</f>
        <v>180540</v>
      </c>
    </row>
    <row r="558" spans="3:9">
      <c r="C558" s="288" t="s">
        <v>1226</v>
      </c>
      <c r="D558" s="251"/>
      <c r="E558" s="251"/>
      <c r="F558" s="251"/>
      <c r="G558" s="256"/>
      <c r="H558" s="287">
        <f>SUM(H556:H557)</f>
        <v>268540</v>
      </c>
    </row>
    <row r="559" spans="3:9">
      <c r="C559" s="289" t="s">
        <v>1227</v>
      </c>
      <c r="D559" s="248" t="s">
        <v>1228</v>
      </c>
      <c r="E559" s="249"/>
      <c r="F559" s="249"/>
      <c r="G559" s="249"/>
      <c r="H559" s="285"/>
    </row>
    <row r="560" spans="3:9">
      <c r="C560" s="288" t="s">
        <v>1229</v>
      </c>
      <c r="D560" s="251"/>
      <c r="E560" s="251"/>
      <c r="F560" s="251"/>
      <c r="G560" s="256"/>
      <c r="H560" s="290">
        <v>0</v>
      </c>
    </row>
    <row r="561" spans="3:9" ht="14.25">
      <c r="C561" s="291" t="s">
        <v>1230</v>
      </c>
      <c r="D561" s="257" t="s">
        <v>1231</v>
      </c>
      <c r="E561" s="258"/>
      <c r="F561" s="258"/>
      <c r="G561" s="259"/>
      <c r="H561" s="287">
        <f>H560+H558+H554</f>
        <v>297549</v>
      </c>
      <c r="I561" s="260"/>
    </row>
    <row r="562" spans="3:9" ht="14.25">
      <c r="C562" s="123" t="s">
        <v>1232</v>
      </c>
      <c r="D562" s="70" t="s">
        <v>1410</v>
      </c>
      <c r="E562" s="71"/>
      <c r="F562" s="72"/>
      <c r="G562" s="96">
        <f>$M$7</f>
        <v>0.1</v>
      </c>
      <c r="H562" s="125">
        <f>H561*G562</f>
        <v>29754.9</v>
      </c>
      <c r="I562" s="260"/>
    </row>
    <row r="563" spans="3:9" ht="15.75" thickBot="1">
      <c r="C563" s="292" t="s">
        <v>1233</v>
      </c>
      <c r="D563" s="293" t="s">
        <v>1234</v>
      </c>
      <c r="E563" s="294"/>
      <c r="F563" s="294"/>
      <c r="G563" s="295"/>
      <c r="H563" s="296">
        <f>SUM(H561:H562)</f>
        <v>327303.90000000002</v>
      </c>
      <c r="I563" s="260"/>
    </row>
    <row r="564" spans="3:9" ht="15.75" thickTop="1">
      <c r="C564" s="267"/>
      <c r="D564" s="268"/>
      <c r="E564" s="268"/>
      <c r="F564" s="268"/>
      <c r="G564" s="268"/>
      <c r="H564" s="269"/>
      <c r="I564" s="260"/>
    </row>
    <row r="565" spans="3:9" ht="15.75" thickBot="1">
      <c r="C565" s="277" t="s">
        <v>1485</v>
      </c>
      <c r="D565" s="279"/>
      <c r="E565" s="279"/>
      <c r="F565" s="279"/>
      <c r="G565" s="279"/>
      <c r="H565" s="279"/>
      <c r="I565" s="246">
        <f>ROUNDDOWN(H581,-2)</f>
        <v>88300</v>
      </c>
    </row>
    <row r="566" spans="3:9" ht="29.25" thickTop="1">
      <c r="C566" s="281" t="s">
        <v>1207</v>
      </c>
      <c r="D566" s="282" t="s">
        <v>1208</v>
      </c>
      <c r="E566" s="282" t="s">
        <v>1209</v>
      </c>
      <c r="F566" s="282" t="s">
        <v>1210</v>
      </c>
      <c r="G566" s="282" t="s">
        <v>1211</v>
      </c>
      <c r="H566" s="283" t="s">
        <v>1212</v>
      </c>
    </row>
    <row r="567" spans="3:9">
      <c r="C567" s="284" t="s">
        <v>1213</v>
      </c>
      <c r="D567" s="248" t="s">
        <v>1214</v>
      </c>
      <c r="E567" s="249"/>
      <c r="F567" s="249"/>
      <c r="G567" s="249"/>
      <c r="H567" s="285"/>
    </row>
    <row r="568" spans="3:9">
      <c r="C568" s="286">
        <v>1</v>
      </c>
      <c r="D568" s="248" t="s">
        <v>5</v>
      </c>
      <c r="E568" s="247" t="s">
        <v>6</v>
      </c>
      <c r="F568" s="250">
        <v>0.12</v>
      </c>
      <c r="G568" s="65">
        <f>VLOOKUP(D568,upahbahan,3,FALSE)</f>
        <v>100000</v>
      </c>
      <c r="H568" s="287">
        <f>F568*G568</f>
        <v>12000</v>
      </c>
    </row>
    <row r="569" spans="3:9">
      <c r="C569" s="286">
        <v>2</v>
      </c>
      <c r="D569" s="248" t="s">
        <v>8</v>
      </c>
      <c r="E569" s="247" t="s">
        <v>6</v>
      </c>
      <c r="F569" s="250">
        <v>0.06</v>
      </c>
      <c r="G569" s="65">
        <f>VLOOKUP(D569,upahbahan,3,FALSE)</f>
        <v>145000</v>
      </c>
      <c r="H569" s="287">
        <f>F569*G569</f>
        <v>8700</v>
      </c>
    </row>
    <row r="570" spans="3:9">
      <c r="C570" s="286">
        <v>3</v>
      </c>
      <c r="D570" s="248" t="s">
        <v>18</v>
      </c>
      <c r="E570" s="247" t="s">
        <v>6</v>
      </c>
      <c r="F570" s="250">
        <v>6.0000000000000001E-3</v>
      </c>
      <c r="G570" s="65">
        <f>VLOOKUP(D570,upahbahan,3,FALSE)</f>
        <v>150000</v>
      </c>
      <c r="H570" s="287">
        <f>F570*G570</f>
        <v>900</v>
      </c>
    </row>
    <row r="571" spans="3:9">
      <c r="C571" s="286">
        <v>4</v>
      </c>
      <c r="D571" s="248" t="s">
        <v>19</v>
      </c>
      <c r="E571" s="247" t="s">
        <v>6</v>
      </c>
      <c r="F571" s="250">
        <v>2E-3</v>
      </c>
      <c r="G571" s="65">
        <f>VLOOKUP(D571,upahbahan,3,FALSE)</f>
        <v>145000</v>
      </c>
      <c r="H571" s="287">
        <f>F571*G571</f>
        <v>290</v>
      </c>
    </row>
    <row r="572" spans="3:9">
      <c r="C572" s="288" t="s">
        <v>1220</v>
      </c>
      <c r="D572" s="251"/>
      <c r="E572" s="251"/>
      <c r="F572" s="252"/>
      <c r="G572" s="253"/>
      <c r="H572" s="287">
        <f>SUM(H568:H571)</f>
        <v>21890</v>
      </c>
      <c r="I572" s="254"/>
    </row>
    <row r="573" spans="3:9">
      <c r="C573" s="284" t="s">
        <v>1221</v>
      </c>
      <c r="D573" s="248" t="s">
        <v>1222</v>
      </c>
      <c r="E573" s="249"/>
      <c r="F573" s="249"/>
      <c r="G573" s="249"/>
      <c r="H573" s="285"/>
    </row>
    <row r="574" spans="3:9">
      <c r="C574" s="286">
        <v>1</v>
      </c>
      <c r="D574" s="248" t="s">
        <v>362</v>
      </c>
      <c r="E574" s="266" t="s">
        <v>133</v>
      </c>
      <c r="F574" s="255">
        <v>0.7</v>
      </c>
      <c r="G574" s="65">
        <f>VLOOKUP(D574,upahbahan,3,FALSE)</f>
        <v>83100</v>
      </c>
      <c r="H574" s="287">
        <f>F574*G574</f>
        <v>58169.999999999993</v>
      </c>
    </row>
    <row r="575" spans="3:9">
      <c r="C575" s="286">
        <v>2</v>
      </c>
      <c r="D575" s="248" t="s">
        <v>263</v>
      </c>
      <c r="E575" s="247" t="s">
        <v>66</v>
      </c>
      <c r="F575" s="255">
        <v>0.02</v>
      </c>
      <c r="G575" s="65">
        <f>VLOOKUP(D575,upahbahan,3,FALSE)</f>
        <v>15000</v>
      </c>
      <c r="H575" s="287">
        <f>F575*G575</f>
        <v>300</v>
      </c>
    </row>
    <row r="576" spans="3:9">
      <c r="C576" s="288" t="s">
        <v>1226</v>
      </c>
      <c r="D576" s="251"/>
      <c r="E576" s="251"/>
      <c r="F576" s="251"/>
      <c r="G576" s="256"/>
      <c r="H576" s="287">
        <f>SUM(H574:H575)</f>
        <v>58469.999999999993</v>
      </c>
    </row>
    <row r="577" spans="3:9">
      <c r="C577" s="289" t="s">
        <v>1227</v>
      </c>
      <c r="D577" s="248" t="s">
        <v>1228</v>
      </c>
      <c r="E577" s="249"/>
      <c r="F577" s="249"/>
      <c r="G577" s="249"/>
      <c r="H577" s="285"/>
    </row>
    <row r="578" spans="3:9">
      <c r="C578" s="288" t="s">
        <v>1229</v>
      </c>
      <c r="D578" s="251"/>
      <c r="E578" s="251"/>
      <c r="F578" s="251"/>
      <c r="G578" s="256"/>
      <c r="H578" s="290">
        <v>0</v>
      </c>
    </row>
    <row r="579" spans="3:9" ht="14.25">
      <c r="C579" s="291" t="s">
        <v>1230</v>
      </c>
      <c r="D579" s="257" t="s">
        <v>1231</v>
      </c>
      <c r="E579" s="258"/>
      <c r="F579" s="258"/>
      <c r="G579" s="259"/>
      <c r="H579" s="287">
        <f>H578+H576+H572</f>
        <v>80360</v>
      </c>
      <c r="I579" s="260"/>
    </row>
    <row r="580" spans="3:9" ht="14.25">
      <c r="C580" s="123" t="s">
        <v>1232</v>
      </c>
      <c r="D580" s="70" t="s">
        <v>1410</v>
      </c>
      <c r="E580" s="71"/>
      <c r="F580" s="72"/>
      <c r="G580" s="96">
        <f>$M$7</f>
        <v>0.1</v>
      </c>
      <c r="H580" s="125">
        <f>H579*G580</f>
        <v>8036</v>
      </c>
      <c r="I580" s="260"/>
    </row>
    <row r="581" spans="3:9" ht="15.75" thickBot="1">
      <c r="C581" s="292" t="s">
        <v>1233</v>
      </c>
      <c r="D581" s="293" t="s">
        <v>1234</v>
      </c>
      <c r="E581" s="294"/>
      <c r="F581" s="294"/>
      <c r="G581" s="295"/>
      <c r="H581" s="296">
        <f>SUM(H579:H580)</f>
        <v>88396</v>
      </c>
      <c r="I581" s="260"/>
    </row>
    <row r="582" spans="3:9" ht="15.75" thickTop="1">
      <c r="C582" s="267"/>
      <c r="D582" s="268"/>
      <c r="E582" s="268"/>
      <c r="F582" s="268"/>
      <c r="G582" s="268"/>
      <c r="H582" s="269"/>
      <c r="I582" s="260"/>
    </row>
    <row r="583" spans="3:9" ht="15.75" thickBot="1">
      <c r="C583" s="277" t="s">
        <v>1486</v>
      </c>
      <c r="D583" s="279"/>
      <c r="E583" s="279"/>
      <c r="F583" s="279"/>
      <c r="G583" s="279"/>
      <c r="H583" s="279"/>
      <c r="I583" s="246">
        <f>ROUNDDOWN(H599,-2)</f>
        <v>301700</v>
      </c>
    </row>
    <row r="584" spans="3:9" ht="29.25" thickTop="1">
      <c r="C584" s="281" t="s">
        <v>1207</v>
      </c>
      <c r="D584" s="282" t="s">
        <v>1208</v>
      </c>
      <c r="E584" s="282" t="s">
        <v>1209</v>
      </c>
      <c r="F584" s="282" t="s">
        <v>1210</v>
      </c>
      <c r="G584" s="282" t="s">
        <v>1211</v>
      </c>
      <c r="H584" s="283" t="s">
        <v>1212</v>
      </c>
    </row>
    <row r="585" spans="3:9">
      <c r="C585" s="284" t="s">
        <v>1213</v>
      </c>
      <c r="D585" s="248" t="s">
        <v>1214</v>
      </c>
      <c r="E585" s="249"/>
      <c r="F585" s="249"/>
      <c r="G585" s="249"/>
      <c r="H585" s="285"/>
    </row>
    <row r="586" spans="3:9">
      <c r="C586" s="286">
        <v>1</v>
      </c>
      <c r="D586" s="248" t="s">
        <v>5</v>
      </c>
      <c r="E586" s="247" t="s">
        <v>6</v>
      </c>
      <c r="F586" s="263">
        <v>0.15</v>
      </c>
      <c r="G586" s="65">
        <f>VLOOKUP(D586,upahbahan,3,FALSE)</f>
        <v>100000</v>
      </c>
      <c r="H586" s="287">
        <f>F586*G586</f>
        <v>15000</v>
      </c>
    </row>
    <row r="587" spans="3:9">
      <c r="C587" s="286">
        <v>2</v>
      </c>
      <c r="D587" s="248" t="s">
        <v>8</v>
      </c>
      <c r="E587" s="247" t="s">
        <v>6</v>
      </c>
      <c r="F587" s="263">
        <v>0.75</v>
      </c>
      <c r="G587" s="65">
        <f>VLOOKUP(D587,upahbahan,3,FALSE)</f>
        <v>145000</v>
      </c>
      <c r="H587" s="287">
        <f>F587*G587</f>
        <v>108750</v>
      </c>
    </row>
    <row r="588" spans="3:9">
      <c r="C588" s="286">
        <v>3</v>
      </c>
      <c r="D588" s="248" t="s">
        <v>18</v>
      </c>
      <c r="E588" s="247" t="s">
        <v>6</v>
      </c>
      <c r="F588" s="263">
        <v>7.4999999999999997E-2</v>
      </c>
      <c r="G588" s="65">
        <f>VLOOKUP(D588,upahbahan,3,FALSE)</f>
        <v>150000</v>
      </c>
      <c r="H588" s="287">
        <f>F588*G588</f>
        <v>11250</v>
      </c>
    </row>
    <row r="589" spans="3:9">
      <c r="C589" s="286">
        <v>4</v>
      </c>
      <c r="D589" s="248" t="s">
        <v>19</v>
      </c>
      <c r="E589" s="247" t="s">
        <v>6</v>
      </c>
      <c r="F589" s="263">
        <v>2.5000000000000001E-2</v>
      </c>
      <c r="G589" s="65">
        <f>VLOOKUP(D589,upahbahan,3,FALSE)</f>
        <v>145000</v>
      </c>
      <c r="H589" s="287">
        <f>F589*G589</f>
        <v>3625</v>
      </c>
    </row>
    <row r="590" spans="3:9">
      <c r="C590" s="288" t="s">
        <v>1220</v>
      </c>
      <c r="D590" s="251"/>
      <c r="E590" s="251"/>
      <c r="F590" s="252"/>
      <c r="G590" s="253"/>
      <c r="H590" s="287">
        <f>SUM(H586:H589)</f>
        <v>138625</v>
      </c>
      <c r="I590" s="254"/>
    </row>
    <row r="591" spans="3:9">
      <c r="C591" s="284" t="s">
        <v>1221</v>
      </c>
      <c r="D591" s="248" t="s">
        <v>1222</v>
      </c>
      <c r="E591" s="249"/>
      <c r="F591" s="249"/>
      <c r="G591" s="249"/>
      <c r="H591" s="285"/>
    </row>
    <row r="592" spans="3:9">
      <c r="C592" s="286">
        <v>1</v>
      </c>
      <c r="D592" s="248" t="s">
        <v>297</v>
      </c>
      <c r="E592" s="266" t="s">
        <v>133</v>
      </c>
      <c r="F592" s="255">
        <v>0.75</v>
      </c>
      <c r="G592" s="65">
        <f>VLOOKUP(D592,upahbahan,3,FALSE)</f>
        <v>180400</v>
      </c>
      <c r="H592" s="287">
        <f>F592*G592</f>
        <v>135300</v>
      </c>
    </row>
    <row r="593" spans="3:9">
      <c r="C593" s="286">
        <v>2</v>
      </c>
      <c r="D593" s="248" t="s">
        <v>270</v>
      </c>
      <c r="E593" s="247" t="s">
        <v>66</v>
      </c>
      <c r="F593" s="255">
        <v>0.02</v>
      </c>
      <c r="G593" s="65">
        <f>VLOOKUP(D593,upahbahan,3,FALSE)</f>
        <v>19460</v>
      </c>
      <c r="H593" s="287">
        <f>F593*G593</f>
        <v>389.2</v>
      </c>
    </row>
    <row r="594" spans="3:9">
      <c r="C594" s="288" t="s">
        <v>1226</v>
      </c>
      <c r="D594" s="251"/>
      <c r="E594" s="251"/>
      <c r="F594" s="251"/>
      <c r="G594" s="256"/>
      <c r="H594" s="287">
        <f>SUM(H592:H593)</f>
        <v>135689.20000000001</v>
      </c>
    </row>
    <row r="595" spans="3:9">
      <c r="C595" s="289" t="s">
        <v>1227</v>
      </c>
      <c r="D595" s="248" t="s">
        <v>1228</v>
      </c>
      <c r="E595" s="249"/>
      <c r="F595" s="249"/>
      <c r="G595" s="249"/>
      <c r="H595" s="285"/>
    </row>
    <row r="596" spans="3:9">
      <c r="C596" s="288" t="s">
        <v>1229</v>
      </c>
      <c r="D596" s="251"/>
      <c r="E596" s="251"/>
      <c r="F596" s="251"/>
      <c r="G596" s="256"/>
      <c r="H596" s="290">
        <v>0</v>
      </c>
    </row>
    <row r="597" spans="3:9" ht="14.25">
      <c r="C597" s="291" t="s">
        <v>1230</v>
      </c>
      <c r="D597" s="257" t="s">
        <v>1231</v>
      </c>
      <c r="E597" s="258"/>
      <c r="F597" s="258"/>
      <c r="G597" s="259"/>
      <c r="H597" s="287">
        <f>H596+H594+H590</f>
        <v>274314.2</v>
      </c>
      <c r="I597" s="260"/>
    </row>
    <row r="598" spans="3:9" ht="14.25">
      <c r="C598" s="123" t="s">
        <v>1232</v>
      </c>
      <c r="D598" s="70" t="s">
        <v>1410</v>
      </c>
      <c r="E598" s="71"/>
      <c r="F598" s="72"/>
      <c r="G598" s="96">
        <f>$M$7</f>
        <v>0.1</v>
      </c>
      <c r="H598" s="125">
        <f>H597*G598</f>
        <v>27431.420000000002</v>
      </c>
      <c r="I598" s="260"/>
    </row>
    <row r="599" spans="3:9" ht="15.75" thickBot="1">
      <c r="C599" s="292" t="s">
        <v>1233</v>
      </c>
      <c r="D599" s="293" t="s">
        <v>1234</v>
      </c>
      <c r="E599" s="294"/>
      <c r="F599" s="294"/>
      <c r="G599" s="295"/>
      <c r="H599" s="296">
        <f>SUM(H597:H598)</f>
        <v>301745.62</v>
      </c>
      <c r="I599" s="260"/>
    </row>
    <row r="600" spans="3:9" ht="15.75" thickTop="1">
      <c r="C600" s="267"/>
      <c r="D600" s="268"/>
      <c r="E600" s="268"/>
      <c r="F600" s="268"/>
      <c r="G600" s="268"/>
      <c r="H600" s="269"/>
      <c r="I600" s="260"/>
    </row>
    <row r="601" spans="3:9" ht="15.75" thickBot="1">
      <c r="C601" s="277" t="s">
        <v>1487</v>
      </c>
      <c r="D601" s="279"/>
      <c r="E601" s="279"/>
      <c r="F601" s="279"/>
      <c r="G601" s="279"/>
      <c r="H601" s="279"/>
      <c r="I601" s="246">
        <f>ROUNDDOWN(H617,-2)</f>
        <v>231800</v>
      </c>
    </row>
    <row r="602" spans="3:9" ht="29.25" thickTop="1">
      <c r="C602" s="281" t="s">
        <v>1207</v>
      </c>
      <c r="D602" s="282" t="s">
        <v>1208</v>
      </c>
      <c r="E602" s="282" t="s">
        <v>1209</v>
      </c>
      <c r="F602" s="282" t="s">
        <v>1210</v>
      </c>
      <c r="G602" s="282" t="s">
        <v>1211</v>
      </c>
      <c r="H602" s="283" t="s">
        <v>1212</v>
      </c>
    </row>
    <row r="603" spans="3:9">
      <c r="C603" s="284" t="s">
        <v>1213</v>
      </c>
      <c r="D603" s="248" t="s">
        <v>1214</v>
      </c>
      <c r="E603" s="249"/>
      <c r="F603" s="249"/>
      <c r="G603" s="249"/>
      <c r="H603" s="285"/>
    </row>
    <row r="604" spans="3:9">
      <c r="C604" s="286">
        <v>1</v>
      </c>
      <c r="D604" s="248" t="s">
        <v>5</v>
      </c>
      <c r="E604" s="247" t="s">
        <v>6</v>
      </c>
      <c r="F604" s="250">
        <v>0.16600000000000001</v>
      </c>
      <c r="G604" s="65">
        <f>VLOOKUP(D604,upahbahan,3,FALSE)</f>
        <v>100000</v>
      </c>
      <c r="H604" s="287">
        <f>F604*G604</f>
        <v>16600</v>
      </c>
    </row>
    <row r="605" spans="3:9">
      <c r="C605" s="286">
        <v>2</v>
      </c>
      <c r="D605" s="248" t="s">
        <v>8</v>
      </c>
      <c r="E605" s="247" t="s">
        <v>6</v>
      </c>
      <c r="F605" s="250">
        <v>0.25</v>
      </c>
      <c r="G605" s="65">
        <f>VLOOKUP(D605,upahbahan,3,FALSE)</f>
        <v>145000</v>
      </c>
      <c r="H605" s="287">
        <f>F605*G605</f>
        <v>36250</v>
      </c>
    </row>
    <row r="606" spans="3:9">
      <c r="C606" s="286">
        <v>3</v>
      </c>
      <c r="D606" s="248" t="s">
        <v>18</v>
      </c>
      <c r="E606" s="247" t="s">
        <v>6</v>
      </c>
      <c r="F606" s="250">
        <v>2.5000000000000001E-2</v>
      </c>
      <c r="G606" s="65">
        <f>VLOOKUP(D606,upahbahan,3,FALSE)</f>
        <v>150000</v>
      </c>
      <c r="H606" s="287">
        <f>F606*G606</f>
        <v>3750</v>
      </c>
    </row>
    <row r="607" spans="3:9">
      <c r="C607" s="286">
        <v>4</v>
      </c>
      <c r="D607" s="248" t="s">
        <v>19</v>
      </c>
      <c r="E607" s="247" t="s">
        <v>6</v>
      </c>
      <c r="F607" s="250">
        <v>8.3000000000000001E-3</v>
      </c>
      <c r="G607" s="65">
        <f>VLOOKUP(D607,upahbahan,3,FALSE)</f>
        <v>145000</v>
      </c>
      <c r="H607" s="287">
        <f>F607*G607</f>
        <v>1203.5</v>
      </c>
    </row>
    <row r="608" spans="3:9">
      <c r="C608" s="288" t="s">
        <v>1220</v>
      </c>
      <c r="D608" s="251"/>
      <c r="E608" s="251"/>
      <c r="F608" s="252"/>
      <c r="G608" s="253"/>
      <c r="H608" s="287">
        <f>SUM(H604:H607)</f>
        <v>57803.5</v>
      </c>
      <c r="I608" s="254"/>
    </row>
    <row r="609" spans="3:9">
      <c r="C609" s="284" t="s">
        <v>1221</v>
      </c>
      <c r="D609" s="248" t="s">
        <v>1222</v>
      </c>
      <c r="E609" s="249"/>
      <c r="F609" s="249"/>
      <c r="G609" s="249"/>
      <c r="H609" s="285"/>
    </row>
    <row r="610" spans="3:9">
      <c r="C610" s="286">
        <v>1</v>
      </c>
      <c r="D610" s="248" t="s">
        <v>380</v>
      </c>
      <c r="E610" s="266" t="s">
        <v>44</v>
      </c>
      <c r="F610" s="255">
        <v>30</v>
      </c>
      <c r="G610" s="65">
        <f>VLOOKUP(D610,upahbahan,3,FALSE)</f>
        <v>5000</v>
      </c>
      <c r="H610" s="287">
        <f>F610*G610</f>
        <v>150000</v>
      </c>
    </row>
    <row r="611" spans="3:9">
      <c r="C611" s="286">
        <v>2</v>
      </c>
      <c r="D611" s="248" t="s">
        <v>263</v>
      </c>
      <c r="E611" s="247" t="s">
        <v>66</v>
      </c>
      <c r="F611" s="255">
        <v>0.2</v>
      </c>
      <c r="G611" s="65">
        <f>VLOOKUP(D611,upahbahan,3,FALSE)</f>
        <v>15000</v>
      </c>
      <c r="H611" s="287">
        <f>F611*G611</f>
        <v>3000</v>
      </c>
    </row>
    <row r="612" spans="3:9">
      <c r="C612" s="288" t="s">
        <v>1226</v>
      </c>
      <c r="D612" s="251"/>
      <c r="E612" s="251"/>
      <c r="F612" s="251"/>
      <c r="G612" s="256"/>
      <c r="H612" s="287">
        <f>SUM(H610:H611)</f>
        <v>153000</v>
      </c>
    </row>
    <row r="613" spans="3:9">
      <c r="C613" s="289" t="s">
        <v>1227</v>
      </c>
      <c r="D613" s="248" t="s">
        <v>1228</v>
      </c>
      <c r="E613" s="249"/>
      <c r="F613" s="249"/>
      <c r="G613" s="249"/>
      <c r="H613" s="285"/>
    </row>
    <row r="614" spans="3:9">
      <c r="C614" s="288" t="s">
        <v>1229</v>
      </c>
      <c r="D614" s="251"/>
      <c r="E614" s="251"/>
      <c r="F614" s="251"/>
      <c r="G614" s="256"/>
      <c r="H614" s="290">
        <v>0</v>
      </c>
    </row>
    <row r="615" spans="3:9" ht="14.25">
      <c r="C615" s="291" t="s">
        <v>1230</v>
      </c>
      <c r="D615" s="257" t="s">
        <v>1231</v>
      </c>
      <c r="E615" s="258"/>
      <c r="F615" s="258"/>
      <c r="G615" s="259"/>
      <c r="H615" s="287">
        <f>H614+H612+H608</f>
        <v>210803.5</v>
      </c>
      <c r="I615" s="260"/>
    </row>
    <row r="616" spans="3:9" ht="14.25">
      <c r="C616" s="123" t="s">
        <v>1232</v>
      </c>
      <c r="D616" s="70" t="s">
        <v>1410</v>
      </c>
      <c r="E616" s="71"/>
      <c r="F616" s="72"/>
      <c r="G616" s="96">
        <f>$M$7</f>
        <v>0.1</v>
      </c>
      <c r="H616" s="125">
        <f>H615*G616</f>
        <v>21080.350000000002</v>
      </c>
      <c r="I616" s="260"/>
    </row>
    <row r="617" spans="3:9" ht="15.75" thickBot="1">
      <c r="C617" s="292" t="s">
        <v>1233</v>
      </c>
      <c r="D617" s="293" t="s">
        <v>1234</v>
      </c>
      <c r="E617" s="294"/>
      <c r="F617" s="294"/>
      <c r="G617" s="295"/>
      <c r="H617" s="296">
        <f>SUM(H615:H616)</f>
        <v>231883.85</v>
      </c>
      <c r="I617" s="260"/>
    </row>
    <row r="618" spans="3:9" ht="15.75" thickTop="1">
      <c r="C618" s="267"/>
      <c r="D618" s="268"/>
      <c r="E618" s="268"/>
      <c r="F618" s="268"/>
      <c r="G618" s="268"/>
      <c r="H618" s="269"/>
      <c r="I618" s="260"/>
    </row>
    <row r="619" spans="3:9" ht="15.75" thickBot="1">
      <c r="C619" s="277" t="s">
        <v>1488</v>
      </c>
      <c r="D619" s="279"/>
      <c r="E619" s="279"/>
      <c r="F619" s="279"/>
      <c r="G619" s="279"/>
      <c r="H619" s="279"/>
      <c r="I619" s="246">
        <f>ROUNDDOWN(H635,-2)</f>
        <v>111500</v>
      </c>
    </row>
    <row r="620" spans="3:9" ht="29.25" thickTop="1">
      <c r="C620" s="281" t="s">
        <v>1207</v>
      </c>
      <c r="D620" s="282" t="s">
        <v>1208</v>
      </c>
      <c r="E620" s="282" t="s">
        <v>1209</v>
      </c>
      <c r="F620" s="282" t="s">
        <v>1210</v>
      </c>
      <c r="G620" s="282" t="s">
        <v>1211</v>
      </c>
      <c r="H620" s="283" t="s">
        <v>1212</v>
      </c>
    </row>
    <row r="621" spans="3:9">
      <c r="C621" s="284" t="s">
        <v>1213</v>
      </c>
      <c r="D621" s="248" t="s">
        <v>1214</v>
      </c>
      <c r="E621" s="249"/>
      <c r="F621" s="249"/>
      <c r="G621" s="249"/>
      <c r="H621" s="285"/>
    </row>
    <row r="622" spans="3:9">
      <c r="C622" s="286">
        <v>1</v>
      </c>
      <c r="D622" s="248" t="s">
        <v>5</v>
      </c>
      <c r="E622" s="247" t="s">
        <v>6</v>
      </c>
      <c r="F622" s="250">
        <v>0.14000000000000001</v>
      </c>
      <c r="G622" s="65">
        <f>VLOOKUP(D622,upahbahan,3,FALSE)</f>
        <v>100000</v>
      </c>
      <c r="H622" s="287">
        <f>F622*G622</f>
        <v>14000.000000000002</v>
      </c>
    </row>
    <row r="623" spans="3:9">
      <c r="C623" s="286">
        <v>2</v>
      </c>
      <c r="D623" s="248" t="s">
        <v>8</v>
      </c>
      <c r="E623" s="247" t="s">
        <v>6</v>
      </c>
      <c r="F623" s="250">
        <v>6.7000000000000004E-2</v>
      </c>
      <c r="G623" s="65">
        <f>VLOOKUP(D623,upahbahan,3,FALSE)</f>
        <v>145000</v>
      </c>
      <c r="H623" s="287">
        <f>F623*G623</f>
        <v>9715</v>
      </c>
    </row>
    <row r="624" spans="3:9">
      <c r="C624" s="286">
        <v>3</v>
      </c>
      <c r="D624" s="248" t="s">
        <v>18</v>
      </c>
      <c r="E624" s="247" t="s">
        <v>6</v>
      </c>
      <c r="F624" s="250">
        <v>6.7000000000000002E-3</v>
      </c>
      <c r="G624" s="65">
        <f>VLOOKUP(D624,upahbahan,3,FALSE)</f>
        <v>150000</v>
      </c>
      <c r="H624" s="287">
        <f>F624*G624</f>
        <v>1005</v>
      </c>
    </row>
    <row r="625" spans="3:9">
      <c r="C625" s="286">
        <v>4</v>
      </c>
      <c r="D625" s="248" t="s">
        <v>19</v>
      </c>
      <c r="E625" s="247" t="s">
        <v>6</v>
      </c>
      <c r="F625" s="250">
        <v>2.2000000000000001E-3</v>
      </c>
      <c r="G625" s="65">
        <f>VLOOKUP(D625,upahbahan,3,FALSE)</f>
        <v>145000</v>
      </c>
      <c r="H625" s="287">
        <f>F625*G625</f>
        <v>319</v>
      </c>
    </row>
    <row r="626" spans="3:9">
      <c r="C626" s="288" t="s">
        <v>1220</v>
      </c>
      <c r="D626" s="251"/>
      <c r="E626" s="251"/>
      <c r="F626" s="252"/>
      <c r="G626" s="253"/>
      <c r="H626" s="287">
        <f>SUM(H622:H625)</f>
        <v>25039</v>
      </c>
      <c r="I626" s="254"/>
    </row>
    <row r="627" spans="3:9">
      <c r="C627" s="284" t="s">
        <v>1221</v>
      </c>
      <c r="D627" s="248" t="s">
        <v>1222</v>
      </c>
      <c r="E627" s="249"/>
      <c r="F627" s="249"/>
      <c r="G627" s="249"/>
      <c r="H627" s="285"/>
    </row>
    <row r="628" spans="3:9">
      <c r="C628" s="286">
        <v>1</v>
      </c>
      <c r="D628" s="265" t="s">
        <v>361</v>
      </c>
      <c r="E628" s="266" t="s">
        <v>133</v>
      </c>
      <c r="F628" s="263">
        <v>0.65</v>
      </c>
      <c r="G628" s="65">
        <f>VLOOKUP(D628,upahbahan,3,FALSE)</f>
        <v>116300</v>
      </c>
      <c r="H628" s="287">
        <f>F628*G628</f>
        <v>75595</v>
      </c>
    </row>
    <row r="629" spans="3:9">
      <c r="C629" s="286">
        <v>2</v>
      </c>
      <c r="D629" s="248" t="s">
        <v>263</v>
      </c>
      <c r="E629" s="247" t="s">
        <v>66</v>
      </c>
      <c r="F629" s="263">
        <v>0.05</v>
      </c>
      <c r="G629" s="65">
        <f>VLOOKUP(D629,upahbahan,3,FALSE)</f>
        <v>15000</v>
      </c>
      <c r="H629" s="287">
        <f>F629*G629</f>
        <v>750</v>
      </c>
    </row>
    <row r="630" spans="3:9">
      <c r="C630" s="288" t="s">
        <v>1226</v>
      </c>
      <c r="D630" s="251"/>
      <c r="E630" s="251"/>
      <c r="F630" s="251"/>
      <c r="G630" s="256"/>
      <c r="H630" s="287">
        <f>SUM(H628:H629)</f>
        <v>76345</v>
      </c>
    </row>
    <row r="631" spans="3:9">
      <c r="C631" s="289" t="s">
        <v>1227</v>
      </c>
      <c r="D631" s="248" t="s">
        <v>1228</v>
      </c>
      <c r="E631" s="249"/>
      <c r="F631" s="249"/>
      <c r="G631" s="249"/>
      <c r="H631" s="285"/>
    </row>
    <row r="632" spans="3:9">
      <c r="C632" s="288" t="s">
        <v>1229</v>
      </c>
      <c r="D632" s="251"/>
      <c r="E632" s="251"/>
      <c r="F632" s="251"/>
      <c r="G632" s="256"/>
      <c r="H632" s="290">
        <v>0</v>
      </c>
    </row>
    <row r="633" spans="3:9" ht="14.25">
      <c r="C633" s="291" t="s">
        <v>1230</v>
      </c>
      <c r="D633" s="257" t="s">
        <v>1231</v>
      </c>
      <c r="E633" s="258"/>
      <c r="F633" s="258"/>
      <c r="G633" s="259"/>
      <c r="H633" s="287">
        <f>H632+H630+H626</f>
        <v>101384</v>
      </c>
      <c r="I633" s="260"/>
    </row>
    <row r="634" spans="3:9" ht="14.25">
      <c r="C634" s="123" t="s">
        <v>1232</v>
      </c>
      <c r="D634" s="70" t="s">
        <v>1410</v>
      </c>
      <c r="E634" s="71"/>
      <c r="F634" s="72"/>
      <c r="G634" s="96">
        <f>$M$7</f>
        <v>0.1</v>
      </c>
      <c r="H634" s="125">
        <f>H633*G634</f>
        <v>10138.400000000001</v>
      </c>
      <c r="I634" s="260"/>
    </row>
    <row r="635" spans="3:9" ht="15.75" thickBot="1">
      <c r="C635" s="292" t="s">
        <v>1233</v>
      </c>
      <c r="D635" s="293" t="s">
        <v>1234</v>
      </c>
      <c r="E635" s="294"/>
      <c r="F635" s="294"/>
      <c r="G635" s="295"/>
      <c r="H635" s="296">
        <f>SUM(H633:H634)</f>
        <v>111522.4</v>
      </c>
      <c r="I635" s="260"/>
    </row>
    <row r="636" spans="3:9" ht="15.75" thickTop="1"/>
    <row r="637" spans="3:9" ht="15.75" thickBot="1">
      <c r="C637" s="277" t="s">
        <v>1489</v>
      </c>
      <c r="D637" s="279"/>
      <c r="E637" s="279"/>
      <c r="F637" s="279"/>
      <c r="G637" s="279"/>
      <c r="H637" s="279"/>
      <c r="I637" s="246">
        <f>ROUNDDOWN(H653,-2)</f>
        <v>274600</v>
      </c>
    </row>
    <row r="638" spans="3:9" ht="29.25" thickTop="1">
      <c r="C638" s="281" t="s">
        <v>1207</v>
      </c>
      <c r="D638" s="282" t="s">
        <v>1208</v>
      </c>
      <c r="E638" s="282" t="s">
        <v>1209</v>
      </c>
      <c r="F638" s="282" t="s">
        <v>1210</v>
      </c>
      <c r="G638" s="282" t="s">
        <v>1211</v>
      </c>
      <c r="H638" s="283" t="s">
        <v>1212</v>
      </c>
    </row>
    <row r="639" spans="3:9">
      <c r="C639" s="284" t="s">
        <v>1213</v>
      </c>
      <c r="D639" s="248" t="s">
        <v>1214</v>
      </c>
      <c r="E639" s="249"/>
      <c r="F639" s="249"/>
      <c r="G639" s="249"/>
      <c r="H639" s="285"/>
    </row>
    <row r="640" spans="3:9">
      <c r="C640" s="286">
        <v>1</v>
      </c>
      <c r="D640" s="248" t="s">
        <v>5</v>
      </c>
      <c r="E640" s="247" t="s">
        <v>6</v>
      </c>
      <c r="F640" s="250">
        <v>0.2</v>
      </c>
      <c r="G640" s="65">
        <f>VLOOKUP(D640,upahbahan,3,FALSE)</f>
        <v>100000</v>
      </c>
      <c r="H640" s="287">
        <f>F640*G640</f>
        <v>20000</v>
      </c>
    </row>
    <row r="641" spans="3:9">
      <c r="C641" s="286">
        <v>2</v>
      </c>
      <c r="D641" s="248" t="s">
        <v>8</v>
      </c>
      <c r="E641" s="247" t="s">
        <v>6</v>
      </c>
      <c r="F641" s="250">
        <v>0.1</v>
      </c>
      <c r="G641" s="65">
        <f>VLOOKUP(D641,upahbahan,3,FALSE)</f>
        <v>145000</v>
      </c>
      <c r="H641" s="287">
        <f>F641*G641</f>
        <v>14500</v>
      </c>
    </row>
    <row r="642" spans="3:9">
      <c r="C642" s="286">
        <v>3</v>
      </c>
      <c r="D642" s="248" t="s">
        <v>18</v>
      </c>
      <c r="E642" s="247" t="s">
        <v>6</v>
      </c>
      <c r="F642" s="250">
        <v>0.01</v>
      </c>
      <c r="G642" s="65">
        <f>VLOOKUP(D642,upahbahan,3,FALSE)</f>
        <v>150000</v>
      </c>
      <c r="H642" s="287">
        <f>F642*G642</f>
        <v>1500</v>
      </c>
    </row>
    <row r="643" spans="3:9">
      <c r="C643" s="286">
        <v>4</v>
      </c>
      <c r="D643" s="248" t="s">
        <v>19</v>
      </c>
      <c r="E643" s="247" t="s">
        <v>6</v>
      </c>
      <c r="F643" s="250">
        <v>3.3E-3</v>
      </c>
      <c r="G643" s="65">
        <f>VLOOKUP(D643,upahbahan,3,FALSE)</f>
        <v>145000</v>
      </c>
      <c r="H643" s="287">
        <f>F643*G643</f>
        <v>478.5</v>
      </c>
    </row>
    <row r="644" spans="3:9">
      <c r="C644" s="288" t="s">
        <v>1220</v>
      </c>
      <c r="D644" s="251"/>
      <c r="E644" s="251"/>
      <c r="F644" s="252"/>
      <c r="G644" s="253"/>
      <c r="H644" s="287">
        <f>SUM(H640:H643)</f>
        <v>36478.5</v>
      </c>
      <c r="I644" s="254"/>
    </row>
    <row r="645" spans="3:9">
      <c r="C645" s="284" t="s">
        <v>1221</v>
      </c>
      <c r="D645" s="248" t="s">
        <v>1222</v>
      </c>
      <c r="E645" s="249"/>
      <c r="F645" s="249"/>
      <c r="G645" s="249"/>
      <c r="H645" s="285"/>
    </row>
    <row r="646" spans="3:9">
      <c r="C646" s="286">
        <v>1</v>
      </c>
      <c r="D646" s="265" t="s">
        <v>320</v>
      </c>
      <c r="E646" s="266" t="s">
        <v>63</v>
      </c>
      <c r="F646" s="250">
        <v>1.002</v>
      </c>
      <c r="G646" s="65">
        <f>VLOOKUP(D646,upahbahan,3,FALSE)</f>
        <v>200000</v>
      </c>
      <c r="H646" s="287">
        <f>F646*G646</f>
        <v>200400</v>
      </c>
    </row>
    <row r="647" spans="3:9">
      <c r="C647" s="286">
        <v>2</v>
      </c>
      <c r="D647" s="248" t="s">
        <v>1509</v>
      </c>
      <c r="E647" s="247" t="s">
        <v>44</v>
      </c>
      <c r="F647" s="250">
        <v>8</v>
      </c>
      <c r="G647" s="65">
        <f>VLOOKUP(D647,upahbahan,3,FALSE)</f>
        <v>1600</v>
      </c>
      <c r="H647" s="287">
        <f>F647*G647</f>
        <v>12800</v>
      </c>
    </row>
    <row r="648" spans="3:9">
      <c r="C648" s="288" t="s">
        <v>1226</v>
      </c>
      <c r="D648" s="251"/>
      <c r="E648" s="251"/>
      <c r="F648" s="251"/>
      <c r="G648" s="256"/>
      <c r="H648" s="287">
        <f>SUM(H646:H647)</f>
        <v>213200</v>
      </c>
    </row>
    <row r="649" spans="3:9">
      <c r="C649" s="289" t="s">
        <v>1227</v>
      </c>
      <c r="D649" s="248" t="s">
        <v>1228</v>
      </c>
      <c r="E649" s="249"/>
      <c r="F649" s="249"/>
      <c r="G649" s="249"/>
      <c r="H649" s="285"/>
    </row>
    <row r="650" spans="3:9">
      <c r="C650" s="288" t="s">
        <v>1229</v>
      </c>
      <c r="D650" s="251"/>
      <c r="E650" s="251"/>
      <c r="F650" s="251"/>
      <c r="G650" s="256"/>
      <c r="H650" s="290">
        <v>0</v>
      </c>
    </row>
    <row r="651" spans="3:9" ht="14.25">
      <c r="C651" s="291" t="s">
        <v>1230</v>
      </c>
      <c r="D651" s="257" t="s">
        <v>1231</v>
      </c>
      <c r="E651" s="258"/>
      <c r="F651" s="258"/>
      <c r="G651" s="259"/>
      <c r="H651" s="287">
        <f>H650+H648+H644</f>
        <v>249678.5</v>
      </c>
      <c r="I651" s="260"/>
    </row>
    <row r="652" spans="3:9" ht="14.25">
      <c r="C652" s="123" t="s">
        <v>1232</v>
      </c>
      <c r="D652" s="70" t="s">
        <v>1410</v>
      </c>
      <c r="E652" s="71"/>
      <c r="F652" s="72"/>
      <c r="G652" s="96">
        <f>$M$7</f>
        <v>0.1</v>
      </c>
      <c r="H652" s="125">
        <f>H651*G652</f>
        <v>24967.850000000002</v>
      </c>
      <c r="I652" s="260"/>
    </row>
    <row r="653" spans="3:9" ht="15.75" thickBot="1">
      <c r="C653" s="292" t="s">
        <v>1233</v>
      </c>
      <c r="D653" s="293" t="s">
        <v>1234</v>
      </c>
      <c r="E653" s="294"/>
      <c r="F653" s="294"/>
      <c r="G653" s="295"/>
      <c r="H653" s="296">
        <f>SUM(H651:H652)</f>
        <v>274646.34999999998</v>
      </c>
      <c r="I653" s="260"/>
    </row>
    <row r="654" spans="3:9" ht="15.75" thickTop="1"/>
    <row r="655" spans="3:9" ht="15.75" thickBot="1">
      <c r="C655" s="277" t="s">
        <v>1490</v>
      </c>
      <c r="D655" s="279"/>
      <c r="E655" s="279"/>
      <c r="F655" s="279"/>
      <c r="G655" s="279"/>
      <c r="H655" s="279"/>
      <c r="I655" s="246">
        <f>ROUNDDOWN(H673,-2)</f>
        <v>295800</v>
      </c>
    </row>
    <row r="656" spans="3:9" ht="29.25" thickTop="1">
      <c r="C656" s="281" t="s">
        <v>1207</v>
      </c>
      <c r="D656" s="282" t="s">
        <v>1208</v>
      </c>
      <c r="E656" s="282" t="s">
        <v>1209</v>
      </c>
      <c r="F656" s="282" t="s">
        <v>1210</v>
      </c>
      <c r="G656" s="282" t="s">
        <v>1211</v>
      </c>
      <c r="H656" s="283" t="s">
        <v>1212</v>
      </c>
    </row>
    <row r="657" spans="3:9">
      <c r="C657" s="284" t="s">
        <v>1213</v>
      </c>
      <c r="D657" s="248" t="s">
        <v>1214</v>
      </c>
      <c r="E657" s="249"/>
      <c r="F657" s="249"/>
      <c r="G657" s="249"/>
      <c r="H657" s="285"/>
    </row>
    <row r="658" spans="3:9">
      <c r="C658" s="286">
        <v>1</v>
      </c>
      <c r="D658" s="248" t="s">
        <v>5</v>
      </c>
      <c r="E658" s="247" t="s">
        <v>6</v>
      </c>
      <c r="F658" s="250">
        <v>0.02</v>
      </c>
      <c r="G658" s="65">
        <f>VLOOKUP(D658,upahbahan,3,FALSE)</f>
        <v>100000</v>
      </c>
      <c r="H658" s="287">
        <f>F658*G658</f>
        <v>2000</v>
      </c>
    </row>
    <row r="659" spans="3:9">
      <c r="C659" s="286">
        <v>2</v>
      </c>
      <c r="D659" s="248" t="s">
        <v>8</v>
      </c>
      <c r="E659" s="247" t="s">
        <v>6</v>
      </c>
      <c r="F659" s="250">
        <v>0.03</v>
      </c>
      <c r="G659" s="65">
        <f>VLOOKUP(D659,upahbahan,3,FALSE)</f>
        <v>145000</v>
      </c>
      <c r="H659" s="287">
        <f>F659*G659</f>
        <v>4350</v>
      </c>
    </row>
    <row r="660" spans="3:9">
      <c r="C660" s="286">
        <v>3</v>
      </c>
      <c r="D660" s="248" t="s">
        <v>18</v>
      </c>
      <c r="E660" s="247" t="s">
        <v>6</v>
      </c>
      <c r="F660" s="250">
        <v>2.9999999999999997E-4</v>
      </c>
      <c r="G660" s="65">
        <f>VLOOKUP(D660,upahbahan,3,FALSE)</f>
        <v>150000</v>
      </c>
      <c r="H660" s="287">
        <f>F660*G660</f>
        <v>44.999999999999993</v>
      </c>
    </row>
    <row r="661" spans="3:9">
      <c r="C661" s="286">
        <v>4</v>
      </c>
      <c r="D661" s="248" t="s">
        <v>19</v>
      </c>
      <c r="E661" s="247" t="s">
        <v>6</v>
      </c>
      <c r="F661" s="250">
        <v>1E-3</v>
      </c>
      <c r="G661" s="65">
        <f>VLOOKUP(D661,upahbahan,3,FALSE)</f>
        <v>145000</v>
      </c>
      <c r="H661" s="287">
        <f>F661*G661</f>
        <v>145</v>
      </c>
    </row>
    <row r="662" spans="3:9">
      <c r="C662" s="288" t="s">
        <v>1220</v>
      </c>
      <c r="D662" s="251"/>
      <c r="E662" s="251"/>
      <c r="F662" s="252"/>
      <c r="G662" s="253"/>
      <c r="H662" s="287">
        <f>SUM(H658:H661)</f>
        <v>6540</v>
      </c>
      <c r="I662" s="254"/>
    </row>
    <row r="663" spans="3:9">
      <c r="C663" s="284" t="s">
        <v>1221</v>
      </c>
      <c r="D663" s="248" t="s">
        <v>1222</v>
      </c>
      <c r="E663" s="249"/>
      <c r="F663" s="249"/>
      <c r="G663" s="249"/>
      <c r="H663" s="285"/>
    </row>
    <row r="664" spans="3:9">
      <c r="C664" s="286">
        <v>1</v>
      </c>
      <c r="D664" s="248" t="s">
        <v>335</v>
      </c>
      <c r="E664" s="266" t="s">
        <v>44</v>
      </c>
      <c r="F664" s="263">
        <v>1.5</v>
      </c>
      <c r="G664" s="65">
        <f>VLOOKUP(D664,upahbahan,3,FALSE)</f>
        <v>149700</v>
      </c>
      <c r="H664" s="287">
        <f>F664*G664</f>
        <v>224550</v>
      </c>
    </row>
    <row r="665" spans="3:9">
      <c r="C665" s="286">
        <v>2</v>
      </c>
      <c r="D665" s="248" t="s">
        <v>141</v>
      </c>
      <c r="E665" s="266" t="s">
        <v>133</v>
      </c>
      <c r="F665" s="263">
        <v>0.35</v>
      </c>
      <c r="G665" s="65">
        <f>VLOOKUP(D665,upahbahan,3,FALSE)</f>
        <v>84200</v>
      </c>
      <c r="H665" s="287">
        <f>F665*G665</f>
        <v>29469.999999999996</v>
      </c>
    </row>
    <row r="666" spans="3:9">
      <c r="C666" s="286">
        <v>3</v>
      </c>
      <c r="D666" s="248" t="s">
        <v>263</v>
      </c>
      <c r="E666" s="247" t="s">
        <v>66</v>
      </c>
      <c r="F666" s="263">
        <v>0.03</v>
      </c>
      <c r="G666" s="65">
        <f>VLOOKUP(D666,upahbahan,3,FALSE)</f>
        <v>15000</v>
      </c>
      <c r="H666" s="287">
        <f>F666*G666</f>
        <v>450</v>
      </c>
    </row>
    <row r="667" spans="3:9">
      <c r="C667" s="286">
        <v>4</v>
      </c>
      <c r="D667" s="248" t="s">
        <v>1040</v>
      </c>
      <c r="E667" s="247" t="s">
        <v>44</v>
      </c>
      <c r="F667" s="263">
        <v>0.5</v>
      </c>
      <c r="G667" s="65">
        <f>VLOOKUP(D667,upahbahan,3,FALSE)</f>
        <v>15900</v>
      </c>
      <c r="H667" s="287">
        <f>F667*G667</f>
        <v>7950</v>
      </c>
    </row>
    <row r="668" spans="3:9">
      <c r="C668" s="288" t="s">
        <v>1226</v>
      </c>
      <c r="D668" s="251"/>
      <c r="E668" s="251"/>
      <c r="F668" s="251"/>
      <c r="G668" s="256"/>
      <c r="H668" s="287">
        <f>SUM(H664:H667)</f>
        <v>262420</v>
      </c>
    </row>
    <row r="669" spans="3:9">
      <c r="C669" s="289" t="s">
        <v>1227</v>
      </c>
      <c r="D669" s="248" t="s">
        <v>1228</v>
      </c>
      <c r="E669" s="249"/>
      <c r="F669" s="249"/>
      <c r="G669" s="249"/>
      <c r="H669" s="285"/>
    </row>
    <row r="670" spans="3:9">
      <c r="C670" s="288" t="s">
        <v>1229</v>
      </c>
      <c r="D670" s="251"/>
      <c r="E670" s="251"/>
      <c r="F670" s="251"/>
      <c r="G670" s="256"/>
      <c r="H670" s="290">
        <v>0</v>
      </c>
    </row>
    <row r="671" spans="3:9" ht="14.25">
      <c r="C671" s="291" t="s">
        <v>1230</v>
      </c>
      <c r="D671" s="257" t="s">
        <v>1231</v>
      </c>
      <c r="E671" s="258"/>
      <c r="F671" s="258"/>
      <c r="G671" s="259"/>
      <c r="H671" s="287">
        <f>H670+H668+H662</f>
        <v>268960</v>
      </c>
      <c r="I671" s="260"/>
    </row>
    <row r="672" spans="3:9" ht="14.25">
      <c r="C672" s="123" t="s">
        <v>1232</v>
      </c>
      <c r="D672" s="70" t="s">
        <v>1410</v>
      </c>
      <c r="E672" s="71"/>
      <c r="F672" s="72"/>
      <c r="G672" s="96">
        <f>$M$7</f>
        <v>0.1</v>
      </c>
      <c r="H672" s="125">
        <f>H671*G672</f>
        <v>26896</v>
      </c>
      <c r="I672" s="260"/>
    </row>
    <row r="673" spans="3:9" ht="15.75" thickBot="1">
      <c r="C673" s="292" t="s">
        <v>1233</v>
      </c>
      <c r="D673" s="293" t="s">
        <v>1234</v>
      </c>
      <c r="E673" s="294"/>
      <c r="F673" s="294"/>
      <c r="G673" s="295"/>
      <c r="H673" s="296">
        <f>SUM(H671:H672)</f>
        <v>295856</v>
      </c>
      <c r="I673" s="260"/>
    </row>
    <row r="674" spans="3:9" ht="15.75" thickTop="1">
      <c r="C674" s="267"/>
      <c r="D674" s="268"/>
      <c r="E674" s="268"/>
      <c r="F674" s="268"/>
      <c r="G674" s="268"/>
      <c r="H674" s="269"/>
      <c r="I674" s="260"/>
    </row>
    <row r="675" spans="3:9" ht="15.75" thickBot="1">
      <c r="C675" s="277" t="s">
        <v>1491</v>
      </c>
      <c r="D675" s="279"/>
      <c r="E675" s="279"/>
      <c r="F675" s="279"/>
      <c r="G675" s="279"/>
      <c r="H675" s="279"/>
      <c r="I675" s="246">
        <f>ROUNDDOWN(H691,-2)</f>
        <v>228600</v>
      </c>
    </row>
    <row r="676" spans="3:9" ht="29.25" thickTop="1">
      <c r="C676" s="281" t="s">
        <v>1207</v>
      </c>
      <c r="D676" s="282" t="s">
        <v>1208</v>
      </c>
      <c r="E676" s="282" t="s">
        <v>1209</v>
      </c>
      <c r="F676" s="282" t="s">
        <v>1210</v>
      </c>
      <c r="G676" s="282" t="s">
        <v>1211</v>
      </c>
      <c r="H676" s="283" t="s">
        <v>1212</v>
      </c>
    </row>
    <row r="677" spans="3:9">
      <c r="C677" s="284" t="s">
        <v>1213</v>
      </c>
      <c r="D677" s="248" t="s">
        <v>1214</v>
      </c>
      <c r="E677" s="249"/>
      <c r="F677" s="249"/>
      <c r="G677" s="249"/>
      <c r="H677" s="285"/>
    </row>
    <row r="678" spans="3:9">
      <c r="C678" s="286">
        <v>1</v>
      </c>
      <c r="D678" s="248" t="s">
        <v>5</v>
      </c>
      <c r="E678" s="247" t="s">
        <v>6</v>
      </c>
      <c r="F678" s="250">
        <v>0.1333</v>
      </c>
      <c r="G678" s="65">
        <f>VLOOKUP(D678,upahbahan,3,FALSE)</f>
        <v>100000</v>
      </c>
      <c r="H678" s="287">
        <f>F678*G678</f>
        <v>13330</v>
      </c>
    </row>
    <row r="679" spans="3:9">
      <c r="C679" s="286">
        <v>2</v>
      </c>
      <c r="D679" s="248" t="s">
        <v>8</v>
      </c>
      <c r="E679" s="247" t="s">
        <v>6</v>
      </c>
      <c r="F679" s="250">
        <v>6.6699999999999995E-2</v>
      </c>
      <c r="G679" s="65">
        <f>VLOOKUP(D679,upahbahan,3,FALSE)</f>
        <v>145000</v>
      </c>
      <c r="H679" s="287">
        <f>F679*G679</f>
        <v>9671.5</v>
      </c>
    </row>
    <row r="680" spans="3:9">
      <c r="C680" s="286">
        <v>3</v>
      </c>
      <c r="D680" s="248" t="s">
        <v>18</v>
      </c>
      <c r="E680" s="247" t="s">
        <v>6</v>
      </c>
      <c r="F680" s="250">
        <v>6.7000000000000002E-3</v>
      </c>
      <c r="G680" s="65">
        <f>VLOOKUP(D680,upahbahan,3,FALSE)</f>
        <v>150000</v>
      </c>
      <c r="H680" s="287">
        <f>F680*G680</f>
        <v>1005</v>
      </c>
    </row>
    <row r="681" spans="3:9">
      <c r="C681" s="286">
        <v>4</v>
      </c>
      <c r="D681" s="248" t="s">
        <v>19</v>
      </c>
      <c r="E681" s="247" t="s">
        <v>6</v>
      </c>
      <c r="F681" s="250">
        <v>2.2000000000000001E-3</v>
      </c>
      <c r="G681" s="65">
        <f>VLOOKUP(D681,upahbahan,3,FALSE)</f>
        <v>145000</v>
      </c>
      <c r="H681" s="287">
        <f>F681*G681</f>
        <v>319</v>
      </c>
    </row>
    <row r="682" spans="3:9">
      <c r="C682" s="288" t="s">
        <v>1220</v>
      </c>
      <c r="D682" s="251"/>
      <c r="E682" s="251"/>
      <c r="F682" s="252"/>
      <c r="G682" s="253"/>
      <c r="H682" s="287">
        <f>SUM(H678:H681)</f>
        <v>24325.5</v>
      </c>
      <c r="I682" s="254"/>
    </row>
    <row r="683" spans="3:9">
      <c r="C683" s="284" t="s">
        <v>1221</v>
      </c>
      <c r="D683" s="248" t="s">
        <v>1222</v>
      </c>
      <c r="E683" s="249"/>
      <c r="F683" s="249"/>
      <c r="G683" s="249"/>
      <c r="H683" s="285"/>
    </row>
    <row r="684" spans="3:9">
      <c r="C684" s="286">
        <v>1</v>
      </c>
      <c r="D684" s="248" t="s">
        <v>317</v>
      </c>
      <c r="E684" s="266" t="s">
        <v>63</v>
      </c>
      <c r="F684" s="263">
        <v>1.625</v>
      </c>
      <c r="G684" s="65">
        <f>VLOOKUP(D684,upahbahan,3,FALSE)</f>
        <v>112500</v>
      </c>
      <c r="H684" s="287">
        <f>F684*G684</f>
        <v>182812.5</v>
      </c>
    </row>
    <row r="685" spans="3:9">
      <c r="C685" s="286">
        <v>2</v>
      </c>
      <c r="D685" s="248" t="s">
        <v>263</v>
      </c>
      <c r="E685" s="247" t="s">
        <v>66</v>
      </c>
      <c r="F685" s="263">
        <v>0.05</v>
      </c>
      <c r="G685" s="65">
        <f>VLOOKUP(D685,upahbahan,3,FALSE)</f>
        <v>15000</v>
      </c>
      <c r="H685" s="287">
        <f>F685*G685</f>
        <v>750</v>
      </c>
    </row>
    <row r="686" spans="3:9">
      <c r="C686" s="288" t="s">
        <v>1226</v>
      </c>
      <c r="D686" s="251"/>
      <c r="E686" s="251"/>
      <c r="F686" s="251"/>
      <c r="G686" s="256"/>
      <c r="H686" s="287">
        <f>SUM(H684:H685)</f>
        <v>183562.5</v>
      </c>
    </row>
    <row r="687" spans="3:9">
      <c r="C687" s="289" t="s">
        <v>1227</v>
      </c>
      <c r="D687" s="248" t="s">
        <v>1228</v>
      </c>
      <c r="E687" s="249"/>
      <c r="F687" s="249"/>
      <c r="G687" s="249"/>
      <c r="H687" s="285"/>
    </row>
    <row r="688" spans="3:9">
      <c r="C688" s="288" t="s">
        <v>1229</v>
      </c>
      <c r="D688" s="251"/>
      <c r="E688" s="251"/>
      <c r="F688" s="251"/>
      <c r="G688" s="256"/>
      <c r="H688" s="290">
        <v>0</v>
      </c>
    </row>
    <row r="689" spans="3:9" ht="14.25">
      <c r="C689" s="291" t="s">
        <v>1230</v>
      </c>
      <c r="D689" s="257" t="s">
        <v>1231</v>
      </c>
      <c r="E689" s="258"/>
      <c r="F689" s="258"/>
      <c r="G689" s="259"/>
      <c r="H689" s="287">
        <f>H688+H686+H682</f>
        <v>207888</v>
      </c>
      <c r="I689" s="260"/>
    </row>
    <row r="690" spans="3:9" ht="14.25">
      <c r="C690" s="123" t="s">
        <v>1232</v>
      </c>
      <c r="D690" s="70" t="s">
        <v>1410</v>
      </c>
      <c r="E690" s="71"/>
      <c r="F690" s="72"/>
      <c r="G690" s="96">
        <f>$M$7</f>
        <v>0.1</v>
      </c>
      <c r="H690" s="125">
        <f>H689*G690</f>
        <v>20788.800000000003</v>
      </c>
      <c r="I690" s="260"/>
    </row>
    <row r="691" spans="3:9" ht="15.75" thickBot="1">
      <c r="C691" s="292" t="s">
        <v>1233</v>
      </c>
      <c r="D691" s="293" t="s">
        <v>1234</v>
      </c>
      <c r="E691" s="294"/>
      <c r="F691" s="294"/>
      <c r="G691" s="295"/>
      <c r="H691" s="296">
        <f>SUM(H689:H690)</f>
        <v>228676.8</v>
      </c>
      <c r="I691" s="260"/>
    </row>
    <row r="692" spans="3:9" ht="15.75" thickTop="1">
      <c r="C692" s="267"/>
      <c r="D692" s="268"/>
      <c r="E692" s="268"/>
      <c r="F692" s="268"/>
      <c r="G692" s="268"/>
      <c r="H692" s="269"/>
      <c r="I692" s="260"/>
    </row>
    <row r="693" spans="3:9" ht="15.75" thickBot="1">
      <c r="C693" s="277" t="s">
        <v>1492</v>
      </c>
      <c r="D693" s="279"/>
      <c r="E693" s="279"/>
      <c r="F693" s="279"/>
      <c r="G693" s="279"/>
      <c r="H693" s="279"/>
      <c r="I693" s="246">
        <f>ROUNDDOWN(H709,-2)</f>
        <v>161500</v>
      </c>
    </row>
    <row r="694" spans="3:9" ht="29.25" thickTop="1">
      <c r="C694" s="281" t="s">
        <v>1207</v>
      </c>
      <c r="D694" s="282" t="s">
        <v>1208</v>
      </c>
      <c r="E694" s="282" t="s">
        <v>1209</v>
      </c>
      <c r="F694" s="282" t="s">
        <v>1210</v>
      </c>
      <c r="G694" s="282" t="s">
        <v>1211</v>
      </c>
      <c r="H694" s="283" t="s">
        <v>1212</v>
      </c>
    </row>
    <row r="695" spans="3:9">
      <c r="C695" s="284" t="s">
        <v>1213</v>
      </c>
      <c r="D695" s="248" t="s">
        <v>1214</v>
      </c>
      <c r="E695" s="249"/>
      <c r="F695" s="249"/>
      <c r="G695" s="249"/>
      <c r="H695" s="285"/>
    </row>
    <row r="696" spans="3:9">
      <c r="C696" s="286">
        <v>1</v>
      </c>
      <c r="D696" s="248" t="s">
        <v>5</v>
      </c>
      <c r="E696" s="247" t="s">
        <v>6</v>
      </c>
      <c r="F696" s="250">
        <v>0.08</v>
      </c>
      <c r="G696" s="65">
        <f>VLOOKUP(D696,upahbahan,3,FALSE)</f>
        <v>100000</v>
      </c>
      <c r="H696" s="287">
        <f>F696*G696</f>
        <v>8000</v>
      </c>
    </row>
    <row r="697" spans="3:9">
      <c r="C697" s="286">
        <v>2</v>
      </c>
      <c r="D697" s="248" t="s">
        <v>8</v>
      </c>
      <c r="E697" s="247" t="s">
        <v>6</v>
      </c>
      <c r="F697" s="250">
        <v>0.04</v>
      </c>
      <c r="G697" s="65">
        <f>VLOOKUP(D697,upahbahan,3,FALSE)</f>
        <v>145000</v>
      </c>
      <c r="H697" s="287">
        <f>F697*G697</f>
        <v>5800</v>
      </c>
    </row>
    <row r="698" spans="3:9">
      <c r="C698" s="286">
        <v>3</v>
      </c>
      <c r="D698" s="248" t="s">
        <v>18</v>
      </c>
      <c r="E698" s="247" t="s">
        <v>6</v>
      </c>
      <c r="F698" s="250">
        <v>4.0000000000000001E-3</v>
      </c>
      <c r="G698" s="65">
        <f>VLOOKUP(D698,upahbahan,3,FALSE)</f>
        <v>150000</v>
      </c>
      <c r="H698" s="287">
        <f>F698*G698</f>
        <v>600</v>
      </c>
    </row>
    <row r="699" spans="3:9">
      <c r="C699" s="286">
        <v>4</v>
      </c>
      <c r="D699" s="248" t="s">
        <v>19</v>
      </c>
      <c r="E699" s="247" t="s">
        <v>6</v>
      </c>
      <c r="F699" s="250">
        <v>1.2999999999999999E-3</v>
      </c>
      <c r="G699" s="65">
        <f>VLOOKUP(D699,upahbahan,3,FALSE)</f>
        <v>145000</v>
      </c>
      <c r="H699" s="287">
        <f>F699*G699</f>
        <v>188.5</v>
      </c>
    </row>
    <row r="700" spans="3:9">
      <c r="C700" s="288" t="s">
        <v>1220</v>
      </c>
      <c r="D700" s="251"/>
      <c r="E700" s="251"/>
      <c r="F700" s="252"/>
      <c r="G700" s="253"/>
      <c r="H700" s="287">
        <f>SUM(H696:H699)</f>
        <v>14588.5</v>
      </c>
      <c r="I700" s="254"/>
    </row>
    <row r="701" spans="3:9">
      <c r="C701" s="284" t="s">
        <v>1221</v>
      </c>
      <c r="D701" s="248" t="s">
        <v>1222</v>
      </c>
      <c r="E701" s="249"/>
      <c r="F701" s="249"/>
      <c r="G701" s="249"/>
      <c r="H701" s="285"/>
    </row>
    <row r="702" spans="3:9">
      <c r="C702" s="286">
        <v>1</v>
      </c>
      <c r="D702" s="248" t="s">
        <v>318</v>
      </c>
      <c r="E702" s="266" t="s">
        <v>63</v>
      </c>
      <c r="F702" s="263">
        <v>1.625</v>
      </c>
      <c r="G702" s="65">
        <f>VLOOKUP(D702,upahbahan,3,FALSE)</f>
        <v>80000</v>
      </c>
      <c r="H702" s="287">
        <f>F702*G702</f>
        <v>130000</v>
      </c>
    </row>
    <row r="703" spans="3:9">
      <c r="C703" s="286">
        <v>2</v>
      </c>
      <c r="D703" s="248" t="s">
        <v>263</v>
      </c>
      <c r="E703" s="247" t="s">
        <v>66</v>
      </c>
      <c r="F703" s="263">
        <v>0.15</v>
      </c>
      <c r="G703" s="65">
        <f>VLOOKUP(D703,upahbahan,3,FALSE)</f>
        <v>15000</v>
      </c>
      <c r="H703" s="287">
        <f>F703*G703</f>
        <v>2250</v>
      </c>
    </row>
    <row r="704" spans="3:9">
      <c r="C704" s="288" t="s">
        <v>1226</v>
      </c>
      <c r="D704" s="251"/>
      <c r="E704" s="251"/>
      <c r="F704" s="251"/>
      <c r="G704" s="256"/>
      <c r="H704" s="287">
        <f>SUM(H702:H703)</f>
        <v>132250</v>
      </c>
    </row>
    <row r="705" spans="3:9">
      <c r="C705" s="289" t="s">
        <v>1227</v>
      </c>
      <c r="D705" s="248" t="s">
        <v>1228</v>
      </c>
      <c r="E705" s="249"/>
      <c r="F705" s="249"/>
      <c r="G705" s="249"/>
      <c r="H705" s="285"/>
    </row>
    <row r="706" spans="3:9">
      <c r="C706" s="288" t="s">
        <v>1229</v>
      </c>
      <c r="D706" s="251"/>
      <c r="E706" s="251"/>
      <c r="F706" s="251"/>
      <c r="G706" s="256"/>
      <c r="H706" s="290">
        <v>0</v>
      </c>
    </row>
    <row r="707" spans="3:9" ht="14.25">
      <c r="C707" s="291" t="s">
        <v>1230</v>
      </c>
      <c r="D707" s="257" t="s">
        <v>1231</v>
      </c>
      <c r="E707" s="258"/>
      <c r="F707" s="258"/>
      <c r="G707" s="259"/>
      <c r="H707" s="287">
        <f>H706+H704+H700</f>
        <v>146838.5</v>
      </c>
      <c r="I707" s="260"/>
    </row>
    <row r="708" spans="3:9" ht="14.25">
      <c r="C708" s="123" t="s">
        <v>1232</v>
      </c>
      <c r="D708" s="70" t="s">
        <v>1410</v>
      </c>
      <c r="E708" s="71"/>
      <c r="F708" s="72"/>
      <c r="G708" s="96">
        <f>$M$7</f>
        <v>0.1</v>
      </c>
      <c r="H708" s="125">
        <f>H707*G708</f>
        <v>14683.85</v>
      </c>
      <c r="I708" s="260"/>
    </row>
    <row r="709" spans="3:9" ht="15.75" thickBot="1">
      <c r="C709" s="292" t="s">
        <v>1233</v>
      </c>
      <c r="D709" s="293" t="s">
        <v>1234</v>
      </c>
      <c r="E709" s="294"/>
      <c r="F709" s="294"/>
      <c r="G709" s="295"/>
      <c r="H709" s="296">
        <f>SUM(H707:H708)</f>
        <v>161522.35</v>
      </c>
      <c r="I709" s="260"/>
    </row>
    <row r="710" spans="3:9" ht="15.75" thickTop="1">
      <c r="C710" s="267"/>
      <c r="D710" s="268"/>
      <c r="E710" s="268"/>
      <c r="F710" s="268"/>
      <c r="G710" s="268"/>
      <c r="H710" s="269"/>
      <c r="I710" s="260"/>
    </row>
    <row r="711" spans="3:9" ht="15.75" thickBot="1">
      <c r="C711" s="277" t="s">
        <v>1493</v>
      </c>
      <c r="D711" s="279"/>
      <c r="E711" s="279"/>
      <c r="F711" s="279"/>
      <c r="G711" s="279"/>
      <c r="H711" s="279"/>
      <c r="I711" s="246">
        <f>ROUNDDOWN(H727,-2)</f>
        <v>778800</v>
      </c>
    </row>
    <row r="712" spans="3:9" ht="29.25" thickTop="1">
      <c r="C712" s="281" t="s">
        <v>1207</v>
      </c>
      <c r="D712" s="282" t="s">
        <v>1208</v>
      </c>
      <c r="E712" s="282" t="s">
        <v>1209</v>
      </c>
      <c r="F712" s="282" t="s">
        <v>1210</v>
      </c>
      <c r="G712" s="282" t="s">
        <v>1211</v>
      </c>
      <c r="H712" s="283" t="s">
        <v>1212</v>
      </c>
    </row>
    <row r="713" spans="3:9">
      <c r="C713" s="284" t="s">
        <v>1213</v>
      </c>
      <c r="D713" s="248" t="s">
        <v>1214</v>
      </c>
      <c r="E713" s="249"/>
      <c r="F713" s="249"/>
      <c r="G713" s="249"/>
      <c r="H713" s="285"/>
    </row>
    <row r="714" spans="3:9">
      <c r="C714" s="286">
        <v>1</v>
      </c>
      <c r="D714" s="248" t="s">
        <v>5</v>
      </c>
      <c r="E714" s="247" t="s">
        <v>6</v>
      </c>
      <c r="F714" s="263">
        <v>0.3</v>
      </c>
      <c r="G714" s="65">
        <f>VLOOKUP(D714,upahbahan,3,FALSE)</f>
        <v>100000</v>
      </c>
      <c r="H714" s="287">
        <f>F714*G714</f>
        <v>30000</v>
      </c>
    </row>
    <row r="715" spans="3:9">
      <c r="C715" s="286">
        <v>2</v>
      </c>
      <c r="D715" s="248" t="s">
        <v>8</v>
      </c>
      <c r="E715" s="247" t="s">
        <v>6</v>
      </c>
      <c r="F715" s="263">
        <v>0.1</v>
      </c>
      <c r="G715" s="65">
        <f>VLOOKUP(D715,upahbahan,3,FALSE)</f>
        <v>145000</v>
      </c>
      <c r="H715" s="287">
        <f>F715*G715</f>
        <v>14500</v>
      </c>
    </row>
    <row r="716" spans="3:9">
      <c r="C716" s="286">
        <v>3</v>
      </c>
      <c r="D716" s="248" t="s">
        <v>18</v>
      </c>
      <c r="E716" s="247" t="s">
        <v>6</v>
      </c>
      <c r="F716" s="263">
        <v>0.01</v>
      </c>
      <c r="G716" s="65">
        <f>VLOOKUP(D716,upahbahan,3,FALSE)</f>
        <v>150000</v>
      </c>
      <c r="H716" s="287">
        <f>F716*G716</f>
        <v>1500</v>
      </c>
    </row>
    <row r="717" spans="3:9">
      <c r="C717" s="286">
        <v>4</v>
      </c>
      <c r="D717" s="248" t="s">
        <v>19</v>
      </c>
      <c r="E717" s="247" t="s">
        <v>6</v>
      </c>
      <c r="F717" s="263">
        <v>3.0000000000000001E-3</v>
      </c>
      <c r="G717" s="65">
        <f>VLOOKUP(D717,upahbahan,3,FALSE)</f>
        <v>145000</v>
      </c>
      <c r="H717" s="287">
        <f>F717*G717</f>
        <v>435</v>
      </c>
    </row>
    <row r="718" spans="3:9">
      <c r="C718" s="288" t="s">
        <v>1220</v>
      </c>
      <c r="D718" s="251"/>
      <c r="E718" s="251"/>
      <c r="F718" s="252"/>
      <c r="G718" s="253"/>
      <c r="H718" s="287">
        <f>SUM(H714:H717)</f>
        <v>46435</v>
      </c>
      <c r="I718" s="254"/>
    </row>
    <row r="719" spans="3:9">
      <c r="C719" s="284" t="s">
        <v>1221</v>
      </c>
      <c r="D719" s="248" t="s">
        <v>1222</v>
      </c>
      <c r="E719" s="249"/>
      <c r="F719" s="249"/>
      <c r="G719" s="249"/>
      <c r="H719" s="285"/>
    </row>
    <row r="720" spans="3:9">
      <c r="C720" s="286">
        <v>1</v>
      </c>
      <c r="D720" s="248" t="s">
        <v>664</v>
      </c>
      <c r="E720" s="266" t="s">
        <v>63</v>
      </c>
      <c r="F720" s="255">
        <v>1.1000000000000001</v>
      </c>
      <c r="G720" s="65">
        <f>VLOOKUP(D720,upahbahan,3,FALSE)</f>
        <v>600000</v>
      </c>
      <c r="H720" s="287">
        <f>F720*G720</f>
        <v>660000</v>
      </c>
    </row>
    <row r="721" spans="3:9">
      <c r="C721" s="286">
        <v>2</v>
      </c>
      <c r="D721" s="248" t="s">
        <v>1057</v>
      </c>
      <c r="E721" s="247" t="s">
        <v>1058</v>
      </c>
      <c r="F721" s="255">
        <v>0.05</v>
      </c>
      <c r="G721" s="65">
        <f>VLOOKUP(D721,upahbahan,3,FALSE)</f>
        <v>33100</v>
      </c>
      <c r="H721" s="287">
        <f>F721*G721</f>
        <v>1655</v>
      </c>
    </row>
    <row r="722" spans="3:9">
      <c r="C722" s="288" t="s">
        <v>1226</v>
      </c>
      <c r="D722" s="251"/>
      <c r="E722" s="251"/>
      <c r="F722" s="251"/>
      <c r="G722" s="256"/>
      <c r="H722" s="287">
        <f>SUM(H720:H721)</f>
        <v>661655</v>
      </c>
    </row>
    <row r="723" spans="3:9">
      <c r="C723" s="289" t="s">
        <v>1227</v>
      </c>
      <c r="D723" s="248" t="s">
        <v>1228</v>
      </c>
      <c r="E723" s="249"/>
      <c r="F723" s="249"/>
      <c r="G723" s="249"/>
      <c r="H723" s="285"/>
    </row>
    <row r="724" spans="3:9">
      <c r="C724" s="288" t="s">
        <v>1229</v>
      </c>
      <c r="D724" s="251"/>
      <c r="E724" s="251"/>
      <c r="F724" s="251"/>
      <c r="G724" s="256"/>
      <c r="H724" s="290">
        <v>0</v>
      </c>
    </row>
    <row r="725" spans="3:9" ht="14.25">
      <c r="C725" s="291" t="s">
        <v>1230</v>
      </c>
      <c r="D725" s="257" t="s">
        <v>1231</v>
      </c>
      <c r="E725" s="258"/>
      <c r="F725" s="258"/>
      <c r="G725" s="259"/>
      <c r="H725" s="287">
        <f>H724+H722+H718</f>
        <v>708090</v>
      </c>
      <c r="I725" s="260"/>
    </row>
    <row r="726" spans="3:9" ht="14.25">
      <c r="C726" s="123" t="s">
        <v>1232</v>
      </c>
      <c r="D726" s="70" t="s">
        <v>1410</v>
      </c>
      <c r="E726" s="71"/>
      <c r="F726" s="72"/>
      <c r="G726" s="96">
        <f>$M$7</f>
        <v>0.1</v>
      </c>
      <c r="H726" s="125">
        <f>H725*G726</f>
        <v>70809</v>
      </c>
      <c r="I726" s="260"/>
    </row>
    <row r="727" spans="3:9" ht="15.75" thickBot="1">
      <c r="C727" s="292" t="s">
        <v>1233</v>
      </c>
      <c r="D727" s="293" t="s">
        <v>1234</v>
      </c>
      <c r="E727" s="294"/>
      <c r="F727" s="294"/>
      <c r="G727" s="295"/>
      <c r="H727" s="296">
        <f>SUM(H725:H726)</f>
        <v>778899</v>
      </c>
      <c r="I727" s="260"/>
    </row>
    <row r="728" spans="3:9" ht="15.75" thickTop="1">
      <c r="C728" s="267"/>
      <c r="D728" s="268"/>
      <c r="E728" s="268"/>
      <c r="F728" s="268"/>
      <c r="G728" s="268"/>
      <c r="H728" s="269"/>
      <c r="I728" s="260"/>
    </row>
    <row r="729" spans="3:9" ht="15.75" thickBot="1">
      <c r="C729" s="277" t="s">
        <v>1494</v>
      </c>
      <c r="D729" s="279"/>
      <c r="E729" s="279"/>
      <c r="F729" s="279"/>
      <c r="G729" s="279"/>
      <c r="H729" s="279"/>
      <c r="I729" s="246">
        <f>ROUNDDOWN(H745,-2)</f>
        <v>53600</v>
      </c>
    </row>
    <row r="730" spans="3:9" ht="29.25" thickTop="1">
      <c r="C730" s="281" t="s">
        <v>1207</v>
      </c>
      <c r="D730" s="282" t="s">
        <v>1208</v>
      </c>
      <c r="E730" s="282" t="s">
        <v>1209</v>
      </c>
      <c r="F730" s="282" t="s">
        <v>1210</v>
      </c>
      <c r="G730" s="282" t="s">
        <v>1211</v>
      </c>
      <c r="H730" s="283" t="s">
        <v>1212</v>
      </c>
    </row>
    <row r="731" spans="3:9">
      <c r="C731" s="284" t="s">
        <v>1213</v>
      </c>
      <c r="D731" s="248" t="s">
        <v>1214</v>
      </c>
      <c r="E731" s="249"/>
      <c r="F731" s="249"/>
      <c r="G731" s="249"/>
      <c r="H731" s="285"/>
    </row>
    <row r="732" spans="3:9">
      <c r="C732" s="286">
        <v>1</v>
      </c>
      <c r="D732" s="248" t="s">
        <v>5</v>
      </c>
      <c r="E732" s="247" t="s">
        <v>6</v>
      </c>
      <c r="F732" s="250">
        <v>0.15</v>
      </c>
      <c r="G732" s="65">
        <f>VLOOKUP(D732,upahbahan,3,FALSE)</f>
        <v>100000</v>
      </c>
      <c r="H732" s="287">
        <f>F732*G732</f>
        <v>15000</v>
      </c>
    </row>
    <row r="733" spans="3:9">
      <c r="C733" s="286">
        <v>2</v>
      </c>
      <c r="D733" s="248" t="s">
        <v>8</v>
      </c>
      <c r="E733" s="247" t="s">
        <v>6</v>
      </c>
      <c r="F733" s="250">
        <v>7.0000000000000007E-2</v>
      </c>
      <c r="G733" s="65">
        <f>VLOOKUP(D733,upahbahan,3,FALSE)</f>
        <v>145000</v>
      </c>
      <c r="H733" s="287">
        <f>F733*G733</f>
        <v>10150.000000000002</v>
      </c>
    </row>
    <row r="734" spans="3:9">
      <c r="C734" s="286">
        <v>3</v>
      </c>
      <c r="D734" s="248" t="s">
        <v>18</v>
      </c>
      <c r="E734" s="247" t="s">
        <v>6</v>
      </c>
      <c r="F734" s="250">
        <v>7.0000000000000001E-3</v>
      </c>
      <c r="G734" s="65">
        <f>VLOOKUP(D734,upahbahan,3,FALSE)</f>
        <v>150000</v>
      </c>
      <c r="H734" s="287">
        <f>F734*G734</f>
        <v>1050</v>
      </c>
    </row>
    <row r="735" spans="3:9">
      <c r="C735" s="286">
        <v>4</v>
      </c>
      <c r="D735" s="248" t="s">
        <v>19</v>
      </c>
      <c r="E735" s="247" t="s">
        <v>6</v>
      </c>
      <c r="F735" s="250">
        <v>2.3E-3</v>
      </c>
      <c r="G735" s="65">
        <f>VLOOKUP(D735,upahbahan,3,FALSE)</f>
        <v>145000</v>
      </c>
      <c r="H735" s="287">
        <f>F735*G735</f>
        <v>333.5</v>
      </c>
    </row>
    <row r="736" spans="3:9">
      <c r="C736" s="288" t="s">
        <v>1220</v>
      </c>
      <c r="D736" s="251"/>
      <c r="E736" s="251"/>
      <c r="F736" s="252"/>
      <c r="G736" s="253"/>
      <c r="H736" s="287">
        <f>SUM(H732:H735)</f>
        <v>26533.5</v>
      </c>
      <c r="I736" s="254"/>
    </row>
    <row r="737" spans="3:9">
      <c r="C737" s="284" t="s">
        <v>1221</v>
      </c>
      <c r="D737" s="248" t="s">
        <v>1222</v>
      </c>
      <c r="E737" s="249"/>
      <c r="F737" s="249"/>
      <c r="G737" s="249"/>
      <c r="H737" s="285"/>
    </row>
    <row r="738" spans="3:9">
      <c r="C738" s="286">
        <v>1</v>
      </c>
      <c r="D738" s="265" t="s">
        <v>375</v>
      </c>
      <c r="E738" s="266" t="s">
        <v>133</v>
      </c>
      <c r="F738" s="263">
        <v>0.3</v>
      </c>
      <c r="G738" s="65">
        <f>VLOOKUP(D738,upahbahan,3,FALSE)</f>
        <v>72200</v>
      </c>
      <c r="H738" s="287">
        <f>F738*G738</f>
        <v>21660</v>
      </c>
    </row>
    <row r="739" spans="3:9">
      <c r="C739" s="286">
        <v>2</v>
      </c>
      <c r="D739" s="248" t="s">
        <v>263</v>
      </c>
      <c r="E739" s="247" t="s">
        <v>66</v>
      </c>
      <c r="F739" s="263">
        <v>0.04</v>
      </c>
      <c r="G739" s="65">
        <f>VLOOKUP(D739,upahbahan,3,FALSE)</f>
        <v>15000</v>
      </c>
      <c r="H739" s="287">
        <f>F739*G739</f>
        <v>600</v>
      </c>
    </row>
    <row r="740" spans="3:9">
      <c r="C740" s="288" t="s">
        <v>1226</v>
      </c>
      <c r="D740" s="251"/>
      <c r="E740" s="251"/>
      <c r="F740" s="251"/>
      <c r="G740" s="256"/>
      <c r="H740" s="287">
        <f>SUM(H738:H739)</f>
        <v>22260</v>
      </c>
    </row>
    <row r="741" spans="3:9">
      <c r="C741" s="289" t="s">
        <v>1227</v>
      </c>
      <c r="D741" s="248" t="s">
        <v>1228</v>
      </c>
      <c r="E741" s="249"/>
      <c r="F741" s="249"/>
      <c r="G741" s="249"/>
      <c r="H741" s="285"/>
    </row>
    <row r="742" spans="3:9">
      <c r="C742" s="288" t="s">
        <v>1229</v>
      </c>
      <c r="D742" s="251"/>
      <c r="E742" s="251"/>
      <c r="F742" s="251"/>
      <c r="G742" s="256"/>
      <c r="H742" s="290">
        <v>0</v>
      </c>
    </row>
    <row r="743" spans="3:9" ht="14.25">
      <c r="C743" s="291" t="s">
        <v>1230</v>
      </c>
      <c r="D743" s="257" t="s">
        <v>1231</v>
      </c>
      <c r="E743" s="258"/>
      <c r="F743" s="258"/>
      <c r="G743" s="259"/>
      <c r="H743" s="287">
        <f>H742+H740+H736</f>
        <v>48793.5</v>
      </c>
      <c r="I743" s="260"/>
    </row>
    <row r="744" spans="3:9" ht="14.25">
      <c r="C744" s="123" t="s">
        <v>1232</v>
      </c>
      <c r="D744" s="70" t="s">
        <v>1410</v>
      </c>
      <c r="E744" s="71"/>
      <c r="F744" s="72"/>
      <c r="G744" s="96">
        <f>$M$7</f>
        <v>0.1</v>
      </c>
      <c r="H744" s="125">
        <f>H743*G744</f>
        <v>4879.3500000000004</v>
      </c>
      <c r="I744" s="260"/>
    </row>
    <row r="745" spans="3:9" ht="15.75" thickBot="1">
      <c r="C745" s="292" t="s">
        <v>1233</v>
      </c>
      <c r="D745" s="293" t="s">
        <v>1234</v>
      </c>
      <c r="E745" s="294"/>
      <c r="F745" s="294"/>
      <c r="G745" s="295"/>
      <c r="H745" s="296">
        <f>SUM(H743:H744)</f>
        <v>53672.85</v>
      </c>
      <c r="I745" s="260"/>
    </row>
    <row r="746" spans="3:9" ht="15.75" thickTop="1">
      <c r="C746" s="267"/>
      <c r="D746" s="268"/>
      <c r="E746" s="268"/>
      <c r="F746" s="268"/>
      <c r="G746" s="268"/>
      <c r="H746" s="269"/>
      <c r="I746" s="260"/>
    </row>
    <row r="747" spans="3:9" ht="15.75" thickBot="1">
      <c r="C747" s="277" t="s">
        <v>1495</v>
      </c>
      <c r="D747" s="279"/>
      <c r="E747" s="279"/>
      <c r="F747" s="279"/>
      <c r="G747" s="279"/>
      <c r="H747" s="279"/>
      <c r="I747" s="246">
        <f>ROUNDDOWN(H763,-2)</f>
        <v>281100</v>
      </c>
    </row>
    <row r="748" spans="3:9" ht="29.25" thickTop="1">
      <c r="C748" s="281" t="s">
        <v>1207</v>
      </c>
      <c r="D748" s="282" t="s">
        <v>1208</v>
      </c>
      <c r="E748" s="282" t="s">
        <v>1209</v>
      </c>
      <c r="F748" s="282" t="s">
        <v>1210</v>
      </c>
      <c r="G748" s="282" t="s">
        <v>1211</v>
      </c>
      <c r="H748" s="283" t="s">
        <v>1212</v>
      </c>
    </row>
    <row r="749" spans="3:9">
      <c r="C749" s="284" t="s">
        <v>1213</v>
      </c>
      <c r="D749" s="248" t="s">
        <v>1214</v>
      </c>
      <c r="E749" s="249"/>
      <c r="F749" s="249"/>
      <c r="G749" s="249"/>
      <c r="H749" s="285"/>
    </row>
    <row r="750" spans="3:9">
      <c r="C750" s="286">
        <v>1</v>
      </c>
      <c r="D750" s="248" t="s">
        <v>5</v>
      </c>
      <c r="E750" s="247" t="s">
        <v>6</v>
      </c>
      <c r="F750" s="250">
        <v>0.1</v>
      </c>
      <c r="G750" s="65">
        <f>VLOOKUP(D750,upahbahan,3,FALSE)</f>
        <v>100000</v>
      </c>
      <c r="H750" s="287">
        <f>F750*G750</f>
        <v>10000</v>
      </c>
    </row>
    <row r="751" spans="3:9">
      <c r="C751" s="286">
        <v>2</v>
      </c>
      <c r="D751" s="248" t="s">
        <v>8</v>
      </c>
      <c r="E751" s="247" t="s">
        <v>6</v>
      </c>
      <c r="F751" s="250">
        <v>1</v>
      </c>
      <c r="G751" s="65">
        <f>VLOOKUP(D751,upahbahan,3,FALSE)</f>
        <v>145000</v>
      </c>
      <c r="H751" s="287">
        <f>F751*G751</f>
        <v>145000</v>
      </c>
    </row>
    <row r="752" spans="3:9">
      <c r="C752" s="286">
        <v>3</v>
      </c>
      <c r="D752" s="248" t="s">
        <v>18</v>
      </c>
      <c r="E752" s="247" t="s">
        <v>6</v>
      </c>
      <c r="F752" s="250">
        <v>0.1</v>
      </c>
      <c r="G752" s="65">
        <f>VLOOKUP(D752,upahbahan,3,FALSE)</f>
        <v>150000</v>
      </c>
      <c r="H752" s="287">
        <f>F752*G752</f>
        <v>15000</v>
      </c>
    </row>
    <row r="753" spans="3:9">
      <c r="C753" s="286">
        <v>4</v>
      </c>
      <c r="D753" s="248" t="s">
        <v>19</v>
      </c>
      <c r="E753" s="247" t="s">
        <v>6</v>
      </c>
      <c r="F753" s="250">
        <v>3.3300000000000003E-2</v>
      </c>
      <c r="G753" s="65">
        <f>VLOOKUP(D753,upahbahan,3,FALSE)</f>
        <v>145000</v>
      </c>
      <c r="H753" s="287">
        <f>F753*G753</f>
        <v>4828.5000000000009</v>
      </c>
    </row>
    <row r="754" spans="3:9">
      <c r="C754" s="288" t="s">
        <v>1220</v>
      </c>
      <c r="D754" s="251"/>
      <c r="E754" s="251"/>
      <c r="F754" s="252"/>
      <c r="G754" s="253"/>
      <c r="H754" s="287">
        <f>SUM(H750:H753)</f>
        <v>174828.5</v>
      </c>
      <c r="I754" s="254"/>
    </row>
    <row r="755" spans="3:9">
      <c r="C755" s="284" t="s">
        <v>1221</v>
      </c>
      <c r="D755" s="248" t="s">
        <v>1222</v>
      </c>
      <c r="E755" s="249"/>
      <c r="F755" s="249"/>
      <c r="G755" s="249"/>
      <c r="H755" s="285"/>
    </row>
    <row r="756" spans="3:9">
      <c r="C756" s="286">
        <v>1</v>
      </c>
      <c r="D756" s="265" t="s">
        <v>356</v>
      </c>
      <c r="E756" s="266" t="s">
        <v>133</v>
      </c>
      <c r="F756" s="263">
        <v>1.2</v>
      </c>
      <c r="G756" s="65">
        <f>VLOOKUP(D756,upahbahan,3,FALSE)</f>
        <v>67000</v>
      </c>
      <c r="H756" s="287">
        <f>F756*G756</f>
        <v>80400</v>
      </c>
    </row>
    <row r="757" spans="3:9">
      <c r="C757" s="286">
        <v>2</v>
      </c>
      <c r="D757" s="248" t="s">
        <v>270</v>
      </c>
      <c r="E757" s="247" t="s">
        <v>66</v>
      </c>
      <c r="F757" s="263">
        <v>0.02</v>
      </c>
      <c r="G757" s="65">
        <f>VLOOKUP(D757,upahbahan,3,FALSE)</f>
        <v>19460</v>
      </c>
      <c r="H757" s="287">
        <f>F757*G757</f>
        <v>389.2</v>
      </c>
    </row>
    <row r="758" spans="3:9">
      <c r="C758" s="288" t="s">
        <v>1226</v>
      </c>
      <c r="D758" s="251"/>
      <c r="E758" s="251"/>
      <c r="F758" s="251"/>
      <c r="G758" s="256"/>
      <c r="H758" s="287">
        <f>SUM(H756:H757)</f>
        <v>80789.2</v>
      </c>
    </row>
    <row r="759" spans="3:9">
      <c r="C759" s="289" t="s">
        <v>1227</v>
      </c>
      <c r="D759" s="248" t="s">
        <v>1228</v>
      </c>
      <c r="E759" s="249"/>
      <c r="F759" s="249"/>
      <c r="G759" s="249"/>
      <c r="H759" s="285"/>
    </row>
    <row r="760" spans="3:9">
      <c r="C760" s="288" t="s">
        <v>1229</v>
      </c>
      <c r="D760" s="251"/>
      <c r="E760" s="251"/>
      <c r="F760" s="251"/>
      <c r="G760" s="256"/>
      <c r="H760" s="290">
        <v>0</v>
      </c>
    </row>
    <row r="761" spans="3:9" ht="14.25">
      <c r="C761" s="291" t="s">
        <v>1230</v>
      </c>
      <c r="D761" s="257" t="s">
        <v>1231</v>
      </c>
      <c r="E761" s="258"/>
      <c r="F761" s="258"/>
      <c r="G761" s="259"/>
      <c r="H761" s="287">
        <f>H760+H758+H754</f>
        <v>255617.7</v>
      </c>
      <c r="I761" s="260"/>
    </row>
    <row r="762" spans="3:9" ht="14.25">
      <c r="C762" s="123" t="s">
        <v>1232</v>
      </c>
      <c r="D762" s="70" t="s">
        <v>1410</v>
      </c>
      <c r="E762" s="71"/>
      <c r="F762" s="72"/>
      <c r="G762" s="96">
        <f>$M$7</f>
        <v>0.1</v>
      </c>
      <c r="H762" s="125">
        <f>H761*G762</f>
        <v>25561.770000000004</v>
      </c>
      <c r="I762" s="260"/>
    </row>
    <row r="763" spans="3:9" ht="15.75" thickBot="1">
      <c r="C763" s="292" t="s">
        <v>1233</v>
      </c>
      <c r="D763" s="293" t="s">
        <v>1234</v>
      </c>
      <c r="E763" s="294"/>
      <c r="F763" s="294"/>
      <c r="G763" s="295"/>
      <c r="H763" s="296">
        <f>SUM(H761:H762)</f>
        <v>281179.47000000003</v>
      </c>
      <c r="I763" s="260"/>
    </row>
    <row r="764" spans="3:9" ht="15.75" thickTop="1">
      <c r="C764" s="267"/>
      <c r="D764" s="268"/>
      <c r="E764" s="268"/>
      <c r="F764" s="268"/>
      <c r="G764" s="268"/>
      <c r="H764" s="269"/>
      <c r="I764" s="260"/>
    </row>
    <row r="765" spans="3:9" ht="15.75" thickBot="1">
      <c r="C765" s="277" t="s">
        <v>1496</v>
      </c>
      <c r="D765" s="279"/>
      <c r="E765" s="279"/>
      <c r="F765" s="279"/>
      <c r="G765" s="279"/>
      <c r="H765" s="279"/>
      <c r="I765" s="246">
        <f>ROUNDDOWN(H781,-2)</f>
        <v>89300</v>
      </c>
    </row>
    <row r="766" spans="3:9" ht="29.25" thickTop="1">
      <c r="C766" s="281" t="s">
        <v>1207</v>
      </c>
      <c r="D766" s="282" t="s">
        <v>1208</v>
      </c>
      <c r="E766" s="282" t="s">
        <v>1209</v>
      </c>
      <c r="F766" s="282" t="s">
        <v>1210</v>
      </c>
      <c r="G766" s="282" t="s">
        <v>1211</v>
      </c>
      <c r="H766" s="283" t="s">
        <v>1212</v>
      </c>
    </row>
    <row r="767" spans="3:9">
      <c r="C767" s="284" t="s">
        <v>1213</v>
      </c>
      <c r="D767" s="248" t="s">
        <v>1214</v>
      </c>
      <c r="E767" s="249"/>
      <c r="F767" s="249"/>
      <c r="G767" s="249"/>
      <c r="H767" s="285"/>
    </row>
    <row r="768" spans="3:9">
      <c r="C768" s="286">
        <v>1</v>
      </c>
      <c r="D768" s="248" t="s">
        <v>5</v>
      </c>
      <c r="E768" s="247" t="s">
        <v>6</v>
      </c>
      <c r="F768" s="250">
        <v>0.125</v>
      </c>
      <c r="G768" s="65">
        <f>VLOOKUP(D768,upahbahan,3,FALSE)</f>
        <v>100000</v>
      </c>
      <c r="H768" s="287">
        <f>F768*G768</f>
        <v>12500</v>
      </c>
    </row>
    <row r="769" spans="3:9">
      <c r="C769" s="286">
        <v>2</v>
      </c>
      <c r="D769" s="248" t="s">
        <v>8</v>
      </c>
      <c r="E769" s="247" t="s">
        <v>6</v>
      </c>
      <c r="F769" s="250">
        <v>0.25</v>
      </c>
      <c r="G769" s="65">
        <f>VLOOKUP(D769,upahbahan,3,FALSE)</f>
        <v>145000</v>
      </c>
      <c r="H769" s="287">
        <f>F769*G769</f>
        <v>36250</v>
      </c>
    </row>
    <row r="770" spans="3:9">
      <c r="C770" s="286">
        <v>3</v>
      </c>
      <c r="D770" s="248" t="s">
        <v>18</v>
      </c>
      <c r="E770" s="247" t="s">
        <v>6</v>
      </c>
      <c r="F770" s="250">
        <v>2.5000000000000001E-2</v>
      </c>
      <c r="G770" s="65">
        <f>VLOOKUP(D770,upahbahan,3,FALSE)</f>
        <v>150000</v>
      </c>
      <c r="H770" s="287">
        <f>F770*G770</f>
        <v>3750</v>
      </c>
    </row>
    <row r="771" spans="3:9">
      <c r="C771" s="286">
        <v>4</v>
      </c>
      <c r="D771" s="248" t="s">
        <v>19</v>
      </c>
      <c r="E771" s="247" t="s">
        <v>6</v>
      </c>
      <c r="F771" s="250">
        <v>8.3000000000000001E-3</v>
      </c>
      <c r="G771" s="65">
        <f>VLOOKUP(D771,upahbahan,3,FALSE)</f>
        <v>145000</v>
      </c>
      <c r="H771" s="287">
        <f>F771*G771</f>
        <v>1203.5</v>
      </c>
    </row>
    <row r="772" spans="3:9">
      <c r="C772" s="288" t="s">
        <v>1220</v>
      </c>
      <c r="D772" s="251"/>
      <c r="E772" s="251"/>
      <c r="F772" s="252"/>
      <c r="G772" s="253"/>
      <c r="H772" s="287">
        <f>SUM(H768:H771)</f>
        <v>53703.5</v>
      </c>
      <c r="I772" s="254"/>
    </row>
    <row r="773" spans="3:9">
      <c r="C773" s="284" t="s">
        <v>1221</v>
      </c>
      <c r="D773" s="248" t="s">
        <v>1222</v>
      </c>
      <c r="E773" s="249"/>
      <c r="F773" s="249"/>
      <c r="G773" s="249"/>
      <c r="H773" s="285"/>
    </row>
    <row r="774" spans="3:9">
      <c r="C774" s="286">
        <v>1</v>
      </c>
      <c r="D774" s="265" t="s">
        <v>374</v>
      </c>
      <c r="E774" s="266" t="s">
        <v>133</v>
      </c>
      <c r="F774" s="263">
        <v>0.4</v>
      </c>
      <c r="G774" s="65">
        <f>VLOOKUP(D774,upahbahan,3,FALSE)</f>
        <v>66900</v>
      </c>
      <c r="H774" s="287">
        <f>F774*G774</f>
        <v>26760</v>
      </c>
    </row>
    <row r="775" spans="3:9">
      <c r="C775" s="286">
        <v>2</v>
      </c>
      <c r="D775" s="248" t="s">
        <v>263</v>
      </c>
      <c r="E775" s="247" t="s">
        <v>66</v>
      </c>
      <c r="F775" s="263">
        <v>0.05</v>
      </c>
      <c r="G775" s="65">
        <f>VLOOKUP(D775,upahbahan,3,FALSE)</f>
        <v>15000</v>
      </c>
      <c r="H775" s="287">
        <f>F775*G775</f>
        <v>750</v>
      </c>
    </row>
    <row r="776" spans="3:9">
      <c r="C776" s="288" t="s">
        <v>1226</v>
      </c>
      <c r="D776" s="251"/>
      <c r="E776" s="251"/>
      <c r="F776" s="251"/>
      <c r="G776" s="256"/>
      <c r="H776" s="287">
        <f>SUM(H774:H775)</f>
        <v>27510</v>
      </c>
    </row>
    <row r="777" spans="3:9">
      <c r="C777" s="289" t="s">
        <v>1227</v>
      </c>
      <c r="D777" s="248" t="s">
        <v>1228</v>
      </c>
      <c r="E777" s="249"/>
      <c r="F777" s="249"/>
      <c r="G777" s="249"/>
      <c r="H777" s="285"/>
    </row>
    <row r="778" spans="3:9">
      <c r="C778" s="288" t="s">
        <v>1229</v>
      </c>
      <c r="D778" s="251"/>
      <c r="E778" s="251"/>
      <c r="F778" s="251"/>
      <c r="G778" s="256"/>
      <c r="H778" s="290">
        <v>0</v>
      </c>
    </row>
    <row r="779" spans="3:9" ht="14.25">
      <c r="C779" s="291" t="s">
        <v>1230</v>
      </c>
      <c r="D779" s="257" t="s">
        <v>1231</v>
      </c>
      <c r="E779" s="258"/>
      <c r="F779" s="258"/>
      <c r="G779" s="259"/>
      <c r="H779" s="287">
        <f>H778+H776+H772</f>
        <v>81213.5</v>
      </c>
      <c r="I779" s="260"/>
    </row>
    <row r="780" spans="3:9" ht="14.25">
      <c r="C780" s="123" t="s">
        <v>1232</v>
      </c>
      <c r="D780" s="70" t="s">
        <v>1410</v>
      </c>
      <c r="E780" s="71"/>
      <c r="F780" s="72"/>
      <c r="G780" s="96">
        <f>$M$7</f>
        <v>0.1</v>
      </c>
      <c r="H780" s="125">
        <f>H779*G780</f>
        <v>8121.35</v>
      </c>
      <c r="I780" s="260"/>
    </row>
    <row r="781" spans="3:9" ht="15.75" thickBot="1">
      <c r="C781" s="292" t="s">
        <v>1233</v>
      </c>
      <c r="D781" s="293" t="s">
        <v>1234</v>
      </c>
      <c r="E781" s="294"/>
      <c r="F781" s="294"/>
      <c r="G781" s="295"/>
      <c r="H781" s="296">
        <f>SUM(H779:H780)</f>
        <v>89334.85</v>
      </c>
      <c r="I781" s="260"/>
    </row>
    <row r="782" spans="3:9" ht="15.75" thickTop="1">
      <c r="C782" s="267"/>
      <c r="D782" s="268"/>
      <c r="E782" s="268"/>
      <c r="F782" s="268"/>
      <c r="G782" s="268"/>
      <c r="H782" s="269"/>
      <c r="I782" s="260"/>
    </row>
    <row r="783" spans="3:9" ht="15.75" thickBot="1">
      <c r="C783" s="277" t="s">
        <v>1497</v>
      </c>
      <c r="D783" s="279"/>
      <c r="E783" s="279"/>
      <c r="F783" s="279"/>
      <c r="G783" s="279"/>
      <c r="H783" s="279"/>
      <c r="I783" s="246">
        <f>ROUNDDOWN(H800,-2)</f>
        <v>314900</v>
      </c>
    </row>
    <row r="784" spans="3:9" ht="29.25" thickTop="1">
      <c r="C784" s="281" t="s">
        <v>1207</v>
      </c>
      <c r="D784" s="282" t="s">
        <v>1208</v>
      </c>
      <c r="E784" s="282" t="s">
        <v>1209</v>
      </c>
      <c r="F784" s="282" t="s">
        <v>1210</v>
      </c>
      <c r="G784" s="282" t="s">
        <v>1211</v>
      </c>
      <c r="H784" s="283" t="s">
        <v>1212</v>
      </c>
    </row>
    <row r="785" spans="3:9">
      <c r="C785" s="284" t="s">
        <v>1213</v>
      </c>
      <c r="D785" s="248" t="s">
        <v>1214</v>
      </c>
      <c r="E785" s="249"/>
      <c r="F785" s="249"/>
      <c r="G785" s="249"/>
      <c r="H785" s="285"/>
    </row>
    <row r="786" spans="3:9">
      <c r="C786" s="286">
        <v>1</v>
      </c>
      <c r="D786" s="248" t="s">
        <v>5</v>
      </c>
      <c r="E786" s="247" t="s">
        <v>6</v>
      </c>
      <c r="F786" s="250">
        <v>0.125</v>
      </c>
      <c r="G786" s="65">
        <f>VLOOKUP(D786,upahbahan,3,FALSE)</f>
        <v>100000</v>
      </c>
      <c r="H786" s="287">
        <f>F786*G786</f>
        <v>12500</v>
      </c>
    </row>
    <row r="787" spans="3:9">
      <c r="C787" s="286">
        <v>2</v>
      </c>
      <c r="D787" s="248" t="s">
        <v>8</v>
      </c>
      <c r="E787" s="247" t="s">
        <v>6</v>
      </c>
      <c r="F787" s="250">
        <v>0.25</v>
      </c>
      <c r="G787" s="65">
        <f>VLOOKUP(D787,upahbahan,3,FALSE)</f>
        <v>145000</v>
      </c>
      <c r="H787" s="287">
        <f>F787*G787</f>
        <v>36250</v>
      </c>
    </row>
    <row r="788" spans="3:9">
      <c r="C788" s="286">
        <v>3</v>
      </c>
      <c r="D788" s="248" t="s">
        <v>18</v>
      </c>
      <c r="E788" s="247" t="s">
        <v>6</v>
      </c>
      <c r="F788" s="250">
        <v>2.5000000000000001E-2</v>
      </c>
      <c r="G788" s="65">
        <f>VLOOKUP(D788,upahbahan,3,FALSE)</f>
        <v>150000</v>
      </c>
      <c r="H788" s="287">
        <f>F788*G788</f>
        <v>3750</v>
      </c>
    </row>
    <row r="789" spans="3:9">
      <c r="C789" s="286">
        <v>4</v>
      </c>
      <c r="D789" s="248" t="s">
        <v>19</v>
      </c>
      <c r="E789" s="247" t="s">
        <v>6</v>
      </c>
      <c r="F789" s="250">
        <v>8.3000000000000001E-3</v>
      </c>
      <c r="G789" s="65">
        <f>VLOOKUP(D789,upahbahan,3,FALSE)</f>
        <v>145000</v>
      </c>
      <c r="H789" s="287">
        <f>F789*G789</f>
        <v>1203.5</v>
      </c>
    </row>
    <row r="790" spans="3:9">
      <c r="C790" s="288" t="s">
        <v>1220</v>
      </c>
      <c r="D790" s="251"/>
      <c r="E790" s="251"/>
      <c r="F790" s="252"/>
      <c r="G790" s="253"/>
      <c r="H790" s="287">
        <f>SUM(H786:H789)</f>
        <v>53703.5</v>
      </c>
      <c r="I790" s="254"/>
    </row>
    <row r="791" spans="3:9">
      <c r="C791" s="284" t="s">
        <v>1221</v>
      </c>
      <c r="D791" s="248" t="s">
        <v>1222</v>
      </c>
      <c r="E791" s="249"/>
      <c r="F791" s="249"/>
      <c r="G791" s="249"/>
      <c r="H791" s="285"/>
    </row>
    <row r="792" spans="3:9">
      <c r="C792" s="299" t="s">
        <v>1215</v>
      </c>
      <c r="D792" s="265" t="s">
        <v>347</v>
      </c>
      <c r="E792" s="266" t="s">
        <v>44</v>
      </c>
      <c r="F792" s="250">
        <v>2</v>
      </c>
      <c r="G792" s="65">
        <f>VLOOKUP(D792,upahbahan,3,FALSE)</f>
        <v>95000</v>
      </c>
      <c r="H792" s="287">
        <f>F792*G792</f>
        <v>190000</v>
      </c>
    </row>
    <row r="793" spans="3:9">
      <c r="C793" s="299" t="s">
        <v>1216</v>
      </c>
      <c r="D793" s="248" t="s">
        <v>263</v>
      </c>
      <c r="E793" s="266" t="s">
        <v>66</v>
      </c>
      <c r="F793" s="250">
        <v>0.05</v>
      </c>
      <c r="G793" s="65">
        <f>VLOOKUP(D793,upahbahan,3,FALSE)</f>
        <v>15000</v>
      </c>
      <c r="H793" s="287">
        <f>F793*G793</f>
        <v>750</v>
      </c>
    </row>
    <row r="794" spans="3:9">
      <c r="C794" s="299" t="s">
        <v>1217</v>
      </c>
      <c r="D794" s="248" t="s">
        <v>116</v>
      </c>
      <c r="E794" s="247" t="s">
        <v>42</v>
      </c>
      <c r="F794" s="250">
        <v>3.5000000000000001E-3</v>
      </c>
      <c r="G794" s="65">
        <f>VLOOKUP(D794,upahbahan,3,FALSE)</f>
        <v>11950000</v>
      </c>
      <c r="H794" s="287">
        <f>F794*G794</f>
        <v>41825</v>
      </c>
    </row>
    <row r="795" spans="3:9">
      <c r="C795" s="288" t="s">
        <v>1226</v>
      </c>
      <c r="D795" s="251"/>
      <c r="E795" s="251"/>
      <c r="F795" s="251"/>
      <c r="G795" s="256"/>
      <c r="H795" s="287">
        <f>SUM(H792:H794)</f>
        <v>232575</v>
      </c>
    </row>
    <row r="796" spans="3:9">
      <c r="C796" s="289" t="s">
        <v>1227</v>
      </c>
      <c r="D796" s="248" t="s">
        <v>1228</v>
      </c>
      <c r="E796" s="249"/>
      <c r="F796" s="249"/>
      <c r="G796" s="249"/>
      <c r="H796" s="285"/>
    </row>
    <row r="797" spans="3:9">
      <c r="C797" s="288" t="s">
        <v>1229</v>
      </c>
      <c r="D797" s="251"/>
      <c r="E797" s="251"/>
      <c r="F797" s="251"/>
      <c r="G797" s="256"/>
      <c r="H797" s="290">
        <v>0</v>
      </c>
    </row>
    <row r="798" spans="3:9" ht="14.25">
      <c r="C798" s="291" t="s">
        <v>1230</v>
      </c>
      <c r="D798" s="257" t="s">
        <v>1231</v>
      </c>
      <c r="E798" s="258"/>
      <c r="F798" s="258"/>
      <c r="G798" s="259"/>
      <c r="H798" s="287">
        <f>H797+H795+H790</f>
        <v>286278.5</v>
      </c>
      <c r="I798" s="260"/>
    </row>
    <row r="799" spans="3:9" ht="14.25">
      <c r="C799" s="123" t="s">
        <v>1232</v>
      </c>
      <c r="D799" s="70" t="s">
        <v>1410</v>
      </c>
      <c r="E799" s="71"/>
      <c r="F799" s="72"/>
      <c r="G799" s="96">
        <f>$M$7</f>
        <v>0.1</v>
      </c>
      <c r="H799" s="125">
        <f>H798*G799</f>
        <v>28627.850000000002</v>
      </c>
      <c r="I799" s="260"/>
    </row>
    <row r="800" spans="3:9" ht="15.75" thickBot="1">
      <c r="C800" s="292" t="s">
        <v>1233</v>
      </c>
      <c r="D800" s="293" t="s">
        <v>1234</v>
      </c>
      <c r="E800" s="294"/>
      <c r="F800" s="294"/>
      <c r="G800" s="295"/>
      <c r="H800" s="296">
        <f>SUM(H798:H799)</f>
        <v>314906.34999999998</v>
      </c>
      <c r="I800" s="260"/>
    </row>
    <row r="801" spans="3:9" ht="15.75" thickTop="1">
      <c r="C801" s="267"/>
      <c r="D801" s="268"/>
      <c r="E801" s="268"/>
      <c r="F801" s="268"/>
      <c r="G801" s="268"/>
      <c r="H801" s="269"/>
      <c r="I801" s="260"/>
    </row>
    <row r="802" spans="3:9" ht="15.75" thickBot="1">
      <c r="C802" s="277" t="s">
        <v>1498</v>
      </c>
      <c r="D802" s="279"/>
      <c r="E802" s="279"/>
      <c r="F802" s="279"/>
      <c r="G802" s="279"/>
      <c r="H802" s="279"/>
      <c r="I802" s="246">
        <f>ROUNDDOWN(H818,-2)</f>
        <v>87300</v>
      </c>
    </row>
    <row r="803" spans="3:9" ht="29.25" thickTop="1">
      <c r="C803" s="281" t="s">
        <v>1207</v>
      </c>
      <c r="D803" s="282" t="s">
        <v>1208</v>
      </c>
      <c r="E803" s="282" t="s">
        <v>1209</v>
      </c>
      <c r="F803" s="282" t="s">
        <v>1210</v>
      </c>
      <c r="G803" s="282" t="s">
        <v>1211</v>
      </c>
      <c r="H803" s="283" t="s">
        <v>1212</v>
      </c>
    </row>
    <row r="804" spans="3:9">
      <c r="C804" s="284" t="s">
        <v>1213</v>
      </c>
      <c r="D804" s="248" t="s">
        <v>1214</v>
      </c>
      <c r="E804" s="249"/>
      <c r="F804" s="249"/>
      <c r="G804" s="249"/>
      <c r="H804" s="285"/>
    </row>
    <row r="805" spans="3:9">
      <c r="C805" s="286">
        <v>1</v>
      </c>
      <c r="D805" s="248" t="s">
        <v>5</v>
      </c>
      <c r="E805" s="247" t="s">
        <v>6</v>
      </c>
      <c r="F805" s="263">
        <v>0.25</v>
      </c>
      <c r="G805" s="65">
        <f>VLOOKUP(D805,upahbahan,3,FALSE)</f>
        <v>100000</v>
      </c>
      <c r="H805" s="287">
        <f>F805*G805</f>
        <v>25000</v>
      </c>
    </row>
    <row r="806" spans="3:9">
      <c r="C806" s="286">
        <v>2</v>
      </c>
      <c r="D806" s="248" t="s">
        <v>8</v>
      </c>
      <c r="E806" s="247" t="s">
        <v>6</v>
      </c>
      <c r="F806" s="263">
        <v>0.15</v>
      </c>
      <c r="G806" s="65">
        <f>VLOOKUP(D806,upahbahan,3,FALSE)</f>
        <v>145000</v>
      </c>
      <c r="H806" s="287">
        <f>F806*G806</f>
        <v>21750</v>
      </c>
    </row>
    <row r="807" spans="3:9">
      <c r="C807" s="286">
        <v>3</v>
      </c>
      <c r="D807" s="248" t="s">
        <v>18</v>
      </c>
      <c r="E807" s="247" t="s">
        <v>6</v>
      </c>
      <c r="F807" s="263">
        <v>1.4999999999999999E-2</v>
      </c>
      <c r="G807" s="65">
        <f>VLOOKUP(D807,upahbahan,3,FALSE)</f>
        <v>150000</v>
      </c>
      <c r="H807" s="287">
        <f>F807*G807</f>
        <v>2250</v>
      </c>
    </row>
    <row r="808" spans="3:9">
      <c r="C808" s="286">
        <v>4</v>
      </c>
      <c r="D808" s="248" t="s">
        <v>19</v>
      </c>
      <c r="E808" s="247" t="s">
        <v>6</v>
      </c>
      <c r="F808" s="263">
        <v>5.0000000000000001E-3</v>
      </c>
      <c r="G808" s="65">
        <f>VLOOKUP(D808,upahbahan,3,FALSE)</f>
        <v>145000</v>
      </c>
      <c r="H808" s="287">
        <f>F808*G808</f>
        <v>725</v>
      </c>
    </row>
    <row r="809" spans="3:9">
      <c r="C809" s="288" t="s">
        <v>1220</v>
      </c>
      <c r="D809" s="251"/>
      <c r="E809" s="251"/>
      <c r="F809" s="252"/>
      <c r="G809" s="253"/>
      <c r="H809" s="287">
        <f>SUM(H805:H808)</f>
        <v>49725</v>
      </c>
      <c r="I809" s="254"/>
    </row>
    <row r="810" spans="3:9">
      <c r="C810" s="284" t="s">
        <v>1221</v>
      </c>
      <c r="D810" s="248" t="s">
        <v>1222</v>
      </c>
      <c r="E810" s="249"/>
      <c r="F810" s="249"/>
      <c r="G810" s="249"/>
      <c r="H810" s="285"/>
    </row>
    <row r="811" spans="3:9">
      <c r="C811" s="299" t="s">
        <v>1215</v>
      </c>
      <c r="D811" s="265" t="s">
        <v>349</v>
      </c>
      <c r="E811" s="266" t="s">
        <v>44</v>
      </c>
      <c r="F811" s="263">
        <v>1.1000000000000001</v>
      </c>
      <c r="G811" s="65">
        <f>VLOOKUP(D811,upahbahan,3,FALSE)</f>
        <v>25600</v>
      </c>
      <c r="H811" s="287">
        <f>F811*G811</f>
        <v>28160.000000000004</v>
      </c>
    </row>
    <row r="812" spans="3:9">
      <c r="C812" s="299" t="s">
        <v>1216</v>
      </c>
      <c r="D812" s="248" t="s">
        <v>273</v>
      </c>
      <c r="E812" s="266" t="s">
        <v>66</v>
      </c>
      <c r="F812" s="263">
        <v>0.05</v>
      </c>
      <c r="G812" s="65">
        <f>VLOOKUP(D812,upahbahan,3,FALSE)</f>
        <v>30090</v>
      </c>
      <c r="H812" s="287">
        <f>F812*G812</f>
        <v>1504.5</v>
      </c>
    </row>
    <row r="813" spans="3:9">
      <c r="C813" s="288" t="s">
        <v>1226</v>
      </c>
      <c r="D813" s="251"/>
      <c r="E813" s="251"/>
      <c r="F813" s="251"/>
      <c r="G813" s="256"/>
      <c r="H813" s="287">
        <f>SUM(H811:H812)</f>
        <v>29664.500000000004</v>
      </c>
    </row>
    <row r="814" spans="3:9">
      <c r="C814" s="289" t="s">
        <v>1227</v>
      </c>
      <c r="D814" s="248" t="s">
        <v>1228</v>
      </c>
      <c r="E814" s="249"/>
      <c r="F814" s="249"/>
      <c r="G814" s="249"/>
      <c r="H814" s="285"/>
    </row>
    <row r="815" spans="3:9">
      <c r="C815" s="288" t="s">
        <v>1229</v>
      </c>
      <c r="D815" s="251"/>
      <c r="E815" s="251"/>
      <c r="F815" s="251"/>
      <c r="G815" s="256"/>
      <c r="H815" s="290">
        <v>0</v>
      </c>
    </row>
    <row r="816" spans="3:9" ht="14.25">
      <c r="C816" s="291" t="s">
        <v>1230</v>
      </c>
      <c r="D816" s="257" t="s">
        <v>1231</v>
      </c>
      <c r="E816" s="258"/>
      <c r="F816" s="258"/>
      <c r="G816" s="259"/>
      <c r="H816" s="287">
        <f>H815+H813+H809</f>
        <v>79389.5</v>
      </c>
      <c r="I816" s="260"/>
    </row>
    <row r="817" spans="3:9" ht="14.25">
      <c r="C817" s="123" t="s">
        <v>1232</v>
      </c>
      <c r="D817" s="70" t="s">
        <v>1410</v>
      </c>
      <c r="E817" s="71"/>
      <c r="F817" s="72"/>
      <c r="G817" s="96">
        <f>$M$7</f>
        <v>0.1</v>
      </c>
      <c r="H817" s="125">
        <f>H816*G817</f>
        <v>7938.9500000000007</v>
      </c>
      <c r="I817" s="260"/>
    </row>
    <row r="818" spans="3:9" ht="15.75" thickBot="1">
      <c r="C818" s="292" t="s">
        <v>1233</v>
      </c>
      <c r="D818" s="293" t="s">
        <v>1234</v>
      </c>
      <c r="E818" s="294"/>
      <c r="F818" s="294"/>
      <c r="G818" s="295"/>
      <c r="H818" s="296">
        <f>SUM(H816:H817)</f>
        <v>87328.45</v>
      </c>
      <c r="I818" s="260"/>
    </row>
    <row r="819" spans="3:9" ht="15.75" thickTop="1">
      <c r="C819" s="267"/>
      <c r="D819" s="268"/>
      <c r="E819" s="268"/>
      <c r="F819" s="268"/>
      <c r="G819" s="268"/>
      <c r="H819" s="269"/>
      <c r="I819" s="260"/>
    </row>
    <row r="820" spans="3:9" ht="15.75" thickBot="1">
      <c r="C820" s="277" t="s">
        <v>1499</v>
      </c>
      <c r="D820" s="300"/>
      <c r="E820" s="300"/>
      <c r="F820" s="300"/>
      <c r="G820" s="300"/>
      <c r="H820" s="300"/>
      <c r="I820" s="246">
        <f>ROUNDDOWN(H835,-2)</f>
        <v>29300</v>
      </c>
    </row>
    <row r="821" spans="3:9" ht="29.25" thickTop="1">
      <c r="C821" s="281" t="s">
        <v>1207</v>
      </c>
      <c r="D821" s="282" t="s">
        <v>1208</v>
      </c>
      <c r="E821" s="282" t="s">
        <v>1209</v>
      </c>
      <c r="F821" s="282" t="s">
        <v>1210</v>
      </c>
      <c r="G821" s="282" t="s">
        <v>1211</v>
      </c>
      <c r="H821" s="283" t="s">
        <v>1212</v>
      </c>
    </row>
    <row r="822" spans="3:9">
      <c r="C822" s="284" t="s">
        <v>1213</v>
      </c>
      <c r="D822" s="248" t="s">
        <v>1214</v>
      </c>
      <c r="E822" s="249"/>
      <c r="F822" s="249"/>
      <c r="G822" s="249"/>
      <c r="H822" s="285"/>
    </row>
    <row r="823" spans="3:9">
      <c r="C823" s="286">
        <v>1</v>
      </c>
      <c r="D823" s="248" t="s">
        <v>5</v>
      </c>
      <c r="E823" s="247" t="s">
        <v>6</v>
      </c>
      <c r="F823" s="250">
        <v>0.08</v>
      </c>
      <c r="G823" s="65">
        <f>VLOOKUP(D823,upahbahan,3,FALSE)</f>
        <v>100000</v>
      </c>
      <c r="H823" s="287">
        <f>F823*G823</f>
        <v>8000</v>
      </c>
    </row>
    <row r="824" spans="3:9">
      <c r="C824" s="286">
        <v>2</v>
      </c>
      <c r="D824" s="248" t="s">
        <v>8</v>
      </c>
      <c r="E824" s="247" t="s">
        <v>6</v>
      </c>
      <c r="F824" s="250">
        <v>0.04</v>
      </c>
      <c r="G824" s="65">
        <f>VLOOKUP(D824,upahbahan,3,FALSE)</f>
        <v>145000</v>
      </c>
      <c r="H824" s="287">
        <f>F824*G824</f>
        <v>5800</v>
      </c>
    </row>
    <row r="825" spans="3:9">
      <c r="C825" s="286">
        <v>3</v>
      </c>
      <c r="D825" s="248" t="s">
        <v>18</v>
      </c>
      <c r="E825" s="247" t="s">
        <v>6</v>
      </c>
      <c r="F825" s="250">
        <v>4.0000000000000001E-3</v>
      </c>
      <c r="G825" s="65">
        <f>VLOOKUP(D825,upahbahan,3,FALSE)</f>
        <v>150000</v>
      </c>
      <c r="H825" s="287">
        <f>F825*G825</f>
        <v>600</v>
      </c>
    </row>
    <row r="826" spans="3:9">
      <c r="C826" s="286">
        <v>4</v>
      </c>
      <c r="D826" s="248" t="s">
        <v>19</v>
      </c>
      <c r="E826" s="247" t="s">
        <v>6</v>
      </c>
      <c r="F826" s="250">
        <v>1.2999999999999999E-3</v>
      </c>
      <c r="G826" s="65">
        <f>VLOOKUP(D826,upahbahan,3,FALSE)</f>
        <v>145000</v>
      </c>
      <c r="H826" s="287">
        <f>F826*G826</f>
        <v>188.5</v>
      </c>
    </row>
    <row r="827" spans="3:9">
      <c r="C827" s="288" t="s">
        <v>1220</v>
      </c>
      <c r="D827" s="251"/>
      <c r="E827" s="251"/>
      <c r="F827" s="252"/>
      <c r="G827" s="253"/>
      <c r="H827" s="287">
        <f>SUM(H823:H826)</f>
        <v>14588.5</v>
      </c>
      <c r="I827" s="254"/>
    </row>
    <row r="828" spans="3:9">
      <c r="C828" s="284" t="s">
        <v>1221</v>
      </c>
      <c r="D828" s="248" t="s">
        <v>1222</v>
      </c>
      <c r="E828" s="249"/>
      <c r="G828" s="249"/>
      <c r="H828" s="285"/>
    </row>
    <row r="829" spans="3:9">
      <c r="C829" s="286">
        <v>1</v>
      </c>
      <c r="D829" s="248" t="s">
        <v>976</v>
      </c>
      <c r="E829" s="247" t="s">
        <v>63</v>
      </c>
      <c r="F829" s="272">
        <v>1.1000000000000001</v>
      </c>
      <c r="G829" s="65">
        <f>VLOOKUP(D829,upahbahan,3,FALSE)</f>
        <v>11000</v>
      </c>
      <c r="H829" s="287">
        <f>F829*G829</f>
        <v>12100.000000000002</v>
      </c>
    </row>
    <row r="830" spans="3:9">
      <c r="C830" s="288" t="s">
        <v>1226</v>
      </c>
      <c r="D830" s="251"/>
      <c r="E830" s="251"/>
      <c r="F830" s="251"/>
      <c r="G830" s="256"/>
      <c r="H830" s="287">
        <f>SUM(H829)</f>
        <v>12100.000000000002</v>
      </c>
    </row>
    <row r="831" spans="3:9">
      <c r="C831" s="289" t="s">
        <v>1227</v>
      </c>
      <c r="D831" s="248" t="s">
        <v>1228</v>
      </c>
      <c r="E831" s="249"/>
      <c r="F831" s="249"/>
      <c r="G831" s="249"/>
      <c r="H831" s="285"/>
    </row>
    <row r="832" spans="3:9">
      <c r="C832" s="288" t="s">
        <v>1229</v>
      </c>
      <c r="D832" s="251"/>
      <c r="E832" s="251"/>
      <c r="F832" s="251"/>
      <c r="G832" s="256"/>
      <c r="H832" s="290">
        <v>0</v>
      </c>
    </row>
    <row r="833" spans="3:9" ht="14.25">
      <c r="C833" s="291" t="s">
        <v>1230</v>
      </c>
      <c r="D833" s="257" t="s">
        <v>1231</v>
      </c>
      <c r="E833" s="258"/>
      <c r="F833" s="258"/>
      <c r="G833" s="259"/>
      <c r="H833" s="287">
        <f>H832+H830+H827</f>
        <v>26688.5</v>
      </c>
      <c r="I833" s="260"/>
    </row>
    <row r="834" spans="3:9" ht="14.25">
      <c r="C834" s="123" t="s">
        <v>1232</v>
      </c>
      <c r="D834" s="70" t="s">
        <v>1410</v>
      </c>
      <c r="E834" s="71"/>
      <c r="F834" s="72"/>
      <c r="G834" s="96">
        <f>$M$7</f>
        <v>0.1</v>
      </c>
      <c r="H834" s="125">
        <f>H833*G834</f>
        <v>2668.8500000000004</v>
      </c>
      <c r="I834" s="260"/>
    </row>
    <row r="835" spans="3:9" ht="15.75" thickBot="1">
      <c r="C835" s="292" t="s">
        <v>1233</v>
      </c>
      <c r="D835" s="293" t="s">
        <v>1234</v>
      </c>
      <c r="E835" s="294"/>
      <c r="F835" s="294"/>
      <c r="G835" s="295"/>
      <c r="H835" s="296">
        <f>SUM(H833:H834)</f>
        <v>29357.35</v>
      </c>
      <c r="I835" s="260"/>
    </row>
    <row r="836" spans="3:9" ht="15.75" thickTop="1">
      <c r="C836" s="267"/>
      <c r="D836" s="268"/>
      <c r="E836" s="268"/>
      <c r="F836" s="268"/>
      <c r="G836" s="268"/>
      <c r="H836" s="269"/>
      <c r="I836" s="260"/>
    </row>
    <row r="837" spans="3:9" ht="15.75" thickBot="1">
      <c r="C837" s="277" t="s">
        <v>1500</v>
      </c>
      <c r="D837" s="300"/>
      <c r="E837" s="300"/>
      <c r="F837" s="300"/>
      <c r="G837" s="300"/>
      <c r="H837" s="300"/>
      <c r="I837" s="246">
        <f>ROUNDDOWN(H853,-2)</f>
        <v>102700</v>
      </c>
    </row>
    <row r="838" spans="3:9" ht="29.25" thickTop="1">
      <c r="C838" s="281" t="s">
        <v>1207</v>
      </c>
      <c r="D838" s="282" t="s">
        <v>1208</v>
      </c>
      <c r="E838" s="282" t="s">
        <v>1209</v>
      </c>
      <c r="F838" s="282" t="s">
        <v>1210</v>
      </c>
      <c r="G838" s="282" t="s">
        <v>1211</v>
      </c>
      <c r="H838" s="283" t="s">
        <v>1212</v>
      </c>
    </row>
    <row r="839" spans="3:9">
      <c r="C839" s="284" t="s">
        <v>1213</v>
      </c>
      <c r="D839" s="248" t="s">
        <v>1214</v>
      </c>
      <c r="E839" s="249"/>
      <c r="F839" s="249"/>
      <c r="G839" s="249"/>
      <c r="H839" s="285"/>
    </row>
    <row r="840" spans="3:9">
      <c r="C840" s="286">
        <v>1</v>
      </c>
      <c r="D840" s="248" t="s">
        <v>5</v>
      </c>
      <c r="E840" s="247" t="s">
        <v>6</v>
      </c>
      <c r="F840" s="250">
        <v>0.15</v>
      </c>
      <c r="G840" s="65">
        <f>VLOOKUP(D840,upahbahan,3,FALSE)</f>
        <v>100000</v>
      </c>
      <c r="H840" s="287">
        <f>F840*G840</f>
        <v>15000</v>
      </c>
    </row>
    <row r="841" spans="3:9">
      <c r="C841" s="286">
        <v>2</v>
      </c>
      <c r="D841" s="248" t="s">
        <v>8</v>
      </c>
      <c r="E841" s="247" t="s">
        <v>6</v>
      </c>
      <c r="F841" s="250">
        <v>0.05</v>
      </c>
      <c r="G841" s="65">
        <f>VLOOKUP(D841,upahbahan,3,FALSE)</f>
        <v>145000</v>
      </c>
      <c r="H841" s="287">
        <f>F841*G841</f>
        <v>7250</v>
      </c>
    </row>
    <row r="842" spans="3:9">
      <c r="C842" s="286">
        <v>3</v>
      </c>
      <c r="D842" s="248" t="s">
        <v>18</v>
      </c>
      <c r="E842" s="247" t="s">
        <v>6</v>
      </c>
      <c r="F842" s="250">
        <v>5.0000000000000001E-3</v>
      </c>
      <c r="G842" s="65">
        <f>VLOOKUP(D842,upahbahan,3,FALSE)</f>
        <v>150000</v>
      </c>
      <c r="H842" s="287">
        <f>F842*G842</f>
        <v>750</v>
      </c>
    </row>
    <row r="843" spans="3:9">
      <c r="C843" s="286">
        <v>4</v>
      </c>
      <c r="D843" s="248" t="s">
        <v>19</v>
      </c>
      <c r="E843" s="247" t="s">
        <v>6</v>
      </c>
      <c r="F843" s="250">
        <v>1.6999999999999999E-3</v>
      </c>
      <c r="G843" s="65">
        <f>VLOOKUP(D843,upahbahan,3,FALSE)</f>
        <v>145000</v>
      </c>
      <c r="H843" s="287">
        <f>F843*G843</f>
        <v>246.5</v>
      </c>
    </row>
    <row r="844" spans="3:9">
      <c r="C844" s="288" t="s">
        <v>1220</v>
      </c>
      <c r="D844" s="251"/>
      <c r="E844" s="251"/>
      <c r="F844" s="252"/>
      <c r="G844" s="253"/>
      <c r="H844" s="287">
        <f>SUM(H840:H843)</f>
        <v>23246.5</v>
      </c>
      <c r="I844" s="254"/>
    </row>
    <row r="845" spans="3:9">
      <c r="C845" s="284" t="s">
        <v>1221</v>
      </c>
      <c r="D845" s="248" t="s">
        <v>1222</v>
      </c>
      <c r="E845" s="249"/>
      <c r="G845" s="249"/>
      <c r="H845" s="285"/>
    </row>
    <row r="846" spans="3:9">
      <c r="C846" s="284">
        <v>1</v>
      </c>
      <c r="D846" s="248" t="s">
        <v>997</v>
      </c>
      <c r="E846" s="273" t="s">
        <v>63</v>
      </c>
      <c r="F846" s="274">
        <v>1.1000000000000001</v>
      </c>
      <c r="G846" s="65">
        <f>VLOOKUP(D846,upahbahan,3,FALSE)</f>
        <v>29167</v>
      </c>
      <c r="H846" s="287">
        <f>F846*G846</f>
        <v>32083.700000000004</v>
      </c>
    </row>
    <row r="847" spans="3:9">
      <c r="C847" s="286">
        <v>2</v>
      </c>
      <c r="D847" s="248" t="s">
        <v>257</v>
      </c>
      <c r="E847" s="247" t="s">
        <v>63</v>
      </c>
      <c r="F847" s="275">
        <v>1.1000000000000001</v>
      </c>
      <c r="G847" s="65">
        <f>VLOOKUP(D847,upahbahan,3,FALSE)</f>
        <v>34620</v>
      </c>
      <c r="H847" s="287">
        <f>F847*G847</f>
        <v>38082</v>
      </c>
    </row>
    <row r="848" spans="3:9">
      <c r="C848" s="288" t="s">
        <v>1226</v>
      </c>
      <c r="D848" s="251"/>
      <c r="E848" s="251"/>
      <c r="F848" s="251"/>
      <c r="G848" s="256"/>
      <c r="H848" s="287">
        <f>SUM(H846:H847)</f>
        <v>70165.700000000012</v>
      </c>
    </row>
    <row r="849" spans="3:9">
      <c r="C849" s="289" t="s">
        <v>1227</v>
      </c>
      <c r="D849" s="248" t="s">
        <v>1228</v>
      </c>
      <c r="E849" s="249"/>
      <c r="F849" s="249"/>
      <c r="G849" s="249"/>
      <c r="H849" s="285"/>
    </row>
    <row r="850" spans="3:9">
      <c r="C850" s="288" t="s">
        <v>1229</v>
      </c>
      <c r="D850" s="251"/>
      <c r="E850" s="251"/>
      <c r="F850" s="251"/>
      <c r="G850" s="256"/>
      <c r="H850" s="290">
        <v>0</v>
      </c>
    </row>
    <row r="851" spans="3:9" ht="14.25">
      <c r="C851" s="291" t="s">
        <v>1230</v>
      </c>
      <c r="D851" s="257" t="s">
        <v>1231</v>
      </c>
      <c r="E851" s="258"/>
      <c r="F851" s="258"/>
      <c r="G851" s="259"/>
      <c r="H851" s="287">
        <f>H850+H848+H844</f>
        <v>93412.200000000012</v>
      </c>
      <c r="I851" s="260"/>
    </row>
    <row r="852" spans="3:9" ht="14.25">
      <c r="C852" s="123" t="s">
        <v>1232</v>
      </c>
      <c r="D852" s="70" t="s">
        <v>1410</v>
      </c>
      <c r="E852" s="71"/>
      <c r="F852" s="72"/>
      <c r="G852" s="96">
        <f>$M$7</f>
        <v>0.1</v>
      </c>
      <c r="H852" s="125">
        <f>H851*G852</f>
        <v>9341.2200000000012</v>
      </c>
      <c r="I852" s="260"/>
    </row>
    <row r="853" spans="3:9" ht="15.75" thickBot="1">
      <c r="C853" s="292" t="s">
        <v>1233</v>
      </c>
      <c r="D853" s="293" t="s">
        <v>1234</v>
      </c>
      <c r="E853" s="294"/>
      <c r="F853" s="294"/>
      <c r="G853" s="295"/>
      <c r="H853" s="296">
        <f>SUM(H851:H852)</f>
        <v>102753.42000000001</v>
      </c>
      <c r="I853" s="260"/>
    </row>
    <row r="854" spans="3:9" ht="15.75" thickTop="1">
      <c r="C854" s="267"/>
      <c r="D854" s="268"/>
      <c r="E854" s="268"/>
      <c r="F854" s="268"/>
      <c r="G854" s="268"/>
      <c r="H854" s="269"/>
      <c r="I854" s="260"/>
    </row>
    <row r="855" spans="3:9" ht="15.75" thickBot="1">
      <c r="C855" s="277" t="s">
        <v>1501</v>
      </c>
      <c r="D855" s="300"/>
      <c r="E855" s="300"/>
      <c r="F855" s="300"/>
      <c r="G855" s="300"/>
      <c r="H855" s="300"/>
      <c r="I855" s="246">
        <f>ROUNDDOWN(H870,-2)</f>
        <v>104700</v>
      </c>
    </row>
    <row r="856" spans="3:9" ht="29.25" thickTop="1">
      <c r="C856" s="281" t="s">
        <v>1207</v>
      </c>
      <c r="D856" s="282" t="s">
        <v>1208</v>
      </c>
      <c r="E856" s="282" t="s">
        <v>1209</v>
      </c>
      <c r="F856" s="282" t="s">
        <v>1210</v>
      </c>
      <c r="G856" s="282" t="s">
        <v>1211</v>
      </c>
      <c r="H856" s="283" t="s">
        <v>1212</v>
      </c>
    </row>
    <row r="857" spans="3:9">
      <c r="C857" s="284" t="s">
        <v>1213</v>
      </c>
      <c r="D857" s="248" t="s">
        <v>1214</v>
      </c>
      <c r="E857" s="249"/>
      <c r="F857" s="249"/>
      <c r="G857" s="249"/>
      <c r="H857" s="285"/>
    </row>
    <row r="858" spans="3:9">
      <c r="C858" s="286">
        <v>1</v>
      </c>
      <c r="D858" s="248" t="s">
        <v>5</v>
      </c>
      <c r="E858" s="247" t="s">
        <v>6</v>
      </c>
      <c r="F858" s="250">
        <v>0.1</v>
      </c>
      <c r="G858" s="65">
        <f>VLOOKUP(D858,upahbahan,3,FALSE)</f>
        <v>100000</v>
      </c>
      <c r="H858" s="287">
        <f>F858*G858</f>
        <v>10000</v>
      </c>
    </row>
    <row r="859" spans="3:9">
      <c r="C859" s="286">
        <v>2</v>
      </c>
      <c r="D859" s="248" t="s">
        <v>8</v>
      </c>
      <c r="E859" s="247" t="s">
        <v>6</v>
      </c>
      <c r="F859" s="250">
        <v>0.05</v>
      </c>
      <c r="G859" s="65">
        <f>VLOOKUP(D859,upahbahan,3,FALSE)</f>
        <v>145000</v>
      </c>
      <c r="H859" s="287">
        <f>F859*G859</f>
        <v>7250</v>
      </c>
    </row>
    <row r="860" spans="3:9">
      <c r="C860" s="286">
        <v>3</v>
      </c>
      <c r="D860" s="248" t="s">
        <v>18</v>
      </c>
      <c r="E860" s="247" t="s">
        <v>6</v>
      </c>
      <c r="F860" s="250">
        <v>5.0000000000000001E-3</v>
      </c>
      <c r="G860" s="65">
        <f>VLOOKUP(D860,upahbahan,3,FALSE)</f>
        <v>150000</v>
      </c>
      <c r="H860" s="287">
        <f>F860*G860</f>
        <v>750</v>
      </c>
    </row>
    <row r="861" spans="3:9">
      <c r="C861" s="286">
        <v>4</v>
      </c>
      <c r="D861" s="248" t="s">
        <v>19</v>
      </c>
      <c r="E861" s="247" t="s">
        <v>6</v>
      </c>
      <c r="F861" s="250">
        <v>1.6999999999999999E-3</v>
      </c>
      <c r="G861" s="65">
        <f>VLOOKUP(D861,upahbahan,3,FALSE)</f>
        <v>145000</v>
      </c>
      <c r="H861" s="287">
        <f>F861*G861</f>
        <v>246.5</v>
      </c>
    </row>
    <row r="862" spans="3:9">
      <c r="C862" s="288" t="s">
        <v>1220</v>
      </c>
      <c r="D862" s="251"/>
      <c r="E862" s="251"/>
      <c r="F862" s="252"/>
      <c r="G862" s="253"/>
      <c r="H862" s="287">
        <f>SUM(H858:H861)</f>
        <v>18246.5</v>
      </c>
      <c r="I862" s="254"/>
    </row>
    <row r="863" spans="3:9">
      <c r="C863" s="284" t="s">
        <v>1221</v>
      </c>
      <c r="D863" s="248" t="s">
        <v>1222</v>
      </c>
      <c r="E863" s="249"/>
      <c r="G863" s="249"/>
      <c r="H863" s="285"/>
    </row>
    <row r="864" spans="3:9">
      <c r="C864" s="284">
        <v>1</v>
      </c>
      <c r="D864" s="265" t="s">
        <v>1002</v>
      </c>
      <c r="E864" s="273" t="s">
        <v>63</v>
      </c>
      <c r="F864" s="274">
        <v>1.1000000000000001</v>
      </c>
      <c r="G864" s="65">
        <f>VLOOKUP(D864,upahbahan,3,FALSE)</f>
        <v>70000</v>
      </c>
      <c r="H864" s="287">
        <f>F864*G864</f>
        <v>77000</v>
      </c>
    </row>
    <row r="865" spans="3:9">
      <c r="C865" s="288" t="s">
        <v>1226</v>
      </c>
      <c r="D865" s="251"/>
      <c r="E865" s="251"/>
      <c r="F865" s="251"/>
      <c r="G865" s="256"/>
      <c r="H865" s="287">
        <f>SUM(H864:H864)</f>
        <v>77000</v>
      </c>
    </row>
    <row r="866" spans="3:9">
      <c r="C866" s="289" t="s">
        <v>1227</v>
      </c>
      <c r="D866" s="248" t="s">
        <v>1228</v>
      </c>
      <c r="E866" s="249"/>
      <c r="F866" s="249"/>
      <c r="G866" s="249"/>
      <c r="H866" s="285"/>
    </row>
    <row r="867" spans="3:9">
      <c r="C867" s="288" t="s">
        <v>1229</v>
      </c>
      <c r="D867" s="251"/>
      <c r="E867" s="251"/>
      <c r="F867" s="251"/>
      <c r="G867" s="256"/>
      <c r="H867" s="290">
        <v>0</v>
      </c>
    </row>
    <row r="868" spans="3:9" ht="14.25">
      <c r="C868" s="291" t="s">
        <v>1230</v>
      </c>
      <c r="D868" s="257" t="s">
        <v>1231</v>
      </c>
      <c r="E868" s="258"/>
      <c r="F868" s="258"/>
      <c r="G868" s="259"/>
      <c r="H868" s="287">
        <f>H867+H865+H862</f>
        <v>95246.5</v>
      </c>
      <c r="I868" s="260"/>
    </row>
    <row r="869" spans="3:9" ht="14.25">
      <c r="C869" s="123" t="s">
        <v>1232</v>
      </c>
      <c r="D869" s="70" t="s">
        <v>1410</v>
      </c>
      <c r="E869" s="71"/>
      <c r="F869" s="72"/>
      <c r="G869" s="96">
        <f>$M$7</f>
        <v>0.1</v>
      </c>
      <c r="H869" s="125">
        <f>H868*G869</f>
        <v>9524.65</v>
      </c>
      <c r="I869" s="260"/>
    </row>
    <row r="870" spans="3:9" ht="15.75" thickBot="1">
      <c r="C870" s="292" t="s">
        <v>1233</v>
      </c>
      <c r="D870" s="293" t="s">
        <v>1234</v>
      </c>
      <c r="E870" s="294"/>
      <c r="F870" s="294"/>
      <c r="G870" s="295"/>
      <c r="H870" s="296">
        <f>SUM(H868:H869)</f>
        <v>104771.15</v>
      </c>
      <c r="I870" s="260"/>
    </row>
    <row r="871" spans="3:9" ht="15.75" thickTop="1">
      <c r="C871" s="267"/>
      <c r="D871" s="268"/>
      <c r="E871" s="268"/>
      <c r="F871" s="268"/>
      <c r="G871" s="268"/>
      <c r="H871" s="269"/>
      <c r="I871" s="260"/>
    </row>
    <row r="872" spans="3:9" ht="15.75" thickBot="1">
      <c r="C872" s="277" t="s">
        <v>1502</v>
      </c>
      <c r="D872" s="300"/>
      <c r="E872" s="300"/>
      <c r="F872" s="300"/>
      <c r="G872" s="300"/>
      <c r="H872" s="300"/>
      <c r="I872" s="246">
        <f>ROUNDDOWN(H887,-2)</f>
        <v>37100</v>
      </c>
    </row>
    <row r="873" spans="3:9" ht="29.25" thickTop="1">
      <c r="C873" s="281" t="s">
        <v>1207</v>
      </c>
      <c r="D873" s="282" t="s">
        <v>1208</v>
      </c>
      <c r="E873" s="282" t="s">
        <v>1209</v>
      </c>
      <c r="F873" s="282" t="s">
        <v>1210</v>
      </c>
      <c r="G873" s="282" t="s">
        <v>1211</v>
      </c>
      <c r="H873" s="283" t="s">
        <v>1212</v>
      </c>
    </row>
    <row r="874" spans="3:9">
      <c r="C874" s="284" t="s">
        <v>1213</v>
      </c>
      <c r="D874" s="248" t="s">
        <v>1214</v>
      </c>
      <c r="E874" s="249"/>
      <c r="F874" s="249"/>
      <c r="G874" s="249"/>
      <c r="H874" s="285"/>
    </row>
    <row r="875" spans="3:9">
      <c r="C875" s="286">
        <v>1</v>
      </c>
      <c r="D875" s="248" t="s">
        <v>5</v>
      </c>
      <c r="E875" s="247" t="s">
        <v>6</v>
      </c>
      <c r="F875" s="250">
        <v>0.15</v>
      </c>
      <c r="G875" s="65">
        <f>VLOOKUP(D875,upahbahan,3,FALSE)</f>
        <v>100000</v>
      </c>
      <c r="H875" s="287">
        <f>F875*G875</f>
        <v>15000</v>
      </c>
    </row>
    <row r="876" spans="3:9">
      <c r="C876" s="286">
        <v>2</v>
      </c>
      <c r="D876" s="248" t="s">
        <v>8</v>
      </c>
      <c r="E876" s="247" t="s">
        <v>6</v>
      </c>
      <c r="F876" s="250">
        <v>0.05</v>
      </c>
      <c r="G876" s="65">
        <f>VLOOKUP(D876,upahbahan,3,FALSE)</f>
        <v>145000</v>
      </c>
      <c r="H876" s="287">
        <f>F876*G876</f>
        <v>7250</v>
      </c>
    </row>
    <row r="877" spans="3:9">
      <c r="C877" s="286">
        <v>3</v>
      </c>
      <c r="D877" s="248" t="s">
        <v>18</v>
      </c>
      <c r="E877" s="247" t="s">
        <v>6</v>
      </c>
      <c r="F877" s="250">
        <v>5.0000000000000001E-3</v>
      </c>
      <c r="G877" s="65">
        <f>VLOOKUP(D877,upahbahan,3,FALSE)</f>
        <v>150000</v>
      </c>
      <c r="H877" s="287">
        <f>F877*G877</f>
        <v>750</v>
      </c>
    </row>
    <row r="878" spans="3:9">
      <c r="C878" s="286">
        <v>4</v>
      </c>
      <c r="D878" s="248" t="s">
        <v>19</v>
      </c>
      <c r="E878" s="247" t="s">
        <v>6</v>
      </c>
      <c r="F878" s="250">
        <v>1.6999999999999999E-3</v>
      </c>
      <c r="G878" s="65">
        <f>VLOOKUP(D878,upahbahan,3,FALSE)</f>
        <v>145000</v>
      </c>
      <c r="H878" s="287">
        <f>F878*G878</f>
        <v>246.5</v>
      </c>
    </row>
    <row r="879" spans="3:9">
      <c r="C879" s="288" t="s">
        <v>1220</v>
      </c>
      <c r="D879" s="251"/>
      <c r="E879" s="251"/>
      <c r="F879" s="252"/>
      <c r="G879" s="253"/>
      <c r="H879" s="287">
        <f>SUM(H875:H878)</f>
        <v>23246.5</v>
      </c>
      <c r="I879" s="254"/>
    </row>
    <row r="880" spans="3:9">
      <c r="C880" s="284" t="s">
        <v>1221</v>
      </c>
      <c r="D880" s="248" t="s">
        <v>1222</v>
      </c>
      <c r="E880" s="249"/>
      <c r="G880" s="249"/>
      <c r="H880" s="285"/>
    </row>
    <row r="881" spans="3:9">
      <c r="C881" s="284">
        <v>1</v>
      </c>
      <c r="D881" s="265" t="s">
        <v>975</v>
      </c>
      <c r="E881" s="273" t="s">
        <v>63</v>
      </c>
      <c r="F881" s="274">
        <v>1.05</v>
      </c>
      <c r="G881" s="65">
        <f>VLOOKUP(D881,upahbahan,3,FALSE)</f>
        <v>10000</v>
      </c>
      <c r="H881" s="287">
        <f>F881*G881</f>
        <v>10500</v>
      </c>
    </row>
    <row r="882" spans="3:9">
      <c r="C882" s="288" t="s">
        <v>1226</v>
      </c>
      <c r="D882" s="251"/>
      <c r="E882" s="251"/>
      <c r="F882" s="251"/>
      <c r="G882" s="256"/>
      <c r="H882" s="287">
        <f>SUM(H881:H881)</f>
        <v>10500</v>
      </c>
    </row>
    <row r="883" spans="3:9">
      <c r="C883" s="289" t="s">
        <v>1227</v>
      </c>
      <c r="D883" s="248" t="s">
        <v>1228</v>
      </c>
      <c r="E883" s="249"/>
      <c r="F883" s="249"/>
      <c r="G883" s="249"/>
      <c r="H883" s="285"/>
    </row>
    <row r="884" spans="3:9">
      <c r="C884" s="288" t="s">
        <v>1229</v>
      </c>
      <c r="D884" s="251"/>
      <c r="E884" s="251"/>
      <c r="F884" s="251"/>
      <c r="G884" s="256"/>
      <c r="H884" s="290">
        <v>0</v>
      </c>
    </row>
    <row r="885" spans="3:9" ht="14.25">
      <c r="C885" s="291" t="s">
        <v>1230</v>
      </c>
      <c r="D885" s="257" t="s">
        <v>1231</v>
      </c>
      <c r="E885" s="258"/>
      <c r="F885" s="258"/>
      <c r="G885" s="259"/>
      <c r="H885" s="287">
        <f>H884+H882+H879</f>
        <v>33746.5</v>
      </c>
      <c r="I885" s="260"/>
    </row>
    <row r="886" spans="3:9" ht="14.25">
      <c r="C886" s="123" t="s">
        <v>1232</v>
      </c>
      <c r="D886" s="70" t="s">
        <v>1410</v>
      </c>
      <c r="E886" s="71"/>
      <c r="F886" s="72"/>
      <c r="G886" s="96">
        <f>$M$7</f>
        <v>0.1</v>
      </c>
      <c r="H886" s="125">
        <f>H885*G886</f>
        <v>3374.65</v>
      </c>
      <c r="I886" s="260"/>
    </row>
    <row r="887" spans="3:9" ht="15.75" thickBot="1">
      <c r="C887" s="292" t="s">
        <v>1233</v>
      </c>
      <c r="D887" s="293" t="s">
        <v>1234</v>
      </c>
      <c r="E887" s="294"/>
      <c r="F887" s="294"/>
      <c r="G887" s="295"/>
      <c r="H887" s="296">
        <f>SUM(H885:H886)</f>
        <v>37121.15</v>
      </c>
      <c r="I887" s="260"/>
    </row>
    <row r="888" spans="3:9" ht="15.75" thickTop="1">
      <c r="C888" s="267"/>
      <c r="D888" s="268"/>
      <c r="E888" s="268"/>
      <c r="F888" s="268"/>
      <c r="G888" s="268"/>
      <c r="H888" s="269"/>
      <c r="I888" s="260"/>
    </row>
    <row r="889" spans="3:9" ht="15.75" thickBot="1">
      <c r="C889" s="277" t="s">
        <v>1503</v>
      </c>
      <c r="D889" s="279"/>
      <c r="E889" s="279"/>
      <c r="F889" s="279"/>
      <c r="G889" s="279"/>
      <c r="H889" s="279"/>
      <c r="I889" s="246">
        <f>ROUNDDOWN(H906,-2)</f>
        <v>311600</v>
      </c>
    </row>
    <row r="890" spans="3:9" ht="29.25" thickTop="1">
      <c r="C890" s="281" t="s">
        <v>1207</v>
      </c>
      <c r="D890" s="282" t="s">
        <v>1208</v>
      </c>
      <c r="E890" s="282" t="s">
        <v>1209</v>
      </c>
      <c r="F890" s="282" t="s">
        <v>1210</v>
      </c>
      <c r="G890" s="282" t="s">
        <v>1211</v>
      </c>
      <c r="H890" s="283" t="s">
        <v>1212</v>
      </c>
    </row>
    <row r="891" spans="3:9">
      <c r="C891" s="284" t="s">
        <v>1213</v>
      </c>
      <c r="D891" s="248" t="s">
        <v>1214</v>
      </c>
      <c r="E891" s="249"/>
      <c r="F891" s="249"/>
      <c r="G891" s="249"/>
      <c r="H891" s="285"/>
    </row>
    <row r="892" spans="3:9">
      <c r="C892" s="286">
        <v>1</v>
      </c>
      <c r="D892" s="248" t="s">
        <v>5</v>
      </c>
      <c r="E892" s="247" t="s">
        <v>6</v>
      </c>
      <c r="F892" s="250">
        <v>0.2</v>
      </c>
      <c r="G892" s="65">
        <f>VLOOKUP(D892,upahbahan,3,FALSE)</f>
        <v>100000</v>
      </c>
      <c r="H892" s="287">
        <f>F892*G892</f>
        <v>20000</v>
      </c>
    </row>
    <row r="893" spans="3:9">
      <c r="C893" s="286">
        <v>2</v>
      </c>
      <c r="D893" s="248" t="s">
        <v>7</v>
      </c>
      <c r="E893" s="247" t="s">
        <v>6</v>
      </c>
      <c r="F893" s="250">
        <v>0.2</v>
      </c>
      <c r="G893" s="65">
        <f>VLOOKUP(D893,upahbahan,3,FALSE)</f>
        <v>145000</v>
      </c>
      <c r="H893" s="287">
        <f>F893*G893</f>
        <v>29000</v>
      </c>
    </row>
    <row r="894" spans="3:9">
      <c r="C894" s="286">
        <v>3</v>
      </c>
      <c r="D894" s="248" t="s">
        <v>18</v>
      </c>
      <c r="E894" s="247" t="s">
        <v>6</v>
      </c>
      <c r="F894" s="250">
        <v>0.02</v>
      </c>
      <c r="G894" s="65">
        <f>VLOOKUP(D894,upahbahan,3,FALSE)</f>
        <v>150000</v>
      </c>
      <c r="H894" s="287">
        <f>F894*G894</f>
        <v>3000</v>
      </c>
    </row>
    <row r="895" spans="3:9">
      <c r="C895" s="286">
        <v>4</v>
      </c>
      <c r="D895" s="248" t="s">
        <v>19</v>
      </c>
      <c r="E895" s="247" t="s">
        <v>6</v>
      </c>
      <c r="F895" s="250">
        <v>6.7000000000000002E-3</v>
      </c>
      <c r="G895" s="65">
        <f>VLOOKUP(D895,upahbahan,3,FALSE)</f>
        <v>145000</v>
      </c>
      <c r="H895" s="287">
        <f>F895*G895</f>
        <v>971.5</v>
      </c>
    </row>
    <row r="896" spans="3:9">
      <c r="C896" s="288" t="s">
        <v>1220</v>
      </c>
      <c r="D896" s="251"/>
      <c r="E896" s="251"/>
      <c r="F896" s="252"/>
      <c r="G896" s="253"/>
      <c r="H896" s="287">
        <f>SUM(H892:H895)</f>
        <v>52971.5</v>
      </c>
      <c r="I896" s="254"/>
    </row>
    <row r="897" spans="3:9">
      <c r="C897" s="284" t="s">
        <v>1221</v>
      </c>
      <c r="D897" s="248" t="s">
        <v>1222</v>
      </c>
      <c r="E897" s="249"/>
      <c r="F897" s="249"/>
      <c r="G897" s="249"/>
      <c r="H897" s="285"/>
    </row>
    <row r="898" spans="3:9">
      <c r="C898" s="286">
        <v>1</v>
      </c>
      <c r="D898" s="248" t="s">
        <v>377</v>
      </c>
      <c r="E898" s="247" t="s">
        <v>114</v>
      </c>
      <c r="F898" s="263">
        <v>1.05</v>
      </c>
      <c r="G898" s="65">
        <f>VLOOKUP(D898,upahbahan,3,FALSE)</f>
        <v>74400</v>
      </c>
      <c r="H898" s="287">
        <f>F898*G898</f>
        <v>78120</v>
      </c>
    </row>
    <row r="899" spans="3:9">
      <c r="C899" s="286">
        <v>2</v>
      </c>
      <c r="D899" s="248" t="s">
        <v>263</v>
      </c>
      <c r="E899" s="247" t="s">
        <v>66</v>
      </c>
      <c r="F899" s="263">
        <v>1.4999999999999999E-2</v>
      </c>
      <c r="G899" s="65">
        <f>VLOOKUP(D899,upahbahan,3,FALSE)</f>
        <v>15000</v>
      </c>
      <c r="H899" s="287">
        <f>F899*G899</f>
        <v>225</v>
      </c>
    </row>
    <row r="900" spans="3:9">
      <c r="C900" s="286">
        <v>3</v>
      </c>
      <c r="D900" s="248" t="s">
        <v>127</v>
      </c>
      <c r="E900" s="247" t="s">
        <v>42</v>
      </c>
      <c r="F900" s="263">
        <v>1.9E-2</v>
      </c>
      <c r="G900" s="65">
        <f>VLOOKUP(D900,upahbahan,3,FALSE)</f>
        <v>8000000</v>
      </c>
      <c r="H900" s="287">
        <f>F900*G900</f>
        <v>152000</v>
      </c>
    </row>
    <row r="901" spans="3:9">
      <c r="C901" s="288" t="s">
        <v>1226</v>
      </c>
      <c r="D901" s="251"/>
      <c r="E901" s="251"/>
      <c r="F901" s="251"/>
      <c r="G901" s="256"/>
      <c r="H901" s="287">
        <f>SUM(H898:H900)</f>
        <v>230345</v>
      </c>
    </row>
    <row r="902" spans="3:9">
      <c r="C902" s="289" t="s">
        <v>1227</v>
      </c>
      <c r="D902" s="248" t="s">
        <v>1228</v>
      </c>
      <c r="E902" s="249"/>
      <c r="F902" s="249"/>
      <c r="G902" s="249"/>
      <c r="H902" s="285"/>
    </row>
    <row r="903" spans="3:9">
      <c r="C903" s="288" t="s">
        <v>1229</v>
      </c>
      <c r="D903" s="251"/>
      <c r="E903" s="251"/>
      <c r="F903" s="251"/>
      <c r="G903" s="256"/>
      <c r="H903" s="290">
        <v>0</v>
      </c>
    </row>
    <row r="904" spans="3:9" ht="14.25">
      <c r="C904" s="291" t="s">
        <v>1230</v>
      </c>
      <c r="D904" s="257" t="s">
        <v>1231</v>
      </c>
      <c r="E904" s="258"/>
      <c r="F904" s="258"/>
      <c r="G904" s="259"/>
      <c r="H904" s="287">
        <f>H903+H901+H896</f>
        <v>283316.5</v>
      </c>
      <c r="I904" s="260"/>
    </row>
    <row r="905" spans="3:9" ht="14.25">
      <c r="C905" s="123" t="s">
        <v>1232</v>
      </c>
      <c r="D905" s="70" t="s">
        <v>1410</v>
      </c>
      <c r="E905" s="71"/>
      <c r="F905" s="72"/>
      <c r="G905" s="96">
        <f>$M$7</f>
        <v>0.1</v>
      </c>
      <c r="H905" s="125">
        <f>H904*G905</f>
        <v>28331.65</v>
      </c>
      <c r="I905" s="260"/>
    </row>
    <row r="906" spans="3:9" ht="15.75" thickBot="1">
      <c r="C906" s="292" t="s">
        <v>1233</v>
      </c>
      <c r="D906" s="293" t="s">
        <v>1234</v>
      </c>
      <c r="E906" s="294"/>
      <c r="F906" s="294"/>
      <c r="G906" s="295"/>
      <c r="H906" s="296">
        <f>SUM(H904:H905)</f>
        <v>311648.15000000002</v>
      </c>
      <c r="I906" s="260"/>
    </row>
    <row r="907" spans="3:9" ht="15.75" thickTop="1">
      <c r="C907" s="276"/>
    </row>
    <row r="908" spans="3:9" ht="15.75" thickBot="1">
      <c r="C908" s="277" t="s">
        <v>1504</v>
      </c>
      <c r="D908" s="301"/>
      <c r="E908" s="301"/>
      <c r="F908" s="301"/>
      <c r="G908" s="301"/>
      <c r="H908" s="301"/>
      <c r="I908" s="246">
        <f>ROUNDDOWN(H925,-2)</f>
        <v>166400</v>
      </c>
    </row>
    <row r="909" spans="3:9" ht="29.25" thickTop="1">
      <c r="C909" s="281" t="s">
        <v>1207</v>
      </c>
      <c r="D909" s="282" t="s">
        <v>1208</v>
      </c>
      <c r="E909" s="282" t="s">
        <v>1209</v>
      </c>
      <c r="F909" s="282" t="s">
        <v>1210</v>
      </c>
      <c r="G909" s="282" t="s">
        <v>1211</v>
      </c>
      <c r="H909" s="283" t="s">
        <v>1212</v>
      </c>
    </row>
    <row r="910" spans="3:9">
      <c r="C910" s="284" t="s">
        <v>1213</v>
      </c>
      <c r="D910" s="248" t="s">
        <v>1214</v>
      </c>
      <c r="E910" s="249"/>
      <c r="F910" s="249"/>
      <c r="G910" s="249"/>
      <c r="H910" s="285"/>
    </row>
    <row r="911" spans="3:9">
      <c r="C911" s="286">
        <v>1</v>
      </c>
      <c r="D911" s="248" t="s">
        <v>5</v>
      </c>
      <c r="E911" s="247" t="s">
        <v>6</v>
      </c>
      <c r="F911" s="263">
        <v>0.15</v>
      </c>
      <c r="G911" s="65">
        <f>VLOOKUP(D911,upahbahan,3,FALSE)</f>
        <v>100000</v>
      </c>
      <c r="H911" s="287">
        <f>F911*G911</f>
        <v>15000</v>
      </c>
    </row>
    <row r="912" spans="3:9">
      <c r="C912" s="286">
        <v>2</v>
      </c>
      <c r="D912" s="248" t="s">
        <v>7</v>
      </c>
      <c r="E912" s="247" t="s">
        <v>6</v>
      </c>
      <c r="F912" s="263">
        <v>0.3</v>
      </c>
      <c r="G912" s="65">
        <f>VLOOKUP(D912,upahbahan,3,FALSE)</f>
        <v>145000</v>
      </c>
      <c r="H912" s="287">
        <f>F912*G912</f>
        <v>43500</v>
      </c>
    </row>
    <row r="913" spans="3:9">
      <c r="C913" s="286">
        <v>3</v>
      </c>
      <c r="D913" s="248" t="s">
        <v>18</v>
      </c>
      <c r="E913" s="247" t="s">
        <v>6</v>
      </c>
      <c r="F913" s="263">
        <v>0.03</v>
      </c>
      <c r="G913" s="65">
        <f>VLOOKUP(D913,upahbahan,3,FALSE)</f>
        <v>150000</v>
      </c>
      <c r="H913" s="287">
        <f>F913*G913</f>
        <v>4500</v>
      </c>
    </row>
    <row r="914" spans="3:9">
      <c r="C914" s="286">
        <v>4</v>
      </c>
      <c r="D914" s="248" t="s">
        <v>19</v>
      </c>
      <c r="E914" s="247" t="s">
        <v>6</v>
      </c>
      <c r="F914" s="263">
        <v>0.01</v>
      </c>
      <c r="G914" s="65">
        <f>VLOOKUP(D914,upahbahan,3,FALSE)</f>
        <v>145000</v>
      </c>
      <c r="H914" s="287">
        <f>F914*G914</f>
        <v>1450</v>
      </c>
    </row>
    <row r="915" spans="3:9">
      <c r="C915" s="288" t="s">
        <v>1220</v>
      </c>
      <c r="D915" s="251"/>
      <c r="E915" s="251"/>
      <c r="F915" s="252"/>
      <c r="G915" s="253"/>
      <c r="H915" s="287">
        <f>SUM(H911:H914)</f>
        <v>64450</v>
      </c>
      <c r="I915" s="254"/>
    </row>
    <row r="916" spans="3:9">
      <c r="C916" s="284" t="s">
        <v>1221</v>
      </c>
      <c r="D916" s="248" t="s">
        <v>1222</v>
      </c>
      <c r="E916" s="249"/>
      <c r="F916" s="249"/>
      <c r="G916" s="249"/>
      <c r="H916" s="285"/>
    </row>
    <row r="917" spans="3:9">
      <c r="C917" s="286">
        <v>1</v>
      </c>
      <c r="D917" s="248" t="s">
        <v>377</v>
      </c>
      <c r="E917" s="247" t="s">
        <v>114</v>
      </c>
      <c r="F917" s="263">
        <v>1.05</v>
      </c>
      <c r="G917" s="65">
        <f>VLOOKUP(D917,upahbahan,3,FALSE)</f>
        <v>74400</v>
      </c>
      <c r="H917" s="287">
        <f>F917*G917</f>
        <v>78120</v>
      </c>
    </row>
    <row r="918" spans="3:9">
      <c r="C918" s="286">
        <v>2</v>
      </c>
      <c r="D918" s="248" t="s">
        <v>263</v>
      </c>
      <c r="E918" s="247" t="s">
        <v>66</v>
      </c>
      <c r="F918" s="263">
        <v>0.01</v>
      </c>
      <c r="G918" s="65">
        <f>VLOOKUP(D918,upahbahan,3,FALSE)</f>
        <v>15000</v>
      </c>
      <c r="H918" s="287">
        <f>F918*G918</f>
        <v>150</v>
      </c>
    </row>
    <row r="919" spans="3:9">
      <c r="C919" s="286">
        <v>3</v>
      </c>
      <c r="D919" s="248" t="s">
        <v>234</v>
      </c>
      <c r="E919" s="247" t="s">
        <v>66</v>
      </c>
      <c r="F919" s="263">
        <v>0.5</v>
      </c>
      <c r="G919" s="65">
        <f>VLOOKUP(D919,upahbahan,3,FALSE)</f>
        <v>17250</v>
      </c>
      <c r="H919" s="287">
        <f>F919*G919</f>
        <v>8625</v>
      </c>
    </row>
    <row r="920" spans="3:9">
      <c r="C920" s="288" t="s">
        <v>1226</v>
      </c>
      <c r="D920" s="251"/>
      <c r="E920" s="251"/>
      <c r="F920" s="251"/>
      <c r="G920" s="256"/>
      <c r="H920" s="287">
        <f>SUM(H917:H919)</f>
        <v>86895</v>
      </c>
    </row>
    <row r="921" spans="3:9">
      <c r="C921" s="289" t="s">
        <v>1227</v>
      </c>
      <c r="D921" s="248" t="s">
        <v>1228</v>
      </c>
      <c r="E921" s="249"/>
      <c r="F921" s="249"/>
      <c r="G921" s="249"/>
      <c r="H921" s="285"/>
    </row>
    <row r="922" spans="3:9">
      <c r="C922" s="288" t="s">
        <v>1229</v>
      </c>
      <c r="D922" s="251"/>
      <c r="E922" s="251"/>
      <c r="F922" s="251"/>
      <c r="G922" s="256"/>
      <c r="H922" s="290">
        <v>0</v>
      </c>
    </row>
    <row r="923" spans="3:9" ht="14.25">
      <c r="C923" s="291" t="s">
        <v>1230</v>
      </c>
      <c r="D923" s="257" t="s">
        <v>1231</v>
      </c>
      <c r="E923" s="258"/>
      <c r="F923" s="258"/>
      <c r="G923" s="259"/>
      <c r="H923" s="287">
        <f>H922+H920+H915</f>
        <v>151345</v>
      </c>
      <c r="I923" s="260"/>
    </row>
    <row r="924" spans="3:9" ht="14.25">
      <c r="C924" s="123" t="s">
        <v>1232</v>
      </c>
      <c r="D924" s="70" t="s">
        <v>1410</v>
      </c>
      <c r="E924" s="71"/>
      <c r="F924" s="72"/>
      <c r="G924" s="96">
        <f>$M$7</f>
        <v>0.1</v>
      </c>
      <c r="H924" s="125">
        <f>H923*G924</f>
        <v>15134.5</v>
      </c>
      <c r="I924" s="260"/>
    </row>
    <row r="925" spans="3:9" ht="15.75" thickBot="1">
      <c r="C925" s="292" t="s">
        <v>1233</v>
      </c>
      <c r="D925" s="293" t="s">
        <v>1234</v>
      </c>
      <c r="E925" s="294"/>
      <c r="F925" s="294"/>
      <c r="G925" s="295"/>
      <c r="H925" s="296">
        <f>SUM(H923:H924)</f>
        <v>166479.5</v>
      </c>
      <c r="I925" s="260"/>
    </row>
    <row r="926" spans="3:9" ht="15.75" thickTop="1">
      <c r="C926" s="267"/>
      <c r="D926" s="268"/>
      <c r="E926" s="268"/>
      <c r="F926" s="268"/>
      <c r="G926" s="268"/>
      <c r="H926" s="269"/>
      <c r="I926" s="260"/>
    </row>
    <row r="927" spans="3:9" ht="15.75" thickBot="1">
      <c r="C927" s="277" t="s">
        <v>1505</v>
      </c>
      <c r="D927" s="279"/>
      <c r="E927" s="279"/>
      <c r="F927" s="279"/>
      <c r="G927" s="279"/>
      <c r="H927" s="279"/>
      <c r="I927" s="246">
        <f>ROUNDDOWN(H943,-2)</f>
        <v>215500</v>
      </c>
    </row>
    <row r="928" spans="3:9" ht="29.25" thickTop="1">
      <c r="C928" s="281" t="s">
        <v>1207</v>
      </c>
      <c r="D928" s="282" t="s">
        <v>1208</v>
      </c>
      <c r="E928" s="282" t="s">
        <v>1209</v>
      </c>
      <c r="F928" s="282" t="s">
        <v>1210</v>
      </c>
      <c r="G928" s="282" t="s">
        <v>1211</v>
      </c>
      <c r="H928" s="283" t="s">
        <v>1212</v>
      </c>
    </row>
    <row r="929" spans="3:9">
      <c r="C929" s="284" t="s">
        <v>1213</v>
      </c>
      <c r="D929" s="248" t="s">
        <v>1214</v>
      </c>
      <c r="E929" s="249"/>
      <c r="F929" s="249"/>
      <c r="G929" s="249"/>
      <c r="H929" s="285"/>
    </row>
    <row r="930" spans="3:9">
      <c r="C930" s="286">
        <v>1</v>
      </c>
      <c r="D930" s="248" t="s">
        <v>5</v>
      </c>
      <c r="E930" s="247" t="s">
        <v>6</v>
      </c>
      <c r="F930" s="250">
        <v>0.1</v>
      </c>
      <c r="G930" s="65">
        <f>VLOOKUP(D930,upahbahan,3,FALSE)</f>
        <v>100000</v>
      </c>
      <c r="H930" s="287">
        <f>F930*G930</f>
        <v>10000</v>
      </c>
    </row>
    <row r="931" spans="3:9">
      <c r="C931" s="286">
        <v>2</v>
      </c>
      <c r="D931" s="248" t="s">
        <v>8</v>
      </c>
      <c r="E931" s="247" t="s">
        <v>6</v>
      </c>
      <c r="F931" s="250">
        <v>0.2</v>
      </c>
      <c r="G931" s="65">
        <f>VLOOKUP(D931,upahbahan,3,FALSE)</f>
        <v>145000</v>
      </c>
      <c r="H931" s="287">
        <f>F931*G931</f>
        <v>29000</v>
      </c>
    </row>
    <row r="932" spans="3:9">
      <c r="C932" s="286">
        <v>3</v>
      </c>
      <c r="D932" s="248" t="s">
        <v>18</v>
      </c>
      <c r="E932" s="247" t="s">
        <v>6</v>
      </c>
      <c r="F932" s="250">
        <v>0.02</v>
      </c>
      <c r="G932" s="65">
        <f>VLOOKUP(D932,upahbahan,3,FALSE)</f>
        <v>150000</v>
      </c>
      <c r="H932" s="287">
        <f>F932*G932</f>
        <v>3000</v>
      </c>
    </row>
    <row r="933" spans="3:9">
      <c r="C933" s="286">
        <v>4</v>
      </c>
      <c r="D933" s="248" t="s">
        <v>19</v>
      </c>
      <c r="E933" s="247" t="s">
        <v>6</v>
      </c>
      <c r="F933" s="250">
        <v>6.7000000000000002E-3</v>
      </c>
      <c r="G933" s="65">
        <f>VLOOKUP(D933,upahbahan,3,FALSE)</f>
        <v>145000</v>
      </c>
      <c r="H933" s="287">
        <f>F933*G933</f>
        <v>971.5</v>
      </c>
    </row>
    <row r="934" spans="3:9">
      <c r="C934" s="288" t="s">
        <v>1220</v>
      </c>
      <c r="D934" s="251"/>
      <c r="E934" s="251"/>
      <c r="F934" s="252"/>
      <c r="G934" s="253"/>
      <c r="H934" s="287">
        <f>SUM(H930:H933)</f>
        <v>42971.5</v>
      </c>
      <c r="I934" s="254"/>
    </row>
    <row r="935" spans="3:9">
      <c r="C935" s="284" t="s">
        <v>1221</v>
      </c>
      <c r="D935" s="248" t="s">
        <v>1222</v>
      </c>
      <c r="E935" s="249"/>
      <c r="F935" s="249"/>
      <c r="G935" s="249"/>
      <c r="H935" s="285"/>
    </row>
    <row r="936" spans="3:9">
      <c r="C936" s="286">
        <v>1</v>
      </c>
      <c r="D936" s="248" t="s">
        <v>126</v>
      </c>
      <c r="E936" s="247" t="s">
        <v>42</v>
      </c>
      <c r="F936" s="250">
        <v>1.0800000000000001E-2</v>
      </c>
      <c r="G936" s="65">
        <f>VLOOKUP(D936,upahbahan,3,FALSE)</f>
        <v>14000000</v>
      </c>
      <c r="H936" s="287">
        <f>F936*G936</f>
        <v>151200</v>
      </c>
    </row>
    <row r="937" spans="3:9">
      <c r="C937" s="286">
        <v>2</v>
      </c>
      <c r="D937" s="248" t="s">
        <v>265</v>
      </c>
      <c r="E937" s="247" t="s">
        <v>66</v>
      </c>
      <c r="F937" s="250">
        <v>0.1</v>
      </c>
      <c r="G937" s="65">
        <f>VLOOKUP(D937,upahbahan,3,FALSE)</f>
        <v>18000</v>
      </c>
      <c r="H937" s="287">
        <f>F937*G937</f>
        <v>1800</v>
      </c>
    </row>
    <row r="938" spans="3:9">
      <c r="C938" s="288" t="s">
        <v>1226</v>
      </c>
      <c r="D938" s="251"/>
      <c r="E938" s="251"/>
      <c r="F938" s="251"/>
      <c r="G938" s="256"/>
      <c r="H938" s="287">
        <f>SUM(H936:H937)</f>
        <v>153000</v>
      </c>
    </row>
    <row r="939" spans="3:9">
      <c r="C939" s="289" t="s">
        <v>1227</v>
      </c>
      <c r="D939" s="248" t="s">
        <v>1228</v>
      </c>
      <c r="E939" s="249"/>
      <c r="F939" s="249"/>
      <c r="G939" s="249"/>
      <c r="H939" s="285"/>
    </row>
    <row r="940" spans="3:9">
      <c r="C940" s="288" t="s">
        <v>1229</v>
      </c>
      <c r="D940" s="251"/>
      <c r="E940" s="251"/>
      <c r="F940" s="251"/>
      <c r="G940" s="256"/>
      <c r="H940" s="290">
        <v>0</v>
      </c>
    </row>
    <row r="941" spans="3:9" ht="14.25">
      <c r="C941" s="291" t="s">
        <v>1230</v>
      </c>
      <c r="D941" s="257" t="s">
        <v>1231</v>
      </c>
      <c r="E941" s="258"/>
      <c r="F941" s="258"/>
      <c r="G941" s="259"/>
      <c r="H941" s="287">
        <f>H940+H938+H934</f>
        <v>195971.5</v>
      </c>
      <c r="I941" s="260"/>
    </row>
    <row r="942" spans="3:9" ht="14.25">
      <c r="C942" s="123" t="s">
        <v>1232</v>
      </c>
      <c r="D942" s="70" t="s">
        <v>1410</v>
      </c>
      <c r="E942" s="71"/>
      <c r="F942" s="72"/>
      <c r="G942" s="96">
        <f>$M$7</f>
        <v>0.1</v>
      </c>
      <c r="H942" s="125">
        <f>H941*G942</f>
        <v>19597.150000000001</v>
      </c>
      <c r="I942" s="260"/>
    </row>
    <row r="943" spans="3:9" ht="15.75" thickBot="1">
      <c r="C943" s="292" t="s">
        <v>1233</v>
      </c>
      <c r="D943" s="293" t="s">
        <v>1234</v>
      </c>
      <c r="E943" s="294"/>
      <c r="F943" s="294"/>
      <c r="G943" s="295"/>
      <c r="H943" s="296">
        <f>SUM(H941:H942)</f>
        <v>215568.65</v>
      </c>
      <c r="I943" s="260"/>
    </row>
    <row r="944" spans="3:9" ht="15.75" thickTop="1">
      <c r="C944" s="261"/>
      <c r="D944" s="262"/>
      <c r="E944" s="262"/>
      <c r="F944" s="262"/>
      <c r="G944" s="262"/>
      <c r="H944" s="280"/>
    </row>
    <row r="945" spans="3:9" ht="15.75" thickBot="1">
      <c r="C945" s="277" t="s">
        <v>1506</v>
      </c>
      <c r="D945" s="279"/>
      <c r="E945" s="279"/>
      <c r="F945" s="279"/>
      <c r="G945" s="279"/>
      <c r="H945" s="279"/>
      <c r="I945" s="246">
        <f>ROUNDDOWN(H961,-2)</f>
        <v>217600</v>
      </c>
    </row>
    <row r="946" spans="3:9" ht="29.25" thickTop="1">
      <c r="C946" s="281" t="s">
        <v>1207</v>
      </c>
      <c r="D946" s="282" t="s">
        <v>1208</v>
      </c>
      <c r="E946" s="282" t="s">
        <v>1209</v>
      </c>
      <c r="F946" s="282" t="s">
        <v>1210</v>
      </c>
      <c r="G946" s="282" t="s">
        <v>1211</v>
      </c>
      <c r="H946" s="283" t="s">
        <v>1212</v>
      </c>
      <c r="I946" s="246"/>
    </row>
    <row r="947" spans="3:9">
      <c r="C947" s="284" t="s">
        <v>1213</v>
      </c>
      <c r="D947" s="248" t="s">
        <v>1214</v>
      </c>
      <c r="E947" s="249"/>
      <c r="F947" s="249"/>
      <c r="G947" s="249"/>
      <c r="H947" s="285"/>
    </row>
    <row r="948" spans="3:9">
      <c r="C948" s="286">
        <v>1</v>
      </c>
      <c r="D948" s="248" t="s">
        <v>5</v>
      </c>
      <c r="E948" s="247" t="s">
        <v>6</v>
      </c>
      <c r="F948" s="250">
        <v>0.1</v>
      </c>
      <c r="G948" s="65">
        <f>VLOOKUP(D948,upahbahan,3,FALSE)</f>
        <v>100000</v>
      </c>
      <c r="H948" s="287">
        <f>F948*G948</f>
        <v>10000</v>
      </c>
    </row>
    <row r="949" spans="3:9">
      <c r="C949" s="286">
        <v>2</v>
      </c>
      <c r="D949" s="248" t="s">
        <v>8</v>
      </c>
      <c r="E949" s="247" t="s">
        <v>6</v>
      </c>
      <c r="F949" s="250">
        <v>0.2</v>
      </c>
      <c r="G949" s="65">
        <f>VLOOKUP(D949,upahbahan,3,FALSE)</f>
        <v>145000</v>
      </c>
      <c r="H949" s="287">
        <f>F949*G949</f>
        <v>29000</v>
      </c>
    </row>
    <row r="950" spans="3:9">
      <c r="C950" s="286">
        <v>3</v>
      </c>
      <c r="D950" s="248" t="s">
        <v>18</v>
      </c>
      <c r="E950" s="247" t="s">
        <v>6</v>
      </c>
      <c r="F950" s="250">
        <v>0.02</v>
      </c>
      <c r="G950" s="65">
        <f>VLOOKUP(D950,upahbahan,3,FALSE)</f>
        <v>150000</v>
      </c>
      <c r="H950" s="287">
        <f>F950*G950</f>
        <v>3000</v>
      </c>
    </row>
    <row r="951" spans="3:9">
      <c r="C951" s="286">
        <v>4</v>
      </c>
      <c r="D951" s="248" t="s">
        <v>19</v>
      </c>
      <c r="E951" s="247" t="s">
        <v>6</v>
      </c>
      <c r="F951" s="250">
        <v>6.7000000000000002E-3</v>
      </c>
      <c r="G951" s="65">
        <f>VLOOKUP(D951,upahbahan,3,FALSE)</f>
        <v>145000</v>
      </c>
      <c r="H951" s="287">
        <f>F951*G951</f>
        <v>971.5</v>
      </c>
    </row>
    <row r="952" spans="3:9">
      <c r="C952" s="288" t="s">
        <v>1220</v>
      </c>
      <c r="D952" s="251"/>
      <c r="E952" s="251"/>
      <c r="F952" s="252"/>
      <c r="G952" s="253"/>
      <c r="H952" s="287">
        <f>SUM(H948:H951)</f>
        <v>42971.5</v>
      </c>
      <c r="I952" s="254"/>
    </row>
    <row r="953" spans="3:9">
      <c r="C953" s="284" t="s">
        <v>1221</v>
      </c>
      <c r="D953" s="248" t="s">
        <v>1222</v>
      </c>
      <c r="E953" s="249"/>
      <c r="F953" s="249"/>
      <c r="G953" s="249"/>
      <c r="H953" s="285"/>
    </row>
    <row r="954" spans="3:9">
      <c r="C954" s="286">
        <v>1</v>
      </c>
      <c r="D954" s="248" t="s">
        <v>126</v>
      </c>
      <c r="E954" s="247" t="s">
        <v>42</v>
      </c>
      <c r="F954" s="263">
        <v>1.0999999999999999E-2</v>
      </c>
      <c r="G954" s="65">
        <f>VLOOKUP(D954,upahbahan,3,FALSE)</f>
        <v>14000000</v>
      </c>
      <c r="H954" s="287">
        <f>F954*G954</f>
        <v>154000</v>
      </c>
    </row>
    <row r="955" spans="3:9">
      <c r="C955" s="286">
        <v>2</v>
      </c>
      <c r="D955" s="248" t="s">
        <v>265</v>
      </c>
      <c r="E955" s="247" t="s">
        <v>66</v>
      </c>
      <c r="F955" s="263">
        <v>0.05</v>
      </c>
      <c r="G955" s="65">
        <f>VLOOKUP(D955,upahbahan,3,FALSE)</f>
        <v>18000</v>
      </c>
      <c r="H955" s="287">
        <f>F955*G955</f>
        <v>900</v>
      </c>
    </row>
    <row r="956" spans="3:9">
      <c r="C956" s="288" t="s">
        <v>1226</v>
      </c>
      <c r="D956" s="251"/>
      <c r="E956" s="251"/>
      <c r="F956" s="251"/>
      <c r="G956" s="256"/>
      <c r="H956" s="287">
        <f>SUM(H954:H955)</f>
        <v>154900</v>
      </c>
    </row>
    <row r="957" spans="3:9">
      <c r="C957" s="289" t="s">
        <v>1227</v>
      </c>
      <c r="D957" s="248" t="s">
        <v>1228</v>
      </c>
      <c r="E957" s="249"/>
      <c r="F957" s="249"/>
      <c r="G957" s="249"/>
      <c r="H957" s="285"/>
    </row>
    <row r="958" spans="3:9">
      <c r="C958" s="288" t="s">
        <v>1229</v>
      </c>
      <c r="D958" s="251"/>
      <c r="E958" s="251"/>
      <c r="F958" s="251"/>
      <c r="G958" s="256"/>
      <c r="H958" s="290">
        <v>0</v>
      </c>
    </row>
    <row r="959" spans="3:9" ht="14.25">
      <c r="C959" s="291" t="s">
        <v>1230</v>
      </c>
      <c r="D959" s="257" t="s">
        <v>1231</v>
      </c>
      <c r="E959" s="258"/>
      <c r="F959" s="258"/>
      <c r="G959" s="259"/>
      <c r="H959" s="287">
        <f>H958+H956+H952</f>
        <v>197871.5</v>
      </c>
      <c r="I959" s="260"/>
    </row>
    <row r="960" spans="3:9" ht="14.25">
      <c r="C960" s="123" t="s">
        <v>1232</v>
      </c>
      <c r="D960" s="70" t="s">
        <v>1410</v>
      </c>
      <c r="E960" s="71"/>
      <c r="F960" s="72"/>
      <c r="G960" s="96">
        <f>$M$7</f>
        <v>0.1</v>
      </c>
      <c r="H960" s="125">
        <f>H959*G960</f>
        <v>19787.150000000001</v>
      </c>
      <c r="I960" s="260"/>
    </row>
    <row r="961" spans="3:9" ht="15.75" thickBot="1">
      <c r="C961" s="292" t="s">
        <v>1233</v>
      </c>
      <c r="D961" s="293" t="s">
        <v>1234</v>
      </c>
      <c r="E961" s="294"/>
      <c r="F961" s="294"/>
      <c r="G961" s="295"/>
      <c r="H961" s="296">
        <f>SUM(H959:H960)</f>
        <v>217658.65</v>
      </c>
      <c r="I961" s="260"/>
    </row>
    <row r="962" spans="3:9" ht="15.75" thickTop="1">
      <c r="C962" s="267"/>
      <c r="D962" s="268"/>
      <c r="E962" s="268"/>
      <c r="F962" s="268"/>
      <c r="G962" s="268"/>
      <c r="H962" s="269"/>
      <c r="I962" s="260"/>
    </row>
    <row r="963" spans="3:9" ht="15.75" thickBot="1">
      <c r="C963" s="277" t="s">
        <v>1507</v>
      </c>
      <c r="D963" s="279"/>
      <c r="E963" s="279"/>
      <c r="F963" s="279"/>
      <c r="G963" s="279"/>
      <c r="H963" s="279"/>
      <c r="I963" s="246">
        <f>ROUNDDOWN(H979,-2)</f>
        <v>74800</v>
      </c>
    </row>
    <row r="964" spans="3:9" ht="29.25" thickTop="1">
      <c r="C964" s="281" t="s">
        <v>1207</v>
      </c>
      <c r="D964" s="282" t="s">
        <v>1208</v>
      </c>
      <c r="E964" s="282" t="s">
        <v>1209</v>
      </c>
      <c r="F964" s="282" t="s">
        <v>1210</v>
      </c>
      <c r="G964" s="282" t="s">
        <v>1211</v>
      </c>
      <c r="H964" s="283" t="s">
        <v>1212</v>
      </c>
      <c r="I964" s="246"/>
    </row>
    <row r="965" spans="3:9">
      <c r="C965" s="284" t="s">
        <v>1213</v>
      </c>
      <c r="D965" s="248" t="s">
        <v>1214</v>
      </c>
      <c r="E965" s="249"/>
      <c r="F965" s="249"/>
      <c r="G965" s="249"/>
      <c r="H965" s="285"/>
    </row>
    <row r="966" spans="3:9">
      <c r="C966" s="286">
        <v>1</v>
      </c>
      <c r="D966" s="248" t="s">
        <v>5</v>
      </c>
      <c r="E966" s="247" t="s">
        <v>6</v>
      </c>
      <c r="F966" s="250">
        <v>0.1</v>
      </c>
      <c r="G966" s="65">
        <f>VLOOKUP(D966,upahbahan,3,FALSE)</f>
        <v>100000</v>
      </c>
      <c r="H966" s="287">
        <f>F966*G966</f>
        <v>10000</v>
      </c>
    </row>
    <row r="967" spans="3:9">
      <c r="C967" s="286">
        <v>2</v>
      </c>
      <c r="D967" s="248" t="s">
        <v>8</v>
      </c>
      <c r="E967" s="247" t="s">
        <v>6</v>
      </c>
      <c r="F967" s="250">
        <v>0.2</v>
      </c>
      <c r="G967" s="65">
        <f>VLOOKUP(D967,upahbahan,3,FALSE)</f>
        <v>145000</v>
      </c>
      <c r="H967" s="287">
        <f>F967*G967</f>
        <v>29000</v>
      </c>
    </row>
    <row r="968" spans="3:9">
      <c r="C968" s="286">
        <v>3</v>
      </c>
      <c r="D968" s="248" t="s">
        <v>18</v>
      </c>
      <c r="E968" s="247" t="s">
        <v>6</v>
      </c>
      <c r="F968" s="250">
        <v>0.02</v>
      </c>
      <c r="G968" s="65">
        <f>VLOOKUP(D968,upahbahan,3,FALSE)</f>
        <v>150000</v>
      </c>
      <c r="H968" s="287">
        <f>F968*G968</f>
        <v>3000</v>
      </c>
    </row>
    <row r="969" spans="3:9">
      <c r="C969" s="286">
        <v>4</v>
      </c>
      <c r="D969" s="248" t="s">
        <v>19</v>
      </c>
      <c r="E969" s="247" t="s">
        <v>6</v>
      </c>
      <c r="F969" s="250">
        <v>6.7000000000000002E-3</v>
      </c>
      <c r="G969" s="65">
        <f>VLOOKUP(D969,upahbahan,3,FALSE)</f>
        <v>145000</v>
      </c>
      <c r="H969" s="287">
        <f>F969*G969</f>
        <v>971.5</v>
      </c>
    </row>
    <row r="970" spans="3:9">
      <c r="C970" s="288" t="s">
        <v>1220</v>
      </c>
      <c r="D970" s="251"/>
      <c r="E970" s="251"/>
      <c r="F970" s="252"/>
      <c r="G970" s="253"/>
      <c r="H970" s="287">
        <f>SUM(H966:H969)</f>
        <v>42971.5</v>
      </c>
      <c r="I970" s="254"/>
    </row>
    <row r="971" spans="3:9">
      <c r="C971" s="284" t="s">
        <v>1221</v>
      </c>
      <c r="D971" s="248" t="s">
        <v>1222</v>
      </c>
      <c r="E971" s="249"/>
      <c r="F971" s="249"/>
      <c r="G971" s="249"/>
      <c r="H971" s="285"/>
    </row>
    <row r="972" spans="3:9">
      <c r="C972" s="286">
        <v>1</v>
      </c>
      <c r="D972" s="248" t="s">
        <v>394</v>
      </c>
      <c r="E972" s="247" t="s">
        <v>114</v>
      </c>
      <c r="F972" s="263">
        <v>1.05</v>
      </c>
      <c r="G972" s="65">
        <f>VLOOKUP(D972,upahbahan,3,FALSE)</f>
        <v>23000</v>
      </c>
      <c r="H972" s="287">
        <f>F972*G972</f>
        <v>24150</v>
      </c>
    </row>
    <row r="973" spans="3:9">
      <c r="C973" s="286">
        <v>2</v>
      </c>
      <c r="D973" s="248" t="s">
        <v>265</v>
      </c>
      <c r="E973" s="247" t="s">
        <v>66</v>
      </c>
      <c r="F973" s="263">
        <v>0.05</v>
      </c>
      <c r="G973" s="65">
        <f>VLOOKUP(D973,upahbahan,3,FALSE)</f>
        <v>18000</v>
      </c>
      <c r="H973" s="287">
        <f>F973*G973</f>
        <v>900</v>
      </c>
    </row>
    <row r="974" spans="3:9">
      <c r="C974" s="288" t="s">
        <v>1226</v>
      </c>
      <c r="D974" s="251"/>
      <c r="E974" s="251"/>
      <c r="F974" s="251"/>
      <c r="G974" s="256"/>
      <c r="H974" s="287">
        <f>SUM(H972:H973)</f>
        <v>25050</v>
      </c>
    </row>
    <row r="975" spans="3:9">
      <c r="C975" s="289" t="s">
        <v>1227</v>
      </c>
      <c r="D975" s="248" t="s">
        <v>1228</v>
      </c>
      <c r="E975" s="249"/>
      <c r="F975" s="249"/>
      <c r="G975" s="249"/>
      <c r="H975" s="285"/>
    </row>
    <row r="976" spans="3:9">
      <c r="C976" s="288" t="s">
        <v>1229</v>
      </c>
      <c r="D976" s="251"/>
      <c r="E976" s="251"/>
      <c r="F976" s="251"/>
      <c r="G976" s="256"/>
      <c r="H976" s="290">
        <v>0</v>
      </c>
    </row>
    <row r="977" spans="3:9" ht="14.25">
      <c r="C977" s="291" t="s">
        <v>1230</v>
      </c>
      <c r="D977" s="257" t="s">
        <v>1231</v>
      </c>
      <c r="E977" s="258"/>
      <c r="F977" s="258"/>
      <c r="G977" s="259"/>
      <c r="H977" s="287">
        <f>H976+H974+H970</f>
        <v>68021.5</v>
      </c>
      <c r="I977" s="260"/>
    </row>
    <row r="978" spans="3:9" ht="14.25">
      <c r="C978" s="123" t="s">
        <v>1232</v>
      </c>
      <c r="D978" s="70" t="s">
        <v>1410</v>
      </c>
      <c r="E978" s="71"/>
      <c r="F978" s="72"/>
      <c r="G978" s="96">
        <f>$M$7</f>
        <v>0.1</v>
      </c>
      <c r="H978" s="125">
        <f>H977*G978</f>
        <v>6802.1500000000005</v>
      </c>
      <c r="I978" s="260"/>
    </row>
    <row r="979" spans="3:9" ht="15.75" thickBot="1">
      <c r="C979" s="292" t="s">
        <v>1233</v>
      </c>
      <c r="D979" s="293" t="s">
        <v>1234</v>
      </c>
      <c r="E979" s="294"/>
      <c r="F979" s="294"/>
      <c r="G979" s="295"/>
      <c r="H979" s="296">
        <f>SUM(H977:H978)</f>
        <v>74823.649999999994</v>
      </c>
      <c r="I979" s="260"/>
    </row>
    <row r="980" spans="3:9" ht="15.75" thickTop="1">
      <c r="C980" s="267"/>
      <c r="D980" s="268"/>
      <c r="E980" s="268"/>
      <c r="F980" s="268"/>
      <c r="G980" s="268"/>
      <c r="H980" s="269"/>
      <c r="I980" s="260"/>
    </row>
    <row r="981" spans="3:9" ht="15.75" thickBot="1">
      <c r="C981" s="277" t="s">
        <v>1508</v>
      </c>
      <c r="D981" s="279"/>
      <c r="E981" s="279"/>
      <c r="F981" s="279"/>
      <c r="G981" s="279"/>
      <c r="H981" s="279"/>
      <c r="I981" s="246">
        <f>ROUNDDOWN(H997,-2)</f>
        <v>72500</v>
      </c>
    </row>
    <row r="982" spans="3:9" ht="29.25" thickTop="1">
      <c r="C982" s="281" t="s">
        <v>1207</v>
      </c>
      <c r="D982" s="282" t="s">
        <v>1208</v>
      </c>
      <c r="E982" s="282" t="s">
        <v>1209</v>
      </c>
      <c r="F982" s="282" t="s">
        <v>1210</v>
      </c>
      <c r="G982" s="282" t="s">
        <v>1211</v>
      </c>
      <c r="H982" s="283" t="s">
        <v>1212</v>
      </c>
      <c r="I982" s="246"/>
    </row>
    <row r="983" spans="3:9">
      <c r="C983" s="284" t="s">
        <v>1213</v>
      </c>
      <c r="D983" s="248" t="s">
        <v>1214</v>
      </c>
      <c r="E983" s="249"/>
      <c r="F983" s="249"/>
      <c r="G983" s="249"/>
      <c r="H983" s="285"/>
    </row>
    <row r="984" spans="3:9">
      <c r="C984" s="286">
        <v>1</v>
      </c>
      <c r="D984" s="248" t="s">
        <v>5</v>
      </c>
      <c r="E984" s="247" t="s">
        <v>6</v>
      </c>
      <c r="F984" s="250">
        <v>0.1</v>
      </c>
      <c r="G984" s="65">
        <f>VLOOKUP(D984,upahbahan,3,FALSE)</f>
        <v>100000</v>
      </c>
      <c r="H984" s="287">
        <f>F984*G984</f>
        <v>10000</v>
      </c>
    </row>
    <row r="985" spans="3:9">
      <c r="C985" s="286">
        <v>2</v>
      </c>
      <c r="D985" s="248" t="s">
        <v>8</v>
      </c>
      <c r="E985" s="247" t="s">
        <v>6</v>
      </c>
      <c r="F985" s="250">
        <v>0.2</v>
      </c>
      <c r="G985" s="65">
        <f>VLOOKUP(D985,upahbahan,3,FALSE)</f>
        <v>145000</v>
      </c>
      <c r="H985" s="287">
        <f>F985*G985</f>
        <v>29000</v>
      </c>
    </row>
    <row r="986" spans="3:9">
      <c r="C986" s="286">
        <v>3</v>
      </c>
      <c r="D986" s="248" t="s">
        <v>18</v>
      </c>
      <c r="E986" s="247" t="s">
        <v>6</v>
      </c>
      <c r="F986" s="250">
        <v>0.02</v>
      </c>
      <c r="G986" s="65">
        <f>VLOOKUP(D986,upahbahan,3,FALSE)</f>
        <v>150000</v>
      </c>
      <c r="H986" s="287">
        <f>F986*G986</f>
        <v>3000</v>
      </c>
    </row>
    <row r="987" spans="3:9">
      <c r="C987" s="286">
        <v>4</v>
      </c>
      <c r="D987" s="248" t="s">
        <v>19</v>
      </c>
      <c r="E987" s="247" t="s">
        <v>6</v>
      </c>
      <c r="F987" s="250">
        <v>6.7000000000000002E-3</v>
      </c>
      <c r="G987" s="65">
        <f>VLOOKUP(D987,upahbahan,3,FALSE)</f>
        <v>145000</v>
      </c>
      <c r="H987" s="287">
        <f>F987*G987</f>
        <v>971.5</v>
      </c>
    </row>
    <row r="988" spans="3:9">
      <c r="C988" s="288" t="s">
        <v>1220</v>
      </c>
      <c r="D988" s="251"/>
      <c r="E988" s="251"/>
      <c r="F988" s="252"/>
      <c r="G988" s="253"/>
      <c r="H988" s="287">
        <f>SUM(H984:H987)</f>
        <v>42971.5</v>
      </c>
      <c r="I988" s="254"/>
    </row>
    <row r="989" spans="3:9">
      <c r="C989" s="284" t="s">
        <v>1221</v>
      </c>
      <c r="D989" s="248" t="s">
        <v>1222</v>
      </c>
      <c r="E989" s="249"/>
      <c r="F989" s="249"/>
      <c r="G989" s="249"/>
      <c r="H989" s="285"/>
    </row>
    <row r="990" spans="3:9">
      <c r="C990" s="286">
        <v>1</v>
      </c>
      <c r="D990" s="248" t="s">
        <v>393</v>
      </c>
      <c r="E990" s="247" t="s">
        <v>114</v>
      </c>
      <c r="F990" s="263">
        <v>1.05</v>
      </c>
      <c r="G990" s="65">
        <f>VLOOKUP(D990,upahbahan,3,FALSE)</f>
        <v>21000</v>
      </c>
      <c r="H990" s="287">
        <f>F990*G990</f>
        <v>22050</v>
      </c>
    </row>
    <row r="991" spans="3:9">
      <c r="C991" s="286">
        <v>2</v>
      </c>
      <c r="D991" s="248" t="s">
        <v>265</v>
      </c>
      <c r="E991" s="247" t="s">
        <v>66</v>
      </c>
      <c r="F991" s="263">
        <v>0.05</v>
      </c>
      <c r="G991" s="65">
        <f>VLOOKUP(D991,upahbahan,3,FALSE)</f>
        <v>18000</v>
      </c>
      <c r="H991" s="287">
        <f>F991*G991</f>
        <v>900</v>
      </c>
    </row>
    <row r="992" spans="3:9">
      <c r="C992" s="288" t="s">
        <v>1226</v>
      </c>
      <c r="D992" s="251"/>
      <c r="E992" s="251"/>
      <c r="F992" s="251"/>
      <c r="G992" s="256"/>
      <c r="H992" s="287">
        <f>SUM(H990:H991)</f>
        <v>22950</v>
      </c>
    </row>
    <row r="993" spans="3:9">
      <c r="C993" s="289" t="s">
        <v>1227</v>
      </c>
      <c r="D993" s="248" t="s">
        <v>1228</v>
      </c>
      <c r="E993" s="249"/>
      <c r="F993" s="249"/>
      <c r="G993" s="249"/>
      <c r="H993" s="285"/>
    </row>
    <row r="994" spans="3:9">
      <c r="C994" s="288" t="s">
        <v>1229</v>
      </c>
      <c r="D994" s="251"/>
      <c r="E994" s="251"/>
      <c r="F994" s="251"/>
      <c r="G994" s="256"/>
      <c r="H994" s="290">
        <v>0</v>
      </c>
    </row>
    <row r="995" spans="3:9" ht="14.25">
      <c r="C995" s="291" t="s">
        <v>1230</v>
      </c>
      <c r="D995" s="257" t="s">
        <v>1231</v>
      </c>
      <c r="E995" s="258"/>
      <c r="F995" s="258"/>
      <c r="G995" s="259"/>
      <c r="H995" s="287">
        <f>H994+H992+H988</f>
        <v>65921.5</v>
      </c>
      <c r="I995" s="260"/>
    </row>
    <row r="996" spans="3:9" ht="14.25">
      <c r="C996" s="123" t="s">
        <v>1232</v>
      </c>
      <c r="D996" s="70" t="s">
        <v>1410</v>
      </c>
      <c r="E996" s="71"/>
      <c r="F996" s="72"/>
      <c r="G996" s="96">
        <f>$M$7</f>
        <v>0.1</v>
      </c>
      <c r="H996" s="125">
        <f>H995*G996</f>
        <v>6592.1500000000005</v>
      </c>
      <c r="I996" s="260"/>
    </row>
    <row r="997" spans="3:9" ht="15.75" thickBot="1">
      <c r="C997" s="292" t="s">
        <v>1233</v>
      </c>
      <c r="D997" s="293" t="s">
        <v>1234</v>
      </c>
      <c r="E997" s="294"/>
      <c r="F997" s="294"/>
      <c r="G997" s="295"/>
      <c r="H997" s="296">
        <f>SUM(H995:H996)</f>
        <v>72513.649999999994</v>
      </c>
      <c r="I997" s="260"/>
    </row>
    <row r="998" spans="3:9" ht="15.75" thickTop="1">
      <c r="C998" s="267"/>
      <c r="D998" s="268"/>
      <c r="E998" s="268"/>
      <c r="F998" s="268"/>
      <c r="G998" s="268"/>
      <c r="H998" s="269"/>
      <c r="I998" s="260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1:M269"/>
  <sheetViews>
    <sheetView zoomScaleNormal="100" workbookViewId="0">
      <selection activeCell="C3" sqref="C3:I276"/>
    </sheetView>
    <sheetView workbookViewId="1"/>
  </sheetViews>
  <sheetFormatPr defaultColWidth="9.28515625" defaultRowHeight="14.25"/>
  <cols>
    <col min="1" max="2" width="3.140625" style="63" customWidth="1"/>
    <col min="3" max="3" width="5.42578125" style="63" customWidth="1"/>
    <col min="4" max="4" width="36.7109375" style="63" customWidth="1"/>
    <col min="5" max="5" width="5.7109375" style="63" customWidth="1"/>
    <col min="6" max="6" width="10.7109375" style="63" customWidth="1"/>
    <col min="7" max="7" width="15" style="63" customWidth="1"/>
    <col min="8" max="8" width="16.140625" style="63" customWidth="1"/>
    <col min="9" max="9" width="14.140625" style="63" customWidth="1"/>
    <col min="10" max="16384" width="9.28515625" style="63"/>
  </cols>
  <sheetData>
    <row r="1" spans="3:13" ht="9.6" customHeight="1"/>
    <row r="2" spans="3:13" ht="9.6" customHeight="1"/>
    <row r="3" spans="3:13" ht="15.75" customHeight="1">
      <c r="C3" s="302" t="str">
        <f>'[1]Daftar HSP'!A242</f>
        <v>J</v>
      </c>
      <c r="D3" s="229" t="str">
        <f>'[1]Daftar HSP'!B242</f>
        <v>PEKERJAAN PLESTERAN DAN ACIAN</v>
      </c>
      <c r="E3" s="219"/>
      <c r="F3" s="219"/>
      <c r="G3" s="219"/>
      <c r="H3" s="219"/>
    </row>
    <row r="4" spans="3:13" ht="15.75" thickBot="1">
      <c r="C4" s="235" t="s">
        <v>1510</v>
      </c>
      <c r="D4" s="235"/>
      <c r="E4" s="312"/>
      <c r="F4" s="312"/>
      <c r="G4" s="312"/>
      <c r="H4" s="312"/>
      <c r="I4" s="57">
        <f>ROUNDDOWN(H20,-2)</f>
        <v>67100</v>
      </c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56" t="s">
        <v>1265</v>
      </c>
      <c r="K6" s="56"/>
      <c r="L6" s="56"/>
      <c r="M6" s="56"/>
    </row>
    <row r="7" spans="3:13">
      <c r="C7" s="143">
        <v>1</v>
      </c>
      <c r="D7" s="60" t="s">
        <v>5</v>
      </c>
      <c r="E7" s="73" t="s">
        <v>6</v>
      </c>
      <c r="F7" s="75">
        <v>0.2</v>
      </c>
      <c r="G7" s="65">
        <f>VLOOKUP(D7,upahbahan,3,FALSE)</f>
        <v>100000</v>
      </c>
      <c r="H7" s="125">
        <f>F7*G7</f>
        <v>20000</v>
      </c>
      <c r="J7" s="56" t="s">
        <v>1266</v>
      </c>
      <c r="K7" s="56"/>
      <c r="L7" s="56"/>
      <c r="M7" s="66">
        <v>0.1</v>
      </c>
    </row>
    <row r="8" spans="3:13">
      <c r="C8" s="143">
        <v>2</v>
      </c>
      <c r="D8" s="60" t="s">
        <v>7</v>
      </c>
      <c r="E8" s="73" t="s">
        <v>6</v>
      </c>
      <c r="F8" s="75">
        <v>0.1</v>
      </c>
      <c r="G8" s="65">
        <f>VLOOKUP(D8,upahbahan,3,FALSE)</f>
        <v>145000</v>
      </c>
      <c r="H8" s="125">
        <f>F8*G8</f>
        <v>14500</v>
      </c>
    </row>
    <row r="9" spans="3:13">
      <c r="C9" s="143">
        <v>3</v>
      </c>
      <c r="D9" s="60" t="s">
        <v>18</v>
      </c>
      <c r="E9" s="73" t="s">
        <v>6</v>
      </c>
      <c r="F9" s="75">
        <v>0.01</v>
      </c>
      <c r="G9" s="65">
        <f>VLOOKUP(D9,upahbahan,3,FALSE)</f>
        <v>150000</v>
      </c>
      <c r="H9" s="125">
        <f>F9*G9</f>
        <v>1500</v>
      </c>
    </row>
    <row r="10" spans="3:13">
      <c r="C10" s="143">
        <v>4</v>
      </c>
      <c r="D10" s="60" t="s">
        <v>19</v>
      </c>
      <c r="E10" s="73" t="s">
        <v>6</v>
      </c>
      <c r="F10" s="75">
        <v>3.3E-3</v>
      </c>
      <c r="G10" s="65">
        <f>VLOOKUP(D10,upahbahan,3,FALSE)</f>
        <v>145000</v>
      </c>
      <c r="H10" s="125">
        <f>F10*G10</f>
        <v>478.5</v>
      </c>
    </row>
    <row r="11" spans="3:13" ht="15.75" customHeight="1">
      <c r="C11" s="145" t="s">
        <v>1220</v>
      </c>
      <c r="D11" s="81"/>
      <c r="E11" s="81"/>
      <c r="F11" s="190"/>
      <c r="G11" s="232"/>
      <c r="H11" s="125">
        <f>SUM(H7:H10)</f>
        <v>36478.5</v>
      </c>
    </row>
    <row r="12" spans="3:13">
      <c r="C12" s="142" t="s">
        <v>1221</v>
      </c>
      <c r="D12" s="60" t="s">
        <v>1222</v>
      </c>
      <c r="E12" s="74"/>
      <c r="F12" s="208"/>
      <c r="G12" s="208"/>
      <c r="H12" s="147"/>
    </row>
    <row r="13" spans="3:13">
      <c r="C13" s="143">
        <v>1</v>
      </c>
      <c r="D13" s="60" t="s">
        <v>568</v>
      </c>
      <c r="E13" s="73" t="s">
        <v>66</v>
      </c>
      <c r="F13" s="75">
        <v>15.504</v>
      </c>
      <c r="G13" s="65">
        <f>VLOOKUP(D13,upahbahan,3,FALSE)</f>
        <v>1300</v>
      </c>
      <c r="H13" s="125">
        <f>F13*G13</f>
        <v>20155.2</v>
      </c>
    </row>
    <row r="14" spans="3:13">
      <c r="C14" s="143">
        <v>2</v>
      </c>
      <c r="D14" s="78" t="s">
        <v>86</v>
      </c>
      <c r="E14" s="73" t="s">
        <v>42</v>
      </c>
      <c r="F14" s="75">
        <v>1.6E-2</v>
      </c>
      <c r="G14" s="65">
        <f>VLOOKUP(D14,upahbahan,3,FALSE)</f>
        <v>275000</v>
      </c>
      <c r="H14" s="125">
        <f>F14*G14</f>
        <v>4400</v>
      </c>
    </row>
    <row r="15" spans="3:13" ht="15.75" customHeight="1">
      <c r="C15" s="145" t="s">
        <v>1226</v>
      </c>
      <c r="D15" s="81"/>
      <c r="E15" s="81"/>
      <c r="F15" s="81"/>
      <c r="G15" s="163"/>
      <c r="H15" s="125">
        <f>SUM(H13:H14)</f>
        <v>24555.200000000001</v>
      </c>
    </row>
    <row r="16" spans="3:13">
      <c r="C16" s="153" t="s">
        <v>1227</v>
      </c>
      <c r="D16" s="60" t="s">
        <v>1228</v>
      </c>
      <c r="E16" s="74"/>
      <c r="F16" s="74"/>
      <c r="G16" s="74"/>
      <c r="H16" s="147"/>
    </row>
    <row r="17" spans="3:9" ht="15.75" customHeight="1">
      <c r="C17" s="145" t="s">
        <v>1229</v>
      </c>
      <c r="D17" s="81"/>
      <c r="E17" s="81"/>
      <c r="F17" s="81"/>
      <c r="G17" s="163"/>
      <c r="H17" s="154">
        <v>0</v>
      </c>
    </row>
    <row r="18" spans="3:9" s="164" customFormat="1">
      <c r="C18" s="123" t="s">
        <v>1230</v>
      </c>
      <c r="D18" s="70" t="s">
        <v>1231</v>
      </c>
      <c r="E18" s="71"/>
      <c r="F18" s="71"/>
      <c r="G18" s="72"/>
      <c r="H18" s="125">
        <f>H17+H15+H11</f>
        <v>61033.7</v>
      </c>
      <c r="I18" s="63"/>
    </row>
    <row r="19" spans="3:9" s="164" customFormat="1">
      <c r="C19" s="123" t="s">
        <v>1232</v>
      </c>
      <c r="D19" s="70" t="s">
        <v>1410</v>
      </c>
      <c r="E19" s="71"/>
      <c r="F19" s="72"/>
      <c r="G19" s="96">
        <f>$M$7</f>
        <v>0.1</v>
      </c>
      <c r="H19" s="125">
        <f>H18*G19</f>
        <v>6103.37</v>
      </c>
      <c r="I19" s="63"/>
    </row>
    <row r="20" spans="3:9" s="164" customFormat="1" ht="15.75" thickBot="1">
      <c r="C20" s="131" t="s">
        <v>1233</v>
      </c>
      <c r="D20" s="132" t="s">
        <v>1234</v>
      </c>
      <c r="E20" s="133"/>
      <c r="F20" s="133"/>
      <c r="G20" s="156"/>
      <c r="H20" s="135">
        <f>SUM(H18:H19)</f>
        <v>67137.069999999992</v>
      </c>
      <c r="I20" s="63"/>
    </row>
    <row r="21" spans="3:9" ht="15.75" thickTop="1">
      <c r="C21" s="90"/>
      <c r="D21" s="91"/>
      <c r="E21" s="91"/>
      <c r="F21" s="91"/>
      <c r="G21" s="91"/>
      <c r="H21" s="92"/>
    </row>
    <row r="22" spans="3:9" ht="15.75" thickBot="1">
      <c r="C22" s="235" t="s">
        <v>1511</v>
      </c>
      <c r="D22" s="235"/>
      <c r="E22" s="226"/>
      <c r="F22" s="226"/>
      <c r="G22" s="226"/>
      <c r="H22" s="226"/>
      <c r="I22" s="57">
        <f>ROUNDDOWN(H38,-2)</f>
        <v>60700</v>
      </c>
    </row>
    <row r="23" spans="3:9" ht="29.25" thickTop="1">
      <c r="C23" s="120" t="s">
        <v>1207</v>
      </c>
      <c r="D23" s="121" t="s">
        <v>1208</v>
      </c>
      <c r="E23" s="121" t="s">
        <v>1209</v>
      </c>
      <c r="F23" s="121" t="s">
        <v>1210</v>
      </c>
      <c r="G23" s="121" t="s">
        <v>1211</v>
      </c>
      <c r="H23" s="122" t="s">
        <v>1212</v>
      </c>
    </row>
    <row r="24" spans="3:9">
      <c r="C24" s="142" t="s">
        <v>1213</v>
      </c>
      <c r="D24" s="60" t="s">
        <v>1214</v>
      </c>
      <c r="E24" s="74"/>
      <c r="F24" s="74"/>
      <c r="G24" s="74"/>
      <c r="H24" s="147"/>
    </row>
    <row r="25" spans="3:9">
      <c r="C25" s="143">
        <v>1</v>
      </c>
      <c r="D25" s="60" t="s">
        <v>5</v>
      </c>
      <c r="E25" s="73" t="s">
        <v>6</v>
      </c>
      <c r="F25" s="94">
        <v>0.2</v>
      </c>
      <c r="G25" s="65">
        <f>VLOOKUP(D25,upahbahan,3,FALSE)</f>
        <v>100000</v>
      </c>
      <c r="H25" s="125">
        <f>F25*G25</f>
        <v>20000</v>
      </c>
    </row>
    <row r="26" spans="3:9">
      <c r="C26" s="143">
        <v>2</v>
      </c>
      <c r="D26" s="60" t="s">
        <v>7</v>
      </c>
      <c r="E26" s="73" t="s">
        <v>6</v>
      </c>
      <c r="F26" s="94">
        <v>0.1</v>
      </c>
      <c r="G26" s="65">
        <f>VLOOKUP(D26,upahbahan,3,FALSE)</f>
        <v>145000</v>
      </c>
      <c r="H26" s="125">
        <f>F26*G26</f>
        <v>14500</v>
      </c>
    </row>
    <row r="27" spans="3:9">
      <c r="C27" s="143">
        <v>3</v>
      </c>
      <c r="D27" s="60" t="s">
        <v>18</v>
      </c>
      <c r="E27" s="73" t="s">
        <v>6</v>
      </c>
      <c r="F27" s="94">
        <v>0.01</v>
      </c>
      <c r="G27" s="65">
        <f>VLOOKUP(D27,upahbahan,3,FALSE)</f>
        <v>150000</v>
      </c>
      <c r="H27" s="125">
        <f>F27*G27</f>
        <v>1500</v>
      </c>
    </row>
    <row r="28" spans="3:9">
      <c r="C28" s="143">
        <v>4</v>
      </c>
      <c r="D28" s="60" t="s">
        <v>19</v>
      </c>
      <c r="E28" s="73" t="s">
        <v>6</v>
      </c>
      <c r="F28" s="94">
        <v>3.3E-3</v>
      </c>
      <c r="G28" s="65">
        <f>VLOOKUP(D28,upahbahan,3,FALSE)</f>
        <v>145000</v>
      </c>
      <c r="H28" s="125">
        <f>F28*G28</f>
        <v>478.5</v>
      </c>
    </row>
    <row r="29" spans="3:9" ht="15.75" customHeight="1">
      <c r="C29" s="145" t="s">
        <v>1421</v>
      </c>
      <c r="D29" s="81"/>
      <c r="E29" s="81"/>
      <c r="F29" s="190"/>
      <c r="G29" s="232"/>
      <c r="H29" s="125">
        <f>SUM(H25:H28)</f>
        <v>36478.5</v>
      </c>
    </row>
    <row r="30" spans="3:9">
      <c r="C30" s="142" t="s">
        <v>1221</v>
      </c>
      <c r="D30" s="60" t="s">
        <v>1222</v>
      </c>
      <c r="E30" s="74"/>
      <c r="F30" s="208"/>
      <c r="G30" s="208"/>
      <c r="H30" s="147"/>
    </row>
    <row r="31" spans="3:9">
      <c r="C31" s="143">
        <v>1</v>
      </c>
      <c r="D31" s="60" t="s">
        <v>568</v>
      </c>
      <c r="E31" s="73" t="s">
        <v>66</v>
      </c>
      <c r="F31" s="75">
        <v>10.224</v>
      </c>
      <c r="G31" s="65">
        <f>VLOOKUP(D31,upahbahan,3,FALSE)</f>
        <v>1300</v>
      </c>
      <c r="H31" s="125">
        <f>F31*G31</f>
        <v>13291.2</v>
      </c>
    </row>
    <row r="32" spans="3:9">
      <c r="C32" s="143">
        <v>2</v>
      </c>
      <c r="D32" s="78" t="s">
        <v>86</v>
      </c>
      <c r="E32" s="73" t="s">
        <v>42</v>
      </c>
      <c r="F32" s="75">
        <v>0.02</v>
      </c>
      <c r="G32" s="65">
        <f>VLOOKUP(D32,upahbahan,3,FALSE)</f>
        <v>275000</v>
      </c>
      <c r="H32" s="125">
        <f>F32*G32</f>
        <v>5500</v>
      </c>
    </row>
    <row r="33" spans="3:9" ht="15.75" customHeight="1">
      <c r="C33" s="145" t="s">
        <v>1226</v>
      </c>
      <c r="D33" s="81"/>
      <c r="E33" s="81"/>
      <c r="F33" s="81"/>
      <c r="G33" s="163"/>
      <c r="H33" s="125">
        <f>SUM(H31:H32)</f>
        <v>18791.2</v>
      </c>
    </row>
    <row r="34" spans="3:9">
      <c r="C34" s="153" t="s">
        <v>1227</v>
      </c>
      <c r="D34" s="60" t="s">
        <v>1228</v>
      </c>
      <c r="E34" s="74"/>
      <c r="F34" s="74"/>
      <c r="G34" s="74"/>
      <c r="H34" s="147"/>
    </row>
    <row r="35" spans="3:9" ht="15.75" customHeight="1">
      <c r="C35" s="145" t="s">
        <v>1229</v>
      </c>
      <c r="D35" s="81"/>
      <c r="E35" s="81"/>
      <c r="F35" s="81"/>
      <c r="G35" s="163"/>
      <c r="H35" s="154">
        <v>0</v>
      </c>
    </row>
    <row r="36" spans="3:9" s="164" customFormat="1">
      <c r="C36" s="123" t="s">
        <v>1230</v>
      </c>
      <c r="D36" s="70" t="s">
        <v>1231</v>
      </c>
      <c r="E36" s="71"/>
      <c r="F36" s="71"/>
      <c r="G36" s="72"/>
      <c r="H36" s="125">
        <f>H35+H33+H29</f>
        <v>55269.7</v>
      </c>
      <c r="I36" s="63"/>
    </row>
    <row r="37" spans="3:9" s="164" customFormat="1">
      <c r="C37" s="123" t="s">
        <v>1232</v>
      </c>
      <c r="D37" s="70" t="s">
        <v>1410</v>
      </c>
      <c r="E37" s="71"/>
      <c r="F37" s="72"/>
      <c r="G37" s="96">
        <f>$M$7</f>
        <v>0.1</v>
      </c>
      <c r="H37" s="125">
        <f>H36*G37</f>
        <v>5526.97</v>
      </c>
      <c r="I37" s="63"/>
    </row>
    <row r="38" spans="3:9" s="164" customFormat="1" ht="15.75" thickBot="1">
      <c r="C38" s="131" t="s">
        <v>1233</v>
      </c>
      <c r="D38" s="132" t="s">
        <v>1234</v>
      </c>
      <c r="E38" s="133"/>
      <c r="F38" s="133"/>
      <c r="G38" s="156"/>
      <c r="H38" s="135">
        <f>SUM(H36:H37)</f>
        <v>60796.67</v>
      </c>
      <c r="I38" s="63"/>
    </row>
    <row r="39" spans="3:9" ht="15" thickTop="1"/>
    <row r="40" spans="3:9" ht="15.75" thickBot="1">
      <c r="C40" s="235" t="s">
        <v>1512</v>
      </c>
      <c r="D40" s="235"/>
      <c r="E40" s="226"/>
      <c r="F40" s="226"/>
      <c r="G40" s="226"/>
      <c r="H40" s="226"/>
      <c r="I40" s="57">
        <f>ROUNDDOWN(H56,-2)</f>
        <v>58200</v>
      </c>
    </row>
    <row r="41" spans="3:9" ht="29.25" thickTop="1">
      <c r="C41" s="120" t="s">
        <v>1207</v>
      </c>
      <c r="D41" s="121" t="s">
        <v>1208</v>
      </c>
      <c r="E41" s="121" t="s">
        <v>1209</v>
      </c>
      <c r="F41" s="121" t="s">
        <v>1210</v>
      </c>
      <c r="G41" s="121" t="s">
        <v>1211</v>
      </c>
      <c r="H41" s="122" t="s">
        <v>1212</v>
      </c>
    </row>
    <row r="42" spans="3:9">
      <c r="C42" s="142" t="s">
        <v>1213</v>
      </c>
      <c r="D42" s="60" t="s">
        <v>1214</v>
      </c>
      <c r="E42" s="74"/>
      <c r="F42" s="74"/>
      <c r="G42" s="74"/>
      <c r="H42" s="147"/>
    </row>
    <row r="43" spans="3:9">
      <c r="C43" s="143">
        <v>1</v>
      </c>
      <c r="D43" s="60" t="s">
        <v>5</v>
      </c>
      <c r="E43" s="73" t="s">
        <v>6</v>
      </c>
      <c r="F43" s="94">
        <v>0.2</v>
      </c>
      <c r="G43" s="65">
        <f>VLOOKUP(D43,upahbahan,3,FALSE)</f>
        <v>100000</v>
      </c>
      <c r="H43" s="125">
        <f>F43*G43</f>
        <v>20000</v>
      </c>
    </row>
    <row r="44" spans="3:9">
      <c r="C44" s="143">
        <v>2</v>
      </c>
      <c r="D44" s="60" t="s">
        <v>7</v>
      </c>
      <c r="E44" s="73" t="s">
        <v>6</v>
      </c>
      <c r="F44" s="94">
        <v>0.1</v>
      </c>
      <c r="G44" s="65">
        <f>VLOOKUP(D44,upahbahan,3,FALSE)</f>
        <v>145000</v>
      </c>
      <c r="H44" s="125">
        <f>F44*G44</f>
        <v>14500</v>
      </c>
    </row>
    <row r="45" spans="3:9">
      <c r="C45" s="143">
        <v>3</v>
      </c>
      <c r="D45" s="60" t="s">
        <v>18</v>
      </c>
      <c r="E45" s="73" t="s">
        <v>6</v>
      </c>
      <c r="F45" s="94">
        <v>0.01</v>
      </c>
      <c r="G45" s="65">
        <f>VLOOKUP(D45,upahbahan,3,FALSE)</f>
        <v>150000</v>
      </c>
      <c r="H45" s="125">
        <f>F45*G45</f>
        <v>1500</v>
      </c>
    </row>
    <row r="46" spans="3:9">
      <c r="C46" s="143">
        <v>4</v>
      </c>
      <c r="D46" s="60" t="s">
        <v>19</v>
      </c>
      <c r="E46" s="73" t="s">
        <v>6</v>
      </c>
      <c r="F46" s="94">
        <v>3.3E-3</v>
      </c>
      <c r="G46" s="65">
        <f>VLOOKUP(D46,upahbahan,3,FALSE)</f>
        <v>145000</v>
      </c>
      <c r="H46" s="125">
        <f>F46*G46</f>
        <v>478.5</v>
      </c>
    </row>
    <row r="47" spans="3:9" ht="15.75" customHeight="1">
      <c r="C47" s="145" t="s">
        <v>1421</v>
      </c>
      <c r="D47" s="81"/>
      <c r="E47" s="81"/>
      <c r="F47" s="190"/>
      <c r="G47" s="232"/>
      <c r="H47" s="125">
        <f>SUM(H43:H46)</f>
        <v>36478.5</v>
      </c>
    </row>
    <row r="48" spans="3:9">
      <c r="C48" s="142" t="s">
        <v>1221</v>
      </c>
      <c r="D48" s="60" t="s">
        <v>1222</v>
      </c>
      <c r="E48" s="74"/>
      <c r="F48" s="208"/>
      <c r="G48" s="208"/>
      <c r="H48" s="147"/>
    </row>
    <row r="49" spans="3:9">
      <c r="C49" s="143">
        <v>1</v>
      </c>
      <c r="D49" s="60" t="s">
        <v>568</v>
      </c>
      <c r="E49" s="73" t="s">
        <v>66</v>
      </c>
      <c r="F49" s="184">
        <v>7.7759999999999998</v>
      </c>
      <c r="G49" s="65">
        <f>VLOOKUP(D49,upahbahan,3,FALSE)</f>
        <v>1300</v>
      </c>
      <c r="H49" s="125">
        <f>F49*G49</f>
        <v>10108.799999999999</v>
      </c>
    </row>
    <row r="50" spans="3:9">
      <c r="C50" s="143">
        <v>2</v>
      </c>
      <c r="D50" s="78" t="s">
        <v>86</v>
      </c>
      <c r="E50" s="73" t="s">
        <v>42</v>
      </c>
      <c r="F50" s="184">
        <v>2.3E-2</v>
      </c>
      <c r="G50" s="65">
        <f>VLOOKUP(D50,upahbahan,3,FALSE)</f>
        <v>275000</v>
      </c>
      <c r="H50" s="125">
        <f>F50*G50</f>
        <v>6325</v>
      </c>
    </row>
    <row r="51" spans="3:9" ht="15.75" customHeight="1">
      <c r="C51" s="145" t="s">
        <v>1226</v>
      </c>
      <c r="D51" s="81"/>
      <c r="E51" s="81"/>
      <c r="F51" s="81"/>
      <c r="G51" s="163"/>
      <c r="H51" s="125">
        <f>SUM(H49:H50)</f>
        <v>16433.8</v>
      </c>
    </row>
    <row r="52" spans="3:9">
      <c r="C52" s="153" t="s">
        <v>1227</v>
      </c>
      <c r="D52" s="60" t="s">
        <v>1228</v>
      </c>
      <c r="E52" s="74"/>
      <c r="F52" s="74"/>
      <c r="G52" s="74"/>
      <c r="H52" s="147"/>
    </row>
    <row r="53" spans="3:9" ht="15.75" customHeight="1">
      <c r="C53" s="145" t="s">
        <v>1229</v>
      </c>
      <c r="D53" s="81"/>
      <c r="E53" s="81"/>
      <c r="F53" s="81"/>
      <c r="G53" s="163"/>
      <c r="H53" s="154">
        <v>0</v>
      </c>
    </row>
    <row r="54" spans="3:9" s="164" customFormat="1">
      <c r="C54" s="123" t="s">
        <v>1230</v>
      </c>
      <c r="D54" s="70" t="s">
        <v>1231</v>
      </c>
      <c r="E54" s="71"/>
      <c r="F54" s="71"/>
      <c r="G54" s="72"/>
      <c r="H54" s="125">
        <f>H53+H51+H47</f>
        <v>52912.3</v>
      </c>
      <c r="I54" s="63"/>
    </row>
    <row r="55" spans="3:9" s="164" customFormat="1">
      <c r="C55" s="123" t="s">
        <v>1232</v>
      </c>
      <c r="D55" s="70" t="s">
        <v>1410</v>
      </c>
      <c r="E55" s="71"/>
      <c r="F55" s="72"/>
      <c r="G55" s="96">
        <f>$M$7</f>
        <v>0.1</v>
      </c>
      <c r="H55" s="125">
        <f>H54*G55</f>
        <v>5291.2300000000005</v>
      </c>
      <c r="I55" s="63"/>
    </row>
    <row r="56" spans="3:9" s="164" customFormat="1" ht="15.75" thickBot="1">
      <c r="C56" s="131" t="s">
        <v>1233</v>
      </c>
      <c r="D56" s="132" t="s">
        <v>1234</v>
      </c>
      <c r="E56" s="133"/>
      <c r="F56" s="133"/>
      <c r="G56" s="156"/>
      <c r="H56" s="135">
        <f>SUM(H54:H55)</f>
        <v>58203.530000000006</v>
      </c>
      <c r="I56" s="63"/>
    </row>
    <row r="57" spans="3:9" ht="15.75" thickTop="1">
      <c r="C57" s="90"/>
      <c r="D57" s="91"/>
      <c r="E57" s="91"/>
      <c r="F57" s="91"/>
      <c r="G57" s="91"/>
      <c r="H57" s="92"/>
    </row>
    <row r="58" spans="3:9" ht="15.75" thickBot="1">
      <c r="C58" s="235" t="s">
        <v>1513</v>
      </c>
      <c r="D58" s="235"/>
      <c r="E58" s="226"/>
      <c r="F58" s="226"/>
      <c r="G58" s="226"/>
      <c r="H58" s="226"/>
      <c r="I58" s="57">
        <f>ROUNDDOWN(H74,-2)</f>
        <v>56300</v>
      </c>
    </row>
    <row r="59" spans="3:9" ht="29.25" thickTop="1">
      <c r="C59" s="120" t="s">
        <v>1207</v>
      </c>
      <c r="D59" s="121" t="s">
        <v>1208</v>
      </c>
      <c r="E59" s="121" t="s">
        <v>1209</v>
      </c>
      <c r="F59" s="121" t="s">
        <v>1210</v>
      </c>
      <c r="G59" s="121" t="s">
        <v>1211</v>
      </c>
      <c r="H59" s="122" t="s">
        <v>1212</v>
      </c>
    </row>
    <row r="60" spans="3:9">
      <c r="C60" s="142" t="s">
        <v>1213</v>
      </c>
      <c r="D60" s="60" t="s">
        <v>1214</v>
      </c>
      <c r="E60" s="74"/>
      <c r="F60" s="74"/>
      <c r="G60" s="74"/>
      <c r="H60" s="147"/>
    </row>
    <row r="61" spans="3:9">
      <c r="C61" s="143">
        <v>1</v>
      </c>
      <c r="D61" s="60" t="s">
        <v>5</v>
      </c>
      <c r="E61" s="73" t="s">
        <v>6</v>
      </c>
      <c r="F61" s="94">
        <v>0.2</v>
      </c>
      <c r="G61" s="65">
        <f>VLOOKUP(D61,upahbahan,3,FALSE)</f>
        <v>100000</v>
      </c>
      <c r="H61" s="125">
        <f>F61*G61</f>
        <v>20000</v>
      </c>
    </row>
    <row r="62" spans="3:9">
      <c r="C62" s="143">
        <v>2</v>
      </c>
      <c r="D62" s="60" t="s">
        <v>7</v>
      </c>
      <c r="E62" s="73" t="s">
        <v>6</v>
      </c>
      <c r="F62" s="94">
        <v>0.1</v>
      </c>
      <c r="G62" s="65">
        <f>VLOOKUP(D62,upahbahan,3,FALSE)</f>
        <v>145000</v>
      </c>
      <c r="H62" s="125">
        <f>F62*G62</f>
        <v>14500</v>
      </c>
    </row>
    <row r="63" spans="3:9">
      <c r="C63" s="143">
        <v>3</v>
      </c>
      <c r="D63" s="60" t="s">
        <v>18</v>
      </c>
      <c r="E63" s="73" t="s">
        <v>6</v>
      </c>
      <c r="F63" s="94">
        <v>0.01</v>
      </c>
      <c r="G63" s="65">
        <f>VLOOKUP(D63,upahbahan,3,FALSE)</f>
        <v>150000</v>
      </c>
      <c r="H63" s="125">
        <f>F63*G63</f>
        <v>1500</v>
      </c>
    </row>
    <row r="64" spans="3:9">
      <c r="C64" s="143">
        <v>4</v>
      </c>
      <c r="D64" s="60" t="s">
        <v>19</v>
      </c>
      <c r="E64" s="73" t="s">
        <v>6</v>
      </c>
      <c r="F64" s="94">
        <v>3.3E-3</v>
      </c>
      <c r="G64" s="65">
        <f>VLOOKUP(D64,upahbahan,3,FALSE)</f>
        <v>145000</v>
      </c>
      <c r="H64" s="125">
        <f>F64*G64</f>
        <v>478.5</v>
      </c>
    </row>
    <row r="65" spans="3:9" ht="15.75" customHeight="1">
      <c r="C65" s="145" t="s">
        <v>1421</v>
      </c>
      <c r="D65" s="81"/>
      <c r="E65" s="81"/>
      <c r="F65" s="190"/>
      <c r="G65" s="232"/>
      <c r="H65" s="125">
        <f>SUM(H61:H64)</f>
        <v>36478.5</v>
      </c>
    </row>
    <row r="66" spans="3:9">
      <c r="C66" s="142" t="s">
        <v>1221</v>
      </c>
      <c r="D66" s="60" t="s">
        <v>1222</v>
      </c>
      <c r="E66" s="74"/>
      <c r="F66" s="74"/>
      <c r="G66" s="74"/>
      <c r="H66" s="147"/>
    </row>
    <row r="67" spans="3:9">
      <c r="C67" s="143">
        <v>1</v>
      </c>
      <c r="D67" s="60" t="s">
        <v>568</v>
      </c>
      <c r="E67" s="73" t="s">
        <v>66</v>
      </c>
      <c r="F67" s="75">
        <v>6.24</v>
      </c>
      <c r="G67" s="65">
        <f>VLOOKUP(D67,upahbahan,3,FALSE)</f>
        <v>1300</v>
      </c>
      <c r="H67" s="125">
        <f>F67*G67</f>
        <v>8112</v>
      </c>
    </row>
    <row r="68" spans="3:9">
      <c r="C68" s="143">
        <v>2</v>
      </c>
      <c r="D68" s="78" t="s">
        <v>86</v>
      </c>
      <c r="E68" s="73" t="s">
        <v>42</v>
      </c>
      <c r="F68" s="75">
        <v>2.4E-2</v>
      </c>
      <c r="G68" s="65">
        <f>VLOOKUP(D68,upahbahan,3,FALSE)</f>
        <v>275000</v>
      </c>
      <c r="H68" s="125">
        <f>F68*G68</f>
        <v>6600</v>
      </c>
    </row>
    <row r="69" spans="3:9" ht="15.75" customHeight="1">
      <c r="C69" s="145" t="s">
        <v>1226</v>
      </c>
      <c r="D69" s="81"/>
      <c r="E69" s="81"/>
      <c r="F69" s="81"/>
      <c r="G69" s="163"/>
      <c r="H69" s="125">
        <f>SUM(H67:H68)</f>
        <v>14712</v>
      </c>
    </row>
    <row r="70" spans="3:9">
      <c r="C70" s="153" t="s">
        <v>1227</v>
      </c>
      <c r="D70" s="60" t="s">
        <v>1228</v>
      </c>
      <c r="E70" s="74"/>
      <c r="F70" s="74"/>
      <c r="G70" s="74"/>
      <c r="H70" s="147"/>
    </row>
    <row r="71" spans="3:9" ht="15.75" customHeight="1">
      <c r="C71" s="145" t="s">
        <v>1229</v>
      </c>
      <c r="D71" s="81"/>
      <c r="E71" s="81"/>
      <c r="F71" s="81"/>
      <c r="G71" s="163"/>
      <c r="H71" s="154">
        <v>0</v>
      </c>
    </row>
    <row r="72" spans="3:9" s="164" customFormat="1">
      <c r="C72" s="123" t="s">
        <v>1230</v>
      </c>
      <c r="D72" s="70" t="s">
        <v>1231</v>
      </c>
      <c r="E72" s="71"/>
      <c r="F72" s="71"/>
      <c r="G72" s="72"/>
      <c r="H72" s="125">
        <f>H71+H69+H65</f>
        <v>51190.5</v>
      </c>
      <c r="I72" s="63"/>
    </row>
    <row r="73" spans="3:9" s="164" customFormat="1">
      <c r="C73" s="123" t="s">
        <v>1232</v>
      </c>
      <c r="D73" s="70" t="s">
        <v>1410</v>
      </c>
      <c r="E73" s="71"/>
      <c r="F73" s="72"/>
      <c r="G73" s="96">
        <f>$M$7</f>
        <v>0.1</v>
      </c>
      <c r="H73" s="125">
        <f>H72*G73</f>
        <v>5119.05</v>
      </c>
      <c r="I73" s="63"/>
    </row>
    <row r="74" spans="3:9" s="164" customFormat="1" ht="15.75" thickBot="1">
      <c r="C74" s="131" t="s">
        <v>1233</v>
      </c>
      <c r="D74" s="132" t="s">
        <v>1234</v>
      </c>
      <c r="E74" s="133"/>
      <c r="F74" s="133"/>
      <c r="G74" s="156"/>
      <c r="H74" s="135">
        <f>SUM(H72:H73)</f>
        <v>56309.55</v>
      </c>
      <c r="I74" s="63"/>
    </row>
    <row r="75" spans="3:9" ht="15.75" thickTop="1">
      <c r="C75" s="90"/>
      <c r="D75" s="91"/>
      <c r="E75" s="91"/>
      <c r="F75" s="91"/>
      <c r="G75" s="91"/>
      <c r="H75" s="92"/>
    </row>
    <row r="76" spans="3:9" ht="15.75" thickBot="1">
      <c r="C76" s="235" t="s">
        <v>1514</v>
      </c>
      <c r="D76" s="235"/>
      <c r="E76" s="312"/>
      <c r="F76" s="312"/>
      <c r="G76" s="312"/>
      <c r="H76" s="312"/>
      <c r="I76" s="57">
        <f>ROUNDDOWN(H92,-2)</f>
        <v>55400</v>
      </c>
    </row>
    <row r="77" spans="3:9" ht="29.25" thickTop="1">
      <c r="C77" s="120" t="s">
        <v>1207</v>
      </c>
      <c r="D77" s="121" t="s">
        <v>1208</v>
      </c>
      <c r="E77" s="121" t="s">
        <v>1209</v>
      </c>
      <c r="F77" s="121" t="s">
        <v>1210</v>
      </c>
      <c r="G77" s="121" t="s">
        <v>1211</v>
      </c>
      <c r="H77" s="122" t="s">
        <v>1212</v>
      </c>
    </row>
    <row r="78" spans="3:9">
      <c r="C78" s="142" t="s">
        <v>1213</v>
      </c>
      <c r="D78" s="60" t="s">
        <v>1214</v>
      </c>
      <c r="E78" s="74"/>
      <c r="F78" s="74"/>
      <c r="G78" s="74"/>
      <c r="H78" s="147"/>
    </row>
    <row r="79" spans="3:9">
      <c r="C79" s="143">
        <v>1</v>
      </c>
      <c r="D79" s="60" t="s">
        <v>5</v>
      </c>
      <c r="E79" s="73" t="s">
        <v>6</v>
      </c>
      <c r="F79" s="94">
        <v>0.2</v>
      </c>
      <c r="G79" s="65">
        <f>VLOOKUP(D79,upahbahan,3,FALSE)</f>
        <v>100000</v>
      </c>
      <c r="H79" s="125">
        <f>F79*G79</f>
        <v>20000</v>
      </c>
    </row>
    <row r="80" spans="3:9">
      <c r="C80" s="143">
        <v>2</v>
      </c>
      <c r="D80" s="60" t="s">
        <v>7</v>
      </c>
      <c r="E80" s="73" t="s">
        <v>6</v>
      </c>
      <c r="F80" s="94">
        <v>0.1</v>
      </c>
      <c r="G80" s="65">
        <f>VLOOKUP(D80,upahbahan,3,FALSE)</f>
        <v>145000</v>
      </c>
      <c r="H80" s="125">
        <f>F80*G80</f>
        <v>14500</v>
      </c>
    </row>
    <row r="81" spans="3:9">
      <c r="C81" s="143">
        <v>3</v>
      </c>
      <c r="D81" s="60" t="s">
        <v>18</v>
      </c>
      <c r="E81" s="73" t="s">
        <v>6</v>
      </c>
      <c r="F81" s="94">
        <v>0.01</v>
      </c>
      <c r="G81" s="65">
        <f>VLOOKUP(D81,upahbahan,3,FALSE)</f>
        <v>150000</v>
      </c>
      <c r="H81" s="125">
        <f>F81*G81</f>
        <v>1500</v>
      </c>
    </row>
    <row r="82" spans="3:9">
      <c r="C82" s="143">
        <v>4</v>
      </c>
      <c r="D82" s="60" t="s">
        <v>19</v>
      </c>
      <c r="E82" s="73" t="s">
        <v>6</v>
      </c>
      <c r="F82" s="94">
        <v>3.3E-3</v>
      </c>
      <c r="G82" s="65">
        <f>VLOOKUP(D82,upahbahan,3,FALSE)</f>
        <v>145000</v>
      </c>
      <c r="H82" s="125">
        <f>F82*G82</f>
        <v>478.5</v>
      </c>
    </row>
    <row r="83" spans="3:9" ht="15.75" customHeight="1">
      <c r="C83" s="145" t="s">
        <v>1421</v>
      </c>
      <c r="D83" s="81"/>
      <c r="E83" s="81"/>
      <c r="F83" s="190"/>
      <c r="G83" s="232"/>
      <c r="H83" s="125">
        <f>SUM(H79:H82)</f>
        <v>36478.5</v>
      </c>
    </row>
    <row r="84" spans="3:9">
      <c r="C84" s="142" t="s">
        <v>1221</v>
      </c>
      <c r="D84" s="60" t="s">
        <v>1222</v>
      </c>
      <c r="E84" s="74"/>
      <c r="F84" s="74"/>
      <c r="G84" s="74"/>
      <c r="H84" s="147"/>
    </row>
    <row r="85" spans="3:9">
      <c r="C85" s="143">
        <v>1</v>
      </c>
      <c r="D85" s="60" t="s">
        <v>568</v>
      </c>
      <c r="E85" s="73" t="s">
        <v>66</v>
      </c>
      <c r="F85" s="75">
        <v>5.1840000000000002</v>
      </c>
      <c r="G85" s="65">
        <f>VLOOKUP(D85,upahbahan,3,FALSE)</f>
        <v>1300</v>
      </c>
      <c r="H85" s="125">
        <f>F85*G85</f>
        <v>6739.2</v>
      </c>
    </row>
    <row r="86" spans="3:9">
      <c r="C86" s="143">
        <v>2</v>
      </c>
      <c r="D86" s="78" t="s">
        <v>86</v>
      </c>
      <c r="E86" s="73" t="s">
        <v>42</v>
      </c>
      <c r="F86" s="75">
        <v>2.5999999999999999E-2</v>
      </c>
      <c r="G86" s="65">
        <f>VLOOKUP(D86,upahbahan,3,FALSE)</f>
        <v>275000</v>
      </c>
      <c r="H86" s="125">
        <f>F86*G86</f>
        <v>7150</v>
      </c>
    </row>
    <row r="87" spans="3:9" ht="15.75" customHeight="1">
      <c r="C87" s="145" t="s">
        <v>1226</v>
      </c>
      <c r="D87" s="81"/>
      <c r="E87" s="81"/>
      <c r="F87" s="81"/>
      <c r="G87" s="163"/>
      <c r="H87" s="125">
        <f>SUM(H85:H86)</f>
        <v>13889.2</v>
      </c>
    </row>
    <row r="88" spans="3:9">
      <c r="C88" s="153" t="s">
        <v>1227</v>
      </c>
      <c r="D88" s="60" t="s">
        <v>1228</v>
      </c>
      <c r="E88" s="74"/>
      <c r="F88" s="74"/>
      <c r="G88" s="74"/>
      <c r="H88" s="147"/>
    </row>
    <row r="89" spans="3:9" ht="15.75" customHeight="1">
      <c r="C89" s="145" t="s">
        <v>1229</v>
      </c>
      <c r="D89" s="81"/>
      <c r="E89" s="81"/>
      <c r="F89" s="81"/>
      <c r="G89" s="163"/>
      <c r="H89" s="154">
        <v>0</v>
      </c>
    </row>
    <row r="90" spans="3:9" s="164" customFormat="1">
      <c r="C90" s="123" t="s">
        <v>1230</v>
      </c>
      <c r="D90" s="70" t="s">
        <v>1231</v>
      </c>
      <c r="E90" s="71"/>
      <c r="F90" s="71"/>
      <c r="G90" s="72"/>
      <c r="H90" s="125">
        <f>H89+H87+H83</f>
        <v>50367.7</v>
      </c>
      <c r="I90" s="63"/>
    </row>
    <row r="91" spans="3:9" s="164" customFormat="1">
      <c r="C91" s="123" t="s">
        <v>1232</v>
      </c>
      <c r="D91" s="70" t="s">
        <v>1410</v>
      </c>
      <c r="E91" s="71"/>
      <c r="F91" s="72"/>
      <c r="G91" s="96">
        <f>$M$7</f>
        <v>0.1</v>
      </c>
      <c r="H91" s="125">
        <f>H90*G91</f>
        <v>5036.7700000000004</v>
      </c>
      <c r="I91" s="63"/>
    </row>
    <row r="92" spans="3:9" s="164" customFormat="1" ht="15.75" thickBot="1">
      <c r="C92" s="131" t="s">
        <v>1233</v>
      </c>
      <c r="D92" s="132" t="s">
        <v>1234</v>
      </c>
      <c r="E92" s="133"/>
      <c r="F92" s="133"/>
      <c r="G92" s="156"/>
      <c r="H92" s="135">
        <f>SUM(H90:H91)</f>
        <v>55404.47</v>
      </c>
      <c r="I92" s="63"/>
    </row>
    <row r="93" spans="3:9" ht="15.75" thickTop="1">
      <c r="C93" s="90"/>
      <c r="D93" s="91"/>
      <c r="E93" s="91"/>
      <c r="F93" s="91"/>
      <c r="G93" s="91"/>
      <c r="H93" s="92"/>
    </row>
    <row r="94" spans="3:9" ht="15.75" thickBot="1">
      <c r="C94" s="235" t="s">
        <v>1515</v>
      </c>
      <c r="D94" s="235"/>
      <c r="E94" s="312"/>
      <c r="F94" s="312"/>
      <c r="G94" s="312"/>
      <c r="H94" s="312"/>
      <c r="I94" s="57">
        <f>ROUNDDOWN(H110,-2)</f>
        <v>54600</v>
      </c>
    </row>
    <row r="95" spans="3:9" ht="29.25" thickTop="1">
      <c r="C95" s="120" t="s">
        <v>1207</v>
      </c>
      <c r="D95" s="121" t="s">
        <v>1208</v>
      </c>
      <c r="E95" s="121" t="s">
        <v>1209</v>
      </c>
      <c r="F95" s="121" t="s">
        <v>1210</v>
      </c>
      <c r="G95" s="121" t="s">
        <v>1211</v>
      </c>
      <c r="H95" s="122" t="s">
        <v>1212</v>
      </c>
    </row>
    <row r="96" spans="3:9">
      <c r="C96" s="142" t="s">
        <v>1213</v>
      </c>
      <c r="D96" s="60" t="s">
        <v>1214</v>
      </c>
      <c r="E96" s="74"/>
      <c r="F96" s="74"/>
      <c r="G96" s="74"/>
      <c r="H96" s="147"/>
    </row>
    <row r="97" spans="3:9">
      <c r="C97" s="143">
        <v>1</v>
      </c>
      <c r="D97" s="60" t="s">
        <v>5</v>
      </c>
      <c r="E97" s="73" t="s">
        <v>6</v>
      </c>
      <c r="F97" s="94">
        <v>0.2</v>
      </c>
      <c r="G97" s="65">
        <f>VLOOKUP(D97,upahbahan,3,FALSE)</f>
        <v>100000</v>
      </c>
      <c r="H97" s="125">
        <f>F97*G97</f>
        <v>20000</v>
      </c>
    </row>
    <row r="98" spans="3:9">
      <c r="C98" s="143">
        <v>2</v>
      </c>
      <c r="D98" s="60" t="s">
        <v>7</v>
      </c>
      <c r="E98" s="73" t="s">
        <v>6</v>
      </c>
      <c r="F98" s="94">
        <v>0.1</v>
      </c>
      <c r="G98" s="65">
        <f>VLOOKUP(D98,upahbahan,3,FALSE)</f>
        <v>145000</v>
      </c>
      <c r="H98" s="125">
        <f>F98*G98</f>
        <v>14500</v>
      </c>
    </row>
    <row r="99" spans="3:9">
      <c r="C99" s="143">
        <v>3</v>
      </c>
      <c r="D99" s="60" t="s">
        <v>18</v>
      </c>
      <c r="E99" s="73" t="s">
        <v>6</v>
      </c>
      <c r="F99" s="94">
        <v>0.01</v>
      </c>
      <c r="G99" s="65">
        <f>VLOOKUP(D99,upahbahan,3,FALSE)</f>
        <v>150000</v>
      </c>
      <c r="H99" s="125">
        <f>F99*G99</f>
        <v>1500</v>
      </c>
    </row>
    <row r="100" spans="3:9">
      <c r="C100" s="143">
        <v>4</v>
      </c>
      <c r="D100" s="60" t="s">
        <v>19</v>
      </c>
      <c r="E100" s="73" t="s">
        <v>6</v>
      </c>
      <c r="F100" s="94">
        <v>3.3E-3</v>
      </c>
      <c r="G100" s="65">
        <f>VLOOKUP(D100,upahbahan,3,FALSE)</f>
        <v>145000</v>
      </c>
      <c r="H100" s="125">
        <f>F100*G100</f>
        <v>478.5</v>
      </c>
    </row>
    <row r="101" spans="3:9" ht="15.75" customHeight="1">
      <c r="C101" s="145" t="s">
        <v>1421</v>
      </c>
      <c r="D101" s="81"/>
      <c r="E101" s="81"/>
      <c r="F101" s="190"/>
      <c r="G101" s="232"/>
      <c r="H101" s="125">
        <f>SUM(H97:H100)</f>
        <v>36478.5</v>
      </c>
    </row>
    <row r="102" spans="3:9">
      <c r="C102" s="153" t="s">
        <v>1221</v>
      </c>
      <c r="D102" s="60" t="s">
        <v>1222</v>
      </c>
      <c r="E102" s="74"/>
      <c r="F102" s="74"/>
      <c r="G102" s="311"/>
      <c r="H102" s="314"/>
    </row>
    <row r="103" spans="3:9">
      <c r="C103" s="143">
        <v>1</v>
      </c>
      <c r="D103" s="60" t="s">
        <v>568</v>
      </c>
      <c r="E103" s="73" t="s">
        <v>66</v>
      </c>
      <c r="F103" s="75">
        <v>4.4160000000000004</v>
      </c>
      <c r="G103" s="65">
        <f>VLOOKUP(D103,upahbahan,3,FALSE)</f>
        <v>1300</v>
      </c>
      <c r="H103" s="125">
        <f>F103*G103</f>
        <v>5740.8</v>
      </c>
    </row>
    <row r="104" spans="3:9">
      <c r="C104" s="143">
        <v>2</v>
      </c>
      <c r="D104" s="78" t="s">
        <v>86</v>
      </c>
      <c r="E104" s="73" t="s">
        <v>42</v>
      </c>
      <c r="F104" s="75">
        <v>2.7E-2</v>
      </c>
      <c r="G104" s="65">
        <f>VLOOKUP(D104,upahbahan,3,FALSE)</f>
        <v>275000</v>
      </c>
      <c r="H104" s="125">
        <f>F104*G104</f>
        <v>7425</v>
      </c>
    </row>
    <row r="105" spans="3:9" ht="15.75" customHeight="1">
      <c r="C105" s="145" t="s">
        <v>1226</v>
      </c>
      <c r="D105" s="81"/>
      <c r="E105" s="81"/>
      <c r="F105" s="81"/>
      <c r="G105" s="163"/>
      <c r="H105" s="125">
        <f>SUM(H103:H104)</f>
        <v>13165.8</v>
      </c>
    </row>
    <row r="106" spans="3:9">
      <c r="C106" s="153" t="s">
        <v>1227</v>
      </c>
      <c r="D106" s="60" t="s">
        <v>1228</v>
      </c>
      <c r="E106" s="74"/>
      <c r="F106" s="74"/>
      <c r="G106" s="74"/>
      <c r="H106" s="147"/>
    </row>
    <row r="107" spans="3:9" ht="15.75" customHeight="1">
      <c r="C107" s="145" t="s">
        <v>1229</v>
      </c>
      <c r="D107" s="81"/>
      <c r="E107" s="81"/>
      <c r="F107" s="81"/>
      <c r="G107" s="163"/>
      <c r="H107" s="154">
        <v>0</v>
      </c>
    </row>
    <row r="108" spans="3:9" s="164" customFormat="1">
      <c r="C108" s="123" t="s">
        <v>1230</v>
      </c>
      <c r="D108" s="70" t="s">
        <v>1231</v>
      </c>
      <c r="E108" s="71"/>
      <c r="F108" s="71"/>
      <c r="G108" s="72"/>
      <c r="H108" s="125">
        <f>H107+H105+H101</f>
        <v>49644.3</v>
      </c>
      <c r="I108" s="63"/>
    </row>
    <row r="109" spans="3:9" s="164" customFormat="1">
      <c r="C109" s="123" t="s">
        <v>1232</v>
      </c>
      <c r="D109" s="70" t="s">
        <v>1410</v>
      </c>
      <c r="E109" s="71"/>
      <c r="F109" s="72"/>
      <c r="G109" s="96">
        <f>$M$7</f>
        <v>0.1</v>
      </c>
      <c r="H109" s="125">
        <f>H108*G109</f>
        <v>4964.43</v>
      </c>
      <c r="I109" s="63"/>
    </row>
    <row r="110" spans="3:9" s="164" customFormat="1" ht="15.75" thickBot="1">
      <c r="C110" s="131" t="s">
        <v>1233</v>
      </c>
      <c r="D110" s="132" t="s">
        <v>1234</v>
      </c>
      <c r="E110" s="133"/>
      <c r="F110" s="133"/>
      <c r="G110" s="156"/>
      <c r="H110" s="135">
        <f>SUM(H108:H109)</f>
        <v>54608.73</v>
      </c>
      <c r="I110" s="63"/>
    </row>
    <row r="111" spans="3:9" ht="15" thickTop="1">
      <c r="C111" s="313"/>
      <c r="D111" s="241"/>
      <c r="E111" s="198"/>
      <c r="F111" s="198"/>
      <c r="G111" s="198"/>
      <c r="H111" s="198"/>
    </row>
    <row r="112" spans="3:9" ht="15.75" thickBot="1">
      <c r="C112" s="235" t="s">
        <v>1516</v>
      </c>
      <c r="D112" s="235"/>
      <c r="E112" s="312"/>
      <c r="F112" s="312"/>
      <c r="G112" s="312"/>
      <c r="H112" s="312"/>
      <c r="I112" s="57">
        <f>ROUNDDOWN(H127,-2)</f>
        <v>67300</v>
      </c>
    </row>
    <row r="113" spans="3:9" ht="29.25" thickTop="1">
      <c r="C113" s="120" t="s">
        <v>1207</v>
      </c>
      <c r="D113" s="121" t="s">
        <v>1208</v>
      </c>
      <c r="E113" s="121" t="s">
        <v>1209</v>
      </c>
      <c r="F113" s="121" t="s">
        <v>1210</v>
      </c>
      <c r="G113" s="121" t="s">
        <v>1211</v>
      </c>
      <c r="H113" s="122" t="s">
        <v>1212</v>
      </c>
    </row>
    <row r="114" spans="3:9">
      <c r="C114" s="142" t="s">
        <v>1213</v>
      </c>
      <c r="D114" s="60" t="s">
        <v>1214</v>
      </c>
      <c r="E114" s="74"/>
      <c r="F114" s="74"/>
      <c r="G114" s="74"/>
      <c r="H114" s="147"/>
    </row>
    <row r="115" spans="3:9">
      <c r="C115" s="143">
        <v>1</v>
      </c>
      <c r="D115" s="60" t="s">
        <v>5</v>
      </c>
      <c r="E115" s="73" t="s">
        <v>6</v>
      </c>
      <c r="F115" s="94">
        <v>0.16700000000000001</v>
      </c>
      <c r="G115" s="65">
        <f>VLOOKUP(D115,upahbahan,3,FALSE)</f>
        <v>100000</v>
      </c>
      <c r="H115" s="125">
        <f>F115*G115</f>
        <v>16700</v>
      </c>
      <c r="I115" s="223"/>
    </row>
    <row r="116" spans="3:9">
      <c r="C116" s="143">
        <v>2</v>
      </c>
      <c r="D116" s="60" t="s">
        <v>7</v>
      </c>
      <c r="E116" s="73" t="s">
        <v>6</v>
      </c>
      <c r="F116" s="94">
        <v>8.3000000000000004E-2</v>
      </c>
      <c r="G116" s="65">
        <f>VLOOKUP(D116,upahbahan,3,FALSE)</f>
        <v>145000</v>
      </c>
      <c r="H116" s="125">
        <f>F116*G116</f>
        <v>12035</v>
      </c>
      <c r="I116" s="223"/>
    </row>
    <row r="117" spans="3:9">
      <c r="C117" s="143">
        <v>3</v>
      </c>
      <c r="D117" s="60" t="s">
        <v>18</v>
      </c>
      <c r="E117" s="73" t="s">
        <v>6</v>
      </c>
      <c r="F117" s="94">
        <v>8.3000000000000001E-3</v>
      </c>
      <c r="G117" s="65">
        <f>VLOOKUP(D117,upahbahan,3,FALSE)</f>
        <v>150000</v>
      </c>
      <c r="H117" s="125">
        <f>F117*G117</f>
        <v>1245</v>
      </c>
      <c r="I117" s="223"/>
    </row>
    <row r="118" spans="3:9">
      <c r="C118" s="143">
        <v>4</v>
      </c>
      <c r="D118" s="60" t="s">
        <v>19</v>
      </c>
      <c r="E118" s="73" t="s">
        <v>6</v>
      </c>
      <c r="F118" s="94">
        <v>2.8E-3</v>
      </c>
      <c r="G118" s="65">
        <f>VLOOKUP(D118,upahbahan,3,FALSE)</f>
        <v>145000</v>
      </c>
      <c r="H118" s="125">
        <f>F118*G118</f>
        <v>406</v>
      </c>
      <c r="I118" s="223"/>
    </row>
    <row r="119" spans="3:9" ht="15.75" customHeight="1">
      <c r="C119" s="145" t="s">
        <v>1421</v>
      </c>
      <c r="D119" s="81"/>
      <c r="E119" s="81"/>
      <c r="F119" s="220"/>
      <c r="G119" s="221"/>
      <c r="H119" s="125">
        <f>SUM(H115:H118)</f>
        <v>30386</v>
      </c>
      <c r="I119" s="223"/>
    </row>
    <row r="120" spans="3:9">
      <c r="C120" s="142" t="s">
        <v>1221</v>
      </c>
      <c r="D120" s="60" t="s">
        <v>1222</v>
      </c>
      <c r="E120" s="74"/>
      <c r="F120" s="234"/>
      <c r="G120" s="234"/>
      <c r="H120" s="315"/>
      <c r="I120" s="223"/>
    </row>
    <row r="121" spans="3:9">
      <c r="C121" s="143">
        <v>1</v>
      </c>
      <c r="D121" s="60" t="s">
        <v>1024</v>
      </c>
      <c r="E121" s="73" t="s">
        <v>66</v>
      </c>
      <c r="F121" s="75">
        <v>16.670000000000002</v>
      </c>
      <c r="G121" s="65">
        <f>VLOOKUP(D121,upahbahan,3,FALSE)</f>
        <v>1850</v>
      </c>
      <c r="H121" s="125">
        <f>F121*G121</f>
        <v>30839.500000000004</v>
      </c>
      <c r="I121" s="223"/>
    </row>
    <row r="122" spans="3:9" ht="15.75" customHeight="1">
      <c r="C122" s="145" t="s">
        <v>1226</v>
      </c>
      <c r="D122" s="81"/>
      <c r="E122" s="81"/>
      <c r="F122" s="81"/>
      <c r="G122" s="163"/>
      <c r="H122" s="125">
        <f>SUM(H121:H121)</f>
        <v>30839.500000000004</v>
      </c>
    </row>
    <row r="123" spans="3:9">
      <c r="C123" s="153" t="s">
        <v>1227</v>
      </c>
      <c r="D123" s="60" t="s">
        <v>1228</v>
      </c>
      <c r="E123" s="74"/>
      <c r="F123" s="74"/>
      <c r="G123" s="74"/>
      <c r="H123" s="147"/>
    </row>
    <row r="124" spans="3:9" ht="15.75" customHeight="1">
      <c r="C124" s="145" t="s">
        <v>1229</v>
      </c>
      <c r="D124" s="81"/>
      <c r="E124" s="81"/>
      <c r="F124" s="81"/>
      <c r="G124" s="163"/>
      <c r="H124" s="154">
        <v>0</v>
      </c>
    </row>
    <row r="125" spans="3:9" s="164" customFormat="1">
      <c r="C125" s="123" t="s">
        <v>1230</v>
      </c>
      <c r="D125" s="70" t="s">
        <v>1231</v>
      </c>
      <c r="E125" s="71"/>
      <c r="F125" s="71"/>
      <c r="G125" s="72"/>
      <c r="H125" s="125">
        <f>H124+H122+H119</f>
        <v>61225.5</v>
      </c>
      <c r="I125" s="63"/>
    </row>
    <row r="126" spans="3:9" s="164" customFormat="1">
      <c r="C126" s="123" t="s">
        <v>1232</v>
      </c>
      <c r="D126" s="70" t="s">
        <v>1410</v>
      </c>
      <c r="E126" s="71"/>
      <c r="F126" s="72"/>
      <c r="G126" s="96">
        <f>$M$7</f>
        <v>0.1</v>
      </c>
      <c r="H126" s="125">
        <f>H125*G126</f>
        <v>6122.55</v>
      </c>
      <c r="I126" s="63"/>
    </row>
    <row r="127" spans="3:9" s="164" customFormat="1" ht="15.75" thickBot="1">
      <c r="C127" s="131" t="s">
        <v>1233</v>
      </c>
      <c r="D127" s="132" t="s">
        <v>1234</v>
      </c>
      <c r="E127" s="133"/>
      <c r="F127" s="133"/>
      <c r="G127" s="156"/>
      <c r="H127" s="135">
        <f>SUM(H125:H126)</f>
        <v>67348.05</v>
      </c>
      <c r="I127" s="63"/>
    </row>
    <row r="128" spans="3:9" ht="15.75" thickTop="1">
      <c r="C128" s="90"/>
      <c r="D128" s="91"/>
      <c r="E128" s="91"/>
      <c r="F128" s="91"/>
      <c r="G128" s="91"/>
      <c r="H128" s="92"/>
    </row>
    <row r="129" spans="3:11" ht="15.75" thickBot="1">
      <c r="C129" s="235" t="s">
        <v>1517</v>
      </c>
      <c r="D129" s="235"/>
      <c r="E129" s="226"/>
      <c r="F129" s="226"/>
      <c r="G129" s="226"/>
      <c r="H129" s="226"/>
      <c r="I129" s="57">
        <f>ROUNDDOWN(H144,-2)</f>
        <v>44700</v>
      </c>
    </row>
    <row r="130" spans="3:11" ht="29.25" thickTop="1">
      <c r="C130" s="120" t="s">
        <v>1207</v>
      </c>
      <c r="D130" s="121" t="s">
        <v>1208</v>
      </c>
      <c r="E130" s="121" t="s">
        <v>1209</v>
      </c>
      <c r="F130" s="121" t="s">
        <v>1210</v>
      </c>
      <c r="G130" s="121" t="s">
        <v>1211</v>
      </c>
      <c r="H130" s="122" t="s">
        <v>1212</v>
      </c>
    </row>
    <row r="131" spans="3:11">
      <c r="C131" s="142" t="s">
        <v>1213</v>
      </c>
      <c r="D131" s="60" t="s">
        <v>1214</v>
      </c>
      <c r="E131" s="74"/>
      <c r="F131" s="74"/>
      <c r="G131" s="74"/>
      <c r="H131" s="147"/>
    </row>
    <row r="132" spans="3:11">
      <c r="C132" s="143">
        <v>1</v>
      </c>
      <c r="D132" s="60" t="s">
        <v>5</v>
      </c>
      <c r="E132" s="73" t="s">
        <v>6</v>
      </c>
      <c r="F132" s="94">
        <v>0.2</v>
      </c>
      <c r="G132" s="65">
        <f>VLOOKUP(D132,upahbahan,3,FALSE)</f>
        <v>100000</v>
      </c>
      <c r="H132" s="125">
        <f>F132*G132</f>
        <v>20000</v>
      </c>
      <c r="I132" s="223"/>
      <c r="J132" s="223"/>
      <c r="K132" s="223"/>
    </row>
    <row r="133" spans="3:11">
      <c r="C133" s="143">
        <v>2</v>
      </c>
      <c r="D133" s="60" t="s">
        <v>7</v>
      </c>
      <c r="E133" s="73" t="s">
        <v>6</v>
      </c>
      <c r="F133" s="94">
        <v>0.1</v>
      </c>
      <c r="G133" s="65">
        <f>VLOOKUP(D133,upahbahan,3,FALSE)</f>
        <v>145000</v>
      </c>
      <c r="H133" s="125">
        <f>F133*G133</f>
        <v>14500</v>
      </c>
      <c r="I133" s="223"/>
      <c r="J133" s="223"/>
      <c r="K133" s="223"/>
    </row>
    <row r="134" spans="3:11">
      <c r="C134" s="143">
        <v>3</v>
      </c>
      <c r="D134" s="60" t="s">
        <v>18</v>
      </c>
      <c r="E134" s="73" t="s">
        <v>6</v>
      </c>
      <c r="F134" s="94">
        <v>0.01</v>
      </c>
      <c r="G134" s="65">
        <f>VLOOKUP(D134,upahbahan,3,FALSE)</f>
        <v>150000</v>
      </c>
      <c r="H134" s="125">
        <f>F134*G134</f>
        <v>1500</v>
      </c>
      <c r="I134" s="223"/>
      <c r="J134" s="223"/>
      <c r="K134" s="223"/>
    </row>
    <row r="135" spans="3:11">
      <c r="C135" s="143">
        <v>4</v>
      </c>
      <c r="D135" s="60" t="s">
        <v>19</v>
      </c>
      <c r="E135" s="73" t="s">
        <v>6</v>
      </c>
      <c r="F135" s="94">
        <v>3.3E-3</v>
      </c>
      <c r="G135" s="65">
        <f>VLOOKUP(D135,upahbahan,3,FALSE)</f>
        <v>145000</v>
      </c>
      <c r="H135" s="125">
        <f>F135*G135</f>
        <v>478.5</v>
      </c>
      <c r="I135" s="223"/>
      <c r="J135" s="223"/>
      <c r="K135" s="223"/>
    </row>
    <row r="136" spans="3:11" ht="15.75" customHeight="1">
      <c r="C136" s="145" t="s">
        <v>1421</v>
      </c>
      <c r="D136" s="81"/>
      <c r="E136" s="81"/>
      <c r="F136" s="220"/>
      <c r="G136" s="221"/>
      <c r="H136" s="125">
        <f>SUM(H132:H135)</f>
        <v>36478.5</v>
      </c>
      <c r="I136" s="223"/>
      <c r="J136" s="223"/>
      <c r="K136" s="223"/>
    </row>
    <row r="137" spans="3:11">
      <c r="C137" s="142" t="s">
        <v>1221</v>
      </c>
      <c r="D137" s="60" t="s">
        <v>1222</v>
      </c>
      <c r="E137" s="74"/>
      <c r="F137" s="234"/>
      <c r="G137" s="234"/>
      <c r="H137" s="315"/>
      <c r="I137" s="223"/>
      <c r="J137" s="223"/>
      <c r="K137" s="223"/>
    </row>
    <row r="138" spans="3:11">
      <c r="C138" s="143">
        <v>1</v>
      </c>
      <c r="D138" s="60" t="s">
        <v>568</v>
      </c>
      <c r="E138" s="73" t="s">
        <v>66</v>
      </c>
      <c r="F138" s="75">
        <v>3.25</v>
      </c>
      <c r="G138" s="65">
        <f>VLOOKUP(D138,upahbahan,3,FALSE)</f>
        <v>1300</v>
      </c>
      <c r="H138" s="125">
        <f>F138*G138</f>
        <v>4225</v>
      </c>
      <c r="I138" s="223"/>
      <c r="J138" s="223"/>
      <c r="K138" s="223"/>
    </row>
    <row r="139" spans="3:11" ht="15.75" customHeight="1">
      <c r="C139" s="145" t="s">
        <v>1226</v>
      </c>
      <c r="D139" s="81"/>
      <c r="E139" s="81"/>
      <c r="F139" s="81"/>
      <c r="G139" s="163"/>
      <c r="H139" s="125">
        <f>SUM(H138:H138)</f>
        <v>4225</v>
      </c>
    </row>
    <row r="140" spans="3:11">
      <c r="C140" s="153" t="s">
        <v>1227</v>
      </c>
      <c r="D140" s="60" t="s">
        <v>1228</v>
      </c>
      <c r="E140" s="74"/>
      <c r="F140" s="74"/>
      <c r="G140" s="74"/>
      <c r="H140" s="147"/>
    </row>
    <row r="141" spans="3:11" ht="15.75" customHeight="1">
      <c r="C141" s="145" t="s">
        <v>1229</v>
      </c>
      <c r="D141" s="81"/>
      <c r="E141" s="81"/>
      <c r="F141" s="81"/>
      <c r="G141" s="163"/>
      <c r="H141" s="154">
        <v>0</v>
      </c>
    </row>
    <row r="142" spans="3:11" s="164" customFormat="1">
      <c r="C142" s="123" t="s">
        <v>1230</v>
      </c>
      <c r="D142" s="70" t="s">
        <v>1231</v>
      </c>
      <c r="E142" s="71"/>
      <c r="F142" s="71"/>
      <c r="G142" s="72"/>
      <c r="H142" s="125">
        <f>H141+H139+H136</f>
        <v>40703.5</v>
      </c>
      <c r="I142" s="63"/>
    </row>
    <row r="143" spans="3:11" s="164" customFormat="1">
      <c r="C143" s="123" t="s">
        <v>1232</v>
      </c>
      <c r="D143" s="70" t="s">
        <v>1410</v>
      </c>
      <c r="E143" s="71"/>
      <c r="F143" s="72"/>
      <c r="G143" s="96">
        <f>$M$7</f>
        <v>0.1</v>
      </c>
      <c r="H143" s="125">
        <f>H142*G143</f>
        <v>4070.3500000000004</v>
      </c>
      <c r="I143" s="63"/>
    </row>
    <row r="144" spans="3:11" s="164" customFormat="1" ht="15.75" thickBot="1">
      <c r="C144" s="131" t="s">
        <v>1233</v>
      </c>
      <c r="D144" s="132" t="s">
        <v>1234</v>
      </c>
      <c r="E144" s="133"/>
      <c r="F144" s="133"/>
      <c r="G144" s="156"/>
      <c r="H144" s="135">
        <f>SUM(H142:H143)</f>
        <v>44773.85</v>
      </c>
      <c r="I144" s="63"/>
    </row>
    <row r="145" spans="3:11" ht="15.75" thickTop="1">
      <c r="C145" s="90"/>
      <c r="D145" s="91"/>
      <c r="E145" s="91"/>
      <c r="F145" s="91"/>
      <c r="G145" s="91"/>
      <c r="H145" s="92"/>
    </row>
    <row r="146" spans="3:11" ht="15.75" thickBot="1">
      <c r="C146" s="235" t="s">
        <v>1518</v>
      </c>
      <c r="D146" s="235"/>
      <c r="E146" s="225"/>
      <c r="F146" s="225"/>
      <c r="G146" s="225"/>
      <c r="H146" s="225"/>
      <c r="I146" s="57">
        <f>ROUNDDOWN(H162,-2)</f>
        <v>66300</v>
      </c>
    </row>
    <row r="147" spans="3:11" ht="29.25" thickTop="1">
      <c r="C147" s="120" t="s">
        <v>1207</v>
      </c>
      <c r="D147" s="121" t="s">
        <v>1208</v>
      </c>
      <c r="E147" s="121" t="s">
        <v>1209</v>
      </c>
      <c r="F147" s="121" t="s">
        <v>1210</v>
      </c>
      <c r="G147" s="121" t="s">
        <v>1211</v>
      </c>
      <c r="H147" s="122" t="s">
        <v>1212</v>
      </c>
    </row>
    <row r="148" spans="3:11">
      <c r="C148" s="142" t="s">
        <v>1213</v>
      </c>
      <c r="D148" s="60" t="s">
        <v>1214</v>
      </c>
      <c r="E148" s="74"/>
      <c r="F148" s="74"/>
      <c r="G148" s="74"/>
      <c r="H148" s="147"/>
    </row>
    <row r="149" spans="3:11">
      <c r="C149" s="143">
        <v>1</v>
      </c>
      <c r="D149" s="60" t="s">
        <v>5</v>
      </c>
      <c r="E149" s="73" t="s">
        <v>6</v>
      </c>
      <c r="F149" s="94">
        <v>0.25</v>
      </c>
      <c r="G149" s="65">
        <f>VLOOKUP(D149,upahbahan,3,FALSE)</f>
        <v>100000</v>
      </c>
      <c r="H149" s="125">
        <f>F149*G149</f>
        <v>25000</v>
      </c>
    </row>
    <row r="150" spans="3:11">
      <c r="C150" s="143">
        <v>2</v>
      </c>
      <c r="D150" s="60" t="s">
        <v>7</v>
      </c>
      <c r="E150" s="73" t="s">
        <v>6</v>
      </c>
      <c r="F150" s="94">
        <v>0.125</v>
      </c>
      <c r="G150" s="65">
        <f>VLOOKUP(D150,upahbahan,3,FALSE)</f>
        <v>145000</v>
      </c>
      <c r="H150" s="125">
        <f>F150*G150</f>
        <v>18125</v>
      </c>
    </row>
    <row r="151" spans="3:11">
      <c r="C151" s="143">
        <v>3</v>
      </c>
      <c r="D151" s="60" t="s">
        <v>18</v>
      </c>
      <c r="E151" s="73" t="s">
        <v>6</v>
      </c>
      <c r="F151" s="94">
        <v>1.2500000000000001E-2</v>
      </c>
      <c r="G151" s="65">
        <f>VLOOKUP(D151,upahbahan,3,FALSE)</f>
        <v>150000</v>
      </c>
      <c r="H151" s="125">
        <f>F151*G151</f>
        <v>1875</v>
      </c>
    </row>
    <row r="152" spans="3:11">
      <c r="C152" s="143">
        <v>4</v>
      </c>
      <c r="D152" s="60" t="s">
        <v>19</v>
      </c>
      <c r="E152" s="73" t="s">
        <v>6</v>
      </c>
      <c r="F152" s="94">
        <v>4.1999999999999997E-3</v>
      </c>
      <c r="G152" s="65">
        <f>VLOOKUP(D152,upahbahan,3,FALSE)</f>
        <v>145000</v>
      </c>
      <c r="H152" s="125">
        <f>F152*G152</f>
        <v>609</v>
      </c>
    </row>
    <row r="153" spans="3:11" ht="15.75" customHeight="1">
      <c r="C153" s="145" t="s">
        <v>1421</v>
      </c>
      <c r="D153" s="81"/>
      <c r="E153" s="81"/>
      <c r="F153" s="220"/>
      <c r="G153" s="221"/>
      <c r="H153" s="125">
        <f>SUM(H149:H152)</f>
        <v>45609</v>
      </c>
      <c r="I153" s="223"/>
      <c r="J153" s="223"/>
      <c r="K153" s="223"/>
    </row>
    <row r="154" spans="3:11">
      <c r="C154" s="142" t="s">
        <v>1221</v>
      </c>
      <c r="D154" s="60" t="s">
        <v>1222</v>
      </c>
      <c r="E154" s="74"/>
      <c r="F154" s="74"/>
      <c r="G154" s="74"/>
      <c r="H154" s="147"/>
    </row>
    <row r="155" spans="3:11">
      <c r="C155" s="143">
        <v>1</v>
      </c>
      <c r="D155" s="60" t="s">
        <v>568</v>
      </c>
      <c r="E155" s="73" t="s">
        <v>66</v>
      </c>
      <c r="F155" s="75">
        <v>6.24</v>
      </c>
      <c r="G155" s="65">
        <f>VLOOKUP(D155,upahbahan,3,FALSE)</f>
        <v>1300</v>
      </c>
      <c r="H155" s="125">
        <f>F155*G155</f>
        <v>8112</v>
      </c>
    </row>
    <row r="156" spans="3:11">
      <c r="C156" s="143">
        <v>2</v>
      </c>
      <c r="D156" s="78" t="s">
        <v>86</v>
      </c>
      <c r="E156" s="73" t="s">
        <v>42</v>
      </c>
      <c r="F156" s="75">
        <v>2.4E-2</v>
      </c>
      <c r="G156" s="65">
        <f>VLOOKUP(D156,upahbahan,3,FALSE)</f>
        <v>275000</v>
      </c>
      <c r="H156" s="125">
        <f>F156*G156</f>
        <v>6600</v>
      </c>
    </row>
    <row r="157" spans="3:11" ht="15.75" customHeight="1">
      <c r="C157" s="145" t="s">
        <v>1226</v>
      </c>
      <c r="D157" s="81"/>
      <c r="E157" s="81"/>
      <c r="F157" s="81"/>
      <c r="G157" s="163"/>
      <c r="H157" s="125">
        <f>SUM(H155:H156)</f>
        <v>14712</v>
      </c>
    </row>
    <row r="158" spans="3:11">
      <c r="C158" s="153" t="s">
        <v>1227</v>
      </c>
      <c r="D158" s="60" t="s">
        <v>1228</v>
      </c>
      <c r="E158" s="74"/>
      <c r="F158" s="74"/>
      <c r="G158" s="74"/>
      <c r="H158" s="147"/>
    </row>
    <row r="159" spans="3:11" ht="15.75" customHeight="1">
      <c r="C159" s="145" t="s">
        <v>1229</v>
      </c>
      <c r="D159" s="81"/>
      <c r="E159" s="81"/>
      <c r="F159" s="81"/>
      <c r="G159" s="163"/>
      <c r="H159" s="154">
        <v>0</v>
      </c>
    </row>
    <row r="160" spans="3:11" s="164" customFormat="1">
      <c r="C160" s="123" t="s">
        <v>1230</v>
      </c>
      <c r="D160" s="70" t="s">
        <v>1231</v>
      </c>
      <c r="E160" s="71"/>
      <c r="F160" s="71"/>
      <c r="G160" s="72"/>
      <c r="H160" s="125">
        <f>H159+H157+H153</f>
        <v>60321</v>
      </c>
      <c r="I160" s="63"/>
    </row>
    <row r="161" spans="3:11" s="164" customFormat="1">
      <c r="C161" s="123" t="s">
        <v>1232</v>
      </c>
      <c r="D161" s="70" t="s">
        <v>1410</v>
      </c>
      <c r="E161" s="71"/>
      <c r="F161" s="72"/>
      <c r="G161" s="96">
        <f>$M$7</f>
        <v>0.1</v>
      </c>
      <c r="H161" s="125">
        <f>H160*G161</f>
        <v>6032.1</v>
      </c>
      <c r="I161" s="63"/>
    </row>
    <row r="162" spans="3:11" s="164" customFormat="1" ht="15.75" thickBot="1">
      <c r="C162" s="131" t="s">
        <v>1233</v>
      </c>
      <c r="D162" s="132" t="s">
        <v>1234</v>
      </c>
      <c r="E162" s="133"/>
      <c r="F162" s="133"/>
      <c r="G162" s="156"/>
      <c r="H162" s="135">
        <f>SUM(H160:H161)</f>
        <v>66353.100000000006</v>
      </c>
      <c r="I162" s="63"/>
    </row>
    <row r="163" spans="3:11" ht="15" thickTop="1"/>
    <row r="164" spans="3:11" ht="15.75" thickBot="1">
      <c r="C164" s="235" t="s">
        <v>1519</v>
      </c>
      <c r="D164" s="235"/>
      <c r="E164" s="225"/>
      <c r="F164" s="225"/>
      <c r="G164" s="225"/>
      <c r="H164" s="225"/>
      <c r="I164" s="57">
        <f>ROUNDDOWN(H180,-2)</f>
        <v>56600</v>
      </c>
    </row>
    <row r="165" spans="3:11" ht="29.25" thickTop="1">
      <c r="C165" s="120" t="s">
        <v>1207</v>
      </c>
      <c r="D165" s="121" t="s">
        <v>1208</v>
      </c>
      <c r="E165" s="121" t="s">
        <v>1209</v>
      </c>
      <c r="F165" s="121" t="s">
        <v>1210</v>
      </c>
      <c r="G165" s="121" t="s">
        <v>1211</v>
      </c>
      <c r="H165" s="122" t="s">
        <v>1212</v>
      </c>
    </row>
    <row r="166" spans="3:11">
      <c r="C166" s="142" t="s">
        <v>1213</v>
      </c>
      <c r="D166" s="60" t="s">
        <v>1214</v>
      </c>
      <c r="E166" s="74"/>
      <c r="F166" s="74"/>
      <c r="G166" s="74"/>
      <c r="H166" s="147"/>
    </row>
    <row r="167" spans="3:11">
      <c r="C167" s="143">
        <v>1</v>
      </c>
      <c r="D167" s="60" t="s">
        <v>5</v>
      </c>
      <c r="E167" s="73" t="s">
        <v>6</v>
      </c>
      <c r="F167" s="94">
        <v>0.17860000000000001</v>
      </c>
      <c r="G167" s="65">
        <f>VLOOKUP(D167,upahbahan,3,FALSE)</f>
        <v>100000</v>
      </c>
      <c r="H167" s="125">
        <f>F167*G167</f>
        <v>17860</v>
      </c>
    </row>
    <row r="168" spans="3:11">
      <c r="C168" s="143">
        <v>2</v>
      </c>
      <c r="D168" s="60" t="s">
        <v>7</v>
      </c>
      <c r="E168" s="73" t="s">
        <v>6</v>
      </c>
      <c r="F168" s="94">
        <v>0.17860000000000001</v>
      </c>
      <c r="G168" s="65">
        <f>VLOOKUP(D168,upahbahan,3,FALSE)</f>
        <v>145000</v>
      </c>
      <c r="H168" s="125">
        <f>F168*G168</f>
        <v>25897</v>
      </c>
    </row>
    <row r="169" spans="3:11">
      <c r="C169" s="143">
        <v>3</v>
      </c>
      <c r="D169" s="60" t="s">
        <v>18</v>
      </c>
      <c r="E169" s="73" t="s">
        <v>6</v>
      </c>
      <c r="F169" s="94">
        <v>1.7899999999999999E-2</v>
      </c>
      <c r="G169" s="65">
        <f>VLOOKUP(D169,upahbahan,3,FALSE)</f>
        <v>150000</v>
      </c>
      <c r="H169" s="125">
        <f>F169*G169</f>
        <v>2685</v>
      </c>
    </row>
    <row r="170" spans="3:11">
      <c r="C170" s="143">
        <v>4</v>
      </c>
      <c r="D170" s="60" t="s">
        <v>19</v>
      </c>
      <c r="E170" s="73" t="s">
        <v>6</v>
      </c>
      <c r="F170" s="94">
        <v>6.0000000000000001E-3</v>
      </c>
      <c r="G170" s="65">
        <f>VLOOKUP(D170,upahbahan,3,FALSE)</f>
        <v>145000</v>
      </c>
      <c r="H170" s="125">
        <f>F170*G170</f>
        <v>870</v>
      </c>
    </row>
    <row r="171" spans="3:11" ht="15.75" customHeight="1">
      <c r="C171" s="145" t="s">
        <v>1421</v>
      </c>
      <c r="D171" s="81"/>
      <c r="E171" s="81"/>
      <c r="F171" s="220"/>
      <c r="G171" s="221"/>
      <c r="H171" s="125">
        <f>SUM(H167:H170)</f>
        <v>47312</v>
      </c>
      <c r="I171" s="223"/>
      <c r="J171" s="223"/>
      <c r="K171" s="223"/>
    </row>
    <row r="172" spans="3:11">
      <c r="C172" s="142" t="s">
        <v>1221</v>
      </c>
      <c r="D172" s="60" t="s">
        <v>1222</v>
      </c>
      <c r="E172" s="74"/>
      <c r="F172" s="74"/>
      <c r="G172" s="74"/>
      <c r="H172" s="147"/>
    </row>
    <row r="173" spans="3:11">
      <c r="C173" s="143">
        <v>1</v>
      </c>
      <c r="D173" s="60" t="s">
        <v>568</v>
      </c>
      <c r="E173" s="73" t="s">
        <v>66</v>
      </c>
      <c r="F173" s="75">
        <v>0.5</v>
      </c>
      <c r="G173" s="65">
        <f>VLOOKUP(D173,upahbahan,3,FALSE)</f>
        <v>1300</v>
      </c>
      <c r="H173" s="125">
        <f>F173*G173</f>
        <v>650</v>
      </c>
    </row>
    <row r="174" spans="3:11">
      <c r="C174" s="143">
        <v>2</v>
      </c>
      <c r="D174" s="78" t="s">
        <v>86</v>
      </c>
      <c r="E174" s="73" t="s">
        <v>42</v>
      </c>
      <c r="F174" s="75">
        <v>1.2999999999999999E-2</v>
      </c>
      <c r="G174" s="65">
        <f>VLOOKUP(D174,upahbahan,3,FALSE)</f>
        <v>275000</v>
      </c>
      <c r="H174" s="125">
        <f>F174*G174</f>
        <v>3575</v>
      </c>
    </row>
    <row r="175" spans="3:11" ht="15.75" customHeight="1">
      <c r="C175" s="145" t="s">
        <v>1226</v>
      </c>
      <c r="D175" s="81"/>
      <c r="E175" s="81"/>
      <c r="F175" s="81"/>
      <c r="G175" s="163"/>
      <c r="H175" s="125">
        <f>SUM(H173:H174)</f>
        <v>4225</v>
      </c>
    </row>
    <row r="176" spans="3:11">
      <c r="C176" s="153" t="s">
        <v>1227</v>
      </c>
      <c r="D176" s="60" t="s">
        <v>1228</v>
      </c>
      <c r="E176" s="74"/>
      <c r="F176" s="74"/>
      <c r="G176" s="74"/>
      <c r="H176" s="147"/>
    </row>
    <row r="177" spans="3:11" ht="15.75" customHeight="1">
      <c r="C177" s="145" t="s">
        <v>1229</v>
      </c>
      <c r="D177" s="81"/>
      <c r="E177" s="81"/>
      <c r="F177" s="81"/>
      <c r="G177" s="163"/>
      <c r="H177" s="154">
        <v>0</v>
      </c>
    </row>
    <row r="178" spans="3:11" s="164" customFormat="1">
      <c r="C178" s="123" t="s">
        <v>1230</v>
      </c>
      <c r="D178" s="70" t="s">
        <v>1231</v>
      </c>
      <c r="E178" s="71"/>
      <c r="F178" s="71"/>
      <c r="G178" s="72"/>
      <c r="H178" s="125">
        <f>H177+H175+H171</f>
        <v>51537</v>
      </c>
      <c r="I178" s="63"/>
    </row>
    <row r="179" spans="3:11" s="164" customFormat="1">
      <c r="C179" s="123" t="s">
        <v>1232</v>
      </c>
      <c r="D179" s="70" t="s">
        <v>1410</v>
      </c>
      <c r="E179" s="71"/>
      <c r="F179" s="72"/>
      <c r="G179" s="96">
        <f>$M$7</f>
        <v>0.1</v>
      </c>
      <c r="H179" s="125">
        <f>H178*G179</f>
        <v>5153.7000000000007</v>
      </c>
      <c r="I179" s="63"/>
    </row>
    <row r="180" spans="3:11" s="164" customFormat="1" ht="15.75" thickBot="1">
      <c r="C180" s="131" t="s">
        <v>1233</v>
      </c>
      <c r="D180" s="132" t="s">
        <v>1234</v>
      </c>
      <c r="E180" s="133"/>
      <c r="F180" s="133"/>
      <c r="G180" s="156"/>
      <c r="H180" s="135">
        <f>SUM(H178:H179)</f>
        <v>56690.7</v>
      </c>
      <c r="I180" s="63"/>
    </row>
    <row r="181" spans="3:11" ht="15.75" thickTop="1">
      <c r="C181" s="90"/>
      <c r="D181" s="91"/>
      <c r="E181" s="91"/>
      <c r="F181" s="91"/>
      <c r="G181" s="91"/>
      <c r="H181" s="92"/>
    </row>
    <row r="182" spans="3:11" ht="15.75" thickBot="1">
      <c r="C182" s="235" t="s">
        <v>1520</v>
      </c>
      <c r="D182" s="235"/>
      <c r="E182" s="226"/>
      <c r="F182" s="226"/>
      <c r="G182" s="226"/>
      <c r="H182" s="226"/>
      <c r="I182" s="57">
        <f>ROUNDDOWN(H198,-2)</f>
        <v>252300</v>
      </c>
    </row>
    <row r="183" spans="3:11" ht="29.25" thickTop="1">
      <c r="C183" s="120" t="s">
        <v>1207</v>
      </c>
      <c r="D183" s="121" t="s">
        <v>1208</v>
      </c>
      <c r="E183" s="121" t="s">
        <v>1209</v>
      </c>
      <c r="F183" s="121" t="s">
        <v>1210</v>
      </c>
      <c r="G183" s="121" t="s">
        <v>1211</v>
      </c>
      <c r="H183" s="122" t="s">
        <v>1212</v>
      </c>
    </row>
    <row r="184" spans="3:11">
      <c r="C184" s="142" t="s">
        <v>1213</v>
      </c>
      <c r="D184" s="60" t="s">
        <v>1214</v>
      </c>
      <c r="E184" s="74"/>
      <c r="F184" s="74"/>
      <c r="G184" s="74"/>
      <c r="H184" s="147"/>
    </row>
    <row r="185" spans="3:11">
      <c r="C185" s="143">
        <v>1</v>
      </c>
      <c r="D185" s="60" t="s">
        <v>5</v>
      </c>
      <c r="E185" s="73" t="s">
        <v>6</v>
      </c>
      <c r="F185" s="94">
        <v>0.2</v>
      </c>
      <c r="G185" s="65">
        <f>VLOOKUP(D185,upahbahan,3,FALSE)</f>
        <v>100000</v>
      </c>
      <c r="H185" s="125">
        <f>F185*G185</f>
        <v>20000</v>
      </c>
    </row>
    <row r="186" spans="3:11">
      <c r="C186" s="143">
        <v>2</v>
      </c>
      <c r="D186" s="60" t="s">
        <v>7</v>
      </c>
      <c r="E186" s="73" t="s">
        <v>6</v>
      </c>
      <c r="F186" s="94">
        <v>0.1</v>
      </c>
      <c r="G186" s="65">
        <f>VLOOKUP(D186,upahbahan,3,FALSE)</f>
        <v>145000</v>
      </c>
      <c r="H186" s="125">
        <f>F186*G186</f>
        <v>14500</v>
      </c>
    </row>
    <row r="187" spans="3:11">
      <c r="C187" s="143">
        <v>3</v>
      </c>
      <c r="D187" s="60" t="s">
        <v>18</v>
      </c>
      <c r="E187" s="73" t="s">
        <v>6</v>
      </c>
      <c r="F187" s="94">
        <v>0.01</v>
      </c>
      <c r="G187" s="65">
        <f>VLOOKUP(D187,upahbahan,3,FALSE)</f>
        <v>150000</v>
      </c>
      <c r="H187" s="125">
        <f>F187*G187</f>
        <v>1500</v>
      </c>
    </row>
    <row r="188" spans="3:11">
      <c r="C188" s="143">
        <v>4</v>
      </c>
      <c r="D188" s="60" t="s">
        <v>19</v>
      </c>
      <c r="E188" s="73" t="s">
        <v>6</v>
      </c>
      <c r="F188" s="94">
        <v>3.0000000000000001E-3</v>
      </c>
      <c r="G188" s="65">
        <f>VLOOKUP(D188,upahbahan,3,FALSE)</f>
        <v>145000</v>
      </c>
      <c r="H188" s="125">
        <f>F188*G188</f>
        <v>435</v>
      </c>
    </row>
    <row r="189" spans="3:11" ht="15.75" customHeight="1">
      <c r="C189" s="145" t="s">
        <v>1421</v>
      </c>
      <c r="D189" s="81"/>
      <c r="E189" s="81"/>
      <c r="F189" s="220"/>
      <c r="G189" s="221"/>
      <c r="H189" s="125">
        <f>SUM(H185:H188)</f>
        <v>36435</v>
      </c>
      <c r="I189" s="223"/>
      <c r="J189" s="223"/>
      <c r="K189" s="223"/>
    </row>
    <row r="190" spans="3:11">
      <c r="C190" s="142" t="s">
        <v>1221</v>
      </c>
      <c r="D190" s="60" t="s">
        <v>1222</v>
      </c>
      <c r="E190" s="74"/>
      <c r="F190" s="74"/>
      <c r="G190" s="74"/>
      <c r="H190" s="147"/>
    </row>
    <row r="191" spans="3:11">
      <c r="C191" s="143">
        <v>1</v>
      </c>
      <c r="D191" s="60" t="s">
        <v>568</v>
      </c>
      <c r="E191" s="73" t="s">
        <v>66</v>
      </c>
      <c r="F191" s="75">
        <v>10</v>
      </c>
      <c r="G191" s="65">
        <f>VLOOKUP(D191,upahbahan,3,FALSE)</f>
        <v>1300</v>
      </c>
      <c r="H191" s="125">
        <f>F191*G191</f>
        <v>13000</v>
      </c>
    </row>
    <row r="192" spans="3:11">
      <c r="C192" s="143">
        <v>2</v>
      </c>
      <c r="D192" s="78" t="s">
        <v>91</v>
      </c>
      <c r="E192" s="73" t="s">
        <v>66</v>
      </c>
      <c r="F192" s="75">
        <v>15</v>
      </c>
      <c r="G192" s="65">
        <f>VLOOKUP(D192,upahbahan,3,FALSE)</f>
        <v>12000</v>
      </c>
      <c r="H192" s="125">
        <f>F192*G192</f>
        <v>180000</v>
      </c>
    </row>
    <row r="193" spans="3:11" ht="15.75" customHeight="1">
      <c r="C193" s="145" t="s">
        <v>1226</v>
      </c>
      <c r="D193" s="81"/>
      <c r="E193" s="81"/>
      <c r="F193" s="81"/>
      <c r="G193" s="163"/>
      <c r="H193" s="125">
        <f>SUM(H191:H192)</f>
        <v>193000</v>
      </c>
    </row>
    <row r="194" spans="3:11">
      <c r="C194" s="153" t="s">
        <v>1227</v>
      </c>
      <c r="D194" s="60" t="s">
        <v>1228</v>
      </c>
      <c r="E194" s="74"/>
      <c r="F194" s="74"/>
      <c r="G194" s="74"/>
      <c r="H194" s="147"/>
    </row>
    <row r="195" spans="3:11" ht="15.75" customHeight="1">
      <c r="C195" s="145" t="s">
        <v>1229</v>
      </c>
      <c r="D195" s="81"/>
      <c r="E195" s="81"/>
      <c r="F195" s="81"/>
      <c r="G195" s="163"/>
      <c r="H195" s="154">
        <v>0</v>
      </c>
    </row>
    <row r="196" spans="3:11" s="164" customFormat="1">
      <c r="C196" s="123" t="s">
        <v>1230</v>
      </c>
      <c r="D196" s="70" t="s">
        <v>1231</v>
      </c>
      <c r="E196" s="71"/>
      <c r="F196" s="71"/>
      <c r="G196" s="72"/>
      <c r="H196" s="125">
        <f>H195+H193+H189</f>
        <v>229435</v>
      </c>
      <c r="I196" s="63"/>
    </row>
    <row r="197" spans="3:11" s="164" customFormat="1">
      <c r="C197" s="123" t="s">
        <v>1232</v>
      </c>
      <c r="D197" s="70" t="s">
        <v>1410</v>
      </c>
      <c r="E197" s="71"/>
      <c r="F197" s="72"/>
      <c r="G197" s="96">
        <f>$M$7</f>
        <v>0.1</v>
      </c>
      <c r="H197" s="125">
        <f>H196*G197</f>
        <v>22943.5</v>
      </c>
      <c r="I197" s="63"/>
    </row>
    <row r="198" spans="3:11" s="164" customFormat="1" ht="15.75" thickBot="1">
      <c r="C198" s="131" t="s">
        <v>1233</v>
      </c>
      <c r="D198" s="132" t="s">
        <v>1234</v>
      </c>
      <c r="E198" s="133"/>
      <c r="F198" s="133"/>
      <c r="G198" s="156"/>
      <c r="H198" s="135">
        <f>SUM(H196:H197)</f>
        <v>252378.5</v>
      </c>
      <c r="I198" s="63"/>
    </row>
    <row r="199" spans="3:11" ht="15.75" thickTop="1">
      <c r="C199" s="90"/>
      <c r="D199" s="91"/>
      <c r="E199" s="91"/>
      <c r="F199" s="91"/>
      <c r="G199" s="91"/>
      <c r="H199" s="92"/>
    </row>
    <row r="200" spans="3:11" ht="15.75" thickBot="1">
      <c r="C200" s="235" t="s">
        <v>1521</v>
      </c>
      <c r="D200" s="235"/>
      <c r="E200" s="226"/>
      <c r="F200" s="226"/>
      <c r="G200" s="226"/>
      <c r="H200" s="226"/>
      <c r="I200" s="57">
        <f>ROUNDDOWN(H216,-2)</f>
        <v>268800</v>
      </c>
    </row>
    <row r="201" spans="3:11" ht="29.25" thickTop="1">
      <c r="C201" s="120" t="s">
        <v>1207</v>
      </c>
      <c r="D201" s="121" t="s">
        <v>1208</v>
      </c>
      <c r="E201" s="121" t="s">
        <v>1209</v>
      </c>
      <c r="F201" s="121" t="s">
        <v>1210</v>
      </c>
      <c r="G201" s="121" t="s">
        <v>1211</v>
      </c>
      <c r="H201" s="122" t="s">
        <v>1212</v>
      </c>
    </row>
    <row r="202" spans="3:11">
      <c r="C202" s="142" t="s">
        <v>1213</v>
      </c>
      <c r="D202" s="60" t="s">
        <v>1214</v>
      </c>
      <c r="E202" s="74"/>
      <c r="F202" s="74"/>
      <c r="G202" s="74"/>
      <c r="H202" s="147"/>
    </row>
    <row r="203" spans="3:11">
      <c r="C203" s="143">
        <v>1</v>
      </c>
      <c r="D203" s="60" t="s">
        <v>5</v>
      </c>
      <c r="E203" s="73" t="s">
        <v>6</v>
      </c>
      <c r="F203" s="94">
        <v>0.2</v>
      </c>
      <c r="G203" s="65">
        <f>VLOOKUP(D203,upahbahan,3,FALSE)</f>
        <v>100000</v>
      </c>
      <c r="H203" s="125">
        <f>F203*G203</f>
        <v>20000</v>
      </c>
    </row>
    <row r="204" spans="3:11">
      <c r="C204" s="143">
        <v>2</v>
      </c>
      <c r="D204" s="60" t="s">
        <v>7</v>
      </c>
      <c r="E204" s="73" t="s">
        <v>6</v>
      </c>
      <c r="F204" s="94">
        <v>0.1</v>
      </c>
      <c r="G204" s="65">
        <f>VLOOKUP(D204,upahbahan,3,FALSE)</f>
        <v>145000</v>
      </c>
      <c r="H204" s="125">
        <f>F204*G204</f>
        <v>14500</v>
      </c>
    </row>
    <row r="205" spans="3:11">
      <c r="C205" s="143">
        <v>3</v>
      </c>
      <c r="D205" s="60" t="s">
        <v>18</v>
      </c>
      <c r="E205" s="73" t="s">
        <v>6</v>
      </c>
      <c r="F205" s="94">
        <v>0.01</v>
      </c>
      <c r="G205" s="65">
        <f>VLOOKUP(D205,upahbahan,3,FALSE)</f>
        <v>150000</v>
      </c>
      <c r="H205" s="125">
        <f>F205*G205</f>
        <v>1500</v>
      </c>
    </row>
    <row r="206" spans="3:11">
      <c r="C206" s="143">
        <v>4</v>
      </c>
      <c r="D206" s="60" t="s">
        <v>19</v>
      </c>
      <c r="E206" s="73" t="s">
        <v>6</v>
      </c>
      <c r="F206" s="94">
        <v>3.0000000000000001E-3</v>
      </c>
      <c r="G206" s="65">
        <f>VLOOKUP(D206,upahbahan,3,FALSE)</f>
        <v>145000</v>
      </c>
      <c r="H206" s="125">
        <f>F206*G206</f>
        <v>435</v>
      </c>
    </row>
    <row r="207" spans="3:11" ht="15.75" customHeight="1">
      <c r="C207" s="145" t="s">
        <v>1421</v>
      </c>
      <c r="D207" s="81"/>
      <c r="E207" s="81"/>
      <c r="F207" s="220"/>
      <c r="G207" s="221"/>
      <c r="H207" s="125">
        <f>SUM(H203:H206)</f>
        <v>36435</v>
      </c>
      <c r="I207" s="223"/>
      <c r="J207" s="223"/>
      <c r="K207" s="223"/>
    </row>
    <row r="208" spans="3:11">
      <c r="C208" s="142" t="s">
        <v>1221</v>
      </c>
      <c r="D208" s="60" t="s">
        <v>1222</v>
      </c>
      <c r="E208" s="74"/>
      <c r="F208" s="74"/>
      <c r="G208" s="74"/>
      <c r="H208" s="147"/>
    </row>
    <row r="209" spans="3:9">
      <c r="C209" s="143">
        <v>1</v>
      </c>
      <c r="D209" s="60" t="s">
        <v>568</v>
      </c>
      <c r="E209" s="73" t="s">
        <v>66</v>
      </c>
      <c r="F209" s="75">
        <v>10</v>
      </c>
      <c r="G209" s="65">
        <f>VLOOKUP(D209,upahbahan,3,FALSE)</f>
        <v>1300</v>
      </c>
      <c r="H209" s="125">
        <f>F209*G209</f>
        <v>13000</v>
      </c>
    </row>
    <row r="210" spans="3:9">
      <c r="C210" s="143">
        <v>2</v>
      </c>
      <c r="D210" s="78" t="s">
        <v>92</v>
      </c>
      <c r="E210" s="73" t="s">
        <v>66</v>
      </c>
      <c r="F210" s="75">
        <v>15</v>
      </c>
      <c r="G210" s="65">
        <f>VLOOKUP(D210,upahbahan,3,FALSE)</f>
        <v>13000</v>
      </c>
      <c r="H210" s="125">
        <f>F210*G210</f>
        <v>195000</v>
      </c>
    </row>
    <row r="211" spans="3:9" ht="15.75" customHeight="1">
      <c r="C211" s="145" t="s">
        <v>1226</v>
      </c>
      <c r="D211" s="81"/>
      <c r="E211" s="81"/>
      <c r="F211" s="81"/>
      <c r="G211" s="163"/>
      <c r="H211" s="125">
        <f>SUM(H209:H210)</f>
        <v>208000</v>
      </c>
    </row>
    <row r="212" spans="3:9">
      <c r="C212" s="153" t="s">
        <v>1227</v>
      </c>
      <c r="D212" s="60" t="s">
        <v>1228</v>
      </c>
      <c r="E212" s="74"/>
      <c r="F212" s="74"/>
      <c r="G212" s="74"/>
      <c r="H212" s="147"/>
    </row>
    <row r="213" spans="3:9" ht="15.75" customHeight="1">
      <c r="C213" s="145" t="s">
        <v>1229</v>
      </c>
      <c r="D213" s="81"/>
      <c r="E213" s="81"/>
      <c r="F213" s="81"/>
      <c r="G213" s="163"/>
      <c r="H213" s="154">
        <v>0</v>
      </c>
    </row>
    <row r="214" spans="3:9" s="164" customFormat="1">
      <c r="C214" s="123" t="s">
        <v>1230</v>
      </c>
      <c r="D214" s="70" t="s">
        <v>1231</v>
      </c>
      <c r="E214" s="71"/>
      <c r="F214" s="71"/>
      <c r="G214" s="72"/>
      <c r="H214" s="125">
        <f>H213+H211+H207</f>
        <v>244435</v>
      </c>
      <c r="I214" s="63"/>
    </row>
    <row r="215" spans="3:9" s="164" customFormat="1">
      <c r="C215" s="123" t="s">
        <v>1232</v>
      </c>
      <c r="D215" s="70" t="s">
        <v>1410</v>
      </c>
      <c r="E215" s="71"/>
      <c r="F215" s="72"/>
      <c r="G215" s="96">
        <f>$M$7</f>
        <v>0.1</v>
      </c>
      <c r="H215" s="125">
        <f>H214*G215</f>
        <v>24443.5</v>
      </c>
      <c r="I215" s="63"/>
    </row>
    <row r="216" spans="3:9" s="164" customFormat="1" ht="15.75" thickBot="1">
      <c r="C216" s="131" t="s">
        <v>1233</v>
      </c>
      <c r="D216" s="132" t="s">
        <v>1234</v>
      </c>
      <c r="E216" s="133"/>
      <c r="F216" s="133"/>
      <c r="G216" s="156"/>
      <c r="H216" s="135">
        <f>SUM(H214:H215)</f>
        <v>268878.5</v>
      </c>
      <c r="I216" s="63"/>
    </row>
    <row r="217" spans="3:9" ht="15.75" thickTop="1">
      <c r="C217" s="90"/>
      <c r="D217" s="91"/>
      <c r="E217" s="91"/>
      <c r="F217" s="91"/>
      <c r="G217" s="91"/>
      <c r="H217" s="92"/>
    </row>
    <row r="218" spans="3:9" ht="15.75" thickBot="1">
      <c r="C218" s="235" t="s">
        <v>1522</v>
      </c>
      <c r="D218" s="235"/>
      <c r="E218" s="226"/>
      <c r="F218" s="226"/>
      <c r="G218" s="226"/>
      <c r="H218" s="226"/>
      <c r="I218" s="57">
        <f>ROUNDDOWN(H234,-2)</f>
        <v>34700</v>
      </c>
    </row>
    <row r="219" spans="3:9" ht="29.25" thickTop="1">
      <c r="C219" s="120" t="s">
        <v>1207</v>
      </c>
      <c r="D219" s="121" t="s">
        <v>1208</v>
      </c>
      <c r="E219" s="121" t="s">
        <v>1209</v>
      </c>
      <c r="F219" s="121" t="s">
        <v>1210</v>
      </c>
      <c r="G219" s="121" t="s">
        <v>1211</v>
      </c>
      <c r="H219" s="122" t="s">
        <v>1212</v>
      </c>
    </row>
    <row r="220" spans="3:9">
      <c r="C220" s="142" t="s">
        <v>1213</v>
      </c>
      <c r="D220" s="60" t="s">
        <v>1214</v>
      </c>
      <c r="E220" s="74"/>
      <c r="F220" s="74"/>
      <c r="G220" s="74"/>
      <c r="H220" s="147"/>
    </row>
    <row r="221" spans="3:9">
      <c r="C221" s="143">
        <v>1</v>
      </c>
      <c r="D221" s="60" t="s">
        <v>5</v>
      </c>
      <c r="E221" s="73" t="s">
        <v>6</v>
      </c>
      <c r="F221" s="75">
        <v>0.13300000000000001</v>
      </c>
      <c r="G221" s="65">
        <f>VLOOKUP(D221,upahbahan,3,FALSE)</f>
        <v>100000</v>
      </c>
      <c r="H221" s="125">
        <f>F221*G221</f>
        <v>13300</v>
      </c>
    </row>
    <row r="222" spans="3:9">
      <c r="C222" s="143">
        <v>2</v>
      </c>
      <c r="D222" s="60" t="s">
        <v>7</v>
      </c>
      <c r="E222" s="73" t="s">
        <v>6</v>
      </c>
      <c r="F222" s="75">
        <v>6.7000000000000004E-2</v>
      </c>
      <c r="G222" s="65">
        <f>VLOOKUP(D222,upahbahan,3,FALSE)</f>
        <v>145000</v>
      </c>
      <c r="H222" s="125">
        <f>F222*G222</f>
        <v>9715</v>
      </c>
    </row>
    <row r="223" spans="3:9">
      <c r="C223" s="143">
        <v>3</v>
      </c>
      <c r="D223" s="60" t="s">
        <v>18</v>
      </c>
      <c r="E223" s="73" t="s">
        <v>6</v>
      </c>
      <c r="F223" s="75">
        <v>7.0000000000000001E-3</v>
      </c>
      <c r="G223" s="65">
        <f>VLOOKUP(D223,upahbahan,3,FALSE)</f>
        <v>150000</v>
      </c>
      <c r="H223" s="125">
        <f>F223*G223</f>
        <v>1050</v>
      </c>
    </row>
    <row r="224" spans="3:9">
      <c r="C224" s="143">
        <v>4</v>
      </c>
      <c r="D224" s="60" t="s">
        <v>19</v>
      </c>
      <c r="E224" s="73" t="s">
        <v>6</v>
      </c>
      <c r="F224" s="75">
        <v>2E-3</v>
      </c>
      <c r="G224" s="65">
        <f>VLOOKUP(D224,upahbahan,3,FALSE)</f>
        <v>145000</v>
      </c>
      <c r="H224" s="125">
        <f>F224*G224</f>
        <v>290</v>
      </c>
    </row>
    <row r="225" spans="3:11" ht="15.75" customHeight="1">
      <c r="C225" s="145" t="s">
        <v>1421</v>
      </c>
      <c r="D225" s="81"/>
      <c r="E225" s="81"/>
      <c r="F225" s="220"/>
      <c r="G225" s="221"/>
      <c r="H225" s="125">
        <f>SUM(H221:H224)</f>
        <v>24355</v>
      </c>
      <c r="I225" s="223"/>
      <c r="J225" s="223"/>
      <c r="K225" s="223"/>
    </row>
    <row r="226" spans="3:11">
      <c r="C226" s="142" t="s">
        <v>1221</v>
      </c>
      <c r="D226" s="60" t="s">
        <v>1222</v>
      </c>
      <c r="E226" s="74"/>
      <c r="F226" s="74"/>
      <c r="G226" s="74"/>
      <c r="H226" s="147"/>
    </row>
    <row r="227" spans="3:11">
      <c r="C227" s="143">
        <v>1</v>
      </c>
      <c r="D227" s="60" t="s">
        <v>568</v>
      </c>
      <c r="E227" s="73" t="s">
        <v>66</v>
      </c>
      <c r="F227" s="75">
        <v>4.32</v>
      </c>
      <c r="G227" s="65">
        <f>VLOOKUP(D227,upahbahan,3,FALSE)</f>
        <v>1300</v>
      </c>
      <c r="H227" s="125">
        <f>F227*G227</f>
        <v>5616</v>
      </c>
    </row>
    <row r="228" spans="3:11">
      <c r="C228" s="143">
        <v>2</v>
      </c>
      <c r="D228" s="78" t="s">
        <v>86</v>
      </c>
      <c r="E228" s="73" t="s">
        <v>42</v>
      </c>
      <c r="F228" s="75">
        <v>6.0000000000000001E-3</v>
      </c>
      <c r="G228" s="65">
        <f>VLOOKUP(D228,upahbahan,3,FALSE)</f>
        <v>275000</v>
      </c>
      <c r="H228" s="125">
        <f>F228*G228</f>
        <v>1650</v>
      </c>
    </row>
    <row r="229" spans="3:11" ht="15.75" customHeight="1">
      <c r="C229" s="145" t="s">
        <v>1226</v>
      </c>
      <c r="D229" s="81"/>
      <c r="E229" s="81"/>
      <c r="F229" s="81"/>
      <c r="G229" s="163"/>
      <c r="H229" s="125">
        <f>SUM(H227:H228)</f>
        <v>7266</v>
      </c>
    </row>
    <row r="230" spans="3:11">
      <c r="C230" s="153" t="s">
        <v>1227</v>
      </c>
      <c r="D230" s="60" t="s">
        <v>1228</v>
      </c>
      <c r="E230" s="74"/>
      <c r="F230" s="74"/>
      <c r="G230" s="74"/>
      <c r="H230" s="147"/>
    </row>
    <row r="231" spans="3:11" ht="15.75" customHeight="1">
      <c r="C231" s="145" t="s">
        <v>1229</v>
      </c>
      <c r="D231" s="81"/>
      <c r="E231" s="81"/>
      <c r="F231" s="81"/>
      <c r="G231" s="163"/>
      <c r="H231" s="154">
        <v>0</v>
      </c>
    </row>
    <row r="232" spans="3:11" s="164" customFormat="1">
      <c r="C232" s="123" t="s">
        <v>1230</v>
      </c>
      <c r="D232" s="70" t="s">
        <v>1231</v>
      </c>
      <c r="E232" s="71"/>
      <c r="F232" s="71"/>
      <c r="G232" s="72"/>
      <c r="H232" s="125">
        <f>H231+H229+H225</f>
        <v>31621</v>
      </c>
      <c r="I232" s="63"/>
    </row>
    <row r="233" spans="3:11" s="164" customFormat="1">
      <c r="C233" s="123" t="s">
        <v>1232</v>
      </c>
      <c r="D233" s="70" t="s">
        <v>1410</v>
      </c>
      <c r="E233" s="71"/>
      <c r="F233" s="72"/>
      <c r="G233" s="96">
        <f>$M$7</f>
        <v>0.1</v>
      </c>
      <c r="H233" s="125">
        <f>H232*G233</f>
        <v>3162.1000000000004</v>
      </c>
      <c r="I233" s="63"/>
    </row>
    <row r="234" spans="3:11" s="164" customFormat="1" ht="15.75" thickBot="1">
      <c r="C234" s="131" t="s">
        <v>1233</v>
      </c>
      <c r="D234" s="132" t="s">
        <v>1234</v>
      </c>
      <c r="E234" s="133"/>
      <c r="F234" s="133"/>
      <c r="G234" s="156"/>
      <c r="H234" s="135">
        <f>SUM(H232:H233)</f>
        <v>34783.1</v>
      </c>
      <c r="I234" s="63"/>
    </row>
    <row r="235" spans="3:11" ht="15" thickTop="1"/>
    <row r="236" spans="3:11" ht="15.75" thickBot="1">
      <c r="C236" s="235" t="s">
        <v>1523</v>
      </c>
      <c r="D236" s="235"/>
      <c r="E236" s="225"/>
      <c r="F236" s="225"/>
      <c r="G236" s="225"/>
      <c r="H236" s="225"/>
      <c r="I236" s="57">
        <f>ROUNDDOWN(H251,-2)</f>
        <v>35800</v>
      </c>
    </row>
    <row r="237" spans="3:11" ht="29.25" thickTop="1">
      <c r="C237" s="120" t="s">
        <v>1207</v>
      </c>
      <c r="D237" s="121" t="s">
        <v>1208</v>
      </c>
      <c r="E237" s="121" t="s">
        <v>1209</v>
      </c>
      <c r="F237" s="121" t="s">
        <v>1210</v>
      </c>
      <c r="G237" s="121" t="s">
        <v>1211</v>
      </c>
      <c r="H237" s="122" t="s">
        <v>1212</v>
      </c>
    </row>
    <row r="238" spans="3:11">
      <c r="C238" s="142" t="s">
        <v>1213</v>
      </c>
      <c r="D238" s="60" t="s">
        <v>1214</v>
      </c>
      <c r="E238" s="74"/>
      <c r="F238" s="74"/>
      <c r="G238" s="74"/>
      <c r="H238" s="147"/>
    </row>
    <row r="239" spans="3:11">
      <c r="C239" s="143">
        <v>1</v>
      </c>
      <c r="D239" s="60" t="s">
        <v>5</v>
      </c>
      <c r="E239" s="73" t="s">
        <v>6</v>
      </c>
      <c r="F239" s="184">
        <v>6.7000000000000004E-2</v>
      </c>
      <c r="G239" s="65">
        <f>VLOOKUP(D239,upahbahan,3,FALSE)</f>
        <v>100000</v>
      </c>
      <c r="H239" s="125">
        <f>F239*G239</f>
        <v>6700</v>
      </c>
    </row>
    <row r="240" spans="3:11">
      <c r="C240" s="143">
        <v>2</v>
      </c>
      <c r="D240" s="60" t="s">
        <v>7</v>
      </c>
      <c r="E240" s="73" t="s">
        <v>6</v>
      </c>
      <c r="F240" s="184">
        <v>0.13300000000000001</v>
      </c>
      <c r="G240" s="65">
        <f>VLOOKUP(D240,upahbahan,3,FALSE)</f>
        <v>145000</v>
      </c>
      <c r="H240" s="125">
        <f>F240*G240</f>
        <v>19285</v>
      </c>
    </row>
    <row r="241" spans="3:11">
      <c r="C241" s="143">
        <v>3</v>
      </c>
      <c r="D241" s="60" t="s">
        <v>18</v>
      </c>
      <c r="E241" s="73" t="s">
        <v>6</v>
      </c>
      <c r="F241" s="184">
        <v>1.2999999999999999E-2</v>
      </c>
      <c r="G241" s="65">
        <f>VLOOKUP(D241,upahbahan,3,FALSE)</f>
        <v>150000</v>
      </c>
      <c r="H241" s="125">
        <f>F241*G241</f>
        <v>1950</v>
      </c>
    </row>
    <row r="242" spans="3:11">
      <c r="C242" s="143">
        <v>4</v>
      </c>
      <c r="D242" s="60" t="s">
        <v>19</v>
      </c>
      <c r="E242" s="73" t="s">
        <v>6</v>
      </c>
      <c r="F242" s="184">
        <v>4.0000000000000001E-3</v>
      </c>
      <c r="G242" s="65">
        <f>VLOOKUP(D242,upahbahan,3,FALSE)</f>
        <v>145000</v>
      </c>
      <c r="H242" s="125">
        <f>F242*G242</f>
        <v>580</v>
      </c>
    </row>
    <row r="243" spans="3:11" ht="15.75" customHeight="1">
      <c r="C243" s="145" t="s">
        <v>1421</v>
      </c>
      <c r="D243" s="81"/>
      <c r="E243" s="81"/>
      <c r="F243" s="220"/>
      <c r="G243" s="221"/>
      <c r="H243" s="125">
        <f>SUM(H239:H242)</f>
        <v>28515</v>
      </c>
      <c r="I243" s="223"/>
      <c r="J243" s="223"/>
      <c r="K243" s="223"/>
    </row>
    <row r="244" spans="3:11">
      <c r="C244" s="142" t="s">
        <v>1221</v>
      </c>
      <c r="D244" s="60" t="s">
        <v>1222</v>
      </c>
      <c r="E244" s="74"/>
      <c r="F244" s="74"/>
      <c r="G244" s="74"/>
      <c r="H244" s="147"/>
    </row>
    <row r="245" spans="3:11">
      <c r="C245" s="143">
        <v>1</v>
      </c>
      <c r="D245" s="60" t="s">
        <v>568</v>
      </c>
      <c r="E245" s="73" t="s">
        <v>66</v>
      </c>
      <c r="F245" s="184">
        <v>3.1080000000000001</v>
      </c>
      <c r="G245" s="65">
        <f>VLOOKUP(D245,upahbahan,3,FALSE)</f>
        <v>1300</v>
      </c>
      <c r="H245" s="125">
        <f>F245*G245</f>
        <v>4040.4</v>
      </c>
    </row>
    <row r="246" spans="3:11" ht="15.75" customHeight="1">
      <c r="C246" s="145" t="s">
        <v>1226</v>
      </c>
      <c r="D246" s="81"/>
      <c r="E246" s="81"/>
      <c r="F246" s="81"/>
      <c r="G246" s="163"/>
      <c r="H246" s="125">
        <f>SUM(H244:H245)</f>
        <v>4040.4</v>
      </c>
    </row>
    <row r="247" spans="3:11">
      <c r="C247" s="153" t="s">
        <v>1227</v>
      </c>
      <c r="D247" s="60" t="s">
        <v>1228</v>
      </c>
      <c r="E247" s="74"/>
      <c r="F247" s="74"/>
      <c r="G247" s="74"/>
      <c r="H247" s="147"/>
    </row>
    <row r="248" spans="3:11" ht="15.75" customHeight="1">
      <c r="C248" s="145" t="s">
        <v>1229</v>
      </c>
      <c r="D248" s="81"/>
      <c r="E248" s="81"/>
      <c r="F248" s="81"/>
      <c r="G248" s="163"/>
      <c r="H248" s="154">
        <v>0</v>
      </c>
    </row>
    <row r="249" spans="3:11" s="164" customFormat="1">
      <c r="C249" s="123" t="s">
        <v>1230</v>
      </c>
      <c r="D249" s="70" t="s">
        <v>1231</v>
      </c>
      <c r="E249" s="71"/>
      <c r="F249" s="71"/>
      <c r="G249" s="72"/>
      <c r="H249" s="125">
        <f>H248+H246+H243</f>
        <v>32555.4</v>
      </c>
      <c r="I249" s="63"/>
    </row>
    <row r="250" spans="3:11" s="164" customFormat="1">
      <c r="C250" s="123" t="s">
        <v>1232</v>
      </c>
      <c r="D250" s="70" t="s">
        <v>1410</v>
      </c>
      <c r="E250" s="71"/>
      <c r="F250" s="72"/>
      <c r="G250" s="96">
        <f>$M$7</f>
        <v>0.1</v>
      </c>
      <c r="H250" s="125">
        <f>H249*G250</f>
        <v>3255.5400000000004</v>
      </c>
      <c r="I250" s="63"/>
    </row>
    <row r="251" spans="3:11" s="164" customFormat="1" ht="15.75" thickBot="1">
      <c r="C251" s="131" t="s">
        <v>1233</v>
      </c>
      <c r="D251" s="132" t="s">
        <v>1234</v>
      </c>
      <c r="E251" s="133"/>
      <c r="F251" s="133"/>
      <c r="G251" s="156"/>
      <c r="H251" s="135">
        <f>SUM(H249:H250)</f>
        <v>35810.94</v>
      </c>
      <c r="I251" s="63"/>
    </row>
    <row r="252" spans="3:11" ht="15.75" thickTop="1">
      <c r="C252" s="90"/>
      <c r="D252" s="91"/>
      <c r="E252" s="91"/>
      <c r="F252" s="91"/>
      <c r="G252" s="91"/>
      <c r="H252" s="92"/>
    </row>
    <row r="253" spans="3:11" ht="15.75" thickBot="1">
      <c r="C253" s="235" t="s">
        <v>1524</v>
      </c>
      <c r="D253" s="235"/>
      <c r="E253" s="226"/>
      <c r="F253" s="226"/>
      <c r="G253" s="226"/>
      <c r="H253" s="226"/>
      <c r="I253" s="57">
        <f>ROUNDDOWN(H268,-2)</f>
        <v>25800</v>
      </c>
    </row>
    <row r="254" spans="3:11" ht="29.25" thickTop="1">
      <c r="C254" s="120" t="s">
        <v>1207</v>
      </c>
      <c r="D254" s="121" t="s">
        <v>1208</v>
      </c>
      <c r="E254" s="121" t="s">
        <v>1209</v>
      </c>
      <c r="F254" s="121" t="s">
        <v>1210</v>
      </c>
      <c r="G254" s="121" t="s">
        <v>1211</v>
      </c>
      <c r="H254" s="122" t="s">
        <v>1212</v>
      </c>
    </row>
    <row r="255" spans="3:11">
      <c r="C255" s="142" t="s">
        <v>1213</v>
      </c>
      <c r="D255" s="60" t="s">
        <v>1214</v>
      </c>
      <c r="E255" s="74"/>
      <c r="F255" s="74"/>
      <c r="G255" s="74"/>
      <c r="H255" s="147"/>
    </row>
    <row r="256" spans="3:11">
      <c r="C256" s="143">
        <v>1</v>
      </c>
      <c r="D256" s="60" t="s">
        <v>5</v>
      </c>
      <c r="E256" s="73" t="s">
        <v>6</v>
      </c>
      <c r="F256" s="75">
        <v>0.05</v>
      </c>
      <c r="G256" s="65">
        <f>VLOOKUP(D256,upahbahan,3,FALSE)</f>
        <v>100000</v>
      </c>
      <c r="H256" s="125">
        <f>F256*G256</f>
        <v>5000</v>
      </c>
    </row>
    <row r="257" spans="3:11">
      <c r="C257" s="143">
        <v>2</v>
      </c>
      <c r="D257" s="60" t="s">
        <v>7</v>
      </c>
      <c r="E257" s="73" t="s">
        <v>6</v>
      </c>
      <c r="F257" s="75">
        <v>0.1</v>
      </c>
      <c r="G257" s="65">
        <f>VLOOKUP(D257,upahbahan,3,FALSE)</f>
        <v>145000</v>
      </c>
      <c r="H257" s="125">
        <f>F257*G257</f>
        <v>14500</v>
      </c>
    </row>
    <row r="258" spans="3:11">
      <c r="C258" s="143">
        <v>3</v>
      </c>
      <c r="D258" s="60" t="s">
        <v>18</v>
      </c>
      <c r="E258" s="73" t="s">
        <v>6</v>
      </c>
      <c r="F258" s="75">
        <v>0.01</v>
      </c>
      <c r="G258" s="65">
        <f>VLOOKUP(D258,upahbahan,3,FALSE)</f>
        <v>150000</v>
      </c>
      <c r="H258" s="125">
        <f>F258*G258</f>
        <v>1500</v>
      </c>
    </row>
    <row r="259" spans="3:11">
      <c r="C259" s="143">
        <v>4</v>
      </c>
      <c r="D259" s="60" t="s">
        <v>19</v>
      </c>
      <c r="E259" s="73" t="s">
        <v>6</v>
      </c>
      <c r="F259" s="75">
        <v>3.0000000000000001E-3</v>
      </c>
      <c r="G259" s="65">
        <f>VLOOKUP(D259,upahbahan,3,FALSE)</f>
        <v>145000</v>
      </c>
      <c r="H259" s="125">
        <f>F259*G259</f>
        <v>435</v>
      </c>
    </row>
    <row r="260" spans="3:11" ht="15.75" customHeight="1">
      <c r="C260" s="145" t="s">
        <v>1421</v>
      </c>
      <c r="D260" s="81"/>
      <c r="E260" s="81"/>
      <c r="F260" s="220"/>
      <c r="G260" s="221"/>
      <c r="H260" s="125">
        <f>SUM(H256:H259)</f>
        <v>21435</v>
      </c>
      <c r="I260" s="223"/>
      <c r="J260" s="223"/>
      <c r="K260" s="223"/>
    </row>
    <row r="261" spans="3:11">
      <c r="C261" s="142" t="s">
        <v>1221</v>
      </c>
      <c r="D261" s="60" t="s">
        <v>1222</v>
      </c>
      <c r="E261" s="74"/>
      <c r="F261" s="74"/>
      <c r="G261" s="74"/>
      <c r="H261" s="147"/>
    </row>
    <row r="262" spans="3:11">
      <c r="C262" s="143">
        <v>1</v>
      </c>
      <c r="D262" s="60" t="s">
        <v>568</v>
      </c>
      <c r="E262" s="73" t="s">
        <v>66</v>
      </c>
      <c r="F262" s="75">
        <v>1.6</v>
      </c>
      <c r="G262" s="65">
        <f>VLOOKUP(D262,upahbahan,3,FALSE)</f>
        <v>1300</v>
      </c>
      <c r="H262" s="125">
        <f>F262*G262</f>
        <v>2080</v>
      </c>
    </row>
    <row r="263" spans="3:11" ht="15.75" customHeight="1">
      <c r="C263" s="145" t="s">
        <v>1226</v>
      </c>
      <c r="D263" s="81"/>
      <c r="E263" s="81"/>
      <c r="F263" s="81"/>
      <c r="G263" s="163"/>
      <c r="H263" s="125">
        <f>SUM(H262)</f>
        <v>2080</v>
      </c>
    </row>
    <row r="264" spans="3:11">
      <c r="C264" s="153" t="s">
        <v>1227</v>
      </c>
      <c r="D264" s="60" t="s">
        <v>1228</v>
      </c>
      <c r="E264" s="74"/>
      <c r="F264" s="74"/>
      <c r="G264" s="74"/>
      <c r="H264" s="147"/>
    </row>
    <row r="265" spans="3:11" ht="15.75" customHeight="1">
      <c r="C265" s="145" t="s">
        <v>1229</v>
      </c>
      <c r="D265" s="81"/>
      <c r="E265" s="81"/>
      <c r="F265" s="81"/>
      <c r="G265" s="163"/>
      <c r="H265" s="154">
        <v>0</v>
      </c>
    </row>
    <row r="266" spans="3:11" s="164" customFormat="1">
      <c r="C266" s="123" t="s">
        <v>1230</v>
      </c>
      <c r="D266" s="70" t="s">
        <v>1231</v>
      </c>
      <c r="E266" s="71"/>
      <c r="F266" s="71"/>
      <c r="G266" s="72"/>
      <c r="H266" s="125">
        <f>H265+H263+H260</f>
        <v>23515</v>
      </c>
      <c r="I266" s="63"/>
    </row>
    <row r="267" spans="3:11" s="164" customFormat="1">
      <c r="C267" s="123" t="s">
        <v>1232</v>
      </c>
      <c r="D267" s="70" t="s">
        <v>1410</v>
      </c>
      <c r="E267" s="71"/>
      <c r="F267" s="72"/>
      <c r="G267" s="96">
        <f>$M$7</f>
        <v>0.1</v>
      </c>
      <c r="H267" s="125">
        <f>H266*G267</f>
        <v>2351.5</v>
      </c>
      <c r="I267" s="63"/>
    </row>
    <row r="268" spans="3:11" s="164" customFormat="1" ht="15.75" thickBot="1">
      <c r="C268" s="131" t="s">
        <v>1233</v>
      </c>
      <c r="D268" s="132" t="s">
        <v>1234</v>
      </c>
      <c r="E268" s="133"/>
      <c r="F268" s="133"/>
      <c r="G268" s="156"/>
      <c r="H268" s="135">
        <f>SUM(H266:H267)</f>
        <v>25866.5</v>
      </c>
      <c r="I268" s="63"/>
    </row>
    <row r="269" spans="3:11" ht="15" thickTop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1:M236"/>
  <sheetViews>
    <sheetView tabSelected="1" workbookViewId="0">
      <selection activeCell="I8" sqref="I8"/>
    </sheetView>
    <sheetView workbookViewId="1"/>
  </sheetViews>
  <sheetFormatPr defaultColWidth="10" defaultRowHeight="14.25"/>
  <cols>
    <col min="1" max="2" width="2" style="56" customWidth="1"/>
    <col min="3" max="3" width="5" style="56" customWidth="1"/>
    <col min="4" max="4" width="36.7109375" style="56" customWidth="1"/>
    <col min="5" max="5" width="7.42578125" style="56" customWidth="1"/>
    <col min="6" max="6" width="10.7109375" style="56" customWidth="1"/>
    <col min="7" max="7" width="14.7109375" style="56" customWidth="1"/>
    <col min="8" max="8" width="16.42578125" style="56" customWidth="1"/>
    <col min="9" max="9" width="16.140625" style="63" customWidth="1"/>
    <col min="10" max="16384" width="10" style="56"/>
  </cols>
  <sheetData>
    <row r="1" spans="3:13" ht="9.6" customHeight="1"/>
    <row r="2" spans="3:13" ht="9.6" customHeight="1"/>
    <row r="3" spans="3:13" ht="15.75" customHeight="1">
      <c r="C3" s="228" t="str">
        <f>'[1]Daftar HSP'!A258</f>
        <v>K</v>
      </c>
      <c r="D3" s="229" t="str">
        <f>'[1]Daftar HSP'!B258</f>
        <v>PEKERJAAN PLAFON</v>
      </c>
      <c r="E3" s="229"/>
      <c r="F3" s="229"/>
      <c r="G3" s="229"/>
      <c r="H3" s="229"/>
    </row>
    <row r="4" spans="3:13" ht="15.75" customHeight="1" thickBot="1">
      <c r="C4" s="224" t="s">
        <v>1525</v>
      </c>
      <c r="D4" s="226"/>
      <c r="E4" s="226"/>
      <c r="F4" s="226"/>
      <c r="G4" s="226"/>
      <c r="H4" s="226"/>
      <c r="I4" s="317">
        <f>ROUNDDOWN(H19,-2)</f>
        <v>116700</v>
      </c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56" t="s">
        <v>1265</v>
      </c>
    </row>
    <row r="7" spans="3:13">
      <c r="C7" s="143">
        <v>1</v>
      </c>
      <c r="D7" s="60" t="s">
        <v>5</v>
      </c>
      <c r="E7" s="73" t="s">
        <v>6</v>
      </c>
      <c r="F7" s="75">
        <v>0.12</v>
      </c>
      <c r="G7" s="65">
        <f>VLOOKUP(D7,upahbahan,3,FALSE)</f>
        <v>100000</v>
      </c>
      <c r="H7" s="125">
        <f>F7*G7</f>
        <v>12000</v>
      </c>
      <c r="J7" s="56" t="s">
        <v>1266</v>
      </c>
      <c r="M7" s="66">
        <v>0.1</v>
      </c>
    </row>
    <row r="8" spans="3:13">
      <c r="C8" s="143">
        <v>2</v>
      </c>
      <c r="D8" s="60" t="s">
        <v>8</v>
      </c>
      <c r="E8" s="73" t="s">
        <v>6</v>
      </c>
      <c r="F8" s="75">
        <v>0.12</v>
      </c>
      <c r="G8" s="65">
        <f>VLOOKUP(D8,upahbahan,3,FALSE)</f>
        <v>145000</v>
      </c>
      <c r="H8" s="125">
        <f>F8*G8</f>
        <v>17400</v>
      </c>
    </row>
    <row r="9" spans="3:13">
      <c r="C9" s="143">
        <v>3</v>
      </c>
      <c r="D9" s="60" t="s">
        <v>18</v>
      </c>
      <c r="E9" s="73" t="s">
        <v>6</v>
      </c>
      <c r="F9" s="75">
        <v>1.2E-2</v>
      </c>
      <c r="G9" s="65">
        <f>VLOOKUP(D9,upahbahan,3,FALSE)</f>
        <v>150000</v>
      </c>
      <c r="H9" s="125">
        <f>F9*G9</f>
        <v>1800</v>
      </c>
    </row>
    <row r="10" spans="3:13">
      <c r="C10" s="143">
        <v>4</v>
      </c>
      <c r="D10" s="60" t="s">
        <v>19</v>
      </c>
      <c r="E10" s="73" t="s">
        <v>6</v>
      </c>
      <c r="F10" s="75">
        <v>4.0000000000000001E-3</v>
      </c>
      <c r="G10" s="65">
        <f>VLOOKUP(D10,upahbahan,3,FALSE)</f>
        <v>145000</v>
      </c>
      <c r="H10" s="125">
        <f>F10*G10</f>
        <v>580</v>
      </c>
    </row>
    <row r="11" spans="3:13" ht="15.75" customHeight="1">
      <c r="C11" s="145" t="s">
        <v>1220</v>
      </c>
      <c r="D11" s="81"/>
      <c r="E11" s="81"/>
      <c r="F11" s="220"/>
      <c r="G11" s="221"/>
      <c r="H11" s="125">
        <f>SUM(H7:H10)</f>
        <v>31780</v>
      </c>
      <c r="I11" s="223"/>
      <c r="J11" s="223"/>
      <c r="K11" s="223"/>
    </row>
    <row r="12" spans="3:13">
      <c r="C12" s="142" t="s">
        <v>1221</v>
      </c>
      <c r="D12" s="60" t="s">
        <v>1222</v>
      </c>
      <c r="E12" s="74"/>
      <c r="F12" s="74"/>
      <c r="G12" s="74"/>
      <c r="H12" s="147"/>
    </row>
    <row r="13" spans="3:13">
      <c r="C13" s="143">
        <v>1</v>
      </c>
      <c r="D13" s="60" t="s">
        <v>399</v>
      </c>
      <c r="E13" s="73" t="s">
        <v>133</v>
      </c>
      <c r="F13" s="75">
        <v>12</v>
      </c>
      <c r="G13" s="65">
        <f>VLOOKUP(D13,upahbahan,3,FALSE)</f>
        <v>6200</v>
      </c>
      <c r="H13" s="125">
        <f>F13*G13</f>
        <v>74400</v>
      </c>
    </row>
    <row r="14" spans="3:13" ht="15.75" customHeight="1">
      <c r="C14" s="145" t="s">
        <v>1226</v>
      </c>
      <c r="D14" s="81"/>
      <c r="E14" s="81"/>
      <c r="F14" s="81"/>
      <c r="G14" s="163"/>
      <c r="H14" s="125">
        <f>SUM(H13:H13)</f>
        <v>74400</v>
      </c>
      <c r="I14" s="56"/>
    </row>
    <row r="15" spans="3:13">
      <c r="C15" s="153" t="s">
        <v>1227</v>
      </c>
      <c r="D15" s="60" t="s">
        <v>1228</v>
      </c>
      <c r="E15" s="74"/>
      <c r="F15" s="74"/>
      <c r="G15" s="74"/>
      <c r="H15" s="147"/>
      <c r="I15" s="56"/>
    </row>
    <row r="16" spans="3:13" ht="15.75" customHeight="1">
      <c r="C16" s="145" t="s">
        <v>1229</v>
      </c>
      <c r="D16" s="81"/>
      <c r="E16" s="81"/>
      <c r="F16" s="81"/>
      <c r="G16" s="163"/>
      <c r="H16" s="154">
        <v>0</v>
      </c>
      <c r="I16" s="56"/>
    </row>
    <row r="17" spans="3:11" s="164" customFormat="1">
      <c r="C17" s="123" t="s">
        <v>1230</v>
      </c>
      <c r="D17" s="70" t="s">
        <v>1231</v>
      </c>
      <c r="E17" s="71"/>
      <c r="F17" s="71"/>
      <c r="G17" s="72"/>
      <c r="H17" s="125">
        <f>H16+H14+H11</f>
        <v>106180</v>
      </c>
      <c r="I17" s="63"/>
    </row>
    <row r="18" spans="3:11" s="164" customFormat="1">
      <c r="C18" s="123" t="s">
        <v>1232</v>
      </c>
      <c r="D18" s="70" t="s">
        <v>1410</v>
      </c>
      <c r="E18" s="71"/>
      <c r="F18" s="72"/>
      <c r="G18" s="96">
        <f>$M$7</f>
        <v>0.1</v>
      </c>
      <c r="H18" s="125">
        <f>H17*G18</f>
        <v>10618</v>
      </c>
      <c r="I18" s="63"/>
    </row>
    <row r="19" spans="3:11" s="164" customFormat="1" ht="15.75" thickBot="1">
      <c r="C19" s="131" t="s">
        <v>1233</v>
      </c>
      <c r="D19" s="132" t="s">
        <v>1234</v>
      </c>
      <c r="E19" s="133"/>
      <c r="F19" s="133"/>
      <c r="G19" s="156"/>
      <c r="H19" s="135">
        <f>SUM(H17:H18)</f>
        <v>116798</v>
      </c>
      <c r="I19" s="63"/>
    </row>
    <row r="20" spans="3:11" ht="15.75" thickTop="1">
      <c r="C20" s="90"/>
      <c r="D20" s="91"/>
      <c r="E20" s="91"/>
      <c r="F20" s="91"/>
      <c r="G20" s="91"/>
      <c r="H20" s="92"/>
    </row>
    <row r="21" spans="3:11" ht="15.75" customHeight="1" thickBot="1">
      <c r="C21" s="224" t="s">
        <v>1526</v>
      </c>
      <c r="D21" s="226"/>
      <c r="E21" s="226"/>
      <c r="F21" s="226"/>
      <c r="G21" s="226"/>
      <c r="H21" s="226"/>
      <c r="I21" s="317">
        <f>ROUNDDOWN(H36,-2)</f>
        <v>123900</v>
      </c>
    </row>
    <row r="22" spans="3:11" ht="29.25" thickTop="1">
      <c r="C22" s="120" t="s">
        <v>1207</v>
      </c>
      <c r="D22" s="121" t="s">
        <v>1208</v>
      </c>
      <c r="E22" s="121" t="s">
        <v>1209</v>
      </c>
      <c r="F22" s="121" t="s">
        <v>1210</v>
      </c>
      <c r="G22" s="121" t="s">
        <v>1211</v>
      </c>
      <c r="H22" s="122" t="s">
        <v>1212</v>
      </c>
    </row>
    <row r="23" spans="3:11">
      <c r="C23" s="142" t="s">
        <v>1213</v>
      </c>
      <c r="D23" s="60" t="s">
        <v>1214</v>
      </c>
      <c r="E23" s="74"/>
      <c r="F23" s="74"/>
      <c r="G23" s="74"/>
      <c r="H23" s="147"/>
    </row>
    <row r="24" spans="3:11">
      <c r="C24" s="143">
        <v>1</v>
      </c>
      <c r="D24" s="60" t="s">
        <v>5</v>
      </c>
      <c r="E24" s="73" t="s">
        <v>6</v>
      </c>
      <c r="F24" s="75">
        <v>0.12</v>
      </c>
      <c r="G24" s="65">
        <f>VLOOKUP(D24,upahbahan,3,FALSE)</f>
        <v>100000</v>
      </c>
      <c r="H24" s="125">
        <f>F24*G24</f>
        <v>12000</v>
      </c>
    </row>
    <row r="25" spans="3:11">
      <c r="C25" s="143">
        <v>2</v>
      </c>
      <c r="D25" s="60" t="s">
        <v>8</v>
      </c>
      <c r="E25" s="73" t="s">
        <v>6</v>
      </c>
      <c r="F25" s="75">
        <v>0.12</v>
      </c>
      <c r="G25" s="65">
        <f>VLOOKUP(D25,upahbahan,3,FALSE)</f>
        <v>145000</v>
      </c>
      <c r="H25" s="125">
        <f>F25*G25</f>
        <v>17400</v>
      </c>
    </row>
    <row r="26" spans="3:11">
      <c r="C26" s="143">
        <v>3</v>
      </c>
      <c r="D26" s="60" t="s">
        <v>18</v>
      </c>
      <c r="E26" s="73" t="s">
        <v>6</v>
      </c>
      <c r="F26" s="75">
        <v>1.2E-2</v>
      </c>
      <c r="G26" s="65">
        <f>VLOOKUP(D26,upahbahan,3,FALSE)</f>
        <v>150000</v>
      </c>
      <c r="H26" s="125">
        <f>F26*G26</f>
        <v>1800</v>
      </c>
    </row>
    <row r="27" spans="3:11">
      <c r="C27" s="143">
        <v>4</v>
      </c>
      <c r="D27" s="60" t="s">
        <v>19</v>
      </c>
      <c r="E27" s="73" t="s">
        <v>6</v>
      </c>
      <c r="F27" s="75">
        <v>6.0000000000000001E-3</v>
      </c>
      <c r="G27" s="65">
        <f>VLOOKUP(D27,upahbahan,3,FALSE)</f>
        <v>145000</v>
      </c>
      <c r="H27" s="125">
        <f>F27*G27</f>
        <v>870</v>
      </c>
    </row>
    <row r="28" spans="3:11" ht="15.75" customHeight="1">
      <c r="C28" s="145" t="s">
        <v>1220</v>
      </c>
      <c r="D28" s="81"/>
      <c r="E28" s="81"/>
      <c r="F28" s="220"/>
      <c r="G28" s="221"/>
      <c r="H28" s="125">
        <f>SUM(H24:H27)</f>
        <v>32070</v>
      </c>
      <c r="I28" s="223"/>
      <c r="J28" s="223"/>
      <c r="K28" s="223"/>
    </row>
    <row r="29" spans="3:11">
      <c r="C29" s="142" t="s">
        <v>1221</v>
      </c>
      <c r="D29" s="60" t="s">
        <v>1222</v>
      </c>
      <c r="E29" s="74"/>
      <c r="F29" s="74"/>
      <c r="G29" s="74"/>
      <c r="H29" s="147"/>
    </row>
    <row r="30" spans="3:11">
      <c r="C30" s="143">
        <v>1</v>
      </c>
      <c r="D30" s="60" t="s">
        <v>400</v>
      </c>
      <c r="E30" s="73" t="s">
        <v>133</v>
      </c>
      <c r="F30" s="230">
        <v>5.8</v>
      </c>
      <c r="G30" s="65">
        <f>VLOOKUP(D30,upahbahan,3,FALSE)</f>
        <v>13900</v>
      </c>
      <c r="H30" s="125">
        <f>F30*G30</f>
        <v>80620</v>
      </c>
    </row>
    <row r="31" spans="3:11" ht="15.75" customHeight="1">
      <c r="C31" s="145" t="s">
        <v>1226</v>
      </c>
      <c r="D31" s="81"/>
      <c r="E31" s="81"/>
      <c r="F31" s="81"/>
      <c r="G31" s="163"/>
      <c r="H31" s="125">
        <f>SUM(H30:H30)</f>
        <v>80620</v>
      </c>
      <c r="I31" s="56"/>
    </row>
    <row r="32" spans="3:11">
      <c r="C32" s="153" t="s">
        <v>1227</v>
      </c>
      <c r="D32" s="60" t="s">
        <v>1228</v>
      </c>
      <c r="E32" s="74"/>
      <c r="F32" s="74"/>
      <c r="G32" s="74"/>
      <c r="H32" s="147"/>
      <c r="I32" s="56"/>
    </row>
    <row r="33" spans="3:11" ht="15.75" customHeight="1">
      <c r="C33" s="145" t="s">
        <v>1229</v>
      </c>
      <c r="D33" s="81"/>
      <c r="E33" s="81"/>
      <c r="F33" s="81"/>
      <c r="G33" s="163"/>
      <c r="H33" s="154">
        <v>0</v>
      </c>
      <c r="I33" s="56"/>
    </row>
    <row r="34" spans="3:11" s="164" customFormat="1">
      <c r="C34" s="123" t="s">
        <v>1230</v>
      </c>
      <c r="D34" s="70" t="s">
        <v>1231</v>
      </c>
      <c r="E34" s="71"/>
      <c r="F34" s="71"/>
      <c r="G34" s="72"/>
      <c r="H34" s="125">
        <f>H33+H31+H28</f>
        <v>112690</v>
      </c>
      <c r="I34" s="63"/>
    </row>
    <row r="35" spans="3:11" s="164" customFormat="1">
      <c r="C35" s="123" t="s">
        <v>1232</v>
      </c>
      <c r="D35" s="70" t="s">
        <v>1410</v>
      </c>
      <c r="E35" s="71"/>
      <c r="F35" s="72"/>
      <c r="G35" s="96">
        <f>$M$7</f>
        <v>0.1</v>
      </c>
      <c r="H35" s="125">
        <f>H34*G35</f>
        <v>11269</v>
      </c>
      <c r="I35" s="63"/>
    </row>
    <row r="36" spans="3:11" s="164" customFormat="1" ht="15.75" thickBot="1">
      <c r="C36" s="131" t="s">
        <v>1233</v>
      </c>
      <c r="D36" s="132" t="s">
        <v>1234</v>
      </c>
      <c r="E36" s="133"/>
      <c r="F36" s="133"/>
      <c r="G36" s="156"/>
      <c r="H36" s="135">
        <f>SUM(H34:H35)</f>
        <v>123959</v>
      </c>
      <c r="I36" s="63"/>
    </row>
    <row r="37" spans="3:11" ht="15.75" thickTop="1">
      <c r="C37" s="90"/>
      <c r="D37" s="91"/>
      <c r="E37" s="91"/>
      <c r="F37" s="91"/>
      <c r="G37" s="91"/>
      <c r="H37" s="92"/>
    </row>
    <row r="38" spans="3:11" ht="15.75" customHeight="1" thickBot="1">
      <c r="C38" s="224" t="s">
        <v>1527</v>
      </c>
      <c r="D38" s="226"/>
      <c r="E38" s="226"/>
      <c r="F38" s="226"/>
      <c r="G38" s="226"/>
      <c r="H38" s="226"/>
      <c r="I38" s="317">
        <f>ROUNDDOWN(H53,-2)</f>
        <v>68700</v>
      </c>
    </row>
    <row r="39" spans="3:11" ht="29.25" thickTop="1">
      <c r="C39" s="120" t="s">
        <v>1207</v>
      </c>
      <c r="D39" s="121" t="s">
        <v>1208</v>
      </c>
      <c r="E39" s="121" t="s">
        <v>1209</v>
      </c>
      <c r="F39" s="121" t="s">
        <v>1210</v>
      </c>
      <c r="G39" s="121" t="s">
        <v>1211</v>
      </c>
      <c r="H39" s="122" t="s">
        <v>1212</v>
      </c>
    </row>
    <row r="40" spans="3:11">
      <c r="C40" s="142" t="s">
        <v>1213</v>
      </c>
      <c r="D40" s="60" t="s">
        <v>1214</v>
      </c>
      <c r="E40" s="74"/>
      <c r="F40" s="74"/>
      <c r="G40" s="74"/>
      <c r="H40" s="147"/>
    </row>
    <row r="41" spans="3:11">
      <c r="C41" s="143">
        <v>1</v>
      </c>
      <c r="D41" s="60" t="s">
        <v>5</v>
      </c>
      <c r="E41" s="73" t="s">
        <v>6</v>
      </c>
      <c r="F41" s="94">
        <v>0.1</v>
      </c>
      <c r="G41" s="65">
        <f>VLOOKUP(D41,upahbahan,3,FALSE)</f>
        <v>100000</v>
      </c>
      <c r="H41" s="125">
        <f>F41*G41</f>
        <v>10000</v>
      </c>
    </row>
    <row r="42" spans="3:11">
      <c r="C42" s="143">
        <v>2</v>
      </c>
      <c r="D42" s="60" t="s">
        <v>8</v>
      </c>
      <c r="E42" s="73" t="s">
        <v>6</v>
      </c>
      <c r="F42" s="94">
        <v>0.1</v>
      </c>
      <c r="G42" s="65">
        <f>VLOOKUP(D42,upahbahan,3,FALSE)</f>
        <v>145000</v>
      </c>
      <c r="H42" s="125">
        <f>F42*G42</f>
        <v>14500</v>
      </c>
    </row>
    <row r="43" spans="3:11">
      <c r="C43" s="143">
        <v>3</v>
      </c>
      <c r="D43" s="60" t="s">
        <v>18</v>
      </c>
      <c r="E43" s="73" t="s">
        <v>6</v>
      </c>
      <c r="F43" s="94">
        <v>0.01</v>
      </c>
      <c r="G43" s="65">
        <f>VLOOKUP(D43,upahbahan,3,FALSE)</f>
        <v>150000</v>
      </c>
      <c r="H43" s="125">
        <f>F43*G43</f>
        <v>1500</v>
      </c>
    </row>
    <row r="44" spans="3:11">
      <c r="C44" s="143">
        <v>4</v>
      </c>
      <c r="D44" s="60" t="s">
        <v>19</v>
      </c>
      <c r="E44" s="73" t="s">
        <v>6</v>
      </c>
      <c r="F44" s="94">
        <v>3.3E-3</v>
      </c>
      <c r="G44" s="65">
        <f>VLOOKUP(D44,upahbahan,3,FALSE)</f>
        <v>145000</v>
      </c>
      <c r="H44" s="125">
        <f>F44*G44</f>
        <v>478.5</v>
      </c>
    </row>
    <row r="45" spans="3:11" ht="15.75" customHeight="1">
      <c r="C45" s="145" t="s">
        <v>1220</v>
      </c>
      <c r="D45" s="81"/>
      <c r="E45" s="81"/>
      <c r="F45" s="220"/>
      <c r="G45" s="221"/>
      <c r="H45" s="125">
        <f>SUM(H41:H44)</f>
        <v>26478.5</v>
      </c>
      <c r="I45" s="223"/>
      <c r="J45" s="223"/>
      <c r="K45" s="223"/>
    </row>
    <row r="46" spans="3:11">
      <c r="C46" s="142" t="s">
        <v>1221</v>
      </c>
      <c r="D46" s="60" t="s">
        <v>1222</v>
      </c>
      <c r="E46" s="74"/>
      <c r="F46" s="74"/>
      <c r="G46" s="74"/>
      <c r="H46" s="147"/>
    </row>
    <row r="47" spans="3:11">
      <c r="C47" s="143">
        <v>1</v>
      </c>
      <c r="D47" s="60" t="s">
        <v>401</v>
      </c>
      <c r="E47" s="73" t="s">
        <v>133</v>
      </c>
      <c r="F47" s="230">
        <v>1.5</v>
      </c>
      <c r="G47" s="65">
        <f>VLOOKUP(D47,upahbahan,3,FALSE)</f>
        <v>24000</v>
      </c>
      <c r="H47" s="125">
        <f>F47*G47</f>
        <v>36000</v>
      </c>
    </row>
    <row r="48" spans="3:11" ht="15.75" customHeight="1">
      <c r="C48" s="145" t="s">
        <v>1226</v>
      </c>
      <c r="D48" s="81"/>
      <c r="E48" s="81"/>
      <c r="F48" s="81"/>
      <c r="G48" s="163"/>
      <c r="H48" s="125">
        <f>SUM(H47:H47)</f>
        <v>36000</v>
      </c>
      <c r="I48" s="56"/>
    </row>
    <row r="49" spans="3:11">
      <c r="C49" s="153" t="s">
        <v>1227</v>
      </c>
      <c r="D49" s="60" t="s">
        <v>1228</v>
      </c>
      <c r="E49" s="74"/>
      <c r="F49" s="74"/>
      <c r="G49" s="74"/>
      <c r="H49" s="147"/>
      <c r="I49" s="56"/>
    </row>
    <row r="50" spans="3:11" ht="15.75" customHeight="1">
      <c r="C50" s="145" t="s">
        <v>1229</v>
      </c>
      <c r="D50" s="81"/>
      <c r="E50" s="81"/>
      <c r="F50" s="81"/>
      <c r="G50" s="163"/>
      <c r="H50" s="154">
        <v>0</v>
      </c>
      <c r="I50" s="56"/>
    </row>
    <row r="51" spans="3:11" s="164" customFormat="1">
      <c r="C51" s="123" t="s">
        <v>1230</v>
      </c>
      <c r="D51" s="70" t="s">
        <v>1231</v>
      </c>
      <c r="E51" s="71"/>
      <c r="F51" s="71"/>
      <c r="G51" s="72"/>
      <c r="H51" s="125">
        <f>H50+H48+H45</f>
        <v>62478.5</v>
      </c>
      <c r="I51" s="63"/>
    </row>
    <row r="52" spans="3:11" s="164" customFormat="1">
      <c r="C52" s="123" t="s">
        <v>1232</v>
      </c>
      <c r="D52" s="70" t="s">
        <v>1410</v>
      </c>
      <c r="E52" s="71"/>
      <c r="F52" s="72"/>
      <c r="G52" s="96">
        <f>$M$7</f>
        <v>0.1</v>
      </c>
      <c r="H52" s="125">
        <f>H51*G52</f>
        <v>6247.85</v>
      </c>
      <c r="I52" s="63"/>
    </row>
    <row r="53" spans="3:11" s="164" customFormat="1" ht="15.75" thickBot="1">
      <c r="C53" s="131" t="s">
        <v>1233</v>
      </c>
      <c r="D53" s="132" t="s">
        <v>1234</v>
      </c>
      <c r="E53" s="133"/>
      <c r="F53" s="133"/>
      <c r="G53" s="156"/>
      <c r="H53" s="135">
        <f>SUM(H51:H52)</f>
        <v>68726.350000000006</v>
      </c>
      <c r="I53" s="63"/>
    </row>
    <row r="54" spans="3:11" ht="15.75" thickTop="1">
      <c r="C54" s="90"/>
      <c r="D54" s="91"/>
      <c r="E54" s="91"/>
      <c r="F54" s="91"/>
      <c r="G54" s="91"/>
      <c r="H54" s="92"/>
    </row>
    <row r="55" spans="3:11" ht="15.75" customHeight="1" thickBot="1">
      <c r="C55" s="224" t="s">
        <v>1528</v>
      </c>
      <c r="D55" s="226"/>
      <c r="E55" s="226"/>
      <c r="F55" s="226"/>
      <c r="G55" s="226"/>
      <c r="H55" s="226"/>
      <c r="I55" s="317">
        <f>ROUNDDOWN(H73,-2)</f>
        <v>254100</v>
      </c>
    </row>
    <row r="56" spans="3:11" ht="29.25" thickTop="1">
      <c r="C56" s="120" t="s">
        <v>1207</v>
      </c>
      <c r="D56" s="121" t="s">
        <v>1208</v>
      </c>
      <c r="E56" s="121" t="s">
        <v>1209</v>
      </c>
      <c r="F56" s="121" t="s">
        <v>1210</v>
      </c>
      <c r="G56" s="121" t="s">
        <v>1211</v>
      </c>
      <c r="H56" s="122" t="s">
        <v>1212</v>
      </c>
    </row>
    <row r="57" spans="3:11">
      <c r="C57" s="142" t="s">
        <v>1213</v>
      </c>
      <c r="D57" s="60" t="s">
        <v>1214</v>
      </c>
      <c r="E57" s="74"/>
      <c r="F57" s="74"/>
      <c r="G57" s="74"/>
      <c r="H57" s="147"/>
    </row>
    <row r="58" spans="3:11">
      <c r="C58" s="143">
        <v>1</v>
      </c>
      <c r="D58" s="60" t="s">
        <v>5</v>
      </c>
      <c r="E58" s="73" t="s">
        <v>6</v>
      </c>
      <c r="F58" s="94">
        <v>0.5</v>
      </c>
      <c r="G58" s="65">
        <f>VLOOKUP(D58,upahbahan,3,FALSE)</f>
        <v>100000</v>
      </c>
      <c r="H58" s="125">
        <f>F58*G58</f>
        <v>50000</v>
      </c>
    </row>
    <row r="59" spans="3:11">
      <c r="C59" s="143">
        <v>2</v>
      </c>
      <c r="D59" s="60" t="s">
        <v>9</v>
      </c>
      <c r="E59" s="73" t="s">
        <v>6</v>
      </c>
      <c r="F59" s="94">
        <v>0.5</v>
      </c>
      <c r="G59" s="65">
        <f>VLOOKUP(D59,upahbahan,3,FALSE)</f>
        <v>145000</v>
      </c>
      <c r="H59" s="125">
        <f>F59*G59</f>
        <v>72500</v>
      </c>
    </row>
    <row r="60" spans="3:11">
      <c r="C60" s="143">
        <v>3</v>
      </c>
      <c r="D60" s="60" t="s">
        <v>18</v>
      </c>
      <c r="E60" s="73" t="s">
        <v>6</v>
      </c>
      <c r="F60" s="94">
        <v>0.05</v>
      </c>
      <c r="G60" s="65">
        <f>VLOOKUP(D60,upahbahan,3,FALSE)</f>
        <v>150000</v>
      </c>
      <c r="H60" s="125">
        <f>F60*G60</f>
        <v>7500</v>
      </c>
    </row>
    <row r="61" spans="3:11">
      <c r="C61" s="143">
        <v>4</v>
      </c>
      <c r="D61" s="60" t="s">
        <v>19</v>
      </c>
      <c r="E61" s="73" t="s">
        <v>6</v>
      </c>
      <c r="F61" s="94">
        <v>1.67E-2</v>
      </c>
      <c r="G61" s="65">
        <f>VLOOKUP(D61,upahbahan,3,FALSE)</f>
        <v>145000</v>
      </c>
      <c r="H61" s="125">
        <f>F61*G61</f>
        <v>2421.5</v>
      </c>
    </row>
    <row r="62" spans="3:11" ht="15.75" customHeight="1">
      <c r="C62" s="145" t="s">
        <v>1220</v>
      </c>
      <c r="D62" s="81"/>
      <c r="E62" s="81"/>
      <c r="F62" s="220"/>
      <c r="G62" s="221"/>
      <c r="H62" s="125">
        <f>SUM(H58:H61)</f>
        <v>132421.5</v>
      </c>
      <c r="I62" s="223"/>
      <c r="J62" s="223"/>
      <c r="K62" s="223"/>
    </row>
    <row r="63" spans="3:11">
      <c r="C63" s="142" t="s">
        <v>1221</v>
      </c>
      <c r="D63" s="60" t="s">
        <v>1222</v>
      </c>
      <c r="E63" s="74"/>
      <c r="F63" s="74"/>
      <c r="G63" s="74"/>
      <c r="H63" s="147"/>
    </row>
    <row r="64" spans="3:11">
      <c r="C64" s="146" t="s">
        <v>1215</v>
      </c>
      <c r="D64" s="60" t="s">
        <v>818</v>
      </c>
      <c r="E64" s="171" t="s">
        <v>114</v>
      </c>
      <c r="F64" s="172">
        <v>3.6</v>
      </c>
      <c r="G64" s="65">
        <f>VLOOKUP(D64,upahbahan,3,FALSE)</f>
        <v>15000</v>
      </c>
      <c r="H64" s="125">
        <f>F64*G64</f>
        <v>54000</v>
      </c>
    </row>
    <row r="65" spans="3:9">
      <c r="C65" s="146" t="s">
        <v>1216</v>
      </c>
      <c r="D65" s="78" t="s">
        <v>261</v>
      </c>
      <c r="E65" s="171" t="s">
        <v>66</v>
      </c>
      <c r="F65" s="172">
        <v>0.15</v>
      </c>
      <c r="G65" s="65">
        <f>VLOOKUP(D65,upahbahan,3,FALSE)</f>
        <v>35000</v>
      </c>
      <c r="H65" s="125">
        <f>F65*G65</f>
        <v>5250</v>
      </c>
    </row>
    <row r="66" spans="3:9">
      <c r="C66" s="146" t="s">
        <v>1217</v>
      </c>
      <c r="D66" s="60" t="s">
        <v>1042</v>
      </c>
      <c r="E66" s="171" t="s">
        <v>44</v>
      </c>
      <c r="F66" s="172">
        <v>1.05</v>
      </c>
      <c r="G66" s="65">
        <f>VLOOKUP(D66,upahbahan,3,FALSE)</f>
        <v>3200</v>
      </c>
      <c r="H66" s="125">
        <f>F66*G66</f>
        <v>3360</v>
      </c>
    </row>
    <row r="67" spans="3:9">
      <c r="C67" s="146" t="s">
        <v>1218</v>
      </c>
      <c r="D67" s="60" t="s">
        <v>401</v>
      </c>
      <c r="E67" s="73" t="s">
        <v>133</v>
      </c>
      <c r="F67" s="75">
        <v>1.5</v>
      </c>
      <c r="G67" s="65">
        <f>VLOOKUP(D67,upahbahan,3,FALSE)</f>
        <v>24000</v>
      </c>
      <c r="H67" s="125">
        <f>F67*G67</f>
        <v>36000</v>
      </c>
    </row>
    <row r="68" spans="3:9" ht="15.75" customHeight="1">
      <c r="C68" s="145" t="s">
        <v>1226</v>
      </c>
      <c r="D68" s="81"/>
      <c r="E68" s="81"/>
      <c r="F68" s="81"/>
      <c r="G68" s="163"/>
      <c r="H68" s="125">
        <f>SUM(H64:H67)</f>
        <v>98610</v>
      </c>
      <c r="I68" s="56"/>
    </row>
    <row r="69" spans="3:9">
      <c r="C69" s="153" t="s">
        <v>1227</v>
      </c>
      <c r="D69" s="60" t="s">
        <v>1228</v>
      </c>
      <c r="E69" s="74"/>
      <c r="F69" s="74"/>
      <c r="G69" s="74"/>
      <c r="H69" s="147"/>
      <c r="I69" s="56"/>
    </row>
    <row r="70" spans="3:9" ht="15.75" customHeight="1">
      <c r="C70" s="145" t="s">
        <v>1229</v>
      </c>
      <c r="D70" s="81"/>
      <c r="E70" s="81"/>
      <c r="F70" s="81"/>
      <c r="G70" s="163"/>
      <c r="H70" s="154">
        <v>0</v>
      </c>
      <c r="I70" s="56"/>
    </row>
    <row r="71" spans="3:9" s="164" customFormat="1">
      <c r="C71" s="123" t="s">
        <v>1230</v>
      </c>
      <c r="D71" s="70" t="s">
        <v>1231</v>
      </c>
      <c r="E71" s="71"/>
      <c r="F71" s="71"/>
      <c r="G71" s="72"/>
      <c r="H71" s="125">
        <f>H70+H68+H62</f>
        <v>231031.5</v>
      </c>
      <c r="I71" s="63"/>
    </row>
    <row r="72" spans="3:9" s="164" customFormat="1">
      <c r="C72" s="123" t="s">
        <v>1232</v>
      </c>
      <c r="D72" s="70" t="s">
        <v>1410</v>
      </c>
      <c r="E72" s="71"/>
      <c r="F72" s="72"/>
      <c r="G72" s="96">
        <f>$M$7</f>
        <v>0.1</v>
      </c>
      <c r="H72" s="125">
        <f>H71*G72</f>
        <v>23103.15</v>
      </c>
      <c r="I72" s="63"/>
    </row>
    <row r="73" spans="3:9" s="164" customFormat="1" ht="15.75" thickBot="1">
      <c r="C73" s="131" t="s">
        <v>1233</v>
      </c>
      <c r="D73" s="132" t="s">
        <v>1234</v>
      </c>
      <c r="E73" s="133"/>
      <c r="F73" s="133"/>
      <c r="G73" s="156"/>
      <c r="H73" s="135">
        <f>SUM(H71:H72)</f>
        <v>254134.65</v>
      </c>
      <c r="I73" s="63"/>
    </row>
    <row r="74" spans="3:9" ht="15.75" thickTop="1">
      <c r="C74" s="90"/>
      <c r="D74" s="91"/>
      <c r="E74" s="91"/>
      <c r="F74" s="91"/>
      <c r="G74" s="91"/>
      <c r="H74" s="92"/>
    </row>
    <row r="75" spans="3:9" ht="15.75" thickBot="1">
      <c r="C75" s="224" t="s">
        <v>1529</v>
      </c>
      <c r="D75" s="226"/>
      <c r="E75" s="226"/>
      <c r="F75" s="226"/>
      <c r="G75" s="226"/>
      <c r="H75" s="226"/>
      <c r="I75" s="317">
        <f>ROUNDDOWN(H91,-2)</f>
        <v>51700</v>
      </c>
    </row>
    <row r="76" spans="3:9" ht="29.25" thickTop="1">
      <c r="C76" s="120" t="s">
        <v>1207</v>
      </c>
      <c r="D76" s="121" t="s">
        <v>1208</v>
      </c>
      <c r="E76" s="121" t="s">
        <v>1209</v>
      </c>
      <c r="F76" s="121" t="s">
        <v>1210</v>
      </c>
      <c r="G76" s="121" t="s">
        <v>1211</v>
      </c>
      <c r="H76" s="122" t="s">
        <v>1212</v>
      </c>
    </row>
    <row r="77" spans="3:9">
      <c r="C77" s="142" t="s">
        <v>1213</v>
      </c>
      <c r="D77" s="60" t="s">
        <v>1214</v>
      </c>
      <c r="E77" s="74"/>
      <c r="F77" s="74"/>
      <c r="G77" s="74"/>
      <c r="H77" s="147"/>
    </row>
    <row r="78" spans="3:9">
      <c r="C78" s="143">
        <v>1</v>
      </c>
      <c r="D78" s="60" t="s">
        <v>5</v>
      </c>
      <c r="E78" s="73" t="s">
        <v>6</v>
      </c>
      <c r="F78" s="94">
        <v>0.1</v>
      </c>
      <c r="G78" s="65">
        <f>VLOOKUP(D78,upahbahan,3,FALSE)</f>
        <v>100000</v>
      </c>
      <c r="H78" s="125">
        <f>F78*G78</f>
        <v>10000</v>
      </c>
    </row>
    <row r="79" spans="3:9">
      <c r="C79" s="143">
        <v>2</v>
      </c>
      <c r="D79" s="60" t="s">
        <v>8</v>
      </c>
      <c r="E79" s="73" t="s">
        <v>6</v>
      </c>
      <c r="F79" s="94">
        <v>0.05</v>
      </c>
      <c r="G79" s="65">
        <f>VLOOKUP(D79,upahbahan,3,FALSE)</f>
        <v>145000</v>
      </c>
      <c r="H79" s="125">
        <f>F79*G79</f>
        <v>7250</v>
      </c>
    </row>
    <row r="80" spans="3:9">
      <c r="C80" s="143">
        <v>3</v>
      </c>
      <c r="D80" s="60" t="s">
        <v>18</v>
      </c>
      <c r="E80" s="73" t="s">
        <v>6</v>
      </c>
      <c r="F80" s="94">
        <v>5.0000000000000001E-3</v>
      </c>
      <c r="G80" s="65">
        <f>VLOOKUP(D80,upahbahan,3,FALSE)</f>
        <v>150000</v>
      </c>
      <c r="H80" s="125">
        <f>F80*G80</f>
        <v>750</v>
      </c>
    </row>
    <row r="81" spans="3:11">
      <c r="C81" s="143">
        <v>4</v>
      </c>
      <c r="D81" s="60" t="s">
        <v>19</v>
      </c>
      <c r="E81" s="73" t="s">
        <v>6</v>
      </c>
      <c r="F81" s="94">
        <v>1.6999999999999999E-3</v>
      </c>
      <c r="G81" s="65">
        <f>VLOOKUP(D81,upahbahan,3,FALSE)</f>
        <v>145000</v>
      </c>
      <c r="H81" s="125">
        <f>F81*G81</f>
        <v>246.5</v>
      </c>
    </row>
    <row r="82" spans="3:11" ht="15.75" customHeight="1">
      <c r="C82" s="145" t="s">
        <v>1220</v>
      </c>
      <c r="D82" s="81"/>
      <c r="E82" s="81"/>
      <c r="F82" s="220"/>
      <c r="G82" s="221"/>
      <c r="H82" s="125">
        <f>SUM(H78:H81)</f>
        <v>18246.5</v>
      </c>
      <c r="I82" s="223"/>
      <c r="J82" s="223"/>
      <c r="K82" s="223"/>
    </row>
    <row r="83" spans="3:11">
      <c r="C83" s="142" t="s">
        <v>1221</v>
      </c>
      <c r="D83" s="60" t="s">
        <v>1222</v>
      </c>
      <c r="E83" s="74"/>
      <c r="F83" s="74"/>
      <c r="G83" s="74"/>
      <c r="H83" s="147"/>
    </row>
    <row r="84" spans="3:11" ht="28.5">
      <c r="C84" s="143">
        <v>1</v>
      </c>
      <c r="D84" s="60" t="s">
        <v>389</v>
      </c>
      <c r="E84" s="73" t="s">
        <v>133</v>
      </c>
      <c r="F84" s="75">
        <v>0.36399999999999999</v>
      </c>
      <c r="G84" s="65">
        <f>VLOOKUP(D84,upahbahan,3,FALSE)</f>
        <v>70000</v>
      </c>
      <c r="H84" s="125">
        <f>F84*G84</f>
        <v>25480</v>
      </c>
    </row>
    <row r="85" spans="3:11">
      <c r="C85" s="143">
        <v>2</v>
      </c>
      <c r="D85" s="60" t="s">
        <v>273</v>
      </c>
      <c r="E85" s="73" t="s">
        <v>66</v>
      </c>
      <c r="F85" s="230">
        <v>0.11</v>
      </c>
      <c r="G85" s="65">
        <f>VLOOKUP(D85,upahbahan,3,FALSE)</f>
        <v>30090</v>
      </c>
      <c r="H85" s="125">
        <f>F85*G85</f>
        <v>3309.9</v>
      </c>
    </row>
    <row r="86" spans="3:11" ht="15.75" customHeight="1">
      <c r="C86" s="145" t="s">
        <v>1226</v>
      </c>
      <c r="D86" s="81"/>
      <c r="E86" s="81"/>
      <c r="F86" s="81"/>
      <c r="G86" s="163"/>
      <c r="H86" s="125">
        <f>SUM(H84:H85)</f>
        <v>28789.9</v>
      </c>
      <c r="I86" s="56"/>
    </row>
    <row r="87" spans="3:11">
      <c r="C87" s="153" t="s">
        <v>1227</v>
      </c>
      <c r="D87" s="60" t="s">
        <v>1228</v>
      </c>
      <c r="E87" s="74"/>
      <c r="F87" s="74"/>
      <c r="G87" s="74"/>
      <c r="H87" s="147"/>
      <c r="I87" s="56"/>
    </row>
    <row r="88" spans="3:11" ht="15.75" customHeight="1">
      <c r="C88" s="145" t="s">
        <v>1229</v>
      </c>
      <c r="D88" s="81"/>
      <c r="E88" s="81"/>
      <c r="F88" s="81"/>
      <c r="G88" s="163"/>
      <c r="H88" s="154">
        <v>0</v>
      </c>
      <c r="I88" s="56"/>
    </row>
    <row r="89" spans="3:11" s="164" customFormat="1">
      <c r="C89" s="123" t="s">
        <v>1230</v>
      </c>
      <c r="D89" s="70" t="s">
        <v>1231</v>
      </c>
      <c r="E89" s="71"/>
      <c r="F89" s="71"/>
      <c r="G89" s="72"/>
      <c r="H89" s="125">
        <f>H88+H86+H82</f>
        <v>47036.4</v>
      </c>
      <c r="I89" s="63"/>
    </row>
    <row r="90" spans="3:11" s="164" customFormat="1">
      <c r="C90" s="123" t="s">
        <v>1232</v>
      </c>
      <c r="D90" s="70" t="s">
        <v>1410</v>
      </c>
      <c r="E90" s="71"/>
      <c r="F90" s="72"/>
      <c r="G90" s="96">
        <f>$M$7</f>
        <v>0.1</v>
      </c>
      <c r="H90" s="125">
        <f>H89*G90</f>
        <v>4703.6400000000003</v>
      </c>
      <c r="I90" s="63"/>
    </row>
    <row r="91" spans="3:11" s="164" customFormat="1" ht="15.75" thickBot="1">
      <c r="C91" s="131" t="s">
        <v>1233</v>
      </c>
      <c r="D91" s="132" t="s">
        <v>1234</v>
      </c>
      <c r="E91" s="133"/>
      <c r="F91" s="133"/>
      <c r="G91" s="156"/>
      <c r="H91" s="135">
        <f>SUM(H89:H90)</f>
        <v>51740.04</v>
      </c>
      <c r="I91" s="63"/>
    </row>
    <row r="92" spans="3:11" ht="15.75" thickTop="1">
      <c r="C92" s="90"/>
      <c r="D92" s="91"/>
      <c r="E92" s="91"/>
      <c r="F92" s="91"/>
      <c r="G92" s="91"/>
      <c r="H92" s="92"/>
    </row>
    <row r="93" spans="3:11" ht="15.75" thickBot="1">
      <c r="C93" s="224" t="s">
        <v>1530</v>
      </c>
      <c r="D93" s="226"/>
      <c r="E93" s="226"/>
      <c r="F93" s="226"/>
      <c r="G93" s="226"/>
      <c r="H93" s="226"/>
      <c r="I93" s="317">
        <f>ROUNDDOWN(H109,-2)</f>
        <v>76000</v>
      </c>
    </row>
    <row r="94" spans="3:11" ht="29.25" thickTop="1">
      <c r="C94" s="120" t="s">
        <v>1207</v>
      </c>
      <c r="D94" s="121" t="s">
        <v>1208</v>
      </c>
      <c r="E94" s="121" t="s">
        <v>1209</v>
      </c>
      <c r="F94" s="121" t="s">
        <v>1210</v>
      </c>
      <c r="G94" s="121" t="s">
        <v>1211</v>
      </c>
      <c r="H94" s="122" t="s">
        <v>1212</v>
      </c>
    </row>
    <row r="95" spans="3:11">
      <c r="C95" s="142" t="s">
        <v>1213</v>
      </c>
      <c r="D95" s="60" t="s">
        <v>1214</v>
      </c>
      <c r="E95" s="74"/>
      <c r="F95" s="74"/>
      <c r="G95" s="74"/>
      <c r="H95" s="147"/>
    </row>
    <row r="96" spans="3:11">
      <c r="C96" s="143">
        <v>1</v>
      </c>
      <c r="D96" s="60" t="s">
        <v>5</v>
      </c>
      <c r="E96" s="73" t="s">
        <v>6</v>
      </c>
      <c r="F96" s="94">
        <v>0.03</v>
      </c>
      <c r="G96" s="65">
        <f>VLOOKUP(D96,upahbahan,3,FALSE)</f>
        <v>100000</v>
      </c>
      <c r="H96" s="125">
        <f>F96*G96</f>
        <v>3000</v>
      </c>
    </row>
    <row r="97" spans="3:11">
      <c r="C97" s="143">
        <v>2</v>
      </c>
      <c r="D97" s="60" t="s">
        <v>8</v>
      </c>
      <c r="E97" s="73" t="s">
        <v>6</v>
      </c>
      <c r="F97" s="94">
        <v>7.0000000000000007E-2</v>
      </c>
      <c r="G97" s="65">
        <f>VLOOKUP(D97,upahbahan,3,FALSE)</f>
        <v>145000</v>
      </c>
      <c r="H97" s="125">
        <f>F97*G97</f>
        <v>10150.000000000002</v>
      </c>
    </row>
    <row r="98" spans="3:11">
      <c r="C98" s="143">
        <v>3</v>
      </c>
      <c r="D98" s="60" t="s">
        <v>18</v>
      </c>
      <c r="E98" s="73" t="s">
        <v>6</v>
      </c>
      <c r="F98" s="94">
        <v>7.0000000000000001E-3</v>
      </c>
      <c r="G98" s="65">
        <f>VLOOKUP(D98,upahbahan,3,FALSE)</f>
        <v>150000</v>
      </c>
      <c r="H98" s="125">
        <f>F98*G98</f>
        <v>1050</v>
      </c>
    </row>
    <row r="99" spans="3:11">
      <c r="C99" s="143">
        <v>4</v>
      </c>
      <c r="D99" s="60" t="s">
        <v>19</v>
      </c>
      <c r="E99" s="73" t="s">
        <v>6</v>
      </c>
      <c r="F99" s="94">
        <v>2.3E-3</v>
      </c>
      <c r="G99" s="65">
        <f>VLOOKUP(D99,upahbahan,3,FALSE)</f>
        <v>145000</v>
      </c>
      <c r="H99" s="125">
        <f>F99*G99</f>
        <v>333.5</v>
      </c>
    </row>
    <row r="100" spans="3:11" ht="15.75" customHeight="1">
      <c r="C100" s="145" t="s">
        <v>1220</v>
      </c>
      <c r="D100" s="81"/>
      <c r="E100" s="81"/>
      <c r="F100" s="220"/>
      <c r="G100" s="221"/>
      <c r="H100" s="125">
        <f>SUM(H96:H99)</f>
        <v>14533.500000000002</v>
      </c>
      <c r="I100" s="223"/>
      <c r="J100" s="223"/>
      <c r="K100" s="223"/>
    </row>
    <row r="101" spans="3:11">
      <c r="C101" s="142" t="s">
        <v>1221</v>
      </c>
      <c r="D101" s="60" t="s">
        <v>1222</v>
      </c>
      <c r="E101" s="74"/>
      <c r="F101" s="74"/>
      <c r="G101" s="74"/>
      <c r="H101" s="147"/>
    </row>
    <row r="102" spans="3:11">
      <c r="C102" s="143">
        <v>1</v>
      </c>
      <c r="D102" s="60" t="s">
        <v>396</v>
      </c>
      <c r="E102" s="73" t="s">
        <v>63</v>
      </c>
      <c r="F102" s="75">
        <v>1.21</v>
      </c>
      <c r="G102" s="65">
        <f>VLOOKUP(D102,upahbahan,3,FALSE)</f>
        <v>45000</v>
      </c>
      <c r="H102" s="125">
        <f>F102*G102</f>
        <v>54450</v>
      </c>
    </row>
    <row r="103" spans="3:11">
      <c r="C103" s="143">
        <v>2</v>
      </c>
      <c r="D103" s="60" t="s">
        <v>265</v>
      </c>
      <c r="E103" s="73" t="s">
        <v>66</v>
      </c>
      <c r="F103" s="75">
        <v>0.01</v>
      </c>
      <c r="G103" s="65">
        <f>VLOOKUP(D103,upahbahan,3,FALSE)</f>
        <v>18000</v>
      </c>
      <c r="H103" s="125">
        <f>F103*G103</f>
        <v>180</v>
      </c>
    </row>
    <row r="104" spans="3:11" ht="15.75" customHeight="1">
      <c r="C104" s="145" t="s">
        <v>1226</v>
      </c>
      <c r="D104" s="81"/>
      <c r="E104" s="81"/>
      <c r="F104" s="81"/>
      <c r="G104" s="163"/>
      <c r="H104" s="125">
        <f>SUM(H102:H103)</f>
        <v>54630</v>
      </c>
      <c r="I104" s="56"/>
    </row>
    <row r="105" spans="3:11">
      <c r="C105" s="153" t="s">
        <v>1227</v>
      </c>
      <c r="D105" s="60" t="s">
        <v>1228</v>
      </c>
      <c r="E105" s="74"/>
      <c r="F105" s="74"/>
      <c r="G105" s="74"/>
      <c r="H105" s="147"/>
      <c r="I105" s="56"/>
    </row>
    <row r="106" spans="3:11" ht="15.75" customHeight="1">
      <c r="C106" s="145" t="s">
        <v>1229</v>
      </c>
      <c r="D106" s="81"/>
      <c r="E106" s="81"/>
      <c r="F106" s="81"/>
      <c r="G106" s="163"/>
      <c r="H106" s="154">
        <v>0</v>
      </c>
      <c r="I106" s="56"/>
    </row>
    <row r="107" spans="3:11" s="164" customFormat="1">
      <c r="C107" s="123" t="s">
        <v>1230</v>
      </c>
      <c r="D107" s="70" t="s">
        <v>1231</v>
      </c>
      <c r="E107" s="71"/>
      <c r="F107" s="71"/>
      <c r="G107" s="72"/>
      <c r="H107" s="125">
        <f>H106+H104+H100</f>
        <v>69163.5</v>
      </c>
      <c r="I107" s="63"/>
    </row>
    <row r="108" spans="3:11" s="164" customFormat="1">
      <c r="C108" s="123" t="s">
        <v>1232</v>
      </c>
      <c r="D108" s="70" t="s">
        <v>1410</v>
      </c>
      <c r="E108" s="71"/>
      <c r="F108" s="72"/>
      <c r="G108" s="96">
        <f>$M$7</f>
        <v>0.1</v>
      </c>
      <c r="H108" s="125">
        <f>H107*G108</f>
        <v>6916.35</v>
      </c>
      <c r="I108" s="63"/>
    </row>
    <row r="109" spans="3:11" s="164" customFormat="1" ht="15.75" thickBot="1">
      <c r="C109" s="131" t="s">
        <v>1233</v>
      </c>
      <c r="D109" s="132" t="s">
        <v>1234</v>
      </c>
      <c r="E109" s="133"/>
      <c r="F109" s="133"/>
      <c r="G109" s="156"/>
      <c r="H109" s="135">
        <f>SUM(H107:H108)</f>
        <v>76079.850000000006</v>
      </c>
      <c r="I109" s="63"/>
    </row>
    <row r="110" spans="3:11" ht="15.75" thickTop="1">
      <c r="C110" s="90"/>
      <c r="D110" s="91"/>
      <c r="E110" s="91"/>
      <c r="F110" s="91"/>
      <c r="G110" s="91"/>
      <c r="H110" s="92"/>
    </row>
    <row r="111" spans="3:11" ht="15.75" thickBot="1">
      <c r="C111" s="224" t="s">
        <v>1531</v>
      </c>
      <c r="D111" s="226"/>
      <c r="E111" s="226"/>
      <c r="F111" s="226"/>
      <c r="G111" s="226"/>
      <c r="H111" s="226"/>
      <c r="I111" s="317">
        <f>ROUNDDOWN(H127,-2)</f>
        <v>60600</v>
      </c>
    </row>
    <row r="112" spans="3:11" ht="29.25" thickTop="1">
      <c r="C112" s="120" t="s">
        <v>1207</v>
      </c>
      <c r="D112" s="121" t="s">
        <v>1208</v>
      </c>
      <c r="E112" s="121" t="s">
        <v>1209</v>
      </c>
      <c r="F112" s="121" t="s">
        <v>1210</v>
      </c>
      <c r="G112" s="121" t="s">
        <v>1211</v>
      </c>
      <c r="H112" s="122" t="s">
        <v>1212</v>
      </c>
    </row>
    <row r="113" spans="3:11">
      <c r="C113" s="142" t="s">
        <v>1213</v>
      </c>
      <c r="D113" s="60" t="s">
        <v>1214</v>
      </c>
      <c r="E113" s="74"/>
      <c r="F113" s="74"/>
      <c r="G113" s="74"/>
      <c r="H113" s="147"/>
    </row>
    <row r="114" spans="3:11">
      <c r="C114" s="143">
        <v>1</v>
      </c>
      <c r="D114" s="60" t="s">
        <v>5</v>
      </c>
      <c r="E114" s="73" t="s">
        <v>6</v>
      </c>
      <c r="F114" s="94">
        <v>0.1</v>
      </c>
      <c r="G114" s="65">
        <f>VLOOKUP(D114,upahbahan,3,FALSE)</f>
        <v>100000</v>
      </c>
      <c r="H114" s="125">
        <f>F114*G114</f>
        <v>10000</v>
      </c>
    </row>
    <row r="115" spans="3:11">
      <c r="C115" s="143">
        <v>2</v>
      </c>
      <c r="D115" s="60" t="s">
        <v>8</v>
      </c>
      <c r="E115" s="73" t="s">
        <v>6</v>
      </c>
      <c r="F115" s="94">
        <v>0.1</v>
      </c>
      <c r="G115" s="65">
        <f>VLOOKUP(D115,upahbahan,3,FALSE)</f>
        <v>145000</v>
      </c>
      <c r="H115" s="125">
        <f>F115*G115</f>
        <v>14500</v>
      </c>
    </row>
    <row r="116" spans="3:11">
      <c r="C116" s="143">
        <v>3</v>
      </c>
      <c r="D116" s="60" t="s">
        <v>18</v>
      </c>
      <c r="E116" s="73" t="s">
        <v>6</v>
      </c>
      <c r="F116" s="94">
        <v>0.01</v>
      </c>
      <c r="G116" s="65">
        <f>VLOOKUP(D116,upahbahan,3,FALSE)</f>
        <v>150000</v>
      </c>
      <c r="H116" s="125">
        <f>F116*G116</f>
        <v>1500</v>
      </c>
    </row>
    <row r="117" spans="3:11">
      <c r="C117" s="143">
        <v>4</v>
      </c>
      <c r="D117" s="60" t="s">
        <v>19</v>
      </c>
      <c r="E117" s="73" t="s">
        <v>6</v>
      </c>
      <c r="F117" s="94">
        <v>3.3E-3</v>
      </c>
      <c r="G117" s="65">
        <f>VLOOKUP(D117,upahbahan,3,FALSE)</f>
        <v>145000</v>
      </c>
      <c r="H117" s="125">
        <f>F117*G117</f>
        <v>478.5</v>
      </c>
    </row>
    <row r="118" spans="3:11" ht="15.75" customHeight="1">
      <c r="C118" s="145" t="s">
        <v>1220</v>
      </c>
      <c r="D118" s="81"/>
      <c r="E118" s="81"/>
      <c r="F118" s="220"/>
      <c r="G118" s="221"/>
      <c r="H118" s="125">
        <f>SUM(H114:H117)</f>
        <v>26478.5</v>
      </c>
      <c r="I118" s="223"/>
      <c r="J118" s="223"/>
      <c r="K118" s="223"/>
    </row>
    <row r="119" spans="3:11">
      <c r="C119" s="142" t="s">
        <v>1221</v>
      </c>
      <c r="D119" s="60" t="s">
        <v>1222</v>
      </c>
      <c r="E119" s="74"/>
      <c r="F119" s="74"/>
      <c r="G119" s="74"/>
      <c r="H119" s="147"/>
    </row>
    <row r="120" spans="3:11">
      <c r="C120" s="143">
        <v>1</v>
      </c>
      <c r="D120" s="60" t="s">
        <v>1268</v>
      </c>
      <c r="E120" s="73" t="s">
        <v>133</v>
      </c>
      <c r="F120" s="75">
        <v>0.375</v>
      </c>
      <c r="G120" s="65">
        <f>VLOOKUP(D120,upahbahan,3,FALSE)</f>
        <v>75000</v>
      </c>
      <c r="H120" s="125">
        <f>F120*G120</f>
        <v>28125</v>
      </c>
    </row>
    <row r="121" spans="3:11">
      <c r="C121" s="143">
        <v>2</v>
      </c>
      <c r="D121" s="60" t="s">
        <v>265</v>
      </c>
      <c r="E121" s="73" t="s">
        <v>66</v>
      </c>
      <c r="F121" s="75">
        <v>0.03</v>
      </c>
      <c r="G121" s="65">
        <f>VLOOKUP(D121,upahbahan,3,FALSE)</f>
        <v>18000</v>
      </c>
      <c r="H121" s="125">
        <f>F121*G121</f>
        <v>540</v>
      </c>
    </row>
    <row r="122" spans="3:11" ht="15.75" customHeight="1">
      <c r="C122" s="145" t="s">
        <v>1226</v>
      </c>
      <c r="D122" s="81"/>
      <c r="E122" s="81"/>
      <c r="F122" s="81"/>
      <c r="G122" s="163"/>
      <c r="H122" s="125">
        <f>SUM(H120:H121)</f>
        <v>28665</v>
      </c>
      <c r="I122" s="56"/>
    </row>
    <row r="123" spans="3:11">
      <c r="C123" s="153" t="s">
        <v>1227</v>
      </c>
      <c r="D123" s="60" t="s">
        <v>1228</v>
      </c>
      <c r="E123" s="74"/>
      <c r="F123" s="74"/>
      <c r="G123" s="74"/>
      <c r="H123" s="147"/>
      <c r="I123" s="56"/>
    </row>
    <row r="124" spans="3:11" ht="15.75" customHeight="1">
      <c r="C124" s="145" t="s">
        <v>1229</v>
      </c>
      <c r="D124" s="81"/>
      <c r="E124" s="81"/>
      <c r="F124" s="81"/>
      <c r="G124" s="163"/>
      <c r="H124" s="154">
        <v>0</v>
      </c>
      <c r="I124" s="56"/>
    </row>
    <row r="125" spans="3:11" s="164" customFormat="1">
      <c r="C125" s="123" t="s">
        <v>1230</v>
      </c>
      <c r="D125" s="70" t="s">
        <v>1231</v>
      </c>
      <c r="E125" s="71"/>
      <c r="F125" s="71"/>
      <c r="G125" s="72"/>
      <c r="H125" s="125">
        <f>H124+H122+H118</f>
        <v>55143.5</v>
      </c>
      <c r="I125" s="63"/>
    </row>
    <row r="126" spans="3:11" s="164" customFormat="1">
      <c r="C126" s="123" t="s">
        <v>1232</v>
      </c>
      <c r="D126" s="70" t="s">
        <v>1410</v>
      </c>
      <c r="E126" s="71"/>
      <c r="F126" s="72"/>
      <c r="G126" s="96">
        <f>$M$7</f>
        <v>0.1</v>
      </c>
      <c r="H126" s="125">
        <f>H125*G126</f>
        <v>5514.35</v>
      </c>
      <c r="I126" s="63"/>
    </row>
    <row r="127" spans="3:11" s="164" customFormat="1" ht="15.75" thickBot="1">
      <c r="C127" s="131" t="s">
        <v>1233</v>
      </c>
      <c r="D127" s="132" t="s">
        <v>1234</v>
      </c>
      <c r="E127" s="133"/>
      <c r="F127" s="133"/>
      <c r="G127" s="156"/>
      <c r="H127" s="135">
        <f>SUM(H125:H126)</f>
        <v>60657.85</v>
      </c>
      <c r="I127" s="63"/>
    </row>
    <row r="128" spans="3:11" ht="15.75" thickTop="1">
      <c r="C128" s="90"/>
      <c r="D128" s="91"/>
      <c r="E128" s="91"/>
      <c r="F128" s="91"/>
      <c r="G128" s="91"/>
      <c r="H128" s="92"/>
    </row>
    <row r="129" spans="3:11" ht="15.75" thickBot="1">
      <c r="C129" s="224" t="s">
        <v>1532</v>
      </c>
      <c r="D129" s="226"/>
      <c r="E129" s="226"/>
      <c r="F129" s="226"/>
      <c r="G129" s="226"/>
      <c r="H129" s="226"/>
      <c r="I129" s="317">
        <f>ROUNDDOWN(H145,-2)</f>
        <v>464200</v>
      </c>
    </row>
    <row r="130" spans="3:11" ht="29.25" thickTop="1">
      <c r="C130" s="120" t="s">
        <v>1207</v>
      </c>
      <c r="D130" s="121" t="s">
        <v>1208</v>
      </c>
      <c r="E130" s="121" t="s">
        <v>1209</v>
      </c>
      <c r="F130" s="121" t="s">
        <v>1210</v>
      </c>
      <c r="G130" s="121" t="s">
        <v>1211</v>
      </c>
      <c r="H130" s="122" t="s">
        <v>1212</v>
      </c>
    </row>
    <row r="131" spans="3:11">
      <c r="C131" s="142" t="s">
        <v>1213</v>
      </c>
      <c r="D131" s="60" t="s">
        <v>1214</v>
      </c>
      <c r="E131" s="74"/>
      <c r="F131" s="74"/>
      <c r="G131" s="74"/>
      <c r="H131" s="147"/>
    </row>
    <row r="132" spans="3:11">
      <c r="C132" s="143">
        <v>1</v>
      </c>
      <c r="D132" s="60" t="s">
        <v>5</v>
      </c>
      <c r="E132" s="73" t="s">
        <v>6</v>
      </c>
      <c r="F132" s="94">
        <v>0.8</v>
      </c>
      <c r="G132" s="65">
        <f>VLOOKUP(D132,upahbahan,3,FALSE)</f>
        <v>100000</v>
      </c>
      <c r="H132" s="125">
        <f>F132*G132</f>
        <v>80000</v>
      </c>
    </row>
    <row r="133" spans="3:11">
      <c r="C133" s="143">
        <v>2</v>
      </c>
      <c r="D133" s="60" t="s">
        <v>8</v>
      </c>
      <c r="E133" s="73" t="s">
        <v>6</v>
      </c>
      <c r="F133" s="94">
        <v>0.8</v>
      </c>
      <c r="G133" s="65">
        <f>VLOOKUP(D133,upahbahan,3,FALSE)</f>
        <v>145000</v>
      </c>
      <c r="H133" s="125">
        <f>F133*G133</f>
        <v>116000</v>
      </c>
    </row>
    <row r="134" spans="3:11">
      <c r="C134" s="143">
        <v>3</v>
      </c>
      <c r="D134" s="60" t="s">
        <v>18</v>
      </c>
      <c r="E134" s="73" t="s">
        <v>6</v>
      </c>
      <c r="F134" s="94">
        <v>0.08</v>
      </c>
      <c r="G134" s="65">
        <f>VLOOKUP(D134,upahbahan,3,FALSE)</f>
        <v>150000</v>
      </c>
      <c r="H134" s="125">
        <f>F134*G134</f>
        <v>12000</v>
      </c>
    </row>
    <row r="135" spans="3:11">
      <c r="C135" s="143">
        <v>4</v>
      </c>
      <c r="D135" s="60" t="s">
        <v>19</v>
      </c>
      <c r="E135" s="73" t="s">
        <v>6</v>
      </c>
      <c r="F135" s="94">
        <v>2.6700000000000002E-2</v>
      </c>
      <c r="G135" s="65">
        <f>VLOOKUP(D135,upahbahan,3,FALSE)</f>
        <v>145000</v>
      </c>
      <c r="H135" s="125">
        <f>F135*G135</f>
        <v>3871.5</v>
      </c>
    </row>
    <row r="136" spans="3:11" ht="15.75" customHeight="1">
      <c r="C136" s="145" t="s">
        <v>1220</v>
      </c>
      <c r="D136" s="81"/>
      <c r="E136" s="81"/>
      <c r="F136" s="220"/>
      <c r="G136" s="221"/>
      <c r="H136" s="125">
        <f>SUM(H132:H135)</f>
        <v>211871.5</v>
      </c>
      <c r="I136" s="223"/>
      <c r="J136" s="223"/>
      <c r="K136" s="223"/>
    </row>
    <row r="137" spans="3:11">
      <c r="C137" s="142" t="s">
        <v>1221</v>
      </c>
      <c r="D137" s="60" t="s">
        <v>1222</v>
      </c>
      <c r="E137" s="74"/>
      <c r="F137" s="74"/>
      <c r="G137" s="74"/>
      <c r="H137" s="147"/>
    </row>
    <row r="138" spans="3:11">
      <c r="C138" s="143">
        <v>1</v>
      </c>
      <c r="D138" s="60" t="s">
        <v>126</v>
      </c>
      <c r="E138" s="73" t="s">
        <v>42</v>
      </c>
      <c r="F138" s="75">
        <v>1.4999999999999999E-2</v>
      </c>
      <c r="G138" s="65">
        <f>VLOOKUP(D138,upahbahan,3,FALSE)</f>
        <v>14000000</v>
      </c>
      <c r="H138" s="125">
        <f>F138*G138</f>
        <v>210000</v>
      </c>
    </row>
    <row r="139" spans="3:11">
      <c r="C139" s="143">
        <v>2</v>
      </c>
      <c r="D139" s="60" t="s">
        <v>265</v>
      </c>
      <c r="E139" s="73" t="s">
        <v>66</v>
      </c>
      <c r="F139" s="75">
        <v>0.01</v>
      </c>
      <c r="G139" s="65">
        <f>VLOOKUP(D139,upahbahan,3,FALSE)</f>
        <v>18000</v>
      </c>
      <c r="H139" s="125">
        <f>F139*G139</f>
        <v>180</v>
      </c>
    </row>
    <row r="140" spans="3:11" ht="15.75" customHeight="1">
      <c r="C140" s="145" t="s">
        <v>1226</v>
      </c>
      <c r="D140" s="81"/>
      <c r="E140" s="81"/>
      <c r="F140" s="81"/>
      <c r="G140" s="163"/>
      <c r="H140" s="125">
        <f>SUM(H138:H139)</f>
        <v>210180</v>
      </c>
      <c r="I140" s="56"/>
    </row>
    <row r="141" spans="3:11">
      <c r="C141" s="153" t="s">
        <v>1227</v>
      </c>
      <c r="D141" s="60" t="s">
        <v>1228</v>
      </c>
      <c r="E141" s="74"/>
      <c r="F141" s="74"/>
      <c r="G141" s="74"/>
      <c r="H141" s="147"/>
      <c r="I141" s="56"/>
    </row>
    <row r="142" spans="3:11" ht="15.75" customHeight="1">
      <c r="C142" s="145" t="s">
        <v>1229</v>
      </c>
      <c r="D142" s="81"/>
      <c r="E142" s="81"/>
      <c r="F142" s="81"/>
      <c r="G142" s="163"/>
      <c r="H142" s="154">
        <v>0</v>
      </c>
      <c r="I142" s="56"/>
    </row>
    <row r="143" spans="3:11" s="164" customFormat="1">
      <c r="C143" s="123" t="s">
        <v>1230</v>
      </c>
      <c r="D143" s="70" t="s">
        <v>1231</v>
      </c>
      <c r="E143" s="71"/>
      <c r="F143" s="71"/>
      <c r="G143" s="72"/>
      <c r="H143" s="125">
        <f>H142+H140+H136</f>
        <v>422051.5</v>
      </c>
      <c r="I143" s="63"/>
    </row>
    <row r="144" spans="3:11" s="164" customFormat="1">
      <c r="C144" s="123" t="s">
        <v>1232</v>
      </c>
      <c r="D144" s="70" t="s">
        <v>1410</v>
      </c>
      <c r="E144" s="71"/>
      <c r="F144" s="72"/>
      <c r="G144" s="96">
        <f>$M$7</f>
        <v>0.1</v>
      </c>
      <c r="H144" s="125">
        <f>H143*G144</f>
        <v>42205.15</v>
      </c>
      <c r="I144" s="63"/>
    </row>
    <row r="145" spans="3:11" s="164" customFormat="1" ht="15.75" thickBot="1">
      <c r="C145" s="131" t="s">
        <v>1233</v>
      </c>
      <c r="D145" s="132" t="s">
        <v>1234</v>
      </c>
      <c r="E145" s="133"/>
      <c r="F145" s="133"/>
      <c r="G145" s="156"/>
      <c r="H145" s="135">
        <f>SUM(H143:H144)</f>
        <v>464256.65</v>
      </c>
      <c r="I145" s="63"/>
    </row>
    <row r="146" spans="3:11" s="164" customFormat="1" ht="15.75" thickTop="1">
      <c r="C146" s="58"/>
      <c r="D146" s="82"/>
      <c r="E146" s="82"/>
      <c r="F146" s="82"/>
      <c r="G146" s="82"/>
      <c r="H146" s="83"/>
      <c r="I146" s="63"/>
    </row>
    <row r="147" spans="3:11" ht="15.75" thickBot="1">
      <c r="C147" s="224" t="s">
        <v>1533</v>
      </c>
      <c r="D147" s="226"/>
      <c r="E147" s="226"/>
      <c r="F147" s="226"/>
      <c r="G147" s="226"/>
      <c r="H147" s="226"/>
      <c r="I147" s="317">
        <f>ROUNDDOWN(H163,-2)</f>
        <v>13600</v>
      </c>
    </row>
    <row r="148" spans="3:11" ht="29.25" thickTop="1">
      <c r="C148" s="120" t="s">
        <v>1207</v>
      </c>
      <c r="D148" s="121" t="s">
        <v>1208</v>
      </c>
      <c r="E148" s="121" t="s">
        <v>1209</v>
      </c>
      <c r="F148" s="121" t="s">
        <v>1210</v>
      </c>
      <c r="G148" s="121" t="s">
        <v>1211</v>
      </c>
      <c r="H148" s="122" t="s">
        <v>1212</v>
      </c>
    </row>
    <row r="149" spans="3:11">
      <c r="C149" s="142" t="s">
        <v>1213</v>
      </c>
      <c r="D149" s="60" t="s">
        <v>1214</v>
      </c>
      <c r="E149" s="74"/>
      <c r="F149" s="74"/>
      <c r="G149" s="74"/>
      <c r="H149" s="147"/>
    </row>
    <row r="150" spans="3:11">
      <c r="C150" s="143">
        <v>1</v>
      </c>
      <c r="D150" s="60" t="s">
        <v>5</v>
      </c>
      <c r="E150" s="73" t="s">
        <v>6</v>
      </c>
      <c r="F150" s="94">
        <v>2.5000000000000001E-2</v>
      </c>
      <c r="G150" s="65">
        <f>VLOOKUP(D150,upahbahan,3,FALSE)</f>
        <v>100000</v>
      </c>
      <c r="H150" s="125">
        <f>F150*G150</f>
        <v>2500</v>
      </c>
    </row>
    <row r="151" spans="3:11">
      <c r="C151" s="143">
        <v>2</v>
      </c>
      <c r="D151" s="60" t="s">
        <v>8</v>
      </c>
      <c r="E151" s="73" t="s">
        <v>6</v>
      </c>
      <c r="F151" s="94">
        <v>2.5000000000000001E-2</v>
      </c>
      <c r="G151" s="65">
        <f>VLOOKUP(D151,upahbahan,3,FALSE)</f>
        <v>145000</v>
      </c>
      <c r="H151" s="125">
        <f>F151*G151</f>
        <v>3625</v>
      </c>
    </row>
    <row r="152" spans="3:11">
      <c r="C152" s="143">
        <v>3</v>
      </c>
      <c r="D152" s="60" t="s">
        <v>18</v>
      </c>
      <c r="E152" s="73" t="s">
        <v>6</v>
      </c>
      <c r="F152" s="94">
        <v>2.5000000000000001E-3</v>
      </c>
      <c r="G152" s="65">
        <f>VLOOKUP(D152,upahbahan,3,FALSE)</f>
        <v>150000</v>
      </c>
      <c r="H152" s="125">
        <f>F152*G152</f>
        <v>375</v>
      </c>
    </row>
    <row r="153" spans="3:11">
      <c r="C153" s="143">
        <v>4</v>
      </c>
      <c r="D153" s="60" t="s">
        <v>19</v>
      </c>
      <c r="E153" s="73" t="s">
        <v>6</v>
      </c>
      <c r="F153" s="94">
        <v>8.0000000000000004E-4</v>
      </c>
      <c r="G153" s="65">
        <f>VLOOKUP(D153,upahbahan,3,FALSE)</f>
        <v>145000</v>
      </c>
      <c r="H153" s="125">
        <f>F153*G153</f>
        <v>116</v>
      </c>
    </row>
    <row r="154" spans="3:11" ht="15.75" customHeight="1">
      <c r="C154" s="145" t="s">
        <v>1220</v>
      </c>
      <c r="D154" s="81"/>
      <c r="E154" s="81"/>
      <c r="F154" s="220"/>
      <c r="G154" s="221"/>
      <c r="H154" s="125">
        <f>SUM(H150:H153)</f>
        <v>6616</v>
      </c>
      <c r="I154" s="223"/>
      <c r="J154" s="223"/>
      <c r="K154" s="223"/>
    </row>
    <row r="155" spans="3:11">
      <c r="C155" s="142" t="s">
        <v>1221</v>
      </c>
      <c r="D155" s="60" t="s">
        <v>1222</v>
      </c>
      <c r="E155" s="74"/>
      <c r="F155" s="74"/>
      <c r="G155" s="74"/>
      <c r="H155" s="147"/>
    </row>
    <row r="156" spans="3:11">
      <c r="C156" s="143">
        <v>1</v>
      </c>
      <c r="D156" s="60" t="s">
        <v>131</v>
      </c>
      <c r="E156" s="73" t="s">
        <v>114</v>
      </c>
      <c r="F156" s="230">
        <v>1.1000000000000001</v>
      </c>
      <c r="G156" s="65">
        <f>VLOOKUP(D156,upahbahan,3,FALSE)</f>
        <v>5000</v>
      </c>
      <c r="H156" s="125">
        <f>F156*G156</f>
        <v>5500</v>
      </c>
    </row>
    <row r="157" spans="3:11">
      <c r="C157" s="143">
        <v>2</v>
      </c>
      <c r="D157" s="60" t="s">
        <v>273</v>
      </c>
      <c r="E157" s="73" t="s">
        <v>66</v>
      </c>
      <c r="F157" s="230">
        <v>0.01</v>
      </c>
      <c r="G157" s="65">
        <f>VLOOKUP(D157,upahbahan,3,FALSE)</f>
        <v>30090</v>
      </c>
      <c r="H157" s="125">
        <f>F157*G157</f>
        <v>300.90000000000003</v>
      </c>
    </row>
    <row r="158" spans="3:11" ht="15.75" customHeight="1">
      <c r="C158" s="145" t="s">
        <v>1226</v>
      </c>
      <c r="D158" s="81"/>
      <c r="E158" s="81"/>
      <c r="F158" s="81"/>
      <c r="G158" s="163"/>
      <c r="H158" s="125">
        <f>SUM(H156:H157)</f>
        <v>5800.9</v>
      </c>
      <c r="I158" s="56"/>
    </row>
    <row r="159" spans="3:11">
      <c r="C159" s="153" t="s">
        <v>1227</v>
      </c>
      <c r="D159" s="60" t="s">
        <v>1228</v>
      </c>
      <c r="E159" s="74"/>
      <c r="F159" s="74"/>
      <c r="G159" s="74"/>
      <c r="H159" s="147"/>
      <c r="I159" s="56"/>
    </row>
    <row r="160" spans="3:11" ht="15.75" customHeight="1">
      <c r="C160" s="145" t="s">
        <v>1229</v>
      </c>
      <c r="D160" s="81"/>
      <c r="E160" s="81"/>
      <c r="F160" s="81"/>
      <c r="G160" s="163"/>
      <c r="H160" s="154">
        <v>0</v>
      </c>
      <c r="I160" s="56"/>
    </row>
    <row r="161" spans="3:11" s="164" customFormat="1">
      <c r="C161" s="123" t="s">
        <v>1230</v>
      </c>
      <c r="D161" s="70" t="s">
        <v>1231</v>
      </c>
      <c r="E161" s="71"/>
      <c r="F161" s="71"/>
      <c r="G161" s="72"/>
      <c r="H161" s="125">
        <f>H160+H158+H154</f>
        <v>12416.9</v>
      </c>
      <c r="I161" s="63"/>
    </row>
    <row r="162" spans="3:11" s="164" customFormat="1">
      <c r="C162" s="123" t="s">
        <v>1232</v>
      </c>
      <c r="D162" s="70" t="s">
        <v>1410</v>
      </c>
      <c r="E162" s="71"/>
      <c r="F162" s="72"/>
      <c r="G162" s="96">
        <f>$M$7</f>
        <v>0.1</v>
      </c>
      <c r="H162" s="125">
        <f>H161*G162</f>
        <v>1241.69</v>
      </c>
      <c r="I162" s="63"/>
    </row>
    <row r="163" spans="3:11" s="164" customFormat="1" ht="15.75" thickBot="1">
      <c r="C163" s="131" t="s">
        <v>1233</v>
      </c>
      <c r="D163" s="132" t="s">
        <v>1234</v>
      </c>
      <c r="E163" s="133"/>
      <c r="F163" s="133"/>
      <c r="G163" s="156"/>
      <c r="H163" s="135">
        <f>SUM(H161:H162)</f>
        <v>13658.59</v>
      </c>
      <c r="I163" s="63"/>
    </row>
    <row r="164" spans="3:11" s="164" customFormat="1" ht="15.75" thickTop="1">
      <c r="C164" s="58"/>
      <c r="D164" s="82"/>
      <c r="E164" s="82"/>
      <c r="F164" s="82"/>
      <c r="G164" s="82"/>
      <c r="H164" s="83"/>
      <c r="I164" s="63"/>
    </row>
    <row r="165" spans="3:11" ht="15.75" thickBot="1">
      <c r="C165" s="224" t="s">
        <v>1534</v>
      </c>
      <c r="D165" s="226"/>
      <c r="E165" s="226"/>
      <c r="F165" s="226"/>
      <c r="G165" s="226"/>
      <c r="H165" s="226"/>
      <c r="I165" s="317">
        <f>ROUNDDOWN(H181,-2)</f>
        <v>26700</v>
      </c>
    </row>
    <row r="166" spans="3:11" ht="29.25" thickTop="1">
      <c r="C166" s="120" t="s">
        <v>1207</v>
      </c>
      <c r="D166" s="121" t="s">
        <v>1208</v>
      </c>
      <c r="E166" s="121" t="s">
        <v>1209</v>
      </c>
      <c r="F166" s="121" t="s">
        <v>1210</v>
      </c>
      <c r="G166" s="121" t="s">
        <v>1211</v>
      </c>
      <c r="H166" s="122" t="s">
        <v>1212</v>
      </c>
    </row>
    <row r="167" spans="3:11">
      <c r="C167" s="142" t="s">
        <v>1213</v>
      </c>
      <c r="D167" s="60" t="s">
        <v>1214</v>
      </c>
      <c r="E167" s="74"/>
      <c r="F167" s="74"/>
      <c r="G167" s="74"/>
      <c r="H167" s="147"/>
    </row>
    <row r="168" spans="3:11">
      <c r="C168" s="143">
        <v>1</v>
      </c>
      <c r="D168" s="60" t="s">
        <v>5</v>
      </c>
      <c r="E168" s="73" t="s">
        <v>6</v>
      </c>
      <c r="F168" s="94">
        <v>2.5000000000000001E-2</v>
      </c>
      <c r="G168" s="65">
        <f>VLOOKUP(D168,upahbahan,3,FALSE)</f>
        <v>100000</v>
      </c>
      <c r="H168" s="125">
        <f>F168*G168</f>
        <v>2500</v>
      </c>
    </row>
    <row r="169" spans="3:11">
      <c r="C169" s="143">
        <v>2</v>
      </c>
      <c r="D169" s="60" t="s">
        <v>8</v>
      </c>
      <c r="E169" s="73" t="s">
        <v>6</v>
      </c>
      <c r="F169" s="94">
        <v>2.5000000000000001E-2</v>
      </c>
      <c r="G169" s="65">
        <f>VLOOKUP(D169,upahbahan,3,FALSE)</f>
        <v>145000</v>
      </c>
      <c r="H169" s="125">
        <f>F169*G169</f>
        <v>3625</v>
      </c>
    </row>
    <row r="170" spans="3:11">
      <c r="C170" s="143">
        <v>3</v>
      </c>
      <c r="D170" s="60" t="s">
        <v>18</v>
      </c>
      <c r="E170" s="73" t="s">
        <v>6</v>
      </c>
      <c r="F170" s="94">
        <v>2.5000000000000001E-3</v>
      </c>
      <c r="G170" s="65">
        <f>VLOOKUP(D170,upahbahan,3,FALSE)</f>
        <v>150000</v>
      </c>
      <c r="H170" s="125">
        <f>F170*G170</f>
        <v>375</v>
      </c>
    </row>
    <row r="171" spans="3:11">
      <c r="C171" s="143">
        <v>4</v>
      </c>
      <c r="D171" s="60" t="s">
        <v>19</v>
      </c>
      <c r="E171" s="73" t="s">
        <v>6</v>
      </c>
      <c r="F171" s="94">
        <v>8.0000000000000004E-4</v>
      </c>
      <c r="G171" s="65">
        <f>VLOOKUP(D171,upahbahan,3,FALSE)</f>
        <v>145000</v>
      </c>
      <c r="H171" s="125">
        <f>F171*G171</f>
        <v>116</v>
      </c>
    </row>
    <row r="172" spans="3:11" ht="15.75" customHeight="1">
      <c r="C172" s="145" t="s">
        <v>1220</v>
      </c>
      <c r="D172" s="81"/>
      <c r="E172" s="81"/>
      <c r="F172" s="220"/>
      <c r="G172" s="221"/>
      <c r="H172" s="125">
        <f>SUM(H168:H171)</f>
        <v>6616</v>
      </c>
      <c r="I172" s="223"/>
      <c r="J172" s="223"/>
      <c r="K172" s="223"/>
    </row>
    <row r="173" spans="3:11">
      <c r="C173" s="142" t="s">
        <v>1221</v>
      </c>
      <c r="D173" s="60" t="s">
        <v>1222</v>
      </c>
      <c r="E173" s="74"/>
      <c r="F173" s="74"/>
      <c r="G173" s="74"/>
      <c r="H173" s="147"/>
    </row>
    <row r="174" spans="3:11">
      <c r="C174" s="143">
        <v>1</v>
      </c>
      <c r="D174" s="60" t="s">
        <v>392</v>
      </c>
      <c r="E174" s="73" t="s">
        <v>114</v>
      </c>
      <c r="F174" s="230">
        <v>1.1000000000000001</v>
      </c>
      <c r="G174" s="65">
        <f>VLOOKUP(D174,upahbahan,3,FALSE)</f>
        <v>15800</v>
      </c>
      <c r="H174" s="125">
        <f>F174*G174</f>
        <v>17380</v>
      </c>
    </row>
    <row r="175" spans="3:11">
      <c r="C175" s="143">
        <v>2</v>
      </c>
      <c r="D175" s="60" t="s">
        <v>273</v>
      </c>
      <c r="E175" s="73" t="s">
        <v>66</v>
      </c>
      <c r="F175" s="230">
        <v>0.01</v>
      </c>
      <c r="G175" s="65">
        <f>VLOOKUP(D175,upahbahan,3,FALSE)</f>
        <v>30090</v>
      </c>
      <c r="H175" s="125">
        <f>F175*G175</f>
        <v>300.90000000000003</v>
      </c>
    </row>
    <row r="176" spans="3:11" ht="15.75" customHeight="1">
      <c r="C176" s="145" t="s">
        <v>1226</v>
      </c>
      <c r="D176" s="81"/>
      <c r="E176" s="81"/>
      <c r="F176" s="81"/>
      <c r="G176" s="163"/>
      <c r="H176" s="125">
        <f>SUM(H174:H175)</f>
        <v>17680.900000000001</v>
      </c>
      <c r="I176" s="56"/>
    </row>
    <row r="177" spans="3:11">
      <c r="C177" s="153" t="s">
        <v>1227</v>
      </c>
      <c r="D177" s="60" t="s">
        <v>1228</v>
      </c>
      <c r="E177" s="74"/>
      <c r="F177" s="74"/>
      <c r="G177" s="74"/>
      <c r="H177" s="147"/>
      <c r="I177" s="56"/>
    </row>
    <row r="178" spans="3:11" ht="15.75" customHeight="1">
      <c r="C178" s="145" t="s">
        <v>1229</v>
      </c>
      <c r="D178" s="81"/>
      <c r="E178" s="81"/>
      <c r="F178" s="81"/>
      <c r="G178" s="163"/>
      <c r="H178" s="154">
        <v>0</v>
      </c>
      <c r="I178" s="56"/>
    </row>
    <row r="179" spans="3:11" s="164" customFormat="1">
      <c r="C179" s="123" t="s">
        <v>1230</v>
      </c>
      <c r="D179" s="70" t="s">
        <v>1231</v>
      </c>
      <c r="E179" s="71"/>
      <c r="F179" s="71"/>
      <c r="G179" s="72"/>
      <c r="H179" s="125">
        <f>H178+H176+H172</f>
        <v>24296.9</v>
      </c>
      <c r="I179" s="63"/>
    </row>
    <row r="180" spans="3:11" s="164" customFormat="1">
      <c r="C180" s="123" t="s">
        <v>1232</v>
      </c>
      <c r="D180" s="70" t="s">
        <v>1410</v>
      </c>
      <c r="E180" s="71"/>
      <c r="F180" s="72"/>
      <c r="G180" s="96">
        <f>$M$7</f>
        <v>0.1</v>
      </c>
      <c r="H180" s="125">
        <f>H179*G180</f>
        <v>2429.69</v>
      </c>
      <c r="I180" s="63"/>
    </row>
    <row r="181" spans="3:11" s="164" customFormat="1" ht="15.75" thickBot="1">
      <c r="C181" s="131" t="s">
        <v>1233</v>
      </c>
      <c r="D181" s="132" t="s">
        <v>1234</v>
      </c>
      <c r="E181" s="133"/>
      <c r="F181" s="133"/>
      <c r="G181" s="156"/>
      <c r="H181" s="135">
        <f>SUM(H179:H180)</f>
        <v>26726.59</v>
      </c>
      <c r="I181" s="63"/>
    </row>
    <row r="182" spans="3:11" s="164" customFormat="1" ht="15.75" thickTop="1">
      <c r="C182" s="58"/>
      <c r="D182" s="82"/>
      <c r="E182" s="82"/>
      <c r="F182" s="82"/>
      <c r="G182" s="82"/>
      <c r="H182" s="83"/>
      <c r="I182" s="63"/>
    </row>
    <row r="183" spans="3:11" ht="15.75" thickBot="1">
      <c r="C183" s="224" t="s">
        <v>1535</v>
      </c>
      <c r="D183" s="226"/>
      <c r="E183" s="226"/>
      <c r="F183" s="226"/>
      <c r="G183" s="226"/>
      <c r="H183" s="226"/>
      <c r="I183" s="317">
        <f>ROUNDDOWN(H199,-2)</f>
        <v>414600</v>
      </c>
    </row>
    <row r="184" spans="3:11" ht="29.25" thickTop="1">
      <c r="C184" s="120" t="s">
        <v>1207</v>
      </c>
      <c r="D184" s="121" t="s">
        <v>1208</v>
      </c>
      <c r="E184" s="121" t="s">
        <v>1209</v>
      </c>
      <c r="F184" s="121" t="s">
        <v>1210</v>
      </c>
      <c r="G184" s="121" t="s">
        <v>1211</v>
      </c>
      <c r="H184" s="122" t="s">
        <v>1212</v>
      </c>
    </row>
    <row r="185" spans="3:11">
      <c r="C185" s="142" t="s">
        <v>1213</v>
      </c>
      <c r="D185" s="60" t="s">
        <v>1214</v>
      </c>
      <c r="E185" s="74"/>
      <c r="F185" s="74"/>
      <c r="G185" s="74"/>
      <c r="H185" s="147"/>
    </row>
    <row r="186" spans="3:11">
      <c r="C186" s="143">
        <v>1</v>
      </c>
      <c r="D186" s="60" t="s">
        <v>5</v>
      </c>
      <c r="E186" s="73" t="s">
        <v>6</v>
      </c>
      <c r="F186" s="94">
        <v>0.1</v>
      </c>
      <c r="G186" s="65">
        <f>VLOOKUP(D186,upahbahan,3,FALSE)</f>
        <v>100000</v>
      </c>
      <c r="H186" s="125">
        <f>F186*G186</f>
        <v>10000</v>
      </c>
    </row>
    <row r="187" spans="3:11">
      <c r="C187" s="143">
        <v>2</v>
      </c>
      <c r="D187" s="60" t="s">
        <v>8</v>
      </c>
      <c r="E187" s="73" t="s">
        <v>6</v>
      </c>
      <c r="F187" s="94">
        <v>0.1</v>
      </c>
      <c r="G187" s="65">
        <f>VLOOKUP(D187,upahbahan,3,FALSE)</f>
        <v>145000</v>
      </c>
      <c r="H187" s="125">
        <f>F187*G187</f>
        <v>14500</v>
      </c>
    </row>
    <row r="188" spans="3:11">
      <c r="C188" s="143">
        <v>3</v>
      </c>
      <c r="D188" s="60" t="s">
        <v>18</v>
      </c>
      <c r="E188" s="73" t="s">
        <v>6</v>
      </c>
      <c r="F188" s="94">
        <v>0.01</v>
      </c>
      <c r="G188" s="65">
        <f>VLOOKUP(D188,upahbahan,3,FALSE)</f>
        <v>150000</v>
      </c>
      <c r="H188" s="125">
        <f>F188*G188</f>
        <v>1500</v>
      </c>
    </row>
    <row r="189" spans="3:11">
      <c r="C189" s="143">
        <v>4</v>
      </c>
      <c r="D189" s="60" t="s">
        <v>19</v>
      </c>
      <c r="E189" s="73" t="s">
        <v>6</v>
      </c>
      <c r="F189" s="94">
        <v>3.3E-3</v>
      </c>
      <c r="G189" s="65">
        <f>VLOOKUP(D189,upahbahan,3,FALSE)</f>
        <v>145000</v>
      </c>
      <c r="H189" s="125">
        <f>F189*G189</f>
        <v>478.5</v>
      </c>
    </row>
    <row r="190" spans="3:11" ht="15.75" customHeight="1">
      <c r="C190" s="145" t="s">
        <v>1220</v>
      </c>
      <c r="D190" s="81"/>
      <c r="E190" s="81"/>
      <c r="F190" s="220"/>
      <c r="G190" s="221"/>
      <c r="H190" s="125">
        <f>SUM(H186:H189)</f>
        <v>26478.5</v>
      </c>
      <c r="I190" s="223"/>
      <c r="J190" s="223"/>
      <c r="K190" s="223"/>
    </row>
    <row r="191" spans="3:11">
      <c r="C191" s="142" t="s">
        <v>1221</v>
      </c>
      <c r="D191" s="60" t="s">
        <v>1222</v>
      </c>
      <c r="E191" s="74"/>
      <c r="F191" s="74"/>
      <c r="G191" s="74"/>
      <c r="H191" s="147"/>
    </row>
    <row r="192" spans="3:11">
      <c r="C192" s="143">
        <v>1</v>
      </c>
      <c r="D192" s="78" t="s">
        <v>781</v>
      </c>
      <c r="E192" s="69" t="s">
        <v>133</v>
      </c>
      <c r="F192" s="94">
        <v>1.75</v>
      </c>
      <c r="G192" s="65">
        <f>VLOOKUP(D192,upahbahan,3,FALSE)</f>
        <v>200000</v>
      </c>
      <c r="H192" s="125">
        <f>F192*G192</f>
        <v>350000</v>
      </c>
    </row>
    <row r="193" spans="3:11">
      <c r="C193" s="143">
        <v>2</v>
      </c>
      <c r="D193" s="78" t="s">
        <v>273</v>
      </c>
      <c r="E193" s="69" t="s">
        <v>66</v>
      </c>
      <c r="F193" s="94">
        <v>1.4500000000000001E-2</v>
      </c>
      <c r="G193" s="65">
        <f>VLOOKUP(D193,upahbahan,3,FALSE)</f>
        <v>30090</v>
      </c>
      <c r="H193" s="125">
        <f>F193*G193</f>
        <v>436.30500000000001</v>
      </c>
    </row>
    <row r="194" spans="3:11" ht="15.75" customHeight="1">
      <c r="C194" s="145" t="s">
        <v>1226</v>
      </c>
      <c r="D194" s="81"/>
      <c r="E194" s="81"/>
      <c r="F194" s="81"/>
      <c r="G194" s="163"/>
      <c r="H194" s="125">
        <f>SUM(H192:H193)</f>
        <v>350436.30499999999</v>
      </c>
      <c r="I194" s="56"/>
    </row>
    <row r="195" spans="3:11">
      <c r="C195" s="153" t="s">
        <v>1227</v>
      </c>
      <c r="D195" s="60" t="s">
        <v>1228</v>
      </c>
      <c r="E195" s="74"/>
      <c r="F195" s="74"/>
      <c r="G195" s="74"/>
      <c r="H195" s="147"/>
      <c r="I195" s="56"/>
    </row>
    <row r="196" spans="3:11" ht="15.75" customHeight="1">
      <c r="C196" s="145" t="s">
        <v>1229</v>
      </c>
      <c r="D196" s="81"/>
      <c r="E196" s="81"/>
      <c r="F196" s="81"/>
      <c r="G196" s="163"/>
      <c r="H196" s="154">
        <v>0</v>
      </c>
      <c r="I196" s="56"/>
    </row>
    <row r="197" spans="3:11" s="164" customFormat="1">
      <c r="C197" s="123" t="s">
        <v>1230</v>
      </c>
      <c r="D197" s="70" t="s">
        <v>1231</v>
      </c>
      <c r="E197" s="71"/>
      <c r="F197" s="71"/>
      <c r="G197" s="72"/>
      <c r="H197" s="125">
        <f>H196+H194+H190</f>
        <v>376914.80499999999</v>
      </c>
      <c r="I197" s="63"/>
    </row>
    <row r="198" spans="3:11" s="164" customFormat="1">
      <c r="C198" s="123" t="s">
        <v>1232</v>
      </c>
      <c r="D198" s="70" t="s">
        <v>1410</v>
      </c>
      <c r="E198" s="71"/>
      <c r="F198" s="72"/>
      <c r="G198" s="96">
        <f>$M$7</f>
        <v>0.1</v>
      </c>
      <c r="H198" s="125">
        <f>H197*G198</f>
        <v>37691.480499999998</v>
      </c>
      <c r="I198" s="63"/>
    </row>
    <row r="199" spans="3:11" s="164" customFormat="1" ht="15.75" thickBot="1">
      <c r="C199" s="131" t="s">
        <v>1233</v>
      </c>
      <c r="D199" s="132" t="s">
        <v>1234</v>
      </c>
      <c r="E199" s="133"/>
      <c r="F199" s="133"/>
      <c r="G199" s="156"/>
      <c r="H199" s="135">
        <f>SUM(H197:H198)</f>
        <v>414606.2855</v>
      </c>
      <c r="I199" s="63"/>
    </row>
    <row r="200" spans="3:11" s="164" customFormat="1" ht="15.75" thickTop="1">
      <c r="C200" s="58"/>
      <c r="D200" s="82"/>
      <c r="E200" s="82"/>
      <c r="F200" s="82"/>
      <c r="G200" s="82"/>
      <c r="H200" s="83"/>
      <c r="I200" s="63"/>
    </row>
    <row r="201" spans="3:11" ht="15.75" thickBot="1">
      <c r="C201" s="224" t="s">
        <v>1536</v>
      </c>
      <c r="D201" s="226"/>
      <c r="E201" s="226"/>
      <c r="F201" s="226"/>
      <c r="G201" s="226"/>
      <c r="H201" s="226"/>
      <c r="I201" s="317">
        <f>ROUNDDOWN(H217,-2)</f>
        <v>131900</v>
      </c>
    </row>
    <row r="202" spans="3:11" ht="29.25" thickTop="1">
      <c r="C202" s="120" t="s">
        <v>1207</v>
      </c>
      <c r="D202" s="121" t="s">
        <v>1208</v>
      </c>
      <c r="E202" s="121" t="s">
        <v>1209</v>
      </c>
      <c r="F202" s="121" t="s">
        <v>1210</v>
      </c>
      <c r="G202" s="121" t="s">
        <v>1211</v>
      </c>
      <c r="H202" s="122" t="s">
        <v>1212</v>
      </c>
    </row>
    <row r="203" spans="3:11">
      <c r="C203" s="142" t="s">
        <v>1213</v>
      </c>
      <c r="D203" s="60" t="s">
        <v>1214</v>
      </c>
      <c r="E203" s="74"/>
      <c r="F203" s="74"/>
      <c r="G203" s="74"/>
      <c r="H203" s="147"/>
    </row>
    <row r="204" spans="3:11">
      <c r="C204" s="143">
        <v>1</v>
      </c>
      <c r="D204" s="60" t="s">
        <v>5</v>
      </c>
      <c r="E204" s="73" t="s">
        <v>6</v>
      </c>
      <c r="F204" s="94">
        <v>0.35</v>
      </c>
      <c r="G204" s="65">
        <f>VLOOKUP(D204,upahbahan,3,FALSE)</f>
        <v>100000</v>
      </c>
      <c r="H204" s="125">
        <f>F204*G204</f>
        <v>35000</v>
      </c>
    </row>
    <row r="205" spans="3:11">
      <c r="C205" s="143">
        <v>2</v>
      </c>
      <c r="D205" s="60" t="s">
        <v>9</v>
      </c>
      <c r="E205" s="73" t="s">
        <v>6</v>
      </c>
      <c r="F205" s="94">
        <v>0.35</v>
      </c>
      <c r="G205" s="65">
        <f>VLOOKUP(D205,upahbahan,3,FALSE)</f>
        <v>145000</v>
      </c>
      <c r="H205" s="125">
        <f>F205*G205</f>
        <v>50750</v>
      </c>
    </row>
    <row r="206" spans="3:11">
      <c r="C206" s="143">
        <v>3</v>
      </c>
      <c r="D206" s="60" t="s">
        <v>18</v>
      </c>
      <c r="E206" s="73" t="s">
        <v>6</v>
      </c>
      <c r="F206" s="94">
        <v>3.5000000000000003E-2</v>
      </c>
      <c r="G206" s="65">
        <f>VLOOKUP(D206,upahbahan,3,FALSE)</f>
        <v>150000</v>
      </c>
      <c r="H206" s="125">
        <f>F206*G206</f>
        <v>5250.0000000000009</v>
      </c>
    </row>
    <row r="207" spans="3:11">
      <c r="C207" s="143">
        <v>4</v>
      </c>
      <c r="D207" s="60" t="s">
        <v>19</v>
      </c>
      <c r="E207" s="73" t="s">
        <v>6</v>
      </c>
      <c r="F207" s="94">
        <v>1.17E-2</v>
      </c>
      <c r="G207" s="65">
        <f>VLOOKUP(D207,upahbahan,3,FALSE)</f>
        <v>145000</v>
      </c>
      <c r="H207" s="125">
        <f>F207*G207</f>
        <v>1696.5</v>
      </c>
    </row>
    <row r="208" spans="3:11" ht="15.75" customHeight="1">
      <c r="C208" s="145" t="s">
        <v>1220</v>
      </c>
      <c r="D208" s="81"/>
      <c r="E208" s="81"/>
      <c r="F208" s="220"/>
      <c r="G208" s="221"/>
      <c r="H208" s="125">
        <f>SUM(H204:H207)</f>
        <v>92696.5</v>
      </c>
      <c r="I208" s="223"/>
      <c r="J208" s="223"/>
      <c r="K208" s="223"/>
    </row>
    <row r="209" spans="3:9">
      <c r="C209" s="142" t="s">
        <v>1221</v>
      </c>
      <c r="D209" s="60" t="s">
        <v>1222</v>
      </c>
      <c r="E209" s="74"/>
      <c r="F209" s="74"/>
      <c r="G209" s="74"/>
      <c r="H209" s="147"/>
    </row>
    <row r="210" spans="3:9">
      <c r="C210" s="143">
        <v>1</v>
      </c>
      <c r="D210" s="78" t="s">
        <v>226</v>
      </c>
      <c r="E210" s="69" t="s">
        <v>114</v>
      </c>
      <c r="F210" s="75">
        <v>4</v>
      </c>
      <c r="G210" s="65">
        <f>VLOOKUP(D210,upahbahan,3,FALSE)</f>
        <v>6250</v>
      </c>
      <c r="H210" s="125">
        <f>F210*G210</f>
        <v>25000</v>
      </c>
    </row>
    <row r="211" spans="3:9">
      <c r="C211" s="143">
        <v>2</v>
      </c>
      <c r="D211" s="78" t="s">
        <v>258</v>
      </c>
      <c r="E211" s="69" t="s">
        <v>66</v>
      </c>
      <c r="F211" s="75">
        <v>0.05</v>
      </c>
      <c r="G211" s="65">
        <f>VLOOKUP(D211,upahbahan,3,FALSE)</f>
        <v>45550</v>
      </c>
      <c r="H211" s="125">
        <f>F211*G211</f>
        <v>2277.5</v>
      </c>
    </row>
    <row r="212" spans="3:9" ht="15.75" customHeight="1">
      <c r="C212" s="145" t="s">
        <v>1226</v>
      </c>
      <c r="D212" s="81"/>
      <c r="E212" s="81"/>
      <c r="F212" s="81"/>
      <c r="G212" s="163"/>
      <c r="H212" s="125">
        <f>SUM(H210:H211)</f>
        <v>27277.5</v>
      </c>
      <c r="I212" s="56"/>
    </row>
    <row r="213" spans="3:9">
      <c r="C213" s="153" t="s">
        <v>1227</v>
      </c>
      <c r="D213" s="60" t="s">
        <v>1228</v>
      </c>
      <c r="E213" s="74"/>
      <c r="F213" s="74"/>
      <c r="G213" s="74"/>
      <c r="H213" s="147"/>
      <c r="I213" s="56"/>
    </row>
    <row r="214" spans="3:9" ht="15.75" customHeight="1">
      <c r="C214" s="145" t="s">
        <v>1229</v>
      </c>
      <c r="D214" s="81"/>
      <c r="E214" s="81"/>
      <c r="F214" s="81"/>
      <c r="G214" s="163"/>
      <c r="H214" s="154">
        <v>0</v>
      </c>
      <c r="I214" s="56"/>
    </row>
    <row r="215" spans="3:9" s="164" customFormat="1">
      <c r="C215" s="123" t="s">
        <v>1230</v>
      </c>
      <c r="D215" s="70" t="s">
        <v>1231</v>
      </c>
      <c r="E215" s="71"/>
      <c r="F215" s="71"/>
      <c r="G215" s="72"/>
      <c r="H215" s="125">
        <f>H214+H212+H208</f>
        <v>119974</v>
      </c>
      <c r="I215" s="63"/>
    </row>
    <row r="216" spans="3:9" s="164" customFormat="1">
      <c r="C216" s="123" t="s">
        <v>1232</v>
      </c>
      <c r="D216" s="70" t="s">
        <v>1410</v>
      </c>
      <c r="E216" s="71"/>
      <c r="F216" s="72"/>
      <c r="G216" s="96">
        <f>$M$7</f>
        <v>0.1</v>
      </c>
      <c r="H216" s="125">
        <f>H215*G216</f>
        <v>11997.400000000001</v>
      </c>
      <c r="I216" s="63"/>
    </row>
    <row r="217" spans="3:9" s="164" customFormat="1" ht="15.75" thickBot="1">
      <c r="C217" s="131" t="s">
        <v>1233</v>
      </c>
      <c r="D217" s="132" t="s">
        <v>1234</v>
      </c>
      <c r="E217" s="133"/>
      <c r="F217" s="133"/>
      <c r="G217" s="156"/>
      <c r="H217" s="135">
        <f>SUM(H215:H216)</f>
        <v>131971.4</v>
      </c>
      <c r="I217" s="63"/>
    </row>
    <row r="218" spans="3:9" s="164" customFormat="1" ht="15.75" thickTop="1">
      <c r="C218" s="58"/>
      <c r="D218" s="82"/>
      <c r="E218" s="82"/>
      <c r="F218" s="82"/>
      <c r="G218" s="82"/>
      <c r="H218" s="83"/>
      <c r="I218" s="63"/>
    </row>
    <row r="219" spans="3:9" ht="15.75" thickBot="1">
      <c r="C219" s="224" t="s">
        <v>1537</v>
      </c>
      <c r="D219" s="226"/>
      <c r="E219" s="226"/>
      <c r="F219" s="226"/>
      <c r="G219" s="226"/>
      <c r="H219" s="226"/>
      <c r="I219" s="317">
        <f>ROUNDDOWN(H235,-2)</f>
        <v>265000</v>
      </c>
    </row>
    <row r="220" spans="3:9" ht="29.25" thickTop="1">
      <c r="C220" s="120" t="s">
        <v>1207</v>
      </c>
      <c r="D220" s="121" t="s">
        <v>1208</v>
      </c>
      <c r="E220" s="121" t="s">
        <v>1209</v>
      </c>
      <c r="F220" s="121" t="s">
        <v>1210</v>
      </c>
      <c r="G220" s="121" t="s">
        <v>1211</v>
      </c>
      <c r="H220" s="122" t="s">
        <v>1212</v>
      </c>
    </row>
    <row r="221" spans="3:9">
      <c r="C221" s="142" t="s">
        <v>1213</v>
      </c>
      <c r="D221" s="60" t="s">
        <v>1214</v>
      </c>
      <c r="E221" s="74"/>
      <c r="F221" s="74"/>
      <c r="G221" s="74"/>
      <c r="H221" s="147"/>
    </row>
    <row r="222" spans="3:9">
      <c r="C222" s="143">
        <v>1</v>
      </c>
      <c r="D222" s="60" t="s">
        <v>5</v>
      </c>
      <c r="E222" s="73" t="s">
        <v>6</v>
      </c>
      <c r="F222" s="75">
        <v>0.2</v>
      </c>
      <c r="G222" s="65">
        <f>VLOOKUP(D222,upahbahan,3,FALSE)</f>
        <v>100000</v>
      </c>
      <c r="H222" s="125">
        <f>F222*G222</f>
        <v>20000</v>
      </c>
    </row>
    <row r="223" spans="3:9">
      <c r="C223" s="143">
        <v>2</v>
      </c>
      <c r="D223" s="60" t="s">
        <v>8</v>
      </c>
      <c r="E223" s="73" t="s">
        <v>6</v>
      </c>
      <c r="F223" s="75">
        <v>0.3</v>
      </c>
      <c r="G223" s="65">
        <f>VLOOKUP(D223,upahbahan,3,FALSE)</f>
        <v>145000</v>
      </c>
      <c r="H223" s="125">
        <f>F223*G223</f>
        <v>43500</v>
      </c>
    </row>
    <row r="224" spans="3:9">
      <c r="C224" s="143">
        <v>3</v>
      </c>
      <c r="D224" s="60" t="s">
        <v>18</v>
      </c>
      <c r="E224" s="73" t="s">
        <v>6</v>
      </c>
      <c r="F224" s="75">
        <v>0.03</v>
      </c>
      <c r="G224" s="65">
        <f>VLOOKUP(D224,upahbahan,3,FALSE)</f>
        <v>150000</v>
      </c>
      <c r="H224" s="125">
        <f>F224*G224</f>
        <v>4500</v>
      </c>
    </row>
    <row r="225" spans="3:11">
      <c r="C225" s="143">
        <v>4</v>
      </c>
      <c r="D225" s="60" t="s">
        <v>19</v>
      </c>
      <c r="E225" s="73" t="s">
        <v>6</v>
      </c>
      <c r="F225" s="75">
        <v>0.01</v>
      </c>
      <c r="G225" s="65">
        <f>VLOOKUP(D225,upahbahan,3,FALSE)</f>
        <v>145000</v>
      </c>
      <c r="H225" s="125">
        <f>F225*G225</f>
        <v>1450</v>
      </c>
    </row>
    <row r="226" spans="3:11" ht="15.75" customHeight="1">
      <c r="C226" s="145" t="s">
        <v>1220</v>
      </c>
      <c r="D226" s="81"/>
      <c r="E226" s="81"/>
      <c r="F226" s="220"/>
      <c r="G226" s="221"/>
      <c r="H226" s="125">
        <f>SUM(H222:H225)</f>
        <v>69450</v>
      </c>
      <c r="I226" s="223"/>
      <c r="J226" s="223"/>
      <c r="K226" s="223"/>
    </row>
    <row r="227" spans="3:11">
      <c r="C227" s="142" t="s">
        <v>1221</v>
      </c>
      <c r="D227" s="60" t="s">
        <v>1222</v>
      </c>
      <c r="E227" s="74"/>
      <c r="F227" s="74"/>
      <c r="G227" s="74"/>
      <c r="H227" s="147"/>
    </row>
    <row r="228" spans="3:11">
      <c r="C228" s="143">
        <v>1</v>
      </c>
      <c r="D228" s="78" t="s">
        <v>119</v>
      </c>
      <c r="E228" s="69" t="s">
        <v>42</v>
      </c>
      <c r="F228" s="94">
        <v>1.6299999999999999E-2</v>
      </c>
      <c r="G228" s="65">
        <f>VLOOKUP(D228,upahbahan,3,FALSE)</f>
        <v>10214200</v>
      </c>
      <c r="H228" s="125">
        <f>F228*G228</f>
        <v>166491.46</v>
      </c>
    </row>
    <row r="229" spans="3:11">
      <c r="C229" s="143">
        <v>2</v>
      </c>
      <c r="D229" s="78" t="s">
        <v>267</v>
      </c>
      <c r="E229" s="69" t="s">
        <v>66</v>
      </c>
      <c r="F229" s="94">
        <v>0.25</v>
      </c>
      <c r="G229" s="65">
        <f>VLOOKUP(D229,upahbahan,3,FALSE)</f>
        <v>20000</v>
      </c>
      <c r="H229" s="125">
        <f>F229*G229</f>
        <v>5000</v>
      </c>
    </row>
    <row r="230" spans="3:11" ht="15.75" customHeight="1">
      <c r="C230" s="145" t="s">
        <v>1226</v>
      </c>
      <c r="D230" s="81"/>
      <c r="E230" s="81"/>
      <c r="F230" s="81"/>
      <c r="G230" s="163"/>
      <c r="H230" s="125">
        <f>SUM(H228:H229)</f>
        <v>171491.46</v>
      </c>
      <c r="I230" s="56"/>
    </row>
    <row r="231" spans="3:11">
      <c r="C231" s="153" t="s">
        <v>1227</v>
      </c>
      <c r="D231" s="60" t="s">
        <v>1228</v>
      </c>
      <c r="E231" s="74"/>
      <c r="F231" s="74"/>
      <c r="G231" s="74"/>
      <c r="H231" s="147"/>
      <c r="I231" s="56"/>
    </row>
    <row r="232" spans="3:11" ht="15.75" customHeight="1">
      <c r="C232" s="145" t="s">
        <v>1229</v>
      </c>
      <c r="D232" s="81"/>
      <c r="E232" s="81"/>
      <c r="F232" s="81"/>
      <c r="G232" s="163"/>
      <c r="H232" s="154">
        <v>0</v>
      </c>
      <c r="I232" s="56"/>
    </row>
    <row r="233" spans="3:11" s="164" customFormat="1">
      <c r="C233" s="123" t="s">
        <v>1230</v>
      </c>
      <c r="D233" s="70" t="s">
        <v>1231</v>
      </c>
      <c r="E233" s="71"/>
      <c r="F233" s="71"/>
      <c r="G233" s="72"/>
      <c r="H233" s="125">
        <f>H232+H230+H226</f>
        <v>240941.46</v>
      </c>
      <c r="I233" s="63"/>
    </row>
    <row r="234" spans="3:11" s="164" customFormat="1">
      <c r="C234" s="123" t="s">
        <v>1232</v>
      </c>
      <c r="D234" s="70" t="s">
        <v>1410</v>
      </c>
      <c r="E234" s="71"/>
      <c r="F234" s="72"/>
      <c r="G234" s="96">
        <f>$M$7</f>
        <v>0.1</v>
      </c>
      <c r="H234" s="125">
        <f>H233*G234</f>
        <v>24094.146000000001</v>
      </c>
      <c r="I234" s="63"/>
    </row>
    <row r="235" spans="3:11" s="164" customFormat="1" ht="15.75" thickBot="1">
      <c r="C235" s="131" t="s">
        <v>1233</v>
      </c>
      <c r="D235" s="132" t="s">
        <v>1234</v>
      </c>
      <c r="E235" s="133"/>
      <c r="F235" s="133"/>
      <c r="G235" s="156"/>
      <c r="H235" s="135">
        <f>SUM(H233:H234)</f>
        <v>265035.60599999997</v>
      </c>
      <c r="I235" s="63"/>
    </row>
    <row r="236" spans="3:11" ht="15" thickTop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9AD5-0248-4733-B4C9-CDA22D51A5AF}">
  <dimension ref="C1:M1760"/>
  <sheetViews>
    <sheetView topLeftCell="A1561" zoomScaleNormal="100" workbookViewId="0">
      <selection activeCell="D1578" sqref="D1578"/>
    </sheetView>
    <sheetView workbookViewId="1"/>
  </sheetViews>
  <sheetFormatPr defaultColWidth="8.85546875" defaultRowHeight="14.25"/>
  <cols>
    <col min="1" max="2" width="3.7109375" style="56" customWidth="1"/>
    <col min="3" max="3" width="5" style="63" customWidth="1"/>
    <col min="4" max="4" width="36.7109375" style="63" customWidth="1"/>
    <col min="5" max="5" width="6.42578125" style="63" customWidth="1"/>
    <col min="6" max="6" width="10.7109375" style="63" customWidth="1"/>
    <col min="7" max="7" width="14.28515625" style="63" customWidth="1"/>
    <col min="8" max="8" width="17" style="63" customWidth="1"/>
    <col min="9" max="9" width="17.140625" style="63" bestFit="1" customWidth="1"/>
    <col min="10" max="16384" width="8.85546875" style="56"/>
  </cols>
  <sheetData>
    <row r="1" spans="3:13" ht="6.6" customHeight="1"/>
    <row r="2" spans="3:13" ht="6.6" customHeight="1"/>
    <row r="3" spans="3:13" ht="15">
      <c r="C3" s="228" t="str">
        <f>'[1]Daftar HSP'!A272</f>
        <v>L</v>
      </c>
      <c r="D3" s="229" t="str">
        <f>'[1]Daftar HSP'!B272</f>
        <v>PEKERJAAN PENUTUP LANTAI DAN DINDING</v>
      </c>
      <c r="E3" s="229"/>
      <c r="F3" s="229"/>
      <c r="G3" s="229"/>
      <c r="H3" s="229"/>
    </row>
    <row r="4" spans="3:13" ht="15.75" thickBot="1">
      <c r="C4" s="237" t="s">
        <v>1538</v>
      </c>
      <c r="E4" s="225"/>
      <c r="F4" s="225"/>
      <c r="G4" s="225"/>
      <c r="H4" s="225"/>
      <c r="I4" s="57">
        <f>ROUNDDOWN(H21,-2)</f>
        <v>112100</v>
      </c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1539</v>
      </c>
      <c r="H5" s="122" t="s">
        <v>1212</v>
      </c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56" t="s">
        <v>1265</v>
      </c>
    </row>
    <row r="7" spans="3:13">
      <c r="C7" s="143">
        <v>1</v>
      </c>
      <c r="D7" s="60" t="s">
        <v>5</v>
      </c>
      <c r="E7" s="73" t="s">
        <v>6</v>
      </c>
      <c r="F7" s="184">
        <v>0.1333</v>
      </c>
      <c r="G7" s="65">
        <f>VLOOKUP(D7,upahbahan,3,FALSE)</f>
        <v>100000</v>
      </c>
      <c r="H7" s="125">
        <f t="shared" ref="H7:H10" si="0">F7*G7</f>
        <v>13330</v>
      </c>
      <c r="J7" s="56" t="s">
        <v>1266</v>
      </c>
      <c r="M7" s="66">
        <v>0.1</v>
      </c>
    </row>
    <row r="8" spans="3:13">
      <c r="C8" s="143">
        <v>2</v>
      </c>
      <c r="D8" s="60" t="s">
        <v>7</v>
      </c>
      <c r="E8" s="73" t="s">
        <v>6</v>
      </c>
      <c r="F8" s="184">
        <v>6.6699999999999995E-2</v>
      </c>
      <c r="G8" s="65">
        <f>VLOOKUP(D8,upahbahan,3,FALSE)</f>
        <v>145000</v>
      </c>
      <c r="H8" s="125">
        <f t="shared" si="0"/>
        <v>9671.5</v>
      </c>
    </row>
    <row r="9" spans="3:13">
      <c r="C9" s="143">
        <v>3</v>
      </c>
      <c r="D9" s="60" t="s">
        <v>18</v>
      </c>
      <c r="E9" s="73" t="s">
        <v>6</v>
      </c>
      <c r="F9" s="184">
        <v>6.7000000000000002E-3</v>
      </c>
      <c r="G9" s="65">
        <f>VLOOKUP(D9,upahbahan,3,FALSE)</f>
        <v>150000</v>
      </c>
      <c r="H9" s="125">
        <f t="shared" si="0"/>
        <v>1005</v>
      </c>
    </row>
    <row r="10" spans="3:13">
      <c r="C10" s="143">
        <v>4</v>
      </c>
      <c r="D10" s="60" t="s">
        <v>19</v>
      </c>
      <c r="E10" s="73" t="s">
        <v>6</v>
      </c>
      <c r="F10" s="184">
        <v>2.2000000000000001E-3</v>
      </c>
      <c r="G10" s="65">
        <f>VLOOKUP(D10,upahbahan,3,FALSE)</f>
        <v>145000</v>
      </c>
      <c r="H10" s="125">
        <f t="shared" si="0"/>
        <v>319</v>
      </c>
    </row>
    <row r="11" spans="3:13">
      <c r="C11" s="145" t="s">
        <v>1220</v>
      </c>
      <c r="D11" s="81"/>
      <c r="E11" s="81"/>
      <c r="F11" s="220"/>
      <c r="G11" s="221"/>
      <c r="H11" s="125">
        <f>SUM(H7:H10)</f>
        <v>24325.5</v>
      </c>
      <c r="I11" s="223"/>
    </row>
    <row r="12" spans="3:13">
      <c r="C12" s="142" t="s">
        <v>1221</v>
      </c>
      <c r="D12" s="60" t="s">
        <v>1222</v>
      </c>
      <c r="E12" s="74"/>
      <c r="F12" s="74"/>
      <c r="G12" s="74"/>
      <c r="H12" s="147"/>
    </row>
    <row r="13" spans="3:13">
      <c r="C13" s="143">
        <v>1</v>
      </c>
      <c r="D13" s="60" t="s">
        <v>512</v>
      </c>
      <c r="E13" s="73" t="s">
        <v>44</v>
      </c>
      <c r="F13" s="75">
        <v>26.25</v>
      </c>
      <c r="G13" s="65">
        <f>VLOOKUP(D13,upahbahan,3,FALSE)</f>
        <v>2000</v>
      </c>
      <c r="H13" s="125">
        <f t="shared" ref="H13:H15" si="1">F13*G13</f>
        <v>52500</v>
      </c>
    </row>
    <row r="14" spans="3:13">
      <c r="C14" s="143">
        <v>2</v>
      </c>
      <c r="D14" s="60" t="s">
        <v>568</v>
      </c>
      <c r="E14" s="73" t="s">
        <v>66</v>
      </c>
      <c r="F14" s="75">
        <v>13.632</v>
      </c>
      <c r="G14" s="65">
        <f>VLOOKUP(D14,upahbahan,3,FALSE)</f>
        <v>1300</v>
      </c>
      <c r="H14" s="125">
        <f t="shared" si="1"/>
        <v>17721.599999999999</v>
      </c>
    </row>
    <row r="15" spans="3:13">
      <c r="C15" s="143">
        <v>4</v>
      </c>
      <c r="D15" s="78" t="s">
        <v>86</v>
      </c>
      <c r="E15" s="73" t="s">
        <v>42</v>
      </c>
      <c r="F15" s="75">
        <v>2.7E-2</v>
      </c>
      <c r="G15" s="65">
        <f>VLOOKUP(D15,upahbahan,3,FALSE)</f>
        <v>275000</v>
      </c>
      <c r="H15" s="125">
        <f t="shared" si="1"/>
        <v>7425</v>
      </c>
    </row>
    <row r="16" spans="3:13">
      <c r="C16" s="145" t="s">
        <v>1226</v>
      </c>
      <c r="D16" s="81"/>
      <c r="E16" s="81"/>
      <c r="F16" s="81"/>
      <c r="G16" s="163"/>
      <c r="H16" s="125">
        <f>SUM(H13:H15)</f>
        <v>77646.600000000006</v>
      </c>
    </row>
    <row r="17" spans="3:9">
      <c r="C17" s="153" t="s">
        <v>1227</v>
      </c>
      <c r="D17" s="60" t="s">
        <v>1228</v>
      </c>
      <c r="E17" s="74"/>
      <c r="F17" s="74"/>
      <c r="G17" s="74"/>
      <c r="H17" s="147"/>
    </row>
    <row r="18" spans="3:9">
      <c r="C18" s="145" t="s">
        <v>1229</v>
      </c>
      <c r="D18" s="81"/>
      <c r="E18" s="81"/>
      <c r="F18" s="81"/>
      <c r="G18" s="163"/>
      <c r="H18" s="154">
        <v>0</v>
      </c>
    </row>
    <row r="19" spans="3:9">
      <c r="C19" s="123" t="s">
        <v>1230</v>
      </c>
      <c r="D19" s="70" t="s">
        <v>1231</v>
      </c>
      <c r="E19" s="71"/>
      <c r="F19" s="71"/>
      <c r="G19" s="72"/>
      <c r="H19" s="125">
        <f>H18+H16+H11</f>
        <v>101972.1</v>
      </c>
    </row>
    <row r="20" spans="3:9">
      <c r="C20" s="123" t="s">
        <v>1232</v>
      </c>
      <c r="D20" s="70" t="s">
        <v>1410</v>
      </c>
      <c r="E20" s="71"/>
      <c r="F20" s="72"/>
      <c r="G20" s="96">
        <f>$M$7</f>
        <v>0.1</v>
      </c>
      <c r="H20" s="125">
        <f>H19*G20</f>
        <v>10197.210000000001</v>
      </c>
    </row>
    <row r="21" spans="3:9" ht="15.75" thickBot="1">
      <c r="C21" s="131" t="s">
        <v>1233</v>
      </c>
      <c r="D21" s="132" t="s">
        <v>1234</v>
      </c>
      <c r="E21" s="133"/>
      <c r="F21" s="133"/>
      <c r="G21" s="156"/>
      <c r="H21" s="135">
        <f>SUM(H19:H20)</f>
        <v>112169.31000000001</v>
      </c>
    </row>
    <row r="22" spans="3:9" ht="15" thickTop="1"/>
    <row r="23" spans="3:9" ht="15.75" thickBot="1">
      <c r="C23" s="237" t="s">
        <v>1542</v>
      </c>
      <c r="D23" s="237"/>
      <c r="E23" s="225"/>
      <c r="F23" s="225"/>
      <c r="G23" s="225"/>
      <c r="H23" s="225"/>
      <c r="I23" s="57">
        <f>ROUNDDOWN(H40,-2)</f>
        <v>99900</v>
      </c>
    </row>
    <row r="24" spans="3:9" ht="29.25" thickTop="1">
      <c r="C24" s="120" t="s">
        <v>1207</v>
      </c>
      <c r="D24" s="121" t="s">
        <v>1208</v>
      </c>
      <c r="E24" s="121" t="s">
        <v>1209</v>
      </c>
      <c r="F24" s="121" t="s">
        <v>1210</v>
      </c>
      <c r="G24" s="121" t="s">
        <v>1539</v>
      </c>
      <c r="H24" s="122" t="s">
        <v>1212</v>
      </c>
    </row>
    <row r="25" spans="3:9">
      <c r="C25" s="142" t="s">
        <v>1213</v>
      </c>
      <c r="D25" s="60" t="s">
        <v>1214</v>
      </c>
      <c r="E25" s="74"/>
      <c r="F25" s="74"/>
      <c r="G25" s="74"/>
      <c r="H25" s="147"/>
    </row>
    <row r="26" spans="3:9">
      <c r="C26" s="143">
        <v>1</v>
      </c>
      <c r="D26" s="60" t="s">
        <v>5</v>
      </c>
      <c r="E26" s="73" t="s">
        <v>6</v>
      </c>
      <c r="F26" s="184">
        <v>0.1429</v>
      </c>
      <c r="G26" s="65">
        <f>VLOOKUP(D26,upahbahan,3,FALSE)</f>
        <v>100000</v>
      </c>
      <c r="H26" s="125">
        <f t="shared" ref="H26:H29" si="2">F26*G26</f>
        <v>14290</v>
      </c>
    </row>
    <row r="27" spans="3:9">
      <c r="C27" s="143">
        <v>2</v>
      </c>
      <c r="D27" s="60" t="s">
        <v>7</v>
      </c>
      <c r="E27" s="73" t="s">
        <v>6</v>
      </c>
      <c r="F27" s="184">
        <v>7.1400000000000005E-2</v>
      </c>
      <c r="G27" s="65">
        <f>VLOOKUP(D27,upahbahan,3,FALSE)</f>
        <v>145000</v>
      </c>
      <c r="H27" s="125">
        <f t="shared" si="2"/>
        <v>10353</v>
      </c>
    </row>
    <row r="28" spans="3:9">
      <c r="C28" s="143">
        <v>3</v>
      </c>
      <c r="D28" s="60" t="s">
        <v>18</v>
      </c>
      <c r="E28" s="73" t="s">
        <v>6</v>
      </c>
      <c r="F28" s="184">
        <v>7.1000000000000004E-3</v>
      </c>
      <c r="G28" s="65">
        <f>VLOOKUP(D28,upahbahan,3,FALSE)</f>
        <v>150000</v>
      </c>
      <c r="H28" s="125">
        <f t="shared" si="2"/>
        <v>1065</v>
      </c>
    </row>
    <row r="29" spans="3:9">
      <c r="C29" s="143">
        <v>4</v>
      </c>
      <c r="D29" s="60" t="s">
        <v>19</v>
      </c>
      <c r="E29" s="73" t="s">
        <v>6</v>
      </c>
      <c r="F29" s="184">
        <v>2.3999999999999998E-3</v>
      </c>
      <c r="G29" s="65">
        <f>VLOOKUP(D29,upahbahan,3,FALSE)</f>
        <v>145000</v>
      </c>
      <c r="H29" s="125">
        <f t="shared" si="2"/>
        <v>347.99999999999994</v>
      </c>
    </row>
    <row r="30" spans="3:9">
      <c r="C30" s="145" t="s">
        <v>1220</v>
      </c>
      <c r="D30" s="81"/>
      <c r="E30" s="81"/>
      <c r="F30" s="220"/>
      <c r="G30" s="221"/>
      <c r="H30" s="125">
        <f>SUM(H26:H29)</f>
        <v>26056</v>
      </c>
      <c r="I30" s="223"/>
    </row>
    <row r="31" spans="3:9">
      <c r="C31" s="142" t="s">
        <v>1221</v>
      </c>
      <c r="D31" s="60" t="s">
        <v>1222</v>
      </c>
      <c r="E31" s="74"/>
      <c r="F31" s="74"/>
      <c r="G31" s="74"/>
      <c r="H31" s="147"/>
    </row>
    <row r="32" spans="3:9">
      <c r="C32" s="143">
        <v>1</v>
      </c>
      <c r="D32" s="60" t="s">
        <v>513</v>
      </c>
      <c r="E32" s="73" t="s">
        <v>44</v>
      </c>
      <c r="F32" s="184">
        <v>11.667</v>
      </c>
      <c r="G32" s="65">
        <f>VLOOKUP(D32,upahbahan,3,FALSE)</f>
        <v>3400</v>
      </c>
      <c r="H32" s="125">
        <f t="shared" ref="H32:H34" si="3">F32*G32</f>
        <v>39667.800000000003</v>
      </c>
    </row>
    <row r="33" spans="3:9">
      <c r="C33" s="143">
        <v>2</v>
      </c>
      <c r="D33" s="60" t="s">
        <v>568</v>
      </c>
      <c r="E33" s="73" t="s">
        <v>66</v>
      </c>
      <c r="F33" s="184">
        <v>13.632</v>
      </c>
      <c r="G33" s="65">
        <f>VLOOKUP(D33,upahbahan,3,FALSE)</f>
        <v>1300</v>
      </c>
      <c r="H33" s="125">
        <f t="shared" si="3"/>
        <v>17721.599999999999</v>
      </c>
    </row>
    <row r="34" spans="3:9">
      <c r="C34" s="143">
        <v>4</v>
      </c>
      <c r="D34" s="78" t="s">
        <v>86</v>
      </c>
      <c r="E34" s="73" t="s">
        <v>42</v>
      </c>
      <c r="F34" s="184">
        <v>2.7E-2</v>
      </c>
      <c r="G34" s="65">
        <f>VLOOKUP(D34,upahbahan,3,FALSE)</f>
        <v>275000</v>
      </c>
      <c r="H34" s="125">
        <f t="shared" si="3"/>
        <v>7425</v>
      </c>
    </row>
    <row r="35" spans="3:9">
      <c r="C35" s="145" t="s">
        <v>1226</v>
      </c>
      <c r="D35" s="81"/>
      <c r="E35" s="81"/>
      <c r="F35" s="81"/>
      <c r="G35" s="163"/>
      <c r="H35" s="125">
        <f>SUM(H32:H34)</f>
        <v>64814.400000000001</v>
      </c>
    </row>
    <row r="36" spans="3:9">
      <c r="C36" s="153" t="s">
        <v>1227</v>
      </c>
      <c r="D36" s="60" t="s">
        <v>1228</v>
      </c>
      <c r="E36" s="74"/>
      <c r="F36" s="74"/>
      <c r="G36" s="74"/>
      <c r="H36" s="147"/>
    </row>
    <row r="37" spans="3:9">
      <c r="C37" s="145" t="s">
        <v>1229</v>
      </c>
      <c r="D37" s="81"/>
      <c r="E37" s="81"/>
      <c r="F37" s="81"/>
      <c r="G37" s="163"/>
      <c r="H37" s="154">
        <v>0</v>
      </c>
    </row>
    <row r="38" spans="3:9">
      <c r="C38" s="123" t="s">
        <v>1230</v>
      </c>
      <c r="D38" s="70" t="s">
        <v>1231</v>
      </c>
      <c r="E38" s="71"/>
      <c r="F38" s="71"/>
      <c r="G38" s="72"/>
      <c r="H38" s="125">
        <f>H37+H35+H30</f>
        <v>90870.399999999994</v>
      </c>
    </row>
    <row r="39" spans="3:9">
      <c r="C39" s="123" t="s">
        <v>1232</v>
      </c>
      <c r="D39" s="70" t="s">
        <v>1540</v>
      </c>
      <c r="E39" s="71"/>
      <c r="F39" s="72"/>
      <c r="G39" s="62" t="s">
        <v>1541</v>
      </c>
      <c r="H39" s="125">
        <f>H38*10%</f>
        <v>9087.0399999999991</v>
      </c>
    </row>
    <row r="40" spans="3:9" ht="15.75" thickBot="1">
      <c r="C40" s="131" t="s">
        <v>1233</v>
      </c>
      <c r="D40" s="132" t="s">
        <v>1234</v>
      </c>
      <c r="E40" s="133"/>
      <c r="F40" s="133"/>
      <c r="G40" s="156"/>
      <c r="H40" s="135">
        <f>SUM(H38:H39)</f>
        <v>99957.439999999988</v>
      </c>
    </row>
    <row r="41" spans="3:9" ht="15.75" thickTop="1">
      <c r="C41" s="90"/>
      <c r="D41" s="91"/>
      <c r="E41" s="91"/>
      <c r="F41" s="91"/>
      <c r="G41" s="91"/>
      <c r="H41" s="92"/>
    </row>
    <row r="42" spans="3:9" ht="15.75" thickBot="1">
      <c r="C42" s="237" t="s">
        <v>1543</v>
      </c>
      <c r="D42" s="226"/>
      <c r="E42" s="226"/>
      <c r="F42" s="226"/>
      <c r="G42" s="226"/>
      <c r="H42" s="226"/>
      <c r="I42" s="57">
        <f>ROUNDDOWN(H59,-2)</f>
        <v>91700</v>
      </c>
    </row>
    <row r="43" spans="3:9" ht="29.25" thickTop="1">
      <c r="C43" s="120" t="s">
        <v>1207</v>
      </c>
      <c r="D43" s="121" t="s">
        <v>1208</v>
      </c>
      <c r="E43" s="121" t="s">
        <v>1209</v>
      </c>
      <c r="F43" s="121" t="s">
        <v>1210</v>
      </c>
      <c r="G43" s="121" t="s">
        <v>1539</v>
      </c>
      <c r="H43" s="122" t="s">
        <v>1212</v>
      </c>
    </row>
    <row r="44" spans="3:9">
      <c r="C44" s="142" t="s">
        <v>1213</v>
      </c>
      <c r="D44" s="60" t="s">
        <v>1214</v>
      </c>
      <c r="E44" s="74"/>
      <c r="F44" s="74"/>
      <c r="G44" s="74"/>
      <c r="H44" s="147"/>
    </row>
    <row r="45" spans="3:9">
      <c r="C45" s="143">
        <v>1</v>
      </c>
      <c r="D45" s="60" t="s">
        <v>5</v>
      </c>
      <c r="E45" s="73" t="s">
        <v>6</v>
      </c>
      <c r="F45" s="184">
        <v>0.15379999999999999</v>
      </c>
      <c r="G45" s="65">
        <f>VLOOKUP(D45,upahbahan,3,FALSE)</f>
        <v>100000</v>
      </c>
      <c r="H45" s="125">
        <f t="shared" ref="H45:H48" si="4">F45*G45</f>
        <v>15380</v>
      </c>
    </row>
    <row r="46" spans="3:9">
      <c r="C46" s="143">
        <v>2</v>
      </c>
      <c r="D46" s="60" t="s">
        <v>7</v>
      </c>
      <c r="E46" s="73" t="s">
        <v>6</v>
      </c>
      <c r="F46" s="184">
        <v>7.6899999999999996E-2</v>
      </c>
      <c r="G46" s="65">
        <f>VLOOKUP(D46,upahbahan,3,FALSE)</f>
        <v>145000</v>
      </c>
      <c r="H46" s="125">
        <f t="shared" si="4"/>
        <v>11150.5</v>
      </c>
    </row>
    <row r="47" spans="3:9">
      <c r="C47" s="143">
        <v>3</v>
      </c>
      <c r="D47" s="60" t="s">
        <v>18</v>
      </c>
      <c r="E47" s="73" t="s">
        <v>6</v>
      </c>
      <c r="F47" s="184">
        <v>7.7000000000000002E-3</v>
      </c>
      <c r="G47" s="65">
        <f>VLOOKUP(D47,upahbahan,3,FALSE)</f>
        <v>150000</v>
      </c>
      <c r="H47" s="125">
        <f t="shared" si="4"/>
        <v>1155</v>
      </c>
    </row>
    <row r="48" spans="3:9">
      <c r="C48" s="143">
        <v>4</v>
      </c>
      <c r="D48" s="60" t="s">
        <v>19</v>
      </c>
      <c r="E48" s="73" t="s">
        <v>6</v>
      </c>
      <c r="F48" s="184">
        <v>2.5999999999999999E-3</v>
      </c>
      <c r="G48" s="65">
        <f>VLOOKUP(D48,upahbahan,3,FALSE)</f>
        <v>145000</v>
      </c>
      <c r="H48" s="125">
        <f t="shared" si="4"/>
        <v>377</v>
      </c>
    </row>
    <row r="49" spans="3:9">
      <c r="C49" s="145" t="s">
        <v>1220</v>
      </c>
      <c r="D49" s="81"/>
      <c r="E49" s="81"/>
      <c r="F49" s="220"/>
      <c r="G49" s="221"/>
      <c r="H49" s="125">
        <f>SUM(H45:H48)</f>
        <v>28062.5</v>
      </c>
      <c r="I49" s="223"/>
    </row>
    <row r="50" spans="3:9">
      <c r="C50" s="142" t="s">
        <v>1221</v>
      </c>
      <c r="D50" s="60" t="s">
        <v>1222</v>
      </c>
      <c r="E50" s="74"/>
      <c r="F50" s="74"/>
      <c r="G50" s="74"/>
      <c r="H50" s="147"/>
    </row>
    <row r="51" spans="3:9">
      <c r="C51" s="143">
        <v>1</v>
      </c>
      <c r="D51" s="60" t="s">
        <v>514</v>
      </c>
      <c r="E51" s="73" t="s">
        <v>44</v>
      </c>
      <c r="F51" s="75">
        <v>6.5629999999999997</v>
      </c>
      <c r="G51" s="65">
        <f>VLOOKUP(D51,upahbahan,3,FALSE)</f>
        <v>4600</v>
      </c>
      <c r="H51" s="125">
        <f t="shared" ref="H51:H53" si="5">F51*G51</f>
        <v>30189.8</v>
      </c>
    </row>
    <row r="52" spans="3:9">
      <c r="C52" s="143">
        <v>2</v>
      </c>
      <c r="D52" s="60" t="s">
        <v>568</v>
      </c>
      <c r="E52" s="73" t="s">
        <v>66</v>
      </c>
      <c r="F52" s="75">
        <v>13.632</v>
      </c>
      <c r="G52" s="65">
        <f>VLOOKUP(D52,upahbahan,3,FALSE)</f>
        <v>1300</v>
      </c>
      <c r="H52" s="125">
        <f t="shared" si="5"/>
        <v>17721.599999999999</v>
      </c>
    </row>
    <row r="53" spans="3:9">
      <c r="C53" s="143">
        <v>4</v>
      </c>
      <c r="D53" s="78" t="s">
        <v>86</v>
      </c>
      <c r="E53" s="73" t="s">
        <v>42</v>
      </c>
      <c r="F53" s="75">
        <v>2.7E-2</v>
      </c>
      <c r="G53" s="65">
        <f>VLOOKUP(D53,upahbahan,3,FALSE)</f>
        <v>275000</v>
      </c>
      <c r="H53" s="125">
        <f t="shared" si="5"/>
        <v>7425</v>
      </c>
    </row>
    <row r="54" spans="3:9">
      <c r="C54" s="145" t="s">
        <v>1226</v>
      </c>
      <c r="D54" s="81"/>
      <c r="E54" s="81"/>
      <c r="F54" s="81"/>
      <c r="G54" s="163"/>
      <c r="H54" s="125">
        <f>SUM(H51:H53)</f>
        <v>55336.399999999994</v>
      </c>
    </row>
    <row r="55" spans="3:9">
      <c r="C55" s="153" t="s">
        <v>1227</v>
      </c>
      <c r="D55" s="60" t="s">
        <v>1228</v>
      </c>
      <c r="E55" s="74"/>
      <c r="F55" s="74"/>
      <c r="G55" s="74"/>
      <c r="H55" s="147"/>
    </row>
    <row r="56" spans="3:9">
      <c r="C56" s="145" t="s">
        <v>1229</v>
      </c>
      <c r="D56" s="81"/>
      <c r="E56" s="81"/>
      <c r="F56" s="81"/>
      <c r="G56" s="163"/>
      <c r="H56" s="154">
        <v>0</v>
      </c>
    </row>
    <row r="57" spans="3:9">
      <c r="C57" s="123" t="s">
        <v>1230</v>
      </c>
      <c r="D57" s="70" t="s">
        <v>1231</v>
      </c>
      <c r="E57" s="71"/>
      <c r="F57" s="71"/>
      <c r="G57" s="72"/>
      <c r="H57" s="125">
        <f>H56+H54+H49</f>
        <v>83398.899999999994</v>
      </c>
    </row>
    <row r="58" spans="3:9">
      <c r="C58" s="123" t="s">
        <v>1232</v>
      </c>
      <c r="D58" s="70" t="s">
        <v>1540</v>
      </c>
      <c r="E58" s="71"/>
      <c r="F58" s="72"/>
      <c r="G58" s="62" t="s">
        <v>1541</v>
      </c>
      <c r="H58" s="125">
        <f>H57*10%</f>
        <v>8339.89</v>
      </c>
    </row>
    <row r="59" spans="3:9" ht="15.75" thickBot="1">
      <c r="C59" s="131" t="s">
        <v>1233</v>
      </c>
      <c r="D59" s="132" t="s">
        <v>1234</v>
      </c>
      <c r="E59" s="133"/>
      <c r="F59" s="133"/>
      <c r="G59" s="156"/>
      <c r="H59" s="135">
        <f>SUM(H57:H58)</f>
        <v>91738.79</v>
      </c>
    </row>
    <row r="60" spans="3:9" ht="15.75" thickTop="1">
      <c r="C60" s="90"/>
      <c r="D60" s="91"/>
      <c r="E60" s="91"/>
      <c r="F60" s="91"/>
      <c r="G60" s="91"/>
      <c r="H60" s="92"/>
    </row>
    <row r="61" spans="3:9" ht="15.75" thickBot="1">
      <c r="C61" s="237" t="s">
        <v>1544</v>
      </c>
      <c r="D61" s="237"/>
      <c r="E61" s="237"/>
      <c r="F61" s="237"/>
      <c r="G61" s="237"/>
      <c r="H61" s="237"/>
      <c r="I61" s="57">
        <f>ROUNDDOWN(H78,-2)</f>
        <v>89500</v>
      </c>
    </row>
    <row r="62" spans="3:9" ht="29.25" thickTop="1">
      <c r="C62" s="120" t="s">
        <v>1207</v>
      </c>
      <c r="D62" s="121" t="s">
        <v>1208</v>
      </c>
      <c r="E62" s="121" t="s">
        <v>1209</v>
      </c>
      <c r="F62" s="121" t="s">
        <v>1210</v>
      </c>
      <c r="G62" s="121" t="s">
        <v>1539</v>
      </c>
      <c r="H62" s="122" t="s">
        <v>1212</v>
      </c>
    </row>
    <row r="63" spans="3:9">
      <c r="C63" s="142" t="s">
        <v>1213</v>
      </c>
      <c r="D63" s="60" t="s">
        <v>1214</v>
      </c>
      <c r="E63" s="74"/>
      <c r="F63" s="74"/>
      <c r="G63" s="74"/>
      <c r="H63" s="147"/>
    </row>
    <row r="64" spans="3:9">
      <c r="C64" s="143">
        <v>1</v>
      </c>
      <c r="D64" s="60" t="s">
        <v>5</v>
      </c>
      <c r="E64" s="73" t="s">
        <v>6</v>
      </c>
      <c r="F64" s="94">
        <v>0.25</v>
      </c>
      <c r="G64" s="65">
        <f>VLOOKUP(D64,upahbahan,3,FALSE)</f>
        <v>100000</v>
      </c>
      <c r="H64" s="125">
        <f t="shared" ref="H64:H67" si="6">F64*G64</f>
        <v>25000</v>
      </c>
    </row>
    <row r="65" spans="3:9">
      <c r="C65" s="143">
        <v>2</v>
      </c>
      <c r="D65" s="60" t="s">
        <v>7</v>
      </c>
      <c r="E65" s="73" t="s">
        <v>6</v>
      </c>
      <c r="F65" s="94">
        <v>8.3299999999999999E-2</v>
      </c>
      <c r="G65" s="65">
        <f>VLOOKUP(D65,upahbahan,3,FALSE)</f>
        <v>145000</v>
      </c>
      <c r="H65" s="125">
        <f t="shared" si="6"/>
        <v>12078.5</v>
      </c>
    </row>
    <row r="66" spans="3:9">
      <c r="C66" s="143">
        <v>3</v>
      </c>
      <c r="D66" s="60" t="s">
        <v>18</v>
      </c>
      <c r="E66" s="73" t="s">
        <v>6</v>
      </c>
      <c r="F66" s="94">
        <v>8.3000000000000001E-3</v>
      </c>
      <c r="G66" s="65">
        <f>VLOOKUP(D66,upahbahan,3,FALSE)</f>
        <v>150000</v>
      </c>
      <c r="H66" s="125">
        <f t="shared" si="6"/>
        <v>1245</v>
      </c>
    </row>
    <row r="67" spans="3:9">
      <c r="C67" s="143">
        <v>4</v>
      </c>
      <c r="D67" s="60" t="s">
        <v>19</v>
      </c>
      <c r="E67" s="73" t="s">
        <v>6</v>
      </c>
      <c r="F67" s="94">
        <v>2.8E-3</v>
      </c>
      <c r="G67" s="65">
        <f>VLOOKUP(D67,upahbahan,3,FALSE)</f>
        <v>145000</v>
      </c>
      <c r="H67" s="125">
        <f t="shared" si="6"/>
        <v>406</v>
      </c>
    </row>
    <row r="68" spans="3:9">
      <c r="C68" s="145" t="s">
        <v>1220</v>
      </c>
      <c r="D68" s="81"/>
      <c r="E68" s="81"/>
      <c r="F68" s="220"/>
      <c r="G68" s="221"/>
      <c r="H68" s="125">
        <f>SUM(H64:H67)</f>
        <v>38729.5</v>
      </c>
      <c r="I68" s="223"/>
    </row>
    <row r="69" spans="3:9">
      <c r="C69" s="142" t="s">
        <v>1221</v>
      </c>
      <c r="D69" s="60" t="s">
        <v>1222</v>
      </c>
      <c r="E69" s="74"/>
      <c r="F69" s="74"/>
      <c r="G69" s="74"/>
      <c r="H69" s="147"/>
    </row>
    <row r="70" spans="3:9">
      <c r="C70" s="143">
        <v>1</v>
      </c>
      <c r="D70" s="60" t="s">
        <v>515</v>
      </c>
      <c r="E70" s="73" t="s">
        <v>44</v>
      </c>
      <c r="F70" s="184">
        <v>2.9169999999999998</v>
      </c>
      <c r="G70" s="65">
        <f>VLOOKUP(D70,upahbahan,3,FALSE)</f>
        <v>6000</v>
      </c>
      <c r="H70" s="125">
        <f t="shared" ref="H70:H72" si="7">F70*G70</f>
        <v>17502</v>
      </c>
    </row>
    <row r="71" spans="3:9">
      <c r="C71" s="143">
        <v>2</v>
      </c>
      <c r="D71" s="60" t="s">
        <v>568</v>
      </c>
      <c r="E71" s="73" t="s">
        <v>66</v>
      </c>
      <c r="F71" s="75">
        <v>13.632</v>
      </c>
      <c r="G71" s="65">
        <f>VLOOKUP(D71,upahbahan,3,FALSE)</f>
        <v>1300</v>
      </c>
      <c r="H71" s="125">
        <f t="shared" si="7"/>
        <v>17721.599999999999</v>
      </c>
    </row>
    <row r="72" spans="3:9">
      <c r="C72" s="143">
        <v>4</v>
      </c>
      <c r="D72" s="78" t="s">
        <v>86</v>
      </c>
      <c r="E72" s="73" t="s">
        <v>42</v>
      </c>
      <c r="F72" s="75">
        <v>2.7E-2</v>
      </c>
      <c r="G72" s="65">
        <f>VLOOKUP(D72,upahbahan,3,FALSE)</f>
        <v>275000</v>
      </c>
      <c r="H72" s="125">
        <f t="shared" si="7"/>
        <v>7425</v>
      </c>
    </row>
    <row r="73" spans="3:9">
      <c r="C73" s="145" t="s">
        <v>1226</v>
      </c>
      <c r="D73" s="81"/>
      <c r="E73" s="81"/>
      <c r="F73" s="81"/>
      <c r="G73" s="163"/>
      <c r="H73" s="125">
        <f>SUM(H70:H72)</f>
        <v>42648.6</v>
      </c>
    </row>
    <row r="74" spans="3:9">
      <c r="C74" s="153" t="s">
        <v>1227</v>
      </c>
      <c r="D74" s="60" t="s">
        <v>1228</v>
      </c>
      <c r="E74" s="74"/>
      <c r="F74" s="74"/>
      <c r="G74" s="74"/>
      <c r="H74" s="147"/>
    </row>
    <row r="75" spans="3:9">
      <c r="C75" s="145" t="s">
        <v>1229</v>
      </c>
      <c r="D75" s="81"/>
      <c r="E75" s="81"/>
      <c r="F75" s="81"/>
      <c r="G75" s="163"/>
      <c r="H75" s="154">
        <v>0</v>
      </c>
    </row>
    <row r="76" spans="3:9">
      <c r="C76" s="123" t="s">
        <v>1230</v>
      </c>
      <c r="D76" s="70" t="s">
        <v>1231</v>
      </c>
      <c r="E76" s="71"/>
      <c r="F76" s="71"/>
      <c r="G76" s="72"/>
      <c r="H76" s="125">
        <f>H75+H73+H68</f>
        <v>81378.100000000006</v>
      </c>
    </row>
    <row r="77" spans="3:9">
      <c r="C77" s="123" t="s">
        <v>1232</v>
      </c>
      <c r="D77" s="70" t="s">
        <v>1540</v>
      </c>
      <c r="E77" s="71"/>
      <c r="F77" s="72"/>
      <c r="G77" s="62" t="s">
        <v>1541</v>
      </c>
      <c r="H77" s="125">
        <f>H76*10%</f>
        <v>8137.8100000000013</v>
      </c>
    </row>
    <row r="78" spans="3:9" ht="15.75" thickBot="1">
      <c r="C78" s="131" t="s">
        <v>1233</v>
      </c>
      <c r="D78" s="132" t="s">
        <v>1234</v>
      </c>
      <c r="E78" s="133"/>
      <c r="F78" s="133"/>
      <c r="G78" s="156"/>
      <c r="H78" s="135">
        <f>SUM(H76:H77)</f>
        <v>89515.91</v>
      </c>
    </row>
    <row r="79" spans="3:9" ht="15.75" thickTop="1">
      <c r="C79" s="58"/>
      <c r="D79" s="82"/>
      <c r="E79" s="82"/>
      <c r="F79" s="82"/>
      <c r="G79" s="82"/>
      <c r="H79" s="83"/>
    </row>
    <row r="80" spans="3:9" ht="15.75" thickBot="1">
      <c r="C80" s="237" t="s">
        <v>1545</v>
      </c>
      <c r="D80" s="237"/>
      <c r="E80" s="237"/>
      <c r="F80" s="237"/>
      <c r="G80" s="237"/>
      <c r="H80" s="237"/>
      <c r="I80" s="57">
        <f>ROUNDDOWN(H97,-2)</f>
        <v>20500</v>
      </c>
    </row>
    <row r="81" spans="3:9" ht="29.25" thickTop="1">
      <c r="C81" s="120" t="s">
        <v>1207</v>
      </c>
      <c r="D81" s="121" t="s">
        <v>1208</v>
      </c>
      <c r="E81" s="121" t="s">
        <v>1209</v>
      </c>
      <c r="F81" s="121" t="s">
        <v>1210</v>
      </c>
      <c r="G81" s="121" t="s">
        <v>1539</v>
      </c>
      <c r="H81" s="122" t="s">
        <v>1212</v>
      </c>
    </row>
    <row r="82" spans="3:9">
      <c r="C82" s="142" t="s">
        <v>1213</v>
      </c>
      <c r="D82" s="60" t="s">
        <v>1214</v>
      </c>
      <c r="E82" s="74"/>
      <c r="F82" s="74"/>
      <c r="G82" s="74"/>
      <c r="H82" s="147"/>
    </row>
    <row r="83" spans="3:9">
      <c r="C83" s="143">
        <v>1</v>
      </c>
      <c r="D83" s="60" t="s">
        <v>5</v>
      </c>
      <c r="E83" s="73" t="s">
        <v>6</v>
      </c>
      <c r="F83" s="94">
        <v>5.7099999999999998E-2</v>
      </c>
      <c r="G83" s="65">
        <f>VLOOKUP(D83,upahbahan,3,FALSE)</f>
        <v>100000</v>
      </c>
      <c r="H83" s="125">
        <f t="shared" ref="H83:H86" si="8">F83*G83</f>
        <v>5710</v>
      </c>
    </row>
    <row r="84" spans="3:9">
      <c r="C84" s="143">
        <v>2</v>
      </c>
      <c r="D84" s="60" t="s">
        <v>7</v>
      </c>
      <c r="E84" s="73" t="s">
        <v>6</v>
      </c>
      <c r="F84" s="94">
        <v>2.86E-2</v>
      </c>
      <c r="G84" s="65">
        <f>VLOOKUP(D84,upahbahan,3,FALSE)</f>
        <v>145000</v>
      </c>
      <c r="H84" s="125">
        <f t="shared" si="8"/>
        <v>4147</v>
      </c>
    </row>
    <row r="85" spans="3:9">
      <c r="C85" s="143">
        <v>3</v>
      </c>
      <c r="D85" s="60" t="s">
        <v>18</v>
      </c>
      <c r="E85" s="73" t="s">
        <v>6</v>
      </c>
      <c r="F85" s="94">
        <v>2.8999999999999998E-3</v>
      </c>
      <c r="G85" s="65">
        <f>VLOOKUP(D85,upahbahan,3,FALSE)</f>
        <v>150000</v>
      </c>
      <c r="H85" s="125">
        <f t="shared" si="8"/>
        <v>434.99999999999994</v>
      </c>
    </row>
    <row r="86" spans="3:9">
      <c r="C86" s="143">
        <v>4</v>
      </c>
      <c r="D86" s="60" t="s">
        <v>19</v>
      </c>
      <c r="E86" s="73" t="s">
        <v>6</v>
      </c>
      <c r="F86" s="94">
        <v>1E-3</v>
      </c>
      <c r="G86" s="65">
        <f>VLOOKUP(D86,upahbahan,3,FALSE)</f>
        <v>145000</v>
      </c>
      <c r="H86" s="125">
        <f t="shared" si="8"/>
        <v>145</v>
      </c>
    </row>
    <row r="87" spans="3:9">
      <c r="C87" s="145" t="s">
        <v>1220</v>
      </c>
      <c r="D87" s="81"/>
      <c r="E87" s="81"/>
      <c r="F87" s="220"/>
      <c r="G87" s="221"/>
      <c r="H87" s="125">
        <f>SUM(H83:H86)</f>
        <v>10437</v>
      </c>
      <c r="I87" s="223"/>
    </row>
    <row r="88" spans="3:9">
      <c r="C88" s="142" t="s">
        <v>1221</v>
      </c>
      <c r="D88" s="60" t="s">
        <v>1222</v>
      </c>
      <c r="E88" s="74"/>
      <c r="F88" s="74"/>
      <c r="G88" s="74"/>
      <c r="H88" s="147"/>
    </row>
    <row r="89" spans="3:9">
      <c r="C89" s="143">
        <v>1</v>
      </c>
      <c r="D89" s="78" t="s">
        <v>490</v>
      </c>
      <c r="E89" s="73" t="s">
        <v>44</v>
      </c>
      <c r="F89" s="75">
        <v>5.25</v>
      </c>
      <c r="G89" s="65">
        <f>VLOOKUP(D89,upahbahan,3,FALSE)</f>
        <v>1000</v>
      </c>
      <c r="H89" s="125">
        <f t="shared" ref="H89:H91" si="9">F89*G89</f>
        <v>5250</v>
      </c>
    </row>
    <row r="90" spans="3:9">
      <c r="C90" s="143">
        <v>2</v>
      </c>
      <c r="D90" s="60" t="s">
        <v>568</v>
      </c>
      <c r="E90" s="73" t="s">
        <v>66</v>
      </c>
      <c r="F90" s="75">
        <v>1.704</v>
      </c>
      <c r="G90" s="65">
        <f>VLOOKUP(D90,upahbahan,3,FALSE)</f>
        <v>1300</v>
      </c>
      <c r="H90" s="125">
        <f t="shared" si="9"/>
        <v>2215.1999999999998</v>
      </c>
    </row>
    <row r="91" spans="3:9">
      <c r="C91" s="143">
        <v>4</v>
      </c>
      <c r="D91" s="78" t="s">
        <v>86</v>
      </c>
      <c r="E91" s="73" t="s">
        <v>42</v>
      </c>
      <c r="F91" s="75">
        <v>3.0000000000000001E-3</v>
      </c>
      <c r="G91" s="65">
        <f>VLOOKUP(D91,upahbahan,3,FALSE)</f>
        <v>275000</v>
      </c>
      <c r="H91" s="125">
        <f t="shared" si="9"/>
        <v>825</v>
      </c>
    </row>
    <row r="92" spans="3:9">
      <c r="C92" s="145" t="s">
        <v>1226</v>
      </c>
      <c r="D92" s="81"/>
      <c r="E92" s="81"/>
      <c r="F92" s="81"/>
      <c r="G92" s="163"/>
      <c r="H92" s="125">
        <f>SUM(H89:H91)</f>
        <v>8290.2000000000007</v>
      </c>
    </row>
    <row r="93" spans="3:9">
      <c r="C93" s="153" t="s">
        <v>1227</v>
      </c>
      <c r="D93" s="60" t="s">
        <v>1228</v>
      </c>
      <c r="E93" s="74"/>
      <c r="F93" s="74"/>
      <c r="G93" s="74"/>
      <c r="H93" s="147"/>
    </row>
    <row r="94" spans="3:9">
      <c r="C94" s="145" t="s">
        <v>1229</v>
      </c>
      <c r="D94" s="81"/>
      <c r="E94" s="81"/>
      <c r="F94" s="81"/>
      <c r="G94" s="163"/>
      <c r="H94" s="154">
        <v>0</v>
      </c>
    </row>
    <row r="95" spans="3:9">
      <c r="C95" s="123" t="s">
        <v>1230</v>
      </c>
      <c r="D95" s="70" t="s">
        <v>1231</v>
      </c>
      <c r="E95" s="71"/>
      <c r="F95" s="71"/>
      <c r="G95" s="72"/>
      <c r="H95" s="125">
        <f>H94+H92+H87</f>
        <v>18727.2</v>
      </c>
    </row>
    <row r="96" spans="3:9">
      <c r="C96" s="123" t="s">
        <v>1232</v>
      </c>
      <c r="D96" s="70" t="s">
        <v>1540</v>
      </c>
      <c r="E96" s="71"/>
      <c r="F96" s="72"/>
      <c r="G96" s="62" t="s">
        <v>1541</v>
      </c>
      <c r="H96" s="125">
        <f>H95*10%</f>
        <v>1872.7200000000003</v>
      </c>
    </row>
    <row r="97" spans="3:9" ht="15.75" thickBot="1">
      <c r="C97" s="131" t="s">
        <v>1233</v>
      </c>
      <c r="D97" s="132" t="s">
        <v>1234</v>
      </c>
      <c r="E97" s="133"/>
      <c r="F97" s="133"/>
      <c r="G97" s="156"/>
      <c r="H97" s="135">
        <f>SUM(H95:H96)</f>
        <v>20599.920000000002</v>
      </c>
    </row>
    <row r="98" spans="3:9" ht="15.75" thickTop="1">
      <c r="C98" s="58"/>
      <c r="D98" s="82"/>
      <c r="E98" s="82"/>
      <c r="F98" s="82"/>
      <c r="G98" s="82"/>
      <c r="H98" s="83"/>
    </row>
    <row r="99" spans="3:9" ht="15.75" thickBot="1">
      <c r="C99" s="237" t="s">
        <v>1546</v>
      </c>
      <c r="D99" s="237"/>
      <c r="E99" s="237"/>
      <c r="F99" s="237"/>
      <c r="G99" s="237"/>
      <c r="H99" s="237"/>
      <c r="I99" s="57">
        <f>ROUNDDOWN(H116,-2)</f>
        <v>21600</v>
      </c>
    </row>
    <row r="100" spans="3:9" ht="29.25" thickTop="1">
      <c r="C100" s="120" t="s">
        <v>1207</v>
      </c>
      <c r="D100" s="121" t="s">
        <v>1208</v>
      </c>
      <c r="E100" s="121" t="s">
        <v>1209</v>
      </c>
      <c r="F100" s="121" t="s">
        <v>1210</v>
      </c>
      <c r="G100" s="121" t="s">
        <v>1211</v>
      </c>
      <c r="H100" s="122" t="s">
        <v>1212</v>
      </c>
    </row>
    <row r="101" spans="3:9">
      <c r="C101" s="142" t="s">
        <v>1213</v>
      </c>
      <c r="D101" s="60" t="s">
        <v>1214</v>
      </c>
      <c r="E101" s="74"/>
      <c r="F101" s="74"/>
      <c r="G101" s="74"/>
      <c r="H101" s="147"/>
    </row>
    <row r="102" spans="3:9">
      <c r="C102" s="143">
        <v>1</v>
      </c>
      <c r="D102" s="60" t="s">
        <v>5</v>
      </c>
      <c r="E102" s="73" t="s">
        <v>6</v>
      </c>
      <c r="F102" s="94">
        <v>6.25E-2</v>
      </c>
      <c r="G102" s="65">
        <f>VLOOKUP(D102,upahbahan,3,FALSE)</f>
        <v>100000</v>
      </c>
      <c r="H102" s="125">
        <f t="shared" ref="H102:H105" si="10">F102*G102</f>
        <v>6250</v>
      </c>
    </row>
    <row r="103" spans="3:9">
      <c r="C103" s="143">
        <v>2</v>
      </c>
      <c r="D103" s="60" t="s">
        <v>7</v>
      </c>
      <c r="E103" s="73" t="s">
        <v>6</v>
      </c>
      <c r="F103" s="94">
        <v>3.1300000000000001E-2</v>
      </c>
      <c r="G103" s="65">
        <f>VLOOKUP(D103,upahbahan,3,FALSE)</f>
        <v>145000</v>
      </c>
      <c r="H103" s="125">
        <f t="shared" si="10"/>
        <v>4538.5</v>
      </c>
    </row>
    <row r="104" spans="3:9">
      <c r="C104" s="143">
        <v>3</v>
      </c>
      <c r="D104" s="60" t="s">
        <v>18</v>
      </c>
      <c r="E104" s="73" t="s">
        <v>6</v>
      </c>
      <c r="F104" s="94">
        <v>3.0999999999999999E-3</v>
      </c>
      <c r="G104" s="65">
        <f>VLOOKUP(D104,upahbahan,3,FALSE)</f>
        <v>150000</v>
      </c>
      <c r="H104" s="125">
        <f t="shared" si="10"/>
        <v>465</v>
      </c>
    </row>
    <row r="105" spans="3:9">
      <c r="C105" s="143">
        <v>4</v>
      </c>
      <c r="D105" s="60" t="s">
        <v>19</v>
      </c>
      <c r="E105" s="73" t="s">
        <v>6</v>
      </c>
      <c r="F105" s="94">
        <v>1E-3</v>
      </c>
      <c r="G105" s="65">
        <f>VLOOKUP(D105,upahbahan,3,FALSE)</f>
        <v>145000</v>
      </c>
      <c r="H105" s="125">
        <f t="shared" si="10"/>
        <v>145</v>
      </c>
    </row>
    <row r="106" spans="3:9">
      <c r="C106" s="145" t="s">
        <v>1220</v>
      </c>
      <c r="D106" s="81"/>
      <c r="E106" s="81"/>
      <c r="F106" s="220"/>
      <c r="G106" s="221"/>
      <c r="H106" s="125">
        <f>SUM(H102:H105)</f>
        <v>11398.5</v>
      </c>
      <c r="I106" s="223"/>
    </row>
    <row r="107" spans="3:9">
      <c r="C107" s="142" t="s">
        <v>1221</v>
      </c>
      <c r="D107" s="60" t="s">
        <v>1222</v>
      </c>
      <c r="E107" s="74"/>
      <c r="F107" s="74"/>
      <c r="G107" s="74"/>
      <c r="H107" s="147"/>
    </row>
    <row r="108" spans="3:9">
      <c r="C108" s="143">
        <v>1</v>
      </c>
      <c r="D108" s="78" t="s">
        <v>491</v>
      </c>
      <c r="E108" s="73" t="s">
        <v>44</v>
      </c>
      <c r="F108" s="75">
        <v>3.5</v>
      </c>
      <c r="G108" s="65">
        <f>VLOOKUP(D108,upahbahan,3,FALSE)</f>
        <v>1500</v>
      </c>
      <c r="H108" s="125">
        <f t="shared" ref="H108:H110" si="11">F108*G108</f>
        <v>5250</v>
      </c>
    </row>
    <row r="109" spans="3:9">
      <c r="C109" s="143">
        <v>2</v>
      </c>
      <c r="D109" s="60" t="s">
        <v>568</v>
      </c>
      <c r="E109" s="73" t="s">
        <v>66</v>
      </c>
      <c r="F109" s="75">
        <v>1.704</v>
      </c>
      <c r="G109" s="65">
        <f>VLOOKUP(D109,upahbahan,3,FALSE)</f>
        <v>1300</v>
      </c>
      <c r="H109" s="125">
        <f t="shared" si="11"/>
        <v>2215.1999999999998</v>
      </c>
    </row>
    <row r="110" spans="3:9">
      <c r="C110" s="143">
        <v>4</v>
      </c>
      <c r="D110" s="78" t="s">
        <v>86</v>
      </c>
      <c r="E110" s="73" t="s">
        <v>42</v>
      </c>
      <c r="F110" s="75">
        <v>3.0000000000000001E-3</v>
      </c>
      <c r="G110" s="65">
        <f>VLOOKUP(D110,upahbahan,3,FALSE)</f>
        <v>275000</v>
      </c>
      <c r="H110" s="125">
        <f t="shared" si="11"/>
        <v>825</v>
      </c>
    </row>
    <row r="111" spans="3:9">
      <c r="C111" s="145" t="s">
        <v>1226</v>
      </c>
      <c r="D111" s="81"/>
      <c r="E111" s="81"/>
      <c r="F111" s="81"/>
      <c r="G111" s="163"/>
      <c r="H111" s="125">
        <f>SUM(H108:H110)</f>
        <v>8290.2000000000007</v>
      </c>
    </row>
    <row r="112" spans="3:9">
      <c r="C112" s="153" t="s">
        <v>1227</v>
      </c>
      <c r="D112" s="60" t="s">
        <v>1228</v>
      </c>
      <c r="E112" s="74"/>
      <c r="F112" s="74"/>
      <c r="G112" s="74"/>
      <c r="H112" s="147"/>
    </row>
    <row r="113" spans="3:9">
      <c r="C113" s="145" t="s">
        <v>1229</v>
      </c>
      <c r="D113" s="81"/>
      <c r="E113" s="81"/>
      <c r="F113" s="81"/>
      <c r="G113" s="163"/>
      <c r="H113" s="154">
        <v>0</v>
      </c>
    </row>
    <row r="114" spans="3:9">
      <c r="C114" s="123" t="s">
        <v>1230</v>
      </c>
      <c r="D114" s="70" t="s">
        <v>1231</v>
      </c>
      <c r="E114" s="71"/>
      <c r="F114" s="71"/>
      <c r="G114" s="72"/>
      <c r="H114" s="125">
        <f>H113+H111+H106</f>
        <v>19688.7</v>
      </c>
    </row>
    <row r="115" spans="3:9">
      <c r="C115" s="123" t="s">
        <v>1232</v>
      </c>
      <c r="D115" s="70" t="s">
        <v>1540</v>
      </c>
      <c r="E115" s="71"/>
      <c r="F115" s="72"/>
      <c r="G115" s="62" t="s">
        <v>1541</v>
      </c>
      <c r="H115" s="125">
        <f>H114*10%</f>
        <v>1968.8700000000001</v>
      </c>
    </row>
    <row r="116" spans="3:9" ht="15.75" thickBot="1">
      <c r="C116" s="131" t="s">
        <v>1233</v>
      </c>
      <c r="D116" s="132" t="s">
        <v>1234</v>
      </c>
      <c r="E116" s="133"/>
      <c r="F116" s="133"/>
      <c r="G116" s="156"/>
      <c r="H116" s="135">
        <f>SUM(H114:H115)</f>
        <v>21657.57</v>
      </c>
    </row>
    <row r="117" spans="3:9" ht="15.75" thickTop="1">
      <c r="C117" s="58"/>
      <c r="D117" s="82"/>
      <c r="E117" s="82"/>
      <c r="F117" s="82"/>
      <c r="G117" s="82"/>
      <c r="H117" s="83"/>
    </row>
    <row r="118" spans="3:9" ht="15.75" thickBot="1">
      <c r="C118" s="237" t="s">
        <v>1547</v>
      </c>
      <c r="D118" s="237"/>
      <c r="E118" s="237"/>
      <c r="F118" s="237"/>
      <c r="G118" s="237"/>
      <c r="H118" s="237"/>
      <c r="I118" s="57">
        <f>ROUNDDOWN(H135,-2)</f>
        <v>22400</v>
      </c>
    </row>
    <row r="119" spans="3:9" ht="29.25" thickTop="1">
      <c r="C119" s="120" t="s">
        <v>1207</v>
      </c>
      <c r="D119" s="121" t="s">
        <v>1208</v>
      </c>
      <c r="E119" s="121" t="s">
        <v>1209</v>
      </c>
      <c r="F119" s="121" t="s">
        <v>1210</v>
      </c>
      <c r="G119" s="121" t="s">
        <v>1211</v>
      </c>
      <c r="H119" s="122" t="s">
        <v>1212</v>
      </c>
    </row>
    <row r="120" spans="3:9">
      <c r="C120" s="142" t="s">
        <v>1213</v>
      </c>
      <c r="D120" s="60" t="s">
        <v>1214</v>
      </c>
      <c r="E120" s="74"/>
      <c r="F120" s="74"/>
      <c r="G120" s="74"/>
      <c r="H120" s="147"/>
    </row>
    <row r="121" spans="3:9">
      <c r="C121" s="143">
        <v>1</v>
      </c>
      <c r="D121" s="60" t="s">
        <v>5</v>
      </c>
      <c r="E121" s="73" t="s">
        <v>6</v>
      </c>
      <c r="F121" s="184">
        <v>6.6699999999999995E-2</v>
      </c>
      <c r="G121" s="65">
        <f>VLOOKUP(D121,upahbahan,3,FALSE)</f>
        <v>100000</v>
      </c>
      <c r="H121" s="125">
        <f t="shared" ref="H121:H124" si="12">F121*G121</f>
        <v>6669.9999999999991</v>
      </c>
    </row>
    <row r="122" spans="3:9">
      <c r="C122" s="143">
        <v>2</v>
      </c>
      <c r="D122" s="60" t="s">
        <v>7</v>
      </c>
      <c r="E122" s="73" t="s">
        <v>6</v>
      </c>
      <c r="F122" s="184">
        <v>3.3300000000000003E-2</v>
      </c>
      <c r="G122" s="65">
        <f>VLOOKUP(D122,upahbahan,3,FALSE)</f>
        <v>145000</v>
      </c>
      <c r="H122" s="125">
        <f t="shared" si="12"/>
        <v>4828.5000000000009</v>
      </c>
    </row>
    <row r="123" spans="3:9">
      <c r="C123" s="143">
        <v>3</v>
      </c>
      <c r="D123" s="60" t="s">
        <v>18</v>
      </c>
      <c r="E123" s="73" t="s">
        <v>6</v>
      </c>
      <c r="F123" s="184">
        <v>3.3E-3</v>
      </c>
      <c r="G123" s="65">
        <f>VLOOKUP(D123,upahbahan,3,FALSE)</f>
        <v>150000</v>
      </c>
      <c r="H123" s="125">
        <f t="shared" si="12"/>
        <v>495</v>
      </c>
    </row>
    <row r="124" spans="3:9">
      <c r="C124" s="143">
        <v>4</v>
      </c>
      <c r="D124" s="60" t="s">
        <v>19</v>
      </c>
      <c r="E124" s="73" t="s">
        <v>6</v>
      </c>
      <c r="F124" s="184">
        <v>1.1000000000000001E-3</v>
      </c>
      <c r="G124" s="65">
        <f>VLOOKUP(D124,upahbahan,3,FALSE)</f>
        <v>145000</v>
      </c>
      <c r="H124" s="125">
        <f t="shared" si="12"/>
        <v>159.5</v>
      </c>
    </row>
    <row r="125" spans="3:9">
      <c r="C125" s="145" t="s">
        <v>1220</v>
      </c>
      <c r="D125" s="81"/>
      <c r="E125" s="81"/>
      <c r="F125" s="220"/>
      <c r="G125" s="221"/>
      <c r="H125" s="125">
        <f>SUM(H121:H124)</f>
        <v>12153</v>
      </c>
      <c r="I125" s="223"/>
    </row>
    <row r="126" spans="3:9">
      <c r="C126" s="142" t="s">
        <v>1221</v>
      </c>
      <c r="D126" s="60" t="s">
        <v>1222</v>
      </c>
      <c r="E126" s="74"/>
      <c r="F126" s="74"/>
      <c r="G126" s="74"/>
      <c r="H126" s="147"/>
    </row>
    <row r="127" spans="3:9">
      <c r="C127" s="143">
        <v>1</v>
      </c>
      <c r="D127" s="78" t="s">
        <v>492</v>
      </c>
      <c r="E127" s="73" t="s">
        <v>44</v>
      </c>
      <c r="F127" s="184">
        <v>2.625</v>
      </c>
      <c r="G127" s="65">
        <f>VLOOKUP(D127,upahbahan,3,FALSE)</f>
        <v>2000</v>
      </c>
      <c r="H127" s="125">
        <f t="shared" ref="H127:H129" si="13">F127*G127</f>
        <v>5250</v>
      </c>
    </row>
    <row r="128" spans="3:9">
      <c r="C128" s="143">
        <v>2</v>
      </c>
      <c r="D128" s="60" t="s">
        <v>568</v>
      </c>
      <c r="E128" s="73" t="s">
        <v>66</v>
      </c>
      <c r="F128" s="75">
        <v>1.704</v>
      </c>
      <c r="G128" s="65">
        <f>VLOOKUP(D128,upahbahan,3,FALSE)</f>
        <v>1300</v>
      </c>
      <c r="H128" s="125">
        <f t="shared" si="13"/>
        <v>2215.1999999999998</v>
      </c>
    </row>
    <row r="129" spans="3:9">
      <c r="C129" s="143">
        <v>4</v>
      </c>
      <c r="D129" s="78" t="s">
        <v>86</v>
      </c>
      <c r="E129" s="73" t="s">
        <v>42</v>
      </c>
      <c r="F129" s="75">
        <v>3.0000000000000001E-3</v>
      </c>
      <c r="G129" s="65">
        <f>VLOOKUP(D129,upahbahan,3,FALSE)</f>
        <v>275000</v>
      </c>
      <c r="H129" s="125">
        <f t="shared" si="13"/>
        <v>825</v>
      </c>
    </row>
    <row r="130" spans="3:9">
      <c r="C130" s="145" t="s">
        <v>1226</v>
      </c>
      <c r="D130" s="81"/>
      <c r="E130" s="81"/>
      <c r="F130" s="81"/>
      <c r="G130" s="163"/>
      <c r="H130" s="125">
        <f>SUM(H127:H129)</f>
        <v>8290.2000000000007</v>
      </c>
    </row>
    <row r="131" spans="3:9">
      <c r="C131" s="153" t="s">
        <v>1227</v>
      </c>
      <c r="D131" s="60" t="s">
        <v>1228</v>
      </c>
      <c r="E131" s="74"/>
      <c r="F131" s="74"/>
      <c r="G131" s="74"/>
      <c r="H131" s="147"/>
    </row>
    <row r="132" spans="3:9">
      <c r="C132" s="145" t="s">
        <v>1229</v>
      </c>
      <c r="D132" s="81"/>
      <c r="E132" s="81"/>
      <c r="F132" s="81"/>
      <c r="G132" s="163"/>
      <c r="H132" s="154">
        <v>0</v>
      </c>
    </row>
    <row r="133" spans="3:9">
      <c r="C133" s="123" t="s">
        <v>1230</v>
      </c>
      <c r="D133" s="70" t="s">
        <v>1231</v>
      </c>
      <c r="E133" s="71"/>
      <c r="F133" s="71"/>
      <c r="G133" s="72"/>
      <c r="H133" s="125">
        <f>H132+H130+H125</f>
        <v>20443.2</v>
      </c>
    </row>
    <row r="134" spans="3:9">
      <c r="C134" s="123" t="s">
        <v>1232</v>
      </c>
      <c r="D134" s="70" t="s">
        <v>1540</v>
      </c>
      <c r="E134" s="71"/>
      <c r="F134" s="72"/>
      <c r="G134" s="62" t="s">
        <v>1541</v>
      </c>
      <c r="H134" s="125">
        <f>H133*10%</f>
        <v>2044.3200000000002</v>
      </c>
    </row>
    <row r="135" spans="3:9" ht="15.75" thickBot="1">
      <c r="C135" s="131" t="s">
        <v>1233</v>
      </c>
      <c r="D135" s="132" t="s">
        <v>1234</v>
      </c>
      <c r="E135" s="133"/>
      <c r="F135" s="133"/>
      <c r="G135" s="156"/>
      <c r="H135" s="135">
        <f>SUM(H133:H134)</f>
        <v>22487.52</v>
      </c>
    </row>
    <row r="136" spans="3:9" ht="15.75" thickTop="1">
      <c r="C136" s="90"/>
      <c r="D136" s="91"/>
      <c r="E136" s="91"/>
      <c r="F136" s="91"/>
      <c r="G136" s="91"/>
      <c r="H136" s="92"/>
    </row>
    <row r="137" spans="3:9" ht="15.75" thickBot="1">
      <c r="C137" s="237" t="s">
        <v>1548</v>
      </c>
      <c r="D137" s="237"/>
      <c r="E137" s="237"/>
      <c r="F137" s="237"/>
      <c r="G137" s="237"/>
      <c r="H137" s="237"/>
      <c r="I137" s="57">
        <f>ROUNDDOWN(H154,-2)</f>
        <v>22400</v>
      </c>
    </row>
    <row r="138" spans="3:9" ht="29.25" thickTop="1">
      <c r="C138" s="120" t="s">
        <v>1207</v>
      </c>
      <c r="D138" s="121" t="s">
        <v>1208</v>
      </c>
      <c r="E138" s="121" t="s">
        <v>1209</v>
      </c>
      <c r="F138" s="121" t="s">
        <v>1210</v>
      </c>
      <c r="G138" s="121" t="s">
        <v>1211</v>
      </c>
      <c r="H138" s="122" t="s">
        <v>1212</v>
      </c>
    </row>
    <row r="139" spans="3:9">
      <c r="C139" s="142" t="s">
        <v>1213</v>
      </c>
      <c r="D139" s="60" t="s">
        <v>1214</v>
      </c>
      <c r="E139" s="74"/>
      <c r="F139" s="74"/>
      <c r="G139" s="74"/>
      <c r="H139" s="147"/>
    </row>
    <row r="140" spans="3:9">
      <c r="C140" s="143">
        <v>1</v>
      </c>
      <c r="D140" s="60" t="s">
        <v>5</v>
      </c>
      <c r="E140" s="73" t="s">
        <v>6</v>
      </c>
      <c r="F140" s="184">
        <v>7.1400000000000005E-2</v>
      </c>
      <c r="G140" s="65">
        <f>VLOOKUP(D140,upahbahan,3,FALSE)</f>
        <v>100000</v>
      </c>
      <c r="H140" s="125">
        <f t="shared" ref="H140:H143" si="14">F140*G140</f>
        <v>7140.0000000000009</v>
      </c>
    </row>
    <row r="141" spans="3:9">
      <c r="C141" s="143">
        <v>2</v>
      </c>
      <c r="D141" s="60" t="s">
        <v>7</v>
      </c>
      <c r="E141" s="73" t="s">
        <v>6</v>
      </c>
      <c r="F141" s="184">
        <v>3.5700000000000003E-2</v>
      </c>
      <c r="G141" s="65">
        <f>VLOOKUP(D141,upahbahan,3,FALSE)</f>
        <v>145000</v>
      </c>
      <c r="H141" s="125">
        <f t="shared" si="14"/>
        <v>5176.5</v>
      </c>
    </row>
    <row r="142" spans="3:9">
      <c r="C142" s="143">
        <v>3</v>
      </c>
      <c r="D142" s="60" t="s">
        <v>18</v>
      </c>
      <c r="E142" s="73" t="s">
        <v>6</v>
      </c>
      <c r="F142" s="184">
        <v>3.5999999999999999E-3</v>
      </c>
      <c r="G142" s="65">
        <f>VLOOKUP(D142,upahbahan,3,FALSE)</f>
        <v>150000</v>
      </c>
      <c r="H142" s="125">
        <f t="shared" si="14"/>
        <v>540</v>
      </c>
    </row>
    <row r="143" spans="3:9">
      <c r="C143" s="143">
        <v>4</v>
      </c>
      <c r="D143" s="60" t="s">
        <v>19</v>
      </c>
      <c r="E143" s="73" t="s">
        <v>6</v>
      </c>
      <c r="F143" s="184">
        <v>1.1999999999999999E-3</v>
      </c>
      <c r="G143" s="65">
        <f>VLOOKUP(D143,upahbahan,3,FALSE)</f>
        <v>145000</v>
      </c>
      <c r="H143" s="125">
        <f t="shared" si="14"/>
        <v>173.99999999999997</v>
      </c>
    </row>
    <row r="144" spans="3:9">
      <c r="C144" s="145" t="s">
        <v>1220</v>
      </c>
      <c r="D144" s="81"/>
      <c r="E144" s="81"/>
      <c r="F144" s="220"/>
      <c r="G144" s="221"/>
      <c r="H144" s="125">
        <f>SUM(H140:H143)</f>
        <v>13030.5</v>
      </c>
      <c r="I144" s="223"/>
    </row>
    <row r="145" spans="3:9">
      <c r="C145" s="142" t="s">
        <v>1221</v>
      </c>
      <c r="D145" s="60" t="s">
        <v>1222</v>
      </c>
      <c r="E145" s="74"/>
      <c r="F145" s="74"/>
      <c r="G145" s="74"/>
      <c r="H145" s="147"/>
    </row>
    <row r="146" spans="3:9">
      <c r="C146" s="143">
        <v>1</v>
      </c>
      <c r="D146" s="78" t="s">
        <v>493</v>
      </c>
      <c r="E146" s="73" t="s">
        <v>44</v>
      </c>
      <c r="F146" s="75">
        <v>1.75</v>
      </c>
      <c r="G146" s="65">
        <f>VLOOKUP(D146,upahbahan,3,FALSE)</f>
        <v>2500</v>
      </c>
      <c r="H146" s="125">
        <f t="shared" ref="H146:H148" si="15">F146*G146</f>
        <v>4375</v>
      </c>
    </row>
    <row r="147" spans="3:9">
      <c r="C147" s="143">
        <v>2</v>
      </c>
      <c r="D147" s="60" t="s">
        <v>568</v>
      </c>
      <c r="E147" s="73" t="s">
        <v>66</v>
      </c>
      <c r="F147" s="75">
        <v>1.704</v>
      </c>
      <c r="G147" s="65">
        <f>VLOOKUP(D147,upahbahan,3,FALSE)</f>
        <v>1300</v>
      </c>
      <c r="H147" s="125">
        <f t="shared" si="15"/>
        <v>2215.1999999999998</v>
      </c>
    </row>
    <row r="148" spans="3:9">
      <c r="C148" s="143">
        <v>4</v>
      </c>
      <c r="D148" s="78" t="s">
        <v>86</v>
      </c>
      <c r="E148" s="73" t="s">
        <v>42</v>
      </c>
      <c r="F148" s="75">
        <v>3.0000000000000001E-3</v>
      </c>
      <c r="G148" s="65">
        <f>VLOOKUP(D148,upahbahan,3,FALSE)</f>
        <v>275000</v>
      </c>
      <c r="H148" s="125">
        <f t="shared" si="15"/>
        <v>825</v>
      </c>
    </row>
    <row r="149" spans="3:9">
      <c r="C149" s="145" t="s">
        <v>1226</v>
      </c>
      <c r="D149" s="81"/>
      <c r="E149" s="81"/>
      <c r="F149" s="81"/>
      <c r="G149" s="163"/>
      <c r="H149" s="125">
        <f>SUM(H146:H148)</f>
        <v>7415.2</v>
      </c>
    </row>
    <row r="150" spans="3:9">
      <c r="C150" s="153" t="s">
        <v>1227</v>
      </c>
      <c r="D150" s="60" t="s">
        <v>1228</v>
      </c>
      <c r="E150" s="74"/>
      <c r="F150" s="74"/>
      <c r="G150" s="74"/>
      <c r="H150" s="147"/>
    </row>
    <row r="151" spans="3:9">
      <c r="C151" s="145" t="s">
        <v>1229</v>
      </c>
      <c r="D151" s="81"/>
      <c r="E151" s="81"/>
      <c r="F151" s="81"/>
      <c r="G151" s="163"/>
      <c r="H151" s="154">
        <v>0</v>
      </c>
    </row>
    <row r="152" spans="3:9">
      <c r="C152" s="123" t="s">
        <v>1230</v>
      </c>
      <c r="D152" s="70" t="s">
        <v>1231</v>
      </c>
      <c r="E152" s="71"/>
      <c r="F152" s="71"/>
      <c r="G152" s="72"/>
      <c r="H152" s="125">
        <f>H151+H149+H144</f>
        <v>20445.7</v>
      </c>
    </row>
    <row r="153" spans="3:9">
      <c r="C153" s="123" t="s">
        <v>1232</v>
      </c>
      <c r="D153" s="70" t="s">
        <v>1540</v>
      </c>
      <c r="E153" s="71"/>
      <c r="F153" s="72"/>
      <c r="G153" s="62" t="s">
        <v>1541</v>
      </c>
      <c r="H153" s="125">
        <f>H152*10%</f>
        <v>2044.5700000000002</v>
      </c>
    </row>
    <row r="154" spans="3:9" ht="15.75" thickBot="1">
      <c r="C154" s="131" t="s">
        <v>1233</v>
      </c>
      <c r="D154" s="132" t="s">
        <v>1234</v>
      </c>
      <c r="E154" s="133"/>
      <c r="F154" s="133"/>
      <c r="G154" s="156"/>
      <c r="H154" s="135">
        <f>SUM(H152:H153)</f>
        <v>22490.27</v>
      </c>
    </row>
    <row r="155" spans="3:9" ht="15.75" thickTop="1">
      <c r="C155" s="90"/>
      <c r="D155" s="91"/>
      <c r="E155" s="91"/>
      <c r="F155" s="91"/>
      <c r="G155" s="91"/>
      <c r="H155" s="92"/>
    </row>
    <row r="156" spans="3:9" ht="15.75" thickBot="1">
      <c r="C156" s="237" t="s">
        <v>1549</v>
      </c>
      <c r="D156" s="237"/>
      <c r="E156" s="237"/>
      <c r="F156" s="237"/>
      <c r="G156" s="237"/>
      <c r="H156" s="237"/>
      <c r="I156" s="57">
        <f>ROUNDDOWN(H174,-2)</f>
        <v>125000</v>
      </c>
    </row>
    <row r="157" spans="3:9" ht="29.25" thickTop="1">
      <c r="C157" s="120" t="s">
        <v>1207</v>
      </c>
      <c r="D157" s="121" t="s">
        <v>1208</v>
      </c>
      <c r="E157" s="121" t="s">
        <v>1209</v>
      </c>
      <c r="F157" s="121" t="s">
        <v>1210</v>
      </c>
      <c r="G157" s="121" t="s">
        <v>1211</v>
      </c>
      <c r="H157" s="122" t="s">
        <v>1212</v>
      </c>
    </row>
    <row r="158" spans="3:9">
      <c r="C158" s="142" t="s">
        <v>1213</v>
      </c>
      <c r="D158" s="60" t="s">
        <v>1214</v>
      </c>
      <c r="E158" s="74"/>
      <c r="F158" s="74"/>
      <c r="G158" s="74"/>
      <c r="H158" s="147"/>
    </row>
    <row r="159" spans="3:9">
      <c r="C159" s="143">
        <v>1</v>
      </c>
      <c r="D159" s="60" t="s">
        <v>5</v>
      </c>
      <c r="E159" s="73" t="s">
        <v>6</v>
      </c>
      <c r="F159" s="184">
        <v>0.1333</v>
      </c>
      <c r="G159" s="65">
        <f>VLOOKUP(D159,upahbahan,3,FALSE)</f>
        <v>100000</v>
      </c>
      <c r="H159" s="125">
        <f t="shared" ref="H159:H162" si="16">F159*G159</f>
        <v>13330</v>
      </c>
    </row>
    <row r="160" spans="3:9">
      <c r="C160" s="143">
        <v>2</v>
      </c>
      <c r="D160" s="60" t="s">
        <v>7</v>
      </c>
      <c r="E160" s="73" t="s">
        <v>6</v>
      </c>
      <c r="F160" s="184">
        <v>6.6699999999999995E-2</v>
      </c>
      <c r="G160" s="65">
        <f>VLOOKUP(D160,upahbahan,3,FALSE)</f>
        <v>145000</v>
      </c>
      <c r="H160" s="125">
        <f t="shared" si="16"/>
        <v>9671.5</v>
      </c>
    </row>
    <row r="161" spans="3:9">
      <c r="C161" s="143">
        <v>3</v>
      </c>
      <c r="D161" s="60" t="s">
        <v>18</v>
      </c>
      <c r="E161" s="73" t="s">
        <v>6</v>
      </c>
      <c r="F161" s="184">
        <v>6.7000000000000002E-3</v>
      </c>
      <c r="G161" s="65">
        <f>VLOOKUP(D161,upahbahan,3,FALSE)</f>
        <v>150000</v>
      </c>
      <c r="H161" s="125">
        <f t="shared" si="16"/>
        <v>1005</v>
      </c>
    </row>
    <row r="162" spans="3:9">
      <c r="C162" s="143">
        <v>4</v>
      </c>
      <c r="D162" s="60" t="s">
        <v>19</v>
      </c>
      <c r="E162" s="73" t="s">
        <v>6</v>
      </c>
      <c r="F162" s="184">
        <v>2.2000000000000001E-3</v>
      </c>
      <c r="G162" s="65">
        <f>VLOOKUP(D162,upahbahan,3,FALSE)</f>
        <v>145000</v>
      </c>
      <c r="H162" s="125">
        <f t="shared" si="16"/>
        <v>319</v>
      </c>
    </row>
    <row r="163" spans="3:9">
      <c r="C163" s="145" t="s">
        <v>1220</v>
      </c>
      <c r="D163" s="81"/>
      <c r="E163" s="81"/>
      <c r="F163" s="220"/>
      <c r="G163" s="221"/>
      <c r="H163" s="125">
        <f>SUM(H159:H162)</f>
        <v>24325.5</v>
      </c>
      <c r="I163" s="223"/>
    </row>
    <row r="164" spans="3:9">
      <c r="C164" s="142" t="s">
        <v>1221</v>
      </c>
      <c r="D164" s="60" t="s">
        <v>1222</v>
      </c>
      <c r="E164" s="74"/>
      <c r="F164" s="74"/>
      <c r="G164" s="74"/>
      <c r="H164" s="147"/>
    </row>
    <row r="165" spans="3:9">
      <c r="C165" s="201" t="s">
        <v>1215</v>
      </c>
      <c r="D165" s="78" t="s">
        <v>526</v>
      </c>
      <c r="E165" s="73" t="s">
        <v>44</v>
      </c>
      <c r="F165" s="75">
        <v>26.25</v>
      </c>
      <c r="G165" s="65">
        <f>VLOOKUP(D165,upahbahan,3,FALSE)</f>
        <v>2000</v>
      </c>
      <c r="H165" s="125">
        <f t="shared" ref="H165:H168" si="17">F165*G165</f>
        <v>52500</v>
      </c>
    </row>
    <row r="166" spans="3:9">
      <c r="C166" s="201" t="s">
        <v>1216</v>
      </c>
      <c r="D166" s="60" t="s">
        <v>568</v>
      </c>
      <c r="E166" s="73" t="s">
        <v>66</v>
      </c>
      <c r="F166" s="75">
        <v>13.632</v>
      </c>
      <c r="G166" s="65">
        <f>VLOOKUP(D166,upahbahan,3,FALSE)</f>
        <v>1300</v>
      </c>
      <c r="H166" s="125">
        <f t="shared" si="17"/>
        <v>17721.599999999999</v>
      </c>
    </row>
    <row r="167" spans="3:9">
      <c r="C167" s="201" t="s">
        <v>1217</v>
      </c>
      <c r="D167" s="60" t="s">
        <v>571</v>
      </c>
      <c r="E167" s="73" t="s">
        <v>66</v>
      </c>
      <c r="F167" s="75">
        <v>1.5</v>
      </c>
      <c r="G167" s="65">
        <f>VLOOKUP(D167,upahbahan,3,FALSE)</f>
        <v>7800</v>
      </c>
      <c r="H167" s="125">
        <f t="shared" si="17"/>
        <v>11700</v>
      </c>
    </row>
    <row r="168" spans="3:9">
      <c r="C168" s="201" t="s">
        <v>1218</v>
      </c>
      <c r="D168" s="78" t="s">
        <v>86</v>
      </c>
      <c r="E168" s="73" t="s">
        <v>42</v>
      </c>
      <c r="F168" s="75">
        <v>2.7E-2</v>
      </c>
      <c r="G168" s="65">
        <f>VLOOKUP(D168,upahbahan,3,FALSE)</f>
        <v>275000</v>
      </c>
      <c r="H168" s="125">
        <f t="shared" si="17"/>
        <v>7425</v>
      </c>
    </row>
    <row r="169" spans="3:9">
      <c r="C169" s="145" t="s">
        <v>1226</v>
      </c>
      <c r="D169" s="81"/>
      <c r="E169" s="81"/>
      <c r="F169" s="81"/>
      <c r="G169" s="163"/>
      <c r="H169" s="125">
        <f>SUM(H165:H168)</f>
        <v>89346.6</v>
      </c>
    </row>
    <row r="170" spans="3:9">
      <c r="C170" s="153" t="s">
        <v>1227</v>
      </c>
      <c r="D170" s="60" t="s">
        <v>1228</v>
      </c>
      <c r="E170" s="74"/>
      <c r="F170" s="74"/>
      <c r="G170" s="74"/>
      <c r="H170" s="147"/>
    </row>
    <row r="171" spans="3:9">
      <c r="C171" s="145" t="s">
        <v>1229</v>
      </c>
      <c r="D171" s="81"/>
      <c r="E171" s="81"/>
      <c r="F171" s="81"/>
      <c r="G171" s="163"/>
      <c r="H171" s="154">
        <v>0</v>
      </c>
    </row>
    <row r="172" spans="3:9">
      <c r="C172" s="123" t="s">
        <v>1230</v>
      </c>
      <c r="D172" s="70" t="s">
        <v>1231</v>
      </c>
      <c r="E172" s="71"/>
      <c r="F172" s="71"/>
      <c r="G172" s="72"/>
      <c r="H172" s="125">
        <f>H171+H169+H163</f>
        <v>113672.1</v>
      </c>
    </row>
    <row r="173" spans="3:9">
      <c r="C173" s="123" t="s">
        <v>1232</v>
      </c>
      <c r="D173" s="70" t="s">
        <v>1540</v>
      </c>
      <c r="E173" s="71"/>
      <c r="F173" s="72"/>
      <c r="G173" s="62" t="s">
        <v>1541</v>
      </c>
      <c r="H173" s="125">
        <f>H172*10%</f>
        <v>11367.210000000001</v>
      </c>
    </row>
    <row r="174" spans="3:9" ht="15.75" thickBot="1">
      <c r="C174" s="131" t="s">
        <v>1233</v>
      </c>
      <c r="D174" s="132" t="s">
        <v>1234</v>
      </c>
      <c r="E174" s="133"/>
      <c r="F174" s="133"/>
      <c r="G174" s="156"/>
      <c r="H174" s="135">
        <f>SUM(H172:H173)</f>
        <v>125039.31000000001</v>
      </c>
    </row>
    <row r="175" spans="3:9" ht="15.75" thickTop="1">
      <c r="C175" s="90"/>
      <c r="D175" s="91"/>
      <c r="E175" s="91"/>
      <c r="F175" s="91"/>
      <c r="G175" s="91"/>
      <c r="H175" s="92"/>
    </row>
    <row r="176" spans="3:9" ht="15.75" thickBot="1">
      <c r="C176" s="237" t="s">
        <v>1550</v>
      </c>
      <c r="D176" s="237"/>
      <c r="E176" s="237"/>
      <c r="F176" s="237"/>
      <c r="G176" s="237"/>
      <c r="H176" s="237"/>
      <c r="I176" s="57">
        <f>ROUNDDOWN(H194,-2)</f>
        <v>126900</v>
      </c>
    </row>
    <row r="177" spans="3:9" ht="29.25" thickTop="1">
      <c r="C177" s="120" t="s">
        <v>1207</v>
      </c>
      <c r="D177" s="121" t="s">
        <v>1208</v>
      </c>
      <c r="E177" s="121" t="s">
        <v>1209</v>
      </c>
      <c r="F177" s="121" t="s">
        <v>1210</v>
      </c>
      <c r="G177" s="121" t="s">
        <v>1211</v>
      </c>
      <c r="H177" s="122" t="s">
        <v>1212</v>
      </c>
    </row>
    <row r="178" spans="3:9">
      <c r="C178" s="142" t="s">
        <v>1213</v>
      </c>
      <c r="D178" s="60" t="s">
        <v>1214</v>
      </c>
      <c r="E178" s="74"/>
      <c r="F178" s="74"/>
      <c r="G178" s="74"/>
      <c r="H178" s="147"/>
    </row>
    <row r="179" spans="3:9">
      <c r="C179" s="143">
        <v>1</v>
      </c>
      <c r="D179" s="60" t="s">
        <v>5</v>
      </c>
      <c r="E179" s="73" t="s">
        <v>6</v>
      </c>
      <c r="F179" s="184">
        <v>0.1429</v>
      </c>
      <c r="G179" s="65">
        <f>VLOOKUP(D179,upahbahan,3,FALSE)</f>
        <v>100000</v>
      </c>
      <c r="H179" s="125">
        <f t="shared" ref="H179:H182" si="18">F179*G179</f>
        <v>14290</v>
      </c>
    </row>
    <row r="180" spans="3:9">
      <c r="C180" s="143">
        <v>2</v>
      </c>
      <c r="D180" s="60" t="s">
        <v>7</v>
      </c>
      <c r="E180" s="73" t="s">
        <v>6</v>
      </c>
      <c r="F180" s="184">
        <v>7.1400000000000005E-2</v>
      </c>
      <c r="G180" s="65">
        <f>VLOOKUP(D180,upahbahan,3,FALSE)</f>
        <v>145000</v>
      </c>
      <c r="H180" s="125">
        <f t="shared" si="18"/>
        <v>10353</v>
      </c>
    </row>
    <row r="181" spans="3:9">
      <c r="C181" s="143">
        <v>3</v>
      </c>
      <c r="D181" s="60" t="s">
        <v>18</v>
      </c>
      <c r="E181" s="73" t="s">
        <v>6</v>
      </c>
      <c r="F181" s="184">
        <v>7.1000000000000004E-3</v>
      </c>
      <c r="G181" s="65">
        <f>VLOOKUP(D181,upahbahan,3,FALSE)</f>
        <v>150000</v>
      </c>
      <c r="H181" s="125">
        <f t="shared" si="18"/>
        <v>1065</v>
      </c>
    </row>
    <row r="182" spans="3:9">
      <c r="C182" s="143">
        <v>4</v>
      </c>
      <c r="D182" s="60" t="s">
        <v>19</v>
      </c>
      <c r="E182" s="73" t="s">
        <v>6</v>
      </c>
      <c r="F182" s="184">
        <v>2.3999999999999998E-3</v>
      </c>
      <c r="G182" s="65">
        <f>VLOOKUP(D182,upahbahan,3,FALSE)</f>
        <v>145000</v>
      </c>
      <c r="H182" s="125">
        <f t="shared" si="18"/>
        <v>347.99999999999994</v>
      </c>
    </row>
    <row r="183" spans="3:9">
      <c r="C183" s="145" t="s">
        <v>1220</v>
      </c>
      <c r="D183" s="81"/>
      <c r="E183" s="81"/>
      <c r="F183" s="220"/>
      <c r="G183" s="221"/>
      <c r="H183" s="125">
        <f>SUM(H179:H182)</f>
        <v>26056</v>
      </c>
      <c r="I183" s="223"/>
    </row>
    <row r="184" spans="3:9">
      <c r="C184" s="142" t="s">
        <v>1221</v>
      </c>
      <c r="D184" s="60" t="s">
        <v>1222</v>
      </c>
      <c r="E184" s="74"/>
      <c r="F184" s="74"/>
      <c r="G184" s="74"/>
      <c r="H184" s="147"/>
    </row>
    <row r="185" spans="3:9">
      <c r="C185" s="201" t="s">
        <v>1215</v>
      </c>
      <c r="D185" s="78" t="s">
        <v>527</v>
      </c>
      <c r="E185" s="73" t="s">
        <v>44</v>
      </c>
      <c r="F185" s="75">
        <v>11.667</v>
      </c>
      <c r="G185" s="65">
        <f>VLOOKUP(D185,upahbahan,3,FALSE)</f>
        <v>4500</v>
      </c>
      <c r="H185" s="125">
        <f t="shared" ref="H185:H188" si="19">F185*G185</f>
        <v>52501.5</v>
      </c>
    </row>
    <row r="186" spans="3:9">
      <c r="C186" s="201" t="s">
        <v>1216</v>
      </c>
      <c r="D186" s="60" t="s">
        <v>568</v>
      </c>
      <c r="E186" s="73" t="s">
        <v>66</v>
      </c>
      <c r="F186" s="75">
        <v>13.632</v>
      </c>
      <c r="G186" s="65">
        <f>VLOOKUP(D186,upahbahan,3,FALSE)</f>
        <v>1300</v>
      </c>
      <c r="H186" s="125">
        <f t="shared" si="19"/>
        <v>17721.599999999999</v>
      </c>
    </row>
    <row r="187" spans="3:9">
      <c r="C187" s="201" t="s">
        <v>1217</v>
      </c>
      <c r="D187" s="60" t="s">
        <v>571</v>
      </c>
      <c r="E187" s="73" t="s">
        <v>66</v>
      </c>
      <c r="F187" s="75">
        <v>1.5</v>
      </c>
      <c r="G187" s="65">
        <f>VLOOKUP(D187,upahbahan,3,FALSE)</f>
        <v>7800</v>
      </c>
      <c r="H187" s="125">
        <f t="shared" si="19"/>
        <v>11700</v>
      </c>
    </row>
    <row r="188" spans="3:9">
      <c r="C188" s="201" t="s">
        <v>1218</v>
      </c>
      <c r="D188" s="78" t="s">
        <v>86</v>
      </c>
      <c r="E188" s="73" t="s">
        <v>42</v>
      </c>
      <c r="F188" s="75">
        <v>2.7E-2</v>
      </c>
      <c r="G188" s="65">
        <f>VLOOKUP(D188,upahbahan,3,FALSE)</f>
        <v>275000</v>
      </c>
      <c r="H188" s="125">
        <f t="shared" si="19"/>
        <v>7425</v>
      </c>
    </row>
    <row r="189" spans="3:9">
      <c r="C189" s="145" t="s">
        <v>1226</v>
      </c>
      <c r="D189" s="81"/>
      <c r="E189" s="81"/>
      <c r="F189" s="81"/>
      <c r="G189" s="163"/>
      <c r="H189" s="125">
        <f>SUM(H185:H188)</f>
        <v>89348.1</v>
      </c>
    </row>
    <row r="190" spans="3:9">
      <c r="C190" s="153" t="s">
        <v>1227</v>
      </c>
      <c r="D190" s="60" t="s">
        <v>1228</v>
      </c>
      <c r="E190" s="74"/>
      <c r="F190" s="74"/>
      <c r="G190" s="74"/>
      <c r="H190" s="147"/>
    </row>
    <row r="191" spans="3:9">
      <c r="C191" s="145" t="s">
        <v>1229</v>
      </c>
      <c r="D191" s="81"/>
      <c r="E191" s="81"/>
      <c r="F191" s="81"/>
      <c r="G191" s="163"/>
      <c r="H191" s="154">
        <v>0</v>
      </c>
    </row>
    <row r="192" spans="3:9">
      <c r="C192" s="123" t="s">
        <v>1230</v>
      </c>
      <c r="D192" s="70" t="s">
        <v>1231</v>
      </c>
      <c r="E192" s="71"/>
      <c r="F192" s="71"/>
      <c r="G192" s="72"/>
      <c r="H192" s="125">
        <f>H191+H189+H183</f>
        <v>115404.1</v>
      </c>
    </row>
    <row r="193" spans="3:9">
      <c r="C193" s="123" t="s">
        <v>1232</v>
      </c>
      <c r="D193" s="70" t="s">
        <v>1540</v>
      </c>
      <c r="E193" s="71"/>
      <c r="F193" s="72"/>
      <c r="G193" s="62" t="s">
        <v>1541</v>
      </c>
      <c r="H193" s="125">
        <f>H192*10%</f>
        <v>11540.410000000002</v>
      </c>
    </row>
    <row r="194" spans="3:9" ht="15.75" thickBot="1">
      <c r="C194" s="131" t="s">
        <v>1233</v>
      </c>
      <c r="D194" s="132" t="s">
        <v>1234</v>
      </c>
      <c r="E194" s="133"/>
      <c r="F194" s="133"/>
      <c r="G194" s="156"/>
      <c r="H194" s="135">
        <f>SUM(H192:H193)</f>
        <v>126944.51000000001</v>
      </c>
    </row>
    <row r="195" spans="3:9" ht="15.75" thickTop="1">
      <c r="C195" s="90"/>
      <c r="D195" s="91"/>
      <c r="E195" s="91"/>
      <c r="F195" s="91"/>
      <c r="G195" s="91"/>
      <c r="H195" s="92"/>
    </row>
    <row r="196" spans="3:9" ht="15.75" thickBot="1">
      <c r="C196" s="237" t="s">
        <v>1551</v>
      </c>
      <c r="D196" s="237"/>
      <c r="E196" s="237"/>
      <c r="F196" s="237"/>
      <c r="G196" s="237"/>
      <c r="H196" s="237"/>
      <c r="I196" s="57">
        <f>ROUNDDOWN(H214,-2)</f>
        <v>114700</v>
      </c>
    </row>
    <row r="197" spans="3:9" ht="29.25" thickTop="1">
      <c r="C197" s="120" t="s">
        <v>1207</v>
      </c>
      <c r="D197" s="121" t="s">
        <v>1208</v>
      </c>
      <c r="E197" s="121" t="s">
        <v>1209</v>
      </c>
      <c r="F197" s="121" t="s">
        <v>1210</v>
      </c>
      <c r="G197" s="121" t="s">
        <v>1211</v>
      </c>
      <c r="H197" s="122" t="s">
        <v>1212</v>
      </c>
    </row>
    <row r="198" spans="3:9">
      <c r="C198" s="142" t="s">
        <v>1213</v>
      </c>
      <c r="D198" s="60" t="s">
        <v>1214</v>
      </c>
      <c r="E198" s="74"/>
      <c r="F198" s="74"/>
      <c r="G198" s="74"/>
      <c r="H198" s="147"/>
    </row>
    <row r="199" spans="3:9">
      <c r="C199" s="143">
        <v>1</v>
      </c>
      <c r="D199" s="60" t="s">
        <v>5</v>
      </c>
      <c r="E199" s="73" t="s">
        <v>6</v>
      </c>
      <c r="F199" s="184">
        <v>0.15379999999999999</v>
      </c>
      <c r="G199" s="65">
        <f>VLOOKUP(D199,upahbahan,3,FALSE)</f>
        <v>100000</v>
      </c>
      <c r="H199" s="125">
        <f t="shared" ref="H199:H202" si="20">F199*G199</f>
        <v>15380</v>
      </c>
    </row>
    <row r="200" spans="3:9">
      <c r="C200" s="143">
        <v>2</v>
      </c>
      <c r="D200" s="60" t="s">
        <v>7</v>
      </c>
      <c r="E200" s="73" t="s">
        <v>6</v>
      </c>
      <c r="F200" s="184">
        <v>7.6899999999999996E-2</v>
      </c>
      <c r="G200" s="65">
        <f>VLOOKUP(D200,upahbahan,3,FALSE)</f>
        <v>145000</v>
      </c>
      <c r="H200" s="125">
        <f t="shared" si="20"/>
        <v>11150.5</v>
      </c>
    </row>
    <row r="201" spans="3:9">
      <c r="C201" s="143">
        <v>3</v>
      </c>
      <c r="D201" s="60" t="s">
        <v>18</v>
      </c>
      <c r="E201" s="73" t="s">
        <v>6</v>
      </c>
      <c r="F201" s="184">
        <v>7.7000000000000002E-3</v>
      </c>
      <c r="G201" s="65">
        <f>VLOOKUP(D201,upahbahan,3,FALSE)</f>
        <v>150000</v>
      </c>
      <c r="H201" s="125">
        <f t="shared" si="20"/>
        <v>1155</v>
      </c>
    </row>
    <row r="202" spans="3:9">
      <c r="C202" s="143">
        <v>4</v>
      </c>
      <c r="D202" s="60" t="s">
        <v>19</v>
      </c>
      <c r="E202" s="73" t="s">
        <v>6</v>
      </c>
      <c r="F202" s="184">
        <v>2.5999999999999999E-3</v>
      </c>
      <c r="G202" s="65">
        <f>VLOOKUP(D202,upahbahan,3,FALSE)</f>
        <v>145000</v>
      </c>
      <c r="H202" s="125">
        <f t="shared" si="20"/>
        <v>377</v>
      </c>
    </row>
    <row r="203" spans="3:9">
      <c r="C203" s="145" t="s">
        <v>1220</v>
      </c>
      <c r="D203" s="81"/>
      <c r="E203" s="81"/>
      <c r="F203" s="220"/>
      <c r="G203" s="221"/>
      <c r="H203" s="125">
        <f>SUM(H199:H202)</f>
        <v>28062.5</v>
      </c>
      <c r="I203" s="223"/>
    </row>
    <row r="204" spans="3:9">
      <c r="C204" s="142" t="s">
        <v>1221</v>
      </c>
      <c r="D204" s="60" t="s">
        <v>1222</v>
      </c>
      <c r="E204" s="74"/>
      <c r="F204" s="74"/>
      <c r="G204" s="74"/>
      <c r="H204" s="147"/>
    </row>
    <row r="205" spans="3:9">
      <c r="C205" s="201" t="s">
        <v>1215</v>
      </c>
      <c r="D205" s="78" t="s">
        <v>528</v>
      </c>
      <c r="E205" s="73" t="s">
        <v>44</v>
      </c>
      <c r="F205" s="184">
        <v>6.5629999999999997</v>
      </c>
      <c r="G205" s="65">
        <f>VLOOKUP(D205,upahbahan,3,FALSE)</f>
        <v>6000</v>
      </c>
      <c r="H205" s="125">
        <f t="shared" ref="H205:H208" si="21">F205*G205</f>
        <v>39378</v>
      </c>
    </row>
    <row r="206" spans="3:9">
      <c r="C206" s="201" t="s">
        <v>1216</v>
      </c>
      <c r="D206" s="60" t="s">
        <v>568</v>
      </c>
      <c r="E206" s="73" t="s">
        <v>66</v>
      </c>
      <c r="F206" s="75">
        <v>13.632</v>
      </c>
      <c r="G206" s="65">
        <f>VLOOKUP(D206,upahbahan,3,FALSE)</f>
        <v>1300</v>
      </c>
      <c r="H206" s="125">
        <f t="shared" si="21"/>
        <v>17721.599999999999</v>
      </c>
    </row>
    <row r="207" spans="3:9">
      <c r="C207" s="201" t="s">
        <v>1217</v>
      </c>
      <c r="D207" s="60" t="s">
        <v>571</v>
      </c>
      <c r="E207" s="73" t="s">
        <v>66</v>
      </c>
      <c r="F207" s="75">
        <v>1.5</v>
      </c>
      <c r="G207" s="65">
        <f>VLOOKUP(D207,upahbahan,3,FALSE)</f>
        <v>7800</v>
      </c>
      <c r="H207" s="125">
        <f t="shared" si="21"/>
        <v>11700</v>
      </c>
    </row>
    <row r="208" spans="3:9">
      <c r="C208" s="201" t="s">
        <v>1218</v>
      </c>
      <c r="D208" s="78" t="s">
        <v>86</v>
      </c>
      <c r="E208" s="73" t="s">
        <v>42</v>
      </c>
      <c r="F208" s="75">
        <v>2.7E-2</v>
      </c>
      <c r="G208" s="65">
        <f>VLOOKUP(D208,upahbahan,3,FALSE)</f>
        <v>275000</v>
      </c>
      <c r="H208" s="125">
        <f t="shared" si="21"/>
        <v>7425</v>
      </c>
    </row>
    <row r="209" spans="3:9">
      <c r="C209" s="145" t="s">
        <v>1226</v>
      </c>
      <c r="D209" s="81"/>
      <c r="E209" s="81"/>
      <c r="F209" s="81"/>
      <c r="G209" s="163"/>
      <c r="H209" s="125">
        <f>SUM(H205:H208)</f>
        <v>76224.600000000006</v>
      </c>
    </row>
    <row r="210" spans="3:9">
      <c r="C210" s="153" t="s">
        <v>1227</v>
      </c>
      <c r="D210" s="60" t="s">
        <v>1228</v>
      </c>
      <c r="E210" s="74"/>
      <c r="F210" s="74"/>
      <c r="G210" s="74"/>
      <c r="H210" s="147"/>
    </row>
    <row r="211" spans="3:9">
      <c r="C211" s="145" t="s">
        <v>1229</v>
      </c>
      <c r="D211" s="81"/>
      <c r="E211" s="81"/>
      <c r="F211" s="81"/>
      <c r="G211" s="163"/>
      <c r="H211" s="154">
        <v>0</v>
      </c>
    </row>
    <row r="212" spans="3:9">
      <c r="C212" s="123" t="s">
        <v>1230</v>
      </c>
      <c r="D212" s="70" t="s">
        <v>1231</v>
      </c>
      <c r="E212" s="71"/>
      <c r="F212" s="71"/>
      <c r="G212" s="72"/>
      <c r="H212" s="125">
        <f>H211+H209+H203</f>
        <v>104287.1</v>
      </c>
    </row>
    <row r="213" spans="3:9">
      <c r="C213" s="123" t="s">
        <v>1232</v>
      </c>
      <c r="D213" s="70" t="s">
        <v>1540</v>
      </c>
      <c r="E213" s="71"/>
      <c r="F213" s="72"/>
      <c r="G213" s="62" t="s">
        <v>1541</v>
      </c>
      <c r="H213" s="125">
        <f>H212*10%</f>
        <v>10428.710000000001</v>
      </c>
    </row>
    <row r="214" spans="3:9" ht="15.75" thickBot="1">
      <c r="C214" s="131" t="s">
        <v>1233</v>
      </c>
      <c r="D214" s="132" t="s">
        <v>1234</v>
      </c>
      <c r="E214" s="133"/>
      <c r="F214" s="133"/>
      <c r="G214" s="156"/>
      <c r="H214" s="135">
        <f>SUM(H212:H213)</f>
        <v>114715.81000000001</v>
      </c>
    </row>
    <row r="215" spans="3:9" ht="15.75" thickTop="1">
      <c r="C215" s="58"/>
      <c r="D215" s="82"/>
      <c r="E215" s="82"/>
      <c r="F215" s="82"/>
      <c r="G215" s="82"/>
      <c r="H215" s="83"/>
    </row>
    <row r="216" spans="3:9" ht="15.75" thickBot="1">
      <c r="C216" s="237" t="s">
        <v>1552</v>
      </c>
      <c r="D216" s="237"/>
      <c r="E216" s="237"/>
      <c r="F216" s="237"/>
      <c r="G216" s="237"/>
      <c r="H216" s="237"/>
      <c r="I216" s="57">
        <f>ROUNDDOWN(H234,-2)</f>
        <v>108800</v>
      </c>
    </row>
    <row r="217" spans="3:9" ht="29.25" thickTop="1">
      <c r="C217" s="120" t="s">
        <v>1207</v>
      </c>
      <c r="D217" s="121" t="s">
        <v>1208</v>
      </c>
      <c r="E217" s="121" t="s">
        <v>1209</v>
      </c>
      <c r="F217" s="121" t="s">
        <v>1210</v>
      </c>
      <c r="G217" s="121" t="s">
        <v>1211</v>
      </c>
      <c r="H217" s="122" t="s">
        <v>1212</v>
      </c>
    </row>
    <row r="218" spans="3:9">
      <c r="C218" s="142" t="s">
        <v>1213</v>
      </c>
      <c r="D218" s="60" t="s">
        <v>1214</v>
      </c>
      <c r="E218" s="74"/>
      <c r="F218" s="74"/>
      <c r="G218" s="74"/>
      <c r="H218" s="147"/>
    </row>
    <row r="219" spans="3:9">
      <c r="C219" s="143">
        <v>1</v>
      </c>
      <c r="D219" s="60" t="s">
        <v>5</v>
      </c>
      <c r="E219" s="73" t="s">
        <v>6</v>
      </c>
      <c r="F219" s="94">
        <v>0.25</v>
      </c>
      <c r="G219" s="65">
        <f>VLOOKUP(D219,upahbahan,3,FALSE)</f>
        <v>100000</v>
      </c>
      <c r="H219" s="125">
        <f t="shared" ref="H219:H222" si="22">F219*G219</f>
        <v>25000</v>
      </c>
    </row>
    <row r="220" spans="3:9">
      <c r="C220" s="143">
        <v>2</v>
      </c>
      <c r="D220" s="60" t="s">
        <v>7</v>
      </c>
      <c r="E220" s="73" t="s">
        <v>6</v>
      </c>
      <c r="F220" s="94">
        <v>8.3299999999999999E-2</v>
      </c>
      <c r="G220" s="65">
        <f>VLOOKUP(D220,upahbahan,3,FALSE)</f>
        <v>145000</v>
      </c>
      <c r="H220" s="125">
        <f t="shared" si="22"/>
        <v>12078.5</v>
      </c>
    </row>
    <row r="221" spans="3:9">
      <c r="C221" s="143">
        <v>3</v>
      </c>
      <c r="D221" s="60" t="s">
        <v>18</v>
      </c>
      <c r="E221" s="73" t="s">
        <v>6</v>
      </c>
      <c r="F221" s="94">
        <v>8.3000000000000001E-3</v>
      </c>
      <c r="G221" s="65">
        <f>VLOOKUP(D221,upahbahan,3,FALSE)</f>
        <v>150000</v>
      </c>
      <c r="H221" s="125">
        <f t="shared" si="22"/>
        <v>1245</v>
      </c>
    </row>
    <row r="222" spans="3:9">
      <c r="C222" s="143">
        <v>4</v>
      </c>
      <c r="D222" s="60" t="s">
        <v>19</v>
      </c>
      <c r="E222" s="73" t="s">
        <v>6</v>
      </c>
      <c r="F222" s="94">
        <v>2.8E-3</v>
      </c>
      <c r="G222" s="65">
        <f>VLOOKUP(D222,upahbahan,3,FALSE)</f>
        <v>145000</v>
      </c>
      <c r="H222" s="125">
        <f t="shared" si="22"/>
        <v>406</v>
      </c>
    </row>
    <row r="223" spans="3:9">
      <c r="C223" s="145" t="s">
        <v>1220</v>
      </c>
      <c r="D223" s="81"/>
      <c r="E223" s="81"/>
      <c r="F223" s="220"/>
      <c r="G223" s="221"/>
      <c r="H223" s="125">
        <f>SUM(H219:H222)</f>
        <v>38729.5</v>
      </c>
      <c r="I223" s="223"/>
    </row>
    <row r="224" spans="3:9">
      <c r="C224" s="142" t="s">
        <v>1221</v>
      </c>
      <c r="D224" s="60" t="s">
        <v>1222</v>
      </c>
      <c r="E224" s="74"/>
      <c r="F224" s="74"/>
      <c r="G224" s="74"/>
      <c r="H224" s="147"/>
    </row>
    <row r="225" spans="3:9">
      <c r="C225" s="201" t="s">
        <v>1215</v>
      </c>
      <c r="D225" s="78" t="s">
        <v>529</v>
      </c>
      <c r="E225" s="73" t="s">
        <v>44</v>
      </c>
      <c r="F225" s="184">
        <v>2.9169999999999998</v>
      </c>
      <c r="G225" s="65">
        <f>VLOOKUP(D225,upahbahan,3,FALSE)</f>
        <v>8000</v>
      </c>
      <c r="H225" s="125">
        <f t="shared" ref="H225:H228" si="23">F225*G225</f>
        <v>23336</v>
      </c>
    </row>
    <row r="226" spans="3:9">
      <c r="C226" s="201" t="s">
        <v>1216</v>
      </c>
      <c r="D226" s="60" t="s">
        <v>568</v>
      </c>
      <c r="E226" s="73" t="s">
        <v>66</v>
      </c>
      <c r="F226" s="75">
        <v>13.632</v>
      </c>
      <c r="G226" s="65">
        <f>VLOOKUP(D226,upahbahan,3,FALSE)</f>
        <v>1300</v>
      </c>
      <c r="H226" s="125">
        <f t="shared" si="23"/>
        <v>17721.599999999999</v>
      </c>
    </row>
    <row r="227" spans="3:9">
      <c r="C227" s="201" t="s">
        <v>1217</v>
      </c>
      <c r="D227" s="60" t="s">
        <v>571</v>
      </c>
      <c r="E227" s="73" t="s">
        <v>66</v>
      </c>
      <c r="F227" s="75">
        <v>1.5</v>
      </c>
      <c r="G227" s="65">
        <f>VLOOKUP(D227,upahbahan,3,FALSE)</f>
        <v>7800</v>
      </c>
      <c r="H227" s="125">
        <f t="shared" si="23"/>
        <v>11700</v>
      </c>
    </row>
    <row r="228" spans="3:9">
      <c r="C228" s="201" t="s">
        <v>1218</v>
      </c>
      <c r="D228" s="78" t="s">
        <v>86</v>
      </c>
      <c r="E228" s="73" t="s">
        <v>42</v>
      </c>
      <c r="F228" s="75">
        <v>2.7E-2</v>
      </c>
      <c r="G228" s="65">
        <f>VLOOKUP(D228,upahbahan,3,FALSE)</f>
        <v>275000</v>
      </c>
      <c r="H228" s="125">
        <f t="shared" si="23"/>
        <v>7425</v>
      </c>
    </row>
    <row r="229" spans="3:9">
      <c r="C229" s="145" t="s">
        <v>1226</v>
      </c>
      <c r="D229" s="81"/>
      <c r="E229" s="81"/>
      <c r="F229" s="81"/>
      <c r="G229" s="163"/>
      <c r="H229" s="125">
        <f>SUM(H225:H228)</f>
        <v>60182.6</v>
      </c>
    </row>
    <row r="230" spans="3:9">
      <c r="C230" s="153" t="s">
        <v>1227</v>
      </c>
      <c r="D230" s="60" t="s">
        <v>1228</v>
      </c>
      <c r="E230" s="74"/>
      <c r="F230" s="74"/>
      <c r="G230" s="74"/>
      <c r="H230" s="147"/>
    </row>
    <row r="231" spans="3:9">
      <c r="C231" s="145" t="s">
        <v>1229</v>
      </c>
      <c r="D231" s="81"/>
      <c r="E231" s="81"/>
      <c r="F231" s="81"/>
      <c r="G231" s="163"/>
      <c r="H231" s="154">
        <v>0</v>
      </c>
    </row>
    <row r="232" spans="3:9">
      <c r="C232" s="123" t="s">
        <v>1230</v>
      </c>
      <c r="D232" s="70" t="s">
        <v>1231</v>
      </c>
      <c r="E232" s="71"/>
      <c r="F232" s="71"/>
      <c r="G232" s="72"/>
      <c r="H232" s="125">
        <f>H231+H229+H223</f>
        <v>98912.1</v>
      </c>
    </row>
    <row r="233" spans="3:9">
      <c r="C233" s="123" t="s">
        <v>1232</v>
      </c>
      <c r="D233" s="70" t="s">
        <v>1540</v>
      </c>
      <c r="E233" s="71"/>
      <c r="F233" s="72"/>
      <c r="G233" s="62" t="s">
        <v>1541</v>
      </c>
      <c r="H233" s="125">
        <f>H232*10%</f>
        <v>9891.2100000000009</v>
      </c>
    </row>
    <row r="234" spans="3:9" ht="15.75" thickBot="1">
      <c r="C234" s="131" t="s">
        <v>1233</v>
      </c>
      <c r="D234" s="132" t="s">
        <v>1234</v>
      </c>
      <c r="E234" s="133"/>
      <c r="F234" s="133"/>
      <c r="G234" s="156"/>
      <c r="H234" s="135">
        <f>SUM(H232:H233)</f>
        <v>108803.31000000001</v>
      </c>
    </row>
    <row r="235" spans="3:9" ht="15.75" thickTop="1">
      <c r="C235" s="58"/>
      <c r="D235" s="82"/>
      <c r="E235" s="82"/>
      <c r="F235" s="82"/>
      <c r="G235" s="82"/>
      <c r="H235" s="83"/>
    </row>
    <row r="236" spans="3:9" ht="15.75" thickBot="1">
      <c r="C236" s="237" t="s">
        <v>1553</v>
      </c>
      <c r="D236" s="237"/>
      <c r="E236" s="237"/>
      <c r="F236" s="237"/>
      <c r="G236" s="237"/>
      <c r="H236" s="237"/>
      <c r="I236" s="57">
        <f>ROUNDDOWN(H254,-2)</f>
        <v>25100</v>
      </c>
    </row>
    <row r="237" spans="3:9" ht="29.25" thickTop="1">
      <c r="C237" s="120" t="s">
        <v>1207</v>
      </c>
      <c r="D237" s="121" t="s">
        <v>1208</v>
      </c>
      <c r="E237" s="121" t="s">
        <v>1209</v>
      </c>
      <c r="F237" s="121" t="s">
        <v>1210</v>
      </c>
      <c r="G237" s="121" t="s">
        <v>1211</v>
      </c>
      <c r="H237" s="122" t="s">
        <v>1212</v>
      </c>
    </row>
    <row r="238" spans="3:9">
      <c r="C238" s="142" t="s">
        <v>1213</v>
      </c>
      <c r="D238" s="60" t="s">
        <v>1214</v>
      </c>
      <c r="E238" s="74"/>
      <c r="F238" s="74"/>
      <c r="G238" s="74"/>
      <c r="H238" s="147"/>
    </row>
    <row r="239" spans="3:9">
      <c r="C239" s="143">
        <v>1</v>
      </c>
      <c r="D239" s="60" t="s">
        <v>5</v>
      </c>
      <c r="E239" s="73" t="s">
        <v>6</v>
      </c>
      <c r="F239" s="94">
        <v>5.7099999999999998E-2</v>
      </c>
      <c r="G239" s="65">
        <f>VLOOKUP(D239,upahbahan,3,FALSE)</f>
        <v>100000</v>
      </c>
      <c r="H239" s="125">
        <f t="shared" ref="H239:H242" si="24">F239*G239</f>
        <v>5710</v>
      </c>
    </row>
    <row r="240" spans="3:9">
      <c r="C240" s="143">
        <v>2</v>
      </c>
      <c r="D240" s="60" t="s">
        <v>7</v>
      </c>
      <c r="E240" s="73" t="s">
        <v>6</v>
      </c>
      <c r="F240" s="94">
        <v>2.86E-2</v>
      </c>
      <c r="G240" s="65">
        <f>VLOOKUP(D240,upahbahan,3,FALSE)</f>
        <v>145000</v>
      </c>
      <c r="H240" s="125">
        <f t="shared" si="24"/>
        <v>4147</v>
      </c>
    </row>
    <row r="241" spans="3:9">
      <c r="C241" s="143">
        <v>3</v>
      </c>
      <c r="D241" s="60" t="s">
        <v>18</v>
      </c>
      <c r="E241" s="73" t="s">
        <v>6</v>
      </c>
      <c r="F241" s="94">
        <v>2.8999999999999998E-3</v>
      </c>
      <c r="G241" s="65">
        <f>VLOOKUP(D241,upahbahan,3,FALSE)</f>
        <v>150000</v>
      </c>
      <c r="H241" s="125">
        <f t="shared" si="24"/>
        <v>434.99999999999994</v>
      </c>
    </row>
    <row r="242" spans="3:9">
      <c r="C242" s="143">
        <v>4</v>
      </c>
      <c r="D242" s="60" t="s">
        <v>19</v>
      </c>
      <c r="E242" s="73" t="s">
        <v>6</v>
      </c>
      <c r="F242" s="94">
        <v>1E-3</v>
      </c>
      <c r="G242" s="65">
        <f>VLOOKUP(D242,upahbahan,3,FALSE)</f>
        <v>145000</v>
      </c>
      <c r="H242" s="125">
        <f t="shared" si="24"/>
        <v>145</v>
      </c>
    </row>
    <row r="243" spans="3:9">
      <c r="C243" s="145" t="s">
        <v>1220</v>
      </c>
      <c r="D243" s="81"/>
      <c r="E243" s="81"/>
      <c r="F243" s="220"/>
      <c r="G243" s="221"/>
      <c r="H243" s="125">
        <f>SUM(H239:H242)</f>
        <v>10437</v>
      </c>
      <c r="I243" s="223"/>
    </row>
    <row r="244" spans="3:9">
      <c r="C244" s="142" t="s">
        <v>1221</v>
      </c>
      <c r="D244" s="60" t="s">
        <v>1222</v>
      </c>
      <c r="E244" s="74"/>
      <c r="F244" s="74"/>
      <c r="G244" s="74"/>
      <c r="H244" s="147"/>
    </row>
    <row r="245" spans="3:9">
      <c r="C245" s="201" t="s">
        <v>1215</v>
      </c>
      <c r="D245" s="78" t="s">
        <v>496</v>
      </c>
      <c r="E245" s="73" t="s">
        <v>44</v>
      </c>
      <c r="F245" s="75">
        <v>5.25</v>
      </c>
      <c r="G245" s="65">
        <f>VLOOKUP(D245,upahbahan,3,FALSE)</f>
        <v>1500</v>
      </c>
      <c r="H245" s="125">
        <f t="shared" ref="H245:H248" si="25">F245*G245</f>
        <v>7875</v>
      </c>
    </row>
    <row r="246" spans="3:9">
      <c r="C246" s="201" t="s">
        <v>1216</v>
      </c>
      <c r="D246" s="60" t="s">
        <v>568</v>
      </c>
      <c r="E246" s="73" t="s">
        <v>66</v>
      </c>
      <c r="F246" s="75">
        <v>1.704</v>
      </c>
      <c r="G246" s="65">
        <f>VLOOKUP(D246,upahbahan,3,FALSE)</f>
        <v>1300</v>
      </c>
      <c r="H246" s="125">
        <f t="shared" si="25"/>
        <v>2215.1999999999998</v>
      </c>
    </row>
    <row r="247" spans="3:9">
      <c r="C247" s="201" t="s">
        <v>1217</v>
      </c>
      <c r="D247" s="60" t="s">
        <v>571</v>
      </c>
      <c r="E247" s="73" t="s">
        <v>66</v>
      </c>
      <c r="F247" s="75">
        <v>0.188</v>
      </c>
      <c r="G247" s="65">
        <f>VLOOKUP(D247,upahbahan,3,FALSE)</f>
        <v>7800</v>
      </c>
      <c r="H247" s="125">
        <f t="shared" si="25"/>
        <v>1466.4</v>
      </c>
    </row>
    <row r="248" spans="3:9">
      <c r="C248" s="201" t="s">
        <v>1218</v>
      </c>
      <c r="D248" s="78" t="s">
        <v>86</v>
      </c>
      <c r="E248" s="73" t="s">
        <v>42</v>
      </c>
      <c r="F248" s="75">
        <v>3.0000000000000001E-3</v>
      </c>
      <c r="G248" s="65">
        <f>VLOOKUP(D248,upahbahan,3,FALSE)</f>
        <v>275000</v>
      </c>
      <c r="H248" s="125">
        <f t="shared" si="25"/>
        <v>825</v>
      </c>
    </row>
    <row r="249" spans="3:9">
      <c r="C249" s="145" t="s">
        <v>1226</v>
      </c>
      <c r="D249" s="81"/>
      <c r="E249" s="81"/>
      <c r="F249" s="81"/>
      <c r="G249" s="163"/>
      <c r="H249" s="125">
        <f>SUM(H245:H248)</f>
        <v>12381.6</v>
      </c>
    </row>
    <row r="250" spans="3:9">
      <c r="C250" s="153" t="s">
        <v>1227</v>
      </c>
      <c r="D250" s="60" t="s">
        <v>1228</v>
      </c>
      <c r="E250" s="74"/>
      <c r="F250" s="74"/>
      <c r="G250" s="74"/>
      <c r="H250" s="147"/>
    </row>
    <row r="251" spans="3:9">
      <c r="C251" s="145" t="s">
        <v>1229</v>
      </c>
      <c r="D251" s="81"/>
      <c r="E251" s="81"/>
      <c r="F251" s="81"/>
      <c r="G251" s="163"/>
      <c r="H251" s="154">
        <v>0</v>
      </c>
    </row>
    <row r="252" spans="3:9">
      <c r="C252" s="123" t="s">
        <v>1230</v>
      </c>
      <c r="D252" s="70" t="s">
        <v>1231</v>
      </c>
      <c r="E252" s="71"/>
      <c r="F252" s="71"/>
      <c r="G252" s="72"/>
      <c r="H252" s="125">
        <f>H251+H249+H243</f>
        <v>22818.6</v>
      </c>
    </row>
    <row r="253" spans="3:9">
      <c r="C253" s="123" t="s">
        <v>1232</v>
      </c>
      <c r="D253" s="70" t="s">
        <v>1540</v>
      </c>
      <c r="E253" s="71"/>
      <c r="F253" s="72"/>
      <c r="G253" s="62" t="s">
        <v>1541</v>
      </c>
      <c r="H253" s="125">
        <f>H252*10%</f>
        <v>2281.86</v>
      </c>
    </row>
    <row r="254" spans="3:9" ht="15.75" thickBot="1">
      <c r="C254" s="131" t="s">
        <v>1233</v>
      </c>
      <c r="D254" s="132" t="s">
        <v>1234</v>
      </c>
      <c r="E254" s="133"/>
      <c r="F254" s="133"/>
      <c r="G254" s="156"/>
      <c r="H254" s="135">
        <f>SUM(H252:H253)</f>
        <v>25100.46</v>
      </c>
    </row>
    <row r="255" spans="3:9" ht="15.75" thickTop="1">
      <c r="C255" s="58"/>
      <c r="D255" s="82"/>
      <c r="E255" s="82"/>
      <c r="F255" s="82"/>
      <c r="G255" s="82"/>
      <c r="H255" s="83"/>
    </row>
    <row r="256" spans="3:9" ht="15.75" thickBot="1">
      <c r="C256" s="524" t="s">
        <v>1554</v>
      </c>
      <c r="D256" s="525"/>
      <c r="E256" s="525"/>
      <c r="F256" s="525"/>
      <c r="G256" s="525"/>
      <c r="H256" s="525"/>
      <c r="I256" s="57">
        <f>ROUNDDOWN(H274,-2)</f>
        <v>25100</v>
      </c>
    </row>
    <row r="257" spans="3:9" ht="29.25" thickTop="1">
      <c r="C257" s="120" t="s">
        <v>1207</v>
      </c>
      <c r="D257" s="121" t="s">
        <v>1208</v>
      </c>
      <c r="E257" s="121" t="s">
        <v>1209</v>
      </c>
      <c r="F257" s="121" t="s">
        <v>1210</v>
      </c>
      <c r="G257" s="121" t="s">
        <v>1211</v>
      </c>
      <c r="H257" s="122" t="s">
        <v>1212</v>
      </c>
    </row>
    <row r="258" spans="3:9">
      <c r="C258" s="142" t="s">
        <v>1213</v>
      </c>
      <c r="D258" s="60" t="s">
        <v>1214</v>
      </c>
      <c r="E258" s="74"/>
      <c r="F258" s="74"/>
      <c r="G258" s="74"/>
      <c r="H258" s="147"/>
    </row>
    <row r="259" spans="3:9">
      <c r="C259" s="143">
        <v>1</v>
      </c>
      <c r="D259" s="60" t="s">
        <v>5</v>
      </c>
      <c r="E259" s="73" t="s">
        <v>6</v>
      </c>
      <c r="F259" s="94">
        <v>6.25E-2</v>
      </c>
      <c r="G259" s="65">
        <f>VLOOKUP(D259,upahbahan,3,FALSE)</f>
        <v>100000</v>
      </c>
      <c r="H259" s="125">
        <f t="shared" ref="H259:H262" si="26">F259*G259</f>
        <v>6250</v>
      </c>
    </row>
    <row r="260" spans="3:9">
      <c r="C260" s="143">
        <v>2</v>
      </c>
      <c r="D260" s="60" t="s">
        <v>7</v>
      </c>
      <c r="E260" s="73" t="s">
        <v>6</v>
      </c>
      <c r="F260" s="94">
        <v>3.1300000000000001E-2</v>
      </c>
      <c r="G260" s="65">
        <f>VLOOKUP(D260,upahbahan,3,FALSE)</f>
        <v>145000</v>
      </c>
      <c r="H260" s="125">
        <f t="shared" si="26"/>
        <v>4538.5</v>
      </c>
    </row>
    <row r="261" spans="3:9">
      <c r="C261" s="143">
        <v>3</v>
      </c>
      <c r="D261" s="60" t="s">
        <v>18</v>
      </c>
      <c r="E261" s="73" t="s">
        <v>6</v>
      </c>
      <c r="F261" s="94">
        <v>3.0999999999999999E-3</v>
      </c>
      <c r="G261" s="65">
        <f>VLOOKUP(D261,upahbahan,3,FALSE)</f>
        <v>150000</v>
      </c>
      <c r="H261" s="125">
        <f t="shared" si="26"/>
        <v>465</v>
      </c>
    </row>
    <row r="262" spans="3:9">
      <c r="C262" s="143">
        <v>4</v>
      </c>
      <c r="D262" s="60" t="s">
        <v>19</v>
      </c>
      <c r="E262" s="73" t="s">
        <v>6</v>
      </c>
      <c r="F262" s="94">
        <v>1E-3</v>
      </c>
      <c r="G262" s="65">
        <f>VLOOKUP(D262,upahbahan,3,FALSE)</f>
        <v>145000</v>
      </c>
      <c r="H262" s="125">
        <f t="shared" si="26"/>
        <v>145</v>
      </c>
    </row>
    <row r="263" spans="3:9">
      <c r="C263" s="145" t="s">
        <v>1220</v>
      </c>
      <c r="D263" s="81"/>
      <c r="E263" s="81"/>
      <c r="F263" s="220"/>
      <c r="G263" s="221"/>
      <c r="H263" s="125">
        <f>SUM(H259:H262)</f>
        <v>11398.5</v>
      </c>
      <c r="I263" s="223"/>
    </row>
    <row r="264" spans="3:9">
      <c r="C264" s="142" t="s">
        <v>1221</v>
      </c>
      <c r="D264" s="60" t="s">
        <v>1222</v>
      </c>
      <c r="E264" s="74"/>
      <c r="F264" s="74"/>
      <c r="G264" s="74"/>
      <c r="H264" s="147"/>
    </row>
    <row r="265" spans="3:9">
      <c r="C265" s="201" t="s">
        <v>1215</v>
      </c>
      <c r="D265" s="78" t="s">
        <v>497</v>
      </c>
      <c r="E265" s="73" t="s">
        <v>44</v>
      </c>
      <c r="F265" s="75">
        <v>3.5</v>
      </c>
      <c r="G265" s="65">
        <f>VLOOKUP(D265,upahbahan,3,FALSE)</f>
        <v>2000</v>
      </c>
      <c r="H265" s="125">
        <f t="shared" ref="H265:H268" si="27">F265*G265</f>
        <v>7000</v>
      </c>
    </row>
    <row r="266" spans="3:9">
      <c r="C266" s="201" t="s">
        <v>1216</v>
      </c>
      <c r="D266" s="60" t="s">
        <v>568</v>
      </c>
      <c r="E266" s="73" t="s">
        <v>66</v>
      </c>
      <c r="F266" s="75">
        <v>1.704</v>
      </c>
      <c r="G266" s="65">
        <f>VLOOKUP(D266,upahbahan,3,FALSE)</f>
        <v>1300</v>
      </c>
      <c r="H266" s="125">
        <f t="shared" si="27"/>
        <v>2215.1999999999998</v>
      </c>
    </row>
    <row r="267" spans="3:9">
      <c r="C267" s="201" t="s">
        <v>1217</v>
      </c>
      <c r="D267" s="60" t="s">
        <v>571</v>
      </c>
      <c r="E267" s="73" t="s">
        <v>66</v>
      </c>
      <c r="F267" s="75">
        <v>0.188</v>
      </c>
      <c r="G267" s="65">
        <f>VLOOKUP(D267,upahbahan,3,FALSE)</f>
        <v>7800</v>
      </c>
      <c r="H267" s="125">
        <f t="shared" si="27"/>
        <v>1466.4</v>
      </c>
    </row>
    <row r="268" spans="3:9">
      <c r="C268" s="201" t="s">
        <v>1218</v>
      </c>
      <c r="D268" s="78" t="s">
        <v>86</v>
      </c>
      <c r="E268" s="73" t="s">
        <v>42</v>
      </c>
      <c r="F268" s="75">
        <v>3.0000000000000001E-3</v>
      </c>
      <c r="G268" s="65">
        <f>VLOOKUP(D268,upahbahan,3,FALSE)</f>
        <v>275000</v>
      </c>
      <c r="H268" s="125">
        <f t="shared" si="27"/>
        <v>825</v>
      </c>
    </row>
    <row r="269" spans="3:9">
      <c r="C269" s="145" t="s">
        <v>1226</v>
      </c>
      <c r="D269" s="81"/>
      <c r="E269" s="81"/>
      <c r="F269" s="81"/>
      <c r="G269" s="163"/>
      <c r="H269" s="125">
        <f>SUM(H265:H268)</f>
        <v>11506.6</v>
      </c>
    </row>
    <row r="270" spans="3:9">
      <c r="C270" s="153" t="s">
        <v>1227</v>
      </c>
      <c r="D270" s="60" t="s">
        <v>1228</v>
      </c>
      <c r="E270" s="74"/>
      <c r="F270" s="74"/>
      <c r="G270" s="74"/>
      <c r="H270" s="147"/>
    </row>
    <row r="271" spans="3:9">
      <c r="C271" s="145" t="s">
        <v>1229</v>
      </c>
      <c r="D271" s="81"/>
      <c r="E271" s="81"/>
      <c r="F271" s="81"/>
      <c r="G271" s="163"/>
      <c r="H271" s="154">
        <v>0</v>
      </c>
    </row>
    <row r="272" spans="3:9">
      <c r="C272" s="123" t="s">
        <v>1230</v>
      </c>
      <c r="D272" s="70" t="s">
        <v>1231</v>
      </c>
      <c r="E272" s="71"/>
      <c r="F272" s="71"/>
      <c r="G272" s="72"/>
      <c r="H272" s="125">
        <f>H271+H269+H263</f>
        <v>22905.1</v>
      </c>
    </row>
    <row r="273" spans="3:9">
      <c r="C273" s="123" t="s">
        <v>1232</v>
      </c>
      <c r="D273" s="70" t="s">
        <v>1540</v>
      </c>
      <c r="E273" s="71"/>
      <c r="F273" s="72"/>
      <c r="G273" s="62" t="s">
        <v>1541</v>
      </c>
      <c r="H273" s="125">
        <f>H272*10%</f>
        <v>2290.5099999999998</v>
      </c>
    </row>
    <row r="274" spans="3:9" ht="15.75" thickBot="1">
      <c r="C274" s="131" t="s">
        <v>1233</v>
      </c>
      <c r="D274" s="132" t="s">
        <v>1234</v>
      </c>
      <c r="E274" s="133"/>
      <c r="F274" s="133"/>
      <c r="G274" s="156"/>
      <c r="H274" s="135">
        <f>SUM(H272:H273)</f>
        <v>25195.609999999997</v>
      </c>
    </row>
    <row r="275" spans="3:9" ht="15.75" thickTop="1">
      <c r="C275" s="90"/>
      <c r="D275" s="91"/>
      <c r="E275" s="91"/>
      <c r="F275" s="91"/>
      <c r="G275" s="91"/>
      <c r="H275" s="92"/>
    </row>
    <row r="276" spans="3:9" ht="15.75" thickBot="1">
      <c r="C276" s="524" t="s">
        <v>1555</v>
      </c>
      <c r="D276" s="525"/>
      <c r="E276" s="525"/>
      <c r="F276" s="525"/>
      <c r="G276" s="525"/>
      <c r="H276" s="525"/>
      <c r="I276" s="57">
        <f>ROUNDDOWN(H294,-2)</f>
        <v>8680800</v>
      </c>
    </row>
    <row r="277" spans="3:9" ht="29.25" thickTop="1">
      <c r="C277" s="120" t="s">
        <v>1207</v>
      </c>
      <c r="D277" s="121" t="s">
        <v>1208</v>
      </c>
      <c r="E277" s="121" t="s">
        <v>1209</v>
      </c>
      <c r="F277" s="121" t="s">
        <v>1210</v>
      </c>
      <c r="G277" s="121" t="s">
        <v>1211</v>
      </c>
      <c r="H277" s="122" t="s">
        <v>1212</v>
      </c>
    </row>
    <row r="278" spans="3:9">
      <c r="C278" s="142" t="s">
        <v>1213</v>
      </c>
      <c r="D278" s="60" t="s">
        <v>1214</v>
      </c>
      <c r="E278" s="74"/>
      <c r="F278" s="74"/>
      <c r="G278" s="74"/>
      <c r="H278" s="147"/>
    </row>
    <row r="279" spans="3:9">
      <c r="C279" s="143">
        <v>1</v>
      </c>
      <c r="D279" s="60" t="s">
        <v>5</v>
      </c>
      <c r="E279" s="73" t="s">
        <v>6</v>
      </c>
      <c r="F279" s="184">
        <v>6.6699999999999995E-2</v>
      </c>
      <c r="G279" s="65">
        <f>VLOOKUP(D279,upahbahan,3,FALSE)</f>
        <v>100000</v>
      </c>
      <c r="H279" s="125">
        <f t="shared" ref="H279:H282" si="28">F279*G279</f>
        <v>6669.9999999999991</v>
      </c>
    </row>
    <row r="280" spans="3:9">
      <c r="C280" s="143">
        <v>2</v>
      </c>
      <c r="D280" s="60" t="s">
        <v>7</v>
      </c>
      <c r="E280" s="73" t="s">
        <v>6</v>
      </c>
      <c r="F280" s="184">
        <v>3.3300000000000003E-2</v>
      </c>
      <c r="G280" s="65">
        <f>VLOOKUP(D280,upahbahan,3,FALSE)</f>
        <v>145000</v>
      </c>
      <c r="H280" s="125">
        <f t="shared" si="28"/>
        <v>4828.5000000000009</v>
      </c>
    </row>
    <row r="281" spans="3:9">
      <c r="C281" s="143">
        <v>3</v>
      </c>
      <c r="D281" s="60" t="s">
        <v>18</v>
      </c>
      <c r="E281" s="73" t="s">
        <v>6</v>
      </c>
      <c r="F281" s="184">
        <v>3.3E-3</v>
      </c>
      <c r="G281" s="65">
        <f>VLOOKUP(D281,upahbahan,3,FALSE)</f>
        <v>150000</v>
      </c>
      <c r="H281" s="125">
        <f t="shared" si="28"/>
        <v>495</v>
      </c>
    </row>
    <row r="282" spans="3:9">
      <c r="C282" s="143">
        <v>4</v>
      </c>
      <c r="D282" s="60" t="s">
        <v>19</v>
      </c>
      <c r="E282" s="73" t="s">
        <v>6</v>
      </c>
      <c r="F282" s="184">
        <v>1.1000000000000001E-3</v>
      </c>
      <c r="G282" s="65">
        <f>VLOOKUP(D282,upahbahan,3,FALSE)</f>
        <v>145000</v>
      </c>
      <c r="H282" s="125">
        <f t="shared" si="28"/>
        <v>159.5</v>
      </c>
    </row>
    <row r="283" spans="3:9">
      <c r="C283" s="145" t="s">
        <v>1220</v>
      </c>
      <c r="D283" s="81"/>
      <c r="E283" s="81"/>
      <c r="F283" s="220"/>
      <c r="G283" s="221"/>
      <c r="H283" s="125">
        <f>SUM(H279:H282)</f>
        <v>12153</v>
      </c>
      <c r="I283" s="223"/>
    </row>
    <row r="284" spans="3:9">
      <c r="C284" s="142" t="s">
        <v>1221</v>
      </c>
      <c r="D284" s="60" t="s">
        <v>1222</v>
      </c>
      <c r="E284" s="74"/>
      <c r="F284" s="74"/>
      <c r="G284" s="74"/>
      <c r="H284" s="147"/>
    </row>
    <row r="285" spans="3:9">
      <c r="C285" s="201" t="s">
        <v>1215</v>
      </c>
      <c r="D285" s="78" t="s">
        <v>498</v>
      </c>
      <c r="E285" s="73" t="s">
        <v>44</v>
      </c>
      <c r="F285" s="75" t="s">
        <v>1556</v>
      </c>
      <c r="G285" s="65">
        <f>VLOOKUP(D285,upahbahan,3,FALSE)</f>
        <v>3000</v>
      </c>
      <c r="H285" s="125">
        <f t="shared" ref="H285:H288" si="29">F285*G285</f>
        <v>7875000</v>
      </c>
    </row>
    <row r="286" spans="3:9">
      <c r="C286" s="201" t="s">
        <v>1216</v>
      </c>
      <c r="D286" s="60" t="s">
        <v>568</v>
      </c>
      <c r="E286" s="73" t="s">
        <v>66</v>
      </c>
      <c r="F286" s="75">
        <v>1.704</v>
      </c>
      <c r="G286" s="65">
        <f>VLOOKUP(D286,upahbahan,3,FALSE)</f>
        <v>1300</v>
      </c>
      <c r="H286" s="125">
        <f t="shared" si="29"/>
        <v>2215.1999999999998</v>
      </c>
    </row>
    <row r="287" spans="3:9">
      <c r="C287" s="201" t="s">
        <v>1217</v>
      </c>
      <c r="D287" s="60" t="s">
        <v>571</v>
      </c>
      <c r="E287" s="73" t="s">
        <v>66</v>
      </c>
      <c r="F287" s="75">
        <v>0.188</v>
      </c>
      <c r="G287" s="65">
        <f>VLOOKUP(D287,upahbahan,3,FALSE)</f>
        <v>7800</v>
      </c>
      <c r="H287" s="125">
        <f t="shared" si="29"/>
        <v>1466.4</v>
      </c>
    </row>
    <row r="288" spans="3:9">
      <c r="C288" s="201" t="s">
        <v>1218</v>
      </c>
      <c r="D288" s="78" t="s">
        <v>86</v>
      </c>
      <c r="E288" s="73" t="s">
        <v>42</v>
      </c>
      <c r="F288" s="75">
        <v>3.0000000000000001E-3</v>
      </c>
      <c r="G288" s="65">
        <f>VLOOKUP(D288,upahbahan,3,FALSE)</f>
        <v>275000</v>
      </c>
      <c r="H288" s="125">
        <f t="shared" si="29"/>
        <v>825</v>
      </c>
    </row>
    <row r="289" spans="3:9">
      <c r="C289" s="145" t="s">
        <v>1226</v>
      </c>
      <c r="D289" s="81"/>
      <c r="E289" s="81"/>
      <c r="F289" s="81"/>
      <c r="G289" s="163"/>
      <c r="H289" s="125">
        <f>SUM(H285:H288)</f>
        <v>7879506.6000000006</v>
      </c>
    </row>
    <row r="290" spans="3:9">
      <c r="C290" s="153" t="s">
        <v>1227</v>
      </c>
      <c r="D290" s="60" t="s">
        <v>1228</v>
      </c>
      <c r="E290" s="74"/>
      <c r="F290" s="74"/>
      <c r="G290" s="74"/>
      <c r="H290" s="147"/>
    </row>
    <row r="291" spans="3:9">
      <c r="C291" s="145" t="s">
        <v>1229</v>
      </c>
      <c r="D291" s="81"/>
      <c r="E291" s="81"/>
      <c r="F291" s="81"/>
      <c r="G291" s="163"/>
      <c r="H291" s="154">
        <v>0</v>
      </c>
    </row>
    <row r="292" spans="3:9">
      <c r="C292" s="123" t="s">
        <v>1230</v>
      </c>
      <c r="D292" s="70" t="s">
        <v>1231</v>
      </c>
      <c r="E292" s="71"/>
      <c r="F292" s="71"/>
      <c r="G292" s="72"/>
      <c r="H292" s="125">
        <f>H291+H289+H283</f>
        <v>7891659.6000000006</v>
      </c>
    </row>
    <row r="293" spans="3:9">
      <c r="C293" s="123" t="s">
        <v>1232</v>
      </c>
      <c r="D293" s="70" t="s">
        <v>1540</v>
      </c>
      <c r="E293" s="71"/>
      <c r="F293" s="72"/>
      <c r="G293" s="62" t="s">
        <v>1541</v>
      </c>
      <c r="H293" s="125">
        <f>H292*10%</f>
        <v>789165.96000000008</v>
      </c>
    </row>
    <row r="294" spans="3:9" ht="15.75" thickBot="1">
      <c r="C294" s="131" t="s">
        <v>1233</v>
      </c>
      <c r="D294" s="132" t="s">
        <v>1234</v>
      </c>
      <c r="E294" s="133"/>
      <c r="F294" s="133"/>
      <c r="G294" s="156"/>
      <c r="H294" s="135">
        <f>SUM(H292:H293)</f>
        <v>8680825.5600000005</v>
      </c>
    </row>
    <row r="295" spans="3:9" ht="15.75" thickTop="1">
      <c r="C295" s="90"/>
      <c r="D295" s="91"/>
      <c r="E295" s="91"/>
      <c r="F295" s="91"/>
      <c r="G295" s="91"/>
      <c r="H295" s="92"/>
    </row>
    <row r="296" spans="3:9" ht="15.75" thickBot="1">
      <c r="C296" s="524" t="s">
        <v>1557</v>
      </c>
      <c r="D296" s="525"/>
      <c r="E296" s="525"/>
      <c r="F296" s="525"/>
      <c r="G296" s="525"/>
      <c r="H296" s="525"/>
      <c r="I296" s="57">
        <f>ROUNDDOWN(H314,-2)</f>
        <v>27900</v>
      </c>
    </row>
    <row r="297" spans="3:9" ht="29.25" thickTop="1">
      <c r="C297" s="120" t="s">
        <v>1207</v>
      </c>
      <c r="D297" s="121" t="s">
        <v>1208</v>
      </c>
      <c r="E297" s="121" t="s">
        <v>1209</v>
      </c>
      <c r="F297" s="121" t="s">
        <v>1210</v>
      </c>
      <c r="G297" s="121" t="s">
        <v>1211</v>
      </c>
      <c r="H297" s="122" t="s">
        <v>1212</v>
      </c>
    </row>
    <row r="298" spans="3:9">
      <c r="C298" s="142" t="s">
        <v>1213</v>
      </c>
      <c r="D298" s="60" t="s">
        <v>1214</v>
      </c>
      <c r="E298" s="74"/>
      <c r="F298" s="74"/>
      <c r="G298" s="74"/>
      <c r="H298" s="147"/>
    </row>
    <row r="299" spans="3:9">
      <c r="C299" s="143">
        <v>1</v>
      </c>
      <c r="D299" s="60" t="s">
        <v>5</v>
      </c>
      <c r="E299" s="73" t="s">
        <v>6</v>
      </c>
      <c r="F299" s="184">
        <v>7.1400000000000005E-2</v>
      </c>
      <c r="G299" s="65">
        <f>VLOOKUP(D299,upahbahan,3,FALSE)</f>
        <v>100000</v>
      </c>
      <c r="H299" s="125">
        <f t="shared" ref="H299:H302" si="30">F299*G299</f>
        <v>7140.0000000000009</v>
      </c>
    </row>
    <row r="300" spans="3:9">
      <c r="C300" s="143">
        <v>2</v>
      </c>
      <c r="D300" s="60" t="s">
        <v>7</v>
      </c>
      <c r="E300" s="73" t="s">
        <v>6</v>
      </c>
      <c r="F300" s="184">
        <v>3.5700000000000003E-2</v>
      </c>
      <c r="G300" s="65">
        <f>VLOOKUP(D300,upahbahan,3,FALSE)</f>
        <v>145000</v>
      </c>
      <c r="H300" s="125">
        <f t="shared" si="30"/>
        <v>5176.5</v>
      </c>
    </row>
    <row r="301" spans="3:9">
      <c r="C301" s="143">
        <v>3</v>
      </c>
      <c r="D301" s="60" t="s">
        <v>18</v>
      </c>
      <c r="E301" s="73" t="s">
        <v>6</v>
      </c>
      <c r="F301" s="184">
        <v>3.5999999999999999E-3</v>
      </c>
      <c r="G301" s="65">
        <f>VLOOKUP(D301,upahbahan,3,FALSE)</f>
        <v>150000</v>
      </c>
      <c r="H301" s="125">
        <f t="shared" si="30"/>
        <v>540</v>
      </c>
    </row>
    <row r="302" spans="3:9">
      <c r="C302" s="143">
        <v>4</v>
      </c>
      <c r="D302" s="60" t="s">
        <v>19</v>
      </c>
      <c r="E302" s="73" t="s">
        <v>6</v>
      </c>
      <c r="F302" s="184">
        <v>1.1999999999999999E-3</v>
      </c>
      <c r="G302" s="65">
        <f>VLOOKUP(D302,upahbahan,3,FALSE)</f>
        <v>145000</v>
      </c>
      <c r="H302" s="125">
        <f t="shared" si="30"/>
        <v>173.99999999999997</v>
      </c>
    </row>
    <row r="303" spans="3:9">
      <c r="C303" s="145" t="s">
        <v>1220</v>
      </c>
      <c r="D303" s="81"/>
      <c r="E303" s="81"/>
      <c r="F303" s="220"/>
      <c r="G303" s="221"/>
      <c r="H303" s="125">
        <f>SUM(H299:H302)</f>
        <v>13030.5</v>
      </c>
      <c r="I303" s="223"/>
    </row>
    <row r="304" spans="3:9">
      <c r="C304" s="142" t="s">
        <v>1221</v>
      </c>
      <c r="D304" s="60" t="s">
        <v>1222</v>
      </c>
      <c r="E304" s="74"/>
      <c r="F304" s="74"/>
      <c r="G304" s="74"/>
      <c r="H304" s="147"/>
    </row>
    <row r="305" spans="3:9">
      <c r="C305" s="201" t="s">
        <v>1215</v>
      </c>
      <c r="D305" s="60" t="s">
        <v>499</v>
      </c>
      <c r="E305" s="73" t="s">
        <v>44</v>
      </c>
      <c r="F305" s="75">
        <v>1.75</v>
      </c>
      <c r="G305" s="65">
        <f>VLOOKUP(D305,upahbahan,3,FALSE)</f>
        <v>4500</v>
      </c>
      <c r="H305" s="125">
        <f t="shared" ref="H305:H308" si="31">F305*G305</f>
        <v>7875</v>
      </c>
    </row>
    <row r="306" spans="3:9">
      <c r="C306" s="201" t="s">
        <v>1216</v>
      </c>
      <c r="D306" s="60" t="s">
        <v>568</v>
      </c>
      <c r="E306" s="73" t="s">
        <v>66</v>
      </c>
      <c r="F306" s="75">
        <v>1.704</v>
      </c>
      <c r="G306" s="65">
        <f>VLOOKUP(D306,upahbahan,3,FALSE)</f>
        <v>1300</v>
      </c>
      <c r="H306" s="125">
        <f t="shared" si="31"/>
        <v>2215.1999999999998</v>
      </c>
    </row>
    <row r="307" spans="3:9">
      <c r="C307" s="201" t="s">
        <v>1217</v>
      </c>
      <c r="D307" s="60" t="s">
        <v>571</v>
      </c>
      <c r="E307" s="73" t="s">
        <v>66</v>
      </c>
      <c r="F307" s="75">
        <v>0.188</v>
      </c>
      <c r="G307" s="65">
        <f>VLOOKUP(D307,upahbahan,3,FALSE)</f>
        <v>7800</v>
      </c>
      <c r="H307" s="125">
        <f t="shared" si="31"/>
        <v>1466.4</v>
      </c>
    </row>
    <row r="308" spans="3:9">
      <c r="C308" s="201" t="s">
        <v>1218</v>
      </c>
      <c r="D308" s="78" t="s">
        <v>86</v>
      </c>
      <c r="E308" s="73" t="s">
        <v>42</v>
      </c>
      <c r="F308" s="75">
        <v>3.0000000000000001E-3</v>
      </c>
      <c r="G308" s="65">
        <f>VLOOKUP(D308,upahbahan,3,FALSE)</f>
        <v>275000</v>
      </c>
      <c r="H308" s="125">
        <f t="shared" si="31"/>
        <v>825</v>
      </c>
    </row>
    <row r="309" spans="3:9">
      <c r="C309" s="145" t="s">
        <v>1226</v>
      </c>
      <c r="D309" s="81"/>
      <c r="E309" s="81"/>
      <c r="F309" s="81"/>
      <c r="G309" s="163"/>
      <c r="H309" s="125">
        <f>SUM(H305:H308)</f>
        <v>12381.6</v>
      </c>
    </row>
    <row r="310" spans="3:9">
      <c r="C310" s="153" t="s">
        <v>1227</v>
      </c>
      <c r="D310" s="60" t="s">
        <v>1228</v>
      </c>
      <c r="E310" s="74"/>
      <c r="F310" s="74"/>
      <c r="G310" s="74"/>
      <c r="H310" s="147"/>
    </row>
    <row r="311" spans="3:9">
      <c r="C311" s="145" t="s">
        <v>1229</v>
      </c>
      <c r="D311" s="81"/>
      <c r="E311" s="81"/>
      <c r="F311" s="81"/>
      <c r="G311" s="163"/>
      <c r="H311" s="154">
        <v>0</v>
      </c>
    </row>
    <row r="312" spans="3:9">
      <c r="C312" s="123" t="s">
        <v>1230</v>
      </c>
      <c r="D312" s="70" t="s">
        <v>1231</v>
      </c>
      <c r="E312" s="71"/>
      <c r="F312" s="71"/>
      <c r="G312" s="72"/>
      <c r="H312" s="125">
        <f>H311+H309+H303</f>
        <v>25412.1</v>
      </c>
    </row>
    <row r="313" spans="3:9">
      <c r="C313" s="123" t="s">
        <v>1232</v>
      </c>
      <c r="D313" s="70" t="s">
        <v>1540</v>
      </c>
      <c r="E313" s="71"/>
      <c r="F313" s="72"/>
      <c r="G313" s="62" t="s">
        <v>1541</v>
      </c>
      <c r="H313" s="125">
        <f>H312*10%</f>
        <v>2541.21</v>
      </c>
    </row>
    <row r="314" spans="3:9" ht="15.75" thickBot="1">
      <c r="C314" s="131" t="s">
        <v>1233</v>
      </c>
      <c r="D314" s="132" t="s">
        <v>1234</v>
      </c>
      <c r="E314" s="133"/>
      <c r="F314" s="133"/>
      <c r="G314" s="156"/>
      <c r="H314" s="135">
        <f>SUM(H312:H313)</f>
        <v>27953.309999999998</v>
      </c>
    </row>
    <row r="315" spans="3:9" ht="15.75" thickTop="1">
      <c r="C315" s="58"/>
      <c r="D315" s="82"/>
      <c r="E315" s="82"/>
      <c r="F315" s="82"/>
      <c r="G315" s="82"/>
      <c r="H315" s="83"/>
    </row>
    <row r="316" spans="3:9" ht="15.75" thickBot="1">
      <c r="C316" s="524" t="s">
        <v>1558</v>
      </c>
      <c r="D316" s="525"/>
      <c r="E316" s="525"/>
      <c r="F316" s="525"/>
      <c r="G316" s="525"/>
      <c r="H316" s="525"/>
      <c r="I316" s="57">
        <f>ROUNDDOWN(H334,-2)</f>
        <v>377200</v>
      </c>
    </row>
    <row r="317" spans="3:9" ht="29.25" thickTop="1">
      <c r="C317" s="120" t="s">
        <v>1207</v>
      </c>
      <c r="D317" s="121" t="s">
        <v>1208</v>
      </c>
      <c r="E317" s="121" t="s">
        <v>1209</v>
      </c>
      <c r="F317" s="121" t="s">
        <v>1210</v>
      </c>
      <c r="G317" s="121" t="s">
        <v>1211</v>
      </c>
      <c r="H317" s="122" t="s">
        <v>1212</v>
      </c>
    </row>
    <row r="318" spans="3:9">
      <c r="C318" s="142" t="s">
        <v>1213</v>
      </c>
      <c r="D318" s="60" t="s">
        <v>1214</v>
      </c>
      <c r="E318" s="74"/>
      <c r="F318" s="74"/>
      <c r="G318" s="74"/>
      <c r="H318" s="147"/>
    </row>
    <row r="319" spans="3:9">
      <c r="C319" s="143">
        <v>1</v>
      </c>
      <c r="D319" s="60" t="s">
        <v>5</v>
      </c>
      <c r="E319" s="73" t="s">
        <v>6</v>
      </c>
      <c r="F319" s="184">
        <v>0.1429</v>
      </c>
      <c r="G319" s="65">
        <f>VLOOKUP(D319,upahbahan,3,FALSE)</f>
        <v>100000</v>
      </c>
      <c r="H319" s="125">
        <f t="shared" ref="H319:H322" si="32">F319*G319</f>
        <v>14290</v>
      </c>
    </row>
    <row r="320" spans="3:9">
      <c r="C320" s="143">
        <v>2</v>
      </c>
      <c r="D320" s="60" t="s">
        <v>7</v>
      </c>
      <c r="E320" s="73" t="s">
        <v>6</v>
      </c>
      <c r="F320" s="184">
        <v>7.1400000000000005E-2</v>
      </c>
      <c r="G320" s="65">
        <f>VLOOKUP(D320,upahbahan,3,FALSE)</f>
        <v>145000</v>
      </c>
      <c r="H320" s="125">
        <f t="shared" si="32"/>
        <v>10353</v>
      </c>
    </row>
    <row r="321" spans="3:9">
      <c r="C321" s="143">
        <v>3</v>
      </c>
      <c r="D321" s="60" t="s">
        <v>18</v>
      </c>
      <c r="E321" s="73" t="s">
        <v>6</v>
      </c>
      <c r="F321" s="184">
        <v>7.1000000000000004E-3</v>
      </c>
      <c r="G321" s="65">
        <f>VLOOKUP(D321,upahbahan,3,FALSE)</f>
        <v>150000</v>
      </c>
      <c r="H321" s="125">
        <f t="shared" si="32"/>
        <v>1065</v>
      </c>
    </row>
    <row r="322" spans="3:9">
      <c r="C322" s="143">
        <v>4</v>
      </c>
      <c r="D322" s="60" t="s">
        <v>19</v>
      </c>
      <c r="E322" s="73" t="s">
        <v>6</v>
      </c>
      <c r="F322" s="184">
        <v>2.3999999999999998E-3</v>
      </c>
      <c r="G322" s="65">
        <f>VLOOKUP(D322,upahbahan,3,FALSE)</f>
        <v>145000</v>
      </c>
      <c r="H322" s="125">
        <f t="shared" si="32"/>
        <v>347.99999999999994</v>
      </c>
    </row>
    <row r="323" spans="3:9">
      <c r="C323" s="145" t="s">
        <v>1220</v>
      </c>
      <c r="D323" s="81"/>
      <c r="E323" s="81"/>
      <c r="F323" s="220"/>
      <c r="G323" s="221"/>
      <c r="H323" s="125">
        <f>SUM(H319:H322)</f>
        <v>26056</v>
      </c>
      <c r="I323" s="223"/>
    </row>
    <row r="324" spans="3:9">
      <c r="C324" s="142" t="s">
        <v>1221</v>
      </c>
      <c r="D324" s="60" t="s">
        <v>1222</v>
      </c>
      <c r="E324" s="74"/>
      <c r="F324" s="74"/>
      <c r="G324" s="74"/>
      <c r="H324" s="147"/>
    </row>
    <row r="325" spans="3:9">
      <c r="C325" s="201" t="s">
        <v>1215</v>
      </c>
      <c r="D325" s="60" t="s">
        <v>524</v>
      </c>
      <c r="E325" s="73" t="s">
        <v>44</v>
      </c>
      <c r="F325" s="75">
        <v>11.667</v>
      </c>
      <c r="G325" s="65">
        <f>VLOOKUP(D325,upahbahan,3,FALSE)</f>
        <v>24000</v>
      </c>
      <c r="H325" s="125">
        <f t="shared" ref="H325:H328" si="33">F325*G325</f>
        <v>280008</v>
      </c>
    </row>
    <row r="326" spans="3:9">
      <c r="C326" s="201" t="s">
        <v>1216</v>
      </c>
      <c r="D326" s="60" t="s">
        <v>568</v>
      </c>
      <c r="E326" s="73" t="s">
        <v>66</v>
      </c>
      <c r="F326" s="75">
        <v>13.632</v>
      </c>
      <c r="G326" s="65">
        <f>VLOOKUP(D326,upahbahan,3,FALSE)</f>
        <v>1300</v>
      </c>
      <c r="H326" s="125">
        <f t="shared" si="33"/>
        <v>17721.599999999999</v>
      </c>
    </row>
    <row r="327" spans="3:9">
      <c r="C327" s="201" t="s">
        <v>1217</v>
      </c>
      <c r="D327" s="60" t="s">
        <v>571</v>
      </c>
      <c r="E327" s="73" t="s">
        <v>66</v>
      </c>
      <c r="F327" s="75">
        <v>1.5</v>
      </c>
      <c r="G327" s="65">
        <f>VLOOKUP(D327,upahbahan,3,FALSE)</f>
        <v>7800</v>
      </c>
      <c r="H327" s="125">
        <f t="shared" si="33"/>
        <v>11700</v>
      </c>
    </row>
    <row r="328" spans="3:9">
      <c r="C328" s="201" t="s">
        <v>1218</v>
      </c>
      <c r="D328" s="78" t="s">
        <v>86</v>
      </c>
      <c r="E328" s="73" t="s">
        <v>42</v>
      </c>
      <c r="F328" s="75">
        <v>2.7E-2</v>
      </c>
      <c r="G328" s="65">
        <f>VLOOKUP(D328,upahbahan,3,FALSE)</f>
        <v>275000</v>
      </c>
      <c r="H328" s="125">
        <f t="shared" si="33"/>
        <v>7425</v>
      </c>
    </row>
    <row r="329" spans="3:9">
      <c r="C329" s="145" t="s">
        <v>1226</v>
      </c>
      <c r="D329" s="81"/>
      <c r="E329" s="81"/>
      <c r="F329" s="81"/>
      <c r="G329" s="163"/>
      <c r="H329" s="125">
        <f>SUM(H325:H328)</f>
        <v>316854.59999999998</v>
      </c>
    </row>
    <row r="330" spans="3:9">
      <c r="C330" s="153" t="s">
        <v>1227</v>
      </c>
      <c r="D330" s="60" t="s">
        <v>1228</v>
      </c>
      <c r="E330" s="74"/>
      <c r="F330" s="74"/>
      <c r="G330" s="74"/>
      <c r="H330" s="147"/>
    </row>
    <row r="331" spans="3:9">
      <c r="C331" s="145" t="s">
        <v>1229</v>
      </c>
      <c r="D331" s="81"/>
      <c r="E331" s="81"/>
      <c r="F331" s="81"/>
      <c r="G331" s="163"/>
      <c r="H331" s="154">
        <v>0</v>
      </c>
    </row>
    <row r="332" spans="3:9">
      <c r="C332" s="123" t="s">
        <v>1230</v>
      </c>
      <c r="D332" s="70" t="s">
        <v>1231</v>
      </c>
      <c r="E332" s="71"/>
      <c r="F332" s="71"/>
      <c r="G332" s="72"/>
      <c r="H332" s="125">
        <f>H331+H329+H323</f>
        <v>342910.6</v>
      </c>
    </row>
    <row r="333" spans="3:9">
      <c r="C333" s="123" t="s">
        <v>1232</v>
      </c>
      <c r="D333" s="70" t="s">
        <v>1540</v>
      </c>
      <c r="E333" s="71"/>
      <c r="F333" s="72"/>
      <c r="G333" s="62" t="s">
        <v>1541</v>
      </c>
      <c r="H333" s="125">
        <f>H332*10%</f>
        <v>34291.06</v>
      </c>
    </row>
    <row r="334" spans="3:9" ht="15.75" thickBot="1">
      <c r="C334" s="131" t="s">
        <v>1233</v>
      </c>
      <c r="D334" s="132" t="s">
        <v>1234</v>
      </c>
      <c r="E334" s="133"/>
      <c r="F334" s="133"/>
      <c r="G334" s="156"/>
      <c r="H334" s="135">
        <f>SUM(H332:H333)</f>
        <v>377201.66</v>
      </c>
    </row>
    <row r="335" spans="3:9" ht="15.75" thickTop="1">
      <c r="C335" s="58"/>
      <c r="D335" s="82"/>
      <c r="E335" s="82"/>
      <c r="F335" s="82"/>
      <c r="G335" s="82"/>
      <c r="H335" s="83"/>
    </row>
    <row r="336" spans="3:9" ht="15.75" thickBot="1">
      <c r="C336" s="524" t="s">
        <v>1559</v>
      </c>
      <c r="D336" s="525"/>
      <c r="E336" s="525"/>
      <c r="F336" s="525"/>
      <c r="G336" s="525"/>
      <c r="H336" s="525"/>
      <c r="I336" s="57">
        <f>ROUNDDOWN(H354,-2)</f>
        <v>287900</v>
      </c>
    </row>
    <row r="337" spans="3:9" ht="29.25" thickTop="1">
      <c r="C337" s="120" t="s">
        <v>1207</v>
      </c>
      <c r="D337" s="121" t="s">
        <v>1208</v>
      </c>
      <c r="E337" s="121" t="s">
        <v>1209</v>
      </c>
      <c r="F337" s="121" t="s">
        <v>1210</v>
      </c>
      <c r="G337" s="121" t="s">
        <v>1211</v>
      </c>
      <c r="H337" s="122" t="s">
        <v>1212</v>
      </c>
    </row>
    <row r="338" spans="3:9">
      <c r="C338" s="142" t="s">
        <v>1213</v>
      </c>
      <c r="D338" s="60" t="s">
        <v>1214</v>
      </c>
      <c r="E338" s="74"/>
      <c r="F338" s="74"/>
      <c r="G338" s="74"/>
      <c r="H338" s="147"/>
    </row>
    <row r="339" spans="3:9">
      <c r="C339" s="143">
        <v>1</v>
      </c>
      <c r="D339" s="60" t="s">
        <v>5</v>
      </c>
      <c r="E339" s="73" t="s">
        <v>6</v>
      </c>
      <c r="F339" s="184">
        <v>0.15379999999999999</v>
      </c>
      <c r="G339" s="65">
        <f>VLOOKUP(D339,upahbahan,3,FALSE)</f>
        <v>100000</v>
      </c>
      <c r="H339" s="125">
        <f t="shared" ref="H339:H342" si="34">F339*G339</f>
        <v>15380</v>
      </c>
    </row>
    <row r="340" spans="3:9">
      <c r="C340" s="143">
        <v>2</v>
      </c>
      <c r="D340" s="60" t="s">
        <v>7</v>
      </c>
      <c r="E340" s="73" t="s">
        <v>6</v>
      </c>
      <c r="F340" s="184">
        <v>7.6899999999999996E-2</v>
      </c>
      <c r="G340" s="65">
        <f>VLOOKUP(D340,upahbahan,3,FALSE)</f>
        <v>145000</v>
      </c>
      <c r="H340" s="125">
        <f t="shared" si="34"/>
        <v>11150.5</v>
      </c>
    </row>
    <row r="341" spans="3:9">
      <c r="C341" s="143">
        <v>3</v>
      </c>
      <c r="D341" s="60" t="s">
        <v>18</v>
      </c>
      <c r="E341" s="73" t="s">
        <v>6</v>
      </c>
      <c r="F341" s="184">
        <v>7.7000000000000002E-3</v>
      </c>
      <c r="G341" s="65">
        <f>VLOOKUP(D341,upahbahan,3,FALSE)</f>
        <v>150000</v>
      </c>
      <c r="H341" s="125">
        <f t="shared" si="34"/>
        <v>1155</v>
      </c>
    </row>
    <row r="342" spans="3:9">
      <c r="C342" s="143">
        <v>4</v>
      </c>
      <c r="D342" s="60" t="s">
        <v>19</v>
      </c>
      <c r="E342" s="73" t="s">
        <v>6</v>
      </c>
      <c r="F342" s="184">
        <v>2.5999999999999999E-3</v>
      </c>
      <c r="G342" s="65">
        <f>VLOOKUP(D342,upahbahan,3,FALSE)</f>
        <v>145000</v>
      </c>
      <c r="H342" s="125">
        <f t="shared" si="34"/>
        <v>377</v>
      </c>
    </row>
    <row r="343" spans="3:9">
      <c r="C343" s="145" t="s">
        <v>1220</v>
      </c>
      <c r="D343" s="81"/>
      <c r="E343" s="81"/>
      <c r="F343" s="220"/>
      <c r="G343" s="221"/>
      <c r="H343" s="125">
        <f>SUM(H339:H342)</f>
        <v>28062.5</v>
      </c>
      <c r="I343" s="223"/>
    </row>
    <row r="344" spans="3:9">
      <c r="C344" s="142" t="s">
        <v>1221</v>
      </c>
      <c r="D344" s="60" t="s">
        <v>1222</v>
      </c>
      <c r="E344" s="74"/>
      <c r="F344" s="74"/>
      <c r="G344" s="74"/>
      <c r="H344" s="147"/>
    </row>
    <row r="345" spans="3:9">
      <c r="C345" s="201" t="s">
        <v>1215</v>
      </c>
      <c r="D345" s="60" t="s">
        <v>525</v>
      </c>
      <c r="E345" s="73" t="s">
        <v>44</v>
      </c>
      <c r="F345" s="184">
        <v>6.5629999999999997</v>
      </c>
      <c r="G345" s="65">
        <f>VLOOKUP(D345,upahbahan,3,FALSE)</f>
        <v>30000</v>
      </c>
      <c r="H345" s="125">
        <f t="shared" ref="H345:H348" si="35">F345*G345</f>
        <v>196890</v>
      </c>
    </row>
    <row r="346" spans="3:9">
      <c r="C346" s="201" t="s">
        <v>1216</v>
      </c>
      <c r="D346" s="60" t="s">
        <v>568</v>
      </c>
      <c r="E346" s="73" t="s">
        <v>66</v>
      </c>
      <c r="F346" s="75">
        <v>13.632</v>
      </c>
      <c r="G346" s="65">
        <f>VLOOKUP(D346,upahbahan,3,FALSE)</f>
        <v>1300</v>
      </c>
      <c r="H346" s="125">
        <f t="shared" si="35"/>
        <v>17721.599999999999</v>
      </c>
    </row>
    <row r="347" spans="3:9">
      <c r="C347" s="201" t="s">
        <v>1217</v>
      </c>
      <c r="D347" s="60" t="s">
        <v>571</v>
      </c>
      <c r="E347" s="73" t="s">
        <v>66</v>
      </c>
      <c r="F347" s="75">
        <v>1.5</v>
      </c>
      <c r="G347" s="65">
        <f>VLOOKUP(D347,upahbahan,3,FALSE)</f>
        <v>7800</v>
      </c>
      <c r="H347" s="125">
        <f t="shared" si="35"/>
        <v>11700</v>
      </c>
    </row>
    <row r="348" spans="3:9">
      <c r="C348" s="201" t="s">
        <v>1218</v>
      </c>
      <c r="D348" s="78" t="s">
        <v>86</v>
      </c>
      <c r="E348" s="73" t="s">
        <v>42</v>
      </c>
      <c r="F348" s="75">
        <v>2.7E-2</v>
      </c>
      <c r="G348" s="65">
        <f>VLOOKUP(D348,upahbahan,3,FALSE)</f>
        <v>275000</v>
      </c>
      <c r="H348" s="125">
        <f t="shared" si="35"/>
        <v>7425</v>
      </c>
    </row>
    <row r="349" spans="3:9">
      <c r="C349" s="145" t="s">
        <v>1226</v>
      </c>
      <c r="D349" s="81"/>
      <c r="E349" s="81"/>
      <c r="F349" s="81"/>
      <c r="G349" s="163"/>
      <c r="H349" s="125">
        <f>SUM(H345:H348)</f>
        <v>233736.6</v>
      </c>
    </row>
    <row r="350" spans="3:9">
      <c r="C350" s="153" t="s">
        <v>1227</v>
      </c>
      <c r="D350" s="60" t="s">
        <v>1228</v>
      </c>
      <c r="E350" s="74"/>
      <c r="F350" s="74"/>
      <c r="G350" s="74"/>
      <c r="H350" s="147"/>
    </row>
    <row r="351" spans="3:9">
      <c r="C351" s="145" t="s">
        <v>1229</v>
      </c>
      <c r="D351" s="81"/>
      <c r="E351" s="81"/>
      <c r="F351" s="81"/>
      <c r="G351" s="163"/>
      <c r="H351" s="154">
        <v>0</v>
      </c>
    </row>
    <row r="352" spans="3:9">
      <c r="C352" s="123" t="s">
        <v>1230</v>
      </c>
      <c r="D352" s="70" t="s">
        <v>1231</v>
      </c>
      <c r="E352" s="71"/>
      <c r="F352" s="71"/>
      <c r="G352" s="72"/>
      <c r="H352" s="125">
        <f>H351+H349+H343</f>
        <v>261799.1</v>
      </c>
    </row>
    <row r="353" spans="3:9">
      <c r="C353" s="123" t="s">
        <v>1232</v>
      </c>
      <c r="D353" s="70" t="s">
        <v>1540</v>
      </c>
      <c r="E353" s="71"/>
      <c r="F353" s="72"/>
      <c r="G353" s="62" t="s">
        <v>1541</v>
      </c>
      <c r="H353" s="125">
        <f>H352*10%</f>
        <v>26179.910000000003</v>
      </c>
    </row>
    <row r="354" spans="3:9" ht="15.75" thickBot="1">
      <c r="C354" s="131" t="s">
        <v>1233</v>
      </c>
      <c r="D354" s="132" t="s">
        <v>1234</v>
      </c>
      <c r="E354" s="133"/>
      <c r="F354" s="133"/>
      <c r="G354" s="156"/>
      <c r="H354" s="135">
        <f>SUM(H352:H353)</f>
        <v>287979.01</v>
      </c>
    </row>
    <row r="355" spans="3:9" ht="15.75" thickTop="1">
      <c r="C355" s="58"/>
      <c r="D355" s="82"/>
      <c r="E355" s="82"/>
      <c r="F355" s="82"/>
      <c r="G355" s="82"/>
      <c r="H355" s="83"/>
    </row>
    <row r="356" spans="3:9" ht="15.75" thickBot="1">
      <c r="C356" s="524" t="s">
        <v>1560</v>
      </c>
      <c r="D356" s="525"/>
      <c r="E356" s="525"/>
      <c r="F356" s="525"/>
      <c r="G356" s="525"/>
      <c r="H356" s="525"/>
      <c r="I356" s="57">
        <f>ROUNDDOWN(H372,-2)</f>
        <v>211600</v>
      </c>
    </row>
    <row r="357" spans="3:9" ht="29.25" thickTop="1">
      <c r="C357" s="120" t="s">
        <v>1207</v>
      </c>
      <c r="D357" s="121" t="s">
        <v>1208</v>
      </c>
      <c r="E357" s="121" t="s">
        <v>1209</v>
      </c>
      <c r="F357" s="121" t="s">
        <v>1210</v>
      </c>
      <c r="G357" s="121" t="s">
        <v>1211</v>
      </c>
      <c r="H357" s="122" t="s">
        <v>1212</v>
      </c>
    </row>
    <row r="358" spans="3:9">
      <c r="C358" s="142" t="s">
        <v>1213</v>
      </c>
      <c r="D358" s="60" t="s">
        <v>1214</v>
      </c>
      <c r="E358" s="74"/>
      <c r="F358" s="74"/>
      <c r="G358" s="74"/>
      <c r="H358" s="147"/>
    </row>
    <row r="359" spans="3:9">
      <c r="C359" s="143">
        <v>1</v>
      </c>
      <c r="D359" s="60" t="s">
        <v>5</v>
      </c>
      <c r="E359" s="73" t="s">
        <v>6</v>
      </c>
      <c r="F359" s="75">
        <v>0.36</v>
      </c>
      <c r="G359" s="65">
        <f>VLOOKUP(D359,upahbahan,3,FALSE)</f>
        <v>100000</v>
      </c>
      <c r="H359" s="125">
        <f t="shared" ref="H359:H362" si="36">F359*G359</f>
        <v>36000</v>
      </c>
    </row>
    <row r="360" spans="3:9">
      <c r="C360" s="143">
        <v>2</v>
      </c>
      <c r="D360" s="60" t="s">
        <v>7</v>
      </c>
      <c r="E360" s="73" t="s">
        <v>6</v>
      </c>
      <c r="F360" s="75">
        <v>0.18</v>
      </c>
      <c r="G360" s="65">
        <f>VLOOKUP(D360,upahbahan,3,FALSE)</f>
        <v>145000</v>
      </c>
      <c r="H360" s="125">
        <f t="shared" si="36"/>
        <v>26100</v>
      </c>
    </row>
    <row r="361" spans="3:9">
      <c r="C361" s="143">
        <v>3</v>
      </c>
      <c r="D361" s="60" t="s">
        <v>18</v>
      </c>
      <c r="E361" s="73" t="s">
        <v>6</v>
      </c>
      <c r="F361" s="75">
        <v>1.7999999999999999E-2</v>
      </c>
      <c r="G361" s="65">
        <f>VLOOKUP(D361,upahbahan,3,FALSE)</f>
        <v>150000</v>
      </c>
      <c r="H361" s="125">
        <f t="shared" si="36"/>
        <v>2700</v>
      </c>
    </row>
    <row r="362" spans="3:9">
      <c r="C362" s="143">
        <v>4</v>
      </c>
      <c r="D362" s="60" t="s">
        <v>19</v>
      </c>
      <c r="E362" s="73" t="s">
        <v>6</v>
      </c>
      <c r="F362" s="75">
        <v>6.0000000000000001E-3</v>
      </c>
      <c r="G362" s="65">
        <f>VLOOKUP(D362,upahbahan,3,FALSE)</f>
        <v>145000</v>
      </c>
      <c r="H362" s="125">
        <f t="shared" si="36"/>
        <v>870</v>
      </c>
    </row>
    <row r="363" spans="3:9">
      <c r="C363" s="145" t="s">
        <v>1220</v>
      </c>
      <c r="D363" s="81"/>
      <c r="E363" s="81"/>
      <c r="F363" s="220"/>
      <c r="G363" s="221"/>
      <c r="H363" s="125">
        <f>SUM(H359:H362)</f>
        <v>65670</v>
      </c>
      <c r="I363" s="223"/>
    </row>
    <row r="364" spans="3:9">
      <c r="C364" s="142" t="s">
        <v>1221</v>
      </c>
      <c r="D364" s="60" t="s">
        <v>1222</v>
      </c>
      <c r="E364" s="74"/>
      <c r="F364" s="74"/>
      <c r="G364" s="74"/>
      <c r="H364" s="147"/>
    </row>
    <row r="365" spans="3:9">
      <c r="C365" s="201" t="s">
        <v>1215</v>
      </c>
      <c r="D365" s="60" t="s">
        <v>508</v>
      </c>
      <c r="E365" s="73" t="s">
        <v>42</v>
      </c>
      <c r="F365" s="75">
        <v>3.5999999999999997E-2</v>
      </c>
      <c r="G365" s="65">
        <f>VLOOKUP(D365,upahbahan,3,FALSE)</f>
        <v>3500000</v>
      </c>
      <c r="H365" s="125">
        <f t="shared" ref="H365:H366" si="37">F365*G365</f>
        <v>125999.99999999999</v>
      </c>
    </row>
    <row r="366" spans="3:9">
      <c r="C366" s="201">
        <v>2</v>
      </c>
      <c r="D366" s="60" t="s">
        <v>571</v>
      </c>
      <c r="E366" s="73" t="s">
        <v>66</v>
      </c>
      <c r="F366" s="75">
        <v>0.1</v>
      </c>
      <c r="G366" s="65">
        <f>VLOOKUP(D366,upahbahan,3,FALSE)</f>
        <v>7800</v>
      </c>
      <c r="H366" s="125">
        <f t="shared" si="37"/>
        <v>780</v>
      </c>
    </row>
    <row r="367" spans="3:9">
      <c r="C367" s="145" t="s">
        <v>1226</v>
      </c>
      <c r="D367" s="81"/>
      <c r="E367" s="81"/>
      <c r="F367" s="81"/>
      <c r="G367" s="163"/>
      <c r="H367" s="125">
        <f>SUM(H365:H366)</f>
        <v>126779.99999999999</v>
      </c>
    </row>
    <row r="368" spans="3:9">
      <c r="C368" s="153" t="s">
        <v>1227</v>
      </c>
      <c r="D368" s="60" t="s">
        <v>1228</v>
      </c>
      <c r="E368" s="74"/>
      <c r="F368" s="74"/>
      <c r="G368" s="74"/>
      <c r="H368" s="147"/>
    </row>
    <row r="369" spans="3:9">
      <c r="C369" s="145" t="s">
        <v>1229</v>
      </c>
      <c r="D369" s="81"/>
      <c r="E369" s="81"/>
      <c r="F369" s="81"/>
      <c r="G369" s="163"/>
      <c r="H369" s="154">
        <v>0</v>
      </c>
    </row>
    <row r="370" spans="3:9">
      <c r="C370" s="123" t="s">
        <v>1230</v>
      </c>
      <c r="D370" s="70" t="s">
        <v>1231</v>
      </c>
      <c r="E370" s="71"/>
      <c r="F370" s="71"/>
      <c r="G370" s="72"/>
      <c r="H370" s="125">
        <f>H369+H367+H363</f>
        <v>192450</v>
      </c>
    </row>
    <row r="371" spans="3:9">
      <c r="C371" s="123" t="s">
        <v>1232</v>
      </c>
      <c r="D371" s="70" t="s">
        <v>1410</v>
      </c>
      <c r="E371" s="71"/>
      <c r="F371" s="72"/>
      <c r="G371" s="96">
        <f>$M$7</f>
        <v>0.1</v>
      </c>
      <c r="H371" s="125">
        <f>H370*G371</f>
        <v>19245</v>
      </c>
    </row>
    <row r="372" spans="3:9" ht="15.75" thickBot="1">
      <c r="C372" s="131" t="s">
        <v>1233</v>
      </c>
      <c r="D372" s="132" t="s">
        <v>1234</v>
      </c>
      <c r="E372" s="133"/>
      <c r="F372" s="133"/>
      <c r="G372" s="156"/>
      <c r="H372" s="135">
        <f>SUM(H370:H371)</f>
        <v>211695</v>
      </c>
    </row>
    <row r="373" spans="3:9" ht="15.75" thickTop="1">
      <c r="C373" s="58"/>
      <c r="D373" s="82"/>
      <c r="E373" s="82"/>
      <c r="F373" s="82"/>
      <c r="G373" s="82"/>
      <c r="H373" s="83"/>
    </row>
    <row r="374" spans="3:9" ht="15.75" thickBot="1">
      <c r="C374" s="524" t="s">
        <v>1561</v>
      </c>
      <c r="D374" s="525"/>
      <c r="E374" s="525"/>
      <c r="F374" s="525"/>
      <c r="G374" s="525"/>
      <c r="H374" s="525"/>
      <c r="I374" s="57">
        <f>ROUNDDOWN(H392,-2)</f>
        <v>32800</v>
      </c>
    </row>
    <row r="375" spans="3:9" ht="29.25" thickTop="1">
      <c r="C375" s="120" t="s">
        <v>1207</v>
      </c>
      <c r="D375" s="121" t="s">
        <v>1208</v>
      </c>
      <c r="E375" s="121" t="s">
        <v>1209</v>
      </c>
      <c r="F375" s="121" t="s">
        <v>1210</v>
      </c>
      <c r="G375" s="121" t="s">
        <v>1211</v>
      </c>
      <c r="H375" s="122" t="s">
        <v>1212</v>
      </c>
    </row>
    <row r="376" spans="3:9">
      <c r="C376" s="142" t="s">
        <v>1213</v>
      </c>
      <c r="D376" s="60" t="s">
        <v>1214</v>
      </c>
      <c r="E376" s="74"/>
      <c r="F376" s="74"/>
      <c r="G376" s="74"/>
      <c r="H376" s="147"/>
    </row>
    <row r="377" spans="3:9">
      <c r="C377" s="143">
        <v>1</v>
      </c>
      <c r="D377" s="60" t="s">
        <v>5</v>
      </c>
      <c r="E377" s="73" t="s">
        <v>6</v>
      </c>
      <c r="F377" s="94">
        <v>6.25E-2</v>
      </c>
      <c r="G377" s="65">
        <f>VLOOKUP(D377,upahbahan,3,FALSE)</f>
        <v>100000</v>
      </c>
      <c r="H377" s="125">
        <f t="shared" ref="H377:H380" si="38">F377*G377</f>
        <v>6250</v>
      </c>
    </row>
    <row r="378" spans="3:9">
      <c r="C378" s="143">
        <v>2</v>
      </c>
      <c r="D378" s="60" t="s">
        <v>7</v>
      </c>
      <c r="E378" s="73" t="s">
        <v>6</v>
      </c>
      <c r="F378" s="94">
        <v>3.1300000000000001E-2</v>
      </c>
      <c r="G378" s="65">
        <f>VLOOKUP(D378,upahbahan,3,FALSE)</f>
        <v>145000</v>
      </c>
      <c r="H378" s="125">
        <f t="shared" si="38"/>
        <v>4538.5</v>
      </c>
    </row>
    <row r="379" spans="3:9">
      <c r="C379" s="143">
        <v>3</v>
      </c>
      <c r="D379" s="60" t="s">
        <v>18</v>
      </c>
      <c r="E379" s="73" t="s">
        <v>6</v>
      </c>
      <c r="F379" s="94">
        <v>3.0999999999999999E-3</v>
      </c>
      <c r="G379" s="65">
        <f>VLOOKUP(D379,upahbahan,3,FALSE)</f>
        <v>150000</v>
      </c>
      <c r="H379" s="125">
        <f t="shared" si="38"/>
        <v>465</v>
      </c>
    </row>
    <row r="380" spans="3:9">
      <c r="C380" s="143">
        <v>4</v>
      </c>
      <c r="D380" s="60" t="s">
        <v>19</v>
      </c>
      <c r="E380" s="73" t="s">
        <v>6</v>
      </c>
      <c r="F380" s="94">
        <v>1E-3</v>
      </c>
      <c r="G380" s="65">
        <f>VLOOKUP(D380,upahbahan,3,FALSE)</f>
        <v>145000</v>
      </c>
      <c r="H380" s="125">
        <f t="shared" si="38"/>
        <v>145</v>
      </c>
    </row>
    <row r="381" spans="3:9">
      <c r="C381" s="145" t="s">
        <v>1220</v>
      </c>
      <c r="D381" s="81"/>
      <c r="E381" s="81"/>
      <c r="F381" s="220"/>
      <c r="G381" s="221"/>
      <c r="H381" s="125">
        <f>SUM(H377:H380)</f>
        <v>11398.5</v>
      </c>
      <c r="I381" s="223"/>
    </row>
    <row r="382" spans="3:9">
      <c r="C382" s="142" t="s">
        <v>1221</v>
      </c>
      <c r="D382" s="60" t="s">
        <v>1222</v>
      </c>
      <c r="E382" s="74"/>
      <c r="F382" s="74"/>
      <c r="G382" s="74"/>
      <c r="H382" s="147"/>
    </row>
    <row r="383" spans="3:9">
      <c r="C383" s="201" t="s">
        <v>1215</v>
      </c>
      <c r="D383" s="60" t="s">
        <v>494</v>
      </c>
      <c r="E383" s="73" t="s">
        <v>44</v>
      </c>
      <c r="F383" s="75">
        <v>3.5</v>
      </c>
      <c r="G383" s="65">
        <f>VLOOKUP(D383,upahbahan,3,FALSE)</f>
        <v>4000</v>
      </c>
      <c r="H383" s="125">
        <f t="shared" ref="H383:H386" si="39">F383*G383</f>
        <v>14000</v>
      </c>
    </row>
    <row r="384" spans="3:9">
      <c r="C384" s="201" t="s">
        <v>1216</v>
      </c>
      <c r="D384" s="60" t="s">
        <v>568</v>
      </c>
      <c r="E384" s="73" t="s">
        <v>66</v>
      </c>
      <c r="F384" s="75">
        <v>1.704</v>
      </c>
      <c r="G384" s="65">
        <f>VLOOKUP(D384,upahbahan,3,FALSE)</f>
        <v>1300</v>
      </c>
      <c r="H384" s="125">
        <f t="shared" si="39"/>
        <v>2215.1999999999998</v>
      </c>
    </row>
    <row r="385" spans="3:9">
      <c r="C385" s="201" t="s">
        <v>1217</v>
      </c>
      <c r="D385" s="60" t="s">
        <v>571</v>
      </c>
      <c r="E385" s="73" t="s">
        <v>66</v>
      </c>
      <c r="F385" s="75">
        <v>0.188</v>
      </c>
      <c r="G385" s="65">
        <f>VLOOKUP(D385,upahbahan,3,FALSE)</f>
        <v>7800</v>
      </c>
      <c r="H385" s="125">
        <f t="shared" si="39"/>
        <v>1466.4</v>
      </c>
    </row>
    <row r="386" spans="3:9">
      <c r="C386" s="201" t="s">
        <v>1218</v>
      </c>
      <c r="D386" s="78" t="s">
        <v>86</v>
      </c>
      <c r="E386" s="73" t="s">
        <v>42</v>
      </c>
      <c r="F386" s="75">
        <v>3.0000000000000001E-3</v>
      </c>
      <c r="G386" s="65">
        <f>VLOOKUP(D386,upahbahan,3,FALSE)</f>
        <v>275000</v>
      </c>
      <c r="H386" s="125">
        <f t="shared" si="39"/>
        <v>825</v>
      </c>
    </row>
    <row r="387" spans="3:9">
      <c r="C387" s="145" t="s">
        <v>1226</v>
      </c>
      <c r="D387" s="81"/>
      <c r="E387" s="81"/>
      <c r="F387" s="81"/>
      <c r="G387" s="163"/>
      <c r="H387" s="125">
        <f>SUM(H383:H386)</f>
        <v>18506.600000000002</v>
      </c>
    </row>
    <row r="388" spans="3:9">
      <c r="C388" s="153" t="s">
        <v>1227</v>
      </c>
      <c r="D388" s="60" t="s">
        <v>1228</v>
      </c>
      <c r="E388" s="74"/>
      <c r="F388" s="74"/>
      <c r="G388" s="74"/>
      <c r="H388" s="147"/>
    </row>
    <row r="389" spans="3:9">
      <c r="C389" s="145" t="s">
        <v>1229</v>
      </c>
      <c r="D389" s="81"/>
      <c r="E389" s="81"/>
      <c r="F389" s="81"/>
      <c r="G389" s="163"/>
      <c r="H389" s="154">
        <v>0</v>
      </c>
    </row>
    <row r="390" spans="3:9">
      <c r="C390" s="123" t="s">
        <v>1230</v>
      </c>
      <c r="D390" s="70" t="s">
        <v>1231</v>
      </c>
      <c r="E390" s="71"/>
      <c r="F390" s="71"/>
      <c r="G390" s="72"/>
      <c r="H390" s="125">
        <f>H389+H387+H381</f>
        <v>29905.100000000002</v>
      </c>
    </row>
    <row r="391" spans="3:9">
      <c r="C391" s="123" t="s">
        <v>1232</v>
      </c>
      <c r="D391" s="70" t="s">
        <v>1410</v>
      </c>
      <c r="E391" s="71"/>
      <c r="F391" s="72"/>
      <c r="G391" s="96">
        <f>$M$7</f>
        <v>0.1</v>
      </c>
      <c r="H391" s="125">
        <f>H390*G391</f>
        <v>2990.51</v>
      </c>
    </row>
    <row r="392" spans="3:9" ht="15.75" thickBot="1">
      <c r="C392" s="131" t="s">
        <v>1233</v>
      </c>
      <c r="D392" s="132" t="s">
        <v>1234</v>
      </c>
      <c r="E392" s="133"/>
      <c r="F392" s="133"/>
      <c r="G392" s="156"/>
      <c r="H392" s="135">
        <f>SUM(H390:H391)</f>
        <v>32895.61</v>
      </c>
    </row>
    <row r="393" spans="3:9" ht="15.75" thickTop="1">
      <c r="C393" s="58"/>
      <c r="D393" s="82"/>
      <c r="E393" s="82"/>
      <c r="F393" s="82"/>
      <c r="G393" s="82"/>
      <c r="H393" s="83"/>
    </row>
    <row r="394" spans="3:9" ht="15.75" thickBot="1">
      <c r="C394" s="524" t="s">
        <v>1562</v>
      </c>
      <c r="D394" s="525"/>
      <c r="E394" s="525"/>
      <c r="F394" s="525"/>
      <c r="G394" s="525"/>
      <c r="H394" s="525"/>
      <c r="I394" s="57">
        <f>ROUNDDOWN(H412,-2)</f>
        <v>35600</v>
      </c>
    </row>
    <row r="395" spans="3:9" ht="29.25" thickTop="1">
      <c r="C395" s="120" t="s">
        <v>1207</v>
      </c>
      <c r="D395" s="121" t="s">
        <v>1208</v>
      </c>
      <c r="E395" s="121" t="s">
        <v>1209</v>
      </c>
      <c r="F395" s="121" t="s">
        <v>1210</v>
      </c>
      <c r="G395" s="121" t="s">
        <v>1211</v>
      </c>
      <c r="H395" s="122" t="s">
        <v>1212</v>
      </c>
    </row>
    <row r="396" spans="3:9">
      <c r="C396" s="142" t="s">
        <v>1213</v>
      </c>
      <c r="D396" s="60" t="s">
        <v>1214</v>
      </c>
      <c r="E396" s="74"/>
      <c r="F396" s="74"/>
      <c r="G396" s="74"/>
      <c r="H396" s="147"/>
    </row>
    <row r="397" spans="3:9">
      <c r="C397" s="143">
        <v>1</v>
      </c>
      <c r="D397" s="60" t="s">
        <v>5</v>
      </c>
      <c r="E397" s="73" t="s">
        <v>6</v>
      </c>
      <c r="F397" s="184">
        <v>6.6699999999999995E-2</v>
      </c>
      <c r="G397" s="65">
        <f>VLOOKUP(D397,upahbahan,3,FALSE)</f>
        <v>100000</v>
      </c>
      <c r="H397" s="125">
        <f t="shared" ref="H397:H400" si="40">F397*G397</f>
        <v>6669.9999999999991</v>
      </c>
    </row>
    <row r="398" spans="3:9">
      <c r="C398" s="143">
        <v>2</v>
      </c>
      <c r="D398" s="60" t="s">
        <v>7</v>
      </c>
      <c r="E398" s="73" t="s">
        <v>6</v>
      </c>
      <c r="F398" s="184">
        <v>3.3300000000000003E-2</v>
      </c>
      <c r="G398" s="65">
        <f>VLOOKUP(D398,upahbahan,3,FALSE)</f>
        <v>145000</v>
      </c>
      <c r="H398" s="125">
        <f t="shared" si="40"/>
        <v>4828.5000000000009</v>
      </c>
    </row>
    <row r="399" spans="3:9">
      <c r="C399" s="143">
        <v>3</v>
      </c>
      <c r="D399" s="60" t="s">
        <v>18</v>
      </c>
      <c r="E399" s="73" t="s">
        <v>6</v>
      </c>
      <c r="F399" s="184">
        <v>3.3E-3</v>
      </c>
      <c r="G399" s="65">
        <f>VLOOKUP(D399,upahbahan,3,FALSE)</f>
        <v>150000</v>
      </c>
      <c r="H399" s="125">
        <f t="shared" si="40"/>
        <v>495</v>
      </c>
    </row>
    <row r="400" spans="3:9">
      <c r="C400" s="143">
        <v>4</v>
      </c>
      <c r="D400" s="60" t="s">
        <v>19</v>
      </c>
      <c r="E400" s="73" t="s">
        <v>6</v>
      </c>
      <c r="F400" s="184">
        <v>1.1000000000000001E-3</v>
      </c>
      <c r="G400" s="65">
        <f>VLOOKUP(D400,upahbahan,3,FALSE)</f>
        <v>145000</v>
      </c>
      <c r="H400" s="125">
        <f t="shared" si="40"/>
        <v>159.5</v>
      </c>
    </row>
    <row r="401" spans="3:9">
      <c r="C401" s="145" t="s">
        <v>1220</v>
      </c>
      <c r="D401" s="81"/>
      <c r="E401" s="81"/>
      <c r="F401" s="220"/>
      <c r="G401" s="221"/>
      <c r="H401" s="125">
        <f>SUM(H397:H400)</f>
        <v>12153</v>
      </c>
      <c r="I401" s="223"/>
    </row>
    <row r="402" spans="3:9">
      <c r="C402" s="142" t="s">
        <v>1221</v>
      </c>
      <c r="D402" s="60" t="s">
        <v>1222</v>
      </c>
      <c r="E402" s="74"/>
      <c r="F402" s="74"/>
      <c r="G402" s="74"/>
      <c r="H402" s="147"/>
    </row>
    <row r="403" spans="3:9">
      <c r="C403" s="201" t="s">
        <v>1215</v>
      </c>
      <c r="D403" s="60" t="s">
        <v>495</v>
      </c>
      <c r="E403" s="73" t="s">
        <v>44</v>
      </c>
      <c r="F403" s="184">
        <v>2.625</v>
      </c>
      <c r="G403" s="65">
        <f>VLOOKUP(D403,upahbahan,3,FALSE)</f>
        <v>6000</v>
      </c>
      <c r="H403" s="125">
        <f t="shared" ref="H403:H406" si="41">F403*G403</f>
        <v>15750</v>
      </c>
    </row>
    <row r="404" spans="3:9">
      <c r="C404" s="201" t="s">
        <v>1216</v>
      </c>
      <c r="D404" s="60" t="s">
        <v>568</v>
      </c>
      <c r="E404" s="73" t="s">
        <v>66</v>
      </c>
      <c r="F404" s="184">
        <v>1.704</v>
      </c>
      <c r="G404" s="65">
        <f>VLOOKUP(D404,upahbahan,3,FALSE)</f>
        <v>1300</v>
      </c>
      <c r="H404" s="125">
        <f t="shared" si="41"/>
        <v>2215.1999999999998</v>
      </c>
    </row>
    <row r="405" spans="3:9">
      <c r="C405" s="201" t="s">
        <v>1217</v>
      </c>
      <c r="D405" s="60" t="s">
        <v>571</v>
      </c>
      <c r="E405" s="73" t="s">
        <v>66</v>
      </c>
      <c r="F405" s="184">
        <v>0.188</v>
      </c>
      <c r="G405" s="65">
        <f>VLOOKUP(D405,upahbahan,3,FALSE)</f>
        <v>7800</v>
      </c>
      <c r="H405" s="125">
        <f t="shared" si="41"/>
        <v>1466.4</v>
      </c>
    </row>
    <row r="406" spans="3:9">
      <c r="C406" s="201" t="s">
        <v>1218</v>
      </c>
      <c r="D406" s="78" t="s">
        <v>86</v>
      </c>
      <c r="E406" s="73" t="s">
        <v>42</v>
      </c>
      <c r="F406" s="184">
        <v>3.0000000000000001E-3</v>
      </c>
      <c r="G406" s="65">
        <f>VLOOKUP(D406,upahbahan,3,FALSE)</f>
        <v>275000</v>
      </c>
      <c r="H406" s="125">
        <f t="shared" si="41"/>
        <v>825</v>
      </c>
    </row>
    <row r="407" spans="3:9">
      <c r="C407" s="145" t="s">
        <v>1226</v>
      </c>
      <c r="D407" s="81"/>
      <c r="E407" s="81"/>
      <c r="F407" s="81"/>
      <c r="G407" s="163"/>
      <c r="H407" s="125">
        <f>SUM(H403:H406)</f>
        <v>20256.600000000002</v>
      </c>
    </row>
    <row r="408" spans="3:9">
      <c r="C408" s="153" t="s">
        <v>1227</v>
      </c>
      <c r="D408" s="60" t="s">
        <v>1228</v>
      </c>
      <c r="E408" s="74"/>
      <c r="F408" s="74"/>
      <c r="G408" s="74"/>
      <c r="H408" s="147"/>
    </row>
    <row r="409" spans="3:9">
      <c r="C409" s="145" t="s">
        <v>1229</v>
      </c>
      <c r="D409" s="81"/>
      <c r="E409" s="81"/>
      <c r="F409" s="81"/>
      <c r="G409" s="163"/>
      <c r="H409" s="154">
        <v>0</v>
      </c>
    </row>
    <row r="410" spans="3:9">
      <c r="C410" s="123" t="s">
        <v>1230</v>
      </c>
      <c r="D410" s="70" t="s">
        <v>1231</v>
      </c>
      <c r="E410" s="71"/>
      <c r="F410" s="71"/>
      <c r="G410" s="72"/>
      <c r="H410" s="125">
        <f>H409+H407+H401</f>
        <v>32409.600000000002</v>
      </c>
    </row>
    <row r="411" spans="3:9">
      <c r="C411" s="123" t="s">
        <v>1232</v>
      </c>
      <c r="D411" s="70" t="s">
        <v>1410</v>
      </c>
      <c r="E411" s="71"/>
      <c r="F411" s="72"/>
      <c r="G411" s="96">
        <f>$M$7</f>
        <v>0.1</v>
      </c>
      <c r="H411" s="125">
        <f>H410*G411</f>
        <v>3240.9600000000005</v>
      </c>
    </row>
    <row r="412" spans="3:9" ht="15.75" thickBot="1">
      <c r="C412" s="131" t="s">
        <v>1233</v>
      </c>
      <c r="D412" s="132" t="s">
        <v>1234</v>
      </c>
      <c r="E412" s="133"/>
      <c r="F412" s="133"/>
      <c r="G412" s="156"/>
      <c r="H412" s="135">
        <f>SUM(H410:H411)</f>
        <v>35650.560000000005</v>
      </c>
    </row>
    <row r="413" spans="3:9" ht="15.75" thickTop="1">
      <c r="C413" s="58"/>
      <c r="D413" s="82"/>
      <c r="E413" s="82"/>
      <c r="F413" s="82"/>
      <c r="G413" s="82"/>
      <c r="H413" s="83"/>
    </row>
    <row r="414" spans="3:9" ht="15.75" thickBot="1">
      <c r="C414" s="524" t="s">
        <v>1563</v>
      </c>
      <c r="D414" s="525"/>
      <c r="E414" s="525"/>
      <c r="F414" s="525"/>
      <c r="G414" s="525"/>
      <c r="H414" s="525"/>
      <c r="I414" s="57">
        <f>ROUNDDOWN(H432,-2)</f>
        <v>325800</v>
      </c>
    </row>
    <row r="415" spans="3:9" ht="29.25" thickTop="1">
      <c r="C415" s="120" t="s">
        <v>1207</v>
      </c>
      <c r="D415" s="121" t="s">
        <v>1208</v>
      </c>
      <c r="E415" s="121" t="s">
        <v>1209</v>
      </c>
      <c r="F415" s="121" t="s">
        <v>1210</v>
      </c>
      <c r="G415" s="121" t="s">
        <v>1211</v>
      </c>
      <c r="H415" s="122" t="s">
        <v>1212</v>
      </c>
    </row>
    <row r="416" spans="3:9">
      <c r="C416" s="142" t="s">
        <v>1213</v>
      </c>
      <c r="D416" s="60" t="s">
        <v>1214</v>
      </c>
      <c r="E416" s="74"/>
      <c r="F416" s="74"/>
      <c r="G416" s="74"/>
      <c r="H416" s="147"/>
    </row>
    <row r="417" spans="3:9">
      <c r="C417" s="143">
        <v>1</v>
      </c>
      <c r="D417" s="60" t="s">
        <v>5</v>
      </c>
      <c r="E417" s="73" t="s">
        <v>6</v>
      </c>
      <c r="F417" s="184">
        <v>0.1429</v>
      </c>
      <c r="G417" s="65">
        <f>VLOOKUP(D417,upahbahan,3,FALSE)</f>
        <v>100000</v>
      </c>
      <c r="H417" s="125">
        <f t="shared" ref="H417:H420" si="42">F417*G417</f>
        <v>14290</v>
      </c>
    </row>
    <row r="418" spans="3:9">
      <c r="C418" s="143">
        <v>2</v>
      </c>
      <c r="D418" s="60" t="s">
        <v>7</v>
      </c>
      <c r="E418" s="73" t="s">
        <v>6</v>
      </c>
      <c r="F418" s="184">
        <v>7.1400000000000005E-2</v>
      </c>
      <c r="G418" s="65">
        <f>VLOOKUP(D418,upahbahan,3,FALSE)</f>
        <v>145000</v>
      </c>
      <c r="H418" s="125">
        <f t="shared" si="42"/>
        <v>10353</v>
      </c>
    </row>
    <row r="419" spans="3:9">
      <c r="C419" s="143">
        <v>3</v>
      </c>
      <c r="D419" s="60" t="s">
        <v>18</v>
      </c>
      <c r="E419" s="73" t="s">
        <v>6</v>
      </c>
      <c r="F419" s="184">
        <v>7.1000000000000004E-3</v>
      </c>
      <c r="G419" s="65">
        <f>VLOOKUP(D419,upahbahan,3,FALSE)</f>
        <v>150000</v>
      </c>
      <c r="H419" s="125">
        <f t="shared" si="42"/>
        <v>1065</v>
      </c>
    </row>
    <row r="420" spans="3:9">
      <c r="C420" s="143">
        <v>4</v>
      </c>
      <c r="D420" s="60" t="s">
        <v>19</v>
      </c>
      <c r="E420" s="73" t="s">
        <v>6</v>
      </c>
      <c r="F420" s="184">
        <v>2.3999999999999998E-3</v>
      </c>
      <c r="G420" s="65">
        <f>VLOOKUP(D420,upahbahan,3,FALSE)</f>
        <v>145000</v>
      </c>
      <c r="H420" s="125">
        <f t="shared" si="42"/>
        <v>347.99999999999994</v>
      </c>
    </row>
    <row r="421" spans="3:9">
      <c r="C421" s="145" t="s">
        <v>1220</v>
      </c>
      <c r="D421" s="81"/>
      <c r="E421" s="81"/>
      <c r="F421" s="220"/>
      <c r="G421" s="221"/>
      <c r="H421" s="125">
        <f>SUM(H417:H420)</f>
        <v>26056</v>
      </c>
      <c r="I421" s="223"/>
    </row>
    <row r="422" spans="3:9">
      <c r="C422" s="142" t="s">
        <v>1221</v>
      </c>
      <c r="D422" s="60" t="s">
        <v>1222</v>
      </c>
      <c r="E422" s="74"/>
      <c r="F422" s="74"/>
      <c r="G422" s="74"/>
      <c r="H422" s="147"/>
    </row>
    <row r="423" spans="3:9">
      <c r="C423" s="201" t="s">
        <v>1215</v>
      </c>
      <c r="D423" s="60" t="s">
        <v>422</v>
      </c>
      <c r="E423" s="73" t="s">
        <v>44</v>
      </c>
      <c r="F423" s="184">
        <v>11.667</v>
      </c>
      <c r="G423" s="65">
        <f>VLOOKUP(D423,upahbahan,3,FALSE)</f>
        <v>20000</v>
      </c>
      <c r="H423" s="125">
        <f t="shared" ref="H423:H426" si="43">F423*G423</f>
        <v>233340</v>
      </c>
    </row>
    <row r="424" spans="3:9">
      <c r="C424" s="201" t="s">
        <v>1216</v>
      </c>
      <c r="D424" s="60" t="s">
        <v>568</v>
      </c>
      <c r="E424" s="73" t="s">
        <v>66</v>
      </c>
      <c r="F424" s="184">
        <v>13.632</v>
      </c>
      <c r="G424" s="65">
        <f>VLOOKUP(D424,upahbahan,3,FALSE)</f>
        <v>1300</v>
      </c>
      <c r="H424" s="125">
        <f t="shared" si="43"/>
        <v>17721.599999999999</v>
      </c>
    </row>
    <row r="425" spans="3:9">
      <c r="C425" s="201" t="s">
        <v>1217</v>
      </c>
      <c r="D425" s="60" t="s">
        <v>571</v>
      </c>
      <c r="E425" s="73" t="s">
        <v>66</v>
      </c>
      <c r="F425" s="75">
        <v>1.5</v>
      </c>
      <c r="G425" s="65">
        <f>VLOOKUP(D425,upahbahan,3,FALSE)</f>
        <v>7800</v>
      </c>
      <c r="H425" s="125">
        <f t="shared" si="43"/>
        <v>11700</v>
      </c>
    </row>
    <row r="426" spans="3:9">
      <c r="C426" s="201" t="s">
        <v>1218</v>
      </c>
      <c r="D426" s="78" t="s">
        <v>86</v>
      </c>
      <c r="E426" s="73" t="s">
        <v>42</v>
      </c>
      <c r="F426" s="75">
        <v>2.7E-2</v>
      </c>
      <c r="G426" s="65">
        <f>VLOOKUP(D426,upahbahan,3,FALSE)</f>
        <v>275000</v>
      </c>
      <c r="H426" s="125">
        <f t="shared" si="43"/>
        <v>7425</v>
      </c>
    </row>
    <row r="427" spans="3:9">
      <c r="C427" s="145" t="s">
        <v>1226</v>
      </c>
      <c r="D427" s="81"/>
      <c r="E427" s="81"/>
      <c r="F427" s="81"/>
      <c r="G427" s="163"/>
      <c r="H427" s="125">
        <f>SUM(H423:H426)</f>
        <v>270186.59999999998</v>
      </c>
    </row>
    <row r="428" spans="3:9">
      <c r="C428" s="153" t="s">
        <v>1227</v>
      </c>
      <c r="D428" s="60" t="s">
        <v>1228</v>
      </c>
      <c r="E428" s="74"/>
      <c r="F428" s="74"/>
      <c r="G428" s="74"/>
      <c r="H428" s="147"/>
    </row>
    <row r="429" spans="3:9">
      <c r="C429" s="145" t="s">
        <v>1229</v>
      </c>
      <c r="D429" s="81"/>
      <c r="E429" s="81"/>
      <c r="F429" s="81"/>
      <c r="G429" s="163"/>
      <c r="H429" s="154">
        <v>0</v>
      </c>
    </row>
    <row r="430" spans="3:9">
      <c r="C430" s="123" t="s">
        <v>1230</v>
      </c>
      <c r="D430" s="70" t="s">
        <v>1231</v>
      </c>
      <c r="E430" s="71"/>
      <c r="F430" s="71"/>
      <c r="G430" s="72"/>
      <c r="H430" s="125">
        <f>H429+H427+H421</f>
        <v>296242.59999999998</v>
      </c>
    </row>
    <row r="431" spans="3:9">
      <c r="C431" s="123" t="s">
        <v>1232</v>
      </c>
      <c r="D431" s="70" t="s">
        <v>1410</v>
      </c>
      <c r="E431" s="71"/>
      <c r="F431" s="72"/>
      <c r="G431" s="96">
        <f>$M$7</f>
        <v>0.1</v>
      </c>
      <c r="H431" s="125">
        <f>H430*G431</f>
        <v>29624.26</v>
      </c>
    </row>
    <row r="432" spans="3:9" ht="15.75" thickBot="1">
      <c r="C432" s="131" t="s">
        <v>1233</v>
      </c>
      <c r="D432" s="132" t="s">
        <v>1234</v>
      </c>
      <c r="E432" s="133"/>
      <c r="F432" s="133"/>
      <c r="G432" s="156"/>
      <c r="H432" s="135">
        <f>SUM(H430:H431)</f>
        <v>325866.86</v>
      </c>
    </row>
    <row r="433" spans="3:9" ht="15.75" thickTop="1">
      <c r="C433" s="58"/>
      <c r="D433" s="82"/>
      <c r="E433" s="82"/>
      <c r="F433" s="82"/>
      <c r="G433" s="82"/>
      <c r="H433" s="83"/>
    </row>
    <row r="434" spans="3:9" ht="15.75" thickBot="1">
      <c r="C434" s="524" t="s">
        <v>1564</v>
      </c>
      <c r="D434" s="525"/>
      <c r="E434" s="525"/>
      <c r="F434" s="525"/>
      <c r="G434" s="525"/>
      <c r="H434" s="525"/>
      <c r="I434" s="57">
        <f>ROUNDDOWN(H452,-2)</f>
        <v>287900</v>
      </c>
    </row>
    <row r="435" spans="3:9" ht="29.25" thickTop="1">
      <c r="C435" s="120" t="s">
        <v>1207</v>
      </c>
      <c r="D435" s="121" t="s">
        <v>1208</v>
      </c>
      <c r="E435" s="121" t="s">
        <v>1209</v>
      </c>
      <c r="F435" s="121" t="s">
        <v>1210</v>
      </c>
      <c r="G435" s="121" t="s">
        <v>1211</v>
      </c>
      <c r="H435" s="122" t="s">
        <v>1212</v>
      </c>
    </row>
    <row r="436" spans="3:9">
      <c r="C436" s="142" t="s">
        <v>1213</v>
      </c>
      <c r="D436" s="60" t="s">
        <v>1214</v>
      </c>
      <c r="E436" s="74"/>
      <c r="F436" s="74"/>
      <c r="G436" s="74"/>
      <c r="H436" s="147"/>
    </row>
    <row r="437" spans="3:9">
      <c r="C437" s="143">
        <v>1</v>
      </c>
      <c r="D437" s="60" t="s">
        <v>5</v>
      </c>
      <c r="E437" s="73" t="s">
        <v>6</v>
      </c>
      <c r="F437" s="94">
        <v>0.15379999999999999</v>
      </c>
      <c r="G437" s="65">
        <f>VLOOKUP(D437,upahbahan,3,FALSE)</f>
        <v>100000</v>
      </c>
      <c r="H437" s="125">
        <f t="shared" ref="H437:H440" si="44">F437*G437</f>
        <v>15380</v>
      </c>
    </row>
    <row r="438" spans="3:9">
      <c r="C438" s="143">
        <v>2</v>
      </c>
      <c r="D438" s="60" t="s">
        <v>7</v>
      </c>
      <c r="E438" s="73" t="s">
        <v>6</v>
      </c>
      <c r="F438" s="94">
        <v>7.6899999999999996E-2</v>
      </c>
      <c r="G438" s="65">
        <f>VLOOKUP(D438,upahbahan,3,FALSE)</f>
        <v>145000</v>
      </c>
      <c r="H438" s="125">
        <f t="shared" si="44"/>
        <v>11150.5</v>
      </c>
    </row>
    <row r="439" spans="3:9">
      <c r="C439" s="143">
        <v>3</v>
      </c>
      <c r="D439" s="60" t="s">
        <v>18</v>
      </c>
      <c r="E439" s="73" t="s">
        <v>6</v>
      </c>
      <c r="F439" s="94">
        <v>7.7000000000000002E-3</v>
      </c>
      <c r="G439" s="65">
        <f>VLOOKUP(D439,upahbahan,3,FALSE)</f>
        <v>150000</v>
      </c>
      <c r="H439" s="125">
        <f t="shared" si="44"/>
        <v>1155</v>
      </c>
    </row>
    <row r="440" spans="3:9">
      <c r="C440" s="143">
        <v>4</v>
      </c>
      <c r="D440" s="60" t="s">
        <v>19</v>
      </c>
      <c r="E440" s="73" t="s">
        <v>6</v>
      </c>
      <c r="F440" s="94">
        <v>2.5999999999999999E-3</v>
      </c>
      <c r="G440" s="65">
        <f>VLOOKUP(D440,upahbahan,3,FALSE)</f>
        <v>145000</v>
      </c>
      <c r="H440" s="125">
        <f t="shared" si="44"/>
        <v>377</v>
      </c>
    </row>
    <row r="441" spans="3:9">
      <c r="C441" s="145" t="s">
        <v>1220</v>
      </c>
      <c r="D441" s="81"/>
      <c r="E441" s="81"/>
      <c r="F441" s="220"/>
      <c r="G441" s="221"/>
      <c r="H441" s="125">
        <f>SUM(H437:H440)</f>
        <v>28062.5</v>
      </c>
      <c r="I441" s="223"/>
    </row>
    <row r="442" spans="3:9">
      <c r="C442" s="142" t="s">
        <v>1221</v>
      </c>
      <c r="D442" s="60" t="s">
        <v>1222</v>
      </c>
      <c r="E442" s="74"/>
      <c r="F442" s="74"/>
      <c r="G442" s="74"/>
      <c r="H442" s="147"/>
    </row>
    <row r="443" spans="3:9">
      <c r="C443" s="201" t="s">
        <v>1215</v>
      </c>
      <c r="D443" s="60" t="s">
        <v>423</v>
      </c>
      <c r="E443" s="73" t="s">
        <v>44</v>
      </c>
      <c r="F443" s="184">
        <v>6.5629999999999997</v>
      </c>
      <c r="G443" s="65">
        <f>VLOOKUP(D443,upahbahan,3,FALSE)</f>
        <v>30000</v>
      </c>
      <c r="H443" s="125">
        <f t="shared" ref="H443:H446" si="45">F443*G443</f>
        <v>196890</v>
      </c>
    </row>
    <row r="444" spans="3:9">
      <c r="C444" s="201" t="s">
        <v>1216</v>
      </c>
      <c r="D444" s="60" t="s">
        <v>568</v>
      </c>
      <c r="E444" s="73" t="s">
        <v>66</v>
      </c>
      <c r="F444" s="184">
        <v>13.632</v>
      </c>
      <c r="G444" s="65">
        <f>VLOOKUP(D444,upahbahan,3,FALSE)</f>
        <v>1300</v>
      </c>
      <c r="H444" s="125">
        <f t="shared" si="45"/>
        <v>17721.599999999999</v>
      </c>
    </row>
    <row r="445" spans="3:9">
      <c r="C445" s="201" t="s">
        <v>1217</v>
      </c>
      <c r="D445" s="60" t="s">
        <v>571</v>
      </c>
      <c r="E445" s="73" t="s">
        <v>66</v>
      </c>
      <c r="F445" s="75">
        <v>1.5</v>
      </c>
      <c r="G445" s="65">
        <f>VLOOKUP(D445,upahbahan,3,FALSE)</f>
        <v>7800</v>
      </c>
      <c r="H445" s="125">
        <f t="shared" si="45"/>
        <v>11700</v>
      </c>
    </row>
    <row r="446" spans="3:9">
      <c r="C446" s="201" t="s">
        <v>1218</v>
      </c>
      <c r="D446" s="78" t="s">
        <v>86</v>
      </c>
      <c r="E446" s="73" t="s">
        <v>42</v>
      </c>
      <c r="F446" s="75">
        <v>2.7E-2</v>
      </c>
      <c r="G446" s="65">
        <f>VLOOKUP(D446,upahbahan,3,FALSE)</f>
        <v>275000</v>
      </c>
      <c r="H446" s="125">
        <f t="shared" si="45"/>
        <v>7425</v>
      </c>
    </row>
    <row r="447" spans="3:9">
      <c r="C447" s="145" t="s">
        <v>1226</v>
      </c>
      <c r="D447" s="81"/>
      <c r="E447" s="81"/>
      <c r="F447" s="81"/>
      <c r="G447" s="163"/>
      <c r="H447" s="125">
        <f>SUM(H443:H446)</f>
        <v>233736.6</v>
      </c>
    </row>
    <row r="448" spans="3:9">
      <c r="C448" s="153" t="s">
        <v>1227</v>
      </c>
      <c r="D448" s="60" t="s">
        <v>1228</v>
      </c>
      <c r="E448" s="74"/>
      <c r="F448" s="74"/>
      <c r="G448" s="74"/>
      <c r="H448" s="147"/>
    </row>
    <row r="449" spans="3:9">
      <c r="C449" s="145" t="s">
        <v>1229</v>
      </c>
      <c r="D449" s="81"/>
      <c r="E449" s="81"/>
      <c r="F449" s="81"/>
      <c r="G449" s="163"/>
      <c r="H449" s="154">
        <v>0</v>
      </c>
    </row>
    <row r="450" spans="3:9">
      <c r="C450" s="123" t="s">
        <v>1230</v>
      </c>
      <c r="D450" s="70" t="s">
        <v>1231</v>
      </c>
      <c r="E450" s="71"/>
      <c r="F450" s="71"/>
      <c r="G450" s="72"/>
      <c r="H450" s="125">
        <f>H449+H447+H441</f>
        <v>261799.1</v>
      </c>
    </row>
    <row r="451" spans="3:9">
      <c r="C451" s="123" t="s">
        <v>1232</v>
      </c>
      <c r="D451" s="70" t="s">
        <v>1410</v>
      </c>
      <c r="E451" s="71"/>
      <c r="F451" s="72"/>
      <c r="G451" s="96">
        <f>$M$7</f>
        <v>0.1</v>
      </c>
      <c r="H451" s="125">
        <f>H450*G451</f>
        <v>26179.910000000003</v>
      </c>
    </row>
    <row r="452" spans="3:9" ht="15.75" thickBot="1">
      <c r="C452" s="131" t="s">
        <v>1233</v>
      </c>
      <c r="D452" s="132" t="s">
        <v>1234</v>
      </c>
      <c r="E452" s="133"/>
      <c r="F452" s="133"/>
      <c r="G452" s="156"/>
      <c r="H452" s="135">
        <f>SUM(H450:H451)</f>
        <v>287979.01</v>
      </c>
    </row>
    <row r="453" spans="3:9" ht="15.75" thickTop="1">
      <c r="C453" s="58"/>
      <c r="D453" s="82"/>
      <c r="E453" s="82"/>
      <c r="F453" s="82"/>
      <c r="G453" s="82"/>
      <c r="H453" s="83"/>
    </row>
    <row r="454" spans="3:9" ht="15.75" thickBot="1">
      <c r="C454" s="524" t="s">
        <v>1565</v>
      </c>
      <c r="D454" s="525"/>
      <c r="E454" s="525"/>
      <c r="F454" s="525"/>
      <c r="G454" s="525"/>
      <c r="H454" s="525"/>
      <c r="I454" s="57">
        <f>ROUNDDOWN(H472,-2)</f>
        <v>243500</v>
      </c>
    </row>
    <row r="455" spans="3:9" ht="29.25" thickTop="1">
      <c r="C455" s="120" t="s">
        <v>1207</v>
      </c>
      <c r="D455" s="121" t="s">
        <v>1208</v>
      </c>
      <c r="E455" s="121" t="s">
        <v>1209</v>
      </c>
      <c r="F455" s="121" t="s">
        <v>1210</v>
      </c>
      <c r="G455" s="121" t="s">
        <v>1211</v>
      </c>
      <c r="H455" s="122" t="s">
        <v>1212</v>
      </c>
    </row>
    <row r="456" spans="3:9">
      <c r="C456" s="142" t="s">
        <v>1213</v>
      </c>
      <c r="D456" s="60" t="s">
        <v>1214</v>
      </c>
      <c r="E456" s="74"/>
      <c r="F456" s="74"/>
      <c r="G456" s="74"/>
      <c r="H456" s="147"/>
    </row>
    <row r="457" spans="3:9">
      <c r="C457" s="143">
        <v>1</v>
      </c>
      <c r="D457" s="60" t="s">
        <v>5</v>
      </c>
      <c r="E457" s="73" t="s">
        <v>6</v>
      </c>
      <c r="F457" s="94">
        <v>0.25</v>
      </c>
      <c r="G457" s="65">
        <f>VLOOKUP(D457,upahbahan,3,FALSE)</f>
        <v>100000</v>
      </c>
      <c r="H457" s="125">
        <f t="shared" ref="H457:H460" si="46">F457*G457</f>
        <v>25000</v>
      </c>
    </row>
    <row r="458" spans="3:9">
      <c r="C458" s="143">
        <v>2</v>
      </c>
      <c r="D458" s="60" t="s">
        <v>7</v>
      </c>
      <c r="E458" s="73" t="s">
        <v>6</v>
      </c>
      <c r="F458" s="94">
        <v>8.3299999999999999E-2</v>
      </c>
      <c r="G458" s="65">
        <f>VLOOKUP(D458,upahbahan,3,FALSE)</f>
        <v>145000</v>
      </c>
      <c r="H458" s="125">
        <f t="shared" si="46"/>
        <v>12078.5</v>
      </c>
    </row>
    <row r="459" spans="3:9">
      <c r="C459" s="143">
        <v>3</v>
      </c>
      <c r="D459" s="60" t="s">
        <v>18</v>
      </c>
      <c r="E459" s="73" t="s">
        <v>6</v>
      </c>
      <c r="F459" s="94">
        <v>8.3000000000000001E-3</v>
      </c>
      <c r="G459" s="65">
        <f>VLOOKUP(D459,upahbahan,3,FALSE)</f>
        <v>150000</v>
      </c>
      <c r="H459" s="125">
        <f t="shared" si="46"/>
        <v>1245</v>
      </c>
    </row>
    <row r="460" spans="3:9">
      <c r="C460" s="143">
        <v>4</v>
      </c>
      <c r="D460" s="60" t="s">
        <v>19</v>
      </c>
      <c r="E460" s="73" t="s">
        <v>6</v>
      </c>
      <c r="F460" s="94">
        <v>2.8E-3</v>
      </c>
      <c r="G460" s="65">
        <f>VLOOKUP(D460,upahbahan,3,FALSE)</f>
        <v>145000</v>
      </c>
      <c r="H460" s="125">
        <f t="shared" si="46"/>
        <v>406</v>
      </c>
    </row>
    <row r="461" spans="3:9">
      <c r="C461" s="145" t="s">
        <v>1220</v>
      </c>
      <c r="D461" s="81"/>
      <c r="E461" s="81"/>
      <c r="F461" s="220"/>
      <c r="G461" s="221"/>
      <c r="H461" s="125">
        <f>SUM(H457:H460)</f>
        <v>38729.5</v>
      </c>
      <c r="I461" s="223"/>
    </row>
    <row r="462" spans="3:9">
      <c r="C462" s="142" t="s">
        <v>1221</v>
      </c>
      <c r="D462" s="60" t="s">
        <v>1222</v>
      </c>
      <c r="E462" s="74"/>
      <c r="F462" s="74"/>
      <c r="G462" s="74"/>
      <c r="H462" s="147"/>
    </row>
    <row r="463" spans="3:9">
      <c r="C463" s="201" t="s">
        <v>1215</v>
      </c>
      <c r="D463" s="60" t="s">
        <v>424</v>
      </c>
      <c r="E463" s="73" t="s">
        <v>44</v>
      </c>
      <c r="F463" s="184">
        <v>2.9169999999999998</v>
      </c>
      <c r="G463" s="65">
        <f>VLOOKUP(D463,upahbahan,3,FALSE)</f>
        <v>50000</v>
      </c>
      <c r="H463" s="125">
        <f t="shared" ref="H463:H466" si="47">F463*G463</f>
        <v>145850</v>
      </c>
    </row>
    <row r="464" spans="3:9">
      <c r="C464" s="201" t="s">
        <v>1216</v>
      </c>
      <c r="D464" s="60" t="s">
        <v>568</v>
      </c>
      <c r="E464" s="73" t="s">
        <v>66</v>
      </c>
      <c r="F464" s="184">
        <v>13.632</v>
      </c>
      <c r="G464" s="65">
        <f>VLOOKUP(D464,upahbahan,3,FALSE)</f>
        <v>1300</v>
      </c>
      <c r="H464" s="125">
        <f t="shared" si="47"/>
        <v>17721.599999999999</v>
      </c>
    </row>
    <row r="465" spans="3:9">
      <c r="C465" s="201" t="s">
        <v>1217</v>
      </c>
      <c r="D465" s="60" t="s">
        <v>571</v>
      </c>
      <c r="E465" s="73" t="s">
        <v>66</v>
      </c>
      <c r="F465" s="75">
        <v>1.5</v>
      </c>
      <c r="G465" s="65">
        <f>VLOOKUP(D465,upahbahan,3,FALSE)</f>
        <v>7800</v>
      </c>
      <c r="H465" s="125">
        <f t="shared" si="47"/>
        <v>11700</v>
      </c>
    </row>
    <row r="466" spans="3:9">
      <c r="C466" s="201" t="s">
        <v>1218</v>
      </c>
      <c r="D466" s="78" t="s">
        <v>86</v>
      </c>
      <c r="E466" s="73" t="s">
        <v>42</v>
      </c>
      <c r="F466" s="75">
        <v>2.7E-2</v>
      </c>
      <c r="G466" s="65">
        <f>VLOOKUP(D466,upahbahan,3,FALSE)</f>
        <v>275000</v>
      </c>
      <c r="H466" s="125">
        <f t="shared" si="47"/>
        <v>7425</v>
      </c>
    </row>
    <row r="467" spans="3:9">
      <c r="C467" s="145" t="s">
        <v>1226</v>
      </c>
      <c r="D467" s="81"/>
      <c r="E467" s="81"/>
      <c r="F467" s="81"/>
      <c r="G467" s="163"/>
      <c r="H467" s="125">
        <f>SUM(H463:H466)</f>
        <v>182696.6</v>
      </c>
    </row>
    <row r="468" spans="3:9">
      <c r="C468" s="153" t="s">
        <v>1227</v>
      </c>
      <c r="D468" s="60" t="s">
        <v>1228</v>
      </c>
      <c r="E468" s="74"/>
      <c r="F468" s="74"/>
      <c r="G468" s="74"/>
      <c r="H468" s="147"/>
    </row>
    <row r="469" spans="3:9">
      <c r="C469" s="145" t="s">
        <v>1229</v>
      </c>
      <c r="D469" s="81"/>
      <c r="E469" s="81"/>
      <c r="F469" s="81"/>
      <c r="G469" s="163"/>
      <c r="H469" s="154">
        <v>0</v>
      </c>
    </row>
    <row r="470" spans="3:9">
      <c r="C470" s="123" t="s">
        <v>1230</v>
      </c>
      <c r="D470" s="70" t="s">
        <v>1231</v>
      </c>
      <c r="E470" s="71"/>
      <c r="F470" s="71"/>
      <c r="G470" s="72"/>
      <c r="H470" s="125">
        <f>H469+H467+H461</f>
        <v>221426.1</v>
      </c>
    </row>
    <row r="471" spans="3:9">
      <c r="C471" s="123" t="s">
        <v>1232</v>
      </c>
      <c r="D471" s="70" t="s">
        <v>1410</v>
      </c>
      <c r="E471" s="71"/>
      <c r="F471" s="72"/>
      <c r="G471" s="96">
        <f>$M$7</f>
        <v>0.1</v>
      </c>
      <c r="H471" s="125">
        <f>H470*G471</f>
        <v>22142.61</v>
      </c>
    </row>
    <row r="472" spans="3:9" ht="15.75" thickBot="1">
      <c r="C472" s="131" t="s">
        <v>1233</v>
      </c>
      <c r="D472" s="132" t="s">
        <v>1234</v>
      </c>
      <c r="E472" s="133"/>
      <c r="F472" s="133"/>
      <c r="G472" s="156"/>
      <c r="H472" s="135">
        <f>SUM(H470:H471)</f>
        <v>243568.71000000002</v>
      </c>
    </row>
    <row r="473" spans="3:9" ht="15.75" thickTop="1">
      <c r="C473" s="58"/>
      <c r="D473" s="82"/>
      <c r="E473" s="82"/>
      <c r="F473" s="82"/>
      <c r="G473" s="82"/>
      <c r="H473" s="83"/>
    </row>
    <row r="474" spans="3:9" ht="15.75" thickBot="1">
      <c r="C474" s="524" t="s">
        <v>1566</v>
      </c>
      <c r="D474" s="525"/>
      <c r="E474" s="525"/>
      <c r="F474" s="525"/>
      <c r="G474" s="525"/>
      <c r="H474" s="525"/>
      <c r="I474" s="57">
        <f>ROUNDDOWN(H492,-2)</f>
        <v>36700</v>
      </c>
    </row>
    <row r="475" spans="3:9" ht="29.25" thickTop="1">
      <c r="C475" s="120" t="s">
        <v>1207</v>
      </c>
      <c r="D475" s="121" t="s">
        <v>1208</v>
      </c>
      <c r="E475" s="121" t="s">
        <v>1209</v>
      </c>
      <c r="F475" s="121" t="s">
        <v>1210</v>
      </c>
      <c r="G475" s="121" t="s">
        <v>1211</v>
      </c>
      <c r="H475" s="122" t="s">
        <v>1212</v>
      </c>
    </row>
    <row r="476" spans="3:9">
      <c r="C476" s="142" t="s">
        <v>1213</v>
      </c>
      <c r="D476" s="60" t="s">
        <v>1214</v>
      </c>
      <c r="E476" s="74"/>
      <c r="F476" s="74"/>
      <c r="G476" s="74"/>
      <c r="H476" s="147"/>
    </row>
    <row r="477" spans="3:9">
      <c r="C477" s="143">
        <v>1</v>
      </c>
      <c r="D477" s="60" t="s">
        <v>5</v>
      </c>
      <c r="E477" s="73" t="s">
        <v>6</v>
      </c>
      <c r="F477" s="94">
        <v>6.25E-2</v>
      </c>
      <c r="G477" s="65">
        <f>VLOOKUP(D477,upahbahan,3,FALSE)</f>
        <v>100000</v>
      </c>
      <c r="H477" s="125">
        <f t="shared" ref="H477:H480" si="48">F477*G477</f>
        <v>6250</v>
      </c>
    </row>
    <row r="478" spans="3:9">
      <c r="C478" s="143">
        <v>2</v>
      </c>
      <c r="D478" s="60" t="s">
        <v>7</v>
      </c>
      <c r="E478" s="73" t="s">
        <v>6</v>
      </c>
      <c r="F478" s="94">
        <v>3.1300000000000001E-2</v>
      </c>
      <c r="G478" s="65">
        <f>VLOOKUP(D478,upahbahan,3,FALSE)</f>
        <v>145000</v>
      </c>
      <c r="H478" s="125">
        <f t="shared" si="48"/>
        <v>4538.5</v>
      </c>
    </row>
    <row r="479" spans="3:9">
      <c r="C479" s="143">
        <v>3</v>
      </c>
      <c r="D479" s="60" t="s">
        <v>18</v>
      </c>
      <c r="E479" s="73" t="s">
        <v>6</v>
      </c>
      <c r="F479" s="94">
        <v>3.0999999999999999E-3</v>
      </c>
      <c r="G479" s="65">
        <f>VLOOKUP(D479,upahbahan,3,FALSE)</f>
        <v>150000</v>
      </c>
      <c r="H479" s="125">
        <f t="shared" si="48"/>
        <v>465</v>
      </c>
    </row>
    <row r="480" spans="3:9">
      <c r="C480" s="143">
        <v>4</v>
      </c>
      <c r="D480" s="60" t="s">
        <v>19</v>
      </c>
      <c r="E480" s="73" t="s">
        <v>6</v>
      </c>
      <c r="F480" s="94">
        <v>1E-3</v>
      </c>
      <c r="G480" s="65">
        <f>VLOOKUP(D480,upahbahan,3,FALSE)</f>
        <v>145000</v>
      </c>
      <c r="H480" s="125">
        <f t="shared" si="48"/>
        <v>145</v>
      </c>
    </row>
    <row r="481" spans="3:9">
      <c r="C481" s="145" t="s">
        <v>1220</v>
      </c>
      <c r="D481" s="81"/>
      <c r="E481" s="81"/>
      <c r="F481" s="220"/>
      <c r="G481" s="221"/>
      <c r="H481" s="125">
        <f>SUM(H477:H480)</f>
        <v>11398.5</v>
      </c>
      <c r="I481" s="223"/>
    </row>
    <row r="482" spans="3:9">
      <c r="C482" s="142" t="s">
        <v>1221</v>
      </c>
      <c r="D482" s="60" t="s">
        <v>1222</v>
      </c>
      <c r="E482" s="74"/>
      <c r="F482" s="74"/>
      <c r="G482" s="74"/>
      <c r="H482" s="147"/>
    </row>
    <row r="483" spans="3:9">
      <c r="C483" s="201" t="s">
        <v>1215</v>
      </c>
      <c r="D483" s="78" t="s">
        <v>472</v>
      </c>
      <c r="E483" s="73" t="s">
        <v>44</v>
      </c>
      <c r="F483" s="75">
        <v>3.5</v>
      </c>
      <c r="G483" s="65">
        <f>VLOOKUP(D483,upahbahan,3,FALSE)</f>
        <v>5000</v>
      </c>
      <c r="H483" s="125">
        <f t="shared" ref="H483:H486" si="49">F483*G483</f>
        <v>17500</v>
      </c>
    </row>
    <row r="484" spans="3:9">
      <c r="C484" s="201" t="s">
        <v>1216</v>
      </c>
      <c r="D484" s="60" t="s">
        <v>568</v>
      </c>
      <c r="E484" s="73" t="s">
        <v>66</v>
      </c>
      <c r="F484" s="75">
        <v>1.704</v>
      </c>
      <c r="G484" s="65">
        <f>VLOOKUP(D484,upahbahan,3,FALSE)</f>
        <v>1300</v>
      </c>
      <c r="H484" s="125">
        <f t="shared" si="49"/>
        <v>2215.1999999999998</v>
      </c>
    </row>
    <row r="485" spans="3:9">
      <c r="C485" s="201" t="s">
        <v>1217</v>
      </c>
      <c r="D485" s="60" t="s">
        <v>571</v>
      </c>
      <c r="E485" s="73" t="s">
        <v>66</v>
      </c>
      <c r="F485" s="75">
        <v>0.188</v>
      </c>
      <c r="G485" s="65">
        <f>VLOOKUP(D485,upahbahan,3,FALSE)</f>
        <v>7800</v>
      </c>
      <c r="H485" s="125">
        <f t="shared" si="49"/>
        <v>1466.4</v>
      </c>
    </row>
    <row r="486" spans="3:9">
      <c r="C486" s="201" t="s">
        <v>1218</v>
      </c>
      <c r="D486" s="78" t="s">
        <v>86</v>
      </c>
      <c r="E486" s="73" t="s">
        <v>42</v>
      </c>
      <c r="F486" s="75">
        <v>3.0000000000000001E-3</v>
      </c>
      <c r="G486" s="65">
        <f>VLOOKUP(D486,upahbahan,3,FALSE)</f>
        <v>275000</v>
      </c>
      <c r="H486" s="125">
        <f t="shared" si="49"/>
        <v>825</v>
      </c>
    </row>
    <row r="487" spans="3:9">
      <c r="C487" s="145" t="s">
        <v>1226</v>
      </c>
      <c r="D487" s="81"/>
      <c r="E487" s="81"/>
      <c r="F487" s="81"/>
      <c r="G487" s="163"/>
      <c r="H487" s="125">
        <f>SUM(H483:H486)</f>
        <v>22006.600000000002</v>
      </c>
    </row>
    <row r="488" spans="3:9">
      <c r="C488" s="153" t="s">
        <v>1227</v>
      </c>
      <c r="D488" s="60" t="s">
        <v>1228</v>
      </c>
      <c r="E488" s="74"/>
      <c r="F488" s="74"/>
      <c r="G488" s="74"/>
      <c r="H488" s="147"/>
    </row>
    <row r="489" spans="3:9">
      <c r="C489" s="145" t="s">
        <v>1229</v>
      </c>
      <c r="D489" s="81"/>
      <c r="E489" s="81"/>
      <c r="F489" s="81"/>
      <c r="G489" s="163"/>
      <c r="H489" s="154">
        <v>0</v>
      </c>
    </row>
    <row r="490" spans="3:9">
      <c r="C490" s="123" t="s">
        <v>1230</v>
      </c>
      <c r="D490" s="70" t="s">
        <v>1231</v>
      </c>
      <c r="E490" s="71"/>
      <c r="F490" s="71"/>
      <c r="G490" s="72"/>
      <c r="H490" s="125">
        <f>H489+H487+H481</f>
        <v>33405.100000000006</v>
      </c>
    </row>
    <row r="491" spans="3:9">
      <c r="C491" s="123" t="s">
        <v>1232</v>
      </c>
      <c r="D491" s="70" t="s">
        <v>1410</v>
      </c>
      <c r="E491" s="71"/>
      <c r="F491" s="72"/>
      <c r="G491" s="96">
        <f>$M$7</f>
        <v>0.1</v>
      </c>
      <c r="H491" s="125">
        <f>H490*G491</f>
        <v>3340.5100000000007</v>
      </c>
    </row>
    <row r="492" spans="3:9" ht="15.75" thickBot="1">
      <c r="C492" s="131" t="s">
        <v>1233</v>
      </c>
      <c r="D492" s="132" t="s">
        <v>1234</v>
      </c>
      <c r="E492" s="133"/>
      <c r="F492" s="133"/>
      <c r="G492" s="156"/>
      <c r="H492" s="135">
        <f>SUM(H490:H491)</f>
        <v>36745.610000000008</v>
      </c>
    </row>
    <row r="493" spans="3:9" ht="15.75" thickTop="1">
      <c r="C493" s="58"/>
      <c r="D493" s="82"/>
      <c r="E493" s="82"/>
      <c r="F493" s="82"/>
      <c r="G493" s="82"/>
      <c r="H493" s="83"/>
    </row>
    <row r="494" spans="3:9" ht="15.75" thickBot="1">
      <c r="C494" s="524" t="s">
        <v>1567</v>
      </c>
      <c r="D494" s="525"/>
      <c r="E494" s="525"/>
      <c r="F494" s="525"/>
      <c r="G494" s="525"/>
      <c r="H494" s="525"/>
      <c r="I494" s="57">
        <f>ROUNDDOWN(H512,-2)</f>
        <v>38500</v>
      </c>
    </row>
    <row r="495" spans="3:9" ht="29.25" thickTop="1">
      <c r="C495" s="120" t="s">
        <v>1207</v>
      </c>
      <c r="D495" s="121" t="s">
        <v>1208</v>
      </c>
      <c r="E495" s="121" t="s">
        <v>1209</v>
      </c>
      <c r="F495" s="121" t="s">
        <v>1210</v>
      </c>
      <c r="G495" s="121" t="s">
        <v>1211</v>
      </c>
      <c r="H495" s="122" t="s">
        <v>1212</v>
      </c>
    </row>
    <row r="496" spans="3:9">
      <c r="C496" s="142" t="s">
        <v>1213</v>
      </c>
      <c r="D496" s="60" t="s">
        <v>1214</v>
      </c>
      <c r="E496" s="74"/>
      <c r="F496" s="74"/>
      <c r="G496" s="74"/>
      <c r="H496" s="147"/>
    </row>
    <row r="497" spans="3:9">
      <c r="C497" s="143">
        <v>1</v>
      </c>
      <c r="D497" s="60" t="s">
        <v>5</v>
      </c>
      <c r="E497" s="73" t="s">
        <v>6</v>
      </c>
      <c r="F497" s="184">
        <v>6.6699999999999995E-2</v>
      </c>
      <c r="G497" s="65">
        <f>VLOOKUP(D497,upahbahan,3,FALSE)</f>
        <v>100000</v>
      </c>
      <c r="H497" s="125">
        <f t="shared" ref="H497:H500" si="50">F497*G497</f>
        <v>6669.9999999999991</v>
      </c>
    </row>
    <row r="498" spans="3:9">
      <c r="C498" s="143">
        <v>2</v>
      </c>
      <c r="D498" s="60" t="s">
        <v>7</v>
      </c>
      <c r="E498" s="73" t="s">
        <v>6</v>
      </c>
      <c r="F498" s="184">
        <v>3.3300000000000003E-2</v>
      </c>
      <c r="G498" s="65">
        <f>VLOOKUP(D498,upahbahan,3,FALSE)</f>
        <v>145000</v>
      </c>
      <c r="H498" s="125">
        <f t="shared" si="50"/>
        <v>4828.5000000000009</v>
      </c>
    </row>
    <row r="499" spans="3:9">
      <c r="C499" s="143">
        <v>3</v>
      </c>
      <c r="D499" s="60" t="s">
        <v>18</v>
      </c>
      <c r="E499" s="73" t="s">
        <v>6</v>
      </c>
      <c r="F499" s="184">
        <v>3.3E-3</v>
      </c>
      <c r="G499" s="65">
        <f>VLOOKUP(D499,upahbahan,3,FALSE)</f>
        <v>150000</v>
      </c>
      <c r="H499" s="125">
        <f t="shared" si="50"/>
        <v>495</v>
      </c>
    </row>
    <row r="500" spans="3:9">
      <c r="C500" s="143">
        <v>4</v>
      </c>
      <c r="D500" s="60" t="s">
        <v>19</v>
      </c>
      <c r="E500" s="73" t="s">
        <v>6</v>
      </c>
      <c r="F500" s="184">
        <v>1.1000000000000001E-3</v>
      </c>
      <c r="G500" s="65">
        <f>VLOOKUP(D500,upahbahan,3,FALSE)</f>
        <v>145000</v>
      </c>
      <c r="H500" s="125">
        <f t="shared" si="50"/>
        <v>159.5</v>
      </c>
    </row>
    <row r="501" spans="3:9">
      <c r="C501" s="145" t="s">
        <v>1220</v>
      </c>
      <c r="D501" s="81"/>
      <c r="E501" s="81"/>
      <c r="F501" s="220"/>
      <c r="G501" s="221"/>
      <c r="H501" s="125">
        <f>SUM(H497:H500)</f>
        <v>12153</v>
      </c>
      <c r="I501" s="223"/>
    </row>
    <row r="502" spans="3:9">
      <c r="C502" s="142" t="s">
        <v>1221</v>
      </c>
      <c r="D502" s="60" t="s">
        <v>1222</v>
      </c>
      <c r="E502" s="74"/>
      <c r="F502" s="74"/>
      <c r="G502" s="74"/>
      <c r="H502" s="147"/>
    </row>
    <row r="503" spans="3:9">
      <c r="C503" s="201" t="s">
        <v>1215</v>
      </c>
      <c r="D503" s="78" t="s">
        <v>473</v>
      </c>
      <c r="E503" s="73" t="s">
        <v>44</v>
      </c>
      <c r="F503" s="184">
        <v>2.625</v>
      </c>
      <c r="G503" s="65">
        <f>VLOOKUP(D503,upahbahan,3,FALSE)</f>
        <v>7000</v>
      </c>
      <c r="H503" s="125">
        <f t="shared" ref="H503:H506" si="51">F503*G503</f>
        <v>18375</v>
      </c>
    </row>
    <row r="504" spans="3:9">
      <c r="C504" s="201" t="s">
        <v>1216</v>
      </c>
      <c r="D504" s="60" t="s">
        <v>568</v>
      </c>
      <c r="E504" s="73" t="s">
        <v>66</v>
      </c>
      <c r="F504" s="75">
        <v>1.704</v>
      </c>
      <c r="G504" s="65">
        <f>VLOOKUP(D504,upahbahan,3,FALSE)</f>
        <v>1300</v>
      </c>
      <c r="H504" s="125">
        <f t="shared" si="51"/>
        <v>2215.1999999999998</v>
      </c>
    </row>
    <row r="505" spans="3:9">
      <c r="C505" s="201" t="s">
        <v>1217</v>
      </c>
      <c r="D505" s="60" t="s">
        <v>571</v>
      </c>
      <c r="E505" s="73" t="s">
        <v>66</v>
      </c>
      <c r="F505" s="75">
        <v>0.188</v>
      </c>
      <c r="G505" s="65">
        <f>VLOOKUP(D505,upahbahan,3,FALSE)</f>
        <v>7800</v>
      </c>
      <c r="H505" s="125">
        <f t="shared" si="51"/>
        <v>1466.4</v>
      </c>
    </row>
    <row r="506" spans="3:9">
      <c r="C506" s="201" t="s">
        <v>1218</v>
      </c>
      <c r="D506" s="78" t="s">
        <v>86</v>
      </c>
      <c r="E506" s="73" t="s">
        <v>42</v>
      </c>
      <c r="F506" s="75">
        <v>3.0000000000000001E-3</v>
      </c>
      <c r="G506" s="65">
        <f>VLOOKUP(D506,upahbahan,3,FALSE)</f>
        <v>275000</v>
      </c>
      <c r="H506" s="125">
        <f t="shared" si="51"/>
        <v>825</v>
      </c>
    </row>
    <row r="507" spans="3:9">
      <c r="C507" s="145" t="s">
        <v>1226</v>
      </c>
      <c r="D507" s="81"/>
      <c r="E507" s="81"/>
      <c r="F507" s="81"/>
      <c r="G507" s="163"/>
      <c r="H507" s="125">
        <f>SUM(H503:H506)</f>
        <v>22881.600000000002</v>
      </c>
    </row>
    <row r="508" spans="3:9">
      <c r="C508" s="153" t="s">
        <v>1227</v>
      </c>
      <c r="D508" s="60" t="s">
        <v>1228</v>
      </c>
      <c r="E508" s="74"/>
      <c r="F508" s="74"/>
      <c r="G508" s="74"/>
      <c r="H508" s="147"/>
    </row>
    <row r="509" spans="3:9">
      <c r="C509" s="145" t="s">
        <v>1229</v>
      </c>
      <c r="D509" s="81"/>
      <c r="E509" s="81"/>
      <c r="F509" s="81"/>
      <c r="G509" s="163"/>
      <c r="H509" s="154">
        <v>0</v>
      </c>
    </row>
    <row r="510" spans="3:9">
      <c r="C510" s="123" t="s">
        <v>1230</v>
      </c>
      <c r="D510" s="70" t="s">
        <v>1231</v>
      </c>
      <c r="E510" s="71"/>
      <c r="F510" s="71"/>
      <c r="G510" s="72"/>
      <c r="H510" s="125">
        <f>H509+H507+H501</f>
        <v>35034.600000000006</v>
      </c>
    </row>
    <row r="511" spans="3:9">
      <c r="C511" s="123" t="s">
        <v>1232</v>
      </c>
      <c r="D511" s="70" t="s">
        <v>1410</v>
      </c>
      <c r="E511" s="71"/>
      <c r="F511" s="72"/>
      <c r="G511" s="96">
        <f>$M$7</f>
        <v>0.1</v>
      </c>
      <c r="H511" s="125">
        <f>H510*G511</f>
        <v>3503.4600000000009</v>
      </c>
    </row>
    <row r="512" spans="3:9" ht="15.75" thickBot="1">
      <c r="C512" s="131" t="s">
        <v>1233</v>
      </c>
      <c r="D512" s="132" t="s">
        <v>1234</v>
      </c>
      <c r="E512" s="133"/>
      <c r="F512" s="133"/>
      <c r="G512" s="156"/>
      <c r="H512" s="135">
        <f>SUM(H510:H511)</f>
        <v>38538.060000000005</v>
      </c>
    </row>
    <row r="513" spans="3:9" ht="15.75" thickTop="1">
      <c r="C513" s="58"/>
      <c r="D513" s="82"/>
      <c r="E513" s="82"/>
      <c r="F513" s="82"/>
      <c r="G513" s="82"/>
      <c r="H513" s="83"/>
    </row>
    <row r="514" spans="3:9" ht="15.75" thickBot="1">
      <c r="C514" s="524" t="s">
        <v>1568</v>
      </c>
      <c r="D514" s="525"/>
      <c r="E514" s="525"/>
      <c r="F514" s="525"/>
      <c r="G514" s="525"/>
      <c r="H514" s="525"/>
      <c r="I514" s="57">
        <f>ROUNDDOWN(H532,-2)</f>
        <v>38500</v>
      </c>
    </row>
    <row r="515" spans="3:9" ht="29.25" thickTop="1">
      <c r="C515" s="120" t="s">
        <v>1207</v>
      </c>
      <c r="D515" s="121" t="s">
        <v>1208</v>
      </c>
      <c r="E515" s="121" t="s">
        <v>1209</v>
      </c>
      <c r="F515" s="121" t="s">
        <v>1210</v>
      </c>
      <c r="G515" s="121" t="s">
        <v>1211</v>
      </c>
      <c r="H515" s="122" t="s">
        <v>1212</v>
      </c>
    </row>
    <row r="516" spans="3:9">
      <c r="C516" s="142" t="s">
        <v>1213</v>
      </c>
      <c r="D516" s="60" t="s">
        <v>1214</v>
      </c>
      <c r="E516" s="74"/>
      <c r="F516" s="74"/>
      <c r="G516" s="74"/>
      <c r="H516" s="147"/>
    </row>
    <row r="517" spans="3:9">
      <c r="C517" s="143">
        <v>1</v>
      </c>
      <c r="D517" s="60" t="s">
        <v>5</v>
      </c>
      <c r="E517" s="73" t="s">
        <v>6</v>
      </c>
      <c r="F517" s="184">
        <v>7.1400000000000005E-2</v>
      </c>
      <c r="G517" s="65">
        <f>VLOOKUP(D517,upahbahan,3,FALSE)</f>
        <v>100000</v>
      </c>
      <c r="H517" s="125">
        <f t="shared" ref="H517:H520" si="52">F517*G517</f>
        <v>7140.0000000000009</v>
      </c>
    </row>
    <row r="518" spans="3:9">
      <c r="C518" s="143">
        <v>2</v>
      </c>
      <c r="D518" s="60" t="s">
        <v>7</v>
      </c>
      <c r="E518" s="73" t="s">
        <v>6</v>
      </c>
      <c r="F518" s="184">
        <v>3.5700000000000003E-2</v>
      </c>
      <c r="G518" s="65">
        <f>VLOOKUP(D518,upahbahan,3,FALSE)</f>
        <v>145000</v>
      </c>
      <c r="H518" s="125">
        <f t="shared" si="52"/>
        <v>5176.5</v>
      </c>
    </row>
    <row r="519" spans="3:9">
      <c r="C519" s="143">
        <v>3</v>
      </c>
      <c r="D519" s="60" t="s">
        <v>18</v>
      </c>
      <c r="E519" s="73" t="s">
        <v>6</v>
      </c>
      <c r="F519" s="184">
        <v>3.5999999999999999E-3</v>
      </c>
      <c r="G519" s="65">
        <f>VLOOKUP(D519,upahbahan,3,FALSE)</f>
        <v>150000</v>
      </c>
      <c r="H519" s="125">
        <f t="shared" si="52"/>
        <v>540</v>
      </c>
    </row>
    <row r="520" spans="3:9">
      <c r="C520" s="143">
        <v>4</v>
      </c>
      <c r="D520" s="60" t="s">
        <v>19</v>
      </c>
      <c r="E520" s="73" t="s">
        <v>6</v>
      </c>
      <c r="F520" s="184">
        <v>1.1999999999999999E-3</v>
      </c>
      <c r="G520" s="65">
        <f>VLOOKUP(D520,upahbahan,3,FALSE)</f>
        <v>145000</v>
      </c>
      <c r="H520" s="125">
        <f t="shared" si="52"/>
        <v>173.99999999999997</v>
      </c>
    </row>
    <row r="521" spans="3:9">
      <c r="C521" s="145" t="s">
        <v>1220</v>
      </c>
      <c r="D521" s="81"/>
      <c r="E521" s="81"/>
      <c r="F521" s="220"/>
      <c r="G521" s="221"/>
      <c r="H521" s="125">
        <f>SUM(H517:H520)</f>
        <v>13030.5</v>
      </c>
      <c r="I521" s="223"/>
    </row>
    <row r="522" spans="3:9">
      <c r="C522" s="142" t="s">
        <v>1221</v>
      </c>
      <c r="D522" s="60" t="s">
        <v>1222</v>
      </c>
      <c r="E522" s="74"/>
      <c r="F522" s="74"/>
      <c r="G522" s="74"/>
      <c r="H522" s="147"/>
    </row>
    <row r="523" spans="3:9">
      <c r="C523" s="201" t="s">
        <v>1215</v>
      </c>
      <c r="D523" s="78" t="s">
        <v>474</v>
      </c>
      <c r="E523" s="73" t="s">
        <v>44</v>
      </c>
      <c r="F523" s="75">
        <v>1.75</v>
      </c>
      <c r="G523" s="65">
        <f>VLOOKUP(D523,upahbahan,3,FALSE)</f>
        <v>10000</v>
      </c>
      <c r="H523" s="125">
        <f t="shared" ref="H523:H526" si="53">F523*G523</f>
        <v>17500</v>
      </c>
    </row>
    <row r="524" spans="3:9">
      <c r="C524" s="201" t="s">
        <v>1216</v>
      </c>
      <c r="D524" s="60" t="s">
        <v>568</v>
      </c>
      <c r="E524" s="73" t="s">
        <v>66</v>
      </c>
      <c r="F524" s="75">
        <v>1.704</v>
      </c>
      <c r="G524" s="65">
        <f>VLOOKUP(D524,upahbahan,3,FALSE)</f>
        <v>1300</v>
      </c>
      <c r="H524" s="125">
        <f t="shared" si="53"/>
        <v>2215.1999999999998</v>
      </c>
    </row>
    <row r="525" spans="3:9">
      <c r="C525" s="201" t="s">
        <v>1217</v>
      </c>
      <c r="D525" s="60" t="s">
        <v>571</v>
      </c>
      <c r="E525" s="73" t="s">
        <v>66</v>
      </c>
      <c r="F525" s="75">
        <v>0.188</v>
      </c>
      <c r="G525" s="65">
        <f>VLOOKUP(D525,upahbahan,3,FALSE)</f>
        <v>7800</v>
      </c>
      <c r="H525" s="125">
        <f t="shared" si="53"/>
        <v>1466.4</v>
      </c>
    </row>
    <row r="526" spans="3:9">
      <c r="C526" s="201" t="s">
        <v>1218</v>
      </c>
      <c r="D526" s="78" t="s">
        <v>86</v>
      </c>
      <c r="E526" s="73" t="s">
        <v>42</v>
      </c>
      <c r="F526" s="75">
        <v>3.0000000000000001E-3</v>
      </c>
      <c r="G526" s="65">
        <f>VLOOKUP(D526,upahbahan,3,FALSE)</f>
        <v>275000</v>
      </c>
      <c r="H526" s="125">
        <f t="shared" si="53"/>
        <v>825</v>
      </c>
    </row>
    <row r="527" spans="3:9">
      <c r="C527" s="145" t="s">
        <v>1226</v>
      </c>
      <c r="D527" s="81"/>
      <c r="E527" s="81"/>
      <c r="F527" s="81"/>
      <c r="G527" s="163"/>
      <c r="H527" s="125">
        <f>SUM(H523:H526)</f>
        <v>22006.600000000002</v>
      </c>
    </row>
    <row r="528" spans="3:9">
      <c r="C528" s="153" t="s">
        <v>1227</v>
      </c>
      <c r="D528" s="60" t="s">
        <v>1228</v>
      </c>
      <c r="E528" s="74"/>
      <c r="F528" s="74"/>
      <c r="G528" s="74"/>
      <c r="H528" s="147"/>
    </row>
    <row r="529" spans="3:9">
      <c r="C529" s="145" t="s">
        <v>1229</v>
      </c>
      <c r="D529" s="81"/>
      <c r="E529" s="81"/>
      <c r="F529" s="81"/>
      <c r="G529" s="163"/>
      <c r="H529" s="154">
        <v>0</v>
      </c>
    </row>
    <row r="530" spans="3:9">
      <c r="C530" s="123" t="s">
        <v>1230</v>
      </c>
      <c r="D530" s="70" t="s">
        <v>1231</v>
      </c>
      <c r="E530" s="71"/>
      <c r="F530" s="71"/>
      <c r="G530" s="72"/>
      <c r="H530" s="125">
        <f>H529+H527+H521</f>
        <v>35037.100000000006</v>
      </c>
    </row>
    <row r="531" spans="3:9">
      <c r="C531" s="123" t="s">
        <v>1232</v>
      </c>
      <c r="D531" s="70" t="s">
        <v>1410</v>
      </c>
      <c r="E531" s="71"/>
      <c r="F531" s="72"/>
      <c r="G531" s="96">
        <f>$M$7</f>
        <v>0.1</v>
      </c>
      <c r="H531" s="125">
        <f>H530*G531</f>
        <v>3503.7100000000009</v>
      </c>
    </row>
    <row r="532" spans="3:9" ht="15.75" thickBot="1">
      <c r="C532" s="131" t="s">
        <v>1233</v>
      </c>
      <c r="D532" s="132" t="s">
        <v>1234</v>
      </c>
      <c r="E532" s="133"/>
      <c r="F532" s="133"/>
      <c r="G532" s="156"/>
      <c r="H532" s="135">
        <f>SUM(H530:H531)</f>
        <v>38540.810000000005</v>
      </c>
    </row>
    <row r="533" spans="3:9" ht="15.75" thickTop="1">
      <c r="C533" s="58"/>
      <c r="D533" s="82"/>
      <c r="E533" s="82"/>
      <c r="F533" s="82"/>
      <c r="G533" s="82"/>
      <c r="H533" s="83"/>
    </row>
    <row r="534" spans="3:9" ht="15.75" thickBot="1">
      <c r="C534" s="524" t="s">
        <v>1569</v>
      </c>
      <c r="D534" s="525"/>
      <c r="E534" s="525"/>
      <c r="F534" s="525"/>
      <c r="G534" s="525"/>
      <c r="H534" s="525"/>
      <c r="I534" s="57">
        <f>ROUNDDOWN(H552,-2)</f>
        <v>251400</v>
      </c>
    </row>
    <row r="535" spans="3:9" ht="29.25" thickTop="1">
      <c r="C535" s="120" t="s">
        <v>1207</v>
      </c>
      <c r="D535" s="121" t="s">
        <v>1208</v>
      </c>
      <c r="E535" s="121" t="s">
        <v>1209</v>
      </c>
      <c r="F535" s="121" t="s">
        <v>1210</v>
      </c>
      <c r="G535" s="121" t="s">
        <v>1211</v>
      </c>
      <c r="H535" s="122" t="s">
        <v>1212</v>
      </c>
    </row>
    <row r="536" spans="3:9">
      <c r="C536" s="142" t="s">
        <v>1213</v>
      </c>
      <c r="D536" s="60" t="s">
        <v>1214</v>
      </c>
      <c r="E536" s="74"/>
      <c r="F536" s="74"/>
      <c r="G536" s="74"/>
      <c r="H536" s="147"/>
    </row>
    <row r="537" spans="3:9">
      <c r="C537" s="143">
        <v>1</v>
      </c>
      <c r="D537" s="60" t="s">
        <v>5</v>
      </c>
      <c r="E537" s="73" t="s">
        <v>6</v>
      </c>
      <c r="F537" s="184">
        <v>0.1429</v>
      </c>
      <c r="G537" s="65">
        <f>VLOOKUP(D537,upahbahan,3,FALSE)</f>
        <v>100000</v>
      </c>
      <c r="H537" s="125">
        <f t="shared" ref="H537:H540" si="54">F537*G537</f>
        <v>14290</v>
      </c>
    </row>
    <row r="538" spans="3:9">
      <c r="C538" s="143">
        <v>2</v>
      </c>
      <c r="D538" s="60" t="s">
        <v>7</v>
      </c>
      <c r="E538" s="73" t="s">
        <v>6</v>
      </c>
      <c r="F538" s="184">
        <v>7.1400000000000005E-2</v>
      </c>
      <c r="G538" s="65">
        <f>VLOOKUP(D538,upahbahan,3,FALSE)</f>
        <v>145000</v>
      </c>
      <c r="H538" s="125">
        <f t="shared" si="54"/>
        <v>10353</v>
      </c>
    </row>
    <row r="539" spans="3:9">
      <c r="C539" s="143">
        <v>3</v>
      </c>
      <c r="D539" s="60" t="s">
        <v>18</v>
      </c>
      <c r="E539" s="73" t="s">
        <v>6</v>
      </c>
      <c r="F539" s="184">
        <v>7.1000000000000004E-3</v>
      </c>
      <c r="G539" s="65">
        <f>VLOOKUP(D539,upahbahan,3,FALSE)</f>
        <v>150000</v>
      </c>
      <c r="H539" s="125">
        <f t="shared" si="54"/>
        <v>1065</v>
      </c>
    </row>
    <row r="540" spans="3:9">
      <c r="C540" s="143">
        <v>4</v>
      </c>
      <c r="D540" s="60" t="s">
        <v>19</v>
      </c>
      <c r="E540" s="73" t="s">
        <v>6</v>
      </c>
      <c r="F540" s="184">
        <v>2.3999999999999998E-3</v>
      </c>
      <c r="G540" s="65">
        <f>VLOOKUP(D540,upahbahan,3,FALSE)</f>
        <v>145000</v>
      </c>
      <c r="H540" s="125">
        <f t="shared" si="54"/>
        <v>347.99999999999994</v>
      </c>
    </row>
    <row r="541" spans="3:9">
      <c r="C541" s="145" t="s">
        <v>1220</v>
      </c>
      <c r="D541" s="81"/>
      <c r="E541" s="81"/>
      <c r="F541" s="220"/>
      <c r="G541" s="221"/>
      <c r="H541" s="125">
        <f>SUM(H537:H540)</f>
        <v>26056</v>
      </c>
      <c r="I541" s="223"/>
    </row>
    <row r="542" spans="3:9">
      <c r="C542" s="142" t="s">
        <v>1221</v>
      </c>
      <c r="D542" s="60" t="s">
        <v>1222</v>
      </c>
      <c r="E542" s="74"/>
      <c r="F542" s="74"/>
      <c r="G542" s="74"/>
      <c r="H542" s="147"/>
    </row>
    <row r="543" spans="3:9">
      <c r="C543" s="201" t="s">
        <v>1215</v>
      </c>
      <c r="D543" s="78" t="s">
        <v>509</v>
      </c>
      <c r="E543" s="73" t="s">
        <v>44</v>
      </c>
      <c r="F543" s="75">
        <v>11.667</v>
      </c>
      <c r="G543" s="65">
        <f>VLOOKUP(D543,upahbahan,3,FALSE)</f>
        <v>14200</v>
      </c>
      <c r="H543" s="125">
        <f t="shared" ref="H543:H546" si="55">F543*G543</f>
        <v>165671.4</v>
      </c>
    </row>
    <row r="544" spans="3:9">
      <c r="C544" s="201" t="s">
        <v>1216</v>
      </c>
      <c r="D544" s="60" t="s">
        <v>568</v>
      </c>
      <c r="E544" s="73" t="s">
        <v>66</v>
      </c>
      <c r="F544" s="75">
        <v>13.632</v>
      </c>
      <c r="G544" s="65">
        <f>VLOOKUP(D544,upahbahan,3,FALSE)</f>
        <v>1300</v>
      </c>
      <c r="H544" s="125">
        <f t="shared" si="55"/>
        <v>17721.599999999999</v>
      </c>
    </row>
    <row r="545" spans="3:9">
      <c r="C545" s="201" t="s">
        <v>1217</v>
      </c>
      <c r="D545" s="60" t="s">
        <v>571</v>
      </c>
      <c r="E545" s="73" t="s">
        <v>66</v>
      </c>
      <c r="F545" s="75">
        <v>1.5</v>
      </c>
      <c r="G545" s="65">
        <f>VLOOKUP(D545,upahbahan,3,FALSE)</f>
        <v>7800</v>
      </c>
      <c r="H545" s="125">
        <f t="shared" si="55"/>
        <v>11700</v>
      </c>
    </row>
    <row r="546" spans="3:9">
      <c r="C546" s="201" t="s">
        <v>1218</v>
      </c>
      <c r="D546" s="78" t="s">
        <v>86</v>
      </c>
      <c r="E546" s="73" t="s">
        <v>42</v>
      </c>
      <c r="F546" s="75">
        <v>2.7E-2</v>
      </c>
      <c r="G546" s="65">
        <f>VLOOKUP(D546,upahbahan,3,FALSE)</f>
        <v>275000</v>
      </c>
      <c r="H546" s="125">
        <f t="shared" si="55"/>
        <v>7425</v>
      </c>
    </row>
    <row r="547" spans="3:9">
      <c r="C547" s="145" t="s">
        <v>1226</v>
      </c>
      <c r="D547" s="81"/>
      <c r="E547" s="81"/>
      <c r="F547" s="81"/>
      <c r="G547" s="163"/>
      <c r="H547" s="125">
        <f>SUM(H543:H546)</f>
        <v>202518</v>
      </c>
    </row>
    <row r="548" spans="3:9">
      <c r="C548" s="153" t="s">
        <v>1227</v>
      </c>
      <c r="D548" s="60" t="s">
        <v>1228</v>
      </c>
      <c r="E548" s="74"/>
      <c r="F548" s="74"/>
      <c r="G548" s="74"/>
      <c r="H548" s="147"/>
    </row>
    <row r="549" spans="3:9">
      <c r="C549" s="145" t="s">
        <v>1229</v>
      </c>
      <c r="D549" s="81"/>
      <c r="E549" s="81"/>
      <c r="F549" s="81"/>
      <c r="G549" s="163"/>
      <c r="H549" s="154">
        <v>0</v>
      </c>
    </row>
    <row r="550" spans="3:9">
      <c r="C550" s="123" t="s">
        <v>1230</v>
      </c>
      <c r="D550" s="70" t="s">
        <v>1231</v>
      </c>
      <c r="E550" s="71"/>
      <c r="F550" s="71"/>
      <c r="G550" s="72"/>
      <c r="H550" s="125">
        <f>H549+H547+H541</f>
        <v>228574</v>
      </c>
    </row>
    <row r="551" spans="3:9">
      <c r="C551" s="123" t="s">
        <v>1232</v>
      </c>
      <c r="D551" s="70" t="s">
        <v>1410</v>
      </c>
      <c r="E551" s="71"/>
      <c r="F551" s="72"/>
      <c r="G551" s="96">
        <f>$M$7</f>
        <v>0.1</v>
      </c>
      <c r="H551" s="125">
        <f>H550*G551</f>
        <v>22857.4</v>
      </c>
    </row>
    <row r="552" spans="3:9" ht="15.75" thickBot="1">
      <c r="C552" s="131" t="s">
        <v>1233</v>
      </c>
      <c r="D552" s="132" t="s">
        <v>1234</v>
      </c>
      <c r="E552" s="133"/>
      <c r="F552" s="133"/>
      <c r="G552" s="156"/>
      <c r="H552" s="135">
        <f>SUM(H550:H551)</f>
        <v>251431.4</v>
      </c>
    </row>
    <row r="553" spans="3:9" ht="15.75" thickTop="1">
      <c r="C553" s="58"/>
      <c r="D553" s="82"/>
      <c r="E553" s="82"/>
      <c r="F553" s="82"/>
      <c r="G553" s="82"/>
      <c r="H553" s="83"/>
    </row>
    <row r="554" spans="3:9" ht="15.75" thickBot="1">
      <c r="C554" s="524" t="s">
        <v>1570</v>
      </c>
      <c r="D554" s="525"/>
      <c r="E554" s="525"/>
      <c r="F554" s="525"/>
      <c r="G554" s="525"/>
      <c r="H554" s="525"/>
      <c r="I554" s="57">
        <f>ROUNDDOWN(H572,-2)</f>
        <v>215700</v>
      </c>
    </row>
    <row r="555" spans="3:9" ht="29.25" thickTop="1">
      <c r="C555" s="120" t="s">
        <v>1207</v>
      </c>
      <c r="D555" s="121" t="s">
        <v>1208</v>
      </c>
      <c r="E555" s="121" t="s">
        <v>1209</v>
      </c>
      <c r="F555" s="121" t="s">
        <v>1210</v>
      </c>
      <c r="G555" s="121" t="s">
        <v>1211</v>
      </c>
      <c r="H555" s="122" t="s">
        <v>1212</v>
      </c>
    </row>
    <row r="556" spans="3:9">
      <c r="C556" s="142" t="s">
        <v>1213</v>
      </c>
      <c r="D556" s="60" t="s">
        <v>1214</v>
      </c>
      <c r="E556" s="74"/>
      <c r="F556" s="74"/>
      <c r="G556" s="74"/>
      <c r="H556" s="147"/>
    </row>
    <row r="557" spans="3:9">
      <c r="C557" s="143">
        <v>1</v>
      </c>
      <c r="D557" s="60" t="s">
        <v>5</v>
      </c>
      <c r="E557" s="73" t="s">
        <v>6</v>
      </c>
      <c r="F557" s="184">
        <v>0.15379999999999999</v>
      </c>
      <c r="G557" s="65">
        <f>VLOOKUP(D557,upahbahan,3,FALSE)</f>
        <v>100000</v>
      </c>
      <c r="H557" s="125">
        <f t="shared" ref="H557:H560" si="56">F557*G557</f>
        <v>15380</v>
      </c>
    </row>
    <row r="558" spans="3:9">
      <c r="C558" s="143">
        <v>2</v>
      </c>
      <c r="D558" s="60" t="s">
        <v>7</v>
      </c>
      <c r="E558" s="73" t="s">
        <v>6</v>
      </c>
      <c r="F558" s="184">
        <v>7.6899999999999996E-2</v>
      </c>
      <c r="G558" s="65">
        <f>VLOOKUP(D558,upahbahan,3,FALSE)</f>
        <v>145000</v>
      </c>
      <c r="H558" s="125">
        <f t="shared" si="56"/>
        <v>11150.5</v>
      </c>
    </row>
    <row r="559" spans="3:9">
      <c r="C559" s="143">
        <v>3</v>
      </c>
      <c r="D559" s="60" t="s">
        <v>18</v>
      </c>
      <c r="E559" s="73" t="s">
        <v>6</v>
      </c>
      <c r="F559" s="184">
        <v>7.7000000000000002E-3</v>
      </c>
      <c r="G559" s="65">
        <f>VLOOKUP(D559,upahbahan,3,FALSE)</f>
        <v>150000</v>
      </c>
      <c r="H559" s="125">
        <f t="shared" si="56"/>
        <v>1155</v>
      </c>
    </row>
    <row r="560" spans="3:9">
      <c r="C560" s="143">
        <v>4</v>
      </c>
      <c r="D560" s="60" t="s">
        <v>19</v>
      </c>
      <c r="E560" s="73" t="s">
        <v>6</v>
      </c>
      <c r="F560" s="184">
        <v>2.5999999999999999E-3</v>
      </c>
      <c r="G560" s="65">
        <f>VLOOKUP(D560,upahbahan,3,FALSE)</f>
        <v>145000</v>
      </c>
      <c r="H560" s="125">
        <f t="shared" si="56"/>
        <v>377</v>
      </c>
    </row>
    <row r="561" spans="3:9">
      <c r="C561" s="145" t="s">
        <v>1220</v>
      </c>
      <c r="D561" s="81"/>
      <c r="E561" s="81"/>
      <c r="F561" s="220"/>
      <c r="G561" s="221"/>
      <c r="H561" s="125">
        <f>SUM(H557:H560)</f>
        <v>28062.5</v>
      </c>
      <c r="I561" s="223"/>
    </row>
    <row r="562" spans="3:9">
      <c r="C562" s="142" t="s">
        <v>1221</v>
      </c>
      <c r="D562" s="60" t="s">
        <v>1222</v>
      </c>
      <c r="E562" s="74"/>
      <c r="F562" s="74"/>
      <c r="G562" s="74"/>
      <c r="H562" s="147"/>
    </row>
    <row r="563" spans="3:9">
      <c r="C563" s="201" t="s">
        <v>1215</v>
      </c>
      <c r="D563" s="78" t="s">
        <v>510</v>
      </c>
      <c r="E563" s="73" t="s">
        <v>44</v>
      </c>
      <c r="F563" s="75">
        <v>6.5629999999999997</v>
      </c>
      <c r="G563" s="65">
        <f>VLOOKUP(D563,upahbahan,3,FALSE)</f>
        <v>20000</v>
      </c>
      <c r="H563" s="125">
        <f t="shared" ref="H563:H566" si="57">F563*G563</f>
        <v>131260</v>
      </c>
    </row>
    <row r="564" spans="3:9">
      <c r="C564" s="201" t="s">
        <v>1216</v>
      </c>
      <c r="D564" s="60" t="s">
        <v>568</v>
      </c>
      <c r="E564" s="73" t="s">
        <v>66</v>
      </c>
      <c r="F564" s="75">
        <v>13.632</v>
      </c>
      <c r="G564" s="65">
        <f>VLOOKUP(D564,upahbahan,3,FALSE)</f>
        <v>1300</v>
      </c>
      <c r="H564" s="125">
        <f t="shared" si="57"/>
        <v>17721.599999999999</v>
      </c>
    </row>
    <row r="565" spans="3:9">
      <c r="C565" s="201" t="s">
        <v>1217</v>
      </c>
      <c r="D565" s="60" t="s">
        <v>571</v>
      </c>
      <c r="E565" s="73" t="s">
        <v>66</v>
      </c>
      <c r="F565" s="75">
        <v>1.5</v>
      </c>
      <c r="G565" s="65">
        <f>VLOOKUP(D565,upahbahan,3,FALSE)</f>
        <v>7800</v>
      </c>
      <c r="H565" s="125">
        <f t="shared" si="57"/>
        <v>11700</v>
      </c>
    </row>
    <row r="566" spans="3:9">
      <c r="C566" s="201" t="s">
        <v>1218</v>
      </c>
      <c r="D566" s="78" t="s">
        <v>86</v>
      </c>
      <c r="E566" s="73" t="s">
        <v>42</v>
      </c>
      <c r="F566" s="75">
        <v>2.7E-2</v>
      </c>
      <c r="G566" s="65">
        <f>VLOOKUP(D566,upahbahan,3,FALSE)</f>
        <v>275000</v>
      </c>
      <c r="H566" s="125">
        <f t="shared" si="57"/>
        <v>7425</v>
      </c>
    </row>
    <row r="567" spans="3:9">
      <c r="C567" s="145" t="s">
        <v>1226</v>
      </c>
      <c r="D567" s="81"/>
      <c r="E567" s="81"/>
      <c r="F567" s="81"/>
      <c r="G567" s="163"/>
      <c r="H567" s="125">
        <f>SUM(H563:H566)</f>
        <v>168106.6</v>
      </c>
    </row>
    <row r="568" spans="3:9">
      <c r="C568" s="153" t="s">
        <v>1227</v>
      </c>
      <c r="D568" s="60" t="s">
        <v>1228</v>
      </c>
      <c r="E568" s="74"/>
      <c r="F568" s="74"/>
      <c r="G568" s="74"/>
      <c r="H568" s="147"/>
    </row>
    <row r="569" spans="3:9">
      <c r="C569" s="145" t="s">
        <v>1229</v>
      </c>
      <c r="D569" s="81"/>
      <c r="E569" s="81"/>
      <c r="F569" s="81"/>
      <c r="G569" s="163"/>
      <c r="H569" s="154">
        <v>0</v>
      </c>
    </row>
    <row r="570" spans="3:9">
      <c r="C570" s="123" t="s">
        <v>1230</v>
      </c>
      <c r="D570" s="70" t="s">
        <v>1231</v>
      </c>
      <c r="E570" s="71"/>
      <c r="F570" s="71"/>
      <c r="G570" s="72"/>
      <c r="H570" s="125">
        <f>H569+H567+H561</f>
        <v>196169.1</v>
      </c>
    </row>
    <row r="571" spans="3:9">
      <c r="C571" s="123" t="s">
        <v>1232</v>
      </c>
      <c r="D571" s="70" t="s">
        <v>1410</v>
      </c>
      <c r="E571" s="71"/>
      <c r="F571" s="72"/>
      <c r="G571" s="96">
        <f>$M$7</f>
        <v>0.1</v>
      </c>
      <c r="H571" s="125">
        <f>H570*G571</f>
        <v>19616.91</v>
      </c>
    </row>
    <row r="572" spans="3:9" ht="15.75" thickBot="1">
      <c r="C572" s="131" t="s">
        <v>1233</v>
      </c>
      <c r="D572" s="132" t="s">
        <v>1234</v>
      </c>
      <c r="E572" s="133"/>
      <c r="F572" s="133"/>
      <c r="G572" s="156"/>
      <c r="H572" s="135">
        <f>SUM(H570:H571)</f>
        <v>215786.01</v>
      </c>
    </row>
    <row r="573" spans="3:9" ht="15.75" thickTop="1">
      <c r="C573" s="58"/>
      <c r="D573" s="82"/>
      <c r="E573" s="82"/>
      <c r="F573" s="82"/>
      <c r="G573" s="82"/>
      <c r="H573" s="83"/>
    </row>
    <row r="574" spans="3:9" ht="15.75" thickBot="1">
      <c r="C574" s="524" t="s">
        <v>1571</v>
      </c>
      <c r="D574" s="525"/>
      <c r="E574" s="525"/>
      <c r="F574" s="525"/>
      <c r="G574" s="525"/>
      <c r="H574" s="525"/>
      <c r="I574" s="57">
        <f>ROUNDDOWN(H592,-2)</f>
        <v>179300</v>
      </c>
    </row>
    <row r="575" spans="3:9" ht="29.25" thickTop="1">
      <c r="C575" s="120" t="s">
        <v>1207</v>
      </c>
      <c r="D575" s="121" t="s">
        <v>1208</v>
      </c>
      <c r="E575" s="121" t="s">
        <v>1209</v>
      </c>
      <c r="F575" s="121" t="s">
        <v>1210</v>
      </c>
      <c r="G575" s="121" t="s">
        <v>1211</v>
      </c>
      <c r="H575" s="122" t="s">
        <v>1212</v>
      </c>
    </row>
    <row r="576" spans="3:9">
      <c r="C576" s="142" t="s">
        <v>1213</v>
      </c>
      <c r="D576" s="60" t="s">
        <v>1214</v>
      </c>
      <c r="E576" s="74"/>
      <c r="F576" s="74"/>
      <c r="G576" s="74"/>
      <c r="H576" s="147"/>
    </row>
    <row r="577" spans="3:9">
      <c r="C577" s="143">
        <v>1</v>
      </c>
      <c r="D577" s="60" t="s">
        <v>5</v>
      </c>
      <c r="E577" s="73" t="s">
        <v>6</v>
      </c>
      <c r="F577" s="94">
        <v>0.25</v>
      </c>
      <c r="G577" s="65">
        <f>VLOOKUP(D577,upahbahan,3,FALSE)</f>
        <v>100000</v>
      </c>
      <c r="H577" s="125">
        <f t="shared" ref="H577:H580" si="58">F577*G577</f>
        <v>25000</v>
      </c>
    </row>
    <row r="578" spans="3:9">
      <c r="C578" s="143">
        <v>2</v>
      </c>
      <c r="D578" s="60" t="s">
        <v>7</v>
      </c>
      <c r="E578" s="73" t="s">
        <v>6</v>
      </c>
      <c r="F578" s="94">
        <v>8.3299999999999999E-2</v>
      </c>
      <c r="G578" s="65">
        <f>VLOOKUP(D578,upahbahan,3,FALSE)</f>
        <v>145000</v>
      </c>
      <c r="H578" s="125">
        <f t="shared" si="58"/>
        <v>12078.5</v>
      </c>
    </row>
    <row r="579" spans="3:9">
      <c r="C579" s="143">
        <v>3</v>
      </c>
      <c r="D579" s="60" t="s">
        <v>18</v>
      </c>
      <c r="E579" s="73" t="s">
        <v>6</v>
      </c>
      <c r="F579" s="94">
        <v>8.3000000000000001E-3</v>
      </c>
      <c r="G579" s="65">
        <f>VLOOKUP(D579,upahbahan,3,FALSE)</f>
        <v>150000</v>
      </c>
      <c r="H579" s="125">
        <f t="shared" si="58"/>
        <v>1245</v>
      </c>
    </row>
    <row r="580" spans="3:9">
      <c r="C580" s="143">
        <v>4</v>
      </c>
      <c r="D580" s="60" t="s">
        <v>19</v>
      </c>
      <c r="E580" s="73" t="s">
        <v>6</v>
      </c>
      <c r="F580" s="94">
        <v>2.8E-3</v>
      </c>
      <c r="G580" s="65">
        <f>VLOOKUP(D580,upahbahan,3,FALSE)</f>
        <v>145000</v>
      </c>
      <c r="H580" s="125">
        <f t="shared" si="58"/>
        <v>406</v>
      </c>
    </row>
    <row r="581" spans="3:9">
      <c r="C581" s="145" t="s">
        <v>1220</v>
      </c>
      <c r="D581" s="81"/>
      <c r="E581" s="81"/>
      <c r="F581" s="220"/>
      <c r="G581" s="221"/>
      <c r="H581" s="125">
        <f>SUM(H577:H580)</f>
        <v>38729.5</v>
      </c>
      <c r="I581" s="223"/>
    </row>
    <row r="582" spans="3:9">
      <c r="C582" s="142" t="s">
        <v>1221</v>
      </c>
      <c r="D582" s="60" t="s">
        <v>1222</v>
      </c>
      <c r="E582" s="74"/>
      <c r="F582" s="74"/>
      <c r="G582" s="74"/>
      <c r="H582" s="147"/>
    </row>
    <row r="583" spans="3:9">
      <c r="C583" s="201" t="s">
        <v>1215</v>
      </c>
      <c r="D583" s="78" t="s">
        <v>511</v>
      </c>
      <c r="E583" s="73" t="s">
        <v>44</v>
      </c>
      <c r="F583" s="184">
        <v>2.9169999999999998</v>
      </c>
      <c r="G583" s="65">
        <f>VLOOKUP(D583,upahbahan,3,FALSE)</f>
        <v>30000</v>
      </c>
      <c r="H583" s="125">
        <f t="shared" ref="H583:H586" si="59">F583*G583</f>
        <v>87510</v>
      </c>
    </row>
    <row r="584" spans="3:9">
      <c r="C584" s="201" t="s">
        <v>1216</v>
      </c>
      <c r="D584" s="60" t="s">
        <v>568</v>
      </c>
      <c r="E584" s="73" t="s">
        <v>66</v>
      </c>
      <c r="F584" s="75">
        <v>13.632</v>
      </c>
      <c r="G584" s="65">
        <f>VLOOKUP(D584,upahbahan,3,FALSE)</f>
        <v>1300</v>
      </c>
      <c r="H584" s="125">
        <f t="shared" si="59"/>
        <v>17721.599999999999</v>
      </c>
    </row>
    <row r="585" spans="3:9">
      <c r="C585" s="201" t="s">
        <v>1217</v>
      </c>
      <c r="D585" s="60" t="s">
        <v>571</v>
      </c>
      <c r="E585" s="73" t="s">
        <v>66</v>
      </c>
      <c r="F585" s="75">
        <v>1.5</v>
      </c>
      <c r="G585" s="65">
        <f>VLOOKUP(D585,upahbahan,3,FALSE)</f>
        <v>7800</v>
      </c>
      <c r="H585" s="125">
        <f t="shared" si="59"/>
        <v>11700</v>
      </c>
    </row>
    <row r="586" spans="3:9">
      <c r="C586" s="201" t="s">
        <v>1218</v>
      </c>
      <c r="D586" s="78" t="s">
        <v>86</v>
      </c>
      <c r="E586" s="73" t="s">
        <v>42</v>
      </c>
      <c r="F586" s="75">
        <v>2.7E-2</v>
      </c>
      <c r="G586" s="65">
        <f>VLOOKUP(D586,upahbahan,3,FALSE)</f>
        <v>275000</v>
      </c>
      <c r="H586" s="125">
        <f t="shared" si="59"/>
        <v>7425</v>
      </c>
    </row>
    <row r="587" spans="3:9">
      <c r="C587" s="145" t="s">
        <v>1226</v>
      </c>
      <c r="D587" s="81"/>
      <c r="E587" s="81"/>
      <c r="F587" s="81"/>
      <c r="G587" s="163"/>
      <c r="H587" s="125">
        <f>SUM(H583:H586)</f>
        <v>124356.6</v>
      </c>
    </row>
    <row r="588" spans="3:9">
      <c r="C588" s="153" t="s">
        <v>1227</v>
      </c>
      <c r="D588" s="60" t="s">
        <v>1228</v>
      </c>
      <c r="E588" s="74"/>
      <c r="F588" s="74"/>
      <c r="G588" s="74"/>
      <c r="H588" s="147"/>
    </row>
    <row r="589" spans="3:9">
      <c r="C589" s="145" t="s">
        <v>1229</v>
      </c>
      <c r="D589" s="81"/>
      <c r="E589" s="81"/>
      <c r="F589" s="81"/>
      <c r="G589" s="163"/>
      <c r="H589" s="154">
        <v>0</v>
      </c>
    </row>
    <row r="590" spans="3:9">
      <c r="C590" s="123" t="s">
        <v>1230</v>
      </c>
      <c r="D590" s="70" t="s">
        <v>1231</v>
      </c>
      <c r="E590" s="71"/>
      <c r="F590" s="71"/>
      <c r="G590" s="72"/>
      <c r="H590" s="125">
        <f>H589+H587+H581</f>
        <v>163086.1</v>
      </c>
    </row>
    <row r="591" spans="3:9">
      <c r="C591" s="123" t="s">
        <v>1232</v>
      </c>
      <c r="D591" s="70" t="s">
        <v>1410</v>
      </c>
      <c r="E591" s="71"/>
      <c r="F591" s="72"/>
      <c r="G591" s="96">
        <f>$M$7</f>
        <v>0.1</v>
      </c>
      <c r="H591" s="125">
        <f>H590*G591</f>
        <v>16308.61</v>
      </c>
    </row>
    <row r="592" spans="3:9" ht="15.75" thickBot="1">
      <c r="C592" s="131" t="s">
        <v>1233</v>
      </c>
      <c r="D592" s="132" t="s">
        <v>1234</v>
      </c>
      <c r="E592" s="133"/>
      <c r="F592" s="133"/>
      <c r="G592" s="156"/>
      <c r="H592" s="135">
        <f>SUM(H590:H591)</f>
        <v>179394.71000000002</v>
      </c>
    </row>
    <row r="593" spans="3:9" ht="15.75" thickTop="1">
      <c r="C593" s="237"/>
      <c r="D593" s="82"/>
      <c r="E593" s="82"/>
      <c r="F593" s="82"/>
      <c r="G593" s="82"/>
      <c r="H593" s="83"/>
    </row>
    <row r="594" spans="3:9" ht="15.75" thickBot="1">
      <c r="C594" s="237" t="s">
        <v>1572</v>
      </c>
      <c r="D594" s="226"/>
      <c r="E594" s="226"/>
      <c r="F594" s="226"/>
      <c r="G594" s="226"/>
      <c r="H594" s="226"/>
      <c r="I594" s="57">
        <f>ROUNDDOWN(H612,-2)</f>
        <v>40500</v>
      </c>
    </row>
    <row r="595" spans="3:9" ht="29.25" thickTop="1">
      <c r="C595" s="120" t="s">
        <v>1207</v>
      </c>
      <c r="D595" s="121" t="s">
        <v>1208</v>
      </c>
      <c r="E595" s="121" t="s">
        <v>1209</v>
      </c>
      <c r="F595" s="121" t="s">
        <v>1210</v>
      </c>
      <c r="G595" s="121" t="s">
        <v>1211</v>
      </c>
      <c r="H595" s="122" t="s">
        <v>1212</v>
      </c>
    </row>
    <row r="596" spans="3:9">
      <c r="C596" s="142" t="s">
        <v>1213</v>
      </c>
      <c r="D596" s="60" t="s">
        <v>1214</v>
      </c>
      <c r="E596" s="74"/>
      <c r="F596" s="74"/>
      <c r="G596" s="74"/>
      <c r="H596" s="147"/>
    </row>
    <row r="597" spans="3:9">
      <c r="C597" s="143">
        <v>1</v>
      </c>
      <c r="D597" s="60" t="s">
        <v>5</v>
      </c>
      <c r="E597" s="73" t="s">
        <v>6</v>
      </c>
      <c r="F597" s="94">
        <v>6.25E-2</v>
      </c>
      <c r="G597" s="65">
        <f>VLOOKUP(D597,upahbahan,3,FALSE)</f>
        <v>100000</v>
      </c>
      <c r="H597" s="125">
        <f t="shared" ref="H597:H600" si="60">F597*G597</f>
        <v>6250</v>
      </c>
    </row>
    <row r="598" spans="3:9">
      <c r="C598" s="143">
        <v>2</v>
      </c>
      <c r="D598" s="60" t="s">
        <v>7</v>
      </c>
      <c r="E598" s="73" t="s">
        <v>6</v>
      </c>
      <c r="F598" s="94">
        <v>3.1300000000000001E-2</v>
      </c>
      <c r="G598" s="65">
        <f>VLOOKUP(D598,upahbahan,3,FALSE)</f>
        <v>145000</v>
      </c>
      <c r="H598" s="125">
        <f t="shared" si="60"/>
        <v>4538.5</v>
      </c>
    </row>
    <row r="599" spans="3:9">
      <c r="C599" s="143">
        <v>3</v>
      </c>
      <c r="D599" s="60" t="s">
        <v>18</v>
      </c>
      <c r="E599" s="73" t="s">
        <v>6</v>
      </c>
      <c r="F599" s="94">
        <v>3.0999999999999999E-3</v>
      </c>
      <c r="G599" s="65">
        <f>VLOOKUP(D599,upahbahan,3,FALSE)</f>
        <v>150000</v>
      </c>
      <c r="H599" s="125">
        <f t="shared" si="60"/>
        <v>465</v>
      </c>
    </row>
    <row r="600" spans="3:9">
      <c r="C600" s="143">
        <v>4</v>
      </c>
      <c r="D600" s="60" t="s">
        <v>19</v>
      </c>
      <c r="E600" s="73" t="s">
        <v>6</v>
      </c>
      <c r="F600" s="94">
        <v>1E-3</v>
      </c>
      <c r="G600" s="65">
        <f>VLOOKUP(D600,upahbahan,3,FALSE)</f>
        <v>145000</v>
      </c>
      <c r="H600" s="125">
        <f t="shared" si="60"/>
        <v>145</v>
      </c>
    </row>
    <row r="601" spans="3:9">
      <c r="C601" s="145" t="s">
        <v>1220</v>
      </c>
      <c r="D601" s="81"/>
      <c r="E601" s="81"/>
      <c r="F601" s="220"/>
      <c r="G601" s="221"/>
      <c r="H601" s="125">
        <f>SUM(H597:H600)</f>
        <v>11398.5</v>
      </c>
      <c r="I601" s="223"/>
    </row>
    <row r="602" spans="3:9">
      <c r="C602" s="142" t="s">
        <v>1221</v>
      </c>
      <c r="D602" s="60" t="s">
        <v>1222</v>
      </c>
      <c r="E602" s="74"/>
      <c r="F602" s="74"/>
      <c r="G602" s="74"/>
      <c r="H602" s="147"/>
    </row>
    <row r="603" spans="3:9">
      <c r="C603" s="201" t="s">
        <v>1215</v>
      </c>
      <c r="D603" s="78" t="s">
        <v>487</v>
      </c>
      <c r="E603" s="73" t="s">
        <v>44</v>
      </c>
      <c r="F603" s="75">
        <v>3.5</v>
      </c>
      <c r="G603" s="65">
        <f>VLOOKUP(D603,upahbahan,3,FALSE)</f>
        <v>6000</v>
      </c>
      <c r="H603" s="125">
        <f t="shared" ref="H603:H606" si="61">F603*G603</f>
        <v>21000</v>
      </c>
    </row>
    <row r="604" spans="3:9">
      <c r="C604" s="201" t="s">
        <v>1216</v>
      </c>
      <c r="D604" s="60" t="s">
        <v>568</v>
      </c>
      <c r="E604" s="73" t="s">
        <v>66</v>
      </c>
      <c r="F604" s="75">
        <v>1.704</v>
      </c>
      <c r="G604" s="65">
        <f>VLOOKUP(D604,upahbahan,3,FALSE)</f>
        <v>1300</v>
      </c>
      <c r="H604" s="125">
        <f t="shared" si="61"/>
        <v>2215.1999999999998</v>
      </c>
    </row>
    <row r="605" spans="3:9">
      <c r="C605" s="201" t="s">
        <v>1217</v>
      </c>
      <c r="D605" s="60" t="s">
        <v>571</v>
      </c>
      <c r="E605" s="73" t="s">
        <v>66</v>
      </c>
      <c r="F605" s="75">
        <v>0.188</v>
      </c>
      <c r="G605" s="65">
        <f>VLOOKUP(D605,upahbahan,3,FALSE)</f>
        <v>7800</v>
      </c>
      <c r="H605" s="125">
        <f t="shared" si="61"/>
        <v>1466.4</v>
      </c>
    </row>
    <row r="606" spans="3:9">
      <c r="C606" s="201" t="s">
        <v>1218</v>
      </c>
      <c r="D606" s="78" t="s">
        <v>86</v>
      </c>
      <c r="E606" s="73" t="s">
        <v>42</v>
      </c>
      <c r="F606" s="75">
        <v>3.0000000000000001E-3</v>
      </c>
      <c r="G606" s="65">
        <f>VLOOKUP(D606,upahbahan,3,FALSE)</f>
        <v>275000</v>
      </c>
      <c r="H606" s="125">
        <f t="shared" si="61"/>
        <v>825</v>
      </c>
    </row>
    <row r="607" spans="3:9">
      <c r="C607" s="145" t="s">
        <v>1226</v>
      </c>
      <c r="D607" s="81"/>
      <c r="E607" s="81"/>
      <c r="F607" s="81"/>
      <c r="G607" s="163"/>
      <c r="H607" s="125">
        <f>SUM(H603:H606)</f>
        <v>25506.600000000002</v>
      </c>
    </row>
    <row r="608" spans="3:9">
      <c r="C608" s="153" t="s">
        <v>1227</v>
      </c>
      <c r="D608" s="60" t="s">
        <v>1228</v>
      </c>
      <c r="E608" s="74"/>
      <c r="F608" s="74"/>
      <c r="G608" s="74"/>
      <c r="H608" s="147"/>
    </row>
    <row r="609" spans="3:9">
      <c r="C609" s="145" t="s">
        <v>1229</v>
      </c>
      <c r="D609" s="81"/>
      <c r="E609" s="81"/>
      <c r="F609" s="81"/>
      <c r="G609" s="163"/>
      <c r="H609" s="154">
        <v>0</v>
      </c>
    </row>
    <row r="610" spans="3:9">
      <c r="C610" s="123" t="s">
        <v>1230</v>
      </c>
      <c r="D610" s="70" t="s">
        <v>1231</v>
      </c>
      <c r="E610" s="71"/>
      <c r="F610" s="71"/>
      <c r="G610" s="72"/>
      <c r="H610" s="125">
        <f>H609+H607+H601</f>
        <v>36905.100000000006</v>
      </c>
    </row>
    <row r="611" spans="3:9">
      <c r="C611" s="123" t="s">
        <v>1232</v>
      </c>
      <c r="D611" s="70" t="s">
        <v>1410</v>
      </c>
      <c r="E611" s="71"/>
      <c r="F611" s="72"/>
      <c r="G611" s="96">
        <f>$M$7</f>
        <v>0.1</v>
      </c>
      <c r="H611" s="125">
        <f>H610*G611</f>
        <v>3690.5100000000007</v>
      </c>
    </row>
    <row r="612" spans="3:9" ht="15.75" thickBot="1">
      <c r="C612" s="131" t="s">
        <v>1233</v>
      </c>
      <c r="D612" s="132" t="s">
        <v>1234</v>
      </c>
      <c r="E612" s="133"/>
      <c r="F612" s="133"/>
      <c r="G612" s="156"/>
      <c r="H612" s="135">
        <f>SUM(H610:H611)</f>
        <v>40595.610000000008</v>
      </c>
    </row>
    <row r="613" spans="3:9" ht="15.75" thickTop="1">
      <c r="C613" s="58"/>
      <c r="D613" s="82"/>
      <c r="E613" s="82"/>
      <c r="F613" s="82"/>
      <c r="G613" s="82"/>
      <c r="H613" s="83"/>
    </row>
    <row r="614" spans="3:9" ht="15.75" thickBot="1">
      <c r="C614" s="237" t="s">
        <v>1573</v>
      </c>
      <c r="D614" s="237"/>
      <c r="E614" s="237"/>
      <c r="F614" s="237"/>
      <c r="G614" s="237"/>
      <c r="H614" s="237"/>
      <c r="I614" s="57">
        <f>ROUNDDOWN(H632,-2)</f>
        <v>41400</v>
      </c>
    </row>
    <row r="615" spans="3:9" ht="29.25" thickTop="1">
      <c r="C615" s="120" t="s">
        <v>1207</v>
      </c>
      <c r="D615" s="121" t="s">
        <v>1208</v>
      </c>
      <c r="E615" s="121" t="s">
        <v>1209</v>
      </c>
      <c r="F615" s="121" t="s">
        <v>1210</v>
      </c>
      <c r="G615" s="121" t="s">
        <v>1211</v>
      </c>
      <c r="H615" s="122" t="s">
        <v>1212</v>
      </c>
    </row>
    <row r="616" spans="3:9">
      <c r="C616" s="142" t="s">
        <v>1213</v>
      </c>
      <c r="D616" s="60" t="s">
        <v>1214</v>
      </c>
      <c r="E616" s="74"/>
      <c r="F616" s="74"/>
      <c r="G616" s="74"/>
      <c r="H616" s="147"/>
    </row>
    <row r="617" spans="3:9">
      <c r="C617" s="143">
        <v>1</v>
      </c>
      <c r="D617" s="60" t="s">
        <v>5</v>
      </c>
      <c r="E617" s="73" t="s">
        <v>6</v>
      </c>
      <c r="F617" s="184">
        <v>6.6699999999999995E-2</v>
      </c>
      <c r="G617" s="65">
        <f>VLOOKUP(D617,upahbahan,3,FALSE)</f>
        <v>100000</v>
      </c>
      <c r="H617" s="125">
        <f t="shared" ref="H617:H620" si="62">F617*G617</f>
        <v>6669.9999999999991</v>
      </c>
    </row>
    <row r="618" spans="3:9">
      <c r="C618" s="143">
        <v>2</v>
      </c>
      <c r="D618" s="60" t="s">
        <v>7</v>
      </c>
      <c r="E618" s="73" t="s">
        <v>6</v>
      </c>
      <c r="F618" s="184">
        <v>3.3300000000000003E-2</v>
      </c>
      <c r="G618" s="65">
        <f>VLOOKUP(D618,upahbahan,3,FALSE)</f>
        <v>145000</v>
      </c>
      <c r="H618" s="125">
        <f t="shared" si="62"/>
        <v>4828.5000000000009</v>
      </c>
    </row>
    <row r="619" spans="3:9">
      <c r="C619" s="143">
        <v>3</v>
      </c>
      <c r="D619" s="60" t="s">
        <v>18</v>
      </c>
      <c r="E619" s="73" t="s">
        <v>6</v>
      </c>
      <c r="F619" s="184">
        <v>3.3E-3</v>
      </c>
      <c r="G619" s="65">
        <f>VLOOKUP(D619,upahbahan,3,FALSE)</f>
        <v>150000</v>
      </c>
      <c r="H619" s="125">
        <f t="shared" si="62"/>
        <v>495</v>
      </c>
    </row>
    <row r="620" spans="3:9">
      <c r="C620" s="143">
        <v>4</v>
      </c>
      <c r="D620" s="60" t="s">
        <v>19</v>
      </c>
      <c r="E620" s="73" t="s">
        <v>6</v>
      </c>
      <c r="F620" s="184">
        <v>1.1000000000000001E-3</v>
      </c>
      <c r="G620" s="65">
        <f>VLOOKUP(D620,upahbahan,3,FALSE)</f>
        <v>145000</v>
      </c>
      <c r="H620" s="125">
        <f t="shared" si="62"/>
        <v>159.5</v>
      </c>
    </row>
    <row r="621" spans="3:9">
      <c r="C621" s="145" t="s">
        <v>1220</v>
      </c>
      <c r="D621" s="81"/>
      <c r="E621" s="81"/>
      <c r="F621" s="220"/>
      <c r="G621" s="221"/>
      <c r="H621" s="125">
        <f>SUM(H617:H620)</f>
        <v>12153</v>
      </c>
      <c r="I621" s="223"/>
    </row>
    <row r="622" spans="3:9">
      <c r="C622" s="142" t="s">
        <v>1221</v>
      </c>
      <c r="D622" s="60" t="s">
        <v>1222</v>
      </c>
      <c r="E622" s="74"/>
      <c r="F622" s="74"/>
      <c r="G622" s="74"/>
      <c r="H622" s="147"/>
    </row>
    <row r="623" spans="3:9">
      <c r="C623" s="201" t="s">
        <v>1215</v>
      </c>
      <c r="D623" s="78" t="s">
        <v>488</v>
      </c>
      <c r="E623" s="73" t="s">
        <v>44</v>
      </c>
      <c r="F623" s="184">
        <v>2.625</v>
      </c>
      <c r="G623" s="65">
        <f>VLOOKUP(D623,upahbahan,3,FALSE)</f>
        <v>8000</v>
      </c>
      <c r="H623" s="125">
        <f t="shared" ref="H623:H626" si="63">F623*G623</f>
        <v>21000</v>
      </c>
    </row>
    <row r="624" spans="3:9">
      <c r="C624" s="201" t="s">
        <v>1216</v>
      </c>
      <c r="D624" s="60" t="s">
        <v>568</v>
      </c>
      <c r="E624" s="73" t="s">
        <v>66</v>
      </c>
      <c r="F624" s="75">
        <v>1.704</v>
      </c>
      <c r="G624" s="65">
        <f>VLOOKUP(D624,upahbahan,3,FALSE)</f>
        <v>1300</v>
      </c>
      <c r="H624" s="125">
        <f t="shared" si="63"/>
        <v>2215.1999999999998</v>
      </c>
    </row>
    <row r="625" spans="3:9">
      <c r="C625" s="201" t="s">
        <v>1217</v>
      </c>
      <c r="D625" s="60" t="s">
        <v>571</v>
      </c>
      <c r="E625" s="73" t="s">
        <v>66</v>
      </c>
      <c r="F625" s="75">
        <v>0.188</v>
      </c>
      <c r="G625" s="65">
        <f>VLOOKUP(D625,upahbahan,3,FALSE)</f>
        <v>7800</v>
      </c>
      <c r="H625" s="125">
        <f t="shared" si="63"/>
        <v>1466.4</v>
      </c>
    </row>
    <row r="626" spans="3:9">
      <c r="C626" s="201" t="s">
        <v>1218</v>
      </c>
      <c r="D626" s="78" t="s">
        <v>86</v>
      </c>
      <c r="E626" s="73" t="s">
        <v>42</v>
      </c>
      <c r="F626" s="75">
        <v>3.0000000000000001E-3</v>
      </c>
      <c r="G626" s="65">
        <f>VLOOKUP(D626,upahbahan,3,FALSE)</f>
        <v>275000</v>
      </c>
      <c r="H626" s="125">
        <f t="shared" si="63"/>
        <v>825</v>
      </c>
    </row>
    <row r="627" spans="3:9">
      <c r="C627" s="145" t="s">
        <v>1226</v>
      </c>
      <c r="D627" s="81"/>
      <c r="E627" s="81"/>
      <c r="F627" s="81"/>
      <c r="G627" s="163"/>
      <c r="H627" s="125">
        <f>SUM(H623:H626)</f>
        <v>25506.600000000002</v>
      </c>
    </row>
    <row r="628" spans="3:9">
      <c r="C628" s="153" t="s">
        <v>1227</v>
      </c>
      <c r="D628" s="60" t="s">
        <v>1228</v>
      </c>
      <c r="E628" s="74"/>
      <c r="F628" s="74"/>
      <c r="G628" s="74"/>
      <c r="H628" s="147"/>
    </row>
    <row r="629" spans="3:9">
      <c r="C629" s="145" t="s">
        <v>1229</v>
      </c>
      <c r="D629" s="81"/>
      <c r="E629" s="81"/>
      <c r="F629" s="81"/>
      <c r="G629" s="163"/>
      <c r="H629" s="154">
        <v>0</v>
      </c>
    </row>
    <row r="630" spans="3:9">
      <c r="C630" s="123" t="s">
        <v>1230</v>
      </c>
      <c r="D630" s="70" t="s">
        <v>1231</v>
      </c>
      <c r="E630" s="71"/>
      <c r="F630" s="71"/>
      <c r="G630" s="72"/>
      <c r="H630" s="125">
        <f>H629+H627+H621</f>
        <v>37659.600000000006</v>
      </c>
    </row>
    <row r="631" spans="3:9">
      <c r="C631" s="123" t="s">
        <v>1232</v>
      </c>
      <c r="D631" s="70" t="s">
        <v>1410</v>
      </c>
      <c r="E631" s="71"/>
      <c r="F631" s="72"/>
      <c r="G631" s="96">
        <f>$M$7</f>
        <v>0.1</v>
      </c>
      <c r="H631" s="125">
        <f>H630*G631</f>
        <v>3765.9600000000009</v>
      </c>
    </row>
    <row r="632" spans="3:9" ht="15.75" thickBot="1">
      <c r="C632" s="131" t="s">
        <v>1233</v>
      </c>
      <c r="D632" s="132" t="s">
        <v>1234</v>
      </c>
      <c r="E632" s="133"/>
      <c r="F632" s="133"/>
      <c r="G632" s="156"/>
      <c r="H632" s="135">
        <f>SUM(H630:H631)</f>
        <v>41425.560000000005</v>
      </c>
    </row>
    <row r="633" spans="3:9" ht="15.75" thickTop="1">
      <c r="C633" s="58"/>
      <c r="D633" s="82"/>
      <c r="E633" s="82"/>
      <c r="F633" s="82"/>
      <c r="G633" s="82"/>
      <c r="H633" s="83"/>
    </row>
    <row r="634" spans="3:9" ht="15.75" thickBot="1">
      <c r="C634" s="237" t="s">
        <v>1574</v>
      </c>
      <c r="D634" s="237"/>
      <c r="E634" s="237"/>
      <c r="F634" s="237"/>
      <c r="G634" s="237"/>
      <c r="H634" s="237"/>
      <c r="I634" s="57">
        <f>ROUNDDOWN(H652,-2)</f>
        <v>38500</v>
      </c>
    </row>
    <row r="635" spans="3:9" ht="29.25" thickTop="1">
      <c r="C635" s="120" t="s">
        <v>1207</v>
      </c>
      <c r="D635" s="121" t="s">
        <v>1208</v>
      </c>
      <c r="E635" s="121" t="s">
        <v>1209</v>
      </c>
      <c r="F635" s="121" t="s">
        <v>1210</v>
      </c>
      <c r="G635" s="121" t="s">
        <v>1211</v>
      </c>
      <c r="H635" s="122" t="s">
        <v>1212</v>
      </c>
    </row>
    <row r="636" spans="3:9">
      <c r="C636" s="142" t="s">
        <v>1213</v>
      </c>
      <c r="D636" s="60" t="s">
        <v>1214</v>
      </c>
      <c r="E636" s="74"/>
      <c r="F636" s="74"/>
      <c r="G636" s="74"/>
      <c r="H636" s="147"/>
    </row>
    <row r="637" spans="3:9">
      <c r="C637" s="143">
        <v>1</v>
      </c>
      <c r="D637" s="60" t="s">
        <v>5</v>
      </c>
      <c r="E637" s="73" t="s">
        <v>6</v>
      </c>
      <c r="F637" s="184">
        <v>7.1400000000000005E-2</v>
      </c>
      <c r="G637" s="65">
        <f>VLOOKUP(D637,upahbahan,3,FALSE)</f>
        <v>100000</v>
      </c>
      <c r="H637" s="125">
        <f t="shared" ref="H637:H640" si="64">F637*G637</f>
        <v>7140.0000000000009</v>
      </c>
    </row>
    <row r="638" spans="3:9">
      <c r="C638" s="143">
        <v>2</v>
      </c>
      <c r="D638" s="60" t="s">
        <v>7</v>
      </c>
      <c r="E638" s="73" t="s">
        <v>6</v>
      </c>
      <c r="F638" s="184">
        <v>3.5700000000000003E-2</v>
      </c>
      <c r="G638" s="65">
        <f>VLOOKUP(D638,upahbahan,3,FALSE)</f>
        <v>145000</v>
      </c>
      <c r="H638" s="125">
        <f t="shared" si="64"/>
        <v>5176.5</v>
      </c>
    </row>
    <row r="639" spans="3:9">
      <c r="C639" s="143">
        <v>3</v>
      </c>
      <c r="D639" s="60" t="s">
        <v>18</v>
      </c>
      <c r="E639" s="73" t="s">
        <v>6</v>
      </c>
      <c r="F639" s="184">
        <v>3.5999999999999999E-3</v>
      </c>
      <c r="G639" s="65">
        <f>VLOOKUP(D639,upahbahan,3,FALSE)</f>
        <v>150000</v>
      </c>
      <c r="H639" s="125">
        <f t="shared" si="64"/>
        <v>540</v>
      </c>
    </row>
    <row r="640" spans="3:9">
      <c r="C640" s="143">
        <v>4</v>
      </c>
      <c r="D640" s="60" t="s">
        <v>19</v>
      </c>
      <c r="E640" s="73" t="s">
        <v>6</v>
      </c>
      <c r="F640" s="184">
        <v>1.1999999999999999E-3</v>
      </c>
      <c r="G640" s="65">
        <f>VLOOKUP(D640,upahbahan,3,FALSE)</f>
        <v>145000</v>
      </c>
      <c r="H640" s="125">
        <f t="shared" si="64"/>
        <v>173.99999999999997</v>
      </c>
    </row>
    <row r="641" spans="3:9">
      <c r="C641" s="145" t="s">
        <v>1220</v>
      </c>
      <c r="D641" s="81"/>
      <c r="E641" s="81"/>
      <c r="F641" s="220"/>
      <c r="G641" s="221"/>
      <c r="H641" s="125">
        <f>SUM(H637:H640)</f>
        <v>13030.5</v>
      </c>
      <c r="I641" s="223"/>
    </row>
    <row r="642" spans="3:9">
      <c r="C642" s="142" t="s">
        <v>1221</v>
      </c>
      <c r="D642" s="60" t="s">
        <v>1222</v>
      </c>
      <c r="E642" s="74"/>
      <c r="F642" s="74"/>
      <c r="G642" s="74"/>
      <c r="H642" s="147"/>
    </row>
    <row r="643" spans="3:9">
      <c r="C643" s="201" t="s">
        <v>1215</v>
      </c>
      <c r="D643" s="78" t="s">
        <v>489</v>
      </c>
      <c r="E643" s="73" t="s">
        <v>44</v>
      </c>
      <c r="F643" s="75">
        <v>1.75</v>
      </c>
      <c r="G643" s="65">
        <f>VLOOKUP(D643,upahbahan,3,FALSE)</f>
        <v>10000</v>
      </c>
      <c r="H643" s="125">
        <f t="shared" ref="H643:H646" si="65">F643*G643</f>
        <v>17500</v>
      </c>
    </row>
    <row r="644" spans="3:9">
      <c r="C644" s="201" t="s">
        <v>1216</v>
      </c>
      <c r="D644" s="60" t="s">
        <v>568</v>
      </c>
      <c r="E644" s="73" t="s">
        <v>66</v>
      </c>
      <c r="F644" s="75">
        <v>1.704</v>
      </c>
      <c r="G644" s="65">
        <f>VLOOKUP(D644,upahbahan,3,FALSE)</f>
        <v>1300</v>
      </c>
      <c r="H644" s="125">
        <f t="shared" si="65"/>
        <v>2215.1999999999998</v>
      </c>
    </row>
    <row r="645" spans="3:9">
      <c r="C645" s="201" t="s">
        <v>1217</v>
      </c>
      <c r="D645" s="60" t="s">
        <v>571</v>
      </c>
      <c r="E645" s="73" t="s">
        <v>66</v>
      </c>
      <c r="F645" s="75">
        <v>0.188</v>
      </c>
      <c r="G645" s="65">
        <f>VLOOKUP(D645,upahbahan,3,FALSE)</f>
        <v>7800</v>
      </c>
      <c r="H645" s="125">
        <f t="shared" si="65"/>
        <v>1466.4</v>
      </c>
    </row>
    <row r="646" spans="3:9">
      <c r="C646" s="201" t="s">
        <v>1218</v>
      </c>
      <c r="D646" s="78" t="s">
        <v>86</v>
      </c>
      <c r="E646" s="73" t="s">
        <v>42</v>
      </c>
      <c r="F646" s="75">
        <v>3.0000000000000001E-3</v>
      </c>
      <c r="G646" s="65">
        <f>VLOOKUP(D646,upahbahan,3,FALSE)</f>
        <v>275000</v>
      </c>
      <c r="H646" s="125">
        <f t="shared" si="65"/>
        <v>825</v>
      </c>
    </row>
    <row r="647" spans="3:9">
      <c r="C647" s="145" t="s">
        <v>1226</v>
      </c>
      <c r="D647" s="81"/>
      <c r="E647" s="81"/>
      <c r="F647" s="81"/>
      <c r="G647" s="163"/>
      <c r="H647" s="125">
        <f>SUM(H643:H646)</f>
        <v>22006.600000000002</v>
      </c>
    </row>
    <row r="648" spans="3:9">
      <c r="C648" s="153" t="s">
        <v>1227</v>
      </c>
      <c r="D648" s="60" t="s">
        <v>1228</v>
      </c>
      <c r="E648" s="74"/>
      <c r="F648" s="74"/>
      <c r="G648" s="74"/>
      <c r="H648" s="147"/>
    </row>
    <row r="649" spans="3:9">
      <c r="C649" s="145" t="s">
        <v>1229</v>
      </c>
      <c r="D649" s="81"/>
      <c r="E649" s="81"/>
      <c r="F649" s="81"/>
      <c r="G649" s="163"/>
      <c r="H649" s="154">
        <v>0</v>
      </c>
    </row>
    <row r="650" spans="3:9">
      <c r="C650" s="123" t="s">
        <v>1230</v>
      </c>
      <c r="D650" s="70" t="s">
        <v>1231</v>
      </c>
      <c r="E650" s="71"/>
      <c r="F650" s="71"/>
      <c r="G650" s="72"/>
      <c r="H650" s="125">
        <f>H649+H647+H641</f>
        <v>35037.100000000006</v>
      </c>
    </row>
    <row r="651" spans="3:9">
      <c r="C651" s="123" t="s">
        <v>1232</v>
      </c>
      <c r="D651" s="70" t="s">
        <v>1410</v>
      </c>
      <c r="E651" s="71"/>
      <c r="F651" s="72"/>
      <c r="G651" s="96">
        <f>$M$7</f>
        <v>0.1</v>
      </c>
      <c r="H651" s="125">
        <f>H650*G651</f>
        <v>3503.7100000000009</v>
      </c>
    </row>
    <row r="652" spans="3:9" ht="15.75" thickBot="1">
      <c r="C652" s="131" t="s">
        <v>1233</v>
      </c>
      <c r="D652" s="132" t="s">
        <v>1234</v>
      </c>
      <c r="E652" s="133"/>
      <c r="F652" s="133"/>
      <c r="G652" s="156"/>
      <c r="H652" s="135">
        <f>SUM(H650:H651)</f>
        <v>38540.810000000005</v>
      </c>
    </row>
    <row r="653" spans="3:9" ht="15.75" thickTop="1">
      <c r="C653" s="58"/>
      <c r="D653" s="82"/>
      <c r="E653" s="82"/>
      <c r="F653" s="82"/>
      <c r="G653" s="82"/>
      <c r="H653" s="83"/>
    </row>
    <row r="654" spans="3:9" ht="15.75" thickBot="1">
      <c r="C654" s="237" t="s">
        <v>1575</v>
      </c>
      <c r="D654" s="237"/>
      <c r="E654" s="237"/>
      <c r="F654" s="237"/>
      <c r="G654" s="237"/>
      <c r="H654" s="237"/>
      <c r="I654" s="57">
        <f>ROUNDDOWN(H672,-2)</f>
        <v>646700</v>
      </c>
    </row>
    <row r="655" spans="3:9" ht="29.25" thickTop="1">
      <c r="C655" s="120" t="s">
        <v>1207</v>
      </c>
      <c r="D655" s="121" t="s">
        <v>1208</v>
      </c>
      <c r="E655" s="121" t="s">
        <v>1209</v>
      </c>
      <c r="F655" s="121" t="s">
        <v>1210</v>
      </c>
      <c r="G655" s="121" t="s">
        <v>1211</v>
      </c>
      <c r="H655" s="122" t="s">
        <v>1212</v>
      </c>
    </row>
    <row r="656" spans="3:9">
      <c r="C656" s="142" t="s">
        <v>1213</v>
      </c>
      <c r="D656" s="60" t="s">
        <v>1214</v>
      </c>
      <c r="E656" s="74"/>
      <c r="F656" s="74"/>
      <c r="G656" s="74"/>
      <c r="H656" s="147"/>
    </row>
    <row r="657" spans="3:9">
      <c r="C657" s="143">
        <v>1</v>
      </c>
      <c r="D657" s="60" t="s">
        <v>5</v>
      </c>
      <c r="E657" s="73" t="s">
        <v>6</v>
      </c>
      <c r="F657" s="184">
        <v>0.1429</v>
      </c>
      <c r="G657" s="65">
        <f>VLOOKUP(D657,upahbahan,3,FALSE)</f>
        <v>100000</v>
      </c>
      <c r="H657" s="125">
        <f t="shared" ref="H657:H660" si="66">F657*G657</f>
        <v>14290</v>
      </c>
    </row>
    <row r="658" spans="3:9">
      <c r="C658" s="143">
        <v>2</v>
      </c>
      <c r="D658" s="60" t="s">
        <v>7</v>
      </c>
      <c r="E658" s="73" t="s">
        <v>6</v>
      </c>
      <c r="F658" s="184">
        <v>7.1400000000000005E-2</v>
      </c>
      <c r="G658" s="65">
        <f>VLOOKUP(D658,upahbahan,3,FALSE)</f>
        <v>145000</v>
      </c>
      <c r="H658" s="125">
        <f t="shared" si="66"/>
        <v>10353</v>
      </c>
    </row>
    <row r="659" spans="3:9">
      <c r="C659" s="143">
        <v>3</v>
      </c>
      <c r="D659" s="60" t="s">
        <v>18</v>
      </c>
      <c r="E659" s="73" t="s">
        <v>6</v>
      </c>
      <c r="F659" s="184">
        <v>7.1000000000000004E-3</v>
      </c>
      <c r="G659" s="65">
        <f>VLOOKUP(D659,upahbahan,3,FALSE)</f>
        <v>150000</v>
      </c>
      <c r="H659" s="125">
        <f t="shared" si="66"/>
        <v>1065</v>
      </c>
    </row>
    <row r="660" spans="3:9">
      <c r="C660" s="143">
        <v>4</v>
      </c>
      <c r="D660" s="60" t="s">
        <v>19</v>
      </c>
      <c r="E660" s="73" t="s">
        <v>6</v>
      </c>
      <c r="F660" s="184">
        <v>2.3999999999999998E-3</v>
      </c>
      <c r="G660" s="65">
        <f>VLOOKUP(D660,upahbahan,3,FALSE)</f>
        <v>145000</v>
      </c>
      <c r="H660" s="125">
        <f t="shared" si="66"/>
        <v>347.99999999999994</v>
      </c>
    </row>
    <row r="661" spans="3:9">
      <c r="C661" s="145" t="s">
        <v>1220</v>
      </c>
      <c r="D661" s="81"/>
      <c r="E661" s="81"/>
      <c r="F661" s="220"/>
      <c r="G661" s="221"/>
      <c r="H661" s="125">
        <f>SUM(H657:H660)</f>
        <v>26056</v>
      </c>
      <c r="I661" s="223"/>
    </row>
    <row r="662" spans="3:9">
      <c r="C662" s="142" t="s">
        <v>1221</v>
      </c>
      <c r="D662" s="60" t="s">
        <v>1222</v>
      </c>
      <c r="E662" s="74"/>
      <c r="F662" s="74"/>
      <c r="G662" s="74"/>
      <c r="H662" s="147"/>
    </row>
    <row r="663" spans="3:9">
      <c r="C663" s="201" t="s">
        <v>1215</v>
      </c>
      <c r="D663" s="60" t="s">
        <v>521</v>
      </c>
      <c r="E663" s="73" t="s">
        <v>44</v>
      </c>
      <c r="F663" s="184">
        <v>11.667</v>
      </c>
      <c r="G663" s="65">
        <f>VLOOKUP(D663,upahbahan,3,FALSE)</f>
        <v>45000</v>
      </c>
      <c r="H663" s="125">
        <f t="shared" ref="H663:H666" si="67">F663*G663</f>
        <v>525015</v>
      </c>
    </row>
    <row r="664" spans="3:9">
      <c r="C664" s="201" t="s">
        <v>1216</v>
      </c>
      <c r="D664" s="60" t="s">
        <v>568</v>
      </c>
      <c r="E664" s="73" t="s">
        <v>66</v>
      </c>
      <c r="F664" s="184">
        <v>13.632</v>
      </c>
      <c r="G664" s="65">
        <f>VLOOKUP(D664,upahbahan,3,FALSE)</f>
        <v>1300</v>
      </c>
      <c r="H664" s="125">
        <f t="shared" si="67"/>
        <v>17721.599999999999</v>
      </c>
    </row>
    <row r="665" spans="3:9">
      <c r="C665" s="201" t="s">
        <v>1217</v>
      </c>
      <c r="D665" s="60" t="s">
        <v>571</v>
      </c>
      <c r="E665" s="73" t="s">
        <v>66</v>
      </c>
      <c r="F665" s="75">
        <v>1.5</v>
      </c>
      <c r="G665" s="65">
        <f>VLOOKUP(D665,upahbahan,3,FALSE)</f>
        <v>7800</v>
      </c>
      <c r="H665" s="125">
        <f t="shared" si="67"/>
        <v>11700</v>
      </c>
    </row>
    <row r="666" spans="3:9">
      <c r="C666" s="201" t="s">
        <v>1218</v>
      </c>
      <c r="D666" s="78" t="s">
        <v>86</v>
      </c>
      <c r="E666" s="73" t="s">
        <v>42</v>
      </c>
      <c r="F666" s="75">
        <v>2.7E-2</v>
      </c>
      <c r="G666" s="65">
        <f>VLOOKUP(D666,upahbahan,3,FALSE)</f>
        <v>275000</v>
      </c>
      <c r="H666" s="125">
        <f t="shared" si="67"/>
        <v>7425</v>
      </c>
    </row>
    <row r="667" spans="3:9">
      <c r="C667" s="145" t="s">
        <v>1226</v>
      </c>
      <c r="D667" s="81"/>
      <c r="E667" s="81"/>
      <c r="F667" s="81"/>
      <c r="G667" s="163"/>
      <c r="H667" s="125">
        <f>SUM(H663:H666)</f>
        <v>561861.6</v>
      </c>
    </row>
    <row r="668" spans="3:9">
      <c r="C668" s="153" t="s">
        <v>1227</v>
      </c>
      <c r="D668" s="60" t="s">
        <v>1228</v>
      </c>
      <c r="E668" s="74"/>
      <c r="F668" s="74"/>
      <c r="G668" s="74"/>
      <c r="H668" s="147"/>
    </row>
    <row r="669" spans="3:9">
      <c r="C669" s="145" t="s">
        <v>1229</v>
      </c>
      <c r="D669" s="81"/>
      <c r="E669" s="81"/>
      <c r="F669" s="81"/>
      <c r="G669" s="163"/>
      <c r="H669" s="154">
        <v>0</v>
      </c>
    </row>
    <row r="670" spans="3:9">
      <c r="C670" s="123" t="s">
        <v>1230</v>
      </c>
      <c r="D670" s="70" t="s">
        <v>1231</v>
      </c>
      <c r="E670" s="71"/>
      <c r="F670" s="71"/>
      <c r="G670" s="72"/>
      <c r="H670" s="125">
        <f>H669+H667+H661</f>
        <v>587917.6</v>
      </c>
    </row>
    <row r="671" spans="3:9">
      <c r="C671" s="123" t="s">
        <v>1232</v>
      </c>
      <c r="D671" s="70" t="s">
        <v>1410</v>
      </c>
      <c r="E671" s="71"/>
      <c r="F671" s="72"/>
      <c r="G671" s="96">
        <f>$M$7</f>
        <v>0.1</v>
      </c>
      <c r="H671" s="125">
        <f>H670*G671</f>
        <v>58791.76</v>
      </c>
    </row>
    <row r="672" spans="3:9" ht="15.75" thickBot="1">
      <c r="C672" s="131" t="s">
        <v>1233</v>
      </c>
      <c r="D672" s="132" t="s">
        <v>1234</v>
      </c>
      <c r="E672" s="133"/>
      <c r="F672" s="133"/>
      <c r="G672" s="156"/>
      <c r="H672" s="135">
        <f>SUM(H670:H671)</f>
        <v>646709.36</v>
      </c>
    </row>
    <row r="673" spans="3:9" ht="15.75" thickTop="1">
      <c r="C673" s="58"/>
      <c r="D673" s="82"/>
      <c r="E673" s="82"/>
      <c r="F673" s="82"/>
      <c r="G673" s="82"/>
      <c r="H673" s="83"/>
    </row>
    <row r="674" spans="3:9" ht="15.75" thickBot="1">
      <c r="C674" s="237" t="s">
        <v>1576</v>
      </c>
      <c r="D674" s="237"/>
      <c r="E674" s="237"/>
      <c r="F674" s="237"/>
      <c r="G674" s="237"/>
      <c r="H674" s="237"/>
      <c r="I674" s="57">
        <f>ROUNDDOWN(H692,-2)</f>
        <v>504500</v>
      </c>
    </row>
    <row r="675" spans="3:9" ht="29.25" thickTop="1">
      <c r="C675" s="120" t="s">
        <v>1207</v>
      </c>
      <c r="D675" s="121" t="s">
        <v>1208</v>
      </c>
      <c r="E675" s="121" t="s">
        <v>1209</v>
      </c>
      <c r="F675" s="121" t="s">
        <v>1210</v>
      </c>
      <c r="G675" s="121" t="s">
        <v>1211</v>
      </c>
      <c r="H675" s="122" t="s">
        <v>1212</v>
      </c>
    </row>
    <row r="676" spans="3:9">
      <c r="C676" s="142" t="s">
        <v>1213</v>
      </c>
      <c r="D676" s="60" t="s">
        <v>1214</v>
      </c>
      <c r="E676" s="74"/>
      <c r="F676" s="74"/>
      <c r="G676" s="74"/>
      <c r="H676" s="147"/>
    </row>
    <row r="677" spans="3:9">
      <c r="C677" s="143">
        <v>1</v>
      </c>
      <c r="D677" s="60" t="s">
        <v>5</v>
      </c>
      <c r="E677" s="73" t="s">
        <v>6</v>
      </c>
      <c r="F677" s="94">
        <v>0.15379999999999999</v>
      </c>
      <c r="G677" s="65">
        <f>VLOOKUP(D677,upahbahan,3,FALSE)</f>
        <v>100000</v>
      </c>
      <c r="H677" s="125">
        <f t="shared" ref="H677:H680" si="68">F677*G677</f>
        <v>15380</v>
      </c>
    </row>
    <row r="678" spans="3:9">
      <c r="C678" s="143">
        <v>2</v>
      </c>
      <c r="D678" s="60" t="s">
        <v>7</v>
      </c>
      <c r="E678" s="73" t="s">
        <v>6</v>
      </c>
      <c r="F678" s="94">
        <v>7.6899999999999996E-2</v>
      </c>
      <c r="G678" s="65">
        <f>VLOOKUP(D678,upahbahan,3,FALSE)</f>
        <v>145000</v>
      </c>
      <c r="H678" s="125">
        <f t="shared" si="68"/>
        <v>11150.5</v>
      </c>
    </row>
    <row r="679" spans="3:9">
      <c r="C679" s="143">
        <v>3</v>
      </c>
      <c r="D679" s="60" t="s">
        <v>18</v>
      </c>
      <c r="E679" s="73" t="s">
        <v>6</v>
      </c>
      <c r="F679" s="94">
        <v>7.7000000000000002E-3</v>
      </c>
      <c r="G679" s="65">
        <f>VLOOKUP(D679,upahbahan,3,FALSE)</f>
        <v>150000</v>
      </c>
      <c r="H679" s="125">
        <f t="shared" si="68"/>
        <v>1155</v>
      </c>
    </row>
    <row r="680" spans="3:9">
      <c r="C680" s="143">
        <v>4</v>
      </c>
      <c r="D680" s="60" t="s">
        <v>19</v>
      </c>
      <c r="E680" s="73" t="s">
        <v>6</v>
      </c>
      <c r="F680" s="94">
        <v>2.5999999999999999E-3</v>
      </c>
      <c r="G680" s="65">
        <f>VLOOKUP(D680,upahbahan,3,FALSE)</f>
        <v>145000</v>
      </c>
      <c r="H680" s="125">
        <f t="shared" si="68"/>
        <v>377</v>
      </c>
    </row>
    <row r="681" spans="3:9">
      <c r="C681" s="145" t="s">
        <v>1220</v>
      </c>
      <c r="D681" s="81"/>
      <c r="E681" s="81"/>
      <c r="F681" s="220"/>
      <c r="G681" s="221"/>
      <c r="H681" s="125">
        <f>SUM(H677:H680)</f>
        <v>28062.5</v>
      </c>
      <c r="I681" s="223"/>
    </row>
    <row r="682" spans="3:9">
      <c r="C682" s="142" t="s">
        <v>1221</v>
      </c>
      <c r="D682" s="60" t="s">
        <v>1222</v>
      </c>
      <c r="E682" s="74"/>
      <c r="F682" s="74"/>
      <c r="G682" s="74"/>
      <c r="H682" s="147"/>
    </row>
    <row r="683" spans="3:9">
      <c r="C683" s="201" t="s">
        <v>1215</v>
      </c>
      <c r="D683" s="60" t="s">
        <v>522</v>
      </c>
      <c r="E683" s="73" t="s">
        <v>44</v>
      </c>
      <c r="F683" s="184">
        <v>6.5629999999999997</v>
      </c>
      <c r="G683" s="65">
        <f>VLOOKUP(D683,upahbahan,3,FALSE)</f>
        <v>60000</v>
      </c>
      <c r="H683" s="125">
        <f t="shared" ref="H683:H686" si="69">F683*G683</f>
        <v>393780</v>
      </c>
    </row>
    <row r="684" spans="3:9">
      <c r="C684" s="201" t="s">
        <v>1216</v>
      </c>
      <c r="D684" s="60" t="s">
        <v>568</v>
      </c>
      <c r="E684" s="73" t="s">
        <v>66</v>
      </c>
      <c r="F684" s="184">
        <v>13.632</v>
      </c>
      <c r="G684" s="65">
        <f>VLOOKUP(D684,upahbahan,3,FALSE)</f>
        <v>1300</v>
      </c>
      <c r="H684" s="125">
        <f t="shared" si="69"/>
        <v>17721.599999999999</v>
      </c>
    </row>
    <row r="685" spans="3:9">
      <c r="C685" s="201" t="s">
        <v>1217</v>
      </c>
      <c r="D685" s="60" t="s">
        <v>571</v>
      </c>
      <c r="E685" s="73" t="s">
        <v>66</v>
      </c>
      <c r="F685" s="75">
        <v>1.5</v>
      </c>
      <c r="G685" s="65">
        <f>VLOOKUP(D685,upahbahan,3,FALSE)</f>
        <v>7800</v>
      </c>
      <c r="H685" s="125">
        <f t="shared" si="69"/>
        <v>11700</v>
      </c>
    </row>
    <row r="686" spans="3:9">
      <c r="C686" s="201" t="s">
        <v>1218</v>
      </c>
      <c r="D686" s="78" t="s">
        <v>86</v>
      </c>
      <c r="E686" s="73" t="s">
        <v>42</v>
      </c>
      <c r="F686" s="75">
        <v>2.7E-2</v>
      </c>
      <c r="G686" s="65">
        <f>VLOOKUP(D686,upahbahan,3,FALSE)</f>
        <v>275000</v>
      </c>
      <c r="H686" s="125">
        <f t="shared" si="69"/>
        <v>7425</v>
      </c>
    </row>
    <row r="687" spans="3:9">
      <c r="C687" s="145" t="s">
        <v>1226</v>
      </c>
      <c r="D687" s="81"/>
      <c r="E687" s="81"/>
      <c r="F687" s="81"/>
      <c r="G687" s="163"/>
      <c r="H687" s="125">
        <f>SUM(H683:H686)</f>
        <v>430626.6</v>
      </c>
    </row>
    <row r="688" spans="3:9">
      <c r="C688" s="153" t="s">
        <v>1227</v>
      </c>
      <c r="D688" s="60" t="s">
        <v>1228</v>
      </c>
      <c r="E688" s="74"/>
      <c r="F688" s="74"/>
      <c r="G688" s="74"/>
      <c r="H688" s="147"/>
    </row>
    <row r="689" spans="3:9">
      <c r="C689" s="145" t="s">
        <v>1229</v>
      </c>
      <c r="D689" s="81"/>
      <c r="E689" s="81"/>
      <c r="F689" s="81"/>
      <c r="G689" s="163"/>
      <c r="H689" s="154">
        <v>0</v>
      </c>
    </row>
    <row r="690" spans="3:9">
      <c r="C690" s="123" t="s">
        <v>1230</v>
      </c>
      <c r="D690" s="70" t="s">
        <v>1231</v>
      </c>
      <c r="E690" s="71"/>
      <c r="F690" s="71"/>
      <c r="G690" s="72"/>
      <c r="H690" s="125">
        <f>H689+H687+H681</f>
        <v>458689.1</v>
      </c>
    </row>
    <row r="691" spans="3:9">
      <c r="C691" s="123" t="s">
        <v>1232</v>
      </c>
      <c r="D691" s="70" t="s">
        <v>1410</v>
      </c>
      <c r="E691" s="71"/>
      <c r="F691" s="72"/>
      <c r="G691" s="96">
        <f>$M$7</f>
        <v>0.1</v>
      </c>
      <c r="H691" s="125">
        <f>H690*G691</f>
        <v>45868.91</v>
      </c>
    </row>
    <row r="692" spans="3:9" ht="15.75" thickBot="1">
      <c r="C692" s="131" t="s">
        <v>1233</v>
      </c>
      <c r="D692" s="132" t="s">
        <v>1234</v>
      </c>
      <c r="E692" s="133"/>
      <c r="F692" s="133"/>
      <c r="G692" s="156"/>
      <c r="H692" s="135">
        <f>SUM(H690:H691)</f>
        <v>504558.01</v>
      </c>
    </row>
    <row r="693" spans="3:9" ht="15.75" thickTop="1">
      <c r="C693" s="58"/>
      <c r="D693" s="82"/>
      <c r="E693" s="82"/>
      <c r="F693" s="82"/>
      <c r="G693" s="82"/>
      <c r="H693" s="83"/>
    </row>
    <row r="694" spans="3:9" ht="15.75" thickBot="1">
      <c r="C694" s="237" t="s">
        <v>1577</v>
      </c>
      <c r="D694" s="237"/>
      <c r="E694" s="237"/>
      <c r="F694" s="237"/>
      <c r="G694" s="237"/>
      <c r="H694" s="237"/>
      <c r="I694" s="57">
        <f>ROUNDDOWN(H712,-2)</f>
        <v>307700</v>
      </c>
    </row>
    <row r="695" spans="3:9" ht="29.25" thickTop="1">
      <c r="C695" s="120" t="s">
        <v>1207</v>
      </c>
      <c r="D695" s="121" t="s">
        <v>1208</v>
      </c>
      <c r="E695" s="121" t="s">
        <v>1209</v>
      </c>
      <c r="F695" s="121" t="s">
        <v>1210</v>
      </c>
      <c r="G695" s="121" t="s">
        <v>1211</v>
      </c>
      <c r="H695" s="122" t="s">
        <v>1212</v>
      </c>
    </row>
    <row r="696" spans="3:9">
      <c r="C696" s="142" t="s">
        <v>1213</v>
      </c>
      <c r="D696" s="60" t="s">
        <v>1214</v>
      </c>
      <c r="E696" s="74"/>
      <c r="F696" s="74"/>
      <c r="G696" s="74"/>
      <c r="H696" s="147"/>
    </row>
    <row r="697" spans="3:9">
      <c r="C697" s="143">
        <v>1</v>
      </c>
      <c r="D697" s="60" t="s">
        <v>5</v>
      </c>
      <c r="E697" s="73" t="s">
        <v>6</v>
      </c>
      <c r="F697" s="94">
        <v>0.25</v>
      </c>
      <c r="G697" s="65">
        <f>VLOOKUP(D697,upahbahan,3,FALSE)</f>
        <v>100000</v>
      </c>
      <c r="H697" s="125">
        <f t="shared" ref="H697:H700" si="70">F697*G697</f>
        <v>25000</v>
      </c>
    </row>
    <row r="698" spans="3:9">
      <c r="C698" s="143">
        <v>2</v>
      </c>
      <c r="D698" s="60" t="s">
        <v>7</v>
      </c>
      <c r="E698" s="73" t="s">
        <v>6</v>
      </c>
      <c r="F698" s="94">
        <v>8.3299999999999999E-2</v>
      </c>
      <c r="G698" s="65">
        <f>VLOOKUP(D698,upahbahan,3,FALSE)</f>
        <v>145000</v>
      </c>
      <c r="H698" s="125">
        <f t="shared" si="70"/>
        <v>12078.5</v>
      </c>
    </row>
    <row r="699" spans="3:9">
      <c r="C699" s="143">
        <v>3</v>
      </c>
      <c r="D699" s="60" t="s">
        <v>18</v>
      </c>
      <c r="E699" s="73" t="s">
        <v>6</v>
      </c>
      <c r="F699" s="94">
        <v>8.3000000000000001E-3</v>
      </c>
      <c r="G699" s="65">
        <f>VLOOKUP(D699,upahbahan,3,FALSE)</f>
        <v>150000</v>
      </c>
      <c r="H699" s="125">
        <f t="shared" si="70"/>
        <v>1245</v>
      </c>
    </row>
    <row r="700" spans="3:9">
      <c r="C700" s="143">
        <v>4</v>
      </c>
      <c r="D700" s="60" t="s">
        <v>19</v>
      </c>
      <c r="E700" s="73" t="s">
        <v>6</v>
      </c>
      <c r="F700" s="94">
        <v>2.8E-3</v>
      </c>
      <c r="G700" s="65">
        <f>VLOOKUP(D700,upahbahan,3,FALSE)</f>
        <v>145000</v>
      </c>
      <c r="H700" s="125">
        <f t="shared" si="70"/>
        <v>406</v>
      </c>
    </row>
    <row r="701" spans="3:9">
      <c r="C701" s="145" t="s">
        <v>1220</v>
      </c>
      <c r="D701" s="81"/>
      <c r="E701" s="81"/>
      <c r="F701" s="220"/>
      <c r="G701" s="221"/>
      <c r="H701" s="125">
        <f>SUM(H697:H700)</f>
        <v>38729.5</v>
      </c>
      <c r="I701" s="223"/>
    </row>
    <row r="702" spans="3:9">
      <c r="C702" s="142" t="s">
        <v>1221</v>
      </c>
      <c r="D702" s="60" t="s">
        <v>1222</v>
      </c>
      <c r="E702" s="74"/>
      <c r="F702" s="74"/>
      <c r="G702" s="74"/>
      <c r="H702" s="147"/>
    </row>
    <row r="703" spans="3:9">
      <c r="C703" s="201" t="s">
        <v>1215</v>
      </c>
      <c r="D703" s="60" t="s">
        <v>523</v>
      </c>
      <c r="E703" s="73" t="s">
        <v>44</v>
      </c>
      <c r="F703" s="184">
        <v>2.9169999999999998</v>
      </c>
      <c r="G703" s="65">
        <f>VLOOKUP(D703,upahbahan,3,FALSE)</f>
        <v>70000</v>
      </c>
      <c r="H703" s="125">
        <f t="shared" ref="H703:H706" si="71">F703*G703</f>
        <v>204190</v>
      </c>
    </row>
    <row r="704" spans="3:9">
      <c r="C704" s="201" t="s">
        <v>1216</v>
      </c>
      <c r="D704" s="60" t="s">
        <v>568</v>
      </c>
      <c r="E704" s="73" t="s">
        <v>66</v>
      </c>
      <c r="F704" s="184">
        <v>13.632</v>
      </c>
      <c r="G704" s="65">
        <f>VLOOKUP(D704,upahbahan,3,FALSE)</f>
        <v>1300</v>
      </c>
      <c r="H704" s="125">
        <f t="shared" si="71"/>
        <v>17721.599999999999</v>
      </c>
    </row>
    <row r="705" spans="3:9">
      <c r="C705" s="201" t="s">
        <v>1217</v>
      </c>
      <c r="D705" s="60" t="s">
        <v>571</v>
      </c>
      <c r="E705" s="73" t="s">
        <v>66</v>
      </c>
      <c r="F705" s="75">
        <v>1.5</v>
      </c>
      <c r="G705" s="65">
        <f>VLOOKUP(D705,upahbahan,3,FALSE)</f>
        <v>7800</v>
      </c>
      <c r="H705" s="125">
        <f t="shared" si="71"/>
        <v>11700</v>
      </c>
    </row>
    <row r="706" spans="3:9">
      <c r="C706" s="201" t="s">
        <v>1218</v>
      </c>
      <c r="D706" s="78" t="s">
        <v>86</v>
      </c>
      <c r="E706" s="73" t="s">
        <v>42</v>
      </c>
      <c r="F706" s="75">
        <v>2.7E-2</v>
      </c>
      <c r="G706" s="65">
        <f>VLOOKUP(D706,upahbahan,3,FALSE)</f>
        <v>275000</v>
      </c>
      <c r="H706" s="125">
        <f t="shared" si="71"/>
        <v>7425</v>
      </c>
    </row>
    <row r="707" spans="3:9">
      <c r="C707" s="145" t="s">
        <v>1226</v>
      </c>
      <c r="D707" s="81"/>
      <c r="E707" s="81"/>
      <c r="F707" s="81"/>
      <c r="G707" s="163"/>
      <c r="H707" s="125">
        <f>SUM(H703:H706)</f>
        <v>241036.6</v>
      </c>
    </row>
    <row r="708" spans="3:9">
      <c r="C708" s="153" t="s">
        <v>1227</v>
      </c>
      <c r="D708" s="60" t="s">
        <v>1228</v>
      </c>
      <c r="E708" s="74"/>
      <c r="F708" s="74"/>
      <c r="G708" s="74"/>
      <c r="H708" s="147"/>
    </row>
    <row r="709" spans="3:9">
      <c r="C709" s="145" t="s">
        <v>1229</v>
      </c>
      <c r="D709" s="81"/>
      <c r="E709" s="81"/>
      <c r="F709" s="81"/>
      <c r="G709" s="163"/>
      <c r="H709" s="154">
        <v>0</v>
      </c>
    </row>
    <row r="710" spans="3:9">
      <c r="C710" s="123" t="s">
        <v>1230</v>
      </c>
      <c r="D710" s="70" t="s">
        <v>1231</v>
      </c>
      <c r="E710" s="71"/>
      <c r="F710" s="71"/>
      <c r="G710" s="72"/>
      <c r="H710" s="125">
        <f>H709+H707+H701</f>
        <v>279766.09999999998</v>
      </c>
    </row>
    <row r="711" spans="3:9">
      <c r="C711" s="123" t="s">
        <v>1232</v>
      </c>
      <c r="D711" s="70" t="s">
        <v>1410</v>
      </c>
      <c r="E711" s="71"/>
      <c r="F711" s="72"/>
      <c r="G711" s="96">
        <f>$M$7</f>
        <v>0.1</v>
      </c>
      <c r="H711" s="125">
        <f>H710*G711</f>
        <v>27976.61</v>
      </c>
    </row>
    <row r="712" spans="3:9" ht="15.75" thickBot="1">
      <c r="C712" s="131" t="s">
        <v>1233</v>
      </c>
      <c r="D712" s="132" t="s">
        <v>1234</v>
      </c>
      <c r="E712" s="133"/>
      <c r="F712" s="133"/>
      <c r="G712" s="156"/>
      <c r="H712" s="135">
        <f>SUM(H710:H711)</f>
        <v>307742.70999999996</v>
      </c>
    </row>
    <row r="713" spans="3:9" ht="15.75" thickTop="1">
      <c r="C713" s="58"/>
      <c r="D713" s="82"/>
      <c r="E713" s="82"/>
      <c r="F713" s="82"/>
      <c r="G713" s="82"/>
      <c r="H713" s="83"/>
    </row>
    <row r="714" spans="3:9" ht="15.75" thickBot="1">
      <c r="C714" s="237" t="s">
        <v>1578</v>
      </c>
      <c r="D714" s="226"/>
      <c r="E714" s="226"/>
      <c r="F714" s="226"/>
      <c r="G714" s="226"/>
      <c r="H714" s="226"/>
      <c r="I714" s="57">
        <f>ROUNDDOWN(H732,-2)</f>
        <v>25100</v>
      </c>
    </row>
    <row r="715" spans="3:9" ht="29.25" thickTop="1">
      <c r="C715" s="120" t="s">
        <v>1207</v>
      </c>
      <c r="D715" s="121" t="s">
        <v>1208</v>
      </c>
      <c r="E715" s="121" t="s">
        <v>1209</v>
      </c>
      <c r="F715" s="121" t="s">
        <v>1210</v>
      </c>
      <c r="G715" s="121" t="s">
        <v>1211</v>
      </c>
      <c r="H715" s="122" t="s">
        <v>1212</v>
      </c>
    </row>
    <row r="716" spans="3:9">
      <c r="C716" s="142" t="s">
        <v>1213</v>
      </c>
      <c r="D716" s="60" t="s">
        <v>1214</v>
      </c>
      <c r="E716" s="74"/>
      <c r="F716" s="74"/>
      <c r="G716" s="74"/>
      <c r="H716" s="147"/>
    </row>
    <row r="717" spans="3:9">
      <c r="C717" s="143">
        <v>1</v>
      </c>
      <c r="D717" s="60" t="s">
        <v>5</v>
      </c>
      <c r="E717" s="73" t="s">
        <v>6</v>
      </c>
      <c r="F717" s="94">
        <v>6.25E-2</v>
      </c>
      <c r="G717" s="65">
        <f>VLOOKUP(D717,upahbahan,3,FALSE)</f>
        <v>100000</v>
      </c>
      <c r="H717" s="125">
        <f t="shared" ref="H717:H720" si="72">F717*G717</f>
        <v>6250</v>
      </c>
    </row>
    <row r="718" spans="3:9">
      <c r="C718" s="143">
        <v>2</v>
      </c>
      <c r="D718" s="60" t="s">
        <v>7</v>
      </c>
      <c r="E718" s="73" t="s">
        <v>6</v>
      </c>
      <c r="F718" s="94">
        <v>3.1300000000000001E-2</v>
      </c>
      <c r="G718" s="65">
        <f>VLOOKUP(D718,upahbahan,3,FALSE)</f>
        <v>145000</v>
      </c>
      <c r="H718" s="125">
        <f t="shared" si="72"/>
        <v>4538.5</v>
      </c>
    </row>
    <row r="719" spans="3:9">
      <c r="C719" s="143">
        <v>3</v>
      </c>
      <c r="D719" s="60" t="s">
        <v>18</v>
      </c>
      <c r="E719" s="73" t="s">
        <v>6</v>
      </c>
      <c r="F719" s="94">
        <v>3.0999999999999999E-3</v>
      </c>
      <c r="G719" s="65">
        <f>VLOOKUP(D719,upahbahan,3,FALSE)</f>
        <v>150000</v>
      </c>
      <c r="H719" s="125">
        <f t="shared" si="72"/>
        <v>465</v>
      </c>
    </row>
    <row r="720" spans="3:9">
      <c r="C720" s="143">
        <v>4</v>
      </c>
      <c r="D720" s="60" t="s">
        <v>19</v>
      </c>
      <c r="E720" s="73" t="s">
        <v>6</v>
      </c>
      <c r="F720" s="94">
        <v>1E-3</v>
      </c>
      <c r="G720" s="65">
        <f>VLOOKUP(D720,upahbahan,3,FALSE)</f>
        <v>145000</v>
      </c>
      <c r="H720" s="125">
        <f t="shared" si="72"/>
        <v>145</v>
      </c>
    </row>
    <row r="721" spans="3:9">
      <c r="C721" s="145" t="s">
        <v>1220</v>
      </c>
      <c r="D721" s="81"/>
      <c r="E721" s="81"/>
      <c r="F721" s="220"/>
      <c r="G721" s="221"/>
      <c r="H721" s="125">
        <f>SUM(H717:H720)</f>
        <v>11398.5</v>
      </c>
      <c r="I721" s="223"/>
    </row>
    <row r="722" spans="3:9">
      <c r="C722" s="142" t="s">
        <v>1221</v>
      </c>
      <c r="D722" s="60" t="s">
        <v>1222</v>
      </c>
      <c r="E722" s="74"/>
      <c r="F722" s="74"/>
      <c r="G722" s="74"/>
      <c r="H722" s="147"/>
    </row>
    <row r="723" spans="3:9">
      <c r="C723" s="201" t="s">
        <v>1215</v>
      </c>
      <c r="D723" s="78" t="s">
        <v>481</v>
      </c>
      <c r="E723" s="73" t="s">
        <v>44</v>
      </c>
      <c r="F723" s="75">
        <v>3.5</v>
      </c>
      <c r="G723" s="65">
        <f>VLOOKUP(D723,upahbahan,3,FALSE)</f>
        <v>2000</v>
      </c>
      <c r="H723" s="125">
        <f t="shared" ref="H723:H726" si="73">F723*G723</f>
        <v>7000</v>
      </c>
    </row>
    <row r="724" spans="3:9">
      <c r="C724" s="201" t="s">
        <v>1216</v>
      </c>
      <c r="D724" s="60" t="s">
        <v>568</v>
      </c>
      <c r="E724" s="73" t="s">
        <v>66</v>
      </c>
      <c r="F724" s="75">
        <v>1.704</v>
      </c>
      <c r="G724" s="65">
        <f>VLOOKUP(D724,upahbahan,3,FALSE)</f>
        <v>1300</v>
      </c>
      <c r="H724" s="125">
        <f t="shared" si="73"/>
        <v>2215.1999999999998</v>
      </c>
    </row>
    <row r="725" spans="3:9">
      <c r="C725" s="201" t="s">
        <v>1217</v>
      </c>
      <c r="D725" s="60" t="s">
        <v>571</v>
      </c>
      <c r="E725" s="73" t="s">
        <v>66</v>
      </c>
      <c r="F725" s="75">
        <v>0.188</v>
      </c>
      <c r="G725" s="65">
        <f>VLOOKUP(D725,upahbahan,3,FALSE)</f>
        <v>7800</v>
      </c>
      <c r="H725" s="125">
        <f t="shared" si="73"/>
        <v>1466.4</v>
      </c>
    </row>
    <row r="726" spans="3:9">
      <c r="C726" s="201" t="s">
        <v>1218</v>
      </c>
      <c r="D726" s="78" t="s">
        <v>86</v>
      </c>
      <c r="E726" s="73" t="s">
        <v>42</v>
      </c>
      <c r="F726" s="75">
        <v>3.0000000000000001E-3</v>
      </c>
      <c r="G726" s="65">
        <f>VLOOKUP(D726,upahbahan,3,FALSE)</f>
        <v>275000</v>
      </c>
      <c r="H726" s="125">
        <f t="shared" si="73"/>
        <v>825</v>
      </c>
    </row>
    <row r="727" spans="3:9">
      <c r="C727" s="145" t="s">
        <v>1226</v>
      </c>
      <c r="D727" s="81"/>
      <c r="E727" s="81"/>
      <c r="F727" s="81"/>
      <c r="G727" s="163"/>
      <c r="H727" s="125">
        <f>SUM(H723:H726)</f>
        <v>11506.6</v>
      </c>
    </row>
    <row r="728" spans="3:9">
      <c r="C728" s="153" t="s">
        <v>1227</v>
      </c>
      <c r="D728" s="60" t="s">
        <v>1228</v>
      </c>
      <c r="E728" s="74"/>
      <c r="F728" s="74"/>
      <c r="G728" s="74"/>
      <c r="H728" s="147"/>
    </row>
    <row r="729" spans="3:9">
      <c r="C729" s="145" t="s">
        <v>1229</v>
      </c>
      <c r="D729" s="81"/>
      <c r="E729" s="81"/>
      <c r="F729" s="81"/>
      <c r="G729" s="163"/>
      <c r="H729" s="154">
        <v>0</v>
      </c>
    </row>
    <row r="730" spans="3:9">
      <c r="C730" s="123" t="s">
        <v>1230</v>
      </c>
      <c r="D730" s="70" t="s">
        <v>1231</v>
      </c>
      <c r="E730" s="71"/>
      <c r="F730" s="71"/>
      <c r="G730" s="72"/>
      <c r="H730" s="125">
        <f>H729+H727+H721</f>
        <v>22905.1</v>
      </c>
    </row>
    <row r="731" spans="3:9">
      <c r="C731" s="123" t="s">
        <v>1232</v>
      </c>
      <c r="D731" s="70" t="s">
        <v>1410</v>
      </c>
      <c r="E731" s="71"/>
      <c r="F731" s="72"/>
      <c r="G731" s="96">
        <f>$M$7</f>
        <v>0.1</v>
      </c>
      <c r="H731" s="125">
        <f>H730*G731</f>
        <v>2290.5099999999998</v>
      </c>
    </row>
    <row r="732" spans="3:9" ht="15.75" thickBot="1">
      <c r="C732" s="131" t="s">
        <v>1233</v>
      </c>
      <c r="D732" s="132" t="s">
        <v>1234</v>
      </c>
      <c r="E732" s="133"/>
      <c r="F732" s="133"/>
      <c r="G732" s="156"/>
      <c r="H732" s="135">
        <f>SUM(H730:H731)</f>
        <v>25195.609999999997</v>
      </c>
    </row>
    <row r="733" spans="3:9" ht="15.75" thickTop="1">
      <c r="C733" s="58"/>
      <c r="D733" s="82"/>
      <c r="E733" s="82"/>
      <c r="F733" s="82"/>
      <c r="G733" s="82"/>
      <c r="H733" s="83"/>
    </row>
    <row r="734" spans="3:9" ht="15.75" thickBot="1">
      <c r="C734" s="237" t="s">
        <v>1579</v>
      </c>
      <c r="D734" s="237"/>
      <c r="E734" s="237"/>
      <c r="F734" s="237"/>
      <c r="G734" s="237"/>
      <c r="H734" s="237"/>
      <c r="I734" s="57">
        <f>ROUNDDOWN(H752,-2)</f>
        <v>26900</v>
      </c>
    </row>
    <row r="735" spans="3:9" ht="29.25" thickTop="1">
      <c r="C735" s="120" t="s">
        <v>1207</v>
      </c>
      <c r="D735" s="121" t="s">
        <v>1208</v>
      </c>
      <c r="E735" s="121" t="s">
        <v>1209</v>
      </c>
      <c r="F735" s="121" t="s">
        <v>1210</v>
      </c>
      <c r="G735" s="121" t="s">
        <v>1211</v>
      </c>
      <c r="H735" s="122" t="s">
        <v>1212</v>
      </c>
    </row>
    <row r="736" spans="3:9">
      <c r="C736" s="142" t="s">
        <v>1213</v>
      </c>
      <c r="D736" s="60" t="s">
        <v>1214</v>
      </c>
      <c r="E736" s="74"/>
      <c r="F736" s="74"/>
      <c r="G736" s="74"/>
      <c r="H736" s="147"/>
    </row>
    <row r="737" spans="3:9">
      <c r="C737" s="143">
        <v>1</v>
      </c>
      <c r="D737" s="60" t="s">
        <v>5</v>
      </c>
      <c r="E737" s="73" t="s">
        <v>6</v>
      </c>
      <c r="F737" s="184">
        <v>6.6699999999999995E-2</v>
      </c>
      <c r="G737" s="65">
        <f>VLOOKUP(D737,upahbahan,3,FALSE)</f>
        <v>100000</v>
      </c>
      <c r="H737" s="125">
        <f t="shared" ref="H737:H740" si="74">F737*G737</f>
        <v>6669.9999999999991</v>
      </c>
    </row>
    <row r="738" spans="3:9">
      <c r="C738" s="143">
        <v>2</v>
      </c>
      <c r="D738" s="60" t="s">
        <v>7</v>
      </c>
      <c r="E738" s="73" t="s">
        <v>6</v>
      </c>
      <c r="F738" s="184">
        <v>3.3300000000000003E-2</v>
      </c>
      <c r="G738" s="65">
        <f>VLOOKUP(D738,upahbahan,3,FALSE)</f>
        <v>145000</v>
      </c>
      <c r="H738" s="125">
        <f t="shared" si="74"/>
        <v>4828.5000000000009</v>
      </c>
    </row>
    <row r="739" spans="3:9">
      <c r="C739" s="143">
        <v>3</v>
      </c>
      <c r="D739" s="60" t="s">
        <v>18</v>
      </c>
      <c r="E739" s="73" t="s">
        <v>6</v>
      </c>
      <c r="F739" s="184">
        <v>3.3E-3</v>
      </c>
      <c r="G739" s="65">
        <f>VLOOKUP(D739,upahbahan,3,FALSE)</f>
        <v>150000</v>
      </c>
      <c r="H739" s="125">
        <f t="shared" si="74"/>
        <v>495</v>
      </c>
    </row>
    <row r="740" spans="3:9">
      <c r="C740" s="143">
        <v>4</v>
      </c>
      <c r="D740" s="60" t="s">
        <v>19</v>
      </c>
      <c r="E740" s="73" t="s">
        <v>6</v>
      </c>
      <c r="F740" s="184">
        <v>1.1000000000000001E-3</v>
      </c>
      <c r="G740" s="65">
        <f>VLOOKUP(D740,upahbahan,3,FALSE)</f>
        <v>145000</v>
      </c>
      <c r="H740" s="125">
        <f t="shared" si="74"/>
        <v>159.5</v>
      </c>
    </row>
    <row r="741" spans="3:9">
      <c r="C741" s="145" t="s">
        <v>1220</v>
      </c>
      <c r="D741" s="81"/>
      <c r="E741" s="81"/>
      <c r="F741" s="220"/>
      <c r="G741" s="221"/>
      <c r="H741" s="125">
        <f>SUM(H737:H740)</f>
        <v>12153</v>
      </c>
      <c r="I741" s="223"/>
    </row>
    <row r="742" spans="3:9">
      <c r="C742" s="142" t="s">
        <v>1221</v>
      </c>
      <c r="D742" s="60" t="s">
        <v>1222</v>
      </c>
      <c r="E742" s="74"/>
      <c r="F742" s="74"/>
      <c r="G742" s="74"/>
      <c r="H742" s="147"/>
    </row>
    <row r="743" spans="3:9">
      <c r="C743" s="201" t="s">
        <v>1215</v>
      </c>
      <c r="D743" s="78" t="s">
        <v>482</v>
      </c>
      <c r="E743" s="73" t="s">
        <v>44</v>
      </c>
      <c r="F743" s="184">
        <v>2.625</v>
      </c>
      <c r="G743" s="65">
        <f>VLOOKUP(D743,upahbahan,3,FALSE)</f>
        <v>3000</v>
      </c>
      <c r="H743" s="125">
        <f t="shared" ref="H743:H746" si="75">F743*G743</f>
        <v>7875</v>
      </c>
    </row>
    <row r="744" spans="3:9">
      <c r="C744" s="201" t="s">
        <v>1216</v>
      </c>
      <c r="D744" s="60" t="s">
        <v>568</v>
      </c>
      <c r="E744" s="73" t="s">
        <v>66</v>
      </c>
      <c r="F744" s="75">
        <v>1.704</v>
      </c>
      <c r="G744" s="65">
        <f>VLOOKUP(D744,upahbahan,3,FALSE)</f>
        <v>1300</v>
      </c>
      <c r="H744" s="125">
        <f t="shared" si="75"/>
        <v>2215.1999999999998</v>
      </c>
    </row>
    <row r="745" spans="3:9">
      <c r="C745" s="201" t="s">
        <v>1217</v>
      </c>
      <c r="D745" s="60" t="s">
        <v>571</v>
      </c>
      <c r="E745" s="73" t="s">
        <v>66</v>
      </c>
      <c r="F745" s="75">
        <v>0.188</v>
      </c>
      <c r="G745" s="65">
        <f>VLOOKUP(D745,upahbahan,3,FALSE)</f>
        <v>7800</v>
      </c>
      <c r="H745" s="125">
        <f t="shared" si="75"/>
        <v>1466.4</v>
      </c>
    </row>
    <row r="746" spans="3:9">
      <c r="C746" s="201" t="s">
        <v>1218</v>
      </c>
      <c r="D746" s="78" t="s">
        <v>86</v>
      </c>
      <c r="E746" s="73" t="s">
        <v>42</v>
      </c>
      <c r="F746" s="75">
        <v>3.0000000000000001E-3</v>
      </c>
      <c r="G746" s="65">
        <f>VLOOKUP(D746,upahbahan,3,FALSE)</f>
        <v>275000</v>
      </c>
      <c r="H746" s="125">
        <f t="shared" si="75"/>
        <v>825</v>
      </c>
    </row>
    <row r="747" spans="3:9">
      <c r="C747" s="145" t="s">
        <v>1226</v>
      </c>
      <c r="D747" s="81"/>
      <c r="E747" s="81"/>
      <c r="F747" s="81"/>
      <c r="G747" s="163"/>
      <c r="H747" s="125">
        <f>SUM(H743:H746)</f>
        <v>12381.6</v>
      </c>
    </row>
    <row r="748" spans="3:9">
      <c r="C748" s="153" t="s">
        <v>1227</v>
      </c>
      <c r="D748" s="60" t="s">
        <v>1228</v>
      </c>
      <c r="E748" s="74"/>
      <c r="F748" s="74"/>
      <c r="G748" s="74"/>
      <c r="H748" s="147"/>
    </row>
    <row r="749" spans="3:9">
      <c r="C749" s="145" t="s">
        <v>1229</v>
      </c>
      <c r="D749" s="81"/>
      <c r="E749" s="81"/>
      <c r="F749" s="81"/>
      <c r="G749" s="163"/>
      <c r="H749" s="154">
        <v>0</v>
      </c>
    </row>
    <row r="750" spans="3:9">
      <c r="C750" s="123" t="s">
        <v>1230</v>
      </c>
      <c r="D750" s="70" t="s">
        <v>1231</v>
      </c>
      <c r="E750" s="71"/>
      <c r="F750" s="71"/>
      <c r="G750" s="72"/>
      <c r="H750" s="125">
        <f>H749+H747+H741</f>
        <v>24534.6</v>
      </c>
    </row>
    <row r="751" spans="3:9">
      <c r="C751" s="123" t="s">
        <v>1232</v>
      </c>
      <c r="D751" s="70" t="s">
        <v>1410</v>
      </c>
      <c r="E751" s="71"/>
      <c r="F751" s="72"/>
      <c r="G751" s="96">
        <f>$M$7</f>
        <v>0.1</v>
      </c>
      <c r="H751" s="125">
        <f>H750*G751</f>
        <v>2453.46</v>
      </c>
    </row>
    <row r="752" spans="3:9" ht="15.75" thickBot="1">
      <c r="C752" s="131" t="s">
        <v>1233</v>
      </c>
      <c r="D752" s="132" t="s">
        <v>1234</v>
      </c>
      <c r="E752" s="133"/>
      <c r="F752" s="133"/>
      <c r="G752" s="156"/>
      <c r="H752" s="135">
        <f>SUM(H750:H751)</f>
        <v>26988.059999999998</v>
      </c>
    </row>
    <row r="753" spans="3:9" ht="15.75" thickTop="1">
      <c r="C753" s="58"/>
      <c r="D753" s="82"/>
      <c r="E753" s="82"/>
      <c r="F753" s="82"/>
      <c r="G753" s="82"/>
      <c r="H753" s="83"/>
    </row>
    <row r="754" spans="3:9" ht="15.75" thickBot="1">
      <c r="C754" s="237" t="s">
        <v>1580</v>
      </c>
      <c r="D754" s="237"/>
      <c r="E754" s="237"/>
      <c r="F754" s="237"/>
      <c r="G754" s="237"/>
      <c r="H754" s="237"/>
      <c r="I754" s="57">
        <f>ROUNDDOWN(H772,-2)</f>
        <v>26900</v>
      </c>
    </row>
    <row r="755" spans="3:9" ht="29.25" thickTop="1">
      <c r="C755" s="120" t="s">
        <v>1207</v>
      </c>
      <c r="D755" s="121" t="s">
        <v>1208</v>
      </c>
      <c r="E755" s="121" t="s">
        <v>1209</v>
      </c>
      <c r="F755" s="121" t="s">
        <v>1210</v>
      </c>
      <c r="G755" s="121" t="s">
        <v>1211</v>
      </c>
      <c r="H755" s="122" t="s">
        <v>1212</v>
      </c>
    </row>
    <row r="756" spans="3:9">
      <c r="C756" s="142" t="s">
        <v>1213</v>
      </c>
      <c r="D756" s="60" t="s">
        <v>1214</v>
      </c>
      <c r="E756" s="74"/>
      <c r="F756" s="74"/>
      <c r="G756" s="74"/>
      <c r="H756" s="147"/>
    </row>
    <row r="757" spans="3:9">
      <c r="C757" s="143">
        <v>1</v>
      </c>
      <c r="D757" s="60" t="s">
        <v>5</v>
      </c>
      <c r="E757" s="73" t="s">
        <v>6</v>
      </c>
      <c r="F757" s="184">
        <v>7.1400000000000005E-2</v>
      </c>
      <c r="G757" s="65">
        <f>VLOOKUP(D757,upahbahan,3,FALSE)</f>
        <v>100000</v>
      </c>
      <c r="H757" s="125">
        <f t="shared" ref="H757:H760" si="76">F757*G757</f>
        <v>7140.0000000000009</v>
      </c>
    </row>
    <row r="758" spans="3:9">
      <c r="C758" s="143">
        <v>2</v>
      </c>
      <c r="D758" s="60" t="s">
        <v>7</v>
      </c>
      <c r="E758" s="73" t="s">
        <v>6</v>
      </c>
      <c r="F758" s="184">
        <v>3.5700000000000003E-2</v>
      </c>
      <c r="G758" s="65">
        <f>VLOOKUP(D758,upahbahan,3,FALSE)</f>
        <v>145000</v>
      </c>
      <c r="H758" s="125">
        <f t="shared" si="76"/>
        <v>5176.5</v>
      </c>
    </row>
    <row r="759" spans="3:9">
      <c r="C759" s="143">
        <v>3</v>
      </c>
      <c r="D759" s="60" t="s">
        <v>18</v>
      </c>
      <c r="E759" s="73" t="s">
        <v>6</v>
      </c>
      <c r="F759" s="184">
        <v>3.5999999999999999E-3</v>
      </c>
      <c r="G759" s="65">
        <f>VLOOKUP(D759,upahbahan,3,FALSE)</f>
        <v>150000</v>
      </c>
      <c r="H759" s="125">
        <f t="shared" si="76"/>
        <v>540</v>
      </c>
    </row>
    <row r="760" spans="3:9">
      <c r="C760" s="143">
        <v>4</v>
      </c>
      <c r="D760" s="60" t="s">
        <v>19</v>
      </c>
      <c r="E760" s="73" t="s">
        <v>6</v>
      </c>
      <c r="F760" s="184">
        <v>1.1999999999999999E-3</v>
      </c>
      <c r="G760" s="65">
        <f>VLOOKUP(D760,upahbahan,3,FALSE)</f>
        <v>145000</v>
      </c>
      <c r="H760" s="125">
        <f t="shared" si="76"/>
        <v>173.99999999999997</v>
      </c>
    </row>
    <row r="761" spans="3:9">
      <c r="C761" s="145" t="s">
        <v>1220</v>
      </c>
      <c r="D761" s="81"/>
      <c r="E761" s="81"/>
      <c r="F761" s="220"/>
      <c r="G761" s="221"/>
      <c r="H761" s="125">
        <f>SUM(H757:H760)</f>
        <v>13030.5</v>
      </c>
      <c r="I761" s="223"/>
    </row>
    <row r="762" spans="3:9">
      <c r="C762" s="142" t="s">
        <v>1221</v>
      </c>
      <c r="D762" s="60" t="s">
        <v>1222</v>
      </c>
      <c r="E762" s="74"/>
      <c r="F762" s="74"/>
      <c r="G762" s="74"/>
      <c r="H762" s="147"/>
    </row>
    <row r="763" spans="3:9">
      <c r="C763" s="201" t="s">
        <v>1215</v>
      </c>
      <c r="D763" s="78" t="s">
        <v>483</v>
      </c>
      <c r="E763" s="73" t="s">
        <v>44</v>
      </c>
      <c r="F763" s="75">
        <v>1.75</v>
      </c>
      <c r="G763" s="65">
        <f>VLOOKUP(D763,upahbahan,3,FALSE)</f>
        <v>4000</v>
      </c>
      <c r="H763" s="125">
        <f t="shared" ref="H763:H766" si="77">F763*G763</f>
        <v>7000</v>
      </c>
    </row>
    <row r="764" spans="3:9">
      <c r="C764" s="201" t="s">
        <v>1216</v>
      </c>
      <c r="D764" s="60" t="s">
        <v>568</v>
      </c>
      <c r="E764" s="73" t="s">
        <v>66</v>
      </c>
      <c r="F764" s="75">
        <v>1.704</v>
      </c>
      <c r="G764" s="65">
        <f>VLOOKUP(D764,upahbahan,3,FALSE)</f>
        <v>1300</v>
      </c>
      <c r="H764" s="125">
        <f t="shared" si="77"/>
        <v>2215.1999999999998</v>
      </c>
    </row>
    <row r="765" spans="3:9">
      <c r="C765" s="201" t="s">
        <v>1217</v>
      </c>
      <c r="D765" s="60" t="s">
        <v>571</v>
      </c>
      <c r="E765" s="73" t="s">
        <v>66</v>
      </c>
      <c r="F765" s="75">
        <v>0.188</v>
      </c>
      <c r="G765" s="65">
        <f>VLOOKUP(D765,upahbahan,3,FALSE)</f>
        <v>7800</v>
      </c>
      <c r="H765" s="125">
        <f t="shared" si="77"/>
        <v>1466.4</v>
      </c>
    </row>
    <row r="766" spans="3:9">
      <c r="C766" s="201" t="s">
        <v>1218</v>
      </c>
      <c r="D766" s="78" t="s">
        <v>86</v>
      </c>
      <c r="E766" s="73" t="s">
        <v>42</v>
      </c>
      <c r="F766" s="75">
        <v>3.0000000000000001E-3</v>
      </c>
      <c r="G766" s="65">
        <f>VLOOKUP(D766,upahbahan,3,FALSE)</f>
        <v>275000</v>
      </c>
      <c r="H766" s="125">
        <f t="shared" si="77"/>
        <v>825</v>
      </c>
    </row>
    <row r="767" spans="3:9">
      <c r="C767" s="145" t="s">
        <v>1226</v>
      </c>
      <c r="D767" s="81"/>
      <c r="E767" s="81"/>
      <c r="F767" s="81"/>
      <c r="G767" s="163"/>
      <c r="H767" s="125">
        <f>SUM(H763:H766)</f>
        <v>11506.6</v>
      </c>
    </row>
    <row r="768" spans="3:9">
      <c r="C768" s="153" t="s">
        <v>1227</v>
      </c>
      <c r="D768" s="60" t="s">
        <v>1228</v>
      </c>
      <c r="E768" s="74"/>
      <c r="F768" s="74"/>
      <c r="G768" s="74"/>
      <c r="H768" s="147"/>
    </row>
    <row r="769" spans="3:9">
      <c r="C769" s="145" t="s">
        <v>1229</v>
      </c>
      <c r="D769" s="81"/>
      <c r="E769" s="81"/>
      <c r="F769" s="81"/>
      <c r="G769" s="163"/>
      <c r="H769" s="154">
        <v>0</v>
      </c>
    </row>
    <row r="770" spans="3:9">
      <c r="C770" s="123" t="s">
        <v>1230</v>
      </c>
      <c r="D770" s="70" t="s">
        <v>1231</v>
      </c>
      <c r="E770" s="71"/>
      <c r="F770" s="71"/>
      <c r="G770" s="72"/>
      <c r="H770" s="125">
        <f>H769+H767+H761</f>
        <v>24537.1</v>
      </c>
    </row>
    <row r="771" spans="3:9">
      <c r="C771" s="123" t="s">
        <v>1232</v>
      </c>
      <c r="D771" s="70" t="s">
        <v>1410</v>
      </c>
      <c r="E771" s="71"/>
      <c r="F771" s="72"/>
      <c r="G771" s="96">
        <f>$M$7</f>
        <v>0.1</v>
      </c>
      <c r="H771" s="125">
        <f>H770*G771</f>
        <v>2453.71</v>
      </c>
    </row>
    <row r="772" spans="3:9" ht="15.75" thickBot="1">
      <c r="C772" s="131" t="s">
        <v>1233</v>
      </c>
      <c r="D772" s="132" t="s">
        <v>1234</v>
      </c>
      <c r="E772" s="133"/>
      <c r="F772" s="133"/>
      <c r="G772" s="156"/>
      <c r="H772" s="135">
        <f>SUM(H770:H771)</f>
        <v>26990.809999999998</v>
      </c>
    </row>
    <row r="773" spans="3:9" ht="15.75" thickTop="1">
      <c r="C773" s="58"/>
      <c r="D773" s="82"/>
      <c r="E773" s="82"/>
      <c r="F773" s="82"/>
      <c r="G773" s="82"/>
      <c r="H773" s="83"/>
    </row>
    <row r="774" spans="3:9" ht="15.75" thickBot="1">
      <c r="C774" s="237" t="s">
        <v>1581</v>
      </c>
      <c r="D774" s="226"/>
      <c r="E774" s="226"/>
      <c r="F774" s="226"/>
      <c r="G774" s="226"/>
      <c r="H774" s="226"/>
      <c r="I774" s="57">
        <f>ROUNDDOWN(H792,-2)</f>
        <v>27100</v>
      </c>
    </row>
    <row r="775" spans="3:9" ht="29.25" thickTop="1">
      <c r="C775" s="120" t="s">
        <v>1207</v>
      </c>
      <c r="D775" s="121" t="s">
        <v>1208</v>
      </c>
      <c r="E775" s="121" t="s">
        <v>1209</v>
      </c>
      <c r="F775" s="121" t="s">
        <v>1210</v>
      </c>
      <c r="G775" s="121" t="s">
        <v>1211</v>
      </c>
      <c r="H775" s="122" t="s">
        <v>1212</v>
      </c>
    </row>
    <row r="776" spans="3:9">
      <c r="C776" s="142" t="s">
        <v>1213</v>
      </c>
      <c r="D776" s="60" t="s">
        <v>1214</v>
      </c>
      <c r="E776" s="74"/>
      <c r="F776" s="74"/>
      <c r="G776" s="74"/>
      <c r="H776" s="147"/>
    </row>
    <row r="777" spans="3:9">
      <c r="C777" s="143">
        <v>1</v>
      </c>
      <c r="D777" s="60" t="s">
        <v>5</v>
      </c>
      <c r="E777" s="73" t="s">
        <v>6</v>
      </c>
      <c r="F777" s="94">
        <v>6.25E-2</v>
      </c>
      <c r="G777" s="65">
        <f>VLOOKUP(D777,upahbahan,3,FALSE)</f>
        <v>100000</v>
      </c>
      <c r="H777" s="125">
        <f t="shared" ref="H777:H780" si="78">F777*G777</f>
        <v>6250</v>
      </c>
    </row>
    <row r="778" spans="3:9">
      <c r="C778" s="143">
        <v>2</v>
      </c>
      <c r="D778" s="60" t="s">
        <v>7</v>
      </c>
      <c r="E778" s="73" t="s">
        <v>6</v>
      </c>
      <c r="F778" s="94">
        <v>3.1300000000000001E-2</v>
      </c>
      <c r="G778" s="65">
        <f>VLOOKUP(D778,upahbahan,3,FALSE)</f>
        <v>145000</v>
      </c>
      <c r="H778" s="125">
        <f t="shared" si="78"/>
        <v>4538.5</v>
      </c>
    </row>
    <row r="779" spans="3:9">
      <c r="C779" s="143">
        <v>3</v>
      </c>
      <c r="D779" s="60" t="s">
        <v>18</v>
      </c>
      <c r="E779" s="73" t="s">
        <v>6</v>
      </c>
      <c r="F779" s="94">
        <v>3.0999999999999999E-3</v>
      </c>
      <c r="G779" s="65">
        <f>VLOOKUP(D779,upahbahan,3,FALSE)</f>
        <v>150000</v>
      </c>
      <c r="H779" s="125">
        <f t="shared" si="78"/>
        <v>465</v>
      </c>
    </row>
    <row r="780" spans="3:9">
      <c r="C780" s="143">
        <v>4</v>
      </c>
      <c r="D780" s="60" t="s">
        <v>19</v>
      </c>
      <c r="E780" s="73" t="s">
        <v>6</v>
      </c>
      <c r="F780" s="94">
        <v>1E-3</v>
      </c>
      <c r="G780" s="65">
        <f>VLOOKUP(D780,upahbahan,3,FALSE)</f>
        <v>145000</v>
      </c>
      <c r="H780" s="125">
        <f t="shared" si="78"/>
        <v>145</v>
      </c>
    </row>
    <row r="781" spans="3:9">
      <c r="C781" s="145" t="s">
        <v>1220</v>
      </c>
      <c r="D781" s="81"/>
      <c r="E781" s="81"/>
      <c r="F781" s="220"/>
      <c r="G781" s="221"/>
      <c r="H781" s="125">
        <f>SUM(H777:H780)</f>
        <v>11398.5</v>
      </c>
      <c r="I781" s="223"/>
    </row>
    <row r="782" spans="3:9">
      <c r="C782" s="142" t="s">
        <v>1221</v>
      </c>
      <c r="D782" s="60" t="s">
        <v>1222</v>
      </c>
      <c r="E782" s="74"/>
      <c r="F782" s="74"/>
      <c r="G782" s="74"/>
      <c r="H782" s="147"/>
    </row>
    <row r="783" spans="3:9">
      <c r="C783" s="201" t="s">
        <v>1215</v>
      </c>
      <c r="D783" s="78" t="s">
        <v>484</v>
      </c>
      <c r="E783" s="73" t="s">
        <v>44</v>
      </c>
      <c r="F783" s="75">
        <v>3.5</v>
      </c>
      <c r="G783" s="65">
        <f>VLOOKUP(D783,upahbahan,3,FALSE)</f>
        <v>2500</v>
      </c>
      <c r="H783" s="125">
        <f t="shared" ref="H783:H786" si="79">F783*G783</f>
        <v>8750</v>
      </c>
    </row>
    <row r="784" spans="3:9">
      <c r="C784" s="201" t="s">
        <v>1216</v>
      </c>
      <c r="D784" s="60" t="s">
        <v>568</v>
      </c>
      <c r="E784" s="73" t="s">
        <v>66</v>
      </c>
      <c r="F784" s="75">
        <v>1.704</v>
      </c>
      <c r="G784" s="65">
        <f>VLOOKUP(D784,upahbahan,3,FALSE)</f>
        <v>1300</v>
      </c>
      <c r="H784" s="125">
        <f t="shared" si="79"/>
        <v>2215.1999999999998</v>
      </c>
    </row>
    <row r="785" spans="3:9">
      <c r="C785" s="201" t="s">
        <v>1217</v>
      </c>
      <c r="D785" s="60" t="s">
        <v>571</v>
      </c>
      <c r="E785" s="73" t="s">
        <v>66</v>
      </c>
      <c r="F785" s="75">
        <v>0.188</v>
      </c>
      <c r="G785" s="65">
        <f>VLOOKUP(D785,upahbahan,3,FALSE)</f>
        <v>7800</v>
      </c>
      <c r="H785" s="125">
        <f t="shared" si="79"/>
        <v>1466.4</v>
      </c>
    </row>
    <row r="786" spans="3:9">
      <c r="C786" s="201" t="s">
        <v>1218</v>
      </c>
      <c r="D786" s="78" t="s">
        <v>86</v>
      </c>
      <c r="E786" s="73" t="s">
        <v>42</v>
      </c>
      <c r="F786" s="75">
        <v>3.0000000000000001E-3</v>
      </c>
      <c r="G786" s="65">
        <f>VLOOKUP(D786,upahbahan,3,FALSE)</f>
        <v>275000</v>
      </c>
      <c r="H786" s="125">
        <f t="shared" si="79"/>
        <v>825</v>
      </c>
    </row>
    <row r="787" spans="3:9">
      <c r="C787" s="145" t="s">
        <v>1226</v>
      </c>
      <c r="D787" s="81"/>
      <c r="E787" s="81"/>
      <c r="F787" s="81"/>
      <c r="G787" s="163"/>
      <c r="H787" s="125">
        <f>SUM(H783:H786)</f>
        <v>13256.6</v>
      </c>
    </row>
    <row r="788" spans="3:9">
      <c r="C788" s="153" t="s">
        <v>1227</v>
      </c>
      <c r="D788" s="60" t="s">
        <v>1228</v>
      </c>
      <c r="E788" s="74"/>
      <c r="F788" s="74"/>
      <c r="G788" s="74"/>
      <c r="H788" s="147"/>
    </row>
    <row r="789" spans="3:9">
      <c r="C789" s="145" t="s">
        <v>1229</v>
      </c>
      <c r="D789" s="81"/>
      <c r="E789" s="81"/>
      <c r="F789" s="81"/>
      <c r="G789" s="163"/>
      <c r="H789" s="154">
        <v>0</v>
      </c>
    </row>
    <row r="790" spans="3:9">
      <c r="C790" s="123" t="s">
        <v>1230</v>
      </c>
      <c r="D790" s="70" t="s">
        <v>1231</v>
      </c>
      <c r="E790" s="71"/>
      <c r="F790" s="71"/>
      <c r="G790" s="72"/>
      <c r="H790" s="125">
        <f>H789+H787+H781</f>
        <v>24655.1</v>
      </c>
    </row>
    <row r="791" spans="3:9">
      <c r="C791" s="123" t="s">
        <v>1232</v>
      </c>
      <c r="D791" s="70" t="s">
        <v>1410</v>
      </c>
      <c r="E791" s="71"/>
      <c r="F791" s="72"/>
      <c r="G791" s="96">
        <f>$M$7</f>
        <v>0.1</v>
      </c>
      <c r="H791" s="125">
        <f>H790*G791</f>
        <v>2465.5100000000002</v>
      </c>
    </row>
    <row r="792" spans="3:9" ht="15.75" thickBot="1">
      <c r="C792" s="131" t="s">
        <v>1233</v>
      </c>
      <c r="D792" s="132" t="s">
        <v>1234</v>
      </c>
      <c r="E792" s="133"/>
      <c r="F792" s="133"/>
      <c r="G792" s="156"/>
      <c r="H792" s="135">
        <f>SUM(H790:H791)</f>
        <v>27120.61</v>
      </c>
    </row>
    <row r="793" spans="3:9" ht="15.75" thickTop="1">
      <c r="C793" s="58"/>
      <c r="D793" s="82"/>
      <c r="E793" s="82"/>
      <c r="F793" s="82"/>
      <c r="G793" s="82"/>
      <c r="H793" s="83"/>
    </row>
    <row r="794" spans="3:9" ht="15.75" thickBot="1">
      <c r="C794" s="237" t="s">
        <v>1582</v>
      </c>
      <c r="D794" s="237"/>
      <c r="E794" s="237"/>
      <c r="F794" s="237"/>
      <c r="G794" s="237"/>
      <c r="H794" s="237"/>
      <c r="I794" s="57">
        <f>ROUNDDOWN(H812,-2)</f>
        <v>26900</v>
      </c>
    </row>
    <row r="795" spans="3:9" ht="29.25" thickTop="1">
      <c r="C795" s="120" t="s">
        <v>1207</v>
      </c>
      <c r="D795" s="121" t="s">
        <v>1208</v>
      </c>
      <c r="E795" s="121" t="s">
        <v>1209</v>
      </c>
      <c r="F795" s="121" t="s">
        <v>1210</v>
      </c>
      <c r="G795" s="121" t="s">
        <v>1211</v>
      </c>
      <c r="H795" s="122" t="s">
        <v>1212</v>
      </c>
    </row>
    <row r="796" spans="3:9">
      <c r="C796" s="142" t="s">
        <v>1213</v>
      </c>
      <c r="D796" s="60" t="s">
        <v>1214</v>
      </c>
      <c r="E796" s="74"/>
      <c r="F796" s="74"/>
      <c r="G796" s="74"/>
      <c r="H796" s="147"/>
    </row>
    <row r="797" spans="3:9">
      <c r="C797" s="143">
        <v>1</v>
      </c>
      <c r="D797" s="60" t="s">
        <v>5</v>
      </c>
      <c r="E797" s="73" t="s">
        <v>6</v>
      </c>
      <c r="F797" s="184">
        <v>6.6699999999999995E-2</v>
      </c>
      <c r="G797" s="65">
        <f>VLOOKUP(D797,upahbahan,3,FALSE)</f>
        <v>100000</v>
      </c>
      <c r="H797" s="125">
        <f t="shared" ref="H797:H800" si="80">F797*G797</f>
        <v>6669.9999999999991</v>
      </c>
    </row>
    <row r="798" spans="3:9">
      <c r="C798" s="143">
        <v>2</v>
      </c>
      <c r="D798" s="60" t="s">
        <v>7</v>
      </c>
      <c r="E798" s="73" t="s">
        <v>6</v>
      </c>
      <c r="F798" s="184">
        <v>3.3300000000000003E-2</v>
      </c>
      <c r="G798" s="65">
        <f>VLOOKUP(D798,upahbahan,3,FALSE)</f>
        <v>145000</v>
      </c>
      <c r="H798" s="125">
        <f t="shared" si="80"/>
        <v>4828.5000000000009</v>
      </c>
    </row>
    <row r="799" spans="3:9">
      <c r="C799" s="143">
        <v>3</v>
      </c>
      <c r="D799" s="60" t="s">
        <v>18</v>
      </c>
      <c r="E799" s="73" t="s">
        <v>6</v>
      </c>
      <c r="F799" s="184">
        <v>3.3E-3</v>
      </c>
      <c r="G799" s="65">
        <f>VLOOKUP(D799,upahbahan,3,FALSE)</f>
        <v>150000</v>
      </c>
      <c r="H799" s="125">
        <f t="shared" si="80"/>
        <v>495</v>
      </c>
    </row>
    <row r="800" spans="3:9">
      <c r="C800" s="143">
        <v>4</v>
      </c>
      <c r="D800" s="60" t="s">
        <v>19</v>
      </c>
      <c r="E800" s="73" t="s">
        <v>6</v>
      </c>
      <c r="F800" s="184">
        <v>1.1000000000000001E-3</v>
      </c>
      <c r="G800" s="65">
        <f>VLOOKUP(D800,upahbahan,3,FALSE)</f>
        <v>145000</v>
      </c>
      <c r="H800" s="125">
        <f t="shared" si="80"/>
        <v>159.5</v>
      </c>
    </row>
    <row r="801" spans="3:9">
      <c r="C801" s="145" t="s">
        <v>1220</v>
      </c>
      <c r="D801" s="81"/>
      <c r="E801" s="81"/>
      <c r="F801" s="220"/>
      <c r="G801" s="221"/>
      <c r="H801" s="125">
        <f>SUM(H797:H800)</f>
        <v>12153</v>
      </c>
      <c r="I801" s="223"/>
    </row>
    <row r="802" spans="3:9">
      <c r="C802" s="142" t="s">
        <v>1221</v>
      </c>
      <c r="D802" s="60" t="s">
        <v>1222</v>
      </c>
      <c r="E802" s="74"/>
      <c r="F802" s="74"/>
      <c r="G802" s="74"/>
      <c r="H802" s="147"/>
    </row>
    <row r="803" spans="3:9">
      <c r="C803" s="201" t="s">
        <v>1215</v>
      </c>
      <c r="D803" s="78" t="s">
        <v>485</v>
      </c>
      <c r="E803" s="73" t="s">
        <v>44</v>
      </c>
      <c r="F803" s="184">
        <v>2.625</v>
      </c>
      <c r="G803" s="65">
        <f>VLOOKUP(D803,upahbahan,3,FALSE)</f>
        <v>3000</v>
      </c>
      <c r="H803" s="125">
        <f t="shared" ref="H803:H806" si="81">F803*G803</f>
        <v>7875</v>
      </c>
    </row>
    <row r="804" spans="3:9">
      <c r="C804" s="201" t="s">
        <v>1216</v>
      </c>
      <c r="D804" s="60" t="s">
        <v>568</v>
      </c>
      <c r="E804" s="73" t="s">
        <v>66</v>
      </c>
      <c r="F804" s="75">
        <v>1.704</v>
      </c>
      <c r="G804" s="65">
        <f>VLOOKUP(D804,upahbahan,3,FALSE)</f>
        <v>1300</v>
      </c>
      <c r="H804" s="125">
        <f t="shared" si="81"/>
        <v>2215.1999999999998</v>
      </c>
    </row>
    <row r="805" spans="3:9">
      <c r="C805" s="201" t="s">
        <v>1217</v>
      </c>
      <c r="D805" s="60" t="s">
        <v>571</v>
      </c>
      <c r="E805" s="73" t="s">
        <v>66</v>
      </c>
      <c r="F805" s="75">
        <v>0.188</v>
      </c>
      <c r="G805" s="65">
        <f>VLOOKUP(D805,upahbahan,3,FALSE)</f>
        <v>7800</v>
      </c>
      <c r="H805" s="125">
        <f t="shared" si="81"/>
        <v>1466.4</v>
      </c>
    </row>
    <row r="806" spans="3:9">
      <c r="C806" s="201" t="s">
        <v>1218</v>
      </c>
      <c r="D806" s="78" t="s">
        <v>86</v>
      </c>
      <c r="E806" s="73" t="s">
        <v>42</v>
      </c>
      <c r="F806" s="75">
        <v>3.0000000000000001E-3</v>
      </c>
      <c r="G806" s="65">
        <f>VLOOKUP(D806,upahbahan,3,FALSE)</f>
        <v>275000</v>
      </c>
      <c r="H806" s="125">
        <f t="shared" si="81"/>
        <v>825</v>
      </c>
    </row>
    <row r="807" spans="3:9">
      <c r="C807" s="145" t="s">
        <v>1226</v>
      </c>
      <c r="D807" s="81"/>
      <c r="E807" s="81"/>
      <c r="F807" s="81"/>
      <c r="G807" s="163"/>
      <c r="H807" s="125">
        <f>SUM(H803:H806)</f>
        <v>12381.6</v>
      </c>
    </row>
    <row r="808" spans="3:9">
      <c r="C808" s="153" t="s">
        <v>1227</v>
      </c>
      <c r="D808" s="60" t="s">
        <v>1228</v>
      </c>
      <c r="E808" s="74"/>
      <c r="F808" s="74"/>
      <c r="G808" s="74"/>
      <c r="H808" s="147"/>
    </row>
    <row r="809" spans="3:9">
      <c r="C809" s="145" t="s">
        <v>1229</v>
      </c>
      <c r="D809" s="81"/>
      <c r="E809" s="81"/>
      <c r="F809" s="81"/>
      <c r="G809" s="163"/>
      <c r="H809" s="154">
        <v>0</v>
      </c>
    </row>
    <row r="810" spans="3:9">
      <c r="C810" s="123" t="s">
        <v>1230</v>
      </c>
      <c r="D810" s="70" t="s">
        <v>1231</v>
      </c>
      <c r="E810" s="71"/>
      <c r="F810" s="71"/>
      <c r="G810" s="72"/>
      <c r="H810" s="125">
        <f>H809+H807+H801</f>
        <v>24534.6</v>
      </c>
    </row>
    <row r="811" spans="3:9">
      <c r="C811" s="123" t="s">
        <v>1232</v>
      </c>
      <c r="D811" s="70" t="s">
        <v>1410</v>
      </c>
      <c r="E811" s="71"/>
      <c r="F811" s="72"/>
      <c r="G811" s="96">
        <f>$M$7</f>
        <v>0.1</v>
      </c>
      <c r="H811" s="125">
        <f>H810*G811</f>
        <v>2453.46</v>
      </c>
    </row>
    <row r="812" spans="3:9" ht="15.75" thickBot="1">
      <c r="C812" s="131" t="s">
        <v>1233</v>
      </c>
      <c r="D812" s="132" t="s">
        <v>1234</v>
      </c>
      <c r="E812" s="133"/>
      <c r="F812" s="133"/>
      <c r="G812" s="156"/>
      <c r="H812" s="135">
        <f>SUM(H810:H811)</f>
        <v>26988.059999999998</v>
      </c>
    </row>
    <row r="813" spans="3:9" ht="15.75" thickTop="1">
      <c r="C813" s="58"/>
      <c r="D813" s="82"/>
      <c r="E813" s="82"/>
      <c r="F813" s="82"/>
      <c r="G813" s="82"/>
      <c r="H813" s="83"/>
    </row>
    <row r="814" spans="3:9" ht="15.75" thickBot="1">
      <c r="C814" s="237" t="s">
        <v>1583</v>
      </c>
      <c r="D814" s="237"/>
      <c r="E814" s="237"/>
      <c r="F814" s="237"/>
      <c r="G814" s="237"/>
      <c r="H814" s="237"/>
      <c r="I814" s="57">
        <f>ROUNDDOWN(H832,-2)</f>
        <v>26900</v>
      </c>
    </row>
    <row r="815" spans="3:9" ht="29.25" thickTop="1">
      <c r="C815" s="120" t="s">
        <v>1207</v>
      </c>
      <c r="D815" s="121" t="s">
        <v>1208</v>
      </c>
      <c r="E815" s="121" t="s">
        <v>1209</v>
      </c>
      <c r="F815" s="121" t="s">
        <v>1210</v>
      </c>
      <c r="G815" s="121" t="s">
        <v>1211</v>
      </c>
      <c r="H815" s="122" t="s">
        <v>1212</v>
      </c>
    </row>
    <row r="816" spans="3:9">
      <c r="C816" s="142" t="s">
        <v>1213</v>
      </c>
      <c r="D816" s="60" t="s">
        <v>1214</v>
      </c>
      <c r="E816" s="74"/>
      <c r="F816" s="74"/>
      <c r="G816" s="74"/>
      <c r="H816" s="147"/>
    </row>
    <row r="817" spans="3:9">
      <c r="C817" s="143">
        <v>1</v>
      </c>
      <c r="D817" s="60" t="s">
        <v>5</v>
      </c>
      <c r="E817" s="73" t="s">
        <v>6</v>
      </c>
      <c r="F817" s="184">
        <v>7.1400000000000005E-2</v>
      </c>
      <c r="G817" s="65">
        <f>VLOOKUP(D817,upahbahan,3,FALSE)</f>
        <v>100000</v>
      </c>
      <c r="H817" s="125">
        <f t="shared" ref="H817:H820" si="82">F817*G817</f>
        <v>7140.0000000000009</v>
      </c>
    </row>
    <row r="818" spans="3:9">
      <c r="C818" s="143">
        <v>2</v>
      </c>
      <c r="D818" s="60" t="s">
        <v>7</v>
      </c>
      <c r="E818" s="73" t="s">
        <v>6</v>
      </c>
      <c r="F818" s="184">
        <v>3.5700000000000003E-2</v>
      </c>
      <c r="G818" s="65">
        <f>VLOOKUP(D818,upahbahan,3,FALSE)</f>
        <v>145000</v>
      </c>
      <c r="H818" s="125">
        <f t="shared" si="82"/>
        <v>5176.5</v>
      </c>
    </row>
    <row r="819" spans="3:9">
      <c r="C819" s="143">
        <v>3</v>
      </c>
      <c r="D819" s="60" t="s">
        <v>18</v>
      </c>
      <c r="E819" s="73" t="s">
        <v>6</v>
      </c>
      <c r="F819" s="184">
        <v>3.5999999999999999E-3</v>
      </c>
      <c r="G819" s="65">
        <f>VLOOKUP(D819,upahbahan,3,FALSE)</f>
        <v>150000</v>
      </c>
      <c r="H819" s="125">
        <f t="shared" si="82"/>
        <v>540</v>
      </c>
    </row>
    <row r="820" spans="3:9">
      <c r="C820" s="143">
        <v>4</v>
      </c>
      <c r="D820" s="60" t="s">
        <v>19</v>
      </c>
      <c r="E820" s="73" t="s">
        <v>6</v>
      </c>
      <c r="F820" s="184">
        <v>1.1999999999999999E-3</v>
      </c>
      <c r="G820" s="65">
        <f>VLOOKUP(D820,upahbahan,3,FALSE)</f>
        <v>145000</v>
      </c>
      <c r="H820" s="125">
        <f t="shared" si="82"/>
        <v>173.99999999999997</v>
      </c>
    </row>
    <row r="821" spans="3:9">
      <c r="C821" s="145" t="s">
        <v>1220</v>
      </c>
      <c r="D821" s="81"/>
      <c r="E821" s="81"/>
      <c r="F821" s="220"/>
      <c r="G821" s="221"/>
      <c r="H821" s="125">
        <f>SUM(H817:H820)</f>
        <v>13030.5</v>
      </c>
      <c r="I821" s="223"/>
    </row>
    <row r="822" spans="3:9">
      <c r="C822" s="142" t="s">
        <v>1221</v>
      </c>
      <c r="D822" s="60" t="s">
        <v>1222</v>
      </c>
      <c r="E822" s="74"/>
      <c r="F822" s="74"/>
      <c r="G822" s="74"/>
      <c r="H822" s="147"/>
    </row>
    <row r="823" spans="3:9">
      <c r="C823" s="201" t="s">
        <v>1215</v>
      </c>
      <c r="D823" s="78" t="s">
        <v>486</v>
      </c>
      <c r="E823" s="73" t="s">
        <v>44</v>
      </c>
      <c r="F823" s="75">
        <v>1.75</v>
      </c>
      <c r="G823" s="65">
        <f>VLOOKUP(D823,upahbahan,3,FALSE)</f>
        <v>4000</v>
      </c>
      <c r="H823" s="125">
        <f t="shared" ref="H823:H826" si="83">F823*G823</f>
        <v>7000</v>
      </c>
    </row>
    <row r="824" spans="3:9">
      <c r="C824" s="201" t="s">
        <v>1216</v>
      </c>
      <c r="D824" s="60" t="s">
        <v>568</v>
      </c>
      <c r="E824" s="73" t="s">
        <v>66</v>
      </c>
      <c r="F824" s="75">
        <v>1.704</v>
      </c>
      <c r="G824" s="65">
        <f>VLOOKUP(D824,upahbahan,3,FALSE)</f>
        <v>1300</v>
      </c>
      <c r="H824" s="125">
        <f t="shared" si="83"/>
        <v>2215.1999999999998</v>
      </c>
    </row>
    <row r="825" spans="3:9">
      <c r="C825" s="201" t="s">
        <v>1217</v>
      </c>
      <c r="D825" s="60" t="s">
        <v>571</v>
      </c>
      <c r="E825" s="73" t="s">
        <v>66</v>
      </c>
      <c r="F825" s="75">
        <v>0.188</v>
      </c>
      <c r="G825" s="65">
        <f>VLOOKUP(D825,upahbahan,3,FALSE)</f>
        <v>7800</v>
      </c>
      <c r="H825" s="125">
        <f t="shared" si="83"/>
        <v>1466.4</v>
      </c>
    </row>
    <row r="826" spans="3:9">
      <c r="C826" s="201" t="s">
        <v>1218</v>
      </c>
      <c r="D826" s="78" t="s">
        <v>86</v>
      </c>
      <c r="E826" s="73" t="s">
        <v>42</v>
      </c>
      <c r="F826" s="75">
        <v>3.0000000000000001E-3</v>
      </c>
      <c r="G826" s="65">
        <f>VLOOKUP(D826,upahbahan,3,FALSE)</f>
        <v>275000</v>
      </c>
      <c r="H826" s="125">
        <f t="shared" si="83"/>
        <v>825</v>
      </c>
    </row>
    <row r="827" spans="3:9">
      <c r="C827" s="145" t="s">
        <v>1226</v>
      </c>
      <c r="D827" s="81"/>
      <c r="E827" s="81"/>
      <c r="F827" s="81"/>
      <c r="G827" s="163"/>
      <c r="H827" s="125">
        <f>SUM(H823:H826)</f>
        <v>11506.6</v>
      </c>
    </row>
    <row r="828" spans="3:9">
      <c r="C828" s="153" t="s">
        <v>1227</v>
      </c>
      <c r="D828" s="60" t="s">
        <v>1228</v>
      </c>
      <c r="E828" s="74"/>
      <c r="F828" s="74"/>
      <c r="G828" s="74"/>
      <c r="H828" s="147"/>
    </row>
    <row r="829" spans="3:9">
      <c r="C829" s="145" t="s">
        <v>1229</v>
      </c>
      <c r="D829" s="81"/>
      <c r="E829" s="81"/>
      <c r="F829" s="81"/>
      <c r="G829" s="163"/>
      <c r="H829" s="154">
        <v>0</v>
      </c>
    </row>
    <row r="830" spans="3:9">
      <c r="C830" s="123" t="s">
        <v>1230</v>
      </c>
      <c r="D830" s="70" t="s">
        <v>1231</v>
      </c>
      <c r="E830" s="71"/>
      <c r="F830" s="71"/>
      <c r="G830" s="72"/>
      <c r="H830" s="125">
        <f>H829+H827+H821</f>
        <v>24537.1</v>
      </c>
    </row>
    <row r="831" spans="3:9">
      <c r="C831" s="123" t="s">
        <v>1232</v>
      </c>
      <c r="D831" s="70" t="s">
        <v>1410</v>
      </c>
      <c r="E831" s="71"/>
      <c r="F831" s="72"/>
      <c r="G831" s="96">
        <f>$M$7</f>
        <v>0.1</v>
      </c>
      <c r="H831" s="125">
        <f>H830*G831</f>
        <v>2453.71</v>
      </c>
    </row>
    <row r="832" spans="3:9" ht="15.75" thickBot="1">
      <c r="C832" s="131" t="s">
        <v>1233</v>
      </c>
      <c r="D832" s="132" t="s">
        <v>1234</v>
      </c>
      <c r="E832" s="133"/>
      <c r="F832" s="133"/>
      <c r="G832" s="156"/>
      <c r="H832" s="135">
        <f>SUM(H830:H831)</f>
        <v>26990.809999999998</v>
      </c>
    </row>
    <row r="833" spans="3:9" ht="15.75" thickTop="1">
      <c r="C833" s="58"/>
      <c r="D833" s="82"/>
      <c r="E833" s="82"/>
      <c r="F833" s="82"/>
      <c r="G833" s="82"/>
      <c r="H833" s="83"/>
    </row>
    <row r="834" spans="3:9" ht="15.75" thickBot="1">
      <c r="C834" s="237" t="s">
        <v>1584</v>
      </c>
      <c r="D834" s="237"/>
      <c r="E834" s="237"/>
      <c r="F834" s="237"/>
      <c r="G834" s="237"/>
      <c r="H834" s="237"/>
      <c r="I834" s="57">
        <f>ROUNDDOWN(H852,-2)</f>
        <v>287900</v>
      </c>
    </row>
    <row r="835" spans="3:9" ht="29.25" thickTop="1">
      <c r="C835" s="120" t="s">
        <v>1207</v>
      </c>
      <c r="D835" s="121" t="s">
        <v>1208</v>
      </c>
      <c r="E835" s="121" t="s">
        <v>1209</v>
      </c>
      <c r="F835" s="121" t="s">
        <v>1210</v>
      </c>
      <c r="G835" s="121" t="s">
        <v>1211</v>
      </c>
      <c r="H835" s="122" t="s">
        <v>1212</v>
      </c>
    </row>
    <row r="836" spans="3:9">
      <c r="C836" s="142" t="s">
        <v>1213</v>
      </c>
      <c r="D836" s="60" t="s">
        <v>1214</v>
      </c>
      <c r="E836" s="74"/>
      <c r="F836" s="74"/>
      <c r="G836" s="74"/>
      <c r="H836" s="147"/>
    </row>
    <row r="837" spans="3:9">
      <c r="C837" s="143">
        <v>1</v>
      </c>
      <c r="D837" s="60" t="s">
        <v>5</v>
      </c>
      <c r="E837" s="73" t="s">
        <v>6</v>
      </c>
      <c r="F837" s="184">
        <v>0.33329999999999999</v>
      </c>
      <c r="G837" s="65">
        <f>VLOOKUP(D837,upahbahan,3,FALSE)</f>
        <v>100000</v>
      </c>
      <c r="H837" s="125">
        <f t="shared" ref="H837:H840" si="84">F837*G837</f>
        <v>33330</v>
      </c>
    </row>
    <row r="838" spans="3:9">
      <c r="C838" s="143">
        <v>2</v>
      </c>
      <c r="D838" s="60" t="s">
        <v>7</v>
      </c>
      <c r="E838" s="73" t="s">
        <v>6</v>
      </c>
      <c r="F838" s="184">
        <v>0.16669999999999999</v>
      </c>
      <c r="G838" s="65">
        <f>VLOOKUP(D838,upahbahan,3,FALSE)</f>
        <v>145000</v>
      </c>
      <c r="H838" s="125">
        <f t="shared" si="84"/>
        <v>24171.499999999996</v>
      </c>
    </row>
    <row r="839" spans="3:9">
      <c r="C839" s="143">
        <v>3</v>
      </c>
      <c r="D839" s="60" t="s">
        <v>18</v>
      </c>
      <c r="E839" s="73" t="s">
        <v>6</v>
      </c>
      <c r="F839" s="184">
        <v>1.67E-2</v>
      </c>
      <c r="G839" s="65">
        <f>VLOOKUP(D839,upahbahan,3,FALSE)</f>
        <v>150000</v>
      </c>
      <c r="H839" s="125">
        <f t="shared" si="84"/>
        <v>2505</v>
      </c>
    </row>
    <row r="840" spans="3:9">
      <c r="C840" s="143">
        <v>4</v>
      </c>
      <c r="D840" s="60" t="s">
        <v>19</v>
      </c>
      <c r="E840" s="73" t="s">
        <v>6</v>
      </c>
      <c r="F840" s="184">
        <v>5.5999999999999999E-3</v>
      </c>
      <c r="G840" s="65">
        <f>VLOOKUP(D840,upahbahan,3,FALSE)</f>
        <v>145000</v>
      </c>
      <c r="H840" s="125">
        <f t="shared" si="84"/>
        <v>812</v>
      </c>
    </row>
    <row r="841" spans="3:9">
      <c r="C841" s="145" t="s">
        <v>1220</v>
      </c>
      <c r="D841" s="81"/>
      <c r="E841" s="81"/>
      <c r="F841" s="220"/>
      <c r="G841" s="221"/>
      <c r="H841" s="125">
        <f>SUM(H837:H840)</f>
        <v>60818.5</v>
      </c>
      <c r="I841" s="223"/>
    </row>
    <row r="842" spans="3:9">
      <c r="C842" s="142" t="s">
        <v>1221</v>
      </c>
      <c r="D842" s="60" t="s">
        <v>1222</v>
      </c>
      <c r="E842" s="74"/>
      <c r="F842" s="74"/>
      <c r="G842" s="74"/>
      <c r="H842" s="147"/>
    </row>
    <row r="843" spans="3:9">
      <c r="C843" s="201" t="s">
        <v>1215</v>
      </c>
      <c r="D843" s="78" t="s">
        <v>440</v>
      </c>
      <c r="E843" s="73" t="s">
        <v>44</v>
      </c>
      <c r="F843" s="184">
        <v>164.06299999999999</v>
      </c>
      <c r="G843" s="65">
        <f>VLOOKUP(D843,upahbahan,3,FALSE)</f>
        <v>1000</v>
      </c>
      <c r="H843" s="125">
        <f t="shared" ref="H843:H846" si="85">F843*G843</f>
        <v>164063</v>
      </c>
    </row>
    <row r="844" spans="3:9">
      <c r="C844" s="201" t="s">
        <v>1216</v>
      </c>
      <c r="D844" s="60" t="s">
        <v>568</v>
      </c>
      <c r="E844" s="73" t="s">
        <v>66</v>
      </c>
      <c r="F844" s="75">
        <v>13.632</v>
      </c>
      <c r="G844" s="65">
        <f>VLOOKUP(D844,upahbahan,3,FALSE)</f>
        <v>1300</v>
      </c>
      <c r="H844" s="125">
        <f t="shared" si="85"/>
        <v>17721.599999999999</v>
      </c>
    </row>
    <row r="845" spans="3:9">
      <c r="C845" s="201" t="s">
        <v>1217</v>
      </c>
      <c r="D845" s="60" t="s">
        <v>571</v>
      </c>
      <c r="E845" s="73" t="s">
        <v>66</v>
      </c>
      <c r="F845" s="75">
        <v>1.5</v>
      </c>
      <c r="G845" s="65">
        <f>VLOOKUP(D845,upahbahan,3,FALSE)</f>
        <v>7800</v>
      </c>
      <c r="H845" s="125">
        <f t="shared" si="85"/>
        <v>11700</v>
      </c>
    </row>
    <row r="846" spans="3:9">
      <c r="C846" s="201" t="s">
        <v>1218</v>
      </c>
      <c r="D846" s="78" t="s">
        <v>86</v>
      </c>
      <c r="E846" s="73" t="s">
        <v>42</v>
      </c>
      <c r="F846" s="75">
        <v>2.7E-2</v>
      </c>
      <c r="G846" s="65">
        <f>VLOOKUP(D846,upahbahan,3,FALSE)</f>
        <v>275000</v>
      </c>
      <c r="H846" s="125">
        <f t="shared" si="85"/>
        <v>7425</v>
      </c>
    </row>
    <row r="847" spans="3:9">
      <c r="C847" s="145" t="s">
        <v>1226</v>
      </c>
      <c r="D847" s="81"/>
      <c r="E847" s="81"/>
      <c r="F847" s="81"/>
      <c r="G847" s="163"/>
      <c r="H847" s="125">
        <f>SUM(H843:H846)</f>
        <v>200909.6</v>
      </c>
    </row>
    <row r="848" spans="3:9">
      <c r="C848" s="153" t="s">
        <v>1227</v>
      </c>
      <c r="D848" s="60" t="s">
        <v>1228</v>
      </c>
      <c r="E848" s="74"/>
      <c r="F848" s="74"/>
      <c r="G848" s="74"/>
      <c r="H848" s="147"/>
    </row>
    <row r="849" spans="3:9">
      <c r="C849" s="145" t="s">
        <v>1229</v>
      </c>
      <c r="D849" s="81"/>
      <c r="E849" s="81"/>
      <c r="F849" s="81"/>
      <c r="G849" s="163"/>
      <c r="H849" s="154">
        <v>0</v>
      </c>
    </row>
    <row r="850" spans="3:9">
      <c r="C850" s="123" t="s">
        <v>1230</v>
      </c>
      <c r="D850" s="70" t="s">
        <v>1231</v>
      </c>
      <c r="E850" s="71"/>
      <c r="F850" s="71"/>
      <c r="G850" s="72"/>
      <c r="H850" s="125">
        <f>H849+H847+H841</f>
        <v>261728.1</v>
      </c>
    </row>
    <row r="851" spans="3:9">
      <c r="C851" s="123" t="s">
        <v>1232</v>
      </c>
      <c r="D851" s="70" t="s">
        <v>1410</v>
      </c>
      <c r="E851" s="71"/>
      <c r="F851" s="72"/>
      <c r="G851" s="96">
        <f>$M$7</f>
        <v>0.1</v>
      </c>
      <c r="H851" s="125">
        <f>H850*G851</f>
        <v>26172.81</v>
      </c>
    </row>
    <row r="852" spans="3:9" ht="15.75" thickBot="1">
      <c r="C852" s="131" t="s">
        <v>1233</v>
      </c>
      <c r="D852" s="132" t="s">
        <v>1234</v>
      </c>
      <c r="E852" s="133"/>
      <c r="F852" s="133"/>
      <c r="G852" s="156"/>
      <c r="H852" s="135">
        <f>SUM(H850:H851)</f>
        <v>287900.91000000003</v>
      </c>
    </row>
    <row r="853" spans="3:9" ht="15.75" thickTop="1">
      <c r="C853" s="58"/>
      <c r="D853" s="82"/>
      <c r="E853" s="82"/>
      <c r="F853" s="82"/>
      <c r="G853" s="82"/>
      <c r="H853" s="83"/>
    </row>
    <row r="854" spans="3:9" ht="15.75" thickBot="1">
      <c r="C854" s="237" t="s">
        <v>1585</v>
      </c>
      <c r="D854" s="237"/>
      <c r="E854" s="237"/>
      <c r="F854" s="237"/>
      <c r="G854" s="237"/>
      <c r="H854" s="237"/>
      <c r="I854" s="57">
        <f>ROUNDDOWN(H872,-2)</f>
        <v>280600</v>
      </c>
    </row>
    <row r="855" spans="3:9" ht="29.25" thickTop="1">
      <c r="C855" s="120" t="s">
        <v>1207</v>
      </c>
      <c r="D855" s="121" t="s">
        <v>1208</v>
      </c>
      <c r="E855" s="121" t="s">
        <v>1209</v>
      </c>
      <c r="F855" s="121" t="s">
        <v>1210</v>
      </c>
      <c r="G855" s="121" t="s">
        <v>1211</v>
      </c>
      <c r="H855" s="122" t="s">
        <v>1212</v>
      </c>
    </row>
    <row r="856" spans="3:9">
      <c r="C856" s="142" t="s">
        <v>1213</v>
      </c>
      <c r="D856" s="60" t="s">
        <v>1214</v>
      </c>
      <c r="E856" s="74"/>
      <c r="F856" s="74"/>
      <c r="G856" s="74"/>
      <c r="H856" s="147"/>
    </row>
    <row r="857" spans="3:9">
      <c r="C857" s="143">
        <v>1</v>
      </c>
      <c r="D857" s="60" t="s">
        <v>5</v>
      </c>
      <c r="E857" s="73" t="s">
        <v>6</v>
      </c>
      <c r="F857" s="184">
        <v>0.33329999999999999</v>
      </c>
      <c r="G857" s="65">
        <f>VLOOKUP(D857,upahbahan,3,FALSE)</f>
        <v>100000</v>
      </c>
      <c r="H857" s="125">
        <f t="shared" ref="H857:H860" si="86">F857*G857</f>
        <v>33330</v>
      </c>
    </row>
    <row r="858" spans="3:9">
      <c r="C858" s="143">
        <v>2</v>
      </c>
      <c r="D858" s="60" t="s">
        <v>7</v>
      </c>
      <c r="E858" s="73" t="s">
        <v>6</v>
      </c>
      <c r="F858" s="184">
        <v>0.16669999999999999</v>
      </c>
      <c r="G858" s="65">
        <f>VLOOKUP(D858,upahbahan,3,FALSE)</f>
        <v>145000</v>
      </c>
      <c r="H858" s="125">
        <f t="shared" si="86"/>
        <v>24171.499999999996</v>
      </c>
    </row>
    <row r="859" spans="3:9">
      <c r="C859" s="143">
        <v>3</v>
      </c>
      <c r="D859" s="60" t="s">
        <v>18</v>
      </c>
      <c r="E859" s="73" t="s">
        <v>6</v>
      </c>
      <c r="F859" s="184">
        <v>1.67E-2</v>
      </c>
      <c r="G859" s="65">
        <f>VLOOKUP(D859,upahbahan,3,FALSE)</f>
        <v>150000</v>
      </c>
      <c r="H859" s="125">
        <f t="shared" si="86"/>
        <v>2505</v>
      </c>
    </row>
    <row r="860" spans="3:9">
      <c r="C860" s="143">
        <v>4</v>
      </c>
      <c r="D860" s="60" t="s">
        <v>19</v>
      </c>
      <c r="E860" s="73" t="s">
        <v>6</v>
      </c>
      <c r="F860" s="184">
        <v>5.5999999999999999E-3</v>
      </c>
      <c r="G860" s="65">
        <f>VLOOKUP(D860,upahbahan,3,FALSE)</f>
        <v>145000</v>
      </c>
      <c r="H860" s="125">
        <f t="shared" si="86"/>
        <v>812</v>
      </c>
    </row>
    <row r="861" spans="3:9">
      <c r="C861" s="145" t="s">
        <v>1220</v>
      </c>
      <c r="D861" s="81"/>
      <c r="E861" s="81"/>
      <c r="F861" s="220"/>
      <c r="G861" s="221"/>
      <c r="H861" s="125">
        <f>SUM(H857:H860)</f>
        <v>60818.5</v>
      </c>
      <c r="I861" s="223"/>
    </row>
    <row r="862" spans="3:9">
      <c r="C862" s="142" t="s">
        <v>1221</v>
      </c>
      <c r="D862" s="60" t="s">
        <v>1222</v>
      </c>
      <c r="E862" s="74"/>
      <c r="F862" s="74"/>
      <c r="G862" s="74"/>
      <c r="H862" s="147"/>
    </row>
    <row r="863" spans="3:9">
      <c r="C863" s="201" t="s">
        <v>1215</v>
      </c>
      <c r="D863" s="78" t="s">
        <v>436</v>
      </c>
      <c r="E863" s="73" t="s">
        <v>44</v>
      </c>
      <c r="F863" s="230">
        <v>105</v>
      </c>
      <c r="G863" s="65">
        <f>VLOOKUP(D863,upahbahan,3,FALSE)</f>
        <v>1500</v>
      </c>
      <c r="H863" s="125">
        <f t="shared" ref="H863:H866" si="87">F863*G863</f>
        <v>157500</v>
      </c>
    </row>
    <row r="864" spans="3:9">
      <c r="C864" s="201" t="s">
        <v>1216</v>
      </c>
      <c r="D864" s="60" t="s">
        <v>568</v>
      </c>
      <c r="E864" s="73" t="s">
        <v>66</v>
      </c>
      <c r="F864" s="75">
        <v>13.632</v>
      </c>
      <c r="G864" s="65">
        <f>VLOOKUP(D864,upahbahan,3,FALSE)</f>
        <v>1300</v>
      </c>
      <c r="H864" s="125">
        <f t="shared" si="87"/>
        <v>17721.599999999999</v>
      </c>
    </row>
    <row r="865" spans="3:9">
      <c r="C865" s="201" t="s">
        <v>1217</v>
      </c>
      <c r="D865" s="60" t="s">
        <v>571</v>
      </c>
      <c r="E865" s="73" t="s">
        <v>66</v>
      </c>
      <c r="F865" s="75">
        <v>1.5</v>
      </c>
      <c r="G865" s="65">
        <f>VLOOKUP(D865,upahbahan,3,FALSE)</f>
        <v>7800</v>
      </c>
      <c r="H865" s="125">
        <f t="shared" si="87"/>
        <v>11700</v>
      </c>
    </row>
    <row r="866" spans="3:9">
      <c r="C866" s="201" t="s">
        <v>1218</v>
      </c>
      <c r="D866" s="78" t="s">
        <v>86</v>
      </c>
      <c r="E866" s="73" t="s">
        <v>42</v>
      </c>
      <c r="F866" s="75">
        <v>2.7E-2</v>
      </c>
      <c r="G866" s="65">
        <f>VLOOKUP(D866,upahbahan,3,FALSE)</f>
        <v>275000</v>
      </c>
      <c r="H866" s="125">
        <f t="shared" si="87"/>
        <v>7425</v>
      </c>
    </row>
    <row r="867" spans="3:9">
      <c r="C867" s="145" t="s">
        <v>1226</v>
      </c>
      <c r="D867" s="81"/>
      <c r="E867" s="81"/>
      <c r="F867" s="81"/>
      <c r="G867" s="163"/>
      <c r="H867" s="125">
        <f>SUM(H863:H866)</f>
        <v>194346.6</v>
      </c>
    </row>
    <row r="868" spans="3:9">
      <c r="C868" s="153" t="s">
        <v>1227</v>
      </c>
      <c r="D868" s="60" t="s">
        <v>1228</v>
      </c>
      <c r="E868" s="74"/>
      <c r="F868" s="74"/>
      <c r="G868" s="74"/>
      <c r="H868" s="147"/>
    </row>
    <row r="869" spans="3:9">
      <c r="C869" s="145" t="s">
        <v>1229</v>
      </c>
      <c r="D869" s="81"/>
      <c r="E869" s="81"/>
      <c r="F869" s="81"/>
      <c r="G869" s="163"/>
      <c r="H869" s="154">
        <v>0</v>
      </c>
    </row>
    <row r="870" spans="3:9">
      <c r="C870" s="123" t="s">
        <v>1230</v>
      </c>
      <c r="D870" s="70" t="s">
        <v>1231</v>
      </c>
      <c r="E870" s="71"/>
      <c r="F870" s="71"/>
      <c r="G870" s="72"/>
      <c r="H870" s="125">
        <f>H869+H867+H861</f>
        <v>255165.1</v>
      </c>
    </row>
    <row r="871" spans="3:9">
      <c r="C871" s="123" t="s">
        <v>1232</v>
      </c>
      <c r="D871" s="70" t="s">
        <v>1410</v>
      </c>
      <c r="E871" s="71"/>
      <c r="F871" s="72"/>
      <c r="G871" s="96">
        <f>$M$7</f>
        <v>0.1</v>
      </c>
      <c r="H871" s="125">
        <f>H870*G871</f>
        <v>25516.510000000002</v>
      </c>
    </row>
    <row r="872" spans="3:9" ht="15.75" thickBot="1">
      <c r="C872" s="131" t="s">
        <v>1233</v>
      </c>
      <c r="D872" s="132" t="s">
        <v>1234</v>
      </c>
      <c r="E872" s="133"/>
      <c r="F872" s="133"/>
      <c r="G872" s="156"/>
      <c r="H872" s="135">
        <f>SUM(H870:H871)</f>
        <v>280681.61</v>
      </c>
    </row>
    <row r="873" spans="3:9" ht="15.75" thickTop="1">
      <c r="C873" s="58"/>
      <c r="D873" s="82"/>
      <c r="E873" s="82"/>
      <c r="F873" s="82"/>
      <c r="G873" s="82"/>
      <c r="H873" s="83"/>
    </row>
    <row r="874" spans="3:9" ht="15.75" thickBot="1">
      <c r="C874" s="237" t="s">
        <v>1586</v>
      </c>
      <c r="D874" s="237"/>
      <c r="E874" s="237"/>
      <c r="F874" s="237"/>
      <c r="G874" s="237"/>
      <c r="H874" s="237"/>
      <c r="I874" s="57">
        <f>ROUNDDOWN(H892,-2)</f>
        <v>238700</v>
      </c>
    </row>
    <row r="875" spans="3:9" ht="29.25" thickTop="1">
      <c r="C875" s="120" t="s">
        <v>1207</v>
      </c>
      <c r="D875" s="121" t="s">
        <v>1208</v>
      </c>
      <c r="E875" s="121" t="s">
        <v>1209</v>
      </c>
      <c r="F875" s="121" t="s">
        <v>1210</v>
      </c>
      <c r="G875" s="121" t="s">
        <v>1211</v>
      </c>
      <c r="H875" s="122" t="s">
        <v>1212</v>
      </c>
    </row>
    <row r="876" spans="3:9">
      <c r="C876" s="142" t="s">
        <v>1213</v>
      </c>
      <c r="D876" s="60" t="s">
        <v>1214</v>
      </c>
      <c r="E876" s="74"/>
      <c r="F876" s="74"/>
      <c r="G876" s="74"/>
      <c r="H876" s="147"/>
    </row>
    <row r="877" spans="3:9">
      <c r="C877" s="143">
        <v>1</v>
      </c>
      <c r="D877" s="60" t="s">
        <v>5</v>
      </c>
      <c r="E877" s="73" t="s">
        <v>6</v>
      </c>
      <c r="F877" s="94">
        <v>0.7</v>
      </c>
      <c r="G877" s="65">
        <f>VLOOKUP(D877,upahbahan,3,FALSE)</f>
        <v>100000</v>
      </c>
      <c r="H877" s="125">
        <f t="shared" ref="H877:H880" si="88">F877*G877</f>
        <v>70000</v>
      </c>
    </row>
    <row r="878" spans="3:9">
      <c r="C878" s="143">
        <v>2</v>
      </c>
      <c r="D878" s="60" t="s">
        <v>7</v>
      </c>
      <c r="E878" s="73" t="s">
        <v>6</v>
      </c>
      <c r="F878" s="94">
        <v>0.35</v>
      </c>
      <c r="G878" s="65">
        <f>VLOOKUP(D878,upahbahan,3,FALSE)</f>
        <v>145000</v>
      </c>
      <c r="H878" s="125">
        <f t="shared" si="88"/>
        <v>50750</v>
      </c>
    </row>
    <row r="879" spans="3:9">
      <c r="C879" s="143">
        <v>3</v>
      </c>
      <c r="D879" s="60" t="s">
        <v>18</v>
      </c>
      <c r="E879" s="73" t="s">
        <v>6</v>
      </c>
      <c r="F879" s="94">
        <v>3.5000000000000003E-2</v>
      </c>
      <c r="G879" s="65">
        <f>VLOOKUP(D879,upahbahan,3,FALSE)</f>
        <v>150000</v>
      </c>
      <c r="H879" s="125">
        <f t="shared" si="88"/>
        <v>5250.0000000000009</v>
      </c>
    </row>
    <row r="880" spans="3:9">
      <c r="C880" s="143">
        <v>4</v>
      </c>
      <c r="D880" s="60" t="s">
        <v>19</v>
      </c>
      <c r="E880" s="73" t="s">
        <v>6</v>
      </c>
      <c r="F880" s="94">
        <v>1.17E-2</v>
      </c>
      <c r="G880" s="65">
        <f>VLOOKUP(D880,upahbahan,3,FALSE)</f>
        <v>145000</v>
      </c>
      <c r="H880" s="125">
        <f t="shared" si="88"/>
        <v>1696.5</v>
      </c>
    </row>
    <row r="881" spans="3:9">
      <c r="C881" s="145" t="s">
        <v>1220</v>
      </c>
      <c r="D881" s="81"/>
      <c r="E881" s="81"/>
      <c r="F881" s="220"/>
      <c r="G881" s="221"/>
      <c r="H881" s="125">
        <f>SUM(H877:H880)</f>
        <v>127696.5</v>
      </c>
      <c r="I881" s="223"/>
    </row>
    <row r="882" spans="3:9">
      <c r="C882" s="142" t="s">
        <v>1221</v>
      </c>
      <c r="D882" s="60" t="s">
        <v>1222</v>
      </c>
      <c r="E882" s="74"/>
      <c r="F882" s="74"/>
      <c r="G882" s="74"/>
      <c r="H882" s="147"/>
    </row>
    <row r="883" spans="3:9">
      <c r="C883" s="201" t="s">
        <v>1215</v>
      </c>
      <c r="D883" s="78" t="s">
        <v>437</v>
      </c>
      <c r="E883" s="73" t="s">
        <v>44</v>
      </c>
      <c r="F883" s="75">
        <v>26.25</v>
      </c>
      <c r="G883" s="65">
        <f>VLOOKUP(D883,upahbahan,3,FALSE)</f>
        <v>2000</v>
      </c>
      <c r="H883" s="125">
        <f t="shared" ref="H883:H886" si="89">F883*G883</f>
        <v>52500</v>
      </c>
    </row>
    <row r="884" spans="3:9">
      <c r="C884" s="201" t="s">
        <v>1216</v>
      </c>
      <c r="D884" s="60" t="s">
        <v>568</v>
      </c>
      <c r="E884" s="73" t="s">
        <v>66</v>
      </c>
      <c r="F884" s="75">
        <v>13.632</v>
      </c>
      <c r="G884" s="65">
        <f>VLOOKUP(D884,upahbahan,3,FALSE)</f>
        <v>1300</v>
      </c>
      <c r="H884" s="125">
        <f t="shared" si="89"/>
        <v>17721.599999999999</v>
      </c>
    </row>
    <row r="885" spans="3:9">
      <c r="C885" s="201" t="s">
        <v>1217</v>
      </c>
      <c r="D885" s="60" t="s">
        <v>571</v>
      </c>
      <c r="E885" s="73" t="s">
        <v>66</v>
      </c>
      <c r="F885" s="75">
        <v>1.5</v>
      </c>
      <c r="G885" s="65">
        <f>VLOOKUP(D885,upahbahan,3,FALSE)</f>
        <v>7800</v>
      </c>
      <c r="H885" s="125">
        <f t="shared" si="89"/>
        <v>11700</v>
      </c>
    </row>
    <row r="886" spans="3:9">
      <c r="C886" s="201" t="s">
        <v>1218</v>
      </c>
      <c r="D886" s="78" t="s">
        <v>86</v>
      </c>
      <c r="E886" s="73" t="s">
        <v>42</v>
      </c>
      <c r="F886" s="75">
        <v>2.7E-2</v>
      </c>
      <c r="G886" s="65">
        <f>VLOOKUP(D886,upahbahan,3,FALSE)</f>
        <v>275000</v>
      </c>
      <c r="H886" s="125">
        <f t="shared" si="89"/>
        <v>7425</v>
      </c>
    </row>
    <row r="887" spans="3:9">
      <c r="C887" s="145" t="s">
        <v>1226</v>
      </c>
      <c r="D887" s="81"/>
      <c r="E887" s="81"/>
      <c r="F887" s="81"/>
      <c r="G887" s="163"/>
      <c r="H887" s="125">
        <f>SUM(H883:H886)</f>
        <v>89346.6</v>
      </c>
    </row>
    <row r="888" spans="3:9">
      <c r="C888" s="153" t="s">
        <v>1227</v>
      </c>
      <c r="D888" s="60" t="s">
        <v>1228</v>
      </c>
      <c r="E888" s="74"/>
      <c r="F888" s="74"/>
      <c r="G888" s="74"/>
      <c r="H888" s="147"/>
    </row>
    <row r="889" spans="3:9">
      <c r="C889" s="145" t="s">
        <v>1229</v>
      </c>
      <c r="D889" s="81"/>
      <c r="E889" s="81"/>
      <c r="F889" s="81"/>
      <c r="G889" s="163"/>
      <c r="H889" s="154">
        <v>0</v>
      </c>
    </row>
    <row r="890" spans="3:9">
      <c r="C890" s="123" t="s">
        <v>1230</v>
      </c>
      <c r="D890" s="70" t="s">
        <v>1231</v>
      </c>
      <c r="E890" s="71"/>
      <c r="F890" s="71"/>
      <c r="G890" s="72"/>
      <c r="H890" s="125">
        <f>H889+H887+H881</f>
        <v>217043.1</v>
      </c>
    </row>
    <row r="891" spans="3:9">
      <c r="C891" s="123" t="s">
        <v>1232</v>
      </c>
      <c r="D891" s="70" t="s">
        <v>1410</v>
      </c>
      <c r="E891" s="71"/>
      <c r="F891" s="72"/>
      <c r="G891" s="96">
        <f>$M$7</f>
        <v>0.1</v>
      </c>
      <c r="H891" s="125">
        <f>H890*G891</f>
        <v>21704.31</v>
      </c>
    </row>
    <row r="892" spans="3:9" ht="15.75" thickBot="1">
      <c r="C892" s="131" t="s">
        <v>1233</v>
      </c>
      <c r="D892" s="132" t="s">
        <v>1234</v>
      </c>
      <c r="E892" s="133"/>
      <c r="F892" s="133"/>
      <c r="G892" s="156"/>
      <c r="H892" s="135">
        <f>SUM(H890:H891)</f>
        <v>238747.41</v>
      </c>
    </row>
    <row r="893" spans="3:9" ht="15.75" thickTop="1">
      <c r="C893" s="58"/>
      <c r="D893" s="82"/>
      <c r="E893" s="82"/>
      <c r="F893" s="82"/>
      <c r="G893" s="82"/>
      <c r="H893" s="83"/>
    </row>
    <row r="894" spans="3:9" ht="15.75" thickBot="1">
      <c r="C894" s="237" t="s">
        <v>1587</v>
      </c>
      <c r="D894" s="237"/>
      <c r="E894" s="237"/>
      <c r="F894" s="237"/>
      <c r="G894" s="237"/>
      <c r="H894" s="237"/>
      <c r="I894" s="57">
        <f>ROUNDDOWN(H912,-2)</f>
        <v>219400</v>
      </c>
    </row>
    <row r="895" spans="3:9" ht="29.25" thickTop="1">
      <c r="C895" s="120" t="s">
        <v>1207</v>
      </c>
      <c r="D895" s="121" t="s">
        <v>1208</v>
      </c>
      <c r="E895" s="121" t="s">
        <v>1209</v>
      </c>
      <c r="F895" s="121" t="s">
        <v>1210</v>
      </c>
      <c r="G895" s="121" t="s">
        <v>1211</v>
      </c>
      <c r="H895" s="122" t="s">
        <v>1212</v>
      </c>
    </row>
    <row r="896" spans="3:9">
      <c r="C896" s="142" t="s">
        <v>1213</v>
      </c>
      <c r="D896" s="60" t="s">
        <v>1214</v>
      </c>
      <c r="E896" s="74"/>
      <c r="F896" s="74"/>
      <c r="G896" s="74"/>
      <c r="H896" s="147"/>
    </row>
    <row r="897" spans="3:9">
      <c r="C897" s="143">
        <v>1</v>
      </c>
      <c r="D897" s="60" t="s">
        <v>5</v>
      </c>
      <c r="E897" s="73" t="s">
        <v>6</v>
      </c>
      <c r="F897" s="94">
        <v>0.7</v>
      </c>
      <c r="G897" s="65">
        <f>VLOOKUP(D897,upahbahan,3,FALSE)</f>
        <v>100000</v>
      </c>
      <c r="H897" s="125">
        <f t="shared" ref="H897:H900" si="90">F897*G897</f>
        <v>70000</v>
      </c>
    </row>
    <row r="898" spans="3:9">
      <c r="C898" s="143">
        <v>2</v>
      </c>
      <c r="D898" s="60" t="s">
        <v>7</v>
      </c>
      <c r="E898" s="73" t="s">
        <v>6</v>
      </c>
      <c r="F898" s="94">
        <v>0.35</v>
      </c>
      <c r="G898" s="65">
        <f>VLOOKUP(D898,upahbahan,3,FALSE)</f>
        <v>145000</v>
      </c>
      <c r="H898" s="125">
        <f t="shared" si="90"/>
        <v>50750</v>
      </c>
    </row>
    <row r="899" spans="3:9">
      <c r="C899" s="143">
        <v>3</v>
      </c>
      <c r="D899" s="60" t="s">
        <v>18</v>
      </c>
      <c r="E899" s="73" t="s">
        <v>6</v>
      </c>
      <c r="F899" s="94">
        <v>3.5000000000000003E-2</v>
      </c>
      <c r="G899" s="65">
        <f>VLOOKUP(D899,upahbahan,3,FALSE)</f>
        <v>150000</v>
      </c>
      <c r="H899" s="125">
        <f t="shared" si="90"/>
        <v>5250.0000000000009</v>
      </c>
    </row>
    <row r="900" spans="3:9">
      <c r="C900" s="143">
        <v>4</v>
      </c>
      <c r="D900" s="60" t="s">
        <v>19</v>
      </c>
      <c r="E900" s="73" t="s">
        <v>6</v>
      </c>
      <c r="F900" s="94">
        <v>1.17E-2</v>
      </c>
      <c r="G900" s="65">
        <f>VLOOKUP(D900,upahbahan,3,FALSE)</f>
        <v>145000</v>
      </c>
      <c r="H900" s="125">
        <f t="shared" si="90"/>
        <v>1696.5</v>
      </c>
    </row>
    <row r="901" spans="3:9">
      <c r="C901" s="145" t="s">
        <v>1220</v>
      </c>
      <c r="D901" s="81"/>
      <c r="E901" s="81"/>
      <c r="F901" s="220"/>
      <c r="G901" s="221"/>
      <c r="H901" s="125">
        <f>SUM(H897:H900)</f>
        <v>127696.5</v>
      </c>
      <c r="I901" s="223"/>
    </row>
    <row r="902" spans="3:9">
      <c r="C902" s="142" t="s">
        <v>1221</v>
      </c>
      <c r="D902" s="60" t="s">
        <v>1222</v>
      </c>
      <c r="E902" s="74"/>
      <c r="F902" s="74"/>
      <c r="G902" s="74"/>
      <c r="H902" s="147"/>
    </row>
    <row r="903" spans="3:9">
      <c r="C903" s="201" t="s">
        <v>1215</v>
      </c>
      <c r="D903" s="78" t="s">
        <v>438</v>
      </c>
      <c r="E903" s="73" t="s">
        <v>44</v>
      </c>
      <c r="F903" s="75">
        <v>11.667</v>
      </c>
      <c r="G903" s="65">
        <f>VLOOKUP(D903,upahbahan,3,FALSE)</f>
        <v>3000</v>
      </c>
      <c r="H903" s="125">
        <f t="shared" ref="H903:H906" si="91">F903*G903</f>
        <v>35001</v>
      </c>
    </row>
    <row r="904" spans="3:9">
      <c r="C904" s="201" t="s">
        <v>1216</v>
      </c>
      <c r="D904" s="60" t="s">
        <v>568</v>
      </c>
      <c r="E904" s="73" t="s">
        <v>66</v>
      </c>
      <c r="F904" s="75">
        <v>13.632</v>
      </c>
      <c r="G904" s="65">
        <f>VLOOKUP(D904,upahbahan,3,FALSE)</f>
        <v>1300</v>
      </c>
      <c r="H904" s="125">
        <f t="shared" si="91"/>
        <v>17721.599999999999</v>
      </c>
    </row>
    <row r="905" spans="3:9">
      <c r="C905" s="201" t="s">
        <v>1217</v>
      </c>
      <c r="D905" s="60" t="s">
        <v>571</v>
      </c>
      <c r="E905" s="73" t="s">
        <v>66</v>
      </c>
      <c r="F905" s="75">
        <v>1.5</v>
      </c>
      <c r="G905" s="65">
        <f>VLOOKUP(D905,upahbahan,3,FALSE)</f>
        <v>7800</v>
      </c>
      <c r="H905" s="125">
        <f t="shared" si="91"/>
        <v>11700</v>
      </c>
    </row>
    <row r="906" spans="3:9">
      <c r="C906" s="201" t="s">
        <v>1218</v>
      </c>
      <c r="D906" s="78" t="s">
        <v>86</v>
      </c>
      <c r="E906" s="73" t="s">
        <v>42</v>
      </c>
      <c r="F906" s="75">
        <v>2.7E-2</v>
      </c>
      <c r="G906" s="65">
        <f>VLOOKUP(D906,upahbahan,3,FALSE)</f>
        <v>275000</v>
      </c>
      <c r="H906" s="125">
        <f t="shared" si="91"/>
        <v>7425</v>
      </c>
    </row>
    <row r="907" spans="3:9">
      <c r="C907" s="145" t="s">
        <v>1226</v>
      </c>
      <c r="D907" s="81"/>
      <c r="E907" s="81"/>
      <c r="F907" s="81"/>
      <c r="G907" s="163"/>
      <c r="H907" s="125">
        <f>SUM(H903:H906)</f>
        <v>71847.600000000006</v>
      </c>
    </row>
    <row r="908" spans="3:9">
      <c r="C908" s="153" t="s">
        <v>1227</v>
      </c>
      <c r="D908" s="60" t="s">
        <v>1228</v>
      </c>
      <c r="E908" s="74"/>
      <c r="F908" s="74"/>
      <c r="G908" s="74"/>
      <c r="H908" s="147"/>
    </row>
    <row r="909" spans="3:9">
      <c r="C909" s="145" t="s">
        <v>1229</v>
      </c>
      <c r="D909" s="81"/>
      <c r="E909" s="81"/>
      <c r="F909" s="81"/>
      <c r="G909" s="163"/>
      <c r="H909" s="154">
        <v>0</v>
      </c>
    </row>
    <row r="910" spans="3:9">
      <c r="C910" s="123" t="s">
        <v>1230</v>
      </c>
      <c r="D910" s="70" t="s">
        <v>1231</v>
      </c>
      <c r="E910" s="71"/>
      <c r="F910" s="71"/>
      <c r="G910" s="72"/>
      <c r="H910" s="125">
        <f>H909+H907+H901</f>
        <v>199544.1</v>
      </c>
    </row>
    <row r="911" spans="3:9">
      <c r="C911" s="123" t="s">
        <v>1232</v>
      </c>
      <c r="D911" s="70" t="s">
        <v>1410</v>
      </c>
      <c r="E911" s="71"/>
      <c r="F911" s="72"/>
      <c r="G911" s="96">
        <f>$M$7</f>
        <v>0.1</v>
      </c>
      <c r="H911" s="125">
        <f>H910*G911</f>
        <v>19954.410000000003</v>
      </c>
    </row>
    <row r="912" spans="3:9" ht="15.75" thickBot="1">
      <c r="C912" s="131" t="s">
        <v>1233</v>
      </c>
      <c r="D912" s="132" t="s">
        <v>1234</v>
      </c>
      <c r="E912" s="133"/>
      <c r="F912" s="133"/>
      <c r="G912" s="156"/>
      <c r="H912" s="135">
        <f>SUM(H910:H911)</f>
        <v>219498.51</v>
      </c>
    </row>
    <row r="913" spans="3:9" ht="15.75" thickTop="1">
      <c r="C913" s="58"/>
      <c r="D913" s="82"/>
      <c r="E913" s="82"/>
      <c r="F913" s="82"/>
      <c r="G913" s="82"/>
      <c r="H913" s="83"/>
    </row>
    <row r="914" spans="3:9" ht="15.75" thickBot="1">
      <c r="C914" s="237" t="s">
        <v>1588</v>
      </c>
      <c r="D914" s="237"/>
      <c r="E914" s="237"/>
      <c r="F914" s="237"/>
      <c r="G914" s="237"/>
      <c r="H914" s="237"/>
      <c r="I914" s="57">
        <f>ROUNDDOWN(H932,-2)</f>
        <v>209800</v>
      </c>
    </row>
    <row r="915" spans="3:9" ht="29.25" thickTop="1">
      <c r="C915" s="120" t="s">
        <v>1207</v>
      </c>
      <c r="D915" s="121" t="s">
        <v>1208</v>
      </c>
      <c r="E915" s="121" t="s">
        <v>1209</v>
      </c>
      <c r="F915" s="121" t="s">
        <v>1210</v>
      </c>
      <c r="G915" s="121" t="s">
        <v>1211</v>
      </c>
      <c r="H915" s="122" t="s">
        <v>1212</v>
      </c>
    </row>
    <row r="916" spans="3:9">
      <c r="C916" s="142" t="s">
        <v>1213</v>
      </c>
      <c r="D916" s="60" t="s">
        <v>1214</v>
      </c>
      <c r="E916" s="74"/>
      <c r="F916" s="74"/>
      <c r="G916" s="74"/>
      <c r="H916" s="147"/>
    </row>
    <row r="917" spans="3:9">
      <c r="C917" s="143">
        <v>1</v>
      </c>
      <c r="D917" s="60" t="s">
        <v>5</v>
      </c>
      <c r="E917" s="73" t="s">
        <v>6</v>
      </c>
      <c r="F917" s="94">
        <v>0.7</v>
      </c>
      <c r="G917" s="65">
        <f>VLOOKUP(D917,upahbahan,3,FALSE)</f>
        <v>100000</v>
      </c>
      <c r="H917" s="125">
        <f t="shared" ref="H917:H920" si="92">F917*G917</f>
        <v>70000</v>
      </c>
    </row>
    <row r="918" spans="3:9">
      <c r="C918" s="143">
        <v>2</v>
      </c>
      <c r="D918" s="60" t="s">
        <v>7</v>
      </c>
      <c r="E918" s="73" t="s">
        <v>6</v>
      </c>
      <c r="F918" s="94">
        <v>0.35</v>
      </c>
      <c r="G918" s="65">
        <f>VLOOKUP(D918,upahbahan,3,FALSE)</f>
        <v>145000</v>
      </c>
      <c r="H918" s="125">
        <f t="shared" si="92"/>
        <v>50750</v>
      </c>
    </row>
    <row r="919" spans="3:9">
      <c r="C919" s="143">
        <v>3</v>
      </c>
      <c r="D919" s="60" t="s">
        <v>18</v>
      </c>
      <c r="E919" s="73" t="s">
        <v>6</v>
      </c>
      <c r="F919" s="94">
        <v>3.5000000000000003E-2</v>
      </c>
      <c r="G919" s="65">
        <f>VLOOKUP(D919,upahbahan,3,FALSE)</f>
        <v>150000</v>
      </c>
      <c r="H919" s="125">
        <f t="shared" si="92"/>
        <v>5250.0000000000009</v>
      </c>
    </row>
    <row r="920" spans="3:9">
      <c r="C920" s="143">
        <v>4</v>
      </c>
      <c r="D920" s="60" t="s">
        <v>19</v>
      </c>
      <c r="E920" s="73" t="s">
        <v>6</v>
      </c>
      <c r="F920" s="94">
        <v>1.17E-2</v>
      </c>
      <c r="G920" s="65">
        <f>VLOOKUP(D920,upahbahan,3,FALSE)</f>
        <v>145000</v>
      </c>
      <c r="H920" s="125">
        <f t="shared" si="92"/>
        <v>1696.5</v>
      </c>
    </row>
    <row r="921" spans="3:9">
      <c r="C921" s="145" t="s">
        <v>1220</v>
      </c>
      <c r="D921" s="81"/>
      <c r="E921" s="81"/>
      <c r="F921" s="220"/>
      <c r="G921" s="221"/>
      <c r="H921" s="125">
        <f>SUM(H917:H920)</f>
        <v>127696.5</v>
      </c>
      <c r="I921" s="223"/>
    </row>
    <row r="922" spans="3:9">
      <c r="C922" s="142" t="s">
        <v>1221</v>
      </c>
      <c r="D922" s="60" t="s">
        <v>1222</v>
      </c>
      <c r="E922" s="74"/>
      <c r="F922" s="74"/>
      <c r="G922" s="74"/>
      <c r="H922" s="147"/>
    </row>
    <row r="923" spans="3:9">
      <c r="C923" s="201" t="s">
        <v>1215</v>
      </c>
      <c r="D923" s="78" t="s">
        <v>439</v>
      </c>
      <c r="E923" s="73" t="s">
        <v>44</v>
      </c>
      <c r="F923" s="75">
        <v>6.5629999999999997</v>
      </c>
      <c r="G923" s="65">
        <f>VLOOKUP(D923,upahbahan,3,FALSE)</f>
        <v>4000</v>
      </c>
      <c r="H923" s="125">
        <f t="shared" ref="H923:H926" si="93">F923*G923</f>
        <v>26252</v>
      </c>
    </row>
    <row r="924" spans="3:9">
      <c r="C924" s="201" t="s">
        <v>1216</v>
      </c>
      <c r="D924" s="60" t="s">
        <v>568</v>
      </c>
      <c r="E924" s="73" t="s">
        <v>66</v>
      </c>
      <c r="F924" s="75">
        <v>13.632</v>
      </c>
      <c r="G924" s="65">
        <f>VLOOKUP(D924,upahbahan,3,FALSE)</f>
        <v>1300</v>
      </c>
      <c r="H924" s="125">
        <f t="shared" si="93"/>
        <v>17721.599999999999</v>
      </c>
    </row>
    <row r="925" spans="3:9">
      <c r="C925" s="201" t="s">
        <v>1217</v>
      </c>
      <c r="D925" s="60" t="s">
        <v>571</v>
      </c>
      <c r="E925" s="73" t="s">
        <v>66</v>
      </c>
      <c r="F925" s="75">
        <v>1.5</v>
      </c>
      <c r="G925" s="65">
        <f>VLOOKUP(D925,upahbahan,3,FALSE)</f>
        <v>7800</v>
      </c>
      <c r="H925" s="125">
        <f t="shared" si="93"/>
        <v>11700</v>
      </c>
    </row>
    <row r="926" spans="3:9">
      <c r="C926" s="201" t="s">
        <v>1218</v>
      </c>
      <c r="D926" s="78" t="s">
        <v>86</v>
      </c>
      <c r="E926" s="73" t="s">
        <v>42</v>
      </c>
      <c r="F926" s="75">
        <v>2.7E-2</v>
      </c>
      <c r="G926" s="65">
        <f>VLOOKUP(D926,upahbahan,3,FALSE)</f>
        <v>275000</v>
      </c>
      <c r="H926" s="125">
        <f t="shared" si="93"/>
        <v>7425</v>
      </c>
    </row>
    <row r="927" spans="3:9">
      <c r="C927" s="145" t="s">
        <v>1226</v>
      </c>
      <c r="D927" s="81"/>
      <c r="E927" s="81"/>
      <c r="F927" s="81"/>
      <c r="G927" s="163"/>
      <c r="H927" s="125">
        <f>SUM(H923:H926)</f>
        <v>63098.6</v>
      </c>
    </row>
    <row r="928" spans="3:9">
      <c r="C928" s="153" t="s">
        <v>1227</v>
      </c>
      <c r="D928" s="60" t="s">
        <v>1228</v>
      </c>
      <c r="E928" s="74"/>
      <c r="F928" s="74"/>
      <c r="G928" s="74"/>
      <c r="H928" s="147"/>
    </row>
    <row r="929" spans="3:9">
      <c r="C929" s="145" t="s">
        <v>1229</v>
      </c>
      <c r="D929" s="81"/>
      <c r="E929" s="81"/>
      <c r="F929" s="81"/>
      <c r="G929" s="163"/>
      <c r="H929" s="154">
        <v>0</v>
      </c>
    </row>
    <row r="930" spans="3:9">
      <c r="C930" s="123" t="s">
        <v>1230</v>
      </c>
      <c r="D930" s="70" t="s">
        <v>1231</v>
      </c>
      <c r="E930" s="71"/>
      <c r="F930" s="71"/>
      <c r="G930" s="72"/>
      <c r="H930" s="125">
        <f>H929+H927+H921</f>
        <v>190795.1</v>
      </c>
    </row>
    <row r="931" spans="3:9">
      <c r="C931" s="123" t="s">
        <v>1232</v>
      </c>
      <c r="D931" s="70" t="s">
        <v>1410</v>
      </c>
      <c r="E931" s="71"/>
      <c r="F931" s="72"/>
      <c r="G931" s="96">
        <f>$M$7</f>
        <v>0.1</v>
      </c>
      <c r="H931" s="125">
        <f>H930*G931</f>
        <v>19079.510000000002</v>
      </c>
    </row>
    <row r="932" spans="3:9" ht="15.75" thickBot="1">
      <c r="C932" s="131" t="s">
        <v>1233</v>
      </c>
      <c r="D932" s="132" t="s">
        <v>1234</v>
      </c>
      <c r="E932" s="133"/>
      <c r="F932" s="133"/>
      <c r="G932" s="156"/>
      <c r="H932" s="135">
        <f>SUM(H930:H931)</f>
        <v>209874.61000000002</v>
      </c>
    </row>
    <row r="933" spans="3:9" ht="15.75" thickTop="1">
      <c r="C933" s="58"/>
      <c r="D933" s="82"/>
      <c r="E933" s="82"/>
      <c r="F933" s="82"/>
      <c r="G933" s="82"/>
      <c r="H933" s="83"/>
    </row>
    <row r="934" spans="3:9" ht="15.75" thickBot="1">
      <c r="C934" s="237" t="s">
        <v>1589</v>
      </c>
      <c r="D934" s="237"/>
      <c r="E934" s="237"/>
      <c r="F934" s="237"/>
      <c r="G934" s="237"/>
      <c r="H934" s="237"/>
      <c r="I934" s="57">
        <f>ROUNDDOWN(H952,-2)</f>
        <v>252500</v>
      </c>
    </row>
    <row r="935" spans="3:9" ht="29.25" thickTop="1">
      <c r="C935" s="120" t="s">
        <v>1207</v>
      </c>
      <c r="D935" s="121" t="s">
        <v>1208</v>
      </c>
      <c r="E935" s="121" t="s">
        <v>1209</v>
      </c>
      <c r="F935" s="121" t="s">
        <v>1210</v>
      </c>
      <c r="G935" s="121" t="s">
        <v>1211</v>
      </c>
      <c r="H935" s="122" t="s">
        <v>1212</v>
      </c>
    </row>
    <row r="936" spans="3:9">
      <c r="C936" s="142" t="s">
        <v>1213</v>
      </c>
      <c r="D936" s="60" t="s">
        <v>1214</v>
      </c>
      <c r="E936" s="74"/>
      <c r="F936" s="74"/>
      <c r="G936" s="74"/>
      <c r="H936" s="147"/>
    </row>
    <row r="937" spans="3:9">
      <c r="C937" s="143">
        <v>1</v>
      </c>
      <c r="D937" s="60" t="s">
        <v>5</v>
      </c>
      <c r="E937" s="73" t="s">
        <v>6</v>
      </c>
      <c r="F937" s="75">
        <v>0.75</v>
      </c>
      <c r="G937" s="65">
        <f>VLOOKUP(D937,upahbahan,3,FALSE)</f>
        <v>100000</v>
      </c>
      <c r="H937" s="125">
        <f t="shared" ref="H937:H940" si="94">F937*G937</f>
        <v>75000</v>
      </c>
    </row>
    <row r="938" spans="3:9">
      <c r="C938" s="143">
        <v>2</v>
      </c>
      <c r="D938" s="60" t="s">
        <v>7</v>
      </c>
      <c r="E938" s="73" t="s">
        <v>6</v>
      </c>
      <c r="F938" s="75">
        <v>0.75</v>
      </c>
      <c r="G938" s="65">
        <f>VLOOKUP(D938,upahbahan,3,FALSE)</f>
        <v>145000</v>
      </c>
      <c r="H938" s="125">
        <f t="shared" si="94"/>
        <v>108750</v>
      </c>
    </row>
    <row r="939" spans="3:9">
      <c r="C939" s="143">
        <v>3</v>
      </c>
      <c r="D939" s="60" t="s">
        <v>18</v>
      </c>
      <c r="E939" s="73" t="s">
        <v>6</v>
      </c>
      <c r="F939" s="75">
        <v>7.4999999999999997E-2</v>
      </c>
      <c r="G939" s="65">
        <f>VLOOKUP(D939,upahbahan,3,FALSE)</f>
        <v>150000</v>
      </c>
      <c r="H939" s="125">
        <f t="shared" si="94"/>
        <v>11250</v>
      </c>
    </row>
    <row r="940" spans="3:9">
      <c r="C940" s="143">
        <v>4</v>
      </c>
      <c r="D940" s="60" t="s">
        <v>19</v>
      </c>
      <c r="E940" s="73" t="s">
        <v>6</v>
      </c>
      <c r="F940" s="75">
        <v>2.5000000000000001E-2</v>
      </c>
      <c r="G940" s="65">
        <f>VLOOKUP(D940,upahbahan,3,FALSE)</f>
        <v>145000</v>
      </c>
      <c r="H940" s="125">
        <f t="shared" si="94"/>
        <v>3625</v>
      </c>
    </row>
    <row r="941" spans="3:9">
      <c r="C941" s="145" t="s">
        <v>1220</v>
      </c>
      <c r="D941" s="81"/>
      <c r="E941" s="81"/>
      <c r="F941" s="220"/>
      <c r="G941" s="221"/>
      <c r="H941" s="125">
        <f>SUM(H937:H940)</f>
        <v>198625</v>
      </c>
      <c r="I941" s="223"/>
    </row>
    <row r="942" spans="3:9">
      <c r="C942" s="142" t="s">
        <v>1221</v>
      </c>
      <c r="D942" s="60" t="s">
        <v>1222</v>
      </c>
      <c r="E942" s="74"/>
      <c r="F942" s="74"/>
      <c r="G942" s="74"/>
      <c r="H942" s="147"/>
    </row>
    <row r="943" spans="3:9">
      <c r="C943" s="201" t="s">
        <v>1215</v>
      </c>
      <c r="D943" s="78" t="s">
        <v>475</v>
      </c>
      <c r="E943" s="73" t="s">
        <v>44</v>
      </c>
      <c r="F943" s="75">
        <v>5.3</v>
      </c>
      <c r="G943" s="65">
        <f>VLOOKUP(D943,upahbahan,3,FALSE)</f>
        <v>5000</v>
      </c>
      <c r="H943" s="125">
        <f t="shared" ref="H943:H946" si="95">F943*G943</f>
        <v>26500</v>
      </c>
    </row>
    <row r="944" spans="3:9">
      <c r="C944" s="201" t="s">
        <v>1216</v>
      </c>
      <c r="D944" s="60" t="s">
        <v>568</v>
      </c>
      <c r="E944" s="73" t="s">
        <v>66</v>
      </c>
      <c r="F944" s="75">
        <v>1.704</v>
      </c>
      <c r="G944" s="65">
        <f>VLOOKUP(D944,upahbahan,3,FALSE)</f>
        <v>1300</v>
      </c>
      <c r="H944" s="125">
        <f t="shared" si="95"/>
        <v>2215.1999999999998</v>
      </c>
    </row>
    <row r="945" spans="3:9">
      <c r="C945" s="201" t="s">
        <v>1217</v>
      </c>
      <c r="D945" s="60" t="s">
        <v>571</v>
      </c>
      <c r="E945" s="73" t="s">
        <v>66</v>
      </c>
      <c r="F945" s="75">
        <v>0.188</v>
      </c>
      <c r="G945" s="65">
        <f>VLOOKUP(D945,upahbahan,3,FALSE)</f>
        <v>7800</v>
      </c>
      <c r="H945" s="125">
        <f t="shared" si="95"/>
        <v>1466.4</v>
      </c>
    </row>
    <row r="946" spans="3:9">
      <c r="C946" s="201" t="s">
        <v>1218</v>
      </c>
      <c r="D946" s="78" t="s">
        <v>86</v>
      </c>
      <c r="E946" s="73" t="s">
        <v>42</v>
      </c>
      <c r="F946" s="75">
        <v>3.0000000000000001E-3</v>
      </c>
      <c r="G946" s="65">
        <f>VLOOKUP(D946,upahbahan,3,FALSE)</f>
        <v>275000</v>
      </c>
      <c r="H946" s="125">
        <f t="shared" si="95"/>
        <v>825</v>
      </c>
    </row>
    <row r="947" spans="3:9">
      <c r="C947" s="145" t="s">
        <v>1226</v>
      </c>
      <c r="D947" s="81"/>
      <c r="E947" s="81"/>
      <c r="F947" s="81"/>
      <c r="G947" s="163"/>
      <c r="H947" s="125">
        <f>SUM(H943:H946)</f>
        <v>31006.600000000002</v>
      </c>
    </row>
    <row r="948" spans="3:9">
      <c r="C948" s="153" t="s">
        <v>1227</v>
      </c>
      <c r="D948" s="60" t="s">
        <v>1228</v>
      </c>
      <c r="E948" s="74"/>
      <c r="F948" s="74"/>
      <c r="G948" s="74"/>
      <c r="H948" s="147"/>
    </row>
    <row r="949" spans="3:9">
      <c r="C949" s="145" t="s">
        <v>1229</v>
      </c>
      <c r="D949" s="81"/>
      <c r="E949" s="81"/>
      <c r="F949" s="81"/>
      <c r="G949" s="163"/>
      <c r="H949" s="154">
        <v>0</v>
      </c>
    </row>
    <row r="950" spans="3:9">
      <c r="C950" s="123" t="s">
        <v>1230</v>
      </c>
      <c r="D950" s="70" t="s">
        <v>1231</v>
      </c>
      <c r="E950" s="71"/>
      <c r="F950" s="71"/>
      <c r="G950" s="72"/>
      <c r="H950" s="125">
        <f>H949+H947+H941</f>
        <v>229631.6</v>
      </c>
    </row>
    <row r="951" spans="3:9">
      <c r="C951" s="123" t="s">
        <v>1232</v>
      </c>
      <c r="D951" s="70" t="s">
        <v>1410</v>
      </c>
      <c r="E951" s="71"/>
      <c r="F951" s="72"/>
      <c r="G951" s="96">
        <f>$M$7</f>
        <v>0.1</v>
      </c>
      <c r="H951" s="125">
        <f>H950*G951</f>
        <v>22963.160000000003</v>
      </c>
    </row>
    <row r="952" spans="3:9" ht="15.75" thickBot="1">
      <c r="C952" s="131" t="s">
        <v>1233</v>
      </c>
      <c r="D952" s="132" t="s">
        <v>1234</v>
      </c>
      <c r="E952" s="133"/>
      <c r="F952" s="133"/>
      <c r="G952" s="156"/>
      <c r="H952" s="135">
        <f>SUM(H950:H951)</f>
        <v>252594.76</v>
      </c>
    </row>
    <row r="953" spans="3:9" ht="15.75" thickTop="1">
      <c r="C953" s="58"/>
      <c r="D953" s="82"/>
      <c r="E953" s="82"/>
      <c r="F953" s="82"/>
      <c r="G953" s="82"/>
      <c r="H953" s="83"/>
    </row>
    <row r="954" spans="3:9" ht="15.75" thickBot="1">
      <c r="C954" s="237" t="s">
        <v>1590</v>
      </c>
      <c r="D954" s="237"/>
      <c r="E954" s="237"/>
      <c r="F954" s="237"/>
      <c r="G954" s="237"/>
      <c r="H954" s="237"/>
      <c r="I954" s="57">
        <f>ROUNDDOWN(H972,-2)</f>
        <v>130800</v>
      </c>
    </row>
    <row r="955" spans="3:9" ht="29.25" thickTop="1">
      <c r="C955" s="120" t="s">
        <v>1207</v>
      </c>
      <c r="D955" s="121" t="s">
        <v>1208</v>
      </c>
      <c r="E955" s="121" t="s">
        <v>1209</v>
      </c>
      <c r="F955" s="121" t="s">
        <v>1210</v>
      </c>
      <c r="G955" s="121" t="s">
        <v>1211</v>
      </c>
      <c r="H955" s="122" t="s">
        <v>1212</v>
      </c>
    </row>
    <row r="956" spans="3:9">
      <c r="C956" s="142" t="s">
        <v>1213</v>
      </c>
      <c r="D956" s="60" t="s">
        <v>1214</v>
      </c>
      <c r="E956" s="74"/>
      <c r="F956" s="74"/>
      <c r="G956" s="74"/>
      <c r="H956" s="147"/>
    </row>
    <row r="957" spans="3:9">
      <c r="C957" s="143">
        <v>1</v>
      </c>
      <c r="D957" s="60" t="s">
        <v>5</v>
      </c>
      <c r="E957" s="73" t="s">
        <v>6</v>
      </c>
      <c r="F957" s="184">
        <v>0.1333</v>
      </c>
      <c r="G957" s="65">
        <f>VLOOKUP(D957,upahbahan,3,FALSE)</f>
        <v>100000</v>
      </c>
      <c r="H957" s="125">
        <f t="shared" ref="H957:H960" si="96">F957*G957</f>
        <v>13330</v>
      </c>
    </row>
    <row r="958" spans="3:9">
      <c r="C958" s="143">
        <v>2</v>
      </c>
      <c r="D958" s="60" t="s">
        <v>7</v>
      </c>
      <c r="E958" s="73" t="s">
        <v>6</v>
      </c>
      <c r="F958" s="184">
        <v>6.6699999999999995E-2</v>
      </c>
      <c r="G958" s="65">
        <f>VLOOKUP(D958,upahbahan,3,FALSE)</f>
        <v>145000</v>
      </c>
      <c r="H958" s="125">
        <f t="shared" si="96"/>
        <v>9671.5</v>
      </c>
    </row>
    <row r="959" spans="3:9">
      <c r="C959" s="143">
        <v>3</v>
      </c>
      <c r="D959" s="60" t="s">
        <v>18</v>
      </c>
      <c r="E959" s="73" t="s">
        <v>6</v>
      </c>
      <c r="F959" s="184">
        <v>6.7000000000000002E-3</v>
      </c>
      <c r="G959" s="65">
        <f>VLOOKUP(D959,upahbahan,3,FALSE)</f>
        <v>150000</v>
      </c>
      <c r="H959" s="125">
        <f t="shared" si="96"/>
        <v>1005</v>
      </c>
    </row>
    <row r="960" spans="3:9">
      <c r="C960" s="143">
        <v>4</v>
      </c>
      <c r="D960" s="60" t="s">
        <v>19</v>
      </c>
      <c r="E960" s="73" t="s">
        <v>6</v>
      </c>
      <c r="F960" s="184">
        <v>2.2000000000000001E-3</v>
      </c>
      <c r="G960" s="65">
        <f>VLOOKUP(D960,upahbahan,3,FALSE)</f>
        <v>145000</v>
      </c>
      <c r="H960" s="125">
        <f t="shared" si="96"/>
        <v>319</v>
      </c>
    </row>
    <row r="961" spans="3:9">
      <c r="C961" s="145" t="s">
        <v>1220</v>
      </c>
      <c r="D961" s="81"/>
      <c r="E961" s="81"/>
      <c r="F961" s="220"/>
      <c r="G961" s="221"/>
      <c r="H961" s="125">
        <f>SUM(H957:H960)</f>
        <v>24325.5</v>
      </c>
      <c r="I961" s="223"/>
    </row>
    <row r="962" spans="3:9">
      <c r="C962" s="142" t="s">
        <v>1221</v>
      </c>
      <c r="D962" s="60" t="s">
        <v>1222</v>
      </c>
      <c r="E962" s="74"/>
      <c r="F962" s="74"/>
      <c r="G962" s="74"/>
      <c r="H962" s="147"/>
    </row>
    <row r="963" spans="3:9">
      <c r="C963" s="201" t="s">
        <v>1215</v>
      </c>
      <c r="D963" s="78" t="s">
        <v>431</v>
      </c>
      <c r="E963" s="73" t="s">
        <v>44</v>
      </c>
      <c r="F963" s="75">
        <v>26.25</v>
      </c>
      <c r="G963" s="65">
        <f>VLOOKUP(D963,upahbahan,3,FALSE)</f>
        <v>2200</v>
      </c>
      <c r="H963" s="125">
        <f t="shared" ref="H963:H966" si="97">F963*G963</f>
        <v>57750</v>
      </c>
    </row>
    <row r="964" spans="3:9">
      <c r="C964" s="201" t="s">
        <v>1216</v>
      </c>
      <c r="D964" s="60" t="s">
        <v>568</v>
      </c>
      <c r="E964" s="73" t="s">
        <v>66</v>
      </c>
      <c r="F964" s="75">
        <v>13.632</v>
      </c>
      <c r="G964" s="65">
        <f>VLOOKUP(D964,upahbahan,3,FALSE)</f>
        <v>1300</v>
      </c>
      <c r="H964" s="125">
        <f t="shared" si="97"/>
        <v>17721.599999999999</v>
      </c>
    </row>
    <row r="965" spans="3:9">
      <c r="C965" s="201" t="s">
        <v>1217</v>
      </c>
      <c r="D965" s="60" t="s">
        <v>571</v>
      </c>
      <c r="E965" s="73" t="s">
        <v>66</v>
      </c>
      <c r="F965" s="75">
        <v>1.5</v>
      </c>
      <c r="G965" s="65">
        <f>VLOOKUP(D965,upahbahan,3,FALSE)</f>
        <v>7800</v>
      </c>
      <c r="H965" s="125">
        <f t="shared" si="97"/>
        <v>11700</v>
      </c>
    </row>
    <row r="966" spans="3:9">
      <c r="C966" s="201" t="s">
        <v>1218</v>
      </c>
      <c r="D966" s="78" t="s">
        <v>86</v>
      </c>
      <c r="E966" s="73" t="s">
        <v>42</v>
      </c>
      <c r="F966" s="75">
        <v>2.7E-2</v>
      </c>
      <c r="G966" s="65">
        <f>VLOOKUP(D966,upahbahan,3,FALSE)</f>
        <v>275000</v>
      </c>
      <c r="H966" s="125">
        <f t="shared" si="97"/>
        <v>7425</v>
      </c>
    </row>
    <row r="967" spans="3:9">
      <c r="C967" s="145" t="s">
        <v>1226</v>
      </c>
      <c r="D967" s="81"/>
      <c r="E967" s="81"/>
      <c r="F967" s="81"/>
      <c r="G967" s="163"/>
      <c r="H967" s="125">
        <f>SUM(H963:H966)</f>
        <v>94596.6</v>
      </c>
    </row>
    <row r="968" spans="3:9">
      <c r="C968" s="153" t="s">
        <v>1227</v>
      </c>
      <c r="D968" s="60" t="s">
        <v>1228</v>
      </c>
      <c r="E968" s="74"/>
      <c r="F968" s="74"/>
      <c r="G968" s="74"/>
      <c r="H968" s="147"/>
    </row>
    <row r="969" spans="3:9">
      <c r="C969" s="145" t="s">
        <v>1229</v>
      </c>
      <c r="D969" s="81"/>
      <c r="E969" s="81"/>
      <c r="F969" s="81"/>
      <c r="G969" s="163"/>
      <c r="H969" s="154">
        <v>0</v>
      </c>
    </row>
    <row r="970" spans="3:9">
      <c r="C970" s="123" t="s">
        <v>1230</v>
      </c>
      <c r="D970" s="70" t="s">
        <v>1231</v>
      </c>
      <c r="E970" s="71"/>
      <c r="F970" s="71"/>
      <c r="G970" s="72"/>
      <c r="H970" s="125">
        <f>H969+H967+H961</f>
        <v>118922.1</v>
      </c>
    </row>
    <row r="971" spans="3:9">
      <c r="C971" s="123" t="s">
        <v>1232</v>
      </c>
      <c r="D971" s="70" t="s">
        <v>1410</v>
      </c>
      <c r="E971" s="71"/>
      <c r="F971" s="72"/>
      <c r="G971" s="96">
        <f>$M$7</f>
        <v>0.1</v>
      </c>
      <c r="H971" s="125">
        <f>H970*G971</f>
        <v>11892.210000000001</v>
      </c>
    </row>
    <row r="972" spans="3:9" ht="15.75" thickBot="1">
      <c r="C972" s="131" t="s">
        <v>1233</v>
      </c>
      <c r="D972" s="132" t="s">
        <v>1234</v>
      </c>
      <c r="E972" s="133"/>
      <c r="F972" s="133"/>
      <c r="G972" s="156"/>
      <c r="H972" s="135">
        <f>SUM(H970:H971)</f>
        <v>130814.31000000001</v>
      </c>
    </row>
    <row r="973" spans="3:9" ht="15.75" thickTop="1">
      <c r="C973" s="90"/>
      <c r="D973" s="91"/>
      <c r="E973" s="91"/>
      <c r="F973" s="91"/>
      <c r="G973" s="91"/>
      <c r="H973" s="92"/>
    </row>
    <row r="974" spans="3:9" ht="15.75" thickBot="1">
      <c r="C974" s="237" t="s">
        <v>1591</v>
      </c>
      <c r="D974" s="237"/>
      <c r="E974" s="237"/>
      <c r="F974" s="237"/>
      <c r="G974" s="237"/>
      <c r="H974" s="237"/>
      <c r="I974" s="57">
        <f>ROUNDDOWN(H992,-2)</f>
        <v>120500</v>
      </c>
    </row>
    <row r="975" spans="3:9" ht="29.25" thickTop="1">
      <c r="C975" s="120" t="s">
        <v>1207</v>
      </c>
      <c r="D975" s="121" t="s">
        <v>1208</v>
      </c>
      <c r="E975" s="121" t="s">
        <v>1209</v>
      </c>
      <c r="F975" s="121" t="s">
        <v>1210</v>
      </c>
      <c r="G975" s="121" t="s">
        <v>1211</v>
      </c>
      <c r="H975" s="122" t="s">
        <v>1212</v>
      </c>
      <c r="I975" s="57"/>
    </row>
    <row r="976" spans="3:9">
      <c r="C976" s="142" t="s">
        <v>1213</v>
      </c>
      <c r="D976" s="60" t="s">
        <v>1214</v>
      </c>
      <c r="E976" s="74"/>
      <c r="F976" s="74"/>
      <c r="G976" s="74"/>
      <c r="H976" s="147"/>
    </row>
    <row r="977" spans="3:9">
      <c r="C977" s="143">
        <v>1</v>
      </c>
      <c r="D977" s="60" t="s">
        <v>5</v>
      </c>
      <c r="E977" s="73" t="s">
        <v>6</v>
      </c>
      <c r="F977" s="184">
        <v>0.1429</v>
      </c>
      <c r="G977" s="65">
        <f>VLOOKUP(D977,upahbahan,3,FALSE)</f>
        <v>100000</v>
      </c>
      <c r="H977" s="125">
        <f t="shared" ref="H977:H980" si="98">F977*G977</f>
        <v>14290</v>
      </c>
    </row>
    <row r="978" spans="3:9">
      <c r="C978" s="143">
        <v>2</v>
      </c>
      <c r="D978" s="60" t="s">
        <v>7</v>
      </c>
      <c r="E978" s="73" t="s">
        <v>6</v>
      </c>
      <c r="F978" s="184">
        <v>7.1400000000000005E-2</v>
      </c>
      <c r="G978" s="65">
        <f>VLOOKUP(D978,upahbahan,3,FALSE)</f>
        <v>145000</v>
      </c>
      <c r="H978" s="125">
        <f t="shared" si="98"/>
        <v>10353</v>
      </c>
    </row>
    <row r="979" spans="3:9">
      <c r="C979" s="143">
        <v>3</v>
      </c>
      <c r="D979" s="60" t="s">
        <v>18</v>
      </c>
      <c r="E979" s="73" t="s">
        <v>6</v>
      </c>
      <c r="F979" s="184">
        <v>7.1000000000000004E-3</v>
      </c>
      <c r="G979" s="65">
        <f>VLOOKUP(D979,upahbahan,3,FALSE)</f>
        <v>150000</v>
      </c>
      <c r="H979" s="125">
        <f t="shared" si="98"/>
        <v>1065</v>
      </c>
    </row>
    <row r="980" spans="3:9">
      <c r="C980" s="143">
        <v>4</v>
      </c>
      <c r="D980" s="60" t="s">
        <v>19</v>
      </c>
      <c r="E980" s="73" t="s">
        <v>6</v>
      </c>
      <c r="F980" s="184">
        <v>2.3999999999999998E-3</v>
      </c>
      <c r="G980" s="65">
        <f>VLOOKUP(D980,upahbahan,3,FALSE)</f>
        <v>145000</v>
      </c>
      <c r="H980" s="125">
        <f t="shared" si="98"/>
        <v>347.99999999999994</v>
      </c>
    </row>
    <row r="981" spans="3:9">
      <c r="C981" s="145" t="s">
        <v>1220</v>
      </c>
      <c r="D981" s="81"/>
      <c r="E981" s="81"/>
      <c r="F981" s="220"/>
      <c r="G981" s="221"/>
      <c r="H981" s="125">
        <f>SUM(H977:H980)</f>
        <v>26056</v>
      </c>
      <c r="I981" s="223"/>
    </row>
    <row r="982" spans="3:9">
      <c r="C982" s="142" t="s">
        <v>1221</v>
      </c>
      <c r="D982" s="60" t="s">
        <v>1222</v>
      </c>
      <c r="E982" s="74"/>
      <c r="F982" s="74"/>
      <c r="G982" s="74"/>
      <c r="H982" s="147"/>
    </row>
    <row r="983" spans="3:9">
      <c r="C983" s="201" t="s">
        <v>1215</v>
      </c>
      <c r="D983" s="78" t="s">
        <v>433</v>
      </c>
      <c r="E983" s="73" t="s">
        <v>44</v>
      </c>
      <c r="F983" s="75">
        <v>11.667</v>
      </c>
      <c r="G983" s="65">
        <f>VLOOKUP(D983,upahbahan,3,FALSE)</f>
        <v>4000</v>
      </c>
      <c r="H983" s="125">
        <f t="shared" ref="H983:H986" si="99">F983*G983</f>
        <v>46668</v>
      </c>
    </row>
    <row r="984" spans="3:9">
      <c r="C984" s="201" t="s">
        <v>1216</v>
      </c>
      <c r="D984" s="60" t="s">
        <v>568</v>
      </c>
      <c r="E984" s="73" t="s">
        <v>66</v>
      </c>
      <c r="F984" s="75">
        <v>13.632</v>
      </c>
      <c r="G984" s="65">
        <f>VLOOKUP(D984,upahbahan,3,FALSE)</f>
        <v>1300</v>
      </c>
      <c r="H984" s="125">
        <f t="shared" si="99"/>
        <v>17721.599999999999</v>
      </c>
    </row>
    <row r="985" spans="3:9">
      <c r="C985" s="201" t="s">
        <v>1217</v>
      </c>
      <c r="D985" s="60" t="s">
        <v>571</v>
      </c>
      <c r="E985" s="73" t="s">
        <v>66</v>
      </c>
      <c r="F985" s="75">
        <v>1.5</v>
      </c>
      <c r="G985" s="65">
        <f>VLOOKUP(D985,upahbahan,3,FALSE)</f>
        <v>7800</v>
      </c>
      <c r="H985" s="125">
        <f t="shared" si="99"/>
        <v>11700</v>
      </c>
    </row>
    <row r="986" spans="3:9">
      <c r="C986" s="201" t="s">
        <v>1218</v>
      </c>
      <c r="D986" s="78" t="s">
        <v>86</v>
      </c>
      <c r="E986" s="73" t="s">
        <v>42</v>
      </c>
      <c r="F986" s="75">
        <v>2.7E-2</v>
      </c>
      <c r="G986" s="65">
        <f>VLOOKUP(D986,upahbahan,3,FALSE)</f>
        <v>275000</v>
      </c>
      <c r="H986" s="125">
        <f t="shared" si="99"/>
        <v>7425</v>
      </c>
    </row>
    <row r="987" spans="3:9">
      <c r="C987" s="145" t="s">
        <v>1226</v>
      </c>
      <c r="D987" s="81"/>
      <c r="E987" s="81"/>
      <c r="F987" s="81"/>
      <c r="G987" s="163"/>
      <c r="H987" s="125">
        <f>SUM(H983:H986)</f>
        <v>83514.600000000006</v>
      </c>
    </row>
    <row r="988" spans="3:9">
      <c r="C988" s="153" t="s">
        <v>1227</v>
      </c>
      <c r="D988" s="60" t="s">
        <v>1228</v>
      </c>
      <c r="E988" s="74"/>
      <c r="F988" s="74"/>
      <c r="G988" s="74"/>
      <c r="H988" s="147"/>
    </row>
    <row r="989" spans="3:9">
      <c r="C989" s="145" t="s">
        <v>1229</v>
      </c>
      <c r="D989" s="81"/>
      <c r="E989" s="81"/>
      <c r="F989" s="81"/>
      <c r="G989" s="163"/>
      <c r="H989" s="154">
        <v>0</v>
      </c>
    </row>
    <row r="990" spans="3:9">
      <c r="C990" s="123" t="s">
        <v>1230</v>
      </c>
      <c r="D990" s="70" t="s">
        <v>1231</v>
      </c>
      <c r="E990" s="71"/>
      <c r="F990" s="71"/>
      <c r="G990" s="72"/>
      <c r="H990" s="125">
        <f>H989+H987+H981</f>
        <v>109570.6</v>
      </c>
    </row>
    <row r="991" spans="3:9">
      <c r="C991" s="123" t="s">
        <v>1232</v>
      </c>
      <c r="D991" s="70" t="s">
        <v>1410</v>
      </c>
      <c r="E991" s="71"/>
      <c r="F991" s="72"/>
      <c r="G991" s="96">
        <f>$M$7</f>
        <v>0.1</v>
      </c>
      <c r="H991" s="125">
        <f>H990*G991</f>
        <v>10957.060000000001</v>
      </c>
    </row>
    <row r="992" spans="3:9" ht="15.75" thickBot="1">
      <c r="C992" s="131" t="s">
        <v>1233</v>
      </c>
      <c r="D992" s="132" t="s">
        <v>1234</v>
      </c>
      <c r="E992" s="133"/>
      <c r="F992" s="133"/>
      <c r="G992" s="156"/>
      <c r="H992" s="135">
        <f>SUM(H990:H991)</f>
        <v>120527.66</v>
      </c>
    </row>
    <row r="993" spans="3:9" ht="15.75" thickTop="1">
      <c r="C993" s="90"/>
      <c r="D993" s="91"/>
      <c r="E993" s="91"/>
      <c r="F993" s="91"/>
      <c r="G993" s="91"/>
      <c r="H993" s="92"/>
    </row>
    <row r="994" spans="3:9" ht="15.75" thickBot="1">
      <c r="C994" s="237" t="s">
        <v>1592</v>
      </c>
      <c r="D994" s="237"/>
      <c r="E994" s="237"/>
      <c r="F994" s="237"/>
      <c r="G994" s="237"/>
      <c r="H994" s="237"/>
      <c r="I994" s="57">
        <f>ROUNDDOWN(H1012,-2)</f>
        <v>129800</v>
      </c>
    </row>
    <row r="995" spans="3:9" ht="29.25" thickTop="1">
      <c r="C995" s="120" t="s">
        <v>1207</v>
      </c>
      <c r="D995" s="121" t="s">
        <v>1208</v>
      </c>
      <c r="E995" s="121" t="s">
        <v>1209</v>
      </c>
      <c r="F995" s="121" t="s">
        <v>1210</v>
      </c>
      <c r="G995" s="121" t="s">
        <v>1211</v>
      </c>
      <c r="H995" s="122" t="s">
        <v>1212</v>
      </c>
    </row>
    <row r="996" spans="3:9">
      <c r="C996" s="142" t="s">
        <v>1213</v>
      </c>
      <c r="D996" s="60" t="s">
        <v>1214</v>
      </c>
      <c r="E996" s="74"/>
      <c r="F996" s="74"/>
      <c r="G996" s="74"/>
      <c r="H996" s="147"/>
    </row>
    <row r="997" spans="3:9">
      <c r="C997" s="143">
        <v>1</v>
      </c>
      <c r="D997" s="60" t="s">
        <v>5</v>
      </c>
      <c r="E997" s="73" t="s">
        <v>6</v>
      </c>
      <c r="F997" s="184">
        <v>0.15379999999999999</v>
      </c>
      <c r="G997" s="65">
        <f>VLOOKUP(D997,upahbahan,3,FALSE)</f>
        <v>100000</v>
      </c>
      <c r="H997" s="125">
        <f t="shared" ref="H997:H1000" si="100">F997*G997</f>
        <v>15380</v>
      </c>
    </row>
    <row r="998" spans="3:9">
      <c r="C998" s="143">
        <v>2</v>
      </c>
      <c r="D998" s="60" t="s">
        <v>7</v>
      </c>
      <c r="E998" s="73" t="s">
        <v>6</v>
      </c>
      <c r="F998" s="184">
        <v>7.6899999999999996E-2</v>
      </c>
      <c r="G998" s="65">
        <f>VLOOKUP(D998,upahbahan,3,FALSE)</f>
        <v>145000</v>
      </c>
      <c r="H998" s="125">
        <f t="shared" si="100"/>
        <v>11150.5</v>
      </c>
    </row>
    <row r="999" spans="3:9">
      <c r="C999" s="143">
        <v>3</v>
      </c>
      <c r="D999" s="60" t="s">
        <v>18</v>
      </c>
      <c r="E999" s="73" t="s">
        <v>6</v>
      </c>
      <c r="F999" s="184">
        <v>7.7000000000000002E-3</v>
      </c>
      <c r="G999" s="65">
        <f>VLOOKUP(D999,upahbahan,3,FALSE)</f>
        <v>150000</v>
      </c>
      <c r="H999" s="125">
        <f t="shared" si="100"/>
        <v>1155</v>
      </c>
    </row>
    <row r="1000" spans="3:9">
      <c r="C1000" s="143">
        <v>4</v>
      </c>
      <c r="D1000" s="60" t="s">
        <v>19</v>
      </c>
      <c r="E1000" s="73" t="s">
        <v>6</v>
      </c>
      <c r="F1000" s="184">
        <v>2.5999999999999999E-3</v>
      </c>
      <c r="G1000" s="65">
        <f>VLOOKUP(D1000,upahbahan,3,FALSE)</f>
        <v>145000</v>
      </c>
      <c r="H1000" s="125">
        <f t="shared" si="100"/>
        <v>377</v>
      </c>
    </row>
    <row r="1001" spans="3:9">
      <c r="C1001" s="145" t="s">
        <v>1220</v>
      </c>
      <c r="D1001" s="81"/>
      <c r="E1001" s="81"/>
      <c r="F1001" s="220"/>
      <c r="G1001" s="221"/>
      <c r="H1001" s="125">
        <f>SUM(H997:H1000)</f>
        <v>28062.5</v>
      </c>
      <c r="I1001" s="223"/>
    </row>
    <row r="1002" spans="3:9">
      <c r="C1002" s="142" t="s">
        <v>1221</v>
      </c>
      <c r="D1002" s="60" t="s">
        <v>1222</v>
      </c>
      <c r="E1002" s="74"/>
      <c r="F1002" s="74"/>
      <c r="G1002" s="74"/>
      <c r="H1002" s="147"/>
    </row>
    <row r="1003" spans="3:9">
      <c r="C1003" s="201" t="s">
        <v>1215</v>
      </c>
      <c r="D1003" s="78" t="s">
        <v>434</v>
      </c>
      <c r="E1003" s="73" t="s">
        <v>44</v>
      </c>
      <c r="F1003" s="184">
        <v>6.5629999999999997</v>
      </c>
      <c r="G1003" s="65">
        <f>VLOOKUP(D1003,upahbahan,3,FALSE)</f>
        <v>8100</v>
      </c>
      <c r="H1003" s="125">
        <f t="shared" ref="H1003:H1006" si="101">F1003*G1003</f>
        <v>53160.299999999996</v>
      </c>
    </row>
    <row r="1004" spans="3:9">
      <c r="C1004" s="201" t="s">
        <v>1216</v>
      </c>
      <c r="D1004" s="60" t="s">
        <v>568</v>
      </c>
      <c r="E1004" s="73" t="s">
        <v>66</v>
      </c>
      <c r="F1004" s="75">
        <v>13.632</v>
      </c>
      <c r="G1004" s="65">
        <f>VLOOKUP(D1004,upahbahan,3,FALSE)</f>
        <v>1300</v>
      </c>
      <c r="H1004" s="125">
        <f t="shared" si="101"/>
        <v>17721.599999999999</v>
      </c>
    </row>
    <row r="1005" spans="3:9">
      <c r="C1005" s="201" t="s">
        <v>1217</v>
      </c>
      <c r="D1005" s="60" t="s">
        <v>571</v>
      </c>
      <c r="E1005" s="73" t="s">
        <v>66</v>
      </c>
      <c r="F1005" s="75">
        <v>1.5</v>
      </c>
      <c r="G1005" s="65">
        <f>VLOOKUP(D1005,upahbahan,3,FALSE)</f>
        <v>7800</v>
      </c>
      <c r="H1005" s="125">
        <f t="shared" si="101"/>
        <v>11700</v>
      </c>
    </row>
    <row r="1006" spans="3:9">
      <c r="C1006" s="201" t="s">
        <v>1218</v>
      </c>
      <c r="D1006" s="78" t="s">
        <v>86</v>
      </c>
      <c r="E1006" s="73" t="s">
        <v>42</v>
      </c>
      <c r="F1006" s="75">
        <v>2.7E-2</v>
      </c>
      <c r="G1006" s="65">
        <f>VLOOKUP(D1006,upahbahan,3,FALSE)</f>
        <v>275000</v>
      </c>
      <c r="H1006" s="125">
        <f t="shared" si="101"/>
        <v>7425</v>
      </c>
    </row>
    <row r="1007" spans="3:9">
      <c r="C1007" s="145" t="s">
        <v>1226</v>
      </c>
      <c r="D1007" s="81"/>
      <c r="E1007" s="81"/>
      <c r="F1007" s="81"/>
      <c r="G1007" s="163"/>
      <c r="H1007" s="125">
        <f>SUM(H1003:H1006)</f>
        <v>90006.9</v>
      </c>
    </row>
    <row r="1008" spans="3:9">
      <c r="C1008" s="153" t="s">
        <v>1227</v>
      </c>
      <c r="D1008" s="60" t="s">
        <v>1228</v>
      </c>
      <c r="E1008" s="74"/>
      <c r="F1008" s="74"/>
      <c r="G1008" s="74"/>
      <c r="H1008" s="147"/>
    </row>
    <row r="1009" spans="3:9">
      <c r="C1009" s="145" t="s">
        <v>1229</v>
      </c>
      <c r="D1009" s="81"/>
      <c r="E1009" s="81"/>
      <c r="F1009" s="81"/>
      <c r="G1009" s="163"/>
      <c r="H1009" s="154">
        <v>0</v>
      </c>
    </row>
    <row r="1010" spans="3:9">
      <c r="C1010" s="123" t="s">
        <v>1230</v>
      </c>
      <c r="D1010" s="70" t="s">
        <v>1231</v>
      </c>
      <c r="E1010" s="71"/>
      <c r="F1010" s="71"/>
      <c r="G1010" s="72"/>
      <c r="H1010" s="125">
        <f>H1009+H1007+H1001</f>
        <v>118069.4</v>
      </c>
    </row>
    <row r="1011" spans="3:9">
      <c r="C1011" s="123" t="s">
        <v>1232</v>
      </c>
      <c r="D1011" s="70" t="s">
        <v>1410</v>
      </c>
      <c r="E1011" s="71"/>
      <c r="F1011" s="72"/>
      <c r="G1011" s="96">
        <f>$M$7</f>
        <v>0.1</v>
      </c>
      <c r="H1011" s="125">
        <f>H1010*G1011</f>
        <v>11806.94</v>
      </c>
    </row>
    <row r="1012" spans="3:9" ht="15.75" thickBot="1">
      <c r="C1012" s="131" t="s">
        <v>1233</v>
      </c>
      <c r="D1012" s="132" t="s">
        <v>1234</v>
      </c>
      <c r="E1012" s="133"/>
      <c r="F1012" s="133"/>
      <c r="G1012" s="156"/>
      <c r="H1012" s="135">
        <f>SUM(H1010:H1011)</f>
        <v>129876.34</v>
      </c>
    </row>
    <row r="1013" spans="3:9" ht="15.75" thickTop="1">
      <c r="C1013" s="58"/>
      <c r="D1013" s="82"/>
      <c r="E1013" s="82"/>
      <c r="F1013" s="82"/>
      <c r="G1013" s="82"/>
      <c r="H1013" s="83"/>
    </row>
    <row r="1014" spans="3:9" ht="15.75" thickBot="1">
      <c r="C1014" s="237" t="s">
        <v>1593</v>
      </c>
      <c r="D1014" s="237"/>
      <c r="E1014" s="237"/>
      <c r="F1014" s="237"/>
      <c r="G1014" s="237"/>
      <c r="H1014" s="237"/>
      <c r="I1014" s="57">
        <f>ROUNDDOWN(H1032,-2)</f>
        <v>121600</v>
      </c>
    </row>
    <row r="1015" spans="3:9" ht="29.25" thickTop="1">
      <c r="C1015" s="120" t="s">
        <v>1207</v>
      </c>
      <c r="D1015" s="121" t="s">
        <v>1208</v>
      </c>
      <c r="E1015" s="121" t="s">
        <v>1209</v>
      </c>
      <c r="F1015" s="121" t="s">
        <v>1210</v>
      </c>
      <c r="G1015" s="121" t="s">
        <v>1211</v>
      </c>
      <c r="H1015" s="122" t="s">
        <v>1212</v>
      </c>
    </row>
    <row r="1016" spans="3:9">
      <c r="C1016" s="142" t="s">
        <v>1213</v>
      </c>
      <c r="D1016" s="60" t="s">
        <v>1214</v>
      </c>
      <c r="E1016" s="74"/>
      <c r="F1016" s="74"/>
      <c r="G1016" s="74"/>
      <c r="H1016" s="147"/>
    </row>
    <row r="1017" spans="3:9">
      <c r="C1017" s="143">
        <v>1</v>
      </c>
      <c r="D1017" s="60" t="s">
        <v>5</v>
      </c>
      <c r="E1017" s="73" t="s">
        <v>6</v>
      </c>
      <c r="F1017" s="94">
        <v>0.25</v>
      </c>
      <c r="G1017" s="65">
        <f>VLOOKUP(D1017,upahbahan,3,FALSE)</f>
        <v>100000</v>
      </c>
      <c r="H1017" s="125">
        <f t="shared" ref="H1017:H1020" si="102">F1017*G1017</f>
        <v>25000</v>
      </c>
    </row>
    <row r="1018" spans="3:9">
      <c r="C1018" s="143">
        <v>2</v>
      </c>
      <c r="D1018" s="60" t="s">
        <v>7</v>
      </c>
      <c r="E1018" s="73" t="s">
        <v>6</v>
      </c>
      <c r="F1018" s="94">
        <v>8.3299999999999999E-2</v>
      </c>
      <c r="G1018" s="65">
        <f>VLOOKUP(D1018,upahbahan,3,FALSE)</f>
        <v>145000</v>
      </c>
      <c r="H1018" s="125">
        <f t="shared" si="102"/>
        <v>12078.5</v>
      </c>
    </row>
    <row r="1019" spans="3:9">
      <c r="C1019" s="143">
        <v>3</v>
      </c>
      <c r="D1019" s="60" t="s">
        <v>18</v>
      </c>
      <c r="E1019" s="73" t="s">
        <v>6</v>
      </c>
      <c r="F1019" s="94">
        <v>8.3000000000000001E-3</v>
      </c>
      <c r="G1019" s="65">
        <f>VLOOKUP(D1019,upahbahan,3,FALSE)</f>
        <v>150000</v>
      </c>
      <c r="H1019" s="125">
        <f t="shared" si="102"/>
        <v>1245</v>
      </c>
    </row>
    <row r="1020" spans="3:9">
      <c r="C1020" s="143">
        <v>4</v>
      </c>
      <c r="D1020" s="60" t="s">
        <v>19</v>
      </c>
      <c r="E1020" s="73" t="s">
        <v>6</v>
      </c>
      <c r="F1020" s="94">
        <v>2.8E-3</v>
      </c>
      <c r="G1020" s="65">
        <f>VLOOKUP(D1020,upahbahan,3,FALSE)</f>
        <v>145000</v>
      </c>
      <c r="H1020" s="125">
        <f t="shared" si="102"/>
        <v>406</v>
      </c>
    </row>
    <row r="1021" spans="3:9">
      <c r="C1021" s="145" t="s">
        <v>1220</v>
      </c>
      <c r="D1021" s="81"/>
      <c r="E1021" s="81"/>
      <c r="F1021" s="220"/>
      <c r="G1021" s="221"/>
      <c r="H1021" s="125">
        <f>SUM(H1017:H1020)</f>
        <v>38729.5</v>
      </c>
      <c r="I1021" s="223"/>
    </row>
    <row r="1022" spans="3:9">
      <c r="C1022" s="142" t="s">
        <v>1221</v>
      </c>
      <c r="D1022" s="60" t="s">
        <v>1222</v>
      </c>
      <c r="E1022" s="74"/>
      <c r="F1022" s="74"/>
      <c r="G1022" s="74"/>
      <c r="H1022" s="147"/>
    </row>
    <row r="1023" spans="3:9">
      <c r="C1023" s="201" t="s">
        <v>1215</v>
      </c>
      <c r="D1023" s="78" t="s">
        <v>435</v>
      </c>
      <c r="E1023" s="73" t="s">
        <v>44</v>
      </c>
      <c r="F1023" s="184">
        <v>2.9169999999999998</v>
      </c>
      <c r="G1023" s="65">
        <f>VLOOKUP(D1023,upahbahan,3,FALSE)</f>
        <v>12000</v>
      </c>
      <c r="H1023" s="125">
        <f t="shared" ref="H1023:H1026" si="103">F1023*G1023</f>
        <v>35004</v>
      </c>
    </row>
    <row r="1024" spans="3:9">
      <c r="C1024" s="201" t="s">
        <v>1216</v>
      </c>
      <c r="D1024" s="60" t="s">
        <v>568</v>
      </c>
      <c r="E1024" s="73" t="s">
        <v>66</v>
      </c>
      <c r="F1024" s="75">
        <v>13.632</v>
      </c>
      <c r="G1024" s="65">
        <f>VLOOKUP(D1024,upahbahan,3,FALSE)</f>
        <v>1300</v>
      </c>
      <c r="H1024" s="125">
        <f t="shared" si="103"/>
        <v>17721.599999999999</v>
      </c>
    </row>
    <row r="1025" spans="3:9">
      <c r="C1025" s="201" t="s">
        <v>1217</v>
      </c>
      <c r="D1025" s="60" t="s">
        <v>571</v>
      </c>
      <c r="E1025" s="73" t="s">
        <v>66</v>
      </c>
      <c r="F1025" s="75">
        <v>1.5</v>
      </c>
      <c r="G1025" s="65">
        <f>VLOOKUP(D1025,upahbahan,3,FALSE)</f>
        <v>7800</v>
      </c>
      <c r="H1025" s="125">
        <f t="shared" si="103"/>
        <v>11700</v>
      </c>
    </row>
    <row r="1026" spans="3:9">
      <c r="C1026" s="201" t="s">
        <v>1218</v>
      </c>
      <c r="D1026" s="78" t="s">
        <v>86</v>
      </c>
      <c r="E1026" s="73" t="s">
        <v>42</v>
      </c>
      <c r="F1026" s="75">
        <v>2.7E-2</v>
      </c>
      <c r="G1026" s="65">
        <f>VLOOKUP(D1026,upahbahan,3,FALSE)</f>
        <v>275000</v>
      </c>
      <c r="H1026" s="125">
        <f t="shared" si="103"/>
        <v>7425</v>
      </c>
    </row>
    <row r="1027" spans="3:9">
      <c r="C1027" s="145" t="s">
        <v>1226</v>
      </c>
      <c r="D1027" s="81"/>
      <c r="E1027" s="81"/>
      <c r="F1027" s="81"/>
      <c r="G1027" s="163"/>
      <c r="H1027" s="125">
        <f>SUM(H1023:H1026)</f>
        <v>71850.600000000006</v>
      </c>
    </row>
    <row r="1028" spans="3:9">
      <c r="C1028" s="153" t="s">
        <v>1227</v>
      </c>
      <c r="D1028" s="60" t="s">
        <v>1228</v>
      </c>
      <c r="E1028" s="74"/>
      <c r="F1028" s="74"/>
      <c r="G1028" s="74"/>
      <c r="H1028" s="147"/>
    </row>
    <row r="1029" spans="3:9">
      <c r="C1029" s="145" t="s">
        <v>1229</v>
      </c>
      <c r="D1029" s="81"/>
      <c r="E1029" s="81"/>
      <c r="F1029" s="81"/>
      <c r="G1029" s="163"/>
      <c r="H1029" s="154">
        <v>0</v>
      </c>
    </row>
    <row r="1030" spans="3:9">
      <c r="C1030" s="123" t="s">
        <v>1230</v>
      </c>
      <c r="D1030" s="70" t="s">
        <v>1231</v>
      </c>
      <c r="E1030" s="71"/>
      <c r="F1030" s="71"/>
      <c r="G1030" s="72"/>
      <c r="H1030" s="125">
        <f>H1029+H1027+H1021</f>
        <v>110580.1</v>
      </c>
    </row>
    <row r="1031" spans="3:9">
      <c r="C1031" s="123" t="s">
        <v>1232</v>
      </c>
      <c r="D1031" s="70" t="s">
        <v>1410</v>
      </c>
      <c r="E1031" s="71"/>
      <c r="F1031" s="72"/>
      <c r="G1031" s="96">
        <f>$M$7</f>
        <v>0.1</v>
      </c>
      <c r="H1031" s="125">
        <f>H1030*G1031</f>
        <v>11058.010000000002</v>
      </c>
    </row>
    <row r="1032" spans="3:9" ht="15.75" thickBot="1">
      <c r="C1032" s="131" t="s">
        <v>1233</v>
      </c>
      <c r="D1032" s="132" t="s">
        <v>1234</v>
      </c>
      <c r="E1032" s="133"/>
      <c r="F1032" s="133"/>
      <c r="G1032" s="156"/>
      <c r="H1032" s="135">
        <f>SUM(H1030:H1031)</f>
        <v>121638.11000000002</v>
      </c>
    </row>
    <row r="1033" spans="3:9" ht="15.75" thickTop="1">
      <c r="C1033" s="58"/>
      <c r="D1033" s="82"/>
      <c r="E1033" s="82"/>
      <c r="F1033" s="82"/>
      <c r="G1033" s="82"/>
      <c r="H1033" s="83"/>
    </row>
    <row r="1034" spans="3:9" ht="15.75" thickBot="1">
      <c r="C1034" s="237" t="s">
        <v>1594</v>
      </c>
      <c r="D1034" s="237"/>
      <c r="E1034" s="237"/>
      <c r="F1034" s="237"/>
      <c r="G1034" s="237"/>
      <c r="H1034" s="237"/>
      <c r="I1034" s="57">
        <f>ROUNDDOWN(H1052,-2)</f>
        <v>337700</v>
      </c>
    </row>
    <row r="1035" spans="3:9" ht="29.25" thickTop="1">
      <c r="C1035" s="120" t="s">
        <v>1207</v>
      </c>
      <c r="D1035" s="121" t="s">
        <v>1208</v>
      </c>
      <c r="E1035" s="121" t="s">
        <v>1209</v>
      </c>
      <c r="F1035" s="121" t="s">
        <v>1210</v>
      </c>
      <c r="G1035" s="121" t="s">
        <v>1211</v>
      </c>
      <c r="H1035" s="122" t="s">
        <v>1212</v>
      </c>
    </row>
    <row r="1036" spans="3:9">
      <c r="C1036" s="142" t="s">
        <v>1213</v>
      </c>
      <c r="D1036" s="60" t="s">
        <v>1214</v>
      </c>
      <c r="E1036" s="74"/>
      <c r="F1036" s="74"/>
      <c r="G1036" s="74"/>
      <c r="H1036" s="147"/>
    </row>
    <row r="1037" spans="3:9">
      <c r="C1037" s="143">
        <v>1</v>
      </c>
      <c r="D1037" s="60" t="s">
        <v>5</v>
      </c>
      <c r="E1037" s="73" t="s">
        <v>6</v>
      </c>
      <c r="F1037" s="94">
        <v>1</v>
      </c>
      <c r="G1037" s="65">
        <f>VLOOKUP(D1037,upahbahan,3,FALSE)</f>
        <v>100000</v>
      </c>
      <c r="H1037" s="125">
        <f t="shared" ref="H1037:H1040" si="104">F1037*G1037</f>
        <v>100000</v>
      </c>
    </row>
    <row r="1038" spans="3:9">
      <c r="C1038" s="143">
        <v>2</v>
      </c>
      <c r="D1038" s="60" t="s">
        <v>7</v>
      </c>
      <c r="E1038" s="73" t="s">
        <v>6</v>
      </c>
      <c r="F1038" s="94">
        <v>0.5</v>
      </c>
      <c r="G1038" s="65">
        <f>VLOOKUP(D1038,upahbahan,3,FALSE)</f>
        <v>145000</v>
      </c>
      <c r="H1038" s="125">
        <f t="shared" si="104"/>
        <v>72500</v>
      </c>
    </row>
    <row r="1039" spans="3:9">
      <c r="C1039" s="143">
        <v>3</v>
      </c>
      <c r="D1039" s="60" t="s">
        <v>18</v>
      </c>
      <c r="E1039" s="73" t="s">
        <v>6</v>
      </c>
      <c r="F1039" s="94">
        <v>0.05</v>
      </c>
      <c r="G1039" s="65">
        <f>VLOOKUP(D1039,upahbahan,3,FALSE)</f>
        <v>150000</v>
      </c>
      <c r="H1039" s="125">
        <f t="shared" si="104"/>
        <v>7500</v>
      </c>
    </row>
    <row r="1040" spans="3:9">
      <c r="C1040" s="143">
        <v>4</v>
      </c>
      <c r="D1040" s="60" t="s">
        <v>19</v>
      </c>
      <c r="E1040" s="73" t="s">
        <v>6</v>
      </c>
      <c r="F1040" s="94">
        <v>1.67E-2</v>
      </c>
      <c r="G1040" s="65">
        <f>VLOOKUP(D1040,upahbahan,3,FALSE)</f>
        <v>145000</v>
      </c>
      <c r="H1040" s="125">
        <f t="shared" si="104"/>
        <v>2421.5</v>
      </c>
    </row>
    <row r="1041" spans="3:9">
      <c r="C1041" s="145" t="s">
        <v>1220</v>
      </c>
      <c r="D1041" s="81"/>
      <c r="E1041" s="81"/>
      <c r="F1041" s="220"/>
      <c r="G1041" s="221"/>
      <c r="H1041" s="125">
        <f>SUM(H1037:H1040)</f>
        <v>182421.5</v>
      </c>
      <c r="I1041" s="223"/>
    </row>
    <row r="1042" spans="3:9">
      <c r="C1042" s="142" t="s">
        <v>1221</v>
      </c>
      <c r="D1042" s="60" t="s">
        <v>1222</v>
      </c>
      <c r="E1042" s="74"/>
      <c r="F1042" s="74"/>
      <c r="G1042" s="74"/>
      <c r="H1042" s="147"/>
    </row>
    <row r="1043" spans="3:9">
      <c r="C1043" s="201" t="s">
        <v>1215</v>
      </c>
      <c r="D1043" s="78" t="s">
        <v>434</v>
      </c>
      <c r="E1043" s="73" t="s">
        <v>44</v>
      </c>
      <c r="F1043" s="184">
        <v>10.833</v>
      </c>
      <c r="G1043" s="65">
        <f>VLOOKUP(D1043,upahbahan,3,FALSE)</f>
        <v>8100</v>
      </c>
      <c r="H1043" s="125">
        <f t="shared" ref="H1043:H1046" si="105">F1043*G1043</f>
        <v>87747.3</v>
      </c>
    </row>
    <row r="1044" spans="3:9">
      <c r="C1044" s="201" t="s">
        <v>1216</v>
      </c>
      <c r="D1044" s="60" t="s">
        <v>568</v>
      </c>
      <c r="E1044" s="73" t="s">
        <v>66</v>
      </c>
      <c r="F1044" s="75">
        <v>13.632</v>
      </c>
      <c r="G1044" s="65">
        <f>VLOOKUP(D1044,upahbahan,3,FALSE)</f>
        <v>1300</v>
      </c>
      <c r="H1044" s="125">
        <f t="shared" si="105"/>
        <v>17721.599999999999</v>
      </c>
    </row>
    <row r="1045" spans="3:9">
      <c r="C1045" s="201" t="s">
        <v>1217</v>
      </c>
      <c r="D1045" s="60" t="s">
        <v>571</v>
      </c>
      <c r="E1045" s="73" t="s">
        <v>66</v>
      </c>
      <c r="F1045" s="75">
        <v>1.5</v>
      </c>
      <c r="G1045" s="65">
        <f>VLOOKUP(D1045,upahbahan,3,FALSE)</f>
        <v>7800</v>
      </c>
      <c r="H1045" s="125">
        <f t="shared" si="105"/>
        <v>11700</v>
      </c>
    </row>
    <row r="1046" spans="3:9">
      <c r="C1046" s="201" t="s">
        <v>1218</v>
      </c>
      <c r="D1046" s="78" t="s">
        <v>86</v>
      </c>
      <c r="E1046" s="73" t="s">
        <v>42</v>
      </c>
      <c r="F1046" s="75">
        <v>2.7E-2</v>
      </c>
      <c r="G1046" s="65">
        <f>VLOOKUP(D1046,upahbahan,3,FALSE)</f>
        <v>275000</v>
      </c>
      <c r="H1046" s="125">
        <f t="shared" si="105"/>
        <v>7425</v>
      </c>
    </row>
    <row r="1047" spans="3:9">
      <c r="C1047" s="145" t="s">
        <v>1226</v>
      </c>
      <c r="D1047" s="81"/>
      <c r="E1047" s="81"/>
      <c r="F1047" s="81"/>
      <c r="G1047" s="163"/>
      <c r="H1047" s="125">
        <f>SUM(H1043:H1046)</f>
        <v>124593.9</v>
      </c>
    </row>
    <row r="1048" spans="3:9">
      <c r="C1048" s="153" t="s">
        <v>1227</v>
      </c>
      <c r="D1048" s="60" t="s">
        <v>1228</v>
      </c>
      <c r="E1048" s="74"/>
      <c r="F1048" s="74"/>
      <c r="G1048" s="74"/>
      <c r="H1048" s="147"/>
    </row>
    <row r="1049" spans="3:9">
      <c r="C1049" s="145" t="s">
        <v>1229</v>
      </c>
      <c r="D1049" s="81"/>
      <c r="E1049" s="81"/>
      <c r="F1049" s="81"/>
      <c r="G1049" s="163"/>
      <c r="H1049" s="154">
        <v>0</v>
      </c>
    </row>
    <row r="1050" spans="3:9">
      <c r="C1050" s="123" t="s">
        <v>1230</v>
      </c>
      <c r="D1050" s="70" t="s">
        <v>1231</v>
      </c>
      <c r="E1050" s="71"/>
      <c r="F1050" s="71"/>
      <c r="G1050" s="72"/>
      <c r="H1050" s="125">
        <f>H1049+H1047+H1041</f>
        <v>307015.40000000002</v>
      </c>
    </row>
    <row r="1051" spans="3:9">
      <c r="C1051" s="123" t="s">
        <v>1232</v>
      </c>
      <c r="D1051" s="70" t="s">
        <v>1410</v>
      </c>
      <c r="E1051" s="71"/>
      <c r="F1051" s="72"/>
      <c r="G1051" s="96">
        <f>$M$7</f>
        <v>0.1</v>
      </c>
      <c r="H1051" s="125">
        <f>H1050*G1051</f>
        <v>30701.540000000005</v>
      </c>
    </row>
    <row r="1052" spans="3:9" ht="15.75" thickBot="1">
      <c r="C1052" s="131" t="s">
        <v>1233</v>
      </c>
      <c r="D1052" s="132" t="s">
        <v>1234</v>
      </c>
      <c r="E1052" s="133"/>
      <c r="F1052" s="133"/>
      <c r="G1052" s="156"/>
      <c r="H1052" s="135">
        <f>SUM(H1050:H1051)</f>
        <v>337716.94</v>
      </c>
    </row>
    <row r="1053" spans="3:9" ht="15.75" thickTop="1">
      <c r="C1053" s="58"/>
      <c r="D1053" s="82"/>
      <c r="E1053" s="82"/>
      <c r="F1053" s="82"/>
      <c r="G1053" s="82"/>
      <c r="H1053" s="83"/>
    </row>
    <row r="1054" spans="3:9" ht="15.75" thickBot="1">
      <c r="C1054" s="237" t="s">
        <v>1595</v>
      </c>
      <c r="D1054" s="237"/>
      <c r="E1054" s="237"/>
      <c r="F1054" s="237"/>
      <c r="G1054" s="237"/>
      <c r="H1054" s="237"/>
      <c r="I1054" s="57">
        <f>ROUNDDOWN(H1072,-2)</f>
        <v>27900</v>
      </c>
    </row>
    <row r="1055" spans="3:9" ht="29.25" thickTop="1">
      <c r="C1055" s="120" t="s">
        <v>1207</v>
      </c>
      <c r="D1055" s="121" t="s">
        <v>1208</v>
      </c>
      <c r="E1055" s="121" t="s">
        <v>1209</v>
      </c>
      <c r="F1055" s="121" t="s">
        <v>1210</v>
      </c>
      <c r="G1055" s="121" t="s">
        <v>1211</v>
      </c>
      <c r="H1055" s="122" t="s">
        <v>1212</v>
      </c>
    </row>
    <row r="1056" spans="3:9">
      <c r="C1056" s="142" t="s">
        <v>1213</v>
      </c>
      <c r="D1056" s="60" t="s">
        <v>1214</v>
      </c>
      <c r="E1056" s="74"/>
      <c r="F1056" s="74"/>
      <c r="G1056" s="74"/>
      <c r="H1056" s="147"/>
    </row>
    <row r="1057" spans="3:9">
      <c r="C1057" s="143">
        <v>1</v>
      </c>
      <c r="D1057" s="60" t="s">
        <v>5</v>
      </c>
      <c r="E1057" s="73" t="s">
        <v>6</v>
      </c>
      <c r="F1057" s="94">
        <v>5.7099999999999998E-2</v>
      </c>
      <c r="G1057" s="65">
        <f>VLOOKUP(D1057,upahbahan,3,FALSE)</f>
        <v>100000</v>
      </c>
      <c r="H1057" s="125">
        <f t="shared" ref="H1057:H1060" si="106">F1057*G1057</f>
        <v>5710</v>
      </c>
    </row>
    <row r="1058" spans="3:9">
      <c r="C1058" s="143">
        <v>2</v>
      </c>
      <c r="D1058" s="60" t="s">
        <v>7</v>
      </c>
      <c r="E1058" s="73" t="s">
        <v>6</v>
      </c>
      <c r="F1058" s="94">
        <v>2.86E-2</v>
      </c>
      <c r="G1058" s="65">
        <f>VLOOKUP(D1058,upahbahan,3,FALSE)</f>
        <v>145000</v>
      </c>
      <c r="H1058" s="125">
        <f t="shared" si="106"/>
        <v>4147</v>
      </c>
    </row>
    <row r="1059" spans="3:9">
      <c r="C1059" s="143">
        <v>3</v>
      </c>
      <c r="D1059" s="60" t="s">
        <v>18</v>
      </c>
      <c r="E1059" s="73" t="s">
        <v>6</v>
      </c>
      <c r="F1059" s="94">
        <v>2.8999999999999998E-3</v>
      </c>
      <c r="G1059" s="65">
        <f>VLOOKUP(D1059,upahbahan,3,FALSE)</f>
        <v>150000</v>
      </c>
      <c r="H1059" s="125">
        <f t="shared" si="106"/>
        <v>434.99999999999994</v>
      </c>
    </row>
    <row r="1060" spans="3:9">
      <c r="C1060" s="143">
        <v>4</v>
      </c>
      <c r="D1060" s="60" t="s">
        <v>19</v>
      </c>
      <c r="E1060" s="73" t="s">
        <v>6</v>
      </c>
      <c r="F1060" s="94">
        <v>1E-3</v>
      </c>
      <c r="G1060" s="65">
        <f>VLOOKUP(D1060,upahbahan,3,FALSE)</f>
        <v>145000</v>
      </c>
      <c r="H1060" s="125">
        <f t="shared" si="106"/>
        <v>145</v>
      </c>
    </row>
    <row r="1061" spans="3:9">
      <c r="C1061" s="145" t="s">
        <v>1220</v>
      </c>
      <c r="D1061" s="81"/>
      <c r="E1061" s="81"/>
      <c r="F1061" s="220"/>
      <c r="G1061" s="221"/>
      <c r="H1061" s="125">
        <f>SUM(H1057:H1060)</f>
        <v>10437</v>
      </c>
      <c r="I1061" s="223"/>
    </row>
    <row r="1062" spans="3:9">
      <c r="C1062" s="142" t="s">
        <v>1221</v>
      </c>
      <c r="D1062" s="60" t="s">
        <v>1222</v>
      </c>
      <c r="E1062" s="74"/>
      <c r="F1062" s="74"/>
      <c r="G1062" s="74"/>
      <c r="H1062" s="147"/>
    </row>
    <row r="1063" spans="3:9">
      <c r="C1063" s="201" t="s">
        <v>1215</v>
      </c>
      <c r="D1063" s="78" t="s">
        <v>477</v>
      </c>
      <c r="E1063" s="73" t="s">
        <v>44</v>
      </c>
      <c r="F1063" s="75">
        <v>5.25</v>
      </c>
      <c r="G1063" s="65">
        <f>VLOOKUP(D1063,upahbahan,3,FALSE)</f>
        <v>2000</v>
      </c>
      <c r="H1063" s="125">
        <f t="shared" ref="H1063:H1066" si="107">F1063*G1063</f>
        <v>10500</v>
      </c>
    </row>
    <row r="1064" spans="3:9">
      <c r="C1064" s="201" t="s">
        <v>1216</v>
      </c>
      <c r="D1064" s="60" t="s">
        <v>568</v>
      </c>
      <c r="E1064" s="73" t="s">
        <v>66</v>
      </c>
      <c r="F1064" s="75">
        <v>1.704</v>
      </c>
      <c r="G1064" s="65">
        <f>VLOOKUP(D1064,upahbahan,3,FALSE)</f>
        <v>1300</v>
      </c>
      <c r="H1064" s="125">
        <f t="shared" si="107"/>
        <v>2215.1999999999998</v>
      </c>
    </row>
    <row r="1065" spans="3:9">
      <c r="C1065" s="201" t="s">
        <v>1217</v>
      </c>
      <c r="D1065" s="60" t="s">
        <v>571</v>
      </c>
      <c r="E1065" s="73" t="s">
        <v>66</v>
      </c>
      <c r="F1065" s="75">
        <v>0.188</v>
      </c>
      <c r="G1065" s="65">
        <f>VLOOKUP(D1065,upahbahan,3,FALSE)</f>
        <v>7800</v>
      </c>
      <c r="H1065" s="125">
        <f t="shared" si="107"/>
        <v>1466.4</v>
      </c>
    </row>
    <row r="1066" spans="3:9">
      <c r="C1066" s="201" t="s">
        <v>1218</v>
      </c>
      <c r="D1066" s="78" t="s">
        <v>86</v>
      </c>
      <c r="E1066" s="73" t="s">
        <v>42</v>
      </c>
      <c r="F1066" s="75">
        <v>3.0000000000000001E-3</v>
      </c>
      <c r="G1066" s="65">
        <f>VLOOKUP(D1066,upahbahan,3,FALSE)</f>
        <v>275000</v>
      </c>
      <c r="H1066" s="125">
        <f t="shared" si="107"/>
        <v>825</v>
      </c>
    </row>
    <row r="1067" spans="3:9">
      <c r="C1067" s="145" t="s">
        <v>1226</v>
      </c>
      <c r="D1067" s="81"/>
      <c r="E1067" s="81"/>
      <c r="F1067" s="81"/>
      <c r="G1067" s="163"/>
      <c r="H1067" s="125">
        <f>SUM(H1063:H1066)</f>
        <v>15006.6</v>
      </c>
    </row>
    <row r="1068" spans="3:9">
      <c r="C1068" s="153" t="s">
        <v>1227</v>
      </c>
      <c r="D1068" s="60" t="s">
        <v>1228</v>
      </c>
      <c r="E1068" s="74"/>
      <c r="F1068" s="74"/>
      <c r="G1068" s="74"/>
      <c r="H1068" s="147"/>
    </row>
    <row r="1069" spans="3:9">
      <c r="C1069" s="145" t="s">
        <v>1229</v>
      </c>
      <c r="D1069" s="81"/>
      <c r="E1069" s="81"/>
      <c r="F1069" s="81"/>
      <c r="G1069" s="163"/>
      <c r="H1069" s="154">
        <v>0</v>
      </c>
    </row>
    <row r="1070" spans="3:9">
      <c r="C1070" s="123" t="s">
        <v>1230</v>
      </c>
      <c r="D1070" s="70" t="s">
        <v>1231</v>
      </c>
      <c r="E1070" s="71"/>
      <c r="F1070" s="71"/>
      <c r="G1070" s="72"/>
      <c r="H1070" s="125">
        <f>H1069+H1067+H1061</f>
        <v>25443.599999999999</v>
      </c>
    </row>
    <row r="1071" spans="3:9">
      <c r="C1071" s="123" t="s">
        <v>1232</v>
      </c>
      <c r="D1071" s="70" t="s">
        <v>1410</v>
      </c>
      <c r="E1071" s="71"/>
      <c r="F1071" s="72"/>
      <c r="G1071" s="96">
        <f>$M$7</f>
        <v>0.1</v>
      </c>
      <c r="H1071" s="125">
        <f>H1070*G1071</f>
        <v>2544.36</v>
      </c>
    </row>
    <row r="1072" spans="3:9" ht="15.75" thickBot="1">
      <c r="C1072" s="131" t="s">
        <v>1233</v>
      </c>
      <c r="D1072" s="132" t="s">
        <v>1234</v>
      </c>
      <c r="E1072" s="133"/>
      <c r="F1072" s="133"/>
      <c r="G1072" s="156"/>
      <c r="H1072" s="135">
        <f>SUM(H1070:H1071)</f>
        <v>27987.96</v>
      </c>
    </row>
    <row r="1073" spans="3:9" ht="15.75" thickTop="1">
      <c r="C1073" s="58"/>
      <c r="D1073" s="82"/>
      <c r="E1073" s="82"/>
      <c r="F1073" s="82"/>
      <c r="G1073" s="82"/>
      <c r="H1073" s="83"/>
    </row>
    <row r="1074" spans="3:9" ht="15.75" thickBot="1">
      <c r="C1074" s="237" t="s">
        <v>1596</v>
      </c>
      <c r="D1074" s="237"/>
      <c r="E1074" s="237"/>
      <c r="F1074" s="237"/>
      <c r="G1074" s="237"/>
      <c r="H1074" s="237"/>
      <c r="I1074" s="57">
        <f>ROUNDDOWN(H1092,-2)</f>
        <v>29000</v>
      </c>
    </row>
    <row r="1075" spans="3:9" ht="29.25" thickTop="1">
      <c r="C1075" s="120" t="s">
        <v>1207</v>
      </c>
      <c r="D1075" s="121" t="s">
        <v>1208</v>
      </c>
      <c r="E1075" s="121" t="s">
        <v>1209</v>
      </c>
      <c r="F1075" s="121" t="s">
        <v>1210</v>
      </c>
      <c r="G1075" s="121" t="s">
        <v>1211</v>
      </c>
      <c r="H1075" s="122" t="s">
        <v>1212</v>
      </c>
    </row>
    <row r="1076" spans="3:9">
      <c r="C1076" s="142" t="s">
        <v>1213</v>
      </c>
      <c r="D1076" s="60" t="s">
        <v>1214</v>
      </c>
      <c r="E1076" s="74"/>
      <c r="F1076" s="74"/>
      <c r="G1076" s="74"/>
      <c r="H1076" s="147"/>
    </row>
    <row r="1077" spans="3:9">
      <c r="C1077" s="143">
        <v>1</v>
      </c>
      <c r="D1077" s="60" t="s">
        <v>5</v>
      </c>
      <c r="E1077" s="73" t="s">
        <v>6</v>
      </c>
      <c r="F1077" s="94">
        <v>6.25E-2</v>
      </c>
      <c r="G1077" s="65">
        <f>VLOOKUP(D1077,upahbahan,3,FALSE)</f>
        <v>100000</v>
      </c>
      <c r="H1077" s="125">
        <f t="shared" ref="H1077:H1080" si="108">F1077*G1077</f>
        <v>6250</v>
      </c>
    </row>
    <row r="1078" spans="3:9">
      <c r="C1078" s="143">
        <v>2</v>
      </c>
      <c r="D1078" s="60" t="s">
        <v>7</v>
      </c>
      <c r="E1078" s="73" t="s">
        <v>6</v>
      </c>
      <c r="F1078" s="94">
        <v>3.1300000000000001E-2</v>
      </c>
      <c r="G1078" s="65">
        <f>VLOOKUP(D1078,upahbahan,3,FALSE)</f>
        <v>145000</v>
      </c>
      <c r="H1078" s="125">
        <f t="shared" si="108"/>
        <v>4538.5</v>
      </c>
    </row>
    <row r="1079" spans="3:9">
      <c r="C1079" s="143">
        <v>3</v>
      </c>
      <c r="D1079" s="60" t="s">
        <v>18</v>
      </c>
      <c r="E1079" s="73" t="s">
        <v>6</v>
      </c>
      <c r="F1079" s="94">
        <v>3.0999999999999999E-3</v>
      </c>
      <c r="G1079" s="65">
        <f>VLOOKUP(D1079,upahbahan,3,FALSE)</f>
        <v>150000</v>
      </c>
      <c r="H1079" s="125">
        <f t="shared" si="108"/>
        <v>465</v>
      </c>
    </row>
    <row r="1080" spans="3:9">
      <c r="C1080" s="143">
        <v>4</v>
      </c>
      <c r="D1080" s="60" t="s">
        <v>19</v>
      </c>
      <c r="E1080" s="73" t="s">
        <v>6</v>
      </c>
      <c r="F1080" s="94">
        <v>1E-3</v>
      </c>
      <c r="G1080" s="65">
        <f>VLOOKUP(D1080,upahbahan,3,FALSE)</f>
        <v>145000</v>
      </c>
      <c r="H1080" s="125">
        <f t="shared" si="108"/>
        <v>145</v>
      </c>
    </row>
    <row r="1081" spans="3:9">
      <c r="C1081" s="145" t="s">
        <v>1220</v>
      </c>
      <c r="D1081" s="81"/>
      <c r="E1081" s="81"/>
      <c r="F1081" s="220"/>
      <c r="G1081" s="221"/>
      <c r="H1081" s="125">
        <f>SUM(H1077:H1080)</f>
        <v>11398.5</v>
      </c>
      <c r="I1081" s="223"/>
    </row>
    <row r="1082" spans="3:9">
      <c r="C1082" s="142" t="s">
        <v>1221</v>
      </c>
      <c r="D1082" s="60" t="s">
        <v>1222</v>
      </c>
      <c r="E1082" s="74"/>
      <c r="F1082" s="74"/>
      <c r="G1082" s="74"/>
      <c r="H1082" s="147"/>
    </row>
    <row r="1083" spans="3:9">
      <c r="C1083" s="201" t="s">
        <v>1215</v>
      </c>
      <c r="D1083" s="78" t="s">
        <v>478</v>
      </c>
      <c r="E1083" s="73" t="s">
        <v>44</v>
      </c>
      <c r="F1083" s="75">
        <v>3.5</v>
      </c>
      <c r="G1083" s="65">
        <f>VLOOKUP(D1083,upahbahan,3,FALSE)</f>
        <v>3000</v>
      </c>
      <c r="H1083" s="125">
        <f t="shared" ref="H1083:H1086" si="109">F1083*G1083</f>
        <v>10500</v>
      </c>
    </row>
    <row r="1084" spans="3:9">
      <c r="C1084" s="201" t="s">
        <v>1216</v>
      </c>
      <c r="D1084" s="60" t="s">
        <v>568</v>
      </c>
      <c r="E1084" s="73" t="s">
        <v>66</v>
      </c>
      <c r="F1084" s="75">
        <v>1.704</v>
      </c>
      <c r="G1084" s="65">
        <f>VLOOKUP(D1084,upahbahan,3,FALSE)</f>
        <v>1300</v>
      </c>
      <c r="H1084" s="125">
        <f t="shared" si="109"/>
        <v>2215.1999999999998</v>
      </c>
    </row>
    <row r="1085" spans="3:9">
      <c r="C1085" s="201" t="s">
        <v>1217</v>
      </c>
      <c r="D1085" s="60" t="s">
        <v>571</v>
      </c>
      <c r="E1085" s="73" t="s">
        <v>66</v>
      </c>
      <c r="F1085" s="75">
        <v>0.188</v>
      </c>
      <c r="G1085" s="65">
        <f>VLOOKUP(D1085,upahbahan,3,FALSE)</f>
        <v>7800</v>
      </c>
      <c r="H1085" s="125">
        <f t="shared" si="109"/>
        <v>1466.4</v>
      </c>
    </row>
    <row r="1086" spans="3:9">
      <c r="C1086" s="201" t="s">
        <v>1218</v>
      </c>
      <c r="D1086" s="78" t="s">
        <v>86</v>
      </c>
      <c r="E1086" s="73" t="s">
        <v>42</v>
      </c>
      <c r="F1086" s="75">
        <v>3.0000000000000001E-3</v>
      </c>
      <c r="G1086" s="65">
        <f>VLOOKUP(D1086,upahbahan,3,FALSE)</f>
        <v>275000</v>
      </c>
      <c r="H1086" s="125">
        <f t="shared" si="109"/>
        <v>825</v>
      </c>
    </row>
    <row r="1087" spans="3:9">
      <c r="C1087" s="145" t="s">
        <v>1226</v>
      </c>
      <c r="D1087" s="81"/>
      <c r="E1087" s="81"/>
      <c r="F1087" s="81"/>
      <c r="G1087" s="163"/>
      <c r="H1087" s="125">
        <f>SUM(H1083:H1086)</f>
        <v>15006.6</v>
      </c>
    </row>
    <row r="1088" spans="3:9">
      <c r="C1088" s="153" t="s">
        <v>1227</v>
      </c>
      <c r="D1088" s="60" t="s">
        <v>1228</v>
      </c>
      <c r="E1088" s="74"/>
      <c r="F1088" s="74"/>
      <c r="G1088" s="74"/>
      <c r="H1088" s="147"/>
    </row>
    <row r="1089" spans="3:9">
      <c r="C1089" s="145" t="s">
        <v>1229</v>
      </c>
      <c r="D1089" s="81"/>
      <c r="E1089" s="81"/>
      <c r="F1089" s="81"/>
      <c r="G1089" s="163"/>
      <c r="H1089" s="154">
        <v>0</v>
      </c>
    </row>
    <row r="1090" spans="3:9">
      <c r="C1090" s="123" t="s">
        <v>1230</v>
      </c>
      <c r="D1090" s="70" t="s">
        <v>1231</v>
      </c>
      <c r="E1090" s="71"/>
      <c r="F1090" s="71"/>
      <c r="G1090" s="72"/>
      <c r="H1090" s="125">
        <f>H1089+H1087+H1081</f>
        <v>26405.1</v>
      </c>
    </row>
    <row r="1091" spans="3:9">
      <c r="C1091" s="123" t="s">
        <v>1232</v>
      </c>
      <c r="D1091" s="70" t="s">
        <v>1410</v>
      </c>
      <c r="E1091" s="71"/>
      <c r="F1091" s="72"/>
      <c r="G1091" s="96">
        <f>$M$7</f>
        <v>0.1</v>
      </c>
      <c r="H1091" s="125">
        <f>H1090*G1091</f>
        <v>2640.51</v>
      </c>
    </row>
    <row r="1092" spans="3:9" ht="15.75" thickBot="1">
      <c r="C1092" s="131" t="s">
        <v>1233</v>
      </c>
      <c r="D1092" s="132" t="s">
        <v>1234</v>
      </c>
      <c r="E1092" s="133"/>
      <c r="F1092" s="133"/>
      <c r="G1092" s="156"/>
      <c r="H1092" s="135">
        <f>SUM(H1090:H1091)</f>
        <v>29045.61</v>
      </c>
    </row>
    <row r="1093" spans="3:9" ht="15.75" thickTop="1">
      <c r="C1093" s="90"/>
      <c r="D1093" s="91"/>
      <c r="E1093" s="91"/>
      <c r="F1093" s="91"/>
      <c r="G1093" s="91"/>
      <c r="H1093" s="92"/>
    </row>
    <row r="1094" spans="3:9" ht="15.75" thickBot="1">
      <c r="C1094" s="237" t="s">
        <v>1597</v>
      </c>
      <c r="D1094" s="237"/>
      <c r="E1094" s="237"/>
      <c r="F1094" s="237"/>
      <c r="G1094" s="237"/>
      <c r="H1094" s="237"/>
      <c r="I1094" s="57">
        <f>ROUNDDOWN(H1112,-2)</f>
        <v>29800</v>
      </c>
    </row>
    <row r="1095" spans="3:9" ht="29.25" thickTop="1">
      <c r="C1095" s="120" t="s">
        <v>1207</v>
      </c>
      <c r="D1095" s="121" t="s">
        <v>1208</v>
      </c>
      <c r="E1095" s="121" t="s">
        <v>1209</v>
      </c>
      <c r="F1095" s="121" t="s">
        <v>1210</v>
      </c>
      <c r="G1095" s="121" t="s">
        <v>1211</v>
      </c>
      <c r="H1095" s="122" t="s">
        <v>1212</v>
      </c>
    </row>
    <row r="1096" spans="3:9">
      <c r="C1096" s="142" t="s">
        <v>1213</v>
      </c>
      <c r="D1096" s="60" t="s">
        <v>1214</v>
      </c>
      <c r="E1096" s="74"/>
      <c r="F1096" s="74"/>
      <c r="G1096" s="74"/>
      <c r="H1096" s="147"/>
    </row>
    <row r="1097" spans="3:9">
      <c r="C1097" s="143">
        <v>1</v>
      </c>
      <c r="D1097" s="60" t="s">
        <v>5</v>
      </c>
      <c r="E1097" s="73" t="s">
        <v>6</v>
      </c>
      <c r="F1097" s="184">
        <v>6.6699999999999995E-2</v>
      </c>
      <c r="G1097" s="65">
        <f>VLOOKUP(D1097,upahbahan,3,FALSE)</f>
        <v>100000</v>
      </c>
      <c r="H1097" s="125">
        <f t="shared" ref="H1097:H1100" si="110">F1097*G1097</f>
        <v>6669.9999999999991</v>
      </c>
    </row>
    <row r="1098" spans="3:9">
      <c r="C1098" s="143">
        <v>2</v>
      </c>
      <c r="D1098" s="60" t="s">
        <v>7</v>
      </c>
      <c r="E1098" s="73" t="s">
        <v>6</v>
      </c>
      <c r="F1098" s="184">
        <v>3.3300000000000003E-2</v>
      </c>
      <c r="G1098" s="65">
        <f>VLOOKUP(D1098,upahbahan,3,FALSE)</f>
        <v>145000</v>
      </c>
      <c r="H1098" s="125">
        <f t="shared" si="110"/>
        <v>4828.5000000000009</v>
      </c>
    </row>
    <row r="1099" spans="3:9">
      <c r="C1099" s="143">
        <v>3</v>
      </c>
      <c r="D1099" s="60" t="s">
        <v>18</v>
      </c>
      <c r="E1099" s="73" t="s">
        <v>6</v>
      </c>
      <c r="F1099" s="184">
        <v>3.3E-3</v>
      </c>
      <c r="G1099" s="65">
        <f>VLOOKUP(D1099,upahbahan,3,FALSE)</f>
        <v>150000</v>
      </c>
      <c r="H1099" s="125">
        <f t="shared" si="110"/>
        <v>495</v>
      </c>
    </row>
    <row r="1100" spans="3:9">
      <c r="C1100" s="143">
        <v>4</v>
      </c>
      <c r="D1100" s="60" t="s">
        <v>19</v>
      </c>
      <c r="E1100" s="73" t="s">
        <v>6</v>
      </c>
      <c r="F1100" s="184">
        <v>1.1000000000000001E-3</v>
      </c>
      <c r="G1100" s="65">
        <f>VLOOKUP(D1100,upahbahan,3,FALSE)</f>
        <v>145000</v>
      </c>
      <c r="H1100" s="125">
        <f t="shared" si="110"/>
        <v>159.5</v>
      </c>
    </row>
    <row r="1101" spans="3:9">
      <c r="C1101" s="145" t="s">
        <v>1220</v>
      </c>
      <c r="D1101" s="81"/>
      <c r="E1101" s="81"/>
      <c r="F1101" s="220"/>
      <c r="G1101" s="221"/>
      <c r="H1101" s="125">
        <f>SUM(H1097:H1100)</f>
        <v>12153</v>
      </c>
      <c r="I1101" s="223"/>
    </row>
    <row r="1102" spans="3:9">
      <c r="C1102" s="142" t="s">
        <v>1221</v>
      </c>
      <c r="D1102" s="60" t="s">
        <v>1222</v>
      </c>
      <c r="E1102" s="74"/>
      <c r="F1102" s="74"/>
      <c r="G1102" s="74"/>
      <c r="H1102" s="147"/>
    </row>
    <row r="1103" spans="3:9">
      <c r="C1103" s="201" t="s">
        <v>1215</v>
      </c>
      <c r="D1103" s="78" t="s">
        <v>479</v>
      </c>
      <c r="E1103" s="73" t="s">
        <v>44</v>
      </c>
      <c r="F1103" s="184">
        <v>2.625</v>
      </c>
      <c r="G1103" s="65">
        <f>VLOOKUP(D1103,upahbahan,3,FALSE)</f>
        <v>4000</v>
      </c>
      <c r="H1103" s="125">
        <f t="shared" ref="H1103:H1106" si="111">F1103*G1103</f>
        <v>10500</v>
      </c>
    </row>
    <row r="1104" spans="3:9">
      <c r="C1104" s="201" t="s">
        <v>1216</v>
      </c>
      <c r="D1104" s="60" t="s">
        <v>568</v>
      </c>
      <c r="E1104" s="73" t="s">
        <v>66</v>
      </c>
      <c r="F1104" s="75">
        <v>1.704</v>
      </c>
      <c r="G1104" s="65">
        <f>VLOOKUP(D1104,upahbahan,3,FALSE)</f>
        <v>1300</v>
      </c>
      <c r="H1104" s="125">
        <f t="shared" si="111"/>
        <v>2215.1999999999998</v>
      </c>
    </row>
    <row r="1105" spans="3:9">
      <c r="C1105" s="201" t="s">
        <v>1217</v>
      </c>
      <c r="D1105" s="60" t="s">
        <v>571</v>
      </c>
      <c r="E1105" s="73" t="s">
        <v>66</v>
      </c>
      <c r="F1105" s="75">
        <v>0.188</v>
      </c>
      <c r="G1105" s="65">
        <f>VLOOKUP(D1105,upahbahan,3,FALSE)</f>
        <v>7800</v>
      </c>
      <c r="H1105" s="125">
        <f t="shared" si="111"/>
        <v>1466.4</v>
      </c>
    </row>
    <row r="1106" spans="3:9">
      <c r="C1106" s="201" t="s">
        <v>1218</v>
      </c>
      <c r="D1106" s="78" t="s">
        <v>86</v>
      </c>
      <c r="E1106" s="73" t="s">
        <v>42</v>
      </c>
      <c r="F1106" s="75">
        <v>3.0000000000000001E-3</v>
      </c>
      <c r="G1106" s="65">
        <f>VLOOKUP(D1106,upahbahan,3,FALSE)</f>
        <v>275000</v>
      </c>
      <c r="H1106" s="125">
        <f t="shared" si="111"/>
        <v>825</v>
      </c>
    </row>
    <row r="1107" spans="3:9">
      <c r="C1107" s="145" t="s">
        <v>1226</v>
      </c>
      <c r="D1107" s="81"/>
      <c r="E1107" s="81"/>
      <c r="F1107" s="81"/>
      <c r="G1107" s="163"/>
      <c r="H1107" s="125">
        <f>SUM(H1103:H1106)</f>
        <v>15006.6</v>
      </c>
    </row>
    <row r="1108" spans="3:9">
      <c r="C1108" s="153" t="s">
        <v>1227</v>
      </c>
      <c r="D1108" s="60" t="s">
        <v>1228</v>
      </c>
      <c r="E1108" s="74"/>
      <c r="F1108" s="74"/>
      <c r="G1108" s="74"/>
      <c r="H1108" s="147"/>
    </row>
    <row r="1109" spans="3:9">
      <c r="C1109" s="145" t="s">
        <v>1229</v>
      </c>
      <c r="D1109" s="81"/>
      <c r="E1109" s="81"/>
      <c r="F1109" s="81"/>
      <c r="G1109" s="163"/>
      <c r="H1109" s="154">
        <v>0</v>
      </c>
    </row>
    <row r="1110" spans="3:9">
      <c r="C1110" s="123" t="s">
        <v>1230</v>
      </c>
      <c r="D1110" s="70" t="s">
        <v>1231</v>
      </c>
      <c r="E1110" s="71"/>
      <c r="F1110" s="71"/>
      <c r="G1110" s="72"/>
      <c r="H1110" s="125">
        <f>H1109+H1107+H1101</f>
        <v>27159.599999999999</v>
      </c>
    </row>
    <row r="1111" spans="3:9">
      <c r="C1111" s="123" t="s">
        <v>1232</v>
      </c>
      <c r="D1111" s="70" t="s">
        <v>1410</v>
      </c>
      <c r="E1111" s="71"/>
      <c r="F1111" s="72"/>
      <c r="G1111" s="96">
        <f>$M$7</f>
        <v>0.1</v>
      </c>
      <c r="H1111" s="125">
        <f>H1110*G1111</f>
        <v>2715.96</v>
      </c>
    </row>
    <row r="1112" spans="3:9" ht="15.75" thickBot="1">
      <c r="C1112" s="131" t="s">
        <v>1233</v>
      </c>
      <c r="D1112" s="132" t="s">
        <v>1234</v>
      </c>
      <c r="E1112" s="133"/>
      <c r="F1112" s="133"/>
      <c r="G1112" s="156"/>
      <c r="H1112" s="135">
        <f>SUM(H1110:H1111)</f>
        <v>29875.559999999998</v>
      </c>
    </row>
    <row r="1113" spans="3:9" ht="15.75" thickTop="1">
      <c r="C1113" s="90"/>
      <c r="D1113" s="91"/>
      <c r="E1113" s="91"/>
      <c r="F1113" s="91"/>
      <c r="G1113" s="91"/>
      <c r="H1113" s="92"/>
    </row>
    <row r="1114" spans="3:9" ht="15.75" thickBot="1">
      <c r="C1114" s="237" t="s">
        <v>1598</v>
      </c>
      <c r="D1114" s="237"/>
      <c r="E1114" s="237"/>
      <c r="F1114" s="237"/>
      <c r="G1114" s="237"/>
      <c r="H1114" s="237"/>
      <c r="I1114" s="57">
        <f>ROUNDDOWN(H1132,-2)</f>
        <v>28900</v>
      </c>
    </row>
    <row r="1115" spans="3:9" ht="29.25" thickTop="1">
      <c r="C1115" s="120" t="s">
        <v>1207</v>
      </c>
      <c r="D1115" s="121" t="s">
        <v>1208</v>
      </c>
      <c r="E1115" s="121" t="s">
        <v>1209</v>
      </c>
      <c r="F1115" s="121" t="s">
        <v>1210</v>
      </c>
      <c r="G1115" s="121" t="s">
        <v>1211</v>
      </c>
      <c r="H1115" s="122" t="s">
        <v>1212</v>
      </c>
    </row>
    <row r="1116" spans="3:9">
      <c r="C1116" s="142" t="s">
        <v>1213</v>
      </c>
      <c r="D1116" s="60" t="s">
        <v>1214</v>
      </c>
      <c r="E1116" s="74"/>
      <c r="F1116" s="74"/>
      <c r="G1116" s="74"/>
      <c r="H1116" s="147"/>
    </row>
    <row r="1117" spans="3:9">
      <c r="C1117" s="143">
        <v>1</v>
      </c>
      <c r="D1117" s="60" t="s">
        <v>5</v>
      </c>
      <c r="E1117" s="73" t="s">
        <v>6</v>
      </c>
      <c r="F1117" s="184">
        <v>7.1400000000000005E-2</v>
      </c>
      <c r="G1117" s="65">
        <f>VLOOKUP(D1117,upahbahan,3,FALSE)</f>
        <v>100000</v>
      </c>
      <c r="H1117" s="125">
        <f t="shared" ref="H1117:H1120" si="112">F1117*G1117</f>
        <v>7140.0000000000009</v>
      </c>
    </row>
    <row r="1118" spans="3:9">
      <c r="C1118" s="143">
        <v>2</v>
      </c>
      <c r="D1118" s="60" t="s">
        <v>7</v>
      </c>
      <c r="E1118" s="73" t="s">
        <v>6</v>
      </c>
      <c r="F1118" s="184">
        <v>3.5700000000000003E-2</v>
      </c>
      <c r="G1118" s="65">
        <f>VLOOKUP(D1118,upahbahan,3,FALSE)</f>
        <v>145000</v>
      </c>
      <c r="H1118" s="125">
        <f t="shared" si="112"/>
        <v>5176.5</v>
      </c>
    </row>
    <row r="1119" spans="3:9">
      <c r="C1119" s="143">
        <v>3</v>
      </c>
      <c r="D1119" s="60" t="s">
        <v>18</v>
      </c>
      <c r="E1119" s="73" t="s">
        <v>6</v>
      </c>
      <c r="F1119" s="184">
        <v>3.5999999999999999E-3</v>
      </c>
      <c r="G1119" s="65">
        <f>VLOOKUP(D1119,upahbahan,3,FALSE)</f>
        <v>150000</v>
      </c>
      <c r="H1119" s="125">
        <f t="shared" si="112"/>
        <v>540</v>
      </c>
    </row>
    <row r="1120" spans="3:9">
      <c r="C1120" s="143">
        <v>4</v>
      </c>
      <c r="D1120" s="60" t="s">
        <v>19</v>
      </c>
      <c r="E1120" s="73" t="s">
        <v>6</v>
      </c>
      <c r="F1120" s="184">
        <v>1.1999999999999999E-3</v>
      </c>
      <c r="G1120" s="65">
        <f>VLOOKUP(D1120,upahbahan,3,FALSE)</f>
        <v>145000</v>
      </c>
      <c r="H1120" s="125">
        <f t="shared" si="112"/>
        <v>173.99999999999997</v>
      </c>
    </row>
    <row r="1121" spans="3:9">
      <c r="C1121" s="145" t="s">
        <v>1220</v>
      </c>
      <c r="D1121" s="81"/>
      <c r="E1121" s="81"/>
      <c r="F1121" s="220"/>
      <c r="G1121" s="221"/>
      <c r="H1121" s="125">
        <f>SUM(H1117:H1120)</f>
        <v>13030.5</v>
      </c>
      <c r="I1121" s="223"/>
    </row>
    <row r="1122" spans="3:9">
      <c r="C1122" s="142" t="s">
        <v>1221</v>
      </c>
      <c r="D1122" s="60" t="s">
        <v>1222</v>
      </c>
      <c r="E1122" s="74"/>
      <c r="F1122" s="74"/>
      <c r="G1122" s="74"/>
      <c r="H1122" s="147"/>
    </row>
    <row r="1123" spans="3:9">
      <c r="C1123" s="201" t="s">
        <v>1215</v>
      </c>
      <c r="D1123" s="60" t="s">
        <v>480</v>
      </c>
      <c r="E1123" s="73" t="s">
        <v>44</v>
      </c>
      <c r="F1123" s="75">
        <v>1.75</v>
      </c>
      <c r="G1123" s="65">
        <f>VLOOKUP(D1123,upahbahan,3,FALSE)</f>
        <v>5000</v>
      </c>
      <c r="H1123" s="125">
        <f t="shared" ref="H1123:H1126" si="113">F1123*G1123</f>
        <v>8750</v>
      </c>
    </row>
    <row r="1124" spans="3:9">
      <c r="C1124" s="201" t="s">
        <v>1216</v>
      </c>
      <c r="D1124" s="60" t="s">
        <v>568</v>
      </c>
      <c r="E1124" s="73" t="s">
        <v>66</v>
      </c>
      <c r="F1124" s="75">
        <v>1.704</v>
      </c>
      <c r="G1124" s="65">
        <f>VLOOKUP(D1124,upahbahan,3,FALSE)</f>
        <v>1300</v>
      </c>
      <c r="H1124" s="125">
        <f t="shared" si="113"/>
        <v>2215.1999999999998</v>
      </c>
    </row>
    <row r="1125" spans="3:9">
      <c r="C1125" s="201" t="s">
        <v>1217</v>
      </c>
      <c r="D1125" s="60" t="s">
        <v>571</v>
      </c>
      <c r="E1125" s="73" t="s">
        <v>66</v>
      </c>
      <c r="F1125" s="75">
        <v>0.188</v>
      </c>
      <c r="G1125" s="65">
        <f>VLOOKUP(D1125,upahbahan,3,FALSE)</f>
        <v>7800</v>
      </c>
      <c r="H1125" s="125">
        <f t="shared" si="113"/>
        <v>1466.4</v>
      </c>
    </row>
    <row r="1126" spans="3:9">
      <c r="C1126" s="201" t="s">
        <v>1218</v>
      </c>
      <c r="D1126" s="78" t="s">
        <v>86</v>
      </c>
      <c r="E1126" s="73" t="s">
        <v>42</v>
      </c>
      <c r="F1126" s="75">
        <v>3.0000000000000001E-3</v>
      </c>
      <c r="G1126" s="65">
        <f>VLOOKUP(D1126,upahbahan,3,FALSE)</f>
        <v>275000</v>
      </c>
      <c r="H1126" s="125">
        <f t="shared" si="113"/>
        <v>825</v>
      </c>
    </row>
    <row r="1127" spans="3:9">
      <c r="C1127" s="145" t="s">
        <v>1226</v>
      </c>
      <c r="D1127" s="81"/>
      <c r="E1127" s="81"/>
      <c r="F1127" s="81"/>
      <c r="G1127" s="163"/>
      <c r="H1127" s="125">
        <f>SUM(H1123:H1126)</f>
        <v>13256.6</v>
      </c>
    </row>
    <row r="1128" spans="3:9">
      <c r="C1128" s="153" t="s">
        <v>1227</v>
      </c>
      <c r="D1128" s="60" t="s">
        <v>1228</v>
      </c>
      <c r="E1128" s="74"/>
      <c r="F1128" s="74"/>
      <c r="G1128" s="74"/>
      <c r="H1128" s="147"/>
    </row>
    <row r="1129" spans="3:9">
      <c r="C1129" s="145" t="s">
        <v>1229</v>
      </c>
      <c r="D1129" s="81"/>
      <c r="E1129" s="81"/>
      <c r="F1129" s="81"/>
      <c r="G1129" s="163"/>
      <c r="H1129" s="154">
        <v>0</v>
      </c>
    </row>
    <row r="1130" spans="3:9">
      <c r="C1130" s="123" t="s">
        <v>1230</v>
      </c>
      <c r="D1130" s="70" t="s">
        <v>1231</v>
      </c>
      <c r="E1130" s="71"/>
      <c r="F1130" s="71"/>
      <c r="G1130" s="72"/>
      <c r="H1130" s="125">
        <f>H1129+H1127+H1121</f>
        <v>26287.1</v>
      </c>
    </row>
    <row r="1131" spans="3:9">
      <c r="C1131" s="123" t="s">
        <v>1232</v>
      </c>
      <c r="D1131" s="70" t="s">
        <v>1410</v>
      </c>
      <c r="E1131" s="71"/>
      <c r="F1131" s="72"/>
      <c r="G1131" s="96">
        <f>$M$7</f>
        <v>0.1</v>
      </c>
      <c r="H1131" s="125">
        <f>H1130*G1131</f>
        <v>2628.71</v>
      </c>
    </row>
    <row r="1132" spans="3:9" ht="15.75" thickBot="1">
      <c r="C1132" s="131" t="s">
        <v>1233</v>
      </c>
      <c r="D1132" s="132" t="s">
        <v>1234</v>
      </c>
      <c r="E1132" s="133"/>
      <c r="F1132" s="133"/>
      <c r="G1132" s="156"/>
      <c r="H1132" s="135">
        <f>SUM(H1130:H1131)</f>
        <v>28915.809999999998</v>
      </c>
    </row>
    <row r="1133" spans="3:9" ht="15.75" thickTop="1">
      <c r="C1133" s="58"/>
      <c r="D1133" s="82"/>
      <c r="E1133" s="82"/>
      <c r="F1133" s="82"/>
      <c r="G1133" s="82"/>
      <c r="H1133" s="83"/>
    </row>
    <row r="1134" spans="3:9" ht="15.75" thickBot="1">
      <c r="C1134" s="237" t="s">
        <v>1599</v>
      </c>
      <c r="D1134" s="237"/>
      <c r="E1134" s="237"/>
      <c r="F1134" s="237"/>
      <c r="G1134" s="237"/>
      <c r="H1134" s="237"/>
      <c r="I1134" s="57">
        <f>ROUNDDOWN(H1152,-2)</f>
        <v>1706900</v>
      </c>
    </row>
    <row r="1135" spans="3:9" ht="29.25" thickTop="1">
      <c r="C1135" s="120" t="s">
        <v>1207</v>
      </c>
      <c r="D1135" s="121" t="s">
        <v>1208</v>
      </c>
      <c r="E1135" s="121" t="s">
        <v>1209</v>
      </c>
      <c r="F1135" s="121" t="s">
        <v>1210</v>
      </c>
      <c r="G1135" s="121" t="s">
        <v>1211</v>
      </c>
      <c r="H1135" s="122" t="s">
        <v>1212</v>
      </c>
    </row>
    <row r="1136" spans="3:9">
      <c r="C1136" s="142" t="s">
        <v>1213</v>
      </c>
      <c r="D1136" s="60" t="s">
        <v>1214</v>
      </c>
      <c r="E1136" s="74"/>
      <c r="F1136" s="74"/>
      <c r="G1136" s="74"/>
      <c r="H1136" s="147"/>
    </row>
    <row r="1137" spans="3:9">
      <c r="C1137" s="143">
        <v>1</v>
      </c>
      <c r="D1137" s="60" t="s">
        <v>5</v>
      </c>
      <c r="E1137" s="73" t="s">
        <v>6</v>
      </c>
      <c r="F1137" s="94">
        <v>0.7</v>
      </c>
      <c r="G1137" s="65">
        <f>VLOOKUP(D1137,upahbahan,3,FALSE)</f>
        <v>100000</v>
      </c>
      <c r="H1137" s="125">
        <f t="shared" ref="H1137:H1140" si="114">F1137*G1137</f>
        <v>70000</v>
      </c>
    </row>
    <row r="1138" spans="3:9">
      <c r="C1138" s="143">
        <v>2</v>
      </c>
      <c r="D1138" s="60" t="s">
        <v>7</v>
      </c>
      <c r="E1138" s="73" t="s">
        <v>6</v>
      </c>
      <c r="F1138" s="94">
        <v>0.35</v>
      </c>
      <c r="G1138" s="65">
        <f>VLOOKUP(D1138,upahbahan,3,FALSE)</f>
        <v>145000</v>
      </c>
      <c r="H1138" s="125">
        <f t="shared" si="114"/>
        <v>50750</v>
      </c>
    </row>
    <row r="1139" spans="3:9">
      <c r="C1139" s="143">
        <v>3</v>
      </c>
      <c r="D1139" s="60" t="s">
        <v>18</v>
      </c>
      <c r="E1139" s="73" t="s">
        <v>6</v>
      </c>
      <c r="F1139" s="94">
        <v>3.5000000000000003E-2</v>
      </c>
      <c r="G1139" s="65">
        <f>VLOOKUP(D1139,upahbahan,3,FALSE)</f>
        <v>150000</v>
      </c>
      <c r="H1139" s="125">
        <f t="shared" si="114"/>
        <v>5250.0000000000009</v>
      </c>
    </row>
    <row r="1140" spans="3:9">
      <c r="C1140" s="143">
        <v>4</v>
      </c>
      <c r="D1140" s="60" t="s">
        <v>19</v>
      </c>
      <c r="E1140" s="73" t="s">
        <v>6</v>
      </c>
      <c r="F1140" s="94">
        <v>1.17E-2</v>
      </c>
      <c r="G1140" s="65">
        <f>VLOOKUP(D1140,upahbahan,3,FALSE)</f>
        <v>145000</v>
      </c>
      <c r="H1140" s="125">
        <f t="shared" si="114"/>
        <v>1696.5</v>
      </c>
    </row>
    <row r="1141" spans="3:9">
      <c r="C1141" s="145" t="s">
        <v>1220</v>
      </c>
      <c r="D1141" s="81"/>
      <c r="E1141" s="81"/>
      <c r="F1141" s="220"/>
      <c r="G1141" s="221"/>
      <c r="H1141" s="125">
        <f>SUM(H1137:H1140)</f>
        <v>127696.5</v>
      </c>
      <c r="I1141" s="223"/>
    </row>
    <row r="1142" spans="3:9">
      <c r="C1142" s="142" t="s">
        <v>1221</v>
      </c>
      <c r="D1142" s="60" t="s">
        <v>1222</v>
      </c>
      <c r="E1142" s="74"/>
      <c r="F1142" s="74"/>
      <c r="G1142" s="74"/>
      <c r="H1142" s="147"/>
    </row>
    <row r="1143" spans="3:9">
      <c r="C1143" s="201" t="s">
        <v>1215</v>
      </c>
      <c r="D1143" s="60" t="s">
        <v>461</v>
      </c>
      <c r="E1143" s="73" t="s">
        <v>44</v>
      </c>
      <c r="F1143" s="75">
        <v>1.75</v>
      </c>
      <c r="G1143" s="65">
        <f>VLOOKUP(D1143,upahbahan,3,FALSE)</f>
        <v>800000</v>
      </c>
      <c r="H1143" s="125">
        <f t="shared" ref="H1143:H1146" si="115">F1143*G1143</f>
        <v>1400000</v>
      </c>
    </row>
    <row r="1144" spans="3:9">
      <c r="C1144" s="201" t="s">
        <v>1216</v>
      </c>
      <c r="D1144" s="60" t="s">
        <v>568</v>
      </c>
      <c r="E1144" s="73" t="s">
        <v>66</v>
      </c>
      <c r="F1144" s="75">
        <v>8.19</v>
      </c>
      <c r="G1144" s="65">
        <f>VLOOKUP(D1144,upahbahan,3,FALSE)</f>
        <v>1300</v>
      </c>
      <c r="H1144" s="125">
        <f t="shared" si="115"/>
        <v>10647</v>
      </c>
    </row>
    <row r="1145" spans="3:9">
      <c r="C1145" s="201" t="s">
        <v>1217</v>
      </c>
      <c r="D1145" s="60" t="s">
        <v>571</v>
      </c>
      <c r="E1145" s="73" t="s">
        <v>66</v>
      </c>
      <c r="F1145" s="75">
        <v>0.13400000000000001</v>
      </c>
      <c r="G1145" s="65">
        <f>VLOOKUP(D1145,upahbahan,3,FALSE)</f>
        <v>7800</v>
      </c>
      <c r="H1145" s="125">
        <f t="shared" si="115"/>
        <v>1045.2</v>
      </c>
    </row>
    <row r="1146" spans="3:9">
      <c r="C1146" s="201" t="s">
        <v>1218</v>
      </c>
      <c r="D1146" s="78" t="s">
        <v>86</v>
      </c>
      <c r="E1146" s="73" t="s">
        <v>42</v>
      </c>
      <c r="F1146" s="75">
        <v>4.4999999999999998E-2</v>
      </c>
      <c r="G1146" s="65">
        <f>VLOOKUP(D1146,upahbahan,3,FALSE)</f>
        <v>275000</v>
      </c>
      <c r="H1146" s="125">
        <f t="shared" si="115"/>
        <v>12375</v>
      </c>
    </row>
    <row r="1147" spans="3:9">
      <c r="C1147" s="145" t="s">
        <v>1226</v>
      </c>
      <c r="D1147" s="81"/>
      <c r="E1147" s="81"/>
      <c r="F1147" s="81"/>
      <c r="G1147" s="163"/>
      <c r="H1147" s="125">
        <f>SUM(H1143:H1146)</f>
        <v>1424067.2</v>
      </c>
    </row>
    <row r="1148" spans="3:9">
      <c r="C1148" s="153" t="s">
        <v>1227</v>
      </c>
      <c r="D1148" s="60" t="s">
        <v>1228</v>
      </c>
      <c r="E1148" s="74"/>
      <c r="F1148" s="74"/>
      <c r="G1148" s="74"/>
      <c r="H1148" s="147"/>
    </row>
    <row r="1149" spans="3:9">
      <c r="C1149" s="145" t="s">
        <v>1229</v>
      </c>
      <c r="D1149" s="81"/>
      <c r="E1149" s="81"/>
      <c r="F1149" s="81"/>
      <c r="G1149" s="163"/>
      <c r="H1149" s="154">
        <v>0</v>
      </c>
    </row>
    <row r="1150" spans="3:9">
      <c r="C1150" s="123" t="s">
        <v>1230</v>
      </c>
      <c r="D1150" s="70" t="s">
        <v>1231</v>
      </c>
      <c r="E1150" s="71"/>
      <c r="F1150" s="71"/>
      <c r="G1150" s="72"/>
      <c r="H1150" s="125">
        <f>H1149+H1147+H1141</f>
        <v>1551763.7</v>
      </c>
    </row>
    <row r="1151" spans="3:9">
      <c r="C1151" s="123" t="s">
        <v>1232</v>
      </c>
      <c r="D1151" s="70" t="s">
        <v>1410</v>
      </c>
      <c r="E1151" s="71"/>
      <c r="F1151" s="72"/>
      <c r="G1151" s="96">
        <f>$M$7</f>
        <v>0.1</v>
      </c>
      <c r="H1151" s="125">
        <f>H1150*G1151</f>
        <v>155176.37</v>
      </c>
    </row>
    <row r="1152" spans="3:9" ht="15.75" thickBot="1">
      <c r="C1152" s="131" t="s">
        <v>1233</v>
      </c>
      <c r="D1152" s="132" t="s">
        <v>1234</v>
      </c>
      <c r="E1152" s="133"/>
      <c r="F1152" s="133"/>
      <c r="G1152" s="156"/>
      <c r="H1152" s="135">
        <f>SUM(H1150:H1151)</f>
        <v>1706940.0699999998</v>
      </c>
    </row>
    <row r="1153" spans="3:9" ht="15.75" thickTop="1">
      <c r="C1153" s="58"/>
      <c r="D1153" s="82"/>
      <c r="E1153" s="82"/>
      <c r="F1153" s="82"/>
      <c r="G1153" s="82"/>
      <c r="H1153" s="83"/>
    </row>
    <row r="1154" spans="3:9" ht="15.75" thickBot="1">
      <c r="C1154" s="237" t="s">
        <v>1600</v>
      </c>
      <c r="D1154" s="237"/>
      <c r="E1154" s="237"/>
      <c r="F1154" s="237"/>
      <c r="G1154" s="237"/>
      <c r="H1154" s="237"/>
      <c r="I1154" s="57">
        <f>ROUNDDOWN(H1170,-2)</f>
        <v>124600</v>
      </c>
    </row>
    <row r="1155" spans="3:9" ht="29.25" thickTop="1">
      <c r="C1155" s="120" t="s">
        <v>1207</v>
      </c>
      <c r="D1155" s="121" t="s">
        <v>1208</v>
      </c>
      <c r="E1155" s="121" t="s">
        <v>1209</v>
      </c>
      <c r="F1155" s="121" t="s">
        <v>1210</v>
      </c>
      <c r="G1155" s="121" t="s">
        <v>1211</v>
      </c>
      <c r="H1155" s="122" t="s">
        <v>1212</v>
      </c>
    </row>
    <row r="1156" spans="3:9">
      <c r="C1156" s="142" t="s">
        <v>1213</v>
      </c>
      <c r="D1156" s="60" t="s">
        <v>1214</v>
      </c>
      <c r="E1156" s="74"/>
      <c r="F1156" s="74"/>
      <c r="G1156" s="74"/>
      <c r="H1156" s="147"/>
    </row>
    <row r="1157" spans="3:9">
      <c r="C1157" s="143">
        <v>1</v>
      </c>
      <c r="D1157" s="60" t="s">
        <v>5</v>
      </c>
      <c r="E1157" s="73" t="s">
        <v>6</v>
      </c>
      <c r="F1157" s="94">
        <v>0.17</v>
      </c>
      <c r="G1157" s="65">
        <f>VLOOKUP(D1157,upahbahan,3,FALSE)</f>
        <v>100000</v>
      </c>
      <c r="H1157" s="125">
        <f t="shared" ref="H1157:H1160" si="116">F1157*G1157</f>
        <v>17000</v>
      </c>
    </row>
    <row r="1158" spans="3:9">
      <c r="C1158" s="143">
        <v>2</v>
      </c>
      <c r="D1158" s="60" t="s">
        <v>7</v>
      </c>
      <c r="E1158" s="73" t="s">
        <v>6</v>
      </c>
      <c r="F1158" s="94">
        <v>0.17</v>
      </c>
      <c r="G1158" s="65">
        <f>VLOOKUP(D1158,upahbahan,3,FALSE)</f>
        <v>145000</v>
      </c>
      <c r="H1158" s="125">
        <f t="shared" si="116"/>
        <v>24650</v>
      </c>
    </row>
    <row r="1159" spans="3:9">
      <c r="C1159" s="143">
        <v>3</v>
      </c>
      <c r="D1159" s="60" t="s">
        <v>18</v>
      </c>
      <c r="E1159" s="73" t="s">
        <v>6</v>
      </c>
      <c r="F1159" s="94">
        <v>1.7000000000000001E-2</v>
      </c>
      <c r="G1159" s="65">
        <f>VLOOKUP(D1159,upahbahan,3,FALSE)</f>
        <v>150000</v>
      </c>
      <c r="H1159" s="125">
        <f t="shared" si="116"/>
        <v>2550</v>
      </c>
    </row>
    <row r="1160" spans="3:9">
      <c r="C1160" s="143">
        <v>4</v>
      </c>
      <c r="D1160" s="60" t="s">
        <v>19</v>
      </c>
      <c r="E1160" s="73" t="s">
        <v>6</v>
      </c>
      <c r="F1160" s="94">
        <v>5.7000000000000002E-3</v>
      </c>
      <c r="G1160" s="65">
        <f>VLOOKUP(D1160,upahbahan,3,FALSE)</f>
        <v>145000</v>
      </c>
      <c r="H1160" s="125">
        <f t="shared" si="116"/>
        <v>826.5</v>
      </c>
    </row>
    <row r="1161" spans="3:9">
      <c r="C1161" s="145" t="s">
        <v>1220</v>
      </c>
      <c r="D1161" s="81"/>
      <c r="E1161" s="81"/>
      <c r="F1161" s="220"/>
      <c r="G1161" s="221"/>
      <c r="H1161" s="125">
        <f>SUM(H1157:H1160)</f>
        <v>45026.5</v>
      </c>
      <c r="I1161" s="223"/>
    </row>
    <row r="1162" spans="3:9">
      <c r="C1162" s="142" t="s">
        <v>1221</v>
      </c>
      <c r="D1162" s="60" t="s">
        <v>1222</v>
      </c>
      <c r="E1162" s="74"/>
      <c r="F1162" s="74"/>
      <c r="G1162" s="74"/>
      <c r="H1162" s="147"/>
    </row>
    <row r="1163" spans="3:9">
      <c r="C1163" s="201" t="s">
        <v>1215</v>
      </c>
      <c r="D1163" s="60" t="s">
        <v>428</v>
      </c>
      <c r="E1163" s="73" t="s">
        <v>63</v>
      </c>
      <c r="F1163" s="75">
        <v>1.05</v>
      </c>
      <c r="G1163" s="65">
        <f>VLOOKUP(D1163,upahbahan,3,FALSE)</f>
        <v>45000</v>
      </c>
      <c r="H1163" s="125">
        <f t="shared" ref="H1163:H1164" si="117">F1163*G1163</f>
        <v>47250</v>
      </c>
    </row>
    <row r="1164" spans="3:9">
      <c r="C1164" s="201" t="s">
        <v>1216</v>
      </c>
      <c r="D1164" s="60" t="s">
        <v>460</v>
      </c>
      <c r="E1164" s="73" t="s">
        <v>66</v>
      </c>
      <c r="F1164" s="75">
        <v>0.35</v>
      </c>
      <c r="G1164" s="65">
        <f>VLOOKUP(D1164,upahbahan,3,FALSE)</f>
        <v>60000</v>
      </c>
      <c r="H1164" s="125">
        <f t="shared" si="117"/>
        <v>21000</v>
      </c>
    </row>
    <row r="1165" spans="3:9">
      <c r="C1165" s="145" t="s">
        <v>1226</v>
      </c>
      <c r="D1165" s="81"/>
      <c r="E1165" s="81"/>
      <c r="F1165" s="81"/>
      <c r="G1165" s="163"/>
      <c r="H1165" s="125">
        <f>SUM(H1163:H1164)</f>
        <v>68250</v>
      </c>
    </row>
    <row r="1166" spans="3:9">
      <c r="C1166" s="153" t="s">
        <v>1227</v>
      </c>
      <c r="D1166" s="60" t="s">
        <v>1228</v>
      </c>
      <c r="E1166" s="74"/>
      <c r="F1166" s="74"/>
      <c r="G1166" s="74"/>
      <c r="H1166" s="147"/>
    </row>
    <row r="1167" spans="3:9">
      <c r="C1167" s="145" t="s">
        <v>1229</v>
      </c>
      <c r="D1167" s="81"/>
      <c r="E1167" s="81"/>
      <c r="F1167" s="81"/>
      <c r="G1167" s="163"/>
      <c r="H1167" s="154">
        <v>0</v>
      </c>
    </row>
    <row r="1168" spans="3:9">
      <c r="C1168" s="123" t="s">
        <v>1230</v>
      </c>
      <c r="D1168" s="70" t="s">
        <v>1231</v>
      </c>
      <c r="E1168" s="71"/>
      <c r="F1168" s="71"/>
      <c r="G1168" s="72"/>
      <c r="H1168" s="125">
        <f>H1167+H1165+H1161</f>
        <v>113276.5</v>
      </c>
    </row>
    <row r="1169" spans="3:9">
      <c r="C1169" s="123" t="s">
        <v>1232</v>
      </c>
      <c r="D1169" s="70" t="s">
        <v>1410</v>
      </c>
      <c r="E1169" s="71"/>
      <c r="F1169" s="72"/>
      <c r="G1169" s="96">
        <f>$M$7</f>
        <v>0.1</v>
      </c>
      <c r="H1169" s="125">
        <f>H1168*G1169</f>
        <v>11327.650000000001</v>
      </c>
    </row>
    <row r="1170" spans="3:9" ht="15.75" thickBot="1">
      <c r="C1170" s="131" t="s">
        <v>1233</v>
      </c>
      <c r="D1170" s="132" t="s">
        <v>1234</v>
      </c>
      <c r="E1170" s="133"/>
      <c r="F1170" s="133"/>
      <c r="G1170" s="156"/>
      <c r="H1170" s="135">
        <f>SUM(H1168:H1169)</f>
        <v>124604.15</v>
      </c>
    </row>
    <row r="1171" spans="3:9" ht="15.75" thickTop="1">
      <c r="C1171" s="58"/>
      <c r="D1171" s="82"/>
      <c r="E1171" s="82"/>
      <c r="F1171" s="82"/>
      <c r="G1171" s="82"/>
      <c r="H1171" s="83"/>
    </row>
    <row r="1172" spans="3:9" ht="15.75" thickBot="1">
      <c r="C1172" s="237" t="s">
        <v>1601</v>
      </c>
      <c r="D1172" s="237"/>
      <c r="E1172" s="237"/>
      <c r="F1172" s="237"/>
      <c r="G1172" s="237"/>
      <c r="H1172" s="237"/>
      <c r="I1172" s="57">
        <f>ROUNDDOWN(H1188,-2)</f>
        <v>69600</v>
      </c>
    </row>
    <row r="1173" spans="3:9" ht="29.25" thickTop="1">
      <c r="C1173" s="120" t="s">
        <v>1207</v>
      </c>
      <c r="D1173" s="121" t="s">
        <v>1208</v>
      </c>
      <c r="E1173" s="121" t="s">
        <v>1209</v>
      </c>
      <c r="F1173" s="121" t="s">
        <v>1210</v>
      </c>
      <c r="G1173" s="121" t="s">
        <v>1211</v>
      </c>
      <c r="H1173" s="122" t="s">
        <v>1212</v>
      </c>
    </row>
    <row r="1174" spans="3:9">
      <c r="C1174" s="142" t="s">
        <v>1213</v>
      </c>
      <c r="D1174" s="60" t="s">
        <v>1214</v>
      </c>
      <c r="E1174" s="74"/>
      <c r="F1174" s="74"/>
      <c r="G1174" s="74"/>
      <c r="H1174" s="147"/>
    </row>
    <row r="1175" spans="3:9">
      <c r="C1175" s="143">
        <v>1</v>
      </c>
      <c r="D1175" s="60" t="s">
        <v>5</v>
      </c>
      <c r="E1175" s="73" t="s">
        <v>6</v>
      </c>
      <c r="F1175" s="94">
        <v>0.12</v>
      </c>
      <c r="G1175" s="65">
        <f>VLOOKUP(D1175,upahbahan,3,FALSE)</f>
        <v>100000</v>
      </c>
      <c r="H1175" s="125">
        <f t="shared" ref="H1175:H1178" si="118">F1175*G1175</f>
        <v>12000</v>
      </c>
    </row>
    <row r="1176" spans="3:9">
      <c r="C1176" s="143">
        <v>2</v>
      </c>
      <c r="D1176" s="60" t="s">
        <v>7</v>
      </c>
      <c r="E1176" s="73" t="s">
        <v>6</v>
      </c>
      <c r="F1176" s="94">
        <v>0.12</v>
      </c>
      <c r="G1176" s="65">
        <f>VLOOKUP(D1176,upahbahan,3,FALSE)</f>
        <v>145000</v>
      </c>
      <c r="H1176" s="125">
        <f t="shared" si="118"/>
        <v>17400</v>
      </c>
    </row>
    <row r="1177" spans="3:9">
      <c r="C1177" s="143">
        <v>3</v>
      </c>
      <c r="D1177" s="60" t="s">
        <v>18</v>
      </c>
      <c r="E1177" s="73" t="s">
        <v>6</v>
      </c>
      <c r="F1177" s="94">
        <v>1.2E-2</v>
      </c>
      <c r="G1177" s="65">
        <f>VLOOKUP(D1177,upahbahan,3,FALSE)</f>
        <v>150000</v>
      </c>
      <c r="H1177" s="125">
        <f t="shared" si="118"/>
        <v>1800</v>
      </c>
    </row>
    <row r="1178" spans="3:9">
      <c r="C1178" s="143">
        <v>4</v>
      </c>
      <c r="D1178" s="60" t="s">
        <v>19</v>
      </c>
      <c r="E1178" s="73" t="s">
        <v>6</v>
      </c>
      <c r="F1178" s="94">
        <v>4.0000000000000001E-3</v>
      </c>
      <c r="G1178" s="65">
        <f>VLOOKUP(D1178,upahbahan,3,FALSE)</f>
        <v>145000</v>
      </c>
      <c r="H1178" s="125">
        <f t="shared" si="118"/>
        <v>580</v>
      </c>
    </row>
    <row r="1179" spans="3:9">
      <c r="C1179" s="145" t="s">
        <v>1220</v>
      </c>
      <c r="D1179" s="81"/>
      <c r="E1179" s="81"/>
      <c r="F1179" s="220"/>
      <c r="G1179" s="221"/>
      <c r="H1179" s="125">
        <f>SUM(H1175:H1178)</f>
        <v>31780</v>
      </c>
      <c r="I1179" s="223"/>
    </row>
    <row r="1180" spans="3:9">
      <c r="C1180" s="142" t="s">
        <v>1221</v>
      </c>
      <c r="D1180" s="60" t="s">
        <v>1222</v>
      </c>
      <c r="E1180" s="74"/>
      <c r="F1180" s="74"/>
      <c r="G1180" s="74"/>
      <c r="H1180" s="147"/>
    </row>
    <row r="1181" spans="3:9">
      <c r="C1181" s="201" t="s">
        <v>1215</v>
      </c>
      <c r="D1181" s="60" t="s">
        <v>530</v>
      </c>
      <c r="E1181" s="73" t="s">
        <v>63</v>
      </c>
      <c r="F1181" s="75">
        <v>1.05</v>
      </c>
      <c r="G1181" s="65">
        <f>VLOOKUP(D1181,upahbahan,3,FALSE)</f>
        <v>10000</v>
      </c>
      <c r="H1181" s="125">
        <f t="shared" ref="H1181:H1182" si="119">F1181*G1181</f>
        <v>10500</v>
      </c>
    </row>
    <row r="1182" spans="3:9">
      <c r="C1182" s="201" t="s">
        <v>1216</v>
      </c>
      <c r="D1182" s="60" t="s">
        <v>460</v>
      </c>
      <c r="E1182" s="73" t="s">
        <v>66</v>
      </c>
      <c r="F1182" s="75">
        <v>0.35</v>
      </c>
      <c r="G1182" s="65">
        <f>VLOOKUP(D1182,upahbahan,3,FALSE)</f>
        <v>60000</v>
      </c>
      <c r="H1182" s="125">
        <f t="shared" si="119"/>
        <v>21000</v>
      </c>
    </row>
    <row r="1183" spans="3:9">
      <c r="C1183" s="145" t="s">
        <v>1226</v>
      </c>
      <c r="D1183" s="81"/>
      <c r="E1183" s="81"/>
      <c r="F1183" s="81"/>
      <c r="G1183" s="163"/>
      <c r="H1183" s="125">
        <f>SUM(H1181:H1182)</f>
        <v>31500</v>
      </c>
    </row>
    <row r="1184" spans="3:9">
      <c r="C1184" s="153" t="s">
        <v>1227</v>
      </c>
      <c r="D1184" s="60" t="s">
        <v>1228</v>
      </c>
      <c r="E1184" s="74"/>
      <c r="F1184" s="74"/>
      <c r="G1184" s="74"/>
      <c r="H1184" s="147"/>
    </row>
    <row r="1185" spans="3:9">
      <c r="C1185" s="145" t="s">
        <v>1229</v>
      </c>
      <c r="D1185" s="81"/>
      <c r="E1185" s="81"/>
      <c r="F1185" s="81"/>
      <c r="G1185" s="163"/>
      <c r="H1185" s="154">
        <v>0</v>
      </c>
    </row>
    <row r="1186" spans="3:9">
      <c r="C1186" s="123" t="s">
        <v>1230</v>
      </c>
      <c r="D1186" s="70" t="s">
        <v>1231</v>
      </c>
      <c r="E1186" s="71"/>
      <c r="F1186" s="71"/>
      <c r="G1186" s="72"/>
      <c r="H1186" s="125">
        <f>H1185+H1183+H1179</f>
        <v>63280</v>
      </c>
    </row>
    <row r="1187" spans="3:9">
      <c r="C1187" s="123" t="s">
        <v>1232</v>
      </c>
      <c r="D1187" s="70" t="s">
        <v>1410</v>
      </c>
      <c r="E1187" s="71"/>
      <c r="F1187" s="72"/>
      <c r="G1187" s="96">
        <f>$M$7</f>
        <v>0.1</v>
      </c>
      <c r="H1187" s="125">
        <f>H1186*G1187</f>
        <v>6328</v>
      </c>
    </row>
    <row r="1188" spans="3:9" ht="15.75" thickBot="1">
      <c r="C1188" s="131" t="s">
        <v>1233</v>
      </c>
      <c r="D1188" s="132" t="s">
        <v>1234</v>
      </c>
      <c r="E1188" s="133"/>
      <c r="F1188" s="133"/>
      <c r="G1188" s="156"/>
      <c r="H1188" s="135">
        <f>SUM(H1186:H1187)</f>
        <v>69608</v>
      </c>
    </row>
    <row r="1189" spans="3:9" ht="15.75" thickTop="1">
      <c r="C1189" s="58"/>
      <c r="D1189" s="82"/>
      <c r="E1189" s="82"/>
      <c r="F1189" s="82"/>
      <c r="G1189" s="82"/>
      <c r="H1189" s="83"/>
    </row>
    <row r="1190" spans="3:9" ht="15.75" thickBot="1">
      <c r="C1190" s="237" t="s">
        <v>1602</v>
      </c>
      <c r="D1190" s="237"/>
      <c r="E1190" s="237"/>
      <c r="F1190" s="237"/>
      <c r="G1190" s="237"/>
      <c r="H1190" s="237"/>
      <c r="I1190" s="57">
        <f>ROUNDDOWN(H1206,-2)</f>
        <v>517600</v>
      </c>
    </row>
    <row r="1191" spans="3:9" ht="29.25" thickTop="1">
      <c r="C1191" s="120" t="s">
        <v>1207</v>
      </c>
      <c r="D1191" s="121" t="s">
        <v>1208</v>
      </c>
      <c r="E1191" s="121" t="s">
        <v>1209</v>
      </c>
      <c r="F1191" s="121" t="s">
        <v>1210</v>
      </c>
      <c r="G1191" s="121" t="s">
        <v>1211</v>
      </c>
      <c r="H1191" s="122" t="s">
        <v>1212</v>
      </c>
    </row>
    <row r="1192" spans="3:9">
      <c r="C1192" s="142" t="s">
        <v>1213</v>
      </c>
      <c r="D1192" s="60" t="s">
        <v>1214</v>
      </c>
      <c r="E1192" s="74"/>
      <c r="F1192" s="74"/>
      <c r="G1192" s="74"/>
      <c r="H1192" s="147"/>
    </row>
    <row r="1193" spans="3:9">
      <c r="C1193" s="143">
        <v>1</v>
      </c>
      <c r="D1193" s="60" t="s">
        <v>5</v>
      </c>
      <c r="E1193" s="73" t="s">
        <v>6</v>
      </c>
      <c r="F1193" s="94">
        <v>0.7</v>
      </c>
      <c r="G1193" s="65">
        <f>VLOOKUP(D1193,upahbahan,3,FALSE)</f>
        <v>100000</v>
      </c>
      <c r="H1193" s="125">
        <f t="shared" ref="H1193:H1196" si="120">F1193*G1193</f>
        <v>70000</v>
      </c>
    </row>
    <row r="1194" spans="3:9">
      <c r="C1194" s="143">
        <v>2</v>
      </c>
      <c r="D1194" s="60" t="s">
        <v>7</v>
      </c>
      <c r="E1194" s="73" t="s">
        <v>6</v>
      </c>
      <c r="F1194" s="94">
        <v>0.35</v>
      </c>
      <c r="G1194" s="65">
        <f>VLOOKUP(D1194,upahbahan,3,FALSE)</f>
        <v>145000</v>
      </c>
      <c r="H1194" s="125">
        <f t="shared" si="120"/>
        <v>50750</v>
      </c>
    </row>
    <row r="1195" spans="3:9">
      <c r="C1195" s="143">
        <v>3</v>
      </c>
      <c r="D1195" s="60" t="s">
        <v>18</v>
      </c>
      <c r="E1195" s="73" t="s">
        <v>6</v>
      </c>
      <c r="F1195" s="94">
        <v>3.5000000000000003E-2</v>
      </c>
      <c r="G1195" s="65">
        <f>VLOOKUP(D1195,upahbahan,3,FALSE)</f>
        <v>150000</v>
      </c>
      <c r="H1195" s="125">
        <f t="shared" si="120"/>
        <v>5250.0000000000009</v>
      </c>
    </row>
    <row r="1196" spans="3:9">
      <c r="C1196" s="143">
        <v>4</v>
      </c>
      <c r="D1196" s="60" t="s">
        <v>19</v>
      </c>
      <c r="E1196" s="73" t="s">
        <v>6</v>
      </c>
      <c r="F1196" s="94">
        <v>1.17E-2</v>
      </c>
      <c r="G1196" s="65">
        <f>VLOOKUP(D1196,upahbahan,3,FALSE)</f>
        <v>145000</v>
      </c>
      <c r="H1196" s="125">
        <f t="shared" si="120"/>
        <v>1696.5</v>
      </c>
    </row>
    <row r="1197" spans="3:9">
      <c r="C1197" s="145" t="s">
        <v>1220</v>
      </c>
      <c r="D1197" s="81"/>
      <c r="E1197" s="81"/>
      <c r="F1197" s="220"/>
      <c r="G1197" s="221"/>
      <c r="H1197" s="125">
        <f>SUM(H1193:H1196)</f>
        <v>127696.5</v>
      </c>
      <c r="I1197" s="223"/>
    </row>
    <row r="1198" spans="3:9">
      <c r="C1198" s="142" t="s">
        <v>1221</v>
      </c>
      <c r="D1198" s="60" t="s">
        <v>1222</v>
      </c>
      <c r="E1198" s="74"/>
      <c r="F1198" s="74"/>
      <c r="G1198" s="74"/>
      <c r="H1198" s="147"/>
    </row>
    <row r="1199" spans="3:9">
      <c r="C1199" s="201" t="s">
        <v>1215</v>
      </c>
      <c r="D1199" s="60" t="s">
        <v>466</v>
      </c>
      <c r="E1199" s="73" t="s">
        <v>63</v>
      </c>
      <c r="F1199" s="75">
        <v>1.05</v>
      </c>
      <c r="G1199" s="65">
        <f>VLOOKUP(D1199,upahbahan,3,FALSE)</f>
        <v>306600</v>
      </c>
      <c r="H1199" s="125">
        <f t="shared" ref="H1199:H1200" si="121">F1199*G1199</f>
        <v>321930</v>
      </c>
    </row>
    <row r="1200" spans="3:9">
      <c r="C1200" s="201" t="s">
        <v>1216</v>
      </c>
      <c r="D1200" s="60" t="s">
        <v>460</v>
      </c>
      <c r="E1200" s="73" t="s">
        <v>66</v>
      </c>
      <c r="F1200" s="75">
        <v>0.35</v>
      </c>
      <c r="G1200" s="65">
        <f>VLOOKUP(D1200,upahbahan,3,FALSE)</f>
        <v>60000</v>
      </c>
      <c r="H1200" s="125">
        <f t="shared" si="121"/>
        <v>21000</v>
      </c>
    </row>
    <row r="1201" spans="3:9">
      <c r="C1201" s="145" t="s">
        <v>1226</v>
      </c>
      <c r="D1201" s="81"/>
      <c r="E1201" s="81"/>
      <c r="F1201" s="81"/>
      <c r="G1201" s="163"/>
      <c r="H1201" s="125">
        <f>SUM(H1199:H1200)</f>
        <v>342930</v>
      </c>
    </row>
    <row r="1202" spans="3:9">
      <c r="C1202" s="153" t="s">
        <v>1227</v>
      </c>
      <c r="D1202" s="60" t="s">
        <v>1228</v>
      </c>
      <c r="E1202" s="74"/>
      <c r="F1202" s="74"/>
      <c r="G1202" s="74"/>
      <c r="H1202" s="147"/>
    </row>
    <row r="1203" spans="3:9">
      <c r="C1203" s="145" t="s">
        <v>1229</v>
      </c>
      <c r="D1203" s="81"/>
      <c r="E1203" s="81"/>
      <c r="F1203" s="81"/>
      <c r="G1203" s="163"/>
      <c r="H1203" s="154">
        <v>0</v>
      </c>
    </row>
    <row r="1204" spans="3:9">
      <c r="C1204" s="123" t="s">
        <v>1230</v>
      </c>
      <c r="D1204" s="70" t="s">
        <v>1231</v>
      </c>
      <c r="E1204" s="71"/>
      <c r="F1204" s="71"/>
      <c r="G1204" s="72"/>
      <c r="H1204" s="125">
        <f>H1203+H1201+H1197</f>
        <v>470626.5</v>
      </c>
    </row>
    <row r="1205" spans="3:9">
      <c r="C1205" s="123" t="s">
        <v>1232</v>
      </c>
      <c r="D1205" s="70" t="s">
        <v>1410</v>
      </c>
      <c r="E1205" s="71"/>
      <c r="F1205" s="72"/>
      <c r="G1205" s="96">
        <f>$M$7</f>
        <v>0.1</v>
      </c>
      <c r="H1205" s="125">
        <f>H1204*G1205</f>
        <v>47062.65</v>
      </c>
    </row>
    <row r="1206" spans="3:9" ht="15.75" thickBot="1">
      <c r="C1206" s="131" t="s">
        <v>1233</v>
      </c>
      <c r="D1206" s="132" t="s">
        <v>1234</v>
      </c>
      <c r="E1206" s="133"/>
      <c r="F1206" s="133"/>
      <c r="G1206" s="156"/>
      <c r="H1206" s="135">
        <f>SUM(H1204:H1205)</f>
        <v>517689.15</v>
      </c>
    </row>
    <row r="1207" spans="3:9" ht="15.75" thickTop="1">
      <c r="C1207" s="58"/>
      <c r="D1207" s="82"/>
      <c r="E1207" s="82"/>
      <c r="F1207" s="82"/>
      <c r="G1207" s="82"/>
      <c r="H1207" s="83"/>
    </row>
    <row r="1208" spans="3:9" ht="15.75" thickBot="1">
      <c r="C1208" s="237" t="s">
        <v>1603</v>
      </c>
      <c r="D1208" s="237"/>
      <c r="E1208" s="237"/>
      <c r="F1208" s="237"/>
      <c r="G1208" s="237"/>
      <c r="H1208" s="237"/>
      <c r="I1208" s="57">
        <f>ROUNDDOWN(H1224,-2)</f>
        <v>411000</v>
      </c>
    </row>
    <row r="1209" spans="3:9" ht="29.25" thickTop="1">
      <c r="C1209" s="120" t="s">
        <v>1207</v>
      </c>
      <c r="D1209" s="121" t="s">
        <v>1208</v>
      </c>
      <c r="E1209" s="121" t="s">
        <v>1209</v>
      </c>
      <c r="F1209" s="121" t="s">
        <v>1210</v>
      </c>
      <c r="G1209" s="121" t="s">
        <v>1211</v>
      </c>
      <c r="H1209" s="122" t="s">
        <v>1212</v>
      </c>
    </row>
    <row r="1210" spans="3:9">
      <c r="C1210" s="142" t="s">
        <v>1213</v>
      </c>
      <c r="D1210" s="60" t="s">
        <v>1214</v>
      </c>
      <c r="E1210" s="74"/>
      <c r="F1210" s="74"/>
      <c r="G1210" s="74"/>
      <c r="H1210" s="147"/>
    </row>
    <row r="1211" spans="3:9">
      <c r="C1211" s="143">
        <v>1</v>
      </c>
      <c r="D1211" s="60" t="s">
        <v>5</v>
      </c>
      <c r="E1211" s="73" t="s">
        <v>6</v>
      </c>
      <c r="F1211" s="94">
        <v>0.7</v>
      </c>
      <c r="G1211" s="65">
        <f>VLOOKUP(D1211,upahbahan,3,FALSE)</f>
        <v>100000</v>
      </c>
      <c r="H1211" s="125">
        <f t="shared" ref="H1211:H1214" si="122">F1211*G1211</f>
        <v>70000</v>
      </c>
    </row>
    <row r="1212" spans="3:9">
      <c r="C1212" s="143">
        <v>2</v>
      </c>
      <c r="D1212" s="60" t="s">
        <v>7</v>
      </c>
      <c r="E1212" s="73" t="s">
        <v>6</v>
      </c>
      <c r="F1212" s="94">
        <v>0.35</v>
      </c>
      <c r="G1212" s="65">
        <f>VLOOKUP(D1212,upahbahan,3,FALSE)</f>
        <v>145000</v>
      </c>
      <c r="H1212" s="125">
        <f t="shared" si="122"/>
        <v>50750</v>
      </c>
    </row>
    <row r="1213" spans="3:9">
      <c r="C1213" s="143">
        <v>3</v>
      </c>
      <c r="D1213" s="60" t="s">
        <v>18</v>
      </c>
      <c r="E1213" s="73" t="s">
        <v>6</v>
      </c>
      <c r="F1213" s="94">
        <v>3.5000000000000003E-2</v>
      </c>
      <c r="G1213" s="65">
        <f>VLOOKUP(D1213,upahbahan,3,FALSE)</f>
        <v>150000</v>
      </c>
      <c r="H1213" s="125">
        <f t="shared" si="122"/>
        <v>5250.0000000000009</v>
      </c>
    </row>
    <row r="1214" spans="3:9">
      <c r="C1214" s="143">
        <v>4</v>
      </c>
      <c r="D1214" s="60" t="s">
        <v>19</v>
      </c>
      <c r="E1214" s="73" t="s">
        <v>6</v>
      </c>
      <c r="F1214" s="94">
        <v>1.17E-2</v>
      </c>
      <c r="G1214" s="65">
        <f>VLOOKUP(D1214,upahbahan,3,FALSE)</f>
        <v>145000</v>
      </c>
      <c r="H1214" s="125">
        <f t="shared" si="122"/>
        <v>1696.5</v>
      </c>
    </row>
    <row r="1215" spans="3:9">
      <c r="C1215" s="145" t="s">
        <v>1220</v>
      </c>
      <c r="D1215" s="81"/>
      <c r="E1215" s="81"/>
      <c r="F1215" s="220"/>
      <c r="G1215" s="221"/>
      <c r="H1215" s="125">
        <f>SUM(H1211:H1214)</f>
        <v>127696.5</v>
      </c>
      <c r="I1215" s="223"/>
    </row>
    <row r="1216" spans="3:9">
      <c r="C1216" s="142" t="s">
        <v>1221</v>
      </c>
      <c r="D1216" s="60" t="s">
        <v>1222</v>
      </c>
      <c r="E1216" s="74"/>
      <c r="F1216" s="74"/>
      <c r="G1216" s="74"/>
      <c r="H1216" s="147"/>
    </row>
    <row r="1217" spans="3:9">
      <c r="C1217" s="201" t="s">
        <v>1215</v>
      </c>
      <c r="D1217" s="60" t="s">
        <v>448</v>
      </c>
      <c r="E1217" s="73" t="s">
        <v>63</v>
      </c>
      <c r="F1217" s="75">
        <v>1.05</v>
      </c>
      <c r="G1217" s="65">
        <f>VLOOKUP(D1217,upahbahan,3,FALSE)</f>
        <v>200000</v>
      </c>
      <c r="H1217" s="125">
        <f t="shared" ref="H1217:H1218" si="123">F1217*G1217</f>
        <v>210000</v>
      </c>
    </row>
    <row r="1218" spans="3:9">
      <c r="C1218" s="201" t="s">
        <v>1216</v>
      </c>
      <c r="D1218" s="60" t="s">
        <v>460</v>
      </c>
      <c r="E1218" s="73" t="s">
        <v>66</v>
      </c>
      <c r="F1218" s="75">
        <v>0.6</v>
      </c>
      <c r="G1218" s="65">
        <f>VLOOKUP(D1218,upahbahan,3,FALSE)</f>
        <v>60000</v>
      </c>
      <c r="H1218" s="125">
        <f t="shared" si="123"/>
        <v>36000</v>
      </c>
    </row>
    <row r="1219" spans="3:9">
      <c r="C1219" s="145" t="s">
        <v>1226</v>
      </c>
      <c r="D1219" s="81"/>
      <c r="E1219" s="81"/>
      <c r="F1219" s="81"/>
      <c r="G1219" s="163"/>
      <c r="H1219" s="125">
        <f>SUM(H1217:H1218)</f>
        <v>246000</v>
      </c>
    </row>
    <row r="1220" spans="3:9">
      <c r="C1220" s="153" t="s">
        <v>1227</v>
      </c>
      <c r="D1220" s="60" t="s">
        <v>1228</v>
      </c>
      <c r="E1220" s="74"/>
      <c r="F1220" s="74"/>
      <c r="G1220" s="74"/>
      <c r="H1220" s="147"/>
    </row>
    <row r="1221" spans="3:9">
      <c r="C1221" s="145" t="s">
        <v>1229</v>
      </c>
      <c r="D1221" s="81"/>
      <c r="E1221" s="81"/>
      <c r="F1221" s="81"/>
      <c r="G1221" s="163"/>
      <c r="H1221" s="154">
        <v>0</v>
      </c>
    </row>
    <row r="1222" spans="3:9">
      <c r="C1222" s="123" t="s">
        <v>1230</v>
      </c>
      <c r="D1222" s="70" t="s">
        <v>1231</v>
      </c>
      <c r="E1222" s="71"/>
      <c r="F1222" s="71"/>
      <c r="G1222" s="72"/>
      <c r="H1222" s="125">
        <f>H1221+H1219+H1215</f>
        <v>373696.5</v>
      </c>
    </row>
    <row r="1223" spans="3:9">
      <c r="C1223" s="123" t="s">
        <v>1232</v>
      </c>
      <c r="D1223" s="70" t="s">
        <v>1410</v>
      </c>
      <c r="E1223" s="71"/>
      <c r="F1223" s="72"/>
      <c r="G1223" s="96">
        <f>$M$7</f>
        <v>0.1</v>
      </c>
      <c r="H1223" s="125">
        <f>H1222*G1223</f>
        <v>37369.65</v>
      </c>
    </row>
    <row r="1224" spans="3:9" ht="15.75" thickBot="1">
      <c r="C1224" s="131" t="s">
        <v>1233</v>
      </c>
      <c r="D1224" s="132" t="s">
        <v>1234</v>
      </c>
      <c r="E1224" s="133"/>
      <c r="F1224" s="133"/>
      <c r="G1224" s="156"/>
      <c r="H1224" s="135">
        <f>SUM(H1222:H1223)</f>
        <v>411066.15</v>
      </c>
    </row>
    <row r="1225" spans="3:9" ht="15.75" thickTop="1">
      <c r="C1225" s="58"/>
      <c r="D1225" s="82"/>
      <c r="E1225" s="82"/>
      <c r="F1225" s="82"/>
      <c r="G1225" s="82"/>
      <c r="H1225" s="83"/>
    </row>
    <row r="1226" spans="3:9" ht="15.75" thickBot="1">
      <c r="C1226" s="237" t="s">
        <v>1604</v>
      </c>
      <c r="D1226" s="237"/>
      <c r="E1226" s="237"/>
      <c r="F1226" s="237"/>
      <c r="G1226" s="237"/>
      <c r="H1226" s="237"/>
      <c r="I1226" s="57">
        <f>ROUNDDOWN(H1242,-2)</f>
        <v>122400</v>
      </c>
    </row>
    <row r="1227" spans="3:9" ht="29.25" thickTop="1">
      <c r="C1227" s="120" t="s">
        <v>1207</v>
      </c>
      <c r="D1227" s="121" t="s">
        <v>1208</v>
      </c>
      <c r="E1227" s="121" t="s">
        <v>1209</v>
      </c>
      <c r="F1227" s="121" t="s">
        <v>1210</v>
      </c>
      <c r="G1227" s="121" t="s">
        <v>1211</v>
      </c>
      <c r="H1227" s="122" t="s">
        <v>1212</v>
      </c>
    </row>
    <row r="1228" spans="3:9">
      <c r="C1228" s="142" t="s">
        <v>1213</v>
      </c>
      <c r="D1228" s="60" t="s">
        <v>1214</v>
      </c>
      <c r="E1228" s="74"/>
      <c r="F1228" s="74"/>
      <c r="G1228" s="74"/>
      <c r="H1228" s="147"/>
    </row>
    <row r="1229" spans="3:9">
      <c r="C1229" s="143">
        <v>1</v>
      </c>
      <c r="D1229" s="60" t="s">
        <v>5</v>
      </c>
      <c r="E1229" s="73" t="s">
        <v>6</v>
      </c>
      <c r="F1229" s="75">
        <v>0.12</v>
      </c>
      <c r="G1229" s="65">
        <f>VLOOKUP(D1229,upahbahan,3,FALSE)</f>
        <v>100000</v>
      </c>
      <c r="H1229" s="125">
        <f t="shared" ref="H1229:H1232" si="124">F1229*G1229</f>
        <v>12000</v>
      </c>
    </row>
    <row r="1230" spans="3:9">
      <c r="C1230" s="143">
        <v>2</v>
      </c>
      <c r="D1230" s="60" t="s">
        <v>7</v>
      </c>
      <c r="E1230" s="73" t="s">
        <v>6</v>
      </c>
      <c r="F1230" s="75">
        <v>0.12</v>
      </c>
      <c r="G1230" s="65">
        <f>VLOOKUP(D1230,upahbahan,3,FALSE)</f>
        <v>145000</v>
      </c>
      <c r="H1230" s="125">
        <f t="shared" si="124"/>
        <v>17400</v>
      </c>
    </row>
    <row r="1231" spans="3:9">
      <c r="C1231" s="143">
        <v>3</v>
      </c>
      <c r="D1231" s="60" t="s">
        <v>18</v>
      </c>
      <c r="E1231" s="73" t="s">
        <v>6</v>
      </c>
      <c r="F1231" s="75">
        <v>1.2E-2</v>
      </c>
      <c r="G1231" s="65">
        <f>VLOOKUP(D1231,upahbahan,3,FALSE)</f>
        <v>150000</v>
      </c>
      <c r="H1231" s="125">
        <f t="shared" si="124"/>
        <v>1800</v>
      </c>
    </row>
    <row r="1232" spans="3:9">
      <c r="C1232" s="143">
        <v>4</v>
      </c>
      <c r="D1232" s="60" t="s">
        <v>19</v>
      </c>
      <c r="E1232" s="73" t="s">
        <v>6</v>
      </c>
      <c r="F1232" s="75">
        <v>4.0000000000000001E-3</v>
      </c>
      <c r="G1232" s="65">
        <f>VLOOKUP(D1232,upahbahan,3,FALSE)</f>
        <v>145000</v>
      </c>
      <c r="H1232" s="125">
        <f t="shared" si="124"/>
        <v>580</v>
      </c>
    </row>
    <row r="1233" spans="3:9">
      <c r="C1233" s="145" t="s">
        <v>1220</v>
      </c>
      <c r="D1233" s="81"/>
      <c r="E1233" s="81"/>
      <c r="F1233" s="220"/>
      <c r="G1233" s="221"/>
      <c r="H1233" s="125">
        <f>SUM(H1229:H1232)</f>
        <v>31780</v>
      </c>
      <c r="I1233" s="223"/>
    </row>
    <row r="1234" spans="3:9">
      <c r="C1234" s="142" t="s">
        <v>1221</v>
      </c>
      <c r="D1234" s="60" t="s">
        <v>1222</v>
      </c>
      <c r="E1234" s="74"/>
      <c r="F1234" s="74"/>
      <c r="G1234" s="74"/>
      <c r="H1234" s="147"/>
    </row>
    <row r="1235" spans="3:9">
      <c r="C1235" s="201" t="s">
        <v>1215</v>
      </c>
      <c r="D1235" s="60" t="s">
        <v>125</v>
      </c>
      <c r="E1235" s="73" t="s">
        <v>42</v>
      </c>
      <c r="F1235" s="75">
        <v>3.0000000000000001E-3</v>
      </c>
      <c r="G1235" s="65">
        <f>VLOOKUP(D1235,upahbahan,3,FALSE)</f>
        <v>26000000</v>
      </c>
      <c r="H1235" s="125">
        <f t="shared" ref="H1235:H1236" si="125">F1235*G1235</f>
        <v>78000</v>
      </c>
    </row>
    <row r="1236" spans="3:9">
      <c r="C1236" s="201" t="s">
        <v>1216</v>
      </c>
      <c r="D1236" s="60" t="s">
        <v>273</v>
      </c>
      <c r="E1236" s="73" t="s">
        <v>66</v>
      </c>
      <c r="F1236" s="75">
        <v>0.05</v>
      </c>
      <c r="G1236" s="65">
        <f>VLOOKUP(D1236,upahbahan,3,FALSE)</f>
        <v>30090</v>
      </c>
      <c r="H1236" s="125">
        <f t="shared" si="125"/>
        <v>1504.5</v>
      </c>
    </row>
    <row r="1237" spans="3:9">
      <c r="C1237" s="145" t="s">
        <v>1226</v>
      </c>
      <c r="D1237" s="81"/>
      <c r="E1237" s="81"/>
      <c r="F1237" s="81"/>
      <c r="G1237" s="163"/>
      <c r="H1237" s="125">
        <f>SUM(H1235:H1236)</f>
        <v>79504.5</v>
      </c>
    </row>
    <row r="1238" spans="3:9">
      <c r="C1238" s="153" t="s">
        <v>1227</v>
      </c>
      <c r="D1238" s="60" t="s">
        <v>1228</v>
      </c>
      <c r="E1238" s="74"/>
      <c r="F1238" s="74"/>
      <c r="G1238" s="74"/>
      <c r="H1238" s="147"/>
    </row>
    <row r="1239" spans="3:9">
      <c r="C1239" s="145" t="s">
        <v>1229</v>
      </c>
      <c r="D1239" s="81"/>
      <c r="E1239" s="81"/>
      <c r="F1239" s="81"/>
      <c r="G1239" s="163"/>
      <c r="H1239" s="154">
        <v>0</v>
      </c>
    </row>
    <row r="1240" spans="3:9">
      <c r="C1240" s="123" t="s">
        <v>1230</v>
      </c>
      <c r="D1240" s="70" t="s">
        <v>1231</v>
      </c>
      <c r="E1240" s="71"/>
      <c r="F1240" s="71"/>
      <c r="G1240" s="72"/>
      <c r="H1240" s="125">
        <f>H1239+H1237+H1233</f>
        <v>111284.5</v>
      </c>
    </row>
    <row r="1241" spans="3:9">
      <c r="C1241" s="123" t="s">
        <v>1232</v>
      </c>
      <c r="D1241" s="70" t="s">
        <v>1410</v>
      </c>
      <c r="E1241" s="71"/>
      <c r="F1241" s="72"/>
      <c r="G1241" s="96">
        <f>$M$7</f>
        <v>0.1</v>
      </c>
      <c r="H1241" s="125">
        <f>H1240*G1241</f>
        <v>11128.45</v>
      </c>
    </row>
    <row r="1242" spans="3:9" ht="15.75" thickBot="1">
      <c r="C1242" s="131" t="s">
        <v>1233</v>
      </c>
      <c r="D1242" s="132" t="s">
        <v>1234</v>
      </c>
      <c r="E1242" s="133"/>
      <c r="F1242" s="133"/>
      <c r="G1242" s="156"/>
      <c r="H1242" s="135">
        <f>SUM(H1240:H1241)</f>
        <v>122412.95</v>
      </c>
    </row>
    <row r="1243" spans="3:9" ht="15.75" thickTop="1">
      <c r="C1243" s="58"/>
      <c r="D1243" s="82"/>
      <c r="E1243" s="82"/>
      <c r="F1243" s="82"/>
      <c r="G1243" s="82"/>
      <c r="H1243" s="83"/>
    </row>
    <row r="1244" spans="3:9" ht="15.75" thickBot="1">
      <c r="C1244" s="237" t="s">
        <v>1605</v>
      </c>
      <c r="D1244" s="237"/>
      <c r="E1244" s="237"/>
      <c r="F1244" s="237"/>
      <c r="G1244" s="237"/>
      <c r="H1244" s="237"/>
      <c r="I1244" s="57">
        <f>ROUNDDOWN(H1260,-2)</f>
        <v>158100</v>
      </c>
    </row>
    <row r="1245" spans="3:9" ht="29.25" thickTop="1">
      <c r="C1245" s="120" t="s">
        <v>1207</v>
      </c>
      <c r="D1245" s="121" t="s">
        <v>1208</v>
      </c>
      <c r="E1245" s="121" t="s">
        <v>1209</v>
      </c>
      <c r="F1245" s="121" t="s">
        <v>1210</v>
      </c>
      <c r="G1245" s="121" t="s">
        <v>1211</v>
      </c>
      <c r="H1245" s="122" t="s">
        <v>1212</v>
      </c>
    </row>
    <row r="1246" spans="3:9">
      <c r="C1246" s="142" t="s">
        <v>1213</v>
      </c>
      <c r="D1246" s="60" t="s">
        <v>1214</v>
      </c>
      <c r="E1246" s="74"/>
      <c r="F1246" s="74"/>
      <c r="G1246" s="74"/>
      <c r="H1246" s="147"/>
    </row>
    <row r="1247" spans="3:9">
      <c r="C1247" s="143">
        <v>1</v>
      </c>
      <c r="D1247" s="60" t="s">
        <v>5</v>
      </c>
      <c r="E1247" s="73" t="s">
        <v>6</v>
      </c>
      <c r="F1247" s="75">
        <v>0.15</v>
      </c>
      <c r="G1247" s="65">
        <f>VLOOKUP(D1247,upahbahan,3,FALSE)</f>
        <v>100000</v>
      </c>
      <c r="H1247" s="125">
        <f t="shared" ref="H1247:H1250" si="126">F1247*G1247</f>
        <v>15000</v>
      </c>
    </row>
    <row r="1248" spans="3:9">
      <c r="C1248" s="143">
        <v>2</v>
      </c>
      <c r="D1248" s="60" t="s">
        <v>7</v>
      </c>
      <c r="E1248" s="73" t="s">
        <v>6</v>
      </c>
      <c r="F1248" s="75">
        <v>0.15</v>
      </c>
      <c r="G1248" s="65">
        <f>VLOOKUP(D1248,upahbahan,3,FALSE)</f>
        <v>145000</v>
      </c>
      <c r="H1248" s="125">
        <f t="shared" si="126"/>
        <v>21750</v>
      </c>
    </row>
    <row r="1249" spans="3:9">
      <c r="C1249" s="143">
        <v>3</v>
      </c>
      <c r="D1249" s="60" t="s">
        <v>18</v>
      </c>
      <c r="E1249" s="73" t="s">
        <v>6</v>
      </c>
      <c r="F1249" s="75">
        <v>1.4999999999999999E-2</v>
      </c>
      <c r="G1249" s="65">
        <f>VLOOKUP(D1249,upahbahan,3,FALSE)</f>
        <v>150000</v>
      </c>
      <c r="H1249" s="125">
        <f t="shared" si="126"/>
        <v>2250</v>
      </c>
    </row>
    <row r="1250" spans="3:9">
      <c r="C1250" s="143">
        <v>4</v>
      </c>
      <c r="D1250" s="60" t="s">
        <v>19</v>
      </c>
      <c r="E1250" s="73" t="s">
        <v>6</v>
      </c>
      <c r="F1250" s="75">
        <v>5.0000000000000001E-3</v>
      </c>
      <c r="G1250" s="65">
        <f>VLOOKUP(D1250,upahbahan,3,FALSE)</f>
        <v>145000</v>
      </c>
      <c r="H1250" s="125">
        <f t="shared" si="126"/>
        <v>725</v>
      </c>
    </row>
    <row r="1251" spans="3:9">
      <c r="C1251" s="145" t="s">
        <v>1220</v>
      </c>
      <c r="D1251" s="81"/>
      <c r="E1251" s="81"/>
      <c r="F1251" s="220"/>
      <c r="G1251" s="221"/>
      <c r="H1251" s="125">
        <f>SUM(H1247:H1250)</f>
        <v>39725</v>
      </c>
      <c r="I1251" s="223"/>
    </row>
    <row r="1252" spans="3:9">
      <c r="C1252" s="142" t="s">
        <v>1221</v>
      </c>
      <c r="D1252" s="60" t="s">
        <v>1222</v>
      </c>
      <c r="E1252" s="74"/>
      <c r="F1252" s="74"/>
      <c r="G1252" s="74"/>
      <c r="H1252" s="147"/>
    </row>
    <row r="1253" spans="3:9">
      <c r="C1253" s="201" t="s">
        <v>1215</v>
      </c>
      <c r="D1253" s="60" t="s">
        <v>532</v>
      </c>
      <c r="E1253" s="73" t="s">
        <v>44</v>
      </c>
      <c r="F1253" s="75">
        <v>11.87</v>
      </c>
      <c r="G1253" s="65">
        <f>VLOOKUP(D1253,upahbahan,3,FALSE)</f>
        <v>7000</v>
      </c>
      <c r="H1253" s="125">
        <f t="shared" ref="H1253:H1254" si="127">F1253*G1253</f>
        <v>83090</v>
      </c>
    </row>
    <row r="1254" spans="3:9">
      <c r="C1254" s="201" t="s">
        <v>1216</v>
      </c>
      <c r="D1254" s="60" t="s">
        <v>460</v>
      </c>
      <c r="E1254" s="73" t="s">
        <v>66</v>
      </c>
      <c r="F1254" s="75">
        <v>0.35</v>
      </c>
      <c r="G1254" s="65">
        <f>VLOOKUP(D1254,upahbahan,3,FALSE)</f>
        <v>60000</v>
      </c>
      <c r="H1254" s="125">
        <f t="shared" si="127"/>
        <v>21000</v>
      </c>
    </row>
    <row r="1255" spans="3:9">
      <c r="C1255" s="145" t="s">
        <v>1226</v>
      </c>
      <c r="D1255" s="81"/>
      <c r="E1255" s="81"/>
      <c r="F1255" s="81"/>
      <c r="G1255" s="163"/>
      <c r="H1255" s="125">
        <f>SUM(H1253:H1254)</f>
        <v>104090</v>
      </c>
    </row>
    <row r="1256" spans="3:9">
      <c r="C1256" s="153" t="s">
        <v>1227</v>
      </c>
      <c r="D1256" s="60" t="s">
        <v>1228</v>
      </c>
      <c r="E1256" s="74"/>
      <c r="F1256" s="74"/>
      <c r="G1256" s="74"/>
      <c r="H1256" s="147"/>
    </row>
    <row r="1257" spans="3:9">
      <c r="C1257" s="145" t="s">
        <v>1229</v>
      </c>
      <c r="D1257" s="81"/>
      <c r="E1257" s="81"/>
      <c r="F1257" s="81"/>
      <c r="G1257" s="163"/>
      <c r="H1257" s="154">
        <v>0</v>
      </c>
    </row>
    <row r="1258" spans="3:9">
      <c r="C1258" s="123" t="s">
        <v>1230</v>
      </c>
      <c r="D1258" s="70" t="s">
        <v>1231</v>
      </c>
      <c r="E1258" s="71"/>
      <c r="F1258" s="71"/>
      <c r="G1258" s="72"/>
      <c r="H1258" s="125">
        <f>H1257+H1255+H1251</f>
        <v>143815</v>
      </c>
    </row>
    <row r="1259" spans="3:9">
      <c r="C1259" s="123" t="s">
        <v>1232</v>
      </c>
      <c r="D1259" s="70" t="s">
        <v>1410</v>
      </c>
      <c r="E1259" s="71"/>
      <c r="F1259" s="72"/>
      <c r="G1259" s="96">
        <f>$M$7</f>
        <v>0.1</v>
      </c>
      <c r="H1259" s="125">
        <f>H1258*G1259</f>
        <v>14381.5</v>
      </c>
    </row>
    <row r="1260" spans="3:9" ht="15.75" thickBot="1">
      <c r="C1260" s="131" t="s">
        <v>1233</v>
      </c>
      <c r="D1260" s="132" t="s">
        <v>1234</v>
      </c>
      <c r="E1260" s="133"/>
      <c r="F1260" s="133"/>
      <c r="G1260" s="156"/>
      <c r="H1260" s="135">
        <f>SUM(H1258:H1259)</f>
        <v>158196.5</v>
      </c>
    </row>
    <row r="1261" spans="3:9" ht="15.75" thickTop="1">
      <c r="C1261" s="58"/>
      <c r="D1261" s="82"/>
      <c r="E1261" s="82"/>
      <c r="F1261" s="82"/>
      <c r="G1261" s="82"/>
      <c r="H1261" s="83"/>
    </row>
    <row r="1262" spans="3:9" ht="15.75" thickBot="1">
      <c r="C1262" s="237" t="s">
        <v>1606</v>
      </c>
      <c r="D1262" s="237"/>
      <c r="E1262" s="237"/>
      <c r="F1262" s="237"/>
      <c r="G1262" s="237"/>
      <c r="H1262" s="237"/>
      <c r="I1262" s="57">
        <f>ROUNDDOWN(H1278,-2)</f>
        <v>52400</v>
      </c>
    </row>
    <row r="1263" spans="3:9" ht="29.25" thickTop="1">
      <c r="C1263" s="120" t="s">
        <v>1207</v>
      </c>
      <c r="D1263" s="121" t="s">
        <v>1208</v>
      </c>
      <c r="E1263" s="121" t="s">
        <v>1209</v>
      </c>
      <c r="F1263" s="121" t="s">
        <v>1210</v>
      </c>
      <c r="G1263" s="121" t="s">
        <v>1211</v>
      </c>
      <c r="H1263" s="122" t="s">
        <v>1212</v>
      </c>
    </row>
    <row r="1264" spans="3:9">
      <c r="C1264" s="142" t="s">
        <v>1213</v>
      </c>
      <c r="D1264" s="60" t="s">
        <v>1214</v>
      </c>
      <c r="E1264" s="74"/>
      <c r="F1264" s="74"/>
      <c r="G1264" s="74"/>
      <c r="H1264" s="147"/>
    </row>
    <row r="1265" spans="3:9">
      <c r="C1265" s="143">
        <v>1</v>
      </c>
      <c r="D1265" s="60" t="s">
        <v>5</v>
      </c>
      <c r="E1265" s="73" t="s">
        <v>6</v>
      </c>
      <c r="F1265" s="94">
        <v>0.08</v>
      </c>
      <c r="G1265" s="65">
        <f>VLOOKUP(D1265,upahbahan,3,FALSE)</f>
        <v>100000</v>
      </c>
      <c r="H1265" s="125">
        <f t="shared" ref="H1265:H1268" si="128">F1265*G1265</f>
        <v>8000</v>
      </c>
    </row>
    <row r="1266" spans="3:9">
      <c r="C1266" s="143">
        <v>2</v>
      </c>
      <c r="D1266" s="60" t="s">
        <v>7</v>
      </c>
      <c r="E1266" s="73" t="s">
        <v>6</v>
      </c>
      <c r="F1266" s="94">
        <v>0.08</v>
      </c>
      <c r="G1266" s="65">
        <f>VLOOKUP(D1266,upahbahan,3,FALSE)</f>
        <v>145000</v>
      </c>
      <c r="H1266" s="125">
        <f t="shared" si="128"/>
        <v>11600</v>
      </c>
    </row>
    <row r="1267" spans="3:9">
      <c r="C1267" s="143">
        <v>3</v>
      </c>
      <c r="D1267" s="60" t="s">
        <v>18</v>
      </c>
      <c r="E1267" s="73" t="s">
        <v>6</v>
      </c>
      <c r="F1267" s="94">
        <v>8.0000000000000002E-3</v>
      </c>
      <c r="G1267" s="65">
        <f>VLOOKUP(D1267,upahbahan,3,FALSE)</f>
        <v>150000</v>
      </c>
      <c r="H1267" s="125">
        <f t="shared" si="128"/>
        <v>1200</v>
      </c>
    </row>
    <row r="1268" spans="3:9">
      <c r="C1268" s="143">
        <v>4</v>
      </c>
      <c r="D1268" s="60" t="s">
        <v>19</v>
      </c>
      <c r="E1268" s="73" t="s">
        <v>6</v>
      </c>
      <c r="F1268" s="94">
        <v>2.7000000000000001E-3</v>
      </c>
      <c r="G1268" s="65">
        <f>VLOOKUP(D1268,upahbahan,3,FALSE)</f>
        <v>145000</v>
      </c>
      <c r="H1268" s="125">
        <f t="shared" si="128"/>
        <v>391.5</v>
      </c>
    </row>
    <row r="1269" spans="3:9">
      <c r="C1269" s="145" t="s">
        <v>1220</v>
      </c>
      <c r="D1269" s="81"/>
      <c r="E1269" s="81"/>
      <c r="F1269" s="220"/>
      <c r="G1269" s="221"/>
      <c r="H1269" s="125">
        <f>SUM(H1265:H1268)</f>
        <v>21191.5</v>
      </c>
      <c r="I1269" s="223"/>
    </row>
    <row r="1270" spans="3:9">
      <c r="C1270" s="142" t="s">
        <v>1221</v>
      </c>
      <c r="D1270" s="60" t="s">
        <v>1222</v>
      </c>
      <c r="E1270" s="74"/>
      <c r="F1270" s="74"/>
      <c r="G1270" s="74"/>
      <c r="H1270" s="147"/>
    </row>
    <row r="1271" spans="3:9">
      <c r="C1271" s="201" t="s">
        <v>1215</v>
      </c>
      <c r="D1271" s="60" t="s">
        <v>532</v>
      </c>
      <c r="E1271" s="73" t="s">
        <v>44</v>
      </c>
      <c r="F1271" s="75">
        <v>3.1</v>
      </c>
      <c r="G1271" s="65">
        <f>VLOOKUP(D1271,upahbahan,3,FALSE)</f>
        <v>7000</v>
      </c>
      <c r="H1271" s="125">
        <f t="shared" ref="H1271:H1272" si="129">F1271*G1271</f>
        <v>21700</v>
      </c>
    </row>
    <row r="1272" spans="3:9">
      <c r="C1272" s="201" t="s">
        <v>1216</v>
      </c>
      <c r="D1272" s="60" t="s">
        <v>460</v>
      </c>
      <c r="E1272" s="73" t="s">
        <v>66</v>
      </c>
      <c r="F1272" s="75">
        <v>0.08</v>
      </c>
      <c r="G1272" s="65">
        <f>VLOOKUP(D1272,upahbahan,3,FALSE)</f>
        <v>60000</v>
      </c>
      <c r="H1272" s="125">
        <f t="shared" si="129"/>
        <v>4800</v>
      </c>
    </row>
    <row r="1273" spans="3:9">
      <c r="C1273" s="145" t="s">
        <v>1226</v>
      </c>
      <c r="D1273" s="81"/>
      <c r="E1273" s="81"/>
      <c r="F1273" s="81"/>
      <c r="G1273" s="163"/>
      <c r="H1273" s="125">
        <f>SUM(H1271:H1272)</f>
        <v>26500</v>
      </c>
    </row>
    <row r="1274" spans="3:9">
      <c r="C1274" s="153" t="s">
        <v>1227</v>
      </c>
      <c r="D1274" s="60" t="s">
        <v>1228</v>
      </c>
      <c r="E1274" s="74"/>
      <c r="F1274" s="74"/>
      <c r="G1274" s="74"/>
      <c r="H1274" s="147"/>
    </row>
    <row r="1275" spans="3:9">
      <c r="C1275" s="145" t="s">
        <v>1229</v>
      </c>
      <c r="D1275" s="81"/>
      <c r="E1275" s="81"/>
      <c r="F1275" s="81"/>
      <c r="G1275" s="163"/>
      <c r="H1275" s="154">
        <v>0</v>
      </c>
    </row>
    <row r="1276" spans="3:9">
      <c r="C1276" s="123" t="s">
        <v>1230</v>
      </c>
      <c r="D1276" s="70" t="s">
        <v>1231</v>
      </c>
      <c r="E1276" s="71"/>
      <c r="F1276" s="71"/>
      <c r="G1276" s="72"/>
      <c r="H1276" s="125">
        <f>H1275+H1273+H1269</f>
        <v>47691.5</v>
      </c>
    </row>
    <row r="1277" spans="3:9">
      <c r="C1277" s="123" t="s">
        <v>1232</v>
      </c>
      <c r="D1277" s="70" t="s">
        <v>1410</v>
      </c>
      <c r="E1277" s="71"/>
      <c r="F1277" s="72"/>
      <c r="G1277" s="96">
        <f>$M$7</f>
        <v>0.1</v>
      </c>
      <c r="H1277" s="125">
        <f>H1276*G1277</f>
        <v>4769.1500000000005</v>
      </c>
    </row>
    <row r="1278" spans="3:9" ht="15.75" thickBot="1">
      <c r="C1278" s="131" t="s">
        <v>1233</v>
      </c>
      <c r="D1278" s="132" t="s">
        <v>1234</v>
      </c>
      <c r="E1278" s="133"/>
      <c r="F1278" s="133"/>
      <c r="G1278" s="156"/>
      <c r="H1278" s="135">
        <f>SUM(H1276:H1277)</f>
        <v>52460.65</v>
      </c>
    </row>
    <row r="1279" spans="3:9" ht="15.75" thickTop="1">
      <c r="C1279" s="58"/>
      <c r="D1279" s="82"/>
      <c r="E1279" s="82"/>
      <c r="F1279" s="82"/>
      <c r="G1279" s="82"/>
      <c r="H1279" s="83"/>
    </row>
    <row r="1280" spans="3:9" ht="15.75" thickBot="1">
      <c r="C1280" s="237" t="s">
        <v>1607</v>
      </c>
      <c r="D1280" s="237"/>
      <c r="E1280" s="237"/>
      <c r="F1280" s="237"/>
      <c r="G1280" s="237"/>
      <c r="H1280" s="237"/>
      <c r="I1280" s="57">
        <f>ROUNDDOWN(H1295,-2)</f>
        <v>62400</v>
      </c>
    </row>
    <row r="1281" spans="3:9" ht="29.25" thickTop="1">
      <c r="C1281" s="120" t="s">
        <v>1207</v>
      </c>
      <c r="D1281" s="121" t="s">
        <v>1208</v>
      </c>
      <c r="E1281" s="121" t="s">
        <v>1209</v>
      </c>
      <c r="F1281" s="121" t="s">
        <v>1210</v>
      </c>
      <c r="G1281" s="121" t="s">
        <v>1211</v>
      </c>
      <c r="H1281" s="122" t="s">
        <v>1212</v>
      </c>
    </row>
    <row r="1282" spans="3:9">
      <c r="C1282" s="142" t="s">
        <v>1213</v>
      </c>
      <c r="D1282" s="60" t="s">
        <v>1214</v>
      </c>
      <c r="E1282" s="74"/>
      <c r="F1282" s="74"/>
      <c r="G1282" s="74"/>
      <c r="H1282" s="147"/>
    </row>
    <row r="1283" spans="3:9">
      <c r="C1283" s="143">
        <v>1</v>
      </c>
      <c r="D1283" s="60" t="s">
        <v>5</v>
      </c>
      <c r="E1283" s="73" t="s">
        <v>6</v>
      </c>
      <c r="F1283" s="94">
        <v>0.12</v>
      </c>
      <c r="G1283" s="65">
        <f>VLOOKUP(D1283,upahbahan,3,FALSE)</f>
        <v>100000</v>
      </c>
      <c r="H1283" s="125">
        <f t="shared" ref="H1283:H1286" si="130">F1283*G1283</f>
        <v>12000</v>
      </c>
    </row>
    <row r="1284" spans="3:9">
      <c r="C1284" s="143">
        <v>2</v>
      </c>
      <c r="D1284" s="60" t="s">
        <v>7</v>
      </c>
      <c r="E1284" s="73" t="s">
        <v>6</v>
      </c>
      <c r="F1284" s="94">
        <v>0.12</v>
      </c>
      <c r="G1284" s="65">
        <f>VLOOKUP(D1284,upahbahan,3,FALSE)</f>
        <v>145000</v>
      </c>
      <c r="H1284" s="125">
        <f t="shared" si="130"/>
        <v>17400</v>
      </c>
    </row>
    <row r="1285" spans="3:9">
      <c r="C1285" s="143">
        <v>3</v>
      </c>
      <c r="D1285" s="60" t="s">
        <v>18</v>
      </c>
      <c r="E1285" s="73" t="s">
        <v>6</v>
      </c>
      <c r="F1285" s="94">
        <v>1.2E-2</v>
      </c>
      <c r="G1285" s="65">
        <f>VLOOKUP(D1285,upahbahan,3,FALSE)</f>
        <v>150000</v>
      </c>
      <c r="H1285" s="125">
        <f t="shared" si="130"/>
        <v>1800</v>
      </c>
    </row>
    <row r="1286" spans="3:9">
      <c r="C1286" s="143">
        <v>4</v>
      </c>
      <c r="D1286" s="60" t="s">
        <v>19</v>
      </c>
      <c r="E1286" s="73" t="s">
        <v>6</v>
      </c>
      <c r="F1286" s="94">
        <v>4.0000000000000001E-3</v>
      </c>
      <c r="G1286" s="65">
        <f>VLOOKUP(D1286,upahbahan,3,FALSE)</f>
        <v>145000</v>
      </c>
      <c r="H1286" s="125">
        <f t="shared" si="130"/>
        <v>580</v>
      </c>
    </row>
    <row r="1287" spans="3:9">
      <c r="C1287" s="145" t="s">
        <v>1220</v>
      </c>
      <c r="D1287" s="81"/>
      <c r="E1287" s="81"/>
      <c r="F1287" s="220"/>
      <c r="G1287" s="221"/>
      <c r="H1287" s="125">
        <f>SUM(H1283:H1286)</f>
        <v>31780</v>
      </c>
      <c r="I1287" s="223"/>
    </row>
    <row r="1288" spans="3:9">
      <c r="C1288" s="142" t="s">
        <v>1221</v>
      </c>
      <c r="D1288" s="60" t="s">
        <v>1222</v>
      </c>
      <c r="E1288" s="74"/>
      <c r="F1288" s="74"/>
      <c r="G1288" s="74"/>
      <c r="H1288" s="147"/>
    </row>
    <row r="1289" spans="3:9">
      <c r="C1289" s="201" t="s">
        <v>1215</v>
      </c>
      <c r="D1289" s="60" t="s">
        <v>409</v>
      </c>
      <c r="E1289" s="73" t="s">
        <v>66</v>
      </c>
      <c r="F1289" s="75">
        <v>5</v>
      </c>
      <c r="G1289" s="65">
        <f>VLOOKUP(D1289,upahbahan,3,FALSE)</f>
        <v>5000</v>
      </c>
      <c r="H1289" s="125">
        <f t="shared" ref="H1289" si="131">F1289*G1289</f>
        <v>25000</v>
      </c>
    </row>
    <row r="1290" spans="3:9">
      <c r="C1290" s="145" t="s">
        <v>1226</v>
      </c>
      <c r="D1290" s="81"/>
      <c r="E1290" s="81"/>
      <c r="F1290" s="81"/>
      <c r="G1290" s="163"/>
      <c r="H1290" s="125">
        <f>SUM(H1289:H1289)</f>
        <v>25000</v>
      </c>
    </row>
    <row r="1291" spans="3:9">
      <c r="C1291" s="153" t="s">
        <v>1227</v>
      </c>
      <c r="D1291" s="60" t="s">
        <v>1228</v>
      </c>
      <c r="E1291" s="74"/>
      <c r="F1291" s="74"/>
      <c r="G1291" s="74"/>
      <c r="H1291" s="147"/>
    </row>
    <row r="1292" spans="3:9">
      <c r="C1292" s="145" t="s">
        <v>1229</v>
      </c>
      <c r="D1292" s="81"/>
      <c r="E1292" s="81"/>
      <c r="F1292" s="81"/>
      <c r="G1292" s="163"/>
      <c r="H1292" s="154">
        <v>0</v>
      </c>
    </row>
    <row r="1293" spans="3:9">
      <c r="C1293" s="123" t="s">
        <v>1230</v>
      </c>
      <c r="D1293" s="70" t="s">
        <v>1231</v>
      </c>
      <c r="E1293" s="71"/>
      <c r="F1293" s="71"/>
      <c r="G1293" s="72"/>
      <c r="H1293" s="125">
        <f>H1292+H1290+H1287</f>
        <v>56780</v>
      </c>
    </row>
    <row r="1294" spans="3:9">
      <c r="C1294" s="123" t="s">
        <v>1232</v>
      </c>
      <c r="D1294" s="70" t="s">
        <v>1410</v>
      </c>
      <c r="E1294" s="71"/>
      <c r="F1294" s="72"/>
      <c r="G1294" s="96">
        <f>$M$7</f>
        <v>0.1</v>
      </c>
      <c r="H1294" s="125">
        <f>H1293*G1294</f>
        <v>5678</v>
      </c>
    </row>
    <row r="1295" spans="3:9" ht="15.75" thickBot="1">
      <c r="C1295" s="131" t="s">
        <v>1233</v>
      </c>
      <c r="D1295" s="132" t="s">
        <v>1234</v>
      </c>
      <c r="E1295" s="133"/>
      <c r="F1295" s="133"/>
      <c r="G1295" s="156"/>
      <c r="H1295" s="135">
        <f>SUM(H1293:H1294)</f>
        <v>62458</v>
      </c>
    </row>
    <row r="1296" spans="3:9" ht="15.75" thickTop="1">
      <c r="C1296" s="58"/>
      <c r="D1296" s="82"/>
      <c r="E1296" s="82"/>
      <c r="F1296" s="82"/>
      <c r="G1296" s="82"/>
      <c r="H1296" s="83"/>
    </row>
    <row r="1297" spans="3:9" ht="15.75" thickBot="1">
      <c r="C1297" s="237" t="s">
        <v>1608</v>
      </c>
      <c r="D1297" s="237"/>
      <c r="E1297" s="237"/>
      <c r="F1297" s="237"/>
      <c r="G1297" s="237"/>
      <c r="H1297" s="237"/>
      <c r="I1297" s="57">
        <f>ROUNDDOWN(H1312,-2)</f>
        <v>1530600</v>
      </c>
    </row>
    <row r="1298" spans="3:9" ht="29.25" thickTop="1">
      <c r="C1298" s="120" t="s">
        <v>1207</v>
      </c>
      <c r="D1298" s="121" t="s">
        <v>1208</v>
      </c>
      <c r="E1298" s="121" t="s">
        <v>1209</v>
      </c>
      <c r="F1298" s="121" t="s">
        <v>1210</v>
      </c>
      <c r="G1298" s="121" t="s">
        <v>1211</v>
      </c>
      <c r="H1298" s="122" t="s">
        <v>1212</v>
      </c>
    </row>
    <row r="1299" spans="3:9">
      <c r="C1299" s="142" t="s">
        <v>1213</v>
      </c>
      <c r="D1299" s="60" t="s">
        <v>1214</v>
      </c>
      <c r="E1299" s="74"/>
      <c r="F1299" s="74"/>
      <c r="G1299" s="74"/>
      <c r="H1299" s="147"/>
    </row>
    <row r="1300" spans="3:9">
      <c r="C1300" s="143">
        <v>1</v>
      </c>
      <c r="D1300" s="60" t="s">
        <v>5</v>
      </c>
      <c r="E1300" s="73" t="s">
        <v>6</v>
      </c>
      <c r="F1300" s="94">
        <v>0.2</v>
      </c>
      <c r="G1300" s="65">
        <f>VLOOKUP(D1300,upahbahan,3,FALSE)</f>
        <v>100000</v>
      </c>
      <c r="H1300" s="125">
        <f t="shared" ref="H1300:H1303" si="132">F1300*G1300</f>
        <v>20000</v>
      </c>
    </row>
    <row r="1301" spans="3:9">
      <c r="C1301" s="143">
        <v>2</v>
      </c>
      <c r="D1301" s="60" t="s">
        <v>7</v>
      </c>
      <c r="E1301" s="73" t="s">
        <v>6</v>
      </c>
      <c r="F1301" s="94">
        <v>0.1</v>
      </c>
      <c r="G1301" s="65">
        <f>VLOOKUP(D1301,upahbahan,3,FALSE)</f>
        <v>145000</v>
      </c>
      <c r="H1301" s="125">
        <f t="shared" si="132"/>
        <v>14500</v>
      </c>
    </row>
    <row r="1302" spans="3:9">
      <c r="C1302" s="143">
        <v>3</v>
      </c>
      <c r="D1302" s="60" t="s">
        <v>18</v>
      </c>
      <c r="E1302" s="73" t="s">
        <v>6</v>
      </c>
      <c r="F1302" s="94">
        <v>0.01</v>
      </c>
      <c r="G1302" s="65">
        <f>VLOOKUP(D1302,upahbahan,3,FALSE)</f>
        <v>150000</v>
      </c>
      <c r="H1302" s="125">
        <f t="shared" si="132"/>
        <v>1500</v>
      </c>
    </row>
    <row r="1303" spans="3:9">
      <c r="C1303" s="143">
        <v>4</v>
      </c>
      <c r="D1303" s="60" t="s">
        <v>19</v>
      </c>
      <c r="E1303" s="73" t="s">
        <v>6</v>
      </c>
      <c r="F1303" s="94">
        <v>3.3E-3</v>
      </c>
      <c r="G1303" s="65">
        <f>VLOOKUP(D1303,upahbahan,3,FALSE)</f>
        <v>145000</v>
      </c>
      <c r="H1303" s="125">
        <f t="shared" si="132"/>
        <v>478.5</v>
      </c>
    </row>
    <row r="1304" spans="3:9">
      <c r="C1304" s="145" t="s">
        <v>1220</v>
      </c>
      <c r="D1304" s="81"/>
      <c r="E1304" s="81"/>
      <c r="F1304" s="220"/>
      <c r="G1304" s="221"/>
      <c r="H1304" s="125">
        <f>SUM(H1300:H1303)</f>
        <v>36478.5</v>
      </c>
      <c r="I1304" s="223"/>
    </row>
    <row r="1305" spans="3:9">
      <c r="C1305" s="142" t="s">
        <v>1221</v>
      </c>
      <c r="D1305" s="60" t="s">
        <v>1222</v>
      </c>
      <c r="E1305" s="74"/>
      <c r="F1305" s="74"/>
      <c r="G1305" s="74"/>
      <c r="H1305" s="147"/>
    </row>
    <row r="1306" spans="3:9">
      <c r="C1306" s="201" t="s">
        <v>1215</v>
      </c>
      <c r="D1306" s="60" t="s">
        <v>531</v>
      </c>
      <c r="E1306" s="73" t="s">
        <v>63</v>
      </c>
      <c r="F1306" s="75">
        <v>2.71</v>
      </c>
      <c r="G1306" s="65">
        <f>VLOOKUP(D1306,upahbahan,3,FALSE)</f>
        <v>500000</v>
      </c>
      <c r="H1306" s="125">
        <f t="shared" ref="H1306" si="133">F1306*G1306</f>
        <v>1355000</v>
      </c>
    </row>
    <row r="1307" spans="3:9">
      <c r="C1307" s="145" t="s">
        <v>1226</v>
      </c>
      <c r="D1307" s="81"/>
      <c r="E1307" s="81"/>
      <c r="F1307" s="81"/>
      <c r="G1307" s="163"/>
      <c r="H1307" s="125">
        <f>SUM(H1306:H1306)</f>
        <v>1355000</v>
      </c>
    </row>
    <row r="1308" spans="3:9">
      <c r="C1308" s="153" t="s">
        <v>1227</v>
      </c>
      <c r="D1308" s="60" t="s">
        <v>1228</v>
      </c>
      <c r="E1308" s="74"/>
      <c r="F1308" s="74"/>
      <c r="G1308" s="74"/>
      <c r="H1308" s="147"/>
    </row>
    <row r="1309" spans="3:9">
      <c r="C1309" s="145" t="s">
        <v>1229</v>
      </c>
      <c r="D1309" s="81"/>
      <c r="E1309" s="81"/>
      <c r="F1309" s="81"/>
      <c r="G1309" s="163"/>
      <c r="H1309" s="154">
        <v>0</v>
      </c>
    </row>
    <row r="1310" spans="3:9">
      <c r="C1310" s="123" t="s">
        <v>1230</v>
      </c>
      <c r="D1310" s="70" t="s">
        <v>1231</v>
      </c>
      <c r="E1310" s="71"/>
      <c r="F1310" s="71"/>
      <c r="G1310" s="72"/>
      <c r="H1310" s="125">
        <f>H1309+H1307+H1304</f>
        <v>1391478.5</v>
      </c>
    </row>
    <row r="1311" spans="3:9">
      <c r="C1311" s="123" t="s">
        <v>1232</v>
      </c>
      <c r="D1311" s="70" t="s">
        <v>1410</v>
      </c>
      <c r="E1311" s="71"/>
      <c r="F1311" s="72"/>
      <c r="G1311" s="96">
        <f>$M$7</f>
        <v>0.1</v>
      </c>
      <c r="H1311" s="125">
        <f>H1310*G1311</f>
        <v>139147.85</v>
      </c>
    </row>
    <row r="1312" spans="3:9" ht="15.75" thickBot="1">
      <c r="C1312" s="131" t="s">
        <v>1233</v>
      </c>
      <c r="D1312" s="132" t="s">
        <v>1234</v>
      </c>
      <c r="E1312" s="133"/>
      <c r="F1312" s="133"/>
      <c r="G1312" s="156"/>
      <c r="H1312" s="135">
        <f>SUM(H1310:H1311)</f>
        <v>1530626.35</v>
      </c>
    </row>
    <row r="1313" spans="3:9" ht="15.75" thickTop="1">
      <c r="C1313" s="58"/>
      <c r="D1313" s="82"/>
      <c r="E1313" s="82"/>
      <c r="F1313" s="82"/>
      <c r="G1313" s="82"/>
      <c r="H1313" s="83"/>
    </row>
    <row r="1314" spans="3:9" ht="15.75" thickBot="1">
      <c r="C1314" s="237" t="s">
        <v>1609</v>
      </c>
      <c r="D1314" s="237"/>
      <c r="E1314" s="237"/>
      <c r="F1314" s="237"/>
      <c r="G1314" s="237"/>
      <c r="H1314" s="237"/>
      <c r="I1314" s="57">
        <f>ROUNDDOWN(H1331,-2)</f>
        <v>83800</v>
      </c>
    </row>
    <row r="1315" spans="3:9" ht="29.25" thickTop="1">
      <c r="C1315" s="120" t="s">
        <v>1207</v>
      </c>
      <c r="D1315" s="121" t="s">
        <v>1208</v>
      </c>
      <c r="E1315" s="121" t="s">
        <v>1209</v>
      </c>
      <c r="F1315" s="121" t="s">
        <v>1210</v>
      </c>
      <c r="G1315" s="121" t="s">
        <v>1211</v>
      </c>
      <c r="H1315" s="122" t="s">
        <v>1212</v>
      </c>
    </row>
    <row r="1316" spans="3:9">
      <c r="C1316" s="142" t="s">
        <v>1213</v>
      </c>
      <c r="D1316" s="60" t="s">
        <v>1214</v>
      </c>
      <c r="E1316" s="74"/>
      <c r="F1316" s="74"/>
      <c r="G1316" s="74"/>
      <c r="H1316" s="147"/>
    </row>
    <row r="1317" spans="3:9">
      <c r="C1317" s="143">
        <v>1</v>
      </c>
      <c r="D1317" s="60" t="s">
        <v>5</v>
      </c>
      <c r="E1317" s="73" t="s">
        <v>6</v>
      </c>
      <c r="F1317" s="184">
        <v>0.22220000000000001</v>
      </c>
      <c r="G1317" s="65">
        <f>VLOOKUP(D1317,upahbahan,3,FALSE)</f>
        <v>100000</v>
      </c>
      <c r="H1317" s="125">
        <f t="shared" ref="H1317:H1320" si="134">F1317*G1317</f>
        <v>22220</v>
      </c>
    </row>
    <row r="1318" spans="3:9">
      <c r="C1318" s="143">
        <v>2</v>
      </c>
      <c r="D1318" s="60" t="s">
        <v>7</v>
      </c>
      <c r="E1318" s="73" t="s">
        <v>6</v>
      </c>
      <c r="F1318" s="184">
        <v>0.1111</v>
      </c>
      <c r="G1318" s="65">
        <f>VLOOKUP(D1318,upahbahan,3,FALSE)</f>
        <v>145000</v>
      </c>
      <c r="H1318" s="125">
        <f t="shared" si="134"/>
        <v>16109.5</v>
      </c>
    </row>
    <row r="1319" spans="3:9">
      <c r="C1319" s="143">
        <v>3</v>
      </c>
      <c r="D1319" s="60" t="s">
        <v>18</v>
      </c>
      <c r="E1319" s="73" t="s">
        <v>6</v>
      </c>
      <c r="F1319" s="184">
        <v>1.11E-2</v>
      </c>
      <c r="G1319" s="65">
        <f>VLOOKUP(D1319,upahbahan,3,FALSE)</f>
        <v>150000</v>
      </c>
      <c r="H1319" s="125">
        <f t="shared" si="134"/>
        <v>1665</v>
      </c>
    </row>
    <row r="1320" spans="3:9">
      <c r="C1320" s="143">
        <v>4</v>
      </c>
      <c r="D1320" s="60" t="s">
        <v>19</v>
      </c>
      <c r="E1320" s="73" t="s">
        <v>6</v>
      </c>
      <c r="F1320" s="184">
        <v>3.7000000000000002E-3</v>
      </c>
      <c r="G1320" s="65">
        <f>VLOOKUP(D1320,upahbahan,3,FALSE)</f>
        <v>145000</v>
      </c>
      <c r="H1320" s="125">
        <f t="shared" si="134"/>
        <v>536.5</v>
      </c>
    </row>
    <row r="1321" spans="3:9">
      <c r="C1321" s="145" t="s">
        <v>1220</v>
      </c>
      <c r="D1321" s="81"/>
      <c r="E1321" s="81"/>
      <c r="F1321" s="220"/>
      <c r="G1321" s="221"/>
      <c r="H1321" s="125">
        <f>SUM(H1317:H1320)</f>
        <v>40531</v>
      </c>
      <c r="I1321" s="223"/>
    </row>
    <row r="1322" spans="3:9">
      <c r="C1322" s="142" t="s">
        <v>1221</v>
      </c>
      <c r="D1322" s="60" t="s">
        <v>1222</v>
      </c>
      <c r="E1322" s="74"/>
      <c r="F1322" s="74"/>
      <c r="G1322" s="74"/>
      <c r="H1322" s="147"/>
    </row>
    <row r="1323" spans="3:9">
      <c r="C1323" s="146" t="s">
        <v>1215</v>
      </c>
      <c r="D1323" s="60" t="s">
        <v>989</v>
      </c>
      <c r="E1323" s="171" t="s">
        <v>66</v>
      </c>
      <c r="F1323" s="191">
        <v>6.6699999999999995E-2</v>
      </c>
      <c r="G1323" s="65">
        <f>VLOOKUP(D1323,upahbahan,3,FALSE)</f>
        <v>180000</v>
      </c>
      <c r="H1323" s="125">
        <f t="shared" ref="H1323:H1324" si="135">F1323*G1323</f>
        <v>12006</v>
      </c>
    </row>
    <row r="1324" spans="3:9">
      <c r="C1324" s="201">
        <v>2</v>
      </c>
      <c r="D1324" s="60" t="s">
        <v>1080</v>
      </c>
      <c r="E1324" s="73" t="s">
        <v>66</v>
      </c>
      <c r="F1324" s="184">
        <v>6.6699999999999995E-2</v>
      </c>
      <c r="G1324" s="65">
        <f>VLOOKUP(D1324,upahbahan,3,FALSE)</f>
        <v>130000</v>
      </c>
      <c r="H1324" s="125">
        <f t="shared" si="135"/>
        <v>8671</v>
      </c>
    </row>
    <row r="1325" spans="3:9">
      <c r="C1325" s="145" t="s">
        <v>1226</v>
      </c>
      <c r="D1325" s="81"/>
      <c r="E1325" s="81"/>
      <c r="F1325" s="81"/>
      <c r="G1325" s="163"/>
      <c r="H1325" s="125">
        <f>SUM(H1323:H1324)</f>
        <v>20677</v>
      </c>
    </row>
    <row r="1326" spans="3:9">
      <c r="C1326" s="153" t="s">
        <v>1227</v>
      </c>
      <c r="D1326" s="60" t="s">
        <v>1228</v>
      </c>
      <c r="E1326" s="74"/>
      <c r="F1326" s="74"/>
      <c r="G1326" s="74"/>
      <c r="H1326" s="147"/>
    </row>
    <row r="1327" spans="3:9">
      <c r="C1327" s="153">
        <v>1</v>
      </c>
      <c r="D1327" s="60" t="s">
        <v>1134</v>
      </c>
      <c r="E1327" s="171" t="s">
        <v>1091</v>
      </c>
      <c r="F1327" s="172">
        <v>0.1</v>
      </c>
      <c r="G1327" s="65">
        <f>VLOOKUP(D1327,upahbahan,3,FALSE)</f>
        <v>150000</v>
      </c>
      <c r="H1327" s="125">
        <f t="shared" ref="H1327" si="136">F1327*G1327</f>
        <v>15000</v>
      </c>
    </row>
    <row r="1328" spans="3:9">
      <c r="C1328" s="145" t="s">
        <v>1229</v>
      </c>
      <c r="D1328" s="81"/>
      <c r="E1328" s="81"/>
      <c r="F1328" s="81"/>
      <c r="G1328" s="163"/>
      <c r="H1328" s="125">
        <f>SUM(H1327)</f>
        <v>15000</v>
      </c>
    </row>
    <row r="1329" spans="3:9">
      <c r="C1329" s="123" t="s">
        <v>1230</v>
      </c>
      <c r="D1329" s="70" t="s">
        <v>1231</v>
      </c>
      <c r="E1329" s="71"/>
      <c r="F1329" s="71"/>
      <c r="G1329" s="72"/>
      <c r="H1329" s="125">
        <f>H1328+H1325+H1321</f>
        <v>76208</v>
      </c>
    </row>
    <row r="1330" spans="3:9">
      <c r="C1330" s="123" t="s">
        <v>1232</v>
      </c>
      <c r="D1330" s="70" t="s">
        <v>1410</v>
      </c>
      <c r="E1330" s="71"/>
      <c r="F1330" s="72"/>
      <c r="G1330" s="96">
        <f>$M$7</f>
        <v>0.1</v>
      </c>
      <c r="H1330" s="125">
        <f>H1329*G1330</f>
        <v>7620.8</v>
      </c>
    </row>
    <row r="1331" spans="3:9" ht="15.75" thickBot="1">
      <c r="C1331" s="131" t="s">
        <v>1233</v>
      </c>
      <c r="D1331" s="132" t="s">
        <v>1234</v>
      </c>
      <c r="E1331" s="133"/>
      <c r="F1331" s="133"/>
      <c r="G1331" s="156"/>
      <c r="H1331" s="135">
        <f>SUM(H1329:H1330)</f>
        <v>83828.800000000003</v>
      </c>
    </row>
    <row r="1332" spans="3:9" ht="15.75" thickTop="1">
      <c r="C1332" s="58"/>
      <c r="D1332" s="82"/>
      <c r="E1332" s="82"/>
      <c r="F1332" s="82"/>
      <c r="G1332" s="82"/>
      <c r="H1332" s="83"/>
    </row>
    <row r="1333" spans="3:9" ht="15.75" thickBot="1">
      <c r="C1333" s="237" t="s">
        <v>1610</v>
      </c>
      <c r="D1333" s="237"/>
      <c r="E1333" s="237"/>
      <c r="F1333" s="237"/>
      <c r="G1333" s="237"/>
      <c r="H1333" s="237"/>
      <c r="I1333" s="57">
        <f>ROUNDDOWN(H1351,-2)</f>
        <v>320400</v>
      </c>
    </row>
    <row r="1334" spans="3:9" ht="29.25" thickTop="1">
      <c r="C1334" s="120" t="s">
        <v>1207</v>
      </c>
      <c r="D1334" s="121" t="s">
        <v>1208</v>
      </c>
      <c r="E1334" s="121" t="s">
        <v>1209</v>
      </c>
      <c r="F1334" s="121" t="s">
        <v>1210</v>
      </c>
      <c r="G1334" s="121" t="s">
        <v>1211</v>
      </c>
      <c r="H1334" s="122" t="s">
        <v>1212</v>
      </c>
    </row>
    <row r="1335" spans="3:9">
      <c r="C1335" s="142" t="s">
        <v>1213</v>
      </c>
      <c r="D1335" s="60" t="s">
        <v>1214</v>
      </c>
      <c r="E1335" s="74"/>
      <c r="F1335" s="74"/>
      <c r="G1335" s="74"/>
      <c r="H1335" s="147"/>
    </row>
    <row r="1336" spans="3:9">
      <c r="C1336" s="143">
        <v>1</v>
      </c>
      <c r="D1336" s="60" t="s">
        <v>5</v>
      </c>
      <c r="E1336" s="73" t="s">
        <v>6</v>
      </c>
      <c r="F1336" s="184">
        <v>0.66669999999999996</v>
      </c>
      <c r="G1336" s="65">
        <f>VLOOKUP(D1336,upahbahan,3,FALSE)</f>
        <v>100000</v>
      </c>
      <c r="H1336" s="125">
        <f t="shared" ref="H1336:H1339" si="137">F1336*G1336</f>
        <v>66670</v>
      </c>
    </row>
    <row r="1337" spans="3:9">
      <c r="C1337" s="143">
        <v>2</v>
      </c>
      <c r="D1337" s="60" t="s">
        <v>7</v>
      </c>
      <c r="E1337" s="73" t="s">
        <v>6</v>
      </c>
      <c r="F1337" s="184">
        <v>0.33329999999999999</v>
      </c>
      <c r="G1337" s="65">
        <f>VLOOKUP(D1337,upahbahan,3,FALSE)</f>
        <v>145000</v>
      </c>
      <c r="H1337" s="125">
        <f t="shared" si="137"/>
        <v>48328.5</v>
      </c>
    </row>
    <row r="1338" spans="3:9">
      <c r="C1338" s="143">
        <v>3</v>
      </c>
      <c r="D1338" s="60" t="s">
        <v>18</v>
      </c>
      <c r="E1338" s="73" t="s">
        <v>6</v>
      </c>
      <c r="F1338" s="184">
        <v>3.3300000000000003E-2</v>
      </c>
      <c r="G1338" s="65">
        <f>VLOOKUP(D1338,upahbahan,3,FALSE)</f>
        <v>150000</v>
      </c>
      <c r="H1338" s="125">
        <f t="shared" si="137"/>
        <v>4995.0000000000009</v>
      </c>
    </row>
    <row r="1339" spans="3:9">
      <c r="C1339" s="143">
        <v>4</v>
      </c>
      <c r="D1339" s="60" t="s">
        <v>19</v>
      </c>
      <c r="E1339" s="73" t="s">
        <v>6</v>
      </c>
      <c r="F1339" s="184">
        <v>1.11E-2</v>
      </c>
      <c r="G1339" s="65">
        <f>VLOOKUP(D1339,upahbahan,3,FALSE)</f>
        <v>145000</v>
      </c>
      <c r="H1339" s="125">
        <f t="shared" si="137"/>
        <v>1609.5</v>
      </c>
    </row>
    <row r="1340" spans="3:9">
      <c r="C1340" s="145" t="s">
        <v>1220</v>
      </c>
      <c r="D1340" s="81"/>
      <c r="E1340" s="81"/>
      <c r="F1340" s="220"/>
      <c r="G1340" s="221"/>
      <c r="H1340" s="125">
        <f>SUM(H1336:H1339)</f>
        <v>121603</v>
      </c>
      <c r="I1340" s="223"/>
    </row>
    <row r="1341" spans="3:9">
      <c r="C1341" s="142" t="s">
        <v>1221</v>
      </c>
      <c r="D1341" s="60" t="s">
        <v>1222</v>
      </c>
      <c r="E1341" s="74"/>
      <c r="F1341" s="74"/>
      <c r="G1341" s="74"/>
      <c r="H1341" s="147"/>
    </row>
    <row r="1342" spans="3:9">
      <c r="C1342" s="201" t="s">
        <v>1215</v>
      </c>
      <c r="D1342" s="60" t="s">
        <v>444</v>
      </c>
      <c r="E1342" s="73" t="s">
        <v>44</v>
      </c>
      <c r="F1342" s="75">
        <v>52.5</v>
      </c>
      <c r="G1342" s="65">
        <f>VLOOKUP(D1342,upahbahan,3,FALSE)</f>
        <v>2500</v>
      </c>
      <c r="H1342" s="125">
        <f t="shared" ref="H1342:H1345" si="138">F1342*G1342</f>
        <v>131250</v>
      </c>
    </row>
    <row r="1343" spans="3:9">
      <c r="C1343" s="201" t="s">
        <v>1216</v>
      </c>
      <c r="D1343" s="60" t="s">
        <v>568</v>
      </c>
      <c r="E1343" s="73" t="s">
        <v>66</v>
      </c>
      <c r="F1343" s="75">
        <v>9.3000000000000007</v>
      </c>
      <c r="G1343" s="65">
        <f>VLOOKUP(D1343,upahbahan,3,FALSE)</f>
        <v>1300</v>
      </c>
      <c r="H1343" s="125">
        <f t="shared" si="138"/>
        <v>12090.000000000002</v>
      </c>
    </row>
    <row r="1344" spans="3:9">
      <c r="C1344" s="201" t="s">
        <v>1217</v>
      </c>
      <c r="D1344" s="60" t="s">
        <v>571</v>
      </c>
      <c r="E1344" s="73" t="s">
        <v>66</v>
      </c>
      <c r="F1344" s="75">
        <v>2.75</v>
      </c>
      <c r="G1344" s="65">
        <f>VLOOKUP(D1344,upahbahan,3,FALSE)</f>
        <v>7800</v>
      </c>
      <c r="H1344" s="125">
        <f t="shared" si="138"/>
        <v>21450</v>
      </c>
    </row>
    <row r="1345" spans="3:9">
      <c r="C1345" s="201" t="s">
        <v>1218</v>
      </c>
      <c r="D1345" s="78" t="s">
        <v>86</v>
      </c>
      <c r="E1345" s="73" t="s">
        <v>42</v>
      </c>
      <c r="F1345" s="75">
        <v>1.7999999999999999E-2</v>
      </c>
      <c r="G1345" s="65">
        <f>VLOOKUP(D1345,upahbahan,3,FALSE)</f>
        <v>275000</v>
      </c>
      <c r="H1345" s="125">
        <f t="shared" si="138"/>
        <v>4950</v>
      </c>
    </row>
    <row r="1346" spans="3:9">
      <c r="C1346" s="145" t="s">
        <v>1226</v>
      </c>
      <c r="D1346" s="81"/>
      <c r="E1346" s="81"/>
      <c r="F1346" s="81"/>
      <c r="G1346" s="163"/>
      <c r="H1346" s="125">
        <f>SUM(H1342:H1345)</f>
        <v>169740</v>
      </c>
    </row>
    <row r="1347" spans="3:9">
      <c r="C1347" s="153" t="s">
        <v>1227</v>
      </c>
      <c r="D1347" s="60" t="s">
        <v>1228</v>
      </c>
      <c r="E1347" s="74"/>
      <c r="F1347" s="74"/>
      <c r="G1347" s="74"/>
      <c r="H1347" s="147"/>
    </row>
    <row r="1348" spans="3:9">
      <c r="C1348" s="145" t="s">
        <v>1229</v>
      </c>
      <c r="D1348" s="81"/>
      <c r="E1348" s="81"/>
      <c r="F1348" s="81"/>
      <c r="G1348" s="163"/>
      <c r="H1348" s="154">
        <v>0</v>
      </c>
    </row>
    <row r="1349" spans="3:9">
      <c r="C1349" s="123" t="s">
        <v>1230</v>
      </c>
      <c r="D1349" s="70" t="s">
        <v>1231</v>
      </c>
      <c r="E1349" s="71"/>
      <c r="F1349" s="71"/>
      <c r="G1349" s="72"/>
      <c r="H1349" s="125">
        <f>H1348+H1346+H1340</f>
        <v>291343</v>
      </c>
    </row>
    <row r="1350" spans="3:9">
      <c r="C1350" s="123" t="s">
        <v>1232</v>
      </c>
      <c r="D1350" s="70" t="s">
        <v>1410</v>
      </c>
      <c r="E1350" s="71"/>
      <c r="F1350" s="72"/>
      <c r="G1350" s="96">
        <f>$M$7</f>
        <v>0.1</v>
      </c>
      <c r="H1350" s="125">
        <f>H1349*G1350</f>
        <v>29134.300000000003</v>
      </c>
    </row>
    <row r="1351" spans="3:9" ht="15.75" thickBot="1">
      <c r="C1351" s="131" t="s">
        <v>1233</v>
      </c>
      <c r="D1351" s="132" t="s">
        <v>1234</v>
      </c>
      <c r="E1351" s="133"/>
      <c r="F1351" s="133"/>
      <c r="G1351" s="156"/>
      <c r="H1351" s="135">
        <f>SUM(H1349:H1350)</f>
        <v>320477.3</v>
      </c>
    </row>
    <row r="1352" spans="3:9" ht="15.75" thickTop="1">
      <c r="C1352" s="58"/>
      <c r="D1352" s="82"/>
      <c r="E1352" s="82"/>
      <c r="F1352" s="82"/>
      <c r="G1352" s="82"/>
      <c r="H1352" s="83"/>
    </row>
    <row r="1353" spans="3:9" ht="15.75" thickBot="1">
      <c r="C1353" s="237" t="s">
        <v>1611</v>
      </c>
      <c r="D1353" s="237"/>
      <c r="E1353" s="237"/>
      <c r="F1353" s="237"/>
      <c r="G1353" s="237"/>
      <c r="H1353" s="237"/>
      <c r="I1353" s="57">
        <f>ROUNDDOWN(H1371,-2)</f>
        <v>457000</v>
      </c>
    </row>
    <row r="1354" spans="3:9" ht="29.25" thickTop="1">
      <c r="C1354" s="120" t="s">
        <v>1207</v>
      </c>
      <c r="D1354" s="121" t="s">
        <v>1208</v>
      </c>
      <c r="E1354" s="121" t="s">
        <v>1209</v>
      </c>
      <c r="F1354" s="121" t="s">
        <v>1210</v>
      </c>
      <c r="G1354" s="121" t="s">
        <v>1211</v>
      </c>
      <c r="H1354" s="122" t="s">
        <v>1212</v>
      </c>
    </row>
    <row r="1355" spans="3:9">
      <c r="C1355" s="142" t="s">
        <v>1213</v>
      </c>
      <c r="D1355" s="60" t="s">
        <v>1214</v>
      </c>
      <c r="E1355" s="74"/>
      <c r="F1355" s="74"/>
      <c r="G1355" s="74"/>
      <c r="H1355" s="147"/>
    </row>
    <row r="1356" spans="3:9">
      <c r="C1356" s="143">
        <v>1</v>
      </c>
      <c r="D1356" s="60" t="s">
        <v>5</v>
      </c>
      <c r="E1356" s="73" t="s">
        <v>6</v>
      </c>
      <c r="F1356" s="184">
        <v>0.90900000000000003</v>
      </c>
      <c r="G1356" s="65">
        <f>VLOOKUP(D1356,upahbahan,3,FALSE)</f>
        <v>100000</v>
      </c>
      <c r="H1356" s="125">
        <f t="shared" ref="H1356:H1359" si="139">F1356*G1356</f>
        <v>90900</v>
      </c>
    </row>
    <row r="1357" spans="3:9">
      <c r="C1357" s="143">
        <v>2</v>
      </c>
      <c r="D1357" s="60" t="s">
        <v>7</v>
      </c>
      <c r="E1357" s="73" t="s">
        <v>6</v>
      </c>
      <c r="F1357" s="184">
        <v>0.45500000000000002</v>
      </c>
      <c r="G1357" s="65">
        <f>VLOOKUP(D1357,upahbahan,3,FALSE)</f>
        <v>145000</v>
      </c>
      <c r="H1357" s="125">
        <f t="shared" si="139"/>
        <v>65975</v>
      </c>
    </row>
    <row r="1358" spans="3:9">
      <c r="C1358" s="143">
        <v>3</v>
      </c>
      <c r="D1358" s="60" t="s">
        <v>18</v>
      </c>
      <c r="E1358" s="73" t="s">
        <v>6</v>
      </c>
      <c r="F1358" s="184">
        <v>4.4999999999999998E-2</v>
      </c>
      <c r="G1358" s="65">
        <f>VLOOKUP(D1358,upahbahan,3,FALSE)</f>
        <v>150000</v>
      </c>
      <c r="H1358" s="125">
        <f t="shared" si="139"/>
        <v>6750</v>
      </c>
    </row>
    <row r="1359" spans="3:9">
      <c r="C1359" s="143">
        <v>4</v>
      </c>
      <c r="D1359" s="60" t="s">
        <v>19</v>
      </c>
      <c r="E1359" s="73" t="s">
        <v>6</v>
      </c>
      <c r="F1359" s="184">
        <v>1.4999999999999999E-2</v>
      </c>
      <c r="G1359" s="65">
        <f>VLOOKUP(D1359,upahbahan,3,FALSE)</f>
        <v>145000</v>
      </c>
      <c r="H1359" s="125">
        <f t="shared" si="139"/>
        <v>2175</v>
      </c>
    </row>
    <row r="1360" spans="3:9">
      <c r="C1360" s="145" t="s">
        <v>1220</v>
      </c>
      <c r="D1360" s="81"/>
      <c r="E1360" s="81"/>
      <c r="F1360" s="220"/>
      <c r="G1360" s="221"/>
      <c r="H1360" s="125">
        <f>SUM(H1356:H1359)</f>
        <v>165800</v>
      </c>
      <c r="I1360" s="223"/>
    </row>
    <row r="1361" spans="3:9">
      <c r="C1361" s="142" t="s">
        <v>1221</v>
      </c>
      <c r="D1361" s="60" t="s">
        <v>1222</v>
      </c>
      <c r="E1361" s="74"/>
      <c r="F1361" s="74"/>
      <c r="G1361" s="74"/>
      <c r="H1361" s="147"/>
    </row>
    <row r="1362" spans="3:9">
      <c r="C1362" s="201" t="s">
        <v>1215</v>
      </c>
      <c r="D1362" s="60" t="s">
        <v>445</v>
      </c>
      <c r="E1362" s="73" t="s">
        <v>44</v>
      </c>
      <c r="F1362" s="75">
        <v>105</v>
      </c>
      <c r="G1362" s="65">
        <f>VLOOKUP(D1362,upahbahan,3,FALSE)</f>
        <v>2000</v>
      </c>
      <c r="H1362" s="125">
        <f t="shared" ref="H1362:H1365" si="140">F1362*G1362</f>
        <v>210000</v>
      </c>
    </row>
    <row r="1363" spans="3:9">
      <c r="C1363" s="201" t="s">
        <v>1216</v>
      </c>
      <c r="D1363" s="60" t="s">
        <v>568</v>
      </c>
      <c r="E1363" s="73" t="s">
        <v>66</v>
      </c>
      <c r="F1363" s="75">
        <v>9.3000000000000007</v>
      </c>
      <c r="G1363" s="65">
        <f>VLOOKUP(D1363,upahbahan,3,FALSE)</f>
        <v>1300</v>
      </c>
      <c r="H1363" s="125">
        <f t="shared" si="140"/>
        <v>12090.000000000002</v>
      </c>
    </row>
    <row r="1364" spans="3:9">
      <c r="C1364" s="201" t="s">
        <v>1217</v>
      </c>
      <c r="D1364" s="60" t="s">
        <v>571</v>
      </c>
      <c r="E1364" s="73" t="s">
        <v>66</v>
      </c>
      <c r="F1364" s="75">
        <v>2.9</v>
      </c>
      <c r="G1364" s="65">
        <f>VLOOKUP(D1364,upahbahan,3,FALSE)</f>
        <v>7800</v>
      </c>
      <c r="H1364" s="125">
        <f t="shared" si="140"/>
        <v>22620</v>
      </c>
    </row>
    <row r="1365" spans="3:9">
      <c r="C1365" s="201" t="s">
        <v>1218</v>
      </c>
      <c r="D1365" s="78" t="s">
        <v>86</v>
      </c>
      <c r="E1365" s="73" t="s">
        <v>42</v>
      </c>
      <c r="F1365" s="75">
        <v>1.7999999999999999E-2</v>
      </c>
      <c r="G1365" s="65">
        <f>VLOOKUP(D1365,upahbahan,3,FALSE)</f>
        <v>275000</v>
      </c>
      <c r="H1365" s="125">
        <f t="shared" si="140"/>
        <v>4950</v>
      </c>
    </row>
    <row r="1366" spans="3:9">
      <c r="C1366" s="145" t="s">
        <v>1226</v>
      </c>
      <c r="D1366" s="81"/>
      <c r="E1366" s="81"/>
      <c r="F1366" s="81"/>
      <c r="G1366" s="163"/>
      <c r="H1366" s="125">
        <f>SUM(H1362:H1365)</f>
        <v>249660</v>
      </c>
    </row>
    <row r="1367" spans="3:9">
      <c r="C1367" s="153" t="s">
        <v>1227</v>
      </c>
      <c r="D1367" s="60" t="s">
        <v>1228</v>
      </c>
      <c r="E1367" s="74"/>
      <c r="F1367" s="74"/>
      <c r="G1367" s="74"/>
      <c r="H1367" s="147"/>
    </row>
    <row r="1368" spans="3:9">
      <c r="C1368" s="145" t="s">
        <v>1229</v>
      </c>
      <c r="D1368" s="81"/>
      <c r="E1368" s="81"/>
      <c r="F1368" s="81"/>
      <c r="G1368" s="163"/>
      <c r="H1368" s="154">
        <v>0</v>
      </c>
    </row>
    <row r="1369" spans="3:9">
      <c r="C1369" s="123" t="s">
        <v>1230</v>
      </c>
      <c r="D1369" s="70" t="s">
        <v>1231</v>
      </c>
      <c r="E1369" s="71"/>
      <c r="F1369" s="71"/>
      <c r="G1369" s="72"/>
      <c r="H1369" s="125">
        <f>H1368+H1366+H1360</f>
        <v>415460</v>
      </c>
    </row>
    <row r="1370" spans="3:9">
      <c r="C1370" s="123" t="s">
        <v>1232</v>
      </c>
      <c r="D1370" s="70" t="s">
        <v>1410</v>
      </c>
      <c r="E1370" s="71"/>
      <c r="F1370" s="72"/>
      <c r="G1370" s="96">
        <f>$M$7</f>
        <v>0.1</v>
      </c>
      <c r="H1370" s="125">
        <f>H1369*G1370</f>
        <v>41546</v>
      </c>
    </row>
    <row r="1371" spans="3:9" ht="15.75" thickBot="1">
      <c r="C1371" s="131" t="s">
        <v>1233</v>
      </c>
      <c r="D1371" s="132" t="s">
        <v>1234</v>
      </c>
      <c r="E1371" s="133"/>
      <c r="F1371" s="133"/>
      <c r="G1371" s="156"/>
      <c r="H1371" s="135">
        <f>SUM(H1369:H1370)</f>
        <v>457006</v>
      </c>
    </row>
    <row r="1372" spans="3:9" ht="15.75" thickTop="1">
      <c r="C1372" s="58"/>
      <c r="D1372" s="82"/>
      <c r="E1372" s="82"/>
      <c r="F1372" s="82"/>
      <c r="G1372" s="82"/>
      <c r="H1372" s="83"/>
    </row>
    <row r="1373" spans="3:9" ht="15.75" thickBot="1">
      <c r="C1373" s="237" t="s">
        <v>1612</v>
      </c>
      <c r="D1373" s="237"/>
      <c r="E1373" s="237"/>
      <c r="F1373" s="237"/>
      <c r="G1373" s="237"/>
      <c r="H1373" s="237"/>
      <c r="I1373" s="57">
        <f>ROUNDDOWN(H1391,-2)</f>
        <v>257000</v>
      </c>
    </row>
    <row r="1374" spans="3:9" ht="29.25" thickTop="1">
      <c r="C1374" s="120" t="s">
        <v>1207</v>
      </c>
      <c r="D1374" s="121" t="s">
        <v>1208</v>
      </c>
      <c r="E1374" s="121" t="s">
        <v>1209</v>
      </c>
      <c r="F1374" s="121" t="s">
        <v>1210</v>
      </c>
      <c r="G1374" s="121" t="s">
        <v>1211</v>
      </c>
      <c r="H1374" s="122" t="s">
        <v>1212</v>
      </c>
    </row>
    <row r="1375" spans="3:9">
      <c r="C1375" s="142" t="s">
        <v>1213</v>
      </c>
      <c r="D1375" s="60" t="s">
        <v>1214</v>
      </c>
      <c r="E1375" s="74"/>
      <c r="F1375" s="74"/>
      <c r="G1375" s="74"/>
      <c r="H1375" s="147"/>
    </row>
    <row r="1376" spans="3:9">
      <c r="C1376" s="143">
        <v>1</v>
      </c>
      <c r="D1376" s="60" t="s">
        <v>5</v>
      </c>
      <c r="E1376" s="73" t="s">
        <v>6</v>
      </c>
      <c r="F1376" s="75">
        <v>0.5</v>
      </c>
      <c r="G1376" s="65">
        <f>VLOOKUP(D1376,upahbahan,3,FALSE)</f>
        <v>100000</v>
      </c>
      <c r="H1376" s="125">
        <f t="shared" ref="H1376:H1379" si="141">F1376*G1376</f>
        <v>50000</v>
      </c>
    </row>
    <row r="1377" spans="3:9">
      <c r="C1377" s="143">
        <v>2</v>
      </c>
      <c r="D1377" s="60" t="s">
        <v>7</v>
      </c>
      <c r="E1377" s="73" t="s">
        <v>6</v>
      </c>
      <c r="F1377" s="75">
        <v>0.25</v>
      </c>
      <c r="G1377" s="65">
        <f>VLOOKUP(D1377,upahbahan,3,FALSE)</f>
        <v>145000</v>
      </c>
      <c r="H1377" s="125">
        <f t="shared" si="141"/>
        <v>36250</v>
      </c>
    </row>
    <row r="1378" spans="3:9">
      <c r="C1378" s="143">
        <v>3</v>
      </c>
      <c r="D1378" s="60" t="s">
        <v>18</v>
      </c>
      <c r="E1378" s="73" t="s">
        <v>6</v>
      </c>
      <c r="F1378" s="75">
        <v>2.5000000000000001E-2</v>
      </c>
      <c r="G1378" s="65">
        <f>VLOOKUP(D1378,upahbahan,3,FALSE)</f>
        <v>150000</v>
      </c>
      <c r="H1378" s="125">
        <f t="shared" si="141"/>
        <v>3750</v>
      </c>
    </row>
    <row r="1379" spans="3:9">
      <c r="C1379" s="143">
        <v>4</v>
      </c>
      <c r="D1379" s="60" t="s">
        <v>19</v>
      </c>
      <c r="E1379" s="73" t="s">
        <v>6</v>
      </c>
      <c r="F1379" s="75">
        <v>8.0000000000000002E-3</v>
      </c>
      <c r="G1379" s="65">
        <f>VLOOKUP(D1379,upahbahan,3,FALSE)</f>
        <v>145000</v>
      </c>
      <c r="H1379" s="125">
        <f t="shared" si="141"/>
        <v>1160</v>
      </c>
    </row>
    <row r="1380" spans="3:9">
      <c r="C1380" s="145" t="s">
        <v>1220</v>
      </c>
      <c r="D1380" s="81"/>
      <c r="E1380" s="81"/>
      <c r="F1380" s="220"/>
      <c r="G1380" s="221"/>
      <c r="H1380" s="125">
        <f>SUM(H1376:H1379)</f>
        <v>91160</v>
      </c>
      <c r="I1380" s="223"/>
    </row>
    <row r="1381" spans="3:9">
      <c r="C1381" s="142" t="s">
        <v>1221</v>
      </c>
      <c r="D1381" s="60" t="s">
        <v>1222</v>
      </c>
      <c r="E1381" s="74"/>
      <c r="F1381" s="74"/>
      <c r="G1381" s="74"/>
      <c r="H1381" s="147"/>
    </row>
    <row r="1382" spans="3:9">
      <c r="C1382" s="201" t="s">
        <v>1215</v>
      </c>
      <c r="D1382" s="60" t="s">
        <v>442</v>
      </c>
      <c r="E1382" s="73" t="s">
        <v>44</v>
      </c>
      <c r="F1382" s="75">
        <v>52</v>
      </c>
      <c r="G1382" s="65">
        <f>VLOOKUP(D1382,upahbahan,3,FALSE)</f>
        <v>2000</v>
      </c>
      <c r="H1382" s="125">
        <f t="shared" ref="H1382:H1385" si="142">F1382*G1382</f>
        <v>104000</v>
      </c>
    </row>
    <row r="1383" spans="3:9">
      <c r="C1383" s="201" t="s">
        <v>1216</v>
      </c>
      <c r="D1383" s="60" t="s">
        <v>568</v>
      </c>
      <c r="E1383" s="73" t="s">
        <v>66</v>
      </c>
      <c r="F1383" s="75">
        <v>9.3000000000000007</v>
      </c>
      <c r="G1383" s="65">
        <f>VLOOKUP(D1383,upahbahan,3,FALSE)</f>
        <v>1300</v>
      </c>
      <c r="H1383" s="125">
        <f t="shared" si="142"/>
        <v>12090.000000000002</v>
      </c>
    </row>
    <row r="1384" spans="3:9">
      <c r="C1384" s="201" t="s">
        <v>1217</v>
      </c>
      <c r="D1384" s="60" t="s">
        <v>571</v>
      </c>
      <c r="E1384" s="73" t="s">
        <v>66</v>
      </c>
      <c r="F1384" s="75">
        <v>2.75</v>
      </c>
      <c r="G1384" s="65">
        <f>VLOOKUP(D1384,upahbahan,3,FALSE)</f>
        <v>7800</v>
      </c>
      <c r="H1384" s="125">
        <f t="shared" si="142"/>
        <v>21450</v>
      </c>
    </row>
    <row r="1385" spans="3:9">
      <c r="C1385" s="201" t="s">
        <v>1218</v>
      </c>
      <c r="D1385" s="78" t="s">
        <v>86</v>
      </c>
      <c r="E1385" s="73" t="s">
        <v>42</v>
      </c>
      <c r="F1385" s="75">
        <v>1.7999999999999999E-2</v>
      </c>
      <c r="G1385" s="65">
        <f>VLOOKUP(D1385,upahbahan,3,FALSE)</f>
        <v>275000</v>
      </c>
      <c r="H1385" s="125">
        <f t="shared" si="142"/>
        <v>4950</v>
      </c>
    </row>
    <row r="1386" spans="3:9">
      <c r="C1386" s="145" t="s">
        <v>1226</v>
      </c>
      <c r="D1386" s="81"/>
      <c r="E1386" s="81"/>
      <c r="F1386" s="81"/>
      <c r="G1386" s="163"/>
      <c r="H1386" s="125">
        <f>SUM(H1382:H1385)</f>
        <v>142490</v>
      </c>
    </row>
    <row r="1387" spans="3:9">
      <c r="C1387" s="153" t="s">
        <v>1227</v>
      </c>
      <c r="D1387" s="60" t="s">
        <v>1228</v>
      </c>
      <c r="E1387" s="74"/>
      <c r="F1387" s="74"/>
      <c r="G1387" s="74"/>
      <c r="H1387" s="147"/>
    </row>
    <row r="1388" spans="3:9">
      <c r="C1388" s="145" t="s">
        <v>1229</v>
      </c>
      <c r="D1388" s="81"/>
      <c r="E1388" s="81"/>
      <c r="F1388" s="81"/>
      <c r="G1388" s="163"/>
      <c r="H1388" s="154">
        <v>0</v>
      </c>
    </row>
    <row r="1389" spans="3:9">
      <c r="C1389" s="123" t="s">
        <v>1230</v>
      </c>
      <c r="D1389" s="70" t="s">
        <v>1231</v>
      </c>
      <c r="E1389" s="71"/>
      <c r="F1389" s="71"/>
      <c r="G1389" s="72"/>
      <c r="H1389" s="125">
        <f>H1388+H1386+H1380</f>
        <v>233650</v>
      </c>
    </row>
    <row r="1390" spans="3:9">
      <c r="C1390" s="123" t="s">
        <v>1232</v>
      </c>
      <c r="D1390" s="70" t="s">
        <v>1410</v>
      </c>
      <c r="E1390" s="71"/>
      <c r="F1390" s="72"/>
      <c r="G1390" s="96">
        <f>$M$7</f>
        <v>0.1</v>
      </c>
      <c r="H1390" s="125">
        <f>H1389*G1390</f>
        <v>23365</v>
      </c>
    </row>
    <row r="1391" spans="3:9" ht="15.75" thickBot="1">
      <c r="C1391" s="131" t="s">
        <v>1233</v>
      </c>
      <c r="D1391" s="132" t="s">
        <v>1234</v>
      </c>
      <c r="E1391" s="133"/>
      <c r="F1391" s="133"/>
      <c r="G1391" s="156"/>
      <c r="H1391" s="135">
        <f>SUM(H1389:H1390)</f>
        <v>257015</v>
      </c>
    </row>
    <row r="1392" spans="3:9" ht="15.75" thickTop="1">
      <c r="C1392" s="58"/>
      <c r="D1392" s="82"/>
      <c r="E1392" s="82"/>
      <c r="F1392" s="82"/>
      <c r="G1392" s="82"/>
      <c r="H1392" s="83"/>
    </row>
    <row r="1393" spans="3:9" ht="15.75" thickBot="1">
      <c r="C1393" s="237" t="s">
        <v>1613</v>
      </c>
      <c r="D1393" s="237"/>
      <c r="E1393" s="237"/>
      <c r="F1393" s="237"/>
      <c r="G1393" s="237"/>
      <c r="H1393" s="237"/>
      <c r="I1393" s="57">
        <f>ROUNDDOWN(H1411,-2)</f>
        <v>201500</v>
      </c>
    </row>
    <row r="1394" spans="3:9" ht="29.25" thickTop="1">
      <c r="C1394" s="120" t="s">
        <v>1207</v>
      </c>
      <c r="D1394" s="121" t="s">
        <v>1208</v>
      </c>
      <c r="E1394" s="121" t="s">
        <v>1209</v>
      </c>
      <c r="F1394" s="121" t="s">
        <v>1210</v>
      </c>
      <c r="G1394" s="121" t="s">
        <v>1211</v>
      </c>
      <c r="H1394" s="122" t="s">
        <v>1212</v>
      </c>
    </row>
    <row r="1395" spans="3:9">
      <c r="C1395" s="142" t="s">
        <v>1213</v>
      </c>
      <c r="D1395" s="60" t="s">
        <v>1214</v>
      </c>
      <c r="E1395" s="74"/>
      <c r="F1395" s="74"/>
      <c r="G1395" s="74"/>
      <c r="H1395" s="147"/>
    </row>
    <row r="1396" spans="3:9">
      <c r="C1396" s="143">
        <v>1</v>
      </c>
      <c r="D1396" s="60" t="s">
        <v>5</v>
      </c>
      <c r="E1396" s="73" t="s">
        <v>6</v>
      </c>
      <c r="F1396" s="75">
        <v>0.4</v>
      </c>
      <c r="G1396" s="65">
        <f>VLOOKUP(D1396,upahbahan,3,FALSE)</f>
        <v>100000</v>
      </c>
      <c r="H1396" s="125">
        <f t="shared" ref="H1396:H1399" si="143">F1396*G1396</f>
        <v>40000</v>
      </c>
    </row>
    <row r="1397" spans="3:9">
      <c r="C1397" s="143">
        <v>2</v>
      </c>
      <c r="D1397" s="60" t="s">
        <v>7</v>
      </c>
      <c r="E1397" s="73" t="s">
        <v>6</v>
      </c>
      <c r="F1397" s="75">
        <v>0.2</v>
      </c>
      <c r="G1397" s="65">
        <f>VLOOKUP(D1397,upahbahan,3,FALSE)</f>
        <v>145000</v>
      </c>
      <c r="H1397" s="125">
        <f t="shared" si="143"/>
        <v>29000</v>
      </c>
    </row>
    <row r="1398" spans="3:9">
      <c r="C1398" s="143">
        <v>3</v>
      </c>
      <c r="D1398" s="60" t="s">
        <v>18</v>
      </c>
      <c r="E1398" s="73" t="s">
        <v>6</v>
      </c>
      <c r="F1398" s="75">
        <v>0.02</v>
      </c>
      <c r="G1398" s="65">
        <f>VLOOKUP(D1398,upahbahan,3,FALSE)</f>
        <v>150000</v>
      </c>
      <c r="H1398" s="125">
        <f t="shared" si="143"/>
        <v>3000</v>
      </c>
    </row>
    <row r="1399" spans="3:9">
      <c r="C1399" s="143">
        <v>4</v>
      </c>
      <c r="D1399" s="60" t="s">
        <v>19</v>
      </c>
      <c r="E1399" s="73" t="s">
        <v>6</v>
      </c>
      <c r="F1399" s="75">
        <v>7.0000000000000001E-3</v>
      </c>
      <c r="G1399" s="65">
        <f>VLOOKUP(D1399,upahbahan,3,FALSE)</f>
        <v>145000</v>
      </c>
      <c r="H1399" s="125">
        <f t="shared" si="143"/>
        <v>1015</v>
      </c>
    </row>
    <row r="1400" spans="3:9">
      <c r="C1400" s="145" t="s">
        <v>1220</v>
      </c>
      <c r="D1400" s="81"/>
      <c r="E1400" s="81"/>
      <c r="F1400" s="220"/>
      <c r="G1400" s="221"/>
      <c r="H1400" s="125">
        <f>SUM(H1396:H1399)</f>
        <v>73015</v>
      </c>
      <c r="I1400" s="223"/>
    </row>
    <row r="1401" spans="3:9">
      <c r="C1401" s="142" t="s">
        <v>1221</v>
      </c>
      <c r="D1401" s="60" t="s">
        <v>1222</v>
      </c>
      <c r="E1401" s="74"/>
      <c r="F1401" s="74"/>
      <c r="G1401" s="74"/>
      <c r="H1401" s="147"/>
    </row>
    <row r="1402" spans="3:9">
      <c r="C1402" s="201" t="s">
        <v>1215</v>
      </c>
      <c r="D1402" s="60" t="s">
        <v>443</v>
      </c>
      <c r="E1402" s="73" t="s">
        <v>44</v>
      </c>
      <c r="F1402" s="75">
        <v>26</v>
      </c>
      <c r="G1402" s="65">
        <f>VLOOKUP(D1402,upahbahan,3,FALSE)</f>
        <v>3000</v>
      </c>
      <c r="H1402" s="125">
        <f t="shared" ref="H1402:H1405" si="144">F1402*G1402</f>
        <v>78000</v>
      </c>
    </row>
    <row r="1403" spans="3:9">
      <c r="C1403" s="201" t="s">
        <v>1216</v>
      </c>
      <c r="D1403" s="60" t="s">
        <v>568</v>
      </c>
      <c r="E1403" s="73" t="s">
        <v>66</v>
      </c>
      <c r="F1403" s="75">
        <v>9.3000000000000007</v>
      </c>
      <c r="G1403" s="65">
        <f>VLOOKUP(D1403,upahbahan,3,FALSE)</f>
        <v>1300</v>
      </c>
      <c r="H1403" s="125">
        <f t="shared" si="144"/>
        <v>12090.000000000002</v>
      </c>
    </row>
    <row r="1404" spans="3:9">
      <c r="C1404" s="201" t="s">
        <v>1217</v>
      </c>
      <c r="D1404" s="60" t="s">
        <v>571</v>
      </c>
      <c r="E1404" s="73" t="s">
        <v>66</v>
      </c>
      <c r="F1404" s="75">
        <v>1.94</v>
      </c>
      <c r="G1404" s="65">
        <f>VLOOKUP(D1404,upahbahan,3,FALSE)</f>
        <v>7800</v>
      </c>
      <c r="H1404" s="125">
        <f t="shared" si="144"/>
        <v>15132</v>
      </c>
    </row>
    <row r="1405" spans="3:9">
      <c r="C1405" s="201" t="s">
        <v>1218</v>
      </c>
      <c r="D1405" s="78" t="s">
        <v>86</v>
      </c>
      <c r="E1405" s="73" t="s">
        <v>42</v>
      </c>
      <c r="F1405" s="75">
        <v>1.7999999999999999E-2</v>
      </c>
      <c r="G1405" s="65">
        <f>VLOOKUP(D1405,upahbahan,3,FALSE)</f>
        <v>275000</v>
      </c>
      <c r="H1405" s="125">
        <f t="shared" si="144"/>
        <v>4950</v>
      </c>
    </row>
    <row r="1406" spans="3:9">
      <c r="C1406" s="145" t="s">
        <v>1226</v>
      </c>
      <c r="D1406" s="81"/>
      <c r="E1406" s="81"/>
      <c r="F1406" s="81"/>
      <c r="G1406" s="163"/>
      <c r="H1406" s="125">
        <f>SUM(H1402:H1405)</f>
        <v>110172</v>
      </c>
    </row>
    <row r="1407" spans="3:9">
      <c r="C1407" s="153" t="s">
        <v>1227</v>
      </c>
      <c r="D1407" s="60" t="s">
        <v>1228</v>
      </c>
      <c r="E1407" s="74"/>
      <c r="F1407" s="74"/>
      <c r="G1407" s="74"/>
      <c r="H1407" s="147"/>
    </row>
    <row r="1408" spans="3:9">
      <c r="C1408" s="145" t="s">
        <v>1229</v>
      </c>
      <c r="D1408" s="81"/>
      <c r="E1408" s="81"/>
      <c r="F1408" s="81"/>
      <c r="G1408" s="163"/>
      <c r="H1408" s="154">
        <v>0</v>
      </c>
    </row>
    <row r="1409" spans="3:9">
      <c r="C1409" s="123" t="s">
        <v>1230</v>
      </c>
      <c r="D1409" s="70" t="s">
        <v>1231</v>
      </c>
      <c r="E1409" s="71"/>
      <c r="F1409" s="71"/>
      <c r="G1409" s="72"/>
      <c r="H1409" s="125">
        <f>H1408+H1406+H1400</f>
        <v>183187</v>
      </c>
    </row>
    <row r="1410" spans="3:9">
      <c r="C1410" s="123" t="s">
        <v>1232</v>
      </c>
      <c r="D1410" s="70" t="s">
        <v>1410</v>
      </c>
      <c r="E1410" s="71"/>
      <c r="F1410" s="72"/>
      <c r="G1410" s="96">
        <f>$M$7</f>
        <v>0.1</v>
      </c>
      <c r="H1410" s="125">
        <f>H1409*G1410</f>
        <v>18318.7</v>
      </c>
    </row>
    <row r="1411" spans="3:9" ht="15.75" thickBot="1">
      <c r="C1411" s="131" t="s">
        <v>1233</v>
      </c>
      <c r="D1411" s="132" t="s">
        <v>1234</v>
      </c>
      <c r="E1411" s="133"/>
      <c r="F1411" s="133"/>
      <c r="G1411" s="156"/>
      <c r="H1411" s="135">
        <f>SUM(H1409:H1410)</f>
        <v>201505.7</v>
      </c>
    </row>
    <row r="1412" spans="3:9" ht="15.75" thickTop="1">
      <c r="C1412" s="58"/>
      <c r="D1412" s="82"/>
      <c r="E1412" s="82"/>
      <c r="F1412" s="82"/>
      <c r="G1412" s="82"/>
      <c r="H1412" s="83"/>
    </row>
    <row r="1413" spans="3:9" ht="15.75" thickBot="1">
      <c r="C1413" s="237" t="s">
        <v>1614</v>
      </c>
      <c r="D1413" s="237"/>
      <c r="E1413" s="237"/>
      <c r="F1413" s="237"/>
      <c r="G1413" s="237"/>
      <c r="H1413" s="237"/>
      <c r="I1413" s="57">
        <f>ROUNDDOWN(H1430,-2)</f>
        <v>501800</v>
      </c>
    </row>
    <row r="1414" spans="3:9" ht="29.25" thickTop="1">
      <c r="C1414" s="120" t="s">
        <v>1207</v>
      </c>
      <c r="D1414" s="121" t="s">
        <v>1208</v>
      </c>
      <c r="E1414" s="121" t="s">
        <v>1209</v>
      </c>
      <c r="F1414" s="121" t="s">
        <v>1210</v>
      </c>
      <c r="G1414" s="121" t="s">
        <v>1211</v>
      </c>
      <c r="H1414" s="122" t="s">
        <v>1212</v>
      </c>
    </row>
    <row r="1415" spans="3:9">
      <c r="C1415" s="142" t="s">
        <v>1213</v>
      </c>
      <c r="D1415" s="60" t="s">
        <v>1214</v>
      </c>
      <c r="E1415" s="74"/>
      <c r="F1415" s="74"/>
      <c r="G1415" s="74"/>
      <c r="H1415" s="147"/>
    </row>
    <row r="1416" spans="3:9">
      <c r="C1416" s="143">
        <v>1</v>
      </c>
      <c r="D1416" s="60" t="s">
        <v>5</v>
      </c>
      <c r="E1416" s="73" t="s">
        <v>6</v>
      </c>
      <c r="F1416" s="75">
        <v>1</v>
      </c>
      <c r="G1416" s="65">
        <f>VLOOKUP(D1416,upahbahan,3,FALSE)</f>
        <v>100000</v>
      </c>
      <c r="H1416" s="125">
        <f t="shared" ref="H1416:H1419" si="145">F1416*G1416</f>
        <v>100000</v>
      </c>
    </row>
    <row r="1417" spans="3:9">
      <c r="C1417" s="143">
        <v>2</v>
      </c>
      <c r="D1417" s="60" t="s">
        <v>7</v>
      </c>
      <c r="E1417" s="73" t="s">
        <v>6</v>
      </c>
      <c r="F1417" s="75">
        <v>0.5</v>
      </c>
      <c r="G1417" s="65">
        <f>VLOOKUP(D1417,upahbahan,3,FALSE)</f>
        <v>145000</v>
      </c>
      <c r="H1417" s="125">
        <f t="shared" si="145"/>
        <v>72500</v>
      </c>
    </row>
    <row r="1418" spans="3:9">
      <c r="C1418" s="143">
        <v>3</v>
      </c>
      <c r="D1418" s="60" t="s">
        <v>18</v>
      </c>
      <c r="E1418" s="73" t="s">
        <v>6</v>
      </c>
      <c r="F1418" s="75">
        <v>0.05</v>
      </c>
      <c r="G1418" s="65">
        <f>VLOOKUP(D1418,upahbahan,3,FALSE)</f>
        <v>150000</v>
      </c>
      <c r="H1418" s="125">
        <f t="shared" si="145"/>
        <v>7500</v>
      </c>
    </row>
    <row r="1419" spans="3:9">
      <c r="C1419" s="143">
        <v>4</v>
      </c>
      <c r="D1419" s="60" t="s">
        <v>19</v>
      </c>
      <c r="E1419" s="73" t="s">
        <v>6</v>
      </c>
      <c r="F1419" s="75">
        <v>1.67E-2</v>
      </c>
      <c r="G1419" s="65">
        <f>VLOOKUP(D1419,upahbahan,3,FALSE)</f>
        <v>145000</v>
      </c>
      <c r="H1419" s="125">
        <f t="shared" si="145"/>
        <v>2421.5</v>
      </c>
    </row>
    <row r="1420" spans="3:9">
      <c r="C1420" s="145" t="s">
        <v>1220</v>
      </c>
      <c r="D1420" s="81"/>
      <c r="E1420" s="81"/>
      <c r="F1420" s="220"/>
      <c r="G1420" s="221"/>
      <c r="H1420" s="125">
        <f>SUM(H1416:H1419)</f>
        <v>182421.5</v>
      </c>
      <c r="I1420" s="223"/>
    </row>
    <row r="1421" spans="3:9">
      <c r="C1421" s="142" t="s">
        <v>1221</v>
      </c>
      <c r="D1421" s="60" t="s">
        <v>1222</v>
      </c>
      <c r="E1421" s="74"/>
      <c r="F1421" s="74"/>
      <c r="G1421" s="74"/>
      <c r="H1421" s="147"/>
    </row>
    <row r="1422" spans="3:9">
      <c r="C1422" s="201" t="s">
        <v>1215</v>
      </c>
      <c r="D1422" s="60" t="s">
        <v>425</v>
      </c>
      <c r="E1422" s="73" t="s">
        <v>44</v>
      </c>
      <c r="F1422" s="75">
        <v>11.67</v>
      </c>
      <c r="G1422" s="65">
        <f>VLOOKUP(D1422,upahbahan,3,FALSE)</f>
        <v>22000</v>
      </c>
      <c r="H1422" s="125">
        <f t="shared" ref="H1422:H1424" si="146">F1422*G1422</f>
        <v>256740</v>
      </c>
    </row>
    <row r="1423" spans="3:9">
      <c r="C1423" s="201" t="s">
        <v>1216</v>
      </c>
      <c r="D1423" s="60" t="s">
        <v>568</v>
      </c>
      <c r="E1423" s="73" t="s">
        <v>66</v>
      </c>
      <c r="F1423" s="75">
        <v>9.3000000000000007</v>
      </c>
      <c r="G1423" s="65">
        <f>VLOOKUP(D1423,upahbahan,3,FALSE)</f>
        <v>1300</v>
      </c>
      <c r="H1423" s="125">
        <f t="shared" si="146"/>
        <v>12090.000000000002</v>
      </c>
    </row>
    <row r="1424" spans="3:9">
      <c r="C1424" s="201" t="s">
        <v>1218</v>
      </c>
      <c r="D1424" s="78" t="s">
        <v>86</v>
      </c>
      <c r="E1424" s="73" t="s">
        <v>42</v>
      </c>
      <c r="F1424" s="75">
        <v>1.7999999999999999E-2</v>
      </c>
      <c r="G1424" s="65">
        <f>VLOOKUP(D1424,upahbahan,3,FALSE)</f>
        <v>275000</v>
      </c>
      <c r="H1424" s="125">
        <f t="shared" si="146"/>
        <v>4950</v>
      </c>
    </row>
    <row r="1425" spans="3:9">
      <c r="C1425" s="145" t="s">
        <v>1226</v>
      </c>
      <c r="D1425" s="81"/>
      <c r="E1425" s="81"/>
      <c r="F1425" s="81"/>
      <c r="G1425" s="163"/>
      <c r="H1425" s="125">
        <f>SUM(H1422:H1424)</f>
        <v>273780</v>
      </c>
    </row>
    <row r="1426" spans="3:9">
      <c r="C1426" s="153" t="s">
        <v>1227</v>
      </c>
      <c r="D1426" s="60" t="s">
        <v>1228</v>
      </c>
      <c r="E1426" s="74"/>
      <c r="F1426" s="74"/>
      <c r="G1426" s="74"/>
      <c r="H1426" s="147"/>
    </row>
    <row r="1427" spans="3:9">
      <c r="C1427" s="145" t="s">
        <v>1229</v>
      </c>
      <c r="D1427" s="81"/>
      <c r="E1427" s="81"/>
      <c r="F1427" s="81"/>
      <c r="G1427" s="163"/>
      <c r="H1427" s="154">
        <v>0</v>
      </c>
    </row>
    <row r="1428" spans="3:9">
      <c r="C1428" s="123" t="s">
        <v>1230</v>
      </c>
      <c r="D1428" s="70" t="s">
        <v>1231</v>
      </c>
      <c r="E1428" s="71"/>
      <c r="F1428" s="71"/>
      <c r="G1428" s="72"/>
      <c r="H1428" s="125">
        <f>H1427+H1425+H1420</f>
        <v>456201.5</v>
      </c>
    </row>
    <row r="1429" spans="3:9">
      <c r="C1429" s="123" t="s">
        <v>1232</v>
      </c>
      <c r="D1429" s="70" t="s">
        <v>1410</v>
      </c>
      <c r="E1429" s="71"/>
      <c r="F1429" s="72"/>
      <c r="G1429" s="96">
        <f>$M$7</f>
        <v>0.1</v>
      </c>
      <c r="H1429" s="125">
        <f>H1428*G1429</f>
        <v>45620.15</v>
      </c>
    </row>
    <row r="1430" spans="3:9" ht="15.75" thickBot="1">
      <c r="C1430" s="131" t="s">
        <v>1233</v>
      </c>
      <c r="D1430" s="132" t="s">
        <v>1234</v>
      </c>
      <c r="E1430" s="133"/>
      <c r="F1430" s="133"/>
      <c r="G1430" s="156"/>
      <c r="H1430" s="135">
        <f>SUM(H1428:H1429)</f>
        <v>501821.65</v>
      </c>
    </row>
    <row r="1431" spans="3:9" ht="15.75" thickTop="1">
      <c r="C1431" s="58"/>
      <c r="D1431" s="82"/>
      <c r="E1431" s="82"/>
      <c r="F1431" s="82"/>
      <c r="G1431" s="82"/>
      <c r="H1431" s="83"/>
    </row>
    <row r="1432" spans="3:9" ht="15.75" thickBot="1">
      <c r="C1432" s="237" t="s">
        <v>1615</v>
      </c>
      <c r="D1432" s="237"/>
      <c r="E1432" s="237"/>
      <c r="F1432" s="237"/>
      <c r="G1432" s="237"/>
      <c r="H1432" s="237"/>
      <c r="I1432" s="57">
        <f>ROUNDDOWN(H1449,-2)</f>
        <v>415800</v>
      </c>
    </row>
    <row r="1433" spans="3:9" ht="29.25" thickTop="1">
      <c r="C1433" s="120" t="s">
        <v>1207</v>
      </c>
      <c r="D1433" s="121" t="s">
        <v>1208</v>
      </c>
      <c r="E1433" s="121" t="s">
        <v>1209</v>
      </c>
      <c r="F1433" s="121" t="s">
        <v>1210</v>
      </c>
      <c r="G1433" s="121" t="s">
        <v>1211</v>
      </c>
      <c r="H1433" s="122" t="s">
        <v>1212</v>
      </c>
    </row>
    <row r="1434" spans="3:9">
      <c r="C1434" s="142" t="s">
        <v>1213</v>
      </c>
      <c r="D1434" s="60" t="s">
        <v>1214</v>
      </c>
      <c r="E1434" s="74"/>
      <c r="F1434" s="74"/>
      <c r="G1434" s="74"/>
      <c r="H1434" s="147"/>
    </row>
    <row r="1435" spans="3:9">
      <c r="C1435" s="143">
        <v>1</v>
      </c>
      <c r="D1435" s="60" t="s">
        <v>5</v>
      </c>
      <c r="E1435" s="73" t="s">
        <v>6</v>
      </c>
      <c r="F1435" s="75">
        <v>0.9</v>
      </c>
      <c r="G1435" s="65">
        <f>VLOOKUP(D1435,upahbahan,3,FALSE)</f>
        <v>100000</v>
      </c>
      <c r="H1435" s="125">
        <f t="shared" ref="H1435:H1438" si="147">F1435*G1435</f>
        <v>90000</v>
      </c>
    </row>
    <row r="1436" spans="3:9">
      <c r="C1436" s="143">
        <v>2</v>
      </c>
      <c r="D1436" s="60" t="s">
        <v>7</v>
      </c>
      <c r="E1436" s="73" t="s">
        <v>6</v>
      </c>
      <c r="F1436" s="75">
        <v>0.45</v>
      </c>
      <c r="G1436" s="65">
        <f>VLOOKUP(D1436,upahbahan,3,FALSE)</f>
        <v>145000</v>
      </c>
      <c r="H1436" s="125">
        <f t="shared" si="147"/>
        <v>65250</v>
      </c>
    </row>
    <row r="1437" spans="3:9">
      <c r="C1437" s="143">
        <v>3</v>
      </c>
      <c r="D1437" s="60" t="s">
        <v>18</v>
      </c>
      <c r="E1437" s="73" t="s">
        <v>6</v>
      </c>
      <c r="F1437" s="75">
        <v>4.4999999999999998E-2</v>
      </c>
      <c r="G1437" s="65">
        <f>VLOOKUP(D1437,upahbahan,3,FALSE)</f>
        <v>150000</v>
      </c>
      <c r="H1437" s="125">
        <f t="shared" si="147"/>
        <v>6750</v>
      </c>
    </row>
    <row r="1438" spans="3:9">
      <c r="C1438" s="143">
        <v>4</v>
      </c>
      <c r="D1438" s="60" t="s">
        <v>19</v>
      </c>
      <c r="E1438" s="73" t="s">
        <v>6</v>
      </c>
      <c r="F1438" s="75">
        <v>1.4999999999999999E-2</v>
      </c>
      <c r="G1438" s="65">
        <f>VLOOKUP(D1438,upahbahan,3,FALSE)</f>
        <v>145000</v>
      </c>
      <c r="H1438" s="125">
        <f t="shared" si="147"/>
        <v>2175</v>
      </c>
    </row>
    <row r="1439" spans="3:9">
      <c r="C1439" s="145" t="s">
        <v>1220</v>
      </c>
      <c r="D1439" s="81"/>
      <c r="E1439" s="81"/>
      <c r="F1439" s="220"/>
      <c r="G1439" s="221"/>
      <c r="H1439" s="125">
        <f>SUM(H1435:H1438)</f>
        <v>164175</v>
      </c>
      <c r="I1439" s="223"/>
    </row>
    <row r="1440" spans="3:9">
      <c r="C1440" s="142" t="s">
        <v>1221</v>
      </c>
      <c r="D1440" s="60" t="s">
        <v>1222</v>
      </c>
      <c r="E1440" s="74"/>
      <c r="F1440" s="74"/>
      <c r="G1440" s="74"/>
      <c r="H1440" s="147"/>
    </row>
    <row r="1441" spans="3:9">
      <c r="C1441" s="201" t="s">
        <v>1215</v>
      </c>
      <c r="D1441" s="60" t="s">
        <v>426</v>
      </c>
      <c r="E1441" s="73" t="s">
        <v>44</v>
      </c>
      <c r="F1441" s="75">
        <v>6.56</v>
      </c>
      <c r="G1441" s="65">
        <f>VLOOKUP(D1441,upahbahan,3,FALSE)</f>
        <v>30000</v>
      </c>
      <c r="H1441" s="125">
        <f t="shared" ref="H1441:H1443" si="148">F1441*G1441</f>
        <v>196800</v>
      </c>
    </row>
    <row r="1442" spans="3:9">
      <c r="C1442" s="201" t="s">
        <v>1216</v>
      </c>
      <c r="D1442" s="60" t="s">
        <v>568</v>
      </c>
      <c r="E1442" s="73" t="s">
        <v>66</v>
      </c>
      <c r="F1442" s="75">
        <v>9.3000000000000007</v>
      </c>
      <c r="G1442" s="65">
        <f>VLOOKUP(D1442,upahbahan,3,FALSE)</f>
        <v>1300</v>
      </c>
      <c r="H1442" s="125">
        <f t="shared" si="148"/>
        <v>12090.000000000002</v>
      </c>
    </row>
    <row r="1443" spans="3:9">
      <c r="C1443" s="201" t="s">
        <v>1218</v>
      </c>
      <c r="D1443" s="78" t="s">
        <v>86</v>
      </c>
      <c r="E1443" s="73" t="s">
        <v>42</v>
      </c>
      <c r="F1443" s="75">
        <v>1.7999999999999999E-2</v>
      </c>
      <c r="G1443" s="65">
        <f>VLOOKUP(D1443,upahbahan,3,FALSE)</f>
        <v>275000</v>
      </c>
      <c r="H1443" s="125">
        <f t="shared" si="148"/>
        <v>4950</v>
      </c>
    </row>
    <row r="1444" spans="3:9">
      <c r="C1444" s="145" t="s">
        <v>1226</v>
      </c>
      <c r="D1444" s="81"/>
      <c r="E1444" s="81"/>
      <c r="F1444" s="81"/>
      <c r="G1444" s="163"/>
      <c r="H1444" s="125">
        <f>SUM(H1441:H1443)</f>
        <v>213840</v>
      </c>
    </row>
    <row r="1445" spans="3:9">
      <c r="C1445" s="153" t="s">
        <v>1227</v>
      </c>
      <c r="D1445" s="60" t="s">
        <v>1228</v>
      </c>
      <c r="E1445" s="74"/>
      <c r="F1445" s="74"/>
      <c r="G1445" s="74"/>
      <c r="H1445" s="147"/>
    </row>
    <row r="1446" spans="3:9">
      <c r="C1446" s="145" t="s">
        <v>1229</v>
      </c>
      <c r="D1446" s="81"/>
      <c r="E1446" s="81"/>
      <c r="F1446" s="81"/>
      <c r="G1446" s="163"/>
      <c r="H1446" s="154">
        <v>0</v>
      </c>
    </row>
    <row r="1447" spans="3:9">
      <c r="C1447" s="123" t="s">
        <v>1230</v>
      </c>
      <c r="D1447" s="70" t="s">
        <v>1231</v>
      </c>
      <c r="E1447" s="71"/>
      <c r="F1447" s="71"/>
      <c r="G1447" s="72"/>
      <c r="H1447" s="125">
        <f>H1446+H1444+H1439</f>
        <v>378015</v>
      </c>
    </row>
    <row r="1448" spans="3:9">
      <c r="C1448" s="123" t="s">
        <v>1232</v>
      </c>
      <c r="D1448" s="70" t="s">
        <v>1410</v>
      </c>
      <c r="E1448" s="71"/>
      <c r="F1448" s="72"/>
      <c r="G1448" s="96">
        <f>$M$7</f>
        <v>0.1</v>
      </c>
      <c r="H1448" s="125">
        <f>H1447*G1448</f>
        <v>37801.5</v>
      </c>
    </row>
    <row r="1449" spans="3:9" ht="15.75" thickBot="1">
      <c r="C1449" s="131" t="s">
        <v>1233</v>
      </c>
      <c r="D1449" s="132" t="s">
        <v>1234</v>
      </c>
      <c r="E1449" s="133"/>
      <c r="F1449" s="133"/>
      <c r="G1449" s="156"/>
      <c r="H1449" s="135">
        <f>SUM(H1447:H1448)</f>
        <v>415816.5</v>
      </c>
    </row>
    <row r="1450" spans="3:9" ht="15.75" thickTop="1">
      <c r="C1450" s="58"/>
      <c r="D1450" s="82"/>
      <c r="E1450" s="82"/>
      <c r="F1450" s="82"/>
      <c r="G1450" s="82"/>
      <c r="H1450" s="83"/>
    </row>
    <row r="1451" spans="3:9" ht="15.75" thickBot="1">
      <c r="C1451" s="237" t="s">
        <v>1616</v>
      </c>
      <c r="D1451" s="237"/>
      <c r="E1451" s="237"/>
      <c r="F1451" s="237"/>
      <c r="G1451" s="237"/>
      <c r="H1451" s="237"/>
      <c r="I1451" s="57">
        <f>ROUNDDOWN(H1468,-2)</f>
        <v>211400</v>
      </c>
    </row>
    <row r="1452" spans="3:9" ht="29.25" thickTop="1">
      <c r="C1452" s="120" t="s">
        <v>1207</v>
      </c>
      <c r="D1452" s="121" t="s">
        <v>1208</v>
      </c>
      <c r="E1452" s="121" t="s">
        <v>1209</v>
      </c>
      <c r="F1452" s="121" t="s">
        <v>1210</v>
      </c>
      <c r="G1452" s="121" t="s">
        <v>1211</v>
      </c>
      <c r="H1452" s="122" t="s">
        <v>1212</v>
      </c>
    </row>
    <row r="1453" spans="3:9">
      <c r="C1453" s="142" t="s">
        <v>1213</v>
      </c>
      <c r="D1453" s="60" t="s">
        <v>1214</v>
      </c>
      <c r="E1453" s="74"/>
      <c r="F1453" s="74"/>
      <c r="G1453" s="74"/>
      <c r="H1453" s="147"/>
    </row>
    <row r="1454" spans="3:9">
      <c r="C1454" s="143">
        <v>1</v>
      </c>
      <c r="D1454" s="60" t="s">
        <v>5</v>
      </c>
      <c r="E1454" s="73" t="s">
        <v>6</v>
      </c>
      <c r="F1454" s="75">
        <v>0.4</v>
      </c>
      <c r="G1454" s="65">
        <f>VLOOKUP(D1454,upahbahan,3,FALSE)</f>
        <v>100000</v>
      </c>
      <c r="H1454" s="125">
        <f t="shared" ref="H1454:H1457" si="149">F1454*G1454</f>
        <v>40000</v>
      </c>
    </row>
    <row r="1455" spans="3:9">
      <c r="C1455" s="143">
        <v>2</v>
      </c>
      <c r="D1455" s="60" t="s">
        <v>7</v>
      </c>
      <c r="E1455" s="73" t="s">
        <v>6</v>
      </c>
      <c r="F1455" s="75">
        <v>0.2</v>
      </c>
      <c r="G1455" s="65">
        <f>VLOOKUP(D1455,upahbahan,3,FALSE)</f>
        <v>145000</v>
      </c>
      <c r="H1455" s="125">
        <f t="shared" si="149"/>
        <v>29000</v>
      </c>
    </row>
    <row r="1456" spans="3:9">
      <c r="C1456" s="143">
        <v>3</v>
      </c>
      <c r="D1456" s="60" t="s">
        <v>18</v>
      </c>
      <c r="E1456" s="73" t="s">
        <v>6</v>
      </c>
      <c r="F1456" s="75">
        <v>0.02</v>
      </c>
      <c r="G1456" s="65">
        <f>VLOOKUP(D1456,upahbahan,3,FALSE)</f>
        <v>150000</v>
      </c>
      <c r="H1456" s="125">
        <f t="shared" si="149"/>
        <v>3000</v>
      </c>
    </row>
    <row r="1457" spans="3:9">
      <c r="C1457" s="143">
        <v>4</v>
      </c>
      <c r="D1457" s="60" t="s">
        <v>19</v>
      </c>
      <c r="E1457" s="73" t="s">
        <v>6</v>
      </c>
      <c r="F1457" s="75">
        <v>7.0000000000000001E-3</v>
      </c>
      <c r="G1457" s="65">
        <f>VLOOKUP(D1457,upahbahan,3,FALSE)</f>
        <v>145000</v>
      </c>
      <c r="H1457" s="125">
        <f t="shared" si="149"/>
        <v>1015</v>
      </c>
    </row>
    <row r="1458" spans="3:9">
      <c r="C1458" s="145" t="s">
        <v>1220</v>
      </c>
      <c r="D1458" s="81"/>
      <c r="E1458" s="81"/>
      <c r="F1458" s="220"/>
      <c r="G1458" s="221"/>
      <c r="H1458" s="125">
        <f>SUM(H1454:H1457)</f>
        <v>73015</v>
      </c>
      <c r="I1458" s="223"/>
    </row>
    <row r="1459" spans="3:9">
      <c r="C1459" s="142" t="s">
        <v>1221</v>
      </c>
      <c r="D1459" s="60" t="s">
        <v>1222</v>
      </c>
      <c r="E1459" s="74"/>
      <c r="F1459" s="74"/>
      <c r="G1459" s="74"/>
      <c r="H1459" s="147"/>
    </row>
    <row r="1460" spans="3:9">
      <c r="C1460" s="201" t="s">
        <v>1215</v>
      </c>
      <c r="D1460" s="60" t="s">
        <v>427</v>
      </c>
      <c r="E1460" s="73" t="s">
        <v>44</v>
      </c>
      <c r="F1460" s="75">
        <v>2.92</v>
      </c>
      <c r="G1460" s="65">
        <f>VLOOKUP(D1460,upahbahan,3,FALSE)</f>
        <v>35000</v>
      </c>
      <c r="H1460" s="125">
        <f t="shared" ref="H1460:H1462" si="150">F1460*G1460</f>
        <v>102200</v>
      </c>
    </row>
    <row r="1461" spans="3:9">
      <c r="C1461" s="201" t="s">
        <v>1216</v>
      </c>
      <c r="D1461" s="60" t="s">
        <v>568</v>
      </c>
      <c r="E1461" s="73" t="s">
        <v>66</v>
      </c>
      <c r="F1461" s="75">
        <v>9.3000000000000007</v>
      </c>
      <c r="G1461" s="65">
        <f>VLOOKUP(D1461,upahbahan,3,FALSE)</f>
        <v>1300</v>
      </c>
      <c r="H1461" s="125">
        <f t="shared" si="150"/>
        <v>12090.000000000002</v>
      </c>
    </row>
    <row r="1462" spans="3:9">
      <c r="C1462" s="201" t="s">
        <v>1218</v>
      </c>
      <c r="D1462" s="78" t="s">
        <v>86</v>
      </c>
      <c r="E1462" s="73" t="s">
        <v>42</v>
      </c>
      <c r="F1462" s="75">
        <v>1.7999999999999999E-2</v>
      </c>
      <c r="G1462" s="65">
        <f>VLOOKUP(D1462,upahbahan,3,FALSE)</f>
        <v>275000</v>
      </c>
      <c r="H1462" s="125">
        <f t="shared" si="150"/>
        <v>4950</v>
      </c>
    </row>
    <row r="1463" spans="3:9">
      <c r="C1463" s="145" t="s">
        <v>1226</v>
      </c>
      <c r="D1463" s="81"/>
      <c r="E1463" s="81"/>
      <c r="F1463" s="81"/>
      <c r="G1463" s="163"/>
      <c r="H1463" s="125">
        <f>SUM(H1460:H1462)</f>
        <v>119240</v>
      </c>
    </row>
    <row r="1464" spans="3:9">
      <c r="C1464" s="153" t="s">
        <v>1227</v>
      </c>
      <c r="D1464" s="60" t="s">
        <v>1228</v>
      </c>
      <c r="E1464" s="74"/>
      <c r="F1464" s="74"/>
      <c r="G1464" s="74"/>
      <c r="H1464" s="147"/>
    </row>
    <row r="1465" spans="3:9">
      <c r="C1465" s="145" t="s">
        <v>1229</v>
      </c>
      <c r="D1465" s="81"/>
      <c r="E1465" s="81"/>
      <c r="F1465" s="81"/>
      <c r="G1465" s="163"/>
      <c r="H1465" s="154">
        <v>0</v>
      </c>
    </row>
    <row r="1466" spans="3:9">
      <c r="C1466" s="123" t="s">
        <v>1230</v>
      </c>
      <c r="D1466" s="70" t="s">
        <v>1231</v>
      </c>
      <c r="E1466" s="71"/>
      <c r="F1466" s="71"/>
      <c r="G1466" s="72"/>
      <c r="H1466" s="125">
        <f>H1465+H1463+H1458</f>
        <v>192255</v>
      </c>
    </row>
    <row r="1467" spans="3:9">
      <c r="C1467" s="123" t="s">
        <v>1232</v>
      </c>
      <c r="D1467" s="70" t="s">
        <v>1410</v>
      </c>
      <c r="E1467" s="71"/>
      <c r="F1467" s="72"/>
      <c r="G1467" s="96">
        <f>$M$7</f>
        <v>0.1</v>
      </c>
      <c r="H1467" s="125">
        <f>H1466*G1467</f>
        <v>19225.5</v>
      </c>
    </row>
    <row r="1468" spans="3:9" ht="15.75" thickBot="1">
      <c r="C1468" s="131" t="s">
        <v>1233</v>
      </c>
      <c r="D1468" s="132" t="s">
        <v>1234</v>
      </c>
      <c r="E1468" s="133"/>
      <c r="F1468" s="133"/>
      <c r="G1468" s="156"/>
      <c r="H1468" s="135">
        <f>SUM(H1466:H1467)</f>
        <v>211480.5</v>
      </c>
    </row>
    <row r="1469" spans="3:9" ht="15.75" thickTop="1">
      <c r="C1469" s="58"/>
      <c r="D1469" s="82"/>
      <c r="E1469" s="82"/>
      <c r="F1469" s="82"/>
      <c r="G1469" s="82"/>
      <c r="H1469" s="83"/>
    </row>
    <row r="1470" spans="3:9" ht="15.75" thickBot="1">
      <c r="C1470" s="237" t="s">
        <v>1617</v>
      </c>
      <c r="D1470" s="237"/>
      <c r="E1470" s="237"/>
      <c r="F1470" s="237"/>
      <c r="G1470" s="237"/>
      <c r="H1470" s="237"/>
      <c r="I1470" s="57">
        <f>ROUNDDOWN(H1488,-2)</f>
        <v>319500</v>
      </c>
    </row>
    <row r="1471" spans="3:9" ht="29.25" thickTop="1">
      <c r="C1471" s="120" t="s">
        <v>1207</v>
      </c>
      <c r="D1471" s="121" t="s">
        <v>1208</v>
      </c>
      <c r="E1471" s="121" t="s">
        <v>1209</v>
      </c>
      <c r="F1471" s="121" t="s">
        <v>1210</v>
      </c>
      <c r="G1471" s="121" t="s">
        <v>1211</v>
      </c>
      <c r="H1471" s="122" t="s">
        <v>1212</v>
      </c>
    </row>
    <row r="1472" spans="3:9">
      <c r="C1472" s="142" t="s">
        <v>1213</v>
      </c>
      <c r="D1472" s="60" t="s">
        <v>1214</v>
      </c>
      <c r="E1472" s="74"/>
      <c r="F1472" s="74"/>
      <c r="G1472" s="74"/>
      <c r="H1472" s="147"/>
    </row>
    <row r="1473" spans="3:9">
      <c r="C1473" s="143">
        <v>1</v>
      </c>
      <c r="D1473" s="60" t="s">
        <v>5</v>
      </c>
      <c r="E1473" s="73" t="s">
        <v>6</v>
      </c>
      <c r="F1473" s="94">
        <v>1</v>
      </c>
      <c r="G1473" s="65">
        <f>VLOOKUP(D1473,upahbahan,3,FALSE)</f>
        <v>100000</v>
      </c>
      <c r="H1473" s="125">
        <f t="shared" ref="H1473:H1476" si="151">F1473*G1473</f>
        <v>100000</v>
      </c>
    </row>
    <row r="1474" spans="3:9">
      <c r="C1474" s="143">
        <v>2</v>
      </c>
      <c r="D1474" s="60" t="s">
        <v>7</v>
      </c>
      <c r="E1474" s="73" t="s">
        <v>6</v>
      </c>
      <c r="F1474" s="94">
        <v>0.5</v>
      </c>
      <c r="G1474" s="65">
        <f>VLOOKUP(D1474,upahbahan,3,FALSE)</f>
        <v>145000</v>
      </c>
      <c r="H1474" s="125">
        <f t="shared" si="151"/>
        <v>72500</v>
      </c>
    </row>
    <row r="1475" spans="3:9">
      <c r="C1475" s="143">
        <v>3</v>
      </c>
      <c r="D1475" s="60" t="s">
        <v>18</v>
      </c>
      <c r="E1475" s="73" t="s">
        <v>6</v>
      </c>
      <c r="F1475" s="94">
        <v>0.05</v>
      </c>
      <c r="G1475" s="65">
        <f>VLOOKUP(D1475,upahbahan,3,FALSE)</f>
        <v>150000</v>
      </c>
      <c r="H1475" s="125">
        <f t="shared" si="151"/>
        <v>7500</v>
      </c>
    </row>
    <row r="1476" spans="3:9">
      <c r="C1476" s="143">
        <v>4</v>
      </c>
      <c r="D1476" s="60" t="s">
        <v>19</v>
      </c>
      <c r="E1476" s="73" t="s">
        <v>6</v>
      </c>
      <c r="F1476" s="94">
        <v>1.67E-2</v>
      </c>
      <c r="G1476" s="65">
        <f>VLOOKUP(D1476,upahbahan,3,FALSE)</f>
        <v>145000</v>
      </c>
      <c r="H1476" s="125">
        <f t="shared" si="151"/>
        <v>2421.5</v>
      </c>
    </row>
    <row r="1477" spans="3:9">
      <c r="C1477" s="145" t="s">
        <v>1220</v>
      </c>
      <c r="D1477" s="81"/>
      <c r="E1477" s="81"/>
      <c r="F1477" s="220"/>
      <c r="G1477" s="221"/>
      <c r="H1477" s="125">
        <f>SUM(H1473:H1476)</f>
        <v>182421.5</v>
      </c>
      <c r="I1477" s="223"/>
    </row>
    <row r="1478" spans="3:9">
      <c r="C1478" s="142" t="s">
        <v>1221</v>
      </c>
      <c r="D1478" s="60" t="s">
        <v>1222</v>
      </c>
      <c r="E1478" s="74"/>
      <c r="F1478" s="74"/>
      <c r="G1478" s="74"/>
      <c r="H1478" s="147"/>
    </row>
    <row r="1479" spans="3:9">
      <c r="C1479" s="201" t="s">
        <v>1215</v>
      </c>
      <c r="D1479" s="60" t="s">
        <v>2149</v>
      </c>
      <c r="E1479" s="73" t="s">
        <v>502</v>
      </c>
      <c r="F1479" s="75">
        <v>1.05</v>
      </c>
      <c r="G1479" s="65">
        <f>VLOOKUP(D1479,upahbahan,3,FALSE)</f>
        <v>83000</v>
      </c>
      <c r="H1479" s="125">
        <f t="shared" ref="H1479:H1482" si="152">F1479*G1479</f>
        <v>87150</v>
      </c>
    </row>
    <row r="1480" spans="3:9">
      <c r="C1480" s="201" t="s">
        <v>1216</v>
      </c>
      <c r="D1480" s="60" t="s">
        <v>568</v>
      </c>
      <c r="E1480" s="73" t="s">
        <v>66</v>
      </c>
      <c r="F1480" s="75">
        <v>9.3000000000000007</v>
      </c>
      <c r="G1480" s="65">
        <f>VLOOKUP(D1480,upahbahan,3,FALSE)</f>
        <v>1300</v>
      </c>
      <c r="H1480" s="125">
        <f t="shared" si="152"/>
        <v>12090.000000000002</v>
      </c>
    </row>
    <row r="1481" spans="3:9">
      <c r="C1481" s="201" t="s">
        <v>1217</v>
      </c>
      <c r="D1481" s="60" t="s">
        <v>571</v>
      </c>
      <c r="E1481" s="73" t="s">
        <v>66</v>
      </c>
      <c r="F1481" s="75">
        <v>0.5</v>
      </c>
      <c r="G1481" s="65">
        <f>VLOOKUP(D1481,upahbahan,3,FALSE)</f>
        <v>7800</v>
      </c>
      <c r="H1481" s="125">
        <f t="shared" si="152"/>
        <v>3900</v>
      </c>
    </row>
    <row r="1482" spans="3:9">
      <c r="C1482" s="201" t="s">
        <v>1218</v>
      </c>
      <c r="D1482" s="78" t="s">
        <v>86</v>
      </c>
      <c r="E1482" s="73" t="s">
        <v>42</v>
      </c>
      <c r="F1482" s="75">
        <v>1.7999999999999999E-2</v>
      </c>
      <c r="G1482" s="65">
        <f>VLOOKUP(D1482,upahbahan,3,FALSE)</f>
        <v>275000</v>
      </c>
      <c r="H1482" s="125">
        <f t="shared" si="152"/>
        <v>4950</v>
      </c>
    </row>
    <row r="1483" spans="3:9">
      <c r="C1483" s="145" t="s">
        <v>1226</v>
      </c>
      <c r="D1483" s="81"/>
      <c r="E1483" s="81"/>
      <c r="F1483" s="81"/>
      <c r="G1483" s="163"/>
      <c r="H1483" s="125">
        <f>SUM(H1479:H1482)</f>
        <v>108090</v>
      </c>
    </row>
    <row r="1484" spans="3:9">
      <c r="C1484" s="153" t="s">
        <v>1227</v>
      </c>
      <c r="D1484" s="60" t="s">
        <v>1228</v>
      </c>
      <c r="E1484" s="74"/>
      <c r="F1484" s="74"/>
      <c r="G1484" s="74"/>
      <c r="H1484" s="147"/>
    </row>
    <row r="1485" spans="3:9">
      <c r="C1485" s="145" t="s">
        <v>1229</v>
      </c>
      <c r="D1485" s="81"/>
      <c r="E1485" s="81"/>
      <c r="F1485" s="81"/>
      <c r="G1485" s="163"/>
      <c r="H1485" s="154">
        <v>0</v>
      </c>
    </row>
    <row r="1486" spans="3:9">
      <c r="C1486" s="123" t="s">
        <v>1230</v>
      </c>
      <c r="D1486" s="70" t="s">
        <v>1231</v>
      </c>
      <c r="E1486" s="71"/>
      <c r="F1486" s="71"/>
      <c r="G1486" s="72"/>
      <c r="H1486" s="125">
        <f>H1485+H1483+H1477</f>
        <v>290511.5</v>
      </c>
    </row>
    <row r="1487" spans="3:9">
      <c r="C1487" s="123" t="s">
        <v>1232</v>
      </c>
      <c r="D1487" s="70" t="s">
        <v>1410</v>
      </c>
      <c r="E1487" s="71"/>
      <c r="F1487" s="72"/>
      <c r="G1487" s="96">
        <f>$M$7</f>
        <v>0.1</v>
      </c>
      <c r="H1487" s="125">
        <f>H1486*G1487</f>
        <v>29051.15</v>
      </c>
    </row>
    <row r="1488" spans="3:9" ht="15.75" thickBot="1">
      <c r="C1488" s="131" t="s">
        <v>1233</v>
      </c>
      <c r="D1488" s="132" t="s">
        <v>1234</v>
      </c>
      <c r="E1488" s="133"/>
      <c r="F1488" s="133"/>
      <c r="G1488" s="156"/>
      <c r="H1488" s="135">
        <f>SUM(H1486:H1487)</f>
        <v>319562.65000000002</v>
      </c>
    </row>
    <row r="1489" spans="3:9" ht="15.75" thickTop="1">
      <c r="C1489" s="58"/>
      <c r="D1489" s="82"/>
      <c r="E1489" s="82"/>
      <c r="F1489" s="82"/>
      <c r="G1489" s="82"/>
      <c r="H1489" s="83"/>
    </row>
    <row r="1490" spans="3:9" ht="15.75" thickBot="1">
      <c r="C1490" s="237" t="s">
        <v>1618</v>
      </c>
      <c r="D1490" s="237"/>
      <c r="E1490" s="237"/>
      <c r="F1490" s="237"/>
      <c r="G1490" s="237"/>
      <c r="H1490" s="237"/>
      <c r="I1490" s="57">
        <f>ROUNDDOWN(H1508,-2)</f>
        <v>339500</v>
      </c>
    </row>
    <row r="1491" spans="3:9" ht="29.25" thickTop="1">
      <c r="C1491" s="120" t="s">
        <v>1207</v>
      </c>
      <c r="D1491" s="121" t="s">
        <v>1208</v>
      </c>
      <c r="E1491" s="121" t="s">
        <v>1209</v>
      </c>
      <c r="F1491" s="121" t="s">
        <v>1210</v>
      </c>
      <c r="G1491" s="121" t="s">
        <v>1211</v>
      </c>
      <c r="H1491" s="122" t="s">
        <v>1212</v>
      </c>
    </row>
    <row r="1492" spans="3:9">
      <c r="C1492" s="142" t="s">
        <v>1213</v>
      </c>
      <c r="D1492" s="60" t="s">
        <v>1214</v>
      </c>
      <c r="E1492" s="74"/>
      <c r="F1492" s="74"/>
      <c r="G1492" s="74"/>
      <c r="H1492" s="147"/>
    </row>
    <row r="1493" spans="3:9">
      <c r="C1493" s="143">
        <v>1</v>
      </c>
      <c r="D1493" s="60" t="s">
        <v>5</v>
      </c>
      <c r="E1493" s="73" t="s">
        <v>6</v>
      </c>
      <c r="F1493" s="94">
        <v>0.9</v>
      </c>
      <c r="G1493" s="65">
        <f>VLOOKUP(D1493,upahbahan,3,FALSE)</f>
        <v>100000</v>
      </c>
      <c r="H1493" s="125">
        <f t="shared" ref="H1493:H1496" si="153">F1493*G1493</f>
        <v>90000</v>
      </c>
    </row>
    <row r="1494" spans="3:9">
      <c r="C1494" s="143">
        <v>2</v>
      </c>
      <c r="D1494" s="60" t="s">
        <v>7</v>
      </c>
      <c r="E1494" s="73" t="s">
        <v>6</v>
      </c>
      <c r="F1494" s="94">
        <v>0.45</v>
      </c>
      <c r="G1494" s="65">
        <f>VLOOKUP(D1494,upahbahan,3,FALSE)</f>
        <v>145000</v>
      </c>
      <c r="H1494" s="125">
        <f t="shared" si="153"/>
        <v>65250</v>
      </c>
    </row>
    <row r="1495" spans="3:9">
      <c r="C1495" s="143">
        <v>3</v>
      </c>
      <c r="D1495" s="60" t="s">
        <v>18</v>
      </c>
      <c r="E1495" s="73" t="s">
        <v>6</v>
      </c>
      <c r="F1495" s="94">
        <v>4.4999999999999998E-2</v>
      </c>
      <c r="G1495" s="65">
        <f>VLOOKUP(D1495,upahbahan,3,FALSE)</f>
        <v>150000</v>
      </c>
      <c r="H1495" s="125">
        <f t="shared" si="153"/>
        <v>6750</v>
      </c>
    </row>
    <row r="1496" spans="3:9">
      <c r="C1496" s="143">
        <v>4</v>
      </c>
      <c r="D1496" s="60" t="s">
        <v>19</v>
      </c>
      <c r="E1496" s="73" t="s">
        <v>6</v>
      </c>
      <c r="F1496" s="94">
        <v>1.4999999999999999E-2</v>
      </c>
      <c r="G1496" s="65">
        <f>VLOOKUP(D1496,upahbahan,3,FALSE)</f>
        <v>145000</v>
      </c>
      <c r="H1496" s="125">
        <f t="shared" si="153"/>
        <v>2175</v>
      </c>
    </row>
    <row r="1497" spans="3:9">
      <c r="C1497" s="145" t="s">
        <v>1220</v>
      </c>
      <c r="D1497" s="81"/>
      <c r="E1497" s="81"/>
      <c r="F1497" s="220"/>
      <c r="G1497" s="221"/>
      <c r="H1497" s="125">
        <f>SUM(H1493:H1496)</f>
        <v>164175</v>
      </c>
      <c r="I1497" s="223"/>
    </row>
    <row r="1498" spans="3:9">
      <c r="C1498" s="142" t="s">
        <v>1221</v>
      </c>
      <c r="D1498" s="60" t="s">
        <v>1222</v>
      </c>
      <c r="E1498" s="74"/>
      <c r="F1498" s="74"/>
      <c r="G1498" s="74"/>
      <c r="H1498" s="147"/>
    </row>
    <row r="1499" spans="3:9">
      <c r="C1499" s="201" t="s">
        <v>1215</v>
      </c>
      <c r="D1499" s="60" t="s">
        <v>500</v>
      </c>
      <c r="E1499" s="73" t="s">
        <v>44</v>
      </c>
      <c r="F1499" s="75">
        <v>53</v>
      </c>
      <c r="G1499" s="65">
        <f>VLOOKUP(D1499,upahbahan,3,FALSE)</f>
        <v>2000</v>
      </c>
      <c r="H1499" s="125">
        <f t="shared" ref="H1499:H1502" si="154">F1499*G1499</f>
        <v>106000</v>
      </c>
    </row>
    <row r="1500" spans="3:9">
      <c r="C1500" s="201" t="s">
        <v>1216</v>
      </c>
      <c r="D1500" s="60" t="s">
        <v>568</v>
      </c>
      <c r="E1500" s="73" t="s">
        <v>66</v>
      </c>
      <c r="F1500" s="75">
        <v>9.3000000000000007</v>
      </c>
      <c r="G1500" s="65">
        <f>VLOOKUP(D1500,upahbahan,3,FALSE)</f>
        <v>1300</v>
      </c>
      <c r="H1500" s="125">
        <f t="shared" si="154"/>
        <v>12090.000000000002</v>
      </c>
    </row>
    <row r="1501" spans="3:9">
      <c r="C1501" s="201" t="s">
        <v>1217</v>
      </c>
      <c r="D1501" s="60" t="s">
        <v>571</v>
      </c>
      <c r="E1501" s="73" t="s">
        <v>66</v>
      </c>
      <c r="F1501" s="75">
        <v>2.75</v>
      </c>
      <c r="G1501" s="65">
        <f>VLOOKUP(D1501,upahbahan,3,FALSE)</f>
        <v>7800</v>
      </c>
      <c r="H1501" s="125">
        <f t="shared" si="154"/>
        <v>21450</v>
      </c>
    </row>
    <row r="1502" spans="3:9">
      <c r="C1502" s="201" t="s">
        <v>1218</v>
      </c>
      <c r="D1502" s="78" t="s">
        <v>86</v>
      </c>
      <c r="E1502" s="73" t="s">
        <v>42</v>
      </c>
      <c r="F1502" s="75">
        <v>1.7999999999999999E-2</v>
      </c>
      <c r="G1502" s="65">
        <f>VLOOKUP(D1502,upahbahan,3,FALSE)</f>
        <v>275000</v>
      </c>
      <c r="H1502" s="125">
        <f t="shared" si="154"/>
        <v>4950</v>
      </c>
    </row>
    <row r="1503" spans="3:9">
      <c r="C1503" s="145" t="s">
        <v>1226</v>
      </c>
      <c r="D1503" s="81"/>
      <c r="E1503" s="81"/>
      <c r="F1503" s="81"/>
      <c r="G1503" s="163"/>
      <c r="H1503" s="125">
        <f>SUM(H1499:H1502)</f>
        <v>144490</v>
      </c>
    </row>
    <row r="1504" spans="3:9">
      <c r="C1504" s="153" t="s">
        <v>1227</v>
      </c>
      <c r="D1504" s="60" t="s">
        <v>1228</v>
      </c>
      <c r="E1504" s="74"/>
      <c r="F1504" s="74"/>
      <c r="G1504" s="74"/>
      <c r="H1504" s="147"/>
    </row>
    <row r="1505" spans="3:9">
      <c r="C1505" s="145" t="s">
        <v>1229</v>
      </c>
      <c r="D1505" s="81"/>
      <c r="E1505" s="81"/>
      <c r="F1505" s="81"/>
      <c r="G1505" s="163"/>
      <c r="H1505" s="154">
        <v>0</v>
      </c>
    </row>
    <row r="1506" spans="3:9">
      <c r="C1506" s="123" t="s">
        <v>1230</v>
      </c>
      <c r="D1506" s="70" t="s">
        <v>1231</v>
      </c>
      <c r="E1506" s="71"/>
      <c r="F1506" s="71"/>
      <c r="G1506" s="72"/>
      <c r="H1506" s="125">
        <f>H1505+H1503+H1497</f>
        <v>308665</v>
      </c>
    </row>
    <row r="1507" spans="3:9">
      <c r="C1507" s="123" t="s">
        <v>1232</v>
      </c>
      <c r="D1507" s="70" t="s">
        <v>1410</v>
      </c>
      <c r="E1507" s="71"/>
      <c r="F1507" s="72"/>
      <c r="G1507" s="96">
        <f>$M$7</f>
        <v>0.1</v>
      </c>
      <c r="H1507" s="125">
        <f>H1506*G1507</f>
        <v>30866.5</v>
      </c>
    </row>
    <row r="1508" spans="3:9" ht="15.75" thickBot="1">
      <c r="C1508" s="131" t="s">
        <v>1233</v>
      </c>
      <c r="D1508" s="132" t="s">
        <v>1234</v>
      </c>
      <c r="E1508" s="133"/>
      <c r="F1508" s="133"/>
      <c r="G1508" s="156"/>
      <c r="H1508" s="135">
        <f>SUM(H1506:H1507)</f>
        <v>339531.5</v>
      </c>
    </row>
    <row r="1509" spans="3:9" ht="15.75" thickTop="1">
      <c r="C1509" s="58"/>
      <c r="D1509" s="82"/>
      <c r="E1509" s="82"/>
      <c r="F1509" s="82"/>
      <c r="G1509" s="82"/>
      <c r="H1509" s="83"/>
    </row>
    <row r="1510" spans="3:9" ht="15.75" thickBot="1">
      <c r="C1510" s="237" t="s">
        <v>1619</v>
      </c>
      <c r="D1510" s="237"/>
      <c r="E1510" s="237"/>
      <c r="F1510" s="237"/>
      <c r="G1510" s="237"/>
      <c r="H1510" s="237"/>
      <c r="I1510" s="57">
        <f>ROUNDDOWN(H1528,-2)</f>
        <v>201000</v>
      </c>
    </row>
    <row r="1511" spans="3:9" ht="29.25" thickTop="1">
      <c r="C1511" s="120" t="s">
        <v>1207</v>
      </c>
      <c r="D1511" s="121" t="s">
        <v>1208</v>
      </c>
      <c r="E1511" s="121" t="s">
        <v>1209</v>
      </c>
      <c r="F1511" s="121" t="s">
        <v>1210</v>
      </c>
      <c r="G1511" s="121" t="s">
        <v>1211</v>
      </c>
      <c r="H1511" s="122" t="s">
        <v>1212</v>
      </c>
    </row>
    <row r="1512" spans="3:9">
      <c r="C1512" s="142" t="s">
        <v>1213</v>
      </c>
      <c r="D1512" s="60" t="s">
        <v>1214</v>
      </c>
      <c r="E1512" s="74"/>
      <c r="F1512" s="74"/>
      <c r="G1512" s="74"/>
      <c r="H1512" s="147"/>
    </row>
    <row r="1513" spans="3:9">
      <c r="C1513" s="143">
        <v>1</v>
      </c>
      <c r="D1513" s="60" t="s">
        <v>5</v>
      </c>
      <c r="E1513" s="73" t="s">
        <v>6</v>
      </c>
      <c r="F1513" s="94">
        <v>0.25</v>
      </c>
      <c r="G1513" s="65">
        <f>VLOOKUP(D1513,upahbahan,3,FALSE)</f>
        <v>100000</v>
      </c>
      <c r="H1513" s="125">
        <f t="shared" ref="H1513:H1516" si="155">F1513*G1513</f>
        <v>25000</v>
      </c>
    </row>
    <row r="1514" spans="3:9">
      <c r="C1514" s="143">
        <v>2</v>
      </c>
      <c r="D1514" s="60" t="s">
        <v>7</v>
      </c>
      <c r="E1514" s="73" t="s">
        <v>6</v>
      </c>
      <c r="F1514" s="94">
        <v>0.125</v>
      </c>
      <c r="G1514" s="65">
        <f>VLOOKUP(D1514,upahbahan,3,FALSE)</f>
        <v>145000</v>
      </c>
      <c r="H1514" s="125">
        <f t="shared" si="155"/>
        <v>18125</v>
      </c>
    </row>
    <row r="1515" spans="3:9">
      <c r="C1515" s="143">
        <v>3</v>
      </c>
      <c r="D1515" s="60" t="s">
        <v>18</v>
      </c>
      <c r="E1515" s="73" t="s">
        <v>6</v>
      </c>
      <c r="F1515" s="94">
        <v>1.2500000000000001E-2</v>
      </c>
      <c r="G1515" s="65">
        <f>VLOOKUP(D1515,upahbahan,3,FALSE)</f>
        <v>150000</v>
      </c>
      <c r="H1515" s="125">
        <f t="shared" si="155"/>
        <v>1875</v>
      </c>
    </row>
    <row r="1516" spans="3:9">
      <c r="C1516" s="143">
        <v>4</v>
      </c>
      <c r="D1516" s="60" t="s">
        <v>19</v>
      </c>
      <c r="E1516" s="73" t="s">
        <v>6</v>
      </c>
      <c r="F1516" s="94">
        <v>4.1999999999999997E-3</v>
      </c>
      <c r="G1516" s="65">
        <f>VLOOKUP(D1516,upahbahan,3,FALSE)</f>
        <v>145000</v>
      </c>
      <c r="H1516" s="125">
        <f t="shared" si="155"/>
        <v>609</v>
      </c>
    </row>
    <row r="1517" spans="3:9">
      <c r="C1517" s="145" t="s">
        <v>1220</v>
      </c>
      <c r="D1517" s="81"/>
      <c r="E1517" s="81"/>
      <c r="F1517" s="220"/>
      <c r="G1517" s="221"/>
      <c r="H1517" s="125">
        <f>SUM(H1513:H1516)</f>
        <v>45609</v>
      </c>
      <c r="I1517" s="223"/>
    </row>
    <row r="1518" spans="3:9">
      <c r="C1518" s="142" t="s">
        <v>1221</v>
      </c>
      <c r="D1518" s="60" t="s">
        <v>1222</v>
      </c>
      <c r="E1518" s="74"/>
      <c r="F1518" s="74"/>
      <c r="G1518" s="74"/>
      <c r="H1518" s="147"/>
    </row>
    <row r="1519" spans="3:9">
      <c r="C1519" s="201" t="s">
        <v>1215</v>
      </c>
      <c r="D1519" s="60" t="s">
        <v>503</v>
      </c>
      <c r="E1519" s="73" t="s">
        <v>44</v>
      </c>
      <c r="F1519" s="75">
        <v>26.25</v>
      </c>
      <c r="G1519" s="65">
        <f>VLOOKUP(D1519,upahbahan,3,FALSE)</f>
        <v>4000</v>
      </c>
      <c r="H1519" s="125">
        <f t="shared" ref="H1519:H1522" si="156">F1519*G1519</f>
        <v>105000</v>
      </c>
    </row>
    <row r="1520" spans="3:9">
      <c r="C1520" s="201" t="s">
        <v>1216</v>
      </c>
      <c r="D1520" s="60" t="s">
        <v>568</v>
      </c>
      <c r="E1520" s="73" t="s">
        <v>66</v>
      </c>
      <c r="F1520" s="75">
        <v>9.3000000000000007</v>
      </c>
      <c r="G1520" s="65">
        <f>VLOOKUP(D1520,upahbahan,3,FALSE)</f>
        <v>1300</v>
      </c>
      <c r="H1520" s="125">
        <f t="shared" si="156"/>
        <v>12090.000000000002</v>
      </c>
    </row>
    <row r="1521" spans="3:9">
      <c r="C1521" s="201" t="s">
        <v>1217</v>
      </c>
      <c r="D1521" s="60" t="s">
        <v>571</v>
      </c>
      <c r="E1521" s="73" t="s">
        <v>66</v>
      </c>
      <c r="F1521" s="75">
        <v>1.94</v>
      </c>
      <c r="G1521" s="65">
        <f>VLOOKUP(D1521,upahbahan,3,FALSE)</f>
        <v>7800</v>
      </c>
      <c r="H1521" s="125">
        <f t="shared" si="156"/>
        <v>15132</v>
      </c>
    </row>
    <row r="1522" spans="3:9">
      <c r="C1522" s="201" t="s">
        <v>1218</v>
      </c>
      <c r="D1522" s="78" t="s">
        <v>86</v>
      </c>
      <c r="E1522" s="73" t="s">
        <v>42</v>
      </c>
      <c r="F1522" s="75">
        <v>1.7999999999999999E-2</v>
      </c>
      <c r="G1522" s="65">
        <f>VLOOKUP(D1522,upahbahan,3,FALSE)</f>
        <v>275000</v>
      </c>
      <c r="H1522" s="125">
        <f t="shared" si="156"/>
        <v>4950</v>
      </c>
    </row>
    <row r="1523" spans="3:9">
      <c r="C1523" s="145" t="s">
        <v>1226</v>
      </c>
      <c r="D1523" s="81"/>
      <c r="E1523" s="81"/>
      <c r="F1523" s="81"/>
      <c r="G1523" s="163"/>
      <c r="H1523" s="125">
        <f>SUM(H1519:H1522)</f>
        <v>137172</v>
      </c>
    </row>
    <row r="1524" spans="3:9">
      <c r="C1524" s="153" t="s">
        <v>1227</v>
      </c>
      <c r="D1524" s="60" t="s">
        <v>1228</v>
      </c>
      <c r="E1524" s="74"/>
      <c r="F1524" s="74"/>
      <c r="G1524" s="74"/>
      <c r="H1524" s="147"/>
    </row>
    <row r="1525" spans="3:9">
      <c r="C1525" s="145" t="s">
        <v>1229</v>
      </c>
      <c r="D1525" s="81"/>
      <c r="E1525" s="81"/>
      <c r="F1525" s="81"/>
      <c r="G1525" s="163"/>
      <c r="H1525" s="154">
        <v>0</v>
      </c>
    </row>
    <row r="1526" spans="3:9">
      <c r="C1526" s="123" t="s">
        <v>1230</v>
      </c>
      <c r="D1526" s="70" t="s">
        <v>1231</v>
      </c>
      <c r="E1526" s="71"/>
      <c r="F1526" s="71"/>
      <c r="G1526" s="72"/>
      <c r="H1526" s="125">
        <f>H1525+H1523+H1517</f>
        <v>182781</v>
      </c>
    </row>
    <row r="1527" spans="3:9">
      <c r="C1527" s="123" t="s">
        <v>1232</v>
      </c>
      <c r="D1527" s="70" t="s">
        <v>1410</v>
      </c>
      <c r="E1527" s="71"/>
      <c r="F1527" s="72"/>
      <c r="G1527" s="96">
        <f>$M$7</f>
        <v>0.1</v>
      </c>
      <c r="H1527" s="125">
        <f>H1526*G1527</f>
        <v>18278.100000000002</v>
      </c>
    </row>
    <row r="1528" spans="3:9" ht="15.75" thickBot="1">
      <c r="C1528" s="131" t="s">
        <v>1233</v>
      </c>
      <c r="D1528" s="132" t="s">
        <v>1234</v>
      </c>
      <c r="E1528" s="133"/>
      <c r="F1528" s="133"/>
      <c r="G1528" s="156"/>
      <c r="H1528" s="135">
        <f>SUM(H1526:H1527)</f>
        <v>201059.1</v>
      </c>
    </row>
    <row r="1529" spans="3:9" ht="15.75" thickTop="1">
      <c r="C1529" s="58"/>
      <c r="D1529" s="82"/>
      <c r="E1529" s="82"/>
      <c r="F1529" s="82"/>
      <c r="G1529" s="82"/>
      <c r="H1529" s="83"/>
    </row>
    <row r="1530" spans="3:9" ht="15.75" thickBot="1">
      <c r="C1530" s="237" t="s">
        <v>1620</v>
      </c>
      <c r="D1530" s="237"/>
      <c r="E1530" s="237"/>
      <c r="F1530" s="237"/>
      <c r="G1530" s="237"/>
      <c r="H1530" s="237"/>
      <c r="I1530" s="57">
        <f>ROUNDDOWN(H1548,-2)</f>
        <v>422900</v>
      </c>
    </row>
    <row r="1531" spans="3:9" ht="29.25" thickTop="1">
      <c r="C1531" s="120" t="s">
        <v>1207</v>
      </c>
      <c r="D1531" s="121" t="s">
        <v>1208</v>
      </c>
      <c r="E1531" s="121" t="s">
        <v>1209</v>
      </c>
      <c r="F1531" s="121" t="s">
        <v>1210</v>
      </c>
      <c r="G1531" s="121" t="s">
        <v>1211</v>
      </c>
      <c r="H1531" s="122" t="s">
        <v>1212</v>
      </c>
    </row>
    <row r="1532" spans="3:9">
      <c r="C1532" s="142" t="s">
        <v>1213</v>
      </c>
      <c r="D1532" s="60" t="s">
        <v>1214</v>
      </c>
      <c r="E1532" s="74"/>
      <c r="F1532" s="74"/>
      <c r="G1532" s="74"/>
      <c r="H1532" s="147"/>
    </row>
    <row r="1533" spans="3:9">
      <c r="C1533" s="143">
        <v>1</v>
      </c>
      <c r="D1533" s="60" t="s">
        <v>5</v>
      </c>
      <c r="E1533" s="73" t="s">
        <v>6</v>
      </c>
      <c r="F1533" s="75">
        <v>1</v>
      </c>
      <c r="G1533" s="65">
        <f>VLOOKUP(D1533,upahbahan,3,FALSE)</f>
        <v>100000</v>
      </c>
      <c r="H1533" s="125">
        <f t="shared" ref="H1533:H1536" si="157">F1533*G1533</f>
        <v>100000</v>
      </c>
    </row>
    <row r="1534" spans="3:9">
      <c r="C1534" s="143">
        <v>2</v>
      </c>
      <c r="D1534" s="60" t="s">
        <v>7</v>
      </c>
      <c r="E1534" s="73" t="s">
        <v>6</v>
      </c>
      <c r="F1534" s="75">
        <v>0.5</v>
      </c>
      <c r="G1534" s="65">
        <f>VLOOKUP(D1534,upahbahan,3,FALSE)</f>
        <v>145000</v>
      </c>
      <c r="H1534" s="125">
        <f t="shared" si="157"/>
        <v>72500</v>
      </c>
    </row>
    <row r="1535" spans="3:9">
      <c r="C1535" s="143">
        <v>3</v>
      </c>
      <c r="D1535" s="60" t="s">
        <v>18</v>
      </c>
      <c r="E1535" s="73" t="s">
        <v>6</v>
      </c>
      <c r="F1535" s="75">
        <v>0.05</v>
      </c>
      <c r="G1535" s="65">
        <f>VLOOKUP(D1535,upahbahan,3,FALSE)</f>
        <v>150000</v>
      </c>
      <c r="H1535" s="125">
        <f t="shared" si="157"/>
        <v>7500</v>
      </c>
    </row>
    <row r="1536" spans="3:9">
      <c r="C1536" s="143">
        <v>4</v>
      </c>
      <c r="D1536" s="60" t="s">
        <v>19</v>
      </c>
      <c r="E1536" s="73" t="s">
        <v>6</v>
      </c>
      <c r="F1536" s="75">
        <v>1.7000000000000001E-2</v>
      </c>
      <c r="G1536" s="65">
        <f>VLOOKUP(D1536,upahbahan,3,FALSE)</f>
        <v>145000</v>
      </c>
      <c r="H1536" s="125">
        <f t="shared" si="157"/>
        <v>2465</v>
      </c>
    </row>
    <row r="1537" spans="3:9">
      <c r="C1537" s="145" t="s">
        <v>1220</v>
      </c>
      <c r="D1537" s="81"/>
      <c r="E1537" s="81"/>
      <c r="F1537" s="220"/>
      <c r="G1537" s="221"/>
      <c r="H1537" s="125">
        <f>SUM(H1533:H1536)</f>
        <v>182465</v>
      </c>
      <c r="I1537" s="223"/>
    </row>
    <row r="1538" spans="3:9">
      <c r="C1538" s="142" t="s">
        <v>1221</v>
      </c>
      <c r="D1538" s="60" t="s">
        <v>1222</v>
      </c>
      <c r="E1538" s="74"/>
      <c r="F1538" s="74"/>
      <c r="G1538" s="74"/>
      <c r="H1538" s="147"/>
    </row>
    <row r="1539" spans="3:9">
      <c r="C1539" s="201" t="s">
        <v>1215</v>
      </c>
      <c r="D1539" s="60" t="s">
        <v>404</v>
      </c>
      <c r="E1539" s="73" t="s">
        <v>44</v>
      </c>
      <c r="F1539" s="75">
        <v>63</v>
      </c>
      <c r="G1539" s="65">
        <f>VLOOKUP(D1539,upahbahan,3,FALSE)</f>
        <v>2500</v>
      </c>
      <c r="H1539" s="125">
        <f t="shared" ref="H1539:H1542" si="158">F1539*G1539</f>
        <v>157500</v>
      </c>
    </row>
    <row r="1540" spans="3:9">
      <c r="C1540" s="201" t="s">
        <v>1216</v>
      </c>
      <c r="D1540" s="60" t="s">
        <v>568</v>
      </c>
      <c r="E1540" s="73" t="s">
        <v>66</v>
      </c>
      <c r="F1540" s="75">
        <v>12.44</v>
      </c>
      <c r="G1540" s="65">
        <f>VLOOKUP(D1540,upahbahan,3,FALSE)</f>
        <v>1300</v>
      </c>
      <c r="H1540" s="125">
        <f t="shared" si="158"/>
        <v>16172</v>
      </c>
    </row>
    <row r="1541" spans="3:9">
      <c r="C1541" s="201" t="s">
        <v>1217</v>
      </c>
      <c r="D1541" s="60" t="s">
        <v>571</v>
      </c>
      <c r="E1541" s="73" t="s">
        <v>66</v>
      </c>
      <c r="F1541" s="75">
        <v>2.75</v>
      </c>
      <c r="G1541" s="65">
        <f>VLOOKUP(D1541,upahbahan,3,FALSE)</f>
        <v>7800</v>
      </c>
      <c r="H1541" s="125">
        <f t="shared" si="158"/>
        <v>21450</v>
      </c>
    </row>
    <row r="1542" spans="3:9">
      <c r="C1542" s="201" t="s">
        <v>1218</v>
      </c>
      <c r="D1542" s="78" t="s">
        <v>86</v>
      </c>
      <c r="E1542" s="73" t="s">
        <v>42</v>
      </c>
      <c r="F1542" s="75">
        <v>2.5000000000000001E-2</v>
      </c>
      <c r="G1542" s="65">
        <f>VLOOKUP(D1542,upahbahan,3,FALSE)</f>
        <v>275000</v>
      </c>
      <c r="H1542" s="125">
        <f t="shared" si="158"/>
        <v>6875</v>
      </c>
    </row>
    <row r="1543" spans="3:9">
      <c r="C1543" s="145" t="s">
        <v>1226</v>
      </c>
      <c r="D1543" s="81"/>
      <c r="E1543" s="81"/>
      <c r="F1543" s="81"/>
      <c r="G1543" s="163"/>
      <c r="H1543" s="125">
        <f>SUM(H1539:H1542)</f>
        <v>201997</v>
      </c>
    </row>
    <row r="1544" spans="3:9">
      <c r="C1544" s="153" t="s">
        <v>1227</v>
      </c>
      <c r="D1544" s="60" t="s">
        <v>1228</v>
      </c>
      <c r="E1544" s="74"/>
      <c r="F1544" s="74"/>
      <c r="G1544" s="74"/>
      <c r="H1544" s="147"/>
    </row>
    <row r="1545" spans="3:9">
      <c r="C1545" s="145" t="s">
        <v>1229</v>
      </c>
      <c r="D1545" s="81"/>
      <c r="E1545" s="81"/>
      <c r="F1545" s="81"/>
      <c r="G1545" s="163"/>
      <c r="H1545" s="154">
        <v>0</v>
      </c>
    </row>
    <row r="1546" spans="3:9">
      <c r="C1546" s="123" t="s">
        <v>1230</v>
      </c>
      <c r="D1546" s="70" t="s">
        <v>1231</v>
      </c>
      <c r="E1546" s="71"/>
      <c r="F1546" s="71"/>
      <c r="G1546" s="72"/>
      <c r="H1546" s="125">
        <f>H1545+H1543+H1537</f>
        <v>384462</v>
      </c>
    </row>
    <row r="1547" spans="3:9">
      <c r="C1547" s="123" t="s">
        <v>1232</v>
      </c>
      <c r="D1547" s="70" t="s">
        <v>1410</v>
      </c>
      <c r="E1547" s="71"/>
      <c r="F1547" s="72"/>
      <c r="G1547" s="96">
        <f>$M$7</f>
        <v>0.1</v>
      </c>
      <c r="H1547" s="125">
        <f>H1546*G1547</f>
        <v>38446.200000000004</v>
      </c>
    </row>
    <row r="1548" spans="3:9" ht="15.75" thickBot="1">
      <c r="C1548" s="131" t="s">
        <v>1233</v>
      </c>
      <c r="D1548" s="132" t="s">
        <v>1234</v>
      </c>
      <c r="E1548" s="133"/>
      <c r="F1548" s="133"/>
      <c r="G1548" s="156"/>
      <c r="H1548" s="135">
        <f>SUM(H1546:H1547)</f>
        <v>422908.2</v>
      </c>
    </row>
    <row r="1549" spans="3:9" ht="15.75" thickTop="1">
      <c r="C1549" s="58"/>
      <c r="D1549" s="82"/>
      <c r="E1549" s="82"/>
      <c r="F1549" s="82"/>
      <c r="G1549" s="82"/>
      <c r="H1549" s="83"/>
    </row>
    <row r="1550" spans="3:9" ht="15.75" thickBot="1">
      <c r="C1550" s="237" t="s">
        <v>1621</v>
      </c>
      <c r="D1550" s="237"/>
      <c r="E1550" s="237"/>
      <c r="F1550" s="237"/>
      <c r="G1550" s="237"/>
      <c r="H1550" s="237"/>
      <c r="I1550" s="57">
        <f>ROUNDDOWN(H1567,-2)</f>
        <v>319100</v>
      </c>
    </row>
    <row r="1551" spans="3:9" ht="29.25" thickTop="1">
      <c r="C1551" s="120" t="s">
        <v>1207</v>
      </c>
      <c r="D1551" s="121" t="s">
        <v>1208</v>
      </c>
      <c r="E1551" s="121" t="s">
        <v>1209</v>
      </c>
      <c r="F1551" s="121" t="s">
        <v>1210</v>
      </c>
      <c r="G1551" s="121" t="s">
        <v>1211</v>
      </c>
      <c r="H1551" s="122" t="s">
        <v>1212</v>
      </c>
    </row>
    <row r="1552" spans="3:9">
      <c r="C1552" s="142" t="s">
        <v>1213</v>
      </c>
      <c r="D1552" s="60" t="s">
        <v>1214</v>
      </c>
      <c r="E1552" s="74"/>
      <c r="F1552" s="74"/>
      <c r="G1552" s="74"/>
      <c r="H1552" s="147"/>
    </row>
    <row r="1553" spans="3:9">
      <c r="C1553" s="143">
        <v>1</v>
      </c>
      <c r="D1553" s="60" t="s">
        <v>5</v>
      </c>
      <c r="E1553" s="73" t="s">
        <v>6</v>
      </c>
      <c r="F1553" s="75">
        <v>0.7</v>
      </c>
      <c r="G1553" s="65">
        <f>VLOOKUP(D1553,upahbahan,3,FALSE)</f>
        <v>100000</v>
      </c>
      <c r="H1553" s="125">
        <f t="shared" ref="H1553:H1556" si="159">F1553*G1553</f>
        <v>70000</v>
      </c>
    </row>
    <row r="1554" spans="3:9">
      <c r="C1554" s="143">
        <v>2</v>
      </c>
      <c r="D1554" s="60" t="s">
        <v>7</v>
      </c>
      <c r="E1554" s="73" t="s">
        <v>6</v>
      </c>
      <c r="F1554" s="75">
        <v>0.35</v>
      </c>
      <c r="G1554" s="65">
        <f>VLOOKUP(D1554,upahbahan,3,FALSE)</f>
        <v>145000</v>
      </c>
      <c r="H1554" s="125">
        <f t="shared" si="159"/>
        <v>50750</v>
      </c>
    </row>
    <row r="1555" spans="3:9">
      <c r="C1555" s="143">
        <v>3</v>
      </c>
      <c r="D1555" s="60" t="s">
        <v>18</v>
      </c>
      <c r="E1555" s="73" t="s">
        <v>6</v>
      </c>
      <c r="F1555" s="75">
        <v>3.5000000000000003E-2</v>
      </c>
      <c r="G1555" s="65">
        <f>VLOOKUP(D1555,upahbahan,3,FALSE)</f>
        <v>150000</v>
      </c>
      <c r="H1555" s="125">
        <f t="shared" si="159"/>
        <v>5250.0000000000009</v>
      </c>
    </row>
    <row r="1556" spans="3:9">
      <c r="C1556" s="143">
        <v>4</v>
      </c>
      <c r="D1556" s="60" t="s">
        <v>19</v>
      </c>
      <c r="E1556" s="73" t="s">
        <v>6</v>
      </c>
      <c r="F1556" s="75">
        <v>1.2E-2</v>
      </c>
      <c r="G1556" s="65">
        <f>VLOOKUP(D1556,upahbahan,3,FALSE)</f>
        <v>145000</v>
      </c>
      <c r="H1556" s="125">
        <f t="shared" si="159"/>
        <v>1740</v>
      </c>
    </row>
    <row r="1557" spans="3:9">
      <c r="C1557" s="145" t="s">
        <v>1220</v>
      </c>
      <c r="D1557" s="81"/>
      <c r="E1557" s="81"/>
      <c r="F1557" s="220"/>
      <c r="G1557" s="221"/>
      <c r="H1557" s="125">
        <f>SUM(H1553:H1556)</f>
        <v>127740</v>
      </c>
      <c r="I1557" s="223"/>
    </row>
    <row r="1558" spans="3:9">
      <c r="C1558" s="142" t="s">
        <v>1221</v>
      </c>
      <c r="D1558" s="60" t="s">
        <v>1222</v>
      </c>
      <c r="E1558" s="74"/>
      <c r="F1558" s="74"/>
      <c r="G1558" s="74"/>
      <c r="H1558" s="147"/>
    </row>
    <row r="1559" spans="3:9">
      <c r="C1559" s="201" t="s">
        <v>1215</v>
      </c>
      <c r="D1559" s="60" t="s">
        <v>64</v>
      </c>
      <c r="E1559" s="73" t="s">
        <v>63</v>
      </c>
      <c r="F1559" s="75">
        <v>1.1000000000000001</v>
      </c>
      <c r="G1559" s="65">
        <f>VLOOKUP(D1559,upahbahan,3,FALSE)</f>
        <v>125000</v>
      </c>
      <c r="H1559" s="125">
        <f t="shared" ref="H1559:H1561" si="160">F1559*G1559</f>
        <v>137500</v>
      </c>
    </row>
    <row r="1560" spans="3:9">
      <c r="C1560" s="201" t="s">
        <v>1216</v>
      </c>
      <c r="D1560" s="60" t="s">
        <v>568</v>
      </c>
      <c r="E1560" s="73" t="s">
        <v>66</v>
      </c>
      <c r="F1560" s="75">
        <v>11.75</v>
      </c>
      <c r="G1560" s="65">
        <f>VLOOKUP(D1560,upahbahan,3,FALSE)</f>
        <v>1300</v>
      </c>
      <c r="H1560" s="125">
        <f t="shared" si="160"/>
        <v>15275</v>
      </c>
    </row>
    <row r="1561" spans="3:9">
      <c r="C1561" s="201" t="s">
        <v>1217</v>
      </c>
      <c r="D1561" s="78" t="s">
        <v>86</v>
      </c>
      <c r="E1561" s="73" t="s">
        <v>42</v>
      </c>
      <c r="F1561" s="75">
        <v>3.5000000000000003E-2</v>
      </c>
      <c r="G1561" s="65">
        <f>VLOOKUP(D1561,upahbahan,3,FALSE)</f>
        <v>275000</v>
      </c>
      <c r="H1561" s="125">
        <f t="shared" si="160"/>
        <v>9625.0000000000018</v>
      </c>
    </row>
    <row r="1562" spans="3:9">
      <c r="C1562" s="145" t="s">
        <v>1226</v>
      </c>
      <c r="D1562" s="81"/>
      <c r="E1562" s="81"/>
      <c r="F1562" s="81"/>
      <c r="G1562" s="163"/>
      <c r="H1562" s="125">
        <f>SUM(H1559:H1561)</f>
        <v>162400</v>
      </c>
    </row>
    <row r="1563" spans="3:9">
      <c r="C1563" s="153" t="s">
        <v>1227</v>
      </c>
      <c r="D1563" s="60" t="s">
        <v>1228</v>
      </c>
      <c r="E1563" s="74"/>
      <c r="F1563" s="74"/>
      <c r="G1563" s="74"/>
      <c r="H1563" s="147"/>
    </row>
    <row r="1564" spans="3:9">
      <c r="C1564" s="145" t="s">
        <v>1229</v>
      </c>
      <c r="D1564" s="81"/>
      <c r="E1564" s="81"/>
      <c r="F1564" s="81"/>
      <c r="G1564" s="163"/>
      <c r="H1564" s="154">
        <v>0</v>
      </c>
    </row>
    <row r="1565" spans="3:9">
      <c r="C1565" s="123" t="s">
        <v>1230</v>
      </c>
      <c r="D1565" s="70" t="s">
        <v>1231</v>
      </c>
      <c r="E1565" s="71"/>
      <c r="F1565" s="71"/>
      <c r="G1565" s="72"/>
      <c r="H1565" s="125">
        <f>H1564+H1562+H1557</f>
        <v>290140</v>
      </c>
    </row>
    <row r="1566" spans="3:9">
      <c r="C1566" s="123" t="s">
        <v>1232</v>
      </c>
      <c r="D1566" s="70" t="s">
        <v>1410</v>
      </c>
      <c r="E1566" s="71"/>
      <c r="F1566" s="72"/>
      <c r="G1566" s="96">
        <f>$M$7</f>
        <v>0.1</v>
      </c>
      <c r="H1566" s="125">
        <f>H1565*G1566</f>
        <v>29014</v>
      </c>
    </row>
    <row r="1567" spans="3:9" ht="15.75" thickBot="1">
      <c r="C1567" s="131" t="s">
        <v>1233</v>
      </c>
      <c r="D1567" s="132" t="s">
        <v>1234</v>
      </c>
      <c r="E1567" s="133"/>
      <c r="F1567" s="133"/>
      <c r="G1567" s="156"/>
      <c r="H1567" s="135">
        <f>SUM(H1565:H1566)</f>
        <v>319154</v>
      </c>
    </row>
    <row r="1568" spans="3:9" ht="15.75" thickTop="1">
      <c r="C1568" s="58"/>
      <c r="D1568" s="82"/>
      <c r="E1568" s="82"/>
      <c r="F1568" s="82"/>
      <c r="G1568" s="82"/>
      <c r="H1568" s="83"/>
    </row>
    <row r="1569" spans="3:9" ht="15.75" thickBot="1">
      <c r="C1569" s="237" t="s">
        <v>1622</v>
      </c>
      <c r="D1569" s="237"/>
      <c r="E1569" s="237"/>
      <c r="F1569" s="237"/>
      <c r="G1569" s="237"/>
      <c r="H1569" s="237"/>
      <c r="I1569" s="57">
        <f>ROUNDDOWN(H1586,-2)</f>
        <v>315000</v>
      </c>
    </row>
    <row r="1570" spans="3:9" ht="29.25" thickTop="1">
      <c r="C1570" s="120" t="s">
        <v>1207</v>
      </c>
      <c r="D1570" s="121" t="s">
        <v>1208</v>
      </c>
      <c r="E1570" s="121" t="s">
        <v>1209</v>
      </c>
      <c r="F1570" s="121" t="s">
        <v>1210</v>
      </c>
      <c r="G1570" s="121" t="s">
        <v>1211</v>
      </c>
      <c r="H1570" s="122" t="s">
        <v>1212</v>
      </c>
    </row>
    <row r="1571" spans="3:9">
      <c r="C1571" s="142" t="s">
        <v>1213</v>
      </c>
      <c r="D1571" s="60" t="s">
        <v>1214</v>
      </c>
      <c r="E1571" s="74"/>
      <c r="F1571" s="74"/>
      <c r="G1571" s="74"/>
      <c r="H1571" s="147"/>
    </row>
    <row r="1572" spans="3:9">
      <c r="C1572" s="143">
        <v>1</v>
      </c>
      <c r="D1572" s="60" t="s">
        <v>5</v>
      </c>
      <c r="E1572" s="73" t="s">
        <v>6</v>
      </c>
      <c r="F1572" s="75">
        <v>0.7</v>
      </c>
      <c r="G1572" s="65">
        <f>VLOOKUP(D1572,upahbahan,3,FALSE)</f>
        <v>100000</v>
      </c>
      <c r="H1572" s="125">
        <f t="shared" ref="H1572:H1575" si="161">F1572*G1572</f>
        <v>70000</v>
      </c>
    </row>
    <row r="1573" spans="3:9">
      <c r="C1573" s="143">
        <v>2</v>
      </c>
      <c r="D1573" s="60" t="s">
        <v>7</v>
      </c>
      <c r="E1573" s="73" t="s">
        <v>6</v>
      </c>
      <c r="F1573" s="75">
        <v>0.35</v>
      </c>
      <c r="G1573" s="65">
        <f>VLOOKUP(D1573,upahbahan,3,FALSE)</f>
        <v>145000</v>
      </c>
      <c r="H1573" s="125">
        <f t="shared" si="161"/>
        <v>50750</v>
      </c>
    </row>
    <row r="1574" spans="3:9">
      <c r="C1574" s="143">
        <v>3</v>
      </c>
      <c r="D1574" s="60" t="s">
        <v>18</v>
      </c>
      <c r="E1574" s="73" t="s">
        <v>6</v>
      </c>
      <c r="F1574" s="75">
        <v>3.5000000000000003E-2</v>
      </c>
      <c r="G1574" s="65">
        <f>VLOOKUP(D1574,upahbahan,3,FALSE)</f>
        <v>150000</v>
      </c>
      <c r="H1574" s="125">
        <f t="shared" si="161"/>
        <v>5250.0000000000009</v>
      </c>
    </row>
    <row r="1575" spans="3:9">
      <c r="C1575" s="143">
        <v>4</v>
      </c>
      <c r="D1575" s="60" t="s">
        <v>19</v>
      </c>
      <c r="E1575" s="73" t="s">
        <v>6</v>
      </c>
      <c r="F1575" s="75">
        <v>1.2E-2</v>
      </c>
      <c r="G1575" s="65">
        <f>VLOOKUP(D1575,upahbahan,3,FALSE)</f>
        <v>145000</v>
      </c>
      <c r="H1575" s="125">
        <f t="shared" si="161"/>
        <v>1740</v>
      </c>
    </row>
    <row r="1576" spans="3:9">
      <c r="C1576" s="145" t="s">
        <v>1220</v>
      </c>
      <c r="D1576" s="81"/>
      <c r="E1576" s="81"/>
      <c r="F1576" s="220"/>
      <c r="G1576" s="221"/>
      <c r="H1576" s="125">
        <f>SUM(H1572:H1575)</f>
        <v>127740</v>
      </c>
      <c r="I1576" s="223"/>
    </row>
    <row r="1577" spans="3:9">
      <c r="C1577" s="142" t="s">
        <v>1221</v>
      </c>
      <c r="D1577" s="60" t="s">
        <v>1222</v>
      </c>
      <c r="E1577" s="74"/>
      <c r="F1577" s="74"/>
      <c r="G1577" s="74"/>
      <c r="H1577" s="147"/>
    </row>
    <row r="1578" spans="3:9">
      <c r="C1578" s="201" t="s">
        <v>1215</v>
      </c>
      <c r="D1578" s="60" t="s">
        <v>74</v>
      </c>
      <c r="E1578" s="73" t="s">
        <v>63</v>
      </c>
      <c r="F1578" s="75">
        <v>1.1000000000000001</v>
      </c>
      <c r="G1578" s="65">
        <f>VLOOKUP(D1578,upahbahan,3,FALSE)</f>
        <v>121600</v>
      </c>
      <c r="H1578" s="125">
        <f t="shared" ref="H1578:H1580" si="162">F1578*G1578</f>
        <v>133760</v>
      </c>
    </row>
    <row r="1579" spans="3:9">
      <c r="C1579" s="201" t="s">
        <v>1216</v>
      </c>
      <c r="D1579" s="60" t="s">
        <v>568</v>
      </c>
      <c r="E1579" s="73" t="s">
        <v>66</v>
      </c>
      <c r="F1579" s="75">
        <v>11.75</v>
      </c>
      <c r="G1579" s="65">
        <f>VLOOKUP(D1579,upahbahan,3,FALSE)</f>
        <v>1300</v>
      </c>
      <c r="H1579" s="125">
        <f t="shared" si="162"/>
        <v>15275</v>
      </c>
    </row>
    <row r="1580" spans="3:9">
      <c r="C1580" s="201" t="s">
        <v>1217</v>
      </c>
      <c r="D1580" s="78" t="s">
        <v>86</v>
      </c>
      <c r="E1580" s="73" t="s">
        <v>42</v>
      </c>
      <c r="F1580" s="75">
        <v>3.5000000000000003E-2</v>
      </c>
      <c r="G1580" s="65">
        <f>VLOOKUP(D1580,upahbahan,3,FALSE)</f>
        <v>275000</v>
      </c>
      <c r="H1580" s="125">
        <f t="shared" si="162"/>
        <v>9625.0000000000018</v>
      </c>
    </row>
    <row r="1581" spans="3:9">
      <c r="C1581" s="145" t="s">
        <v>1226</v>
      </c>
      <c r="D1581" s="81"/>
      <c r="E1581" s="81"/>
      <c r="F1581" s="81"/>
      <c r="G1581" s="163"/>
      <c r="H1581" s="125">
        <f>SUM(H1578:H1580)</f>
        <v>158660</v>
      </c>
    </row>
    <row r="1582" spans="3:9">
      <c r="C1582" s="153" t="s">
        <v>1227</v>
      </c>
      <c r="D1582" s="60" t="s">
        <v>1228</v>
      </c>
      <c r="E1582" s="74"/>
      <c r="F1582" s="74"/>
      <c r="G1582" s="74"/>
      <c r="H1582" s="147"/>
    </row>
    <row r="1583" spans="3:9">
      <c r="C1583" s="145" t="s">
        <v>1229</v>
      </c>
      <c r="D1583" s="81"/>
      <c r="E1583" s="81"/>
      <c r="F1583" s="81"/>
      <c r="G1583" s="163"/>
      <c r="H1583" s="154">
        <v>0</v>
      </c>
    </row>
    <row r="1584" spans="3:9">
      <c r="C1584" s="123" t="s">
        <v>1230</v>
      </c>
      <c r="D1584" s="70" t="s">
        <v>1231</v>
      </c>
      <c r="E1584" s="71"/>
      <c r="F1584" s="71"/>
      <c r="G1584" s="72"/>
      <c r="H1584" s="125">
        <f>H1583+H1581+H1576</f>
        <v>286400</v>
      </c>
    </row>
    <row r="1585" spans="3:9">
      <c r="C1585" s="123" t="s">
        <v>1232</v>
      </c>
      <c r="D1585" s="70" t="s">
        <v>1410</v>
      </c>
      <c r="E1585" s="71"/>
      <c r="F1585" s="72"/>
      <c r="G1585" s="96">
        <f>$M$7</f>
        <v>0.1</v>
      </c>
      <c r="H1585" s="125">
        <f>H1584*G1585</f>
        <v>28640</v>
      </c>
    </row>
    <row r="1586" spans="3:9" ht="15.75" thickBot="1">
      <c r="C1586" s="131" t="s">
        <v>1233</v>
      </c>
      <c r="D1586" s="132" t="s">
        <v>1234</v>
      </c>
      <c r="E1586" s="133"/>
      <c r="F1586" s="133"/>
      <c r="G1586" s="156"/>
      <c r="H1586" s="135">
        <f>SUM(H1584:H1585)</f>
        <v>315040</v>
      </c>
    </row>
    <row r="1587" spans="3:9" ht="15.75" thickTop="1">
      <c r="C1587" s="58"/>
      <c r="D1587" s="82"/>
      <c r="E1587" s="82"/>
      <c r="F1587" s="82"/>
      <c r="G1587" s="82"/>
      <c r="H1587" s="83"/>
    </row>
    <row r="1588" spans="3:9" ht="15.75" thickBot="1">
      <c r="C1588" s="237" t="s">
        <v>1623</v>
      </c>
      <c r="D1588" s="237"/>
      <c r="E1588" s="237"/>
      <c r="F1588" s="237"/>
      <c r="G1588" s="237"/>
      <c r="H1588" s="237"/>
      <c r="I1588" s="57">
        <f>ROUNDDOWN(H1604,-2)</f>
        <v>119500</v>
      </c>
    </row>
    <row r="1589" spans="3:9" ht="29.25" thickTop="1">
      <c r="C1589" s="120" t="s">
        <v>1207</v>
      </c>
      <c r="D1589" s="121" t="s">
        <v>1208</v>
      </c>
      <c r="E1589" s="121" t="s">
        <v>1209</v>
      </c>
      <c r="F1589" s="121" t="s">
        <v>1210</v>
      </c>
      <c r="G1589" s="121" t="s">
        <v>1211</v>
      </c>
      <c r="H1589" s="122" t="s">
        <v>1212</v>
      </c>
    </row>
    <row r="1590" spans="3:9">
      <c r="C1590" s="142" t="s">
        <v>1213</v>
      </c>
      <c r="D1590" s="60" t="s">
        <v>1214</v>
      </c>
      <c r="E1590" s="74"/>
      <c r="F1590" s="74"/>
      <c r="G1590" s="74"/>
      <c r="H1590" s="147"/>
    </row>
    <row r="1591" spans="3:9">
      <c r="C1591" s="143">
        <v>1</v>
      </c>
      <c r="D1591" s="60" t="s">
        <v>5</v>
      </c>
      <c r="E1591" s="73" t="s">
        <v>6</v>
      </c>
      <c r="F1591" s="75">
        <v>0.35</v>
      </c>
      <c r="G1591" s="65">
        <f>VLOOKUP(D1591,upahbahan,3,FALSE)</f>
        <v>100000</v>
      </c>
      <c r="H1591" s="125">
        <f t="shared" ref="H1591:H1594" si="163">F1591*G1591</f>
        <v>35000</v>
      </c>
    </row>
    <row r="1592" spans="3:9">
      <c r="C1592" s="143">
        <v>2</v>
      </c>
      <c r="D1592" s="60" t="s">
        <v>7</v>
      </c>
      <c r="E1592" s="73" t="s">
        <v>6</v>
      </c>
      <c r="F1592" s="75">
        <v>0.17499999999999999</v>
      </c>
      <c r="G1592" s="65">
        <f>VLOOKUP(D1592,upahbahan,3,FALSE)</f>
        <v>145000</v>
      </c>
      <c r="H1592" s="125">
        <f t="shared" si="163"/>
        <v>25375</v>
      </c>
    </row>
    <row r="1593" spans="3:9">
      <c r="C1593" s="143">
        <v>3</v>
      </c>
      <c r="D1593" s="60" t="s">
        <v>18</v>
      </c>
      <c r="E1593" s="73" t="s">
        <v>6</v>
      </c>
      <c r="F1593" s="75">
        <v>1.7999999999999999E-2</v>
      </c>
      <c r="G1593" s="65">
        <f>VLOOKUP(D1593,upahbahan,3,FALSE)</f>
        <v>150000</v>
      </c>
      <c r="H1593" s="125">
        <f t="shared" si="163"/>
        <v>2700</v>
      </c>
    </row>
    <row r="1594" spans="3:9">
      <c r="C1594" s="143">
        <v>4</v>
      </c>
      <c r="D1594" s="60" t="s">
        <v>19</v>
      </c>
      <c r="E1594" s="73" t="s">
        <v>6</v>
      </c>
      <c r="F1594" s="75">
        <v>6.0000000000000001E-3</v>
      </c>
      <c r="G1594" s="65">
        <f>VLOOKUP(D1594,upahbahan,3,FALSE)</f>
        <v>145000</v>
      </c>
      <c r="H1594" s="125">
        <f t="shared" si="163"/>
        <v>870</v>
      </c>
    </row>
    <row r="1595" spans="3:9">
      <c r="C1595" s="145" t="s">
        <v>1220</v>
      </c>
      <c r="D1595" s="81"/>
      <c r="E1595" s="81"/>
      <c r="F1595" s="220"/>
      <c r="G1595" s="221"/>
      <c r="H1595" s="125">
        <f>SUM(H1591:H1594)</f>
        <v>63945</v>
      </c>
      <c r="I1595" s="223"/>
    </row>
    <row r="1596" spans="3:9">
      <c r="C1596" s="142" t="s">
        <v>1221</v>
      </c>
      <c r="D1596" s="60" t="s">
        <v>1222</v>
      </c>
      <c r="E1596" s="74"/>
      <c r="F1596" s="74"/>
      <c r="G1596" s="74"/>
      <c r="H1596" s="147"/>
    </row>
    <row r="1597" spans="3:9">
      <c r="C1597" s="201" t="s">
        <v>1215</v>
      </c>
      <c r="D1597" s="60" t="s">
        <v>1076</v>
      </c>
      <c r="E1597" s="73" t="s">
        <v>114</v>
      </c>
      <c r="F1597" s="230">
        <v>2.2000000000000002</v>
      </c>
      <c r="G1597" s="65">
        <f>VLOOKUP(D1597,upahbahan,3,FALSE)</f>
        <v>13500</v>
      </c>
      <c r="H1597" s="125">
        <f t="shared" ref="H1597:H1598" si="164">F1597*G1597</f>
        <v>29700.000000000004</v>
      </c>
    </row>
    <row r="1598" spans="3:9">
      <c r="C1598" s="201" t="s">
        <v>1216</v>
      </c>
      <c r="D1598" s="60" t="s">
        <v>460</v>
      </c>
      <c r="E1598" s="73" t="s">
        <v>66</v>
      </c>
      <c r="F1598" s="230">
        <v>0.25</v>
      </c>
      <c r="G1598" s="65">
        <f>VLOOKUP(D1598,upahbahan,3,FALSE)</f>
        <v>60000</v>
      </c>
      <c r="H1598" s="125">
        <f t="shared" si="164"/>
        <v>15000</v>
      </c>
    </row>
    <row r="1599" spans="3:9">
      <c r="C1599" s="145" t="s">
        <v>1226</v>
      </c>
      <c r="D1599" s="81"/>
      <c r="E1599" s="81"/>
      <c r="F1599" s="81"/>
      <c r="G1599" s="163"/>
      <c r="H1599" s="125">
        <f>SUM(H1597:H1598)</f>
        <v>44700</v>
      </c>
    </row>
    <row r="1600" spans="3:9">
      <c r="C1600" s="153" t="s">
        <v>1227</v>
      </c>
      <c r="D1600" s="60" t="s">
        <v>1228</v>
      </c>
      <c r="E1600" s="74"/>
      <c r="F1600" s="74"/>
      <c r="G1600" s="74"/>
      <c r="H1600" s="147"/>
    </row>
    <row r="1601" spans="3:9">
      <c r="C1601" s="145" t="s">
        <v>1229</v>
      </c>
      <c r="D1601" s="81"/>
      <c r="E1601" s="81"/>
      <c r="F1601" s="81"/>
      <c r="G1601" s="163"/>
      <c r="H1601" s="154">
        <v>0</v>
      </c>
    </row>
    <row r="1602" spans="3:9">
      <c r="C1602" s="123" t="s">
        <v>1230</v>
      </c>
      <c r="D1602" s="70" t="s">
        <v>1231</v>
      </c>
      <c r="E1602" s="71"/>
      <c r="F1602" s="71"/>
      <c r="G1602" s="72"/>
      <c r="H1602" s="125">
        <f>H1601+H1599+H1595</f>
        <v>108645</v>
      </c>
    </row>
    <row r="1603" spans="3:9">
      <c r="C1603" s="123" t="s">
        <v>1232</v>
      </c>
      <c r="D1603" s="70" t="s">
        <v>1410</v>
      </c>
      <c r="E1603" s="71"/>
      <c r="F1603" s="72"/>
      <c r="G1603" s="96">
        <f>$M$7</f>
        <v>0.1</v>
      </c>
      <c r="H1603" s="125">
        <f>H1602*G1603</f>
        <v>10864.5</v>
      </c>
    </row>
    <row r="1604" spans="3:9" ht="15.75" thickBot="1">
      <c r="C1604" s="131" t="s">
        <v>1233</v>
      </c>
      <c r="D1604" s="132" t="s">
        <v>1234</v>
      </c>
      <c r="E1604" s="133"/>
      <c r="F1604" s="133"/>
      <c r="G1604" s="156"/>
      <c r="H1604" s="135">
        <f>SUM(H1602:H1603)</f>
        <v>119509.5</v>
      </c>
    </row>
    <row r="1605" spans="3:9" ht="15.75" thickTop="1">
      <c r="C1605" s="58"/>
      <c r="D1605" s="82"/>
      <c r="E1605" s="82"/>
      <c r="F1605" s="82"/>
      <c r="G1605" s="82"/>
      <c r="H1605" s="83"/>
    </row>
    <row r="1606" spans="3:9" ht="15.75" thickBot="1">
      <c r="C1606" s="237" t="s">
        <v>1624</v>
      </c>
      <c r="D1606" s="237"/>
      <c r="E1606" s="237"/>
      <c r="F1606" s="237"/>
      <c r="G1606" s="237"/>
      <c r="H1606" s="237"/>
      <c r="I1606" s="57">
        <f>ROUNDDOWN(H1624,-2)</f>
        <v>550500</v>
      </c>
    </row>
    <row r="1607" spans="3:9" ht="29.25" thickTop="1">
      <c r="C1607" s="120" t="s">
        <v>1207</v>
      </c>
      <c r="D1607" s="121" t="s">
        <v>1208</v>
      </c>
      <c r="E1607" s="121" t="s">
        <v>1209</v>
      </c>
      <c r="F1607" s="121" t="s">
        <v>1210</v>
      </c>
      <c r="G1607" s="121" t="s">
        <v>1211</v>
      </c>
      <c r="H1607" s="122" t="s">
        <v>1212</v>
      </c>
    </row>
    <row r="1608" spans="3:9">
      <c r="C1608" s="142" t="s">
        <v>1213</v>
      </c>
      <c r="D1608" s="60" t="s">
        <v>1214</v>
      </c>
      <c r="E1608" s="74"/>
      <c r="F1608" s="74"/>
      <c r="G1608" s="74"/>
      <c r="H1608" s="147"/>
    </row>
    <row r="1609" spans="3:9">
      <c r="C1609" s="143">
        <v>1</v>
      </c>
      <c r="D1609" s="60" t="s">
        <v>5</v>
      </c>
      <c r="E1609" s="73" t="s">
        <v>6</v>
      </c>
      <c r="F1609" s="75">
        <v>0.15</v>
      </c>
      <c r="G1609" s="65">
        <f>VLOOKUP(D1609,upahbahan,3,FALSE)</f>
        <v>100000</v>
      </c>
      <c r="H1609" s="125">
        <f t="shared" ref="H1609:H1612" si="165">F1609*G1609</f>
        <v>15000</v>
      </c>
    </row>
    <row r="1610" spans="3:9">
      <c r="C1610" s="143">
        <v>2</v>
      </c>
      <c r="D1610" s="60" t="s">
        <v>8</v>
      </c>
      <c r="E1610" s="73" t="s">
        <v>6</v>
      </c>
      <c r="F1610" s="75">
        <v>0.45</v>
      </c>
      <c r="G1610" s="65">
        <f>VLOOKUP(D1610,upahbahan,3,FALSE)</f>
        <v>145000</v>
      </c>
      <c r="H1610" s="125">
        <f t="shared" si="165"/>
        <v>65250</v>
      </c>
    </row>
    <row r="1611" spans="3:9">
      <c r="C1611" s="143">
        <v>3</v>
      </c>
      <c r="D1611" s="60" t="s">
        <v>18</v>
      </c>
      <c r="E1611" s="73" t="s">
        <v>6</v>
      </c>
      <c r="F1611" s="75">
        <v>4.4999999999999998E-2</v>
      </c>
      <c r="G1611" s="65">
        <f>VLOOKUP(D1611,upahbahan,3,FALSE)</f>
        <v>150000</v>
      </c>
      <c r="H1611" s="125">
        <f t="shared" si="165"/>
        <v>6750</v>
      </c>
    </row>
    <row r="1612" spans="3:9">
      <c r="C1612" s="143">
        <v>4</v>
      </c>
      <c r="D1612" s="60" t="s">
        <v>19</v>
      </c>
      <c r="E1612" s="73" t="s">
        <v>6</v>
      </c>
      <c r="F1612" s="75">
        <v>1.4999999999999999E-2</v>
      </c>
      <c r="G1612" s="65">
        <f>VLOOKUP(D1612,upahbahan,3,FALSE)</f>
        <v>145000</v>
      </c>
      <c r="H1612" s="125">
        <f t="shared" si="165"/>
        <v>2175</v>
      </c>
    </row>
    <row r="1613" spans="3:9">
      <c r="C1613" s="145" t="s">
        <v>1220</v>
      </c>
      <c r="D1613" s="81"/>
      <c r="E1613" s="81"/>
      <c r="F1613" s="220"/>
      <c r="G1613" s="221"/>
      <c r="H1613" s="125">
        <f>SUM(H1609:H1612)</f>
        <v>89175</v>
      </c>
      <c r="I1613" s="223"/>
    </row>
    <row r="1614" spans="3:9">
      <c r="C1614" s="142" t="s">
        <v>1221</v>
      </c>
      <c r="D1614" s="60" t="s">
        <v>1222</v>
      </c>
      <c r="E1614" s="74"/>
      <c r="F1614" s="74"/>
      <c r="G1614" s="74"/>
      <c r="H1614" s="147"/>
    </row>
    <row r="1615" spans="3:9">
      <c r="C1615" s="201" t="s">
        <v>1215</v>
      </c>
      <c r="D1615" s="78" t="s">
        <v>116</v>
      </c>
      <c r="E1615" s="69" t="s">
        <v>42</v>
      </c>
      <c r="F1615" s="75">
        <v>2.8000000000000001E-2</v>
      </c>
      <c r="G1615" s="65">
        <f>VLOOKUP(D1615,upahbahan,3,FALSE)</f>
        <v>11950000</v>
      </c>
      <c r="H1615" s="125">
        <f t="shared" ref="H1615:H1618" si="166">F1615*G1615</f>
        <v>334600</v>
      </c>
    </row>
    <row r="1616" spans="3:9">
      <c r="C1616" s="201" t="s">
        <v>1216</v>
      </c>
      <c r="D1616" s="78" t="s">
        <v>267</v>
      </c>
      <c r="E1616" s="69" t="s">
        <v>66</v>
      </c>
      <c r="F1616" s="75">
        <v>0.15</v>
      </c>
      <c r="G1616" s="65">
        <f>VLOOKUP(D1616,upahbahan,3,FALSE)</f>
        <v>20000</v>
      </c>
      <c r="H1616" s="125">
        <f t="shared" si="166"/>
        <v>3000</v>
      </c>
    </row>
    <row r="1617" spans="3:9">
      <c r="C1617" s="201" t="s">
        <v>1217</v>
      </c>
      <c r="D1617" s="78" t="s">
        <v>1268</v>
      </c>
      <c r="E1617" s="69" t="s">
        <v>133</v>
      </c>
      <c r="F1617" s="75">
        <v>0.86</v>
      </c>
      <c r="G1617" s="65">
        <f>VLOOKUP(D1617,upahbahan,3,FALSE)</f>
        <v>75000</v>
      </c>
      <c r="H1617" s="125">
        <f t="shared" si="166"/>
        <v>64500</v>
      </c>
    </row>
    <row r="1618" spans="3:9">
      <c r="C1618" s="201" t="s">
        <v>1218</v>
      </c>
      <c r="D1618" s="78" t="s">
        <v>1625</v>
      </c>
      <c r="E1618" s="69" t="s">
        <v>66</v>
      </c>
      <c r="F1618" s="75">
        <v>0.56000000000000005</v>
      </c>
      <c r="G1618" s="65">
        <f>VLOOKUP(D1618,upahbahan,3,FALSE)</f>
        <v>16400</v>
      </c>
      <c r="H1618" s="125">
        <f t="shared" si="166"/>
        <v>9184</v>
      </c>
    </row>
    <row r="1619" spans="3:9">
      <c r="C1619" s="145" t="s">
        <v>1226</v>
      </c>
      <c r="D1619" s="81"/>
      <c r="E1619" s="81"/>
      <c r="F1619" s="81"/>
      <c r="G1619" s="163"/>
      <c r="H1619" s="125">
        <f>SUM(H1615:H1618)</f>
        <v>411284</v>
      </c>
    </row>
    <row r="1620" spans="3:9">
      <c r="C1620" s="153" t="s">
        <v>1227</v>
      </c>
      <c r="D1620" s="60" t="s">
        <v>1228</v>
      </c>
      <c r="E1620" s="74"/>
      <c r="F1620" s="74"/>
      <c r="G1620" s="74"/>
      <c r="H1620" s="147"/>
    </row>
    <row r="1621" spans="3:9">
      <c r="C1621" s="145" t="s">
        <v>1229</v>
      </c>
      <c r="D1621" s="81"/>
      <c r="E1621" s="81"/>
      <c r="F1621" s="81"/>
      <c r="G1621" s="163"/>
      <c r="H1621" s="154">
        <v>0</v>
      </c>
    </row>
    <row r="1622" spans="3:9">
      <c r="C1622" s="123" t="s">
        <v>1230</v>
      </c>
      <c r="D1622" s="70" t="s">
        <v>1231</v>
      </c>
      <c r="E1622" s="71"/>
      <c r="F1622" s="71"/>
      <c r="G1622" s="72"/>
      <c r="H1622" s="125">
        <f>H1621+H1619+H1613</f>
        <v>500459</v>
      </c>
    </row>
    <row r="1623" spans="3:9">
      <c r="C1623" s="123" t="s">
        <v>1232</v>
      </c>
      <c r="D1623" s="70" t="s">
        <v>1410</v>
      </c>
      <c r="E1623" s="71"/>
      <c r="F1623" s="72"/>
      <c r="G1623" s="96">
        <f>$M$7</f>
        <v>0.1</v>
      </c>
      <c r="H1623" s="125">
        <f>H1622*G1623</f>
        <v>50045.9</v>
      </c>
    </row>
    <row r="1624" spans="3:9" ht="15.75" thickBot="1">
      <c r="C1624" s="131" t="s">
        <v>1233</v>
      </c>
      <c r="D1624" s="132" t="s">
        <v>1234</v>
      </c>
      <c r="E1624" s="133"/>
      <c r="F1624" s="133"/>
      <c r="G1624" s="156"/>
      <c r="H1624" s="135">
        <f>SUM(H1622:H1623)</f>
        <v>550504.9</v>
      </c>
    </row>
    <row r="1625" spans="3:9" ht="15.75" thickTop="1">
      <c r="C1625" s="58"/>
      <c r="D1625" s="82"/>
      <c r="E1625" s="82"/>
      <c r="F1625" s="82"/>
      <c r="G1625" s="82"/>
      <c r="H1625" s="83"/>
    </row>
    <row r="1626" spans="3:9" ht="15.75" thickBot="1">
      <c r="C1626" s="237" t="s">
        <v>1626</v>
      </c>
      <c r="D1626" s="237"/>
      <c r="E1626" s="237"/>
      <c r="F1626" s="237"/>
      <c r="G1626" s="237"/>
      <c r="H1626" s="237"/>
      <c r="I1626" s="57">
        <f>ROUNDDOWN(H1643,-2)</f>
        <v>599700</v>
      </c>
    </row>
    <row r="1627" spans="3:9" ht="29.25" thickTop="1">
      <c r="C1627" s="120" t="s">
        <v>1207</v>
      </c>
      <c r="D1627" s="121" t="s">
        <v>1208</v>
      </c>
      <c r="E1627" s="121" t="s">
        <v>1209</v>
      </c>
      <c r="F1627" s="121" t="s">
        <v>1210</v>
      </c>
      <c r="G1627" s="121" t="s">
        <v>1211</v>
      </c>
      <c r="H1627" s="122" t="s">
        <v>1212</v>
      </c>
    </row>
    <row r="1628" spans="3:9">
      <c r="C1628" s="142" t="s">
        <v>1213</v>
      </c>
      <c r="D1628" s="60" t="s">
        <v>1214</v>
      </c>
      <c r="E1628" s="74"/>
      <c r="F1628" s="74"/>
      <c r="G1628" s="74"/>
      <c r="H1628" s="147"/>
    </row>
    <row r="1629" spans="3:9">
      <c r="C1629" s="143">
        <v>1</v>
      </c>
      <c r="D1629" s="60" t="s">
        <v>5</v>
      </c>
      <c r="E1629" s="73" t="s">
        <v>6</v>
      </c>
      <c r="F1629" s="75">
        <v>0.6</v>
      </c>
      <c r="G1629" s="65">
        <f>VLOOKUP(D1629,upahbahan,3,FALSE)</f>
        <v>100000</v>
      </c>
      <c r="H1629" s="125">
        <f t="shared" ref="H1629:H1632" si="167">F1629*G1629</f>
        <v>60000</v>
      </c>
    </row>
    <row r="1630" spans="3:9">
      <c r="C1630" s="143">
        <v>2</v>
      </c>
      <c r="D1630" s="60" t="s">
        <v>8</v>
      </c>
      <c r="E1630" s="73" t="s">
        <v>6</v>
      </c>
      <c r="F1630" s="75">
        <v>1.8</v>
      </c>
      <c r="G1630" s="65">
        <f>VLOOKUP(D1630,upahbahan,3,FALSE)</f>
        <v>145000</v>
      </c>
      <c r="H1630" s="125">
        <f t="shared" si="167"/>
        <v>261000</v>
      </c>
    </row>
    <row r="1631" spans="3:9">
      <c r="C1631" s="143">
        <v>3</v>
      </c>
      <c r="D1631" s="60" t="s">
        <v>18</v>
      </c>
      <c r="E1631" s="73" t="s">
        <v>6</v>
      </c>
      <c r="F1631" s="75">
        <v>0.18</v>
      </c>
      <c r="G1631" s="65">
        <f>VLOOKUP(D1631,upahbahan,3,FALSE)</f>
        <v>150000</v>
      </c>
      <c r="H1631" s="125">
        <f t="shared" si="167"/>
        <v>27000</v>
      </c>
    </row>
    <row r="1632" spans="3:9">
      <c r="C1632" s="143">
        <v>4</v>
      </c>
      <c r="D1632" s="60" t="s">
        <v>19</v>
      </c>
      <c r="E1632" s="73" t="s">
        <v>6</v>
      </c>
      <c r="F1632" s="75">
        <v>0.06</v>
      </c>
      <c r="G1632" s="65">
        <f>VLOOKUP(D1632,upahbahan,3,FALSE)</f>
        <v>145000</v>
      </c>
      <c r="H1632" s="125">
        <f t="shared" si="167"/>
        <v>8700</v>
      </c>
    </row>
    <row r="1633" spans="3:9">
      <c r="C1633" s="145" t="s">
        <v>1220</v>
      </c>
      <c r="D1633" s="81"/>
      <c r="E1633" s="81"/>
      <c r="F1633" s="220"/>
      <c r="G1633" s="221"/>
      <c r="H1633" s="125">
        <f>SUM(H1629:H1632)</f>
        <v>356700</v>
      </c>
      <c r="I1633" s="223"/>
    </row>
    <row r="1634" spans="3:9">
      <c r="C1634" s="142" t="s">
        <v>1221</v>
      </c>
      <c r="D1634" s="60" t="s">
        <v>1222</v>
      </c>
      <c r="E1634" s="74"/>
      <c r="F1634" s="74"/>
      <c r="G1634" s="74"/>
      <c r="H1634" s="147"/>
    </row>
    <row r="1635" spans="3:9">
      <c r="C1635" s="201" t="s">
        <v>1215</v>
      </c>
      <c r="D1635" s="78" t="s">
        <v>125</v>
      </c>
      <c r="E1635" s="69" t="s">
        <v>42</v>
      </c>
      <c r="F1635" s="75">
        <v>7.0000000000000001E-3</v>
      </c>
      <c r="G1635" s="65">
        <f>VLOOKUP(D1635,upahbahan,3,FALSE)</f>
        <v>26000000</v>
      </c>
      <c r="H1635" s="125">
        <f t="shared" ref="H1635:H1637" si="168">F1635*G1635</f>
        <v>182000</v>
      </c>
    </row>
    <row r="1636" spans="3:9">
      <c r="C1636" s="201" t="s">
        <v>1216</v>
      </c>
      <c r="D1636" s="78" t="s">
        <v>267</v>
      </c>
      <c r="E1636" s="69" t="s">
        <v>66</v>
      </c>
      <c r="F1636" s="75">
        <v>0.1</v>
      </c>
      <c r="G1636" s="65">
        <f>VLOOKUP(D1636,upahbahan,3,FALSE)</f>
        <v>20000</v>
      </c>
      <c r="H1636" s="125">
        <f t="shared" si="168"/>
        <v>2000</v>
      </c>
    </row>
    <row r="1637" spans="3:9">
      <c r="C1637" s="201" t="s">
        <v>1217</v>
      </c>
      <c r="D1637" s="78" t="s">
        <v>273</v>
      </c>
      <c r="E1637" s="69" t="s">
        <v>66</v>
      </c>
      <c r="F1637" s="75">
        <v>0.15</v>
      </c>
      <c r="G1637" s="65">
        <f>VLOOKUP(D1637,upahbahan,3,FALSE)</f>
        <v>30090</v>
      </c>
      <c r="H1637" s="125">
        <f t="shared" si="168"/>
        <v>4513.5</v>
      </c>
    </row>
    <row r="1638" spans="3:9">
      <c r="C1638" s="145" t="s">
        <v>1226</v>
      </c>
      <c r="D1638" s="81"/>
      <c r="E1638" s="81"/>
      <c r="F1638" s="81"/>
      <c r="G1638" s="163"/>
      <c r="H1638" s="125">
        <f>SUM(H1635:H1637)</f>
        <v>188513.5</v>
      </c>
    </row>
    <row r="1639" spans="3:9">
      <c r="C1639" s="153" t="s">
        <v>1227</v>
      </c>
      <c r="D1639" s="60" t="s">
        <v>1228</v>
      </c>
      <c r="E1639" s="74"/>
      <c r="F1639" s="74"/>
      <c r="G1639" s="74"/>
      <c r="H1639" s="147"/>
    </row>
    <row r="1640" spans="3:9">
      <c r="C1640" s="145" t="s">
        <v>1229</v>
      </c>
      <c r="D1640" s="81"/>
      <c r="E1640" s="81"/>
      <c r="F1640" s="81"/>
      <c r="G1640" s="163"/>
      <c r="H1640" s="154">
        <v>0</v>
      </c>
    </row>
    <row r="1641" spans="3:9">
      <c r="C1641" s="123" t="s">
        <v>1230</v>
      </c>
      <c r="D1641" s="70" t="s">
        <v>1231</v>
      </c>
      <c r="E1641" s="71"/>
      <c r="F1641" s="71"/>
      <c r="G1641" s="72"/>
      <c r="H1641" s="125">
        <f>H1640+H1638+H1633</f>
        <v>545213.5</v>
      </c>
    </row>
    <row r="1642" spans="3:9">
      <c r="C1642" s="123" t="s">
        <v>1232</v>
      </c>
      <c r="D1642" s="70" t="s">
        <v>1410</v>
      </c>
      <c r="E1642" s="71"/>
      <c r="F1642" s="72"/>
      <c r="G1642" s="96">
        <f>$M$7</f>
        <v>0.1</v>
      </c>
      <c r="H1642" s="125">
        <f>H1641*G1642</f>
        <v>54521.350000000006</v>
      </c>
    </row>
    <row r="1643" spans="3:9" ht="15.75" thickBot="1">
      <c r="C1643" s="131" t="s">
        <v>1233</v>
      </c>
      <c r="D1643" s="132" t="s">
        <v>1234</v>
      </c>
      <c r="E1643" s="133"/>
      <c r="F1643" s="133"/>
      <c r="G1643" s="156"/>
      <c r="H1643" s="135">
        <f>SUM(H1641:H1642)</f>
        <v>599734.85</v>
      </c>
    </row>
    <row r="1644" spans="3:9" ht="15.75" thickTop="1">
      <c r="C1644" s="58"/>
      <c r="D1644" s="82"/>
      <c r="E1644" s="82"/>
      <c r="F1644" s="82"/>
      <c r="G1644" s="82"/>
      <c r="H1644" s="83"/>
    </row>
    <row r="1645" spans="3:9" ht="15.75" thickBot="1">
      <c r="C1645" s="237" t="s">
        <v>1627</v>
      </c>
      <c r="D1645" s="237"/>
      <c r="E1645" s="237"/>
      <c r="F1645" s="237"/>
      <c r="G1645" s="237"/>
      <c r="H1645" s="237"/>
      <c r="I1645" s="57">
        <f>ROUNDDOWN(H1661,-2)</f>
        <v>45100</v>
      </c>
    </row>
    <row r="1646" spans="3:9" ht="29.25" thickTop="1">
      <c r="C1646" s="120" t="s">
        <v>1207</v>
      </c>
      <c r="D1646" s="121" t="s">
        <v>1208</v>
      </c>
      <c r="E1646" s="121" t="s">
        <v>1209</v>
      </c>
      <c r="F1646" s="121" t="s">
        <v>1210</v>
      </c>
      <c r="G1646" s="121" t="s">
        <v>1211</v>
      </c>
      <c r="H1646" s="122" t="s">
        <v>1212</v>
      </c>
    </row>
    <row r="1647" spans="3:9">
      <c r="C1647" s="142" t="s">
        <v>1213</v>
      </c>
      <c r="D1647" s="60" t="s">
        <v>1214</v>
      </c>
      <c r="E1647" s="74"/>
      <c r="F1647" s="74"/>
      <c r="G1647" s="74"/>
      <c r="H1647" s="147"/>
    </row>
    <row r="1648" spans="3:9">
      <c r="C1648" s="143">
        <v>1</v>
      </c>
      <c r="D1648" s="60" t="s">
        <v>5</v>
      </c>
      <c r="E1648" s="73" t="s">
        <v>6</v>
      </c>
      <c r="F1648" s="75">
        <v>0.25</v>
      </c>
      <c r="G1648" s="65">
        <f>VLOOKUP(D1648,upahbahan,3,FALSE)</f>
        <v>100000</v>
      </c>
      <c r="H1648" s="125">
        <f t="shared" ref="H1648:H1651" si="169">F1648*G1648</f>
        <v>25000</v>
      </c>
    </row>
    <row r="1649" spans="3:9">
      <c r="C1649" s="143">
        <v>2</v>
      </c>
      <c r="D1649" s="60" t="s">
        <v>8</v>
      </c>
      <c r="E1649" s="73" t="s">
        <v>6</v>
      </c>
      <c r="F1649" s="75">
        <v>7.4999999999999997E-2</v>
      </c>
      <c r="G1649" s="65">
        <f>VLOOKUP(D1649,upahbahan,3,FALSE)</f>
        <v>145000</v>
      </c>
      <c r="H1649" s="125">
        <f t="shared" si="169"/>
        <v>10875</v>
      </c>
    </row>
    <row r="1650" spans="3:9">
      <c r="C1650" s="143">
        <v>3</v>
      </c>
      <c r="D1650" s="60" t="s">
        <v>18</v>
      </c>
      <c r="E1650" s="73" t="s">
        <v>6</v>
      </c>
      <c r="F1650" s="75">
        <v>8.0000000000000002E-3</v>
      </c>
      <c r="G1650" s="65">
        <f>VLOOKUP(D1650,upahbahan,3,FALSE)</f>
        <v>150000</v>
      </c>
      <c r="H1650" s="125">
        <f t="shared" si="169"/>
        <v>1200</v>
      </c>
    </row>
    <row r="1651" spans="3:9">
      <c r="C1651" s="143">
        <v>4</v>
      </c>
      <c r="D1651" s="60" t="s">
        <v>19</v>
      </c>
      <c r="E1651" s="73" t="s">
        <v>6</v>
      </c>
      <c r="F1651" s="75">
        <v>3.0000000000000001E-3</v>
      </c>
      <c r="G1651" s="65">
        <f>VLOOKUP(D1651,upahbahan,3,FALSE)</f>
        <v>145000</v>
      </c>
      <c r="H1651" s="125">
        <f t="shared" si="169"/>
        <v>435</v>
      </c>
    </row>
    <row r="1652" spans="3:9">
      <c r="C1652" s="145" t="s">
        <v>1220</v>
      </c>
      <c r="D1652" s="81"/>
      <c r="E1652" s="81"/>
      <c r="F1652" s="220"/>
      <c r="G1652" s="221"/>
      <c r="H1652" s="125">
        <f>SUM(H1648:H1651)</f>
        <v>37510</v>
      </c>
      <c r="I1652" s="223"/>
    </row>
    <row r="1653" spans="3:9">
      <c r="C1653" s="142" t="s">
        <v>1221</v>
      </c>
      <c r="D1653" s="60" t="s">
        <v>1222</v>
      </c>
      <c r="E1653" s="74"/>
      <c r="F1653" s="74"/>
      <c r="G1653" s="74"/>
      <c r="H1653" s="147"/>
    </row>
    <row r="1654" spans="3:9">
      <c r="C1654" s="201" t="s">
        <v>1215</v>
      </c>
      <c r="D1654" s="78" t="s">
        <v>1269</v>
      </c>
      <c r="E1654" s="69" t="s">
        <v>42</v>
      </c>
      <c r="F1654" s="94">
        <v>4.0000000000000002E-4</v>
      </c>
      <c r="G1654" s="65">
        <f>VLOOKUP(D1654,upahbahan,3,FALSE)</f>
        <v>6298700</v>
      </c>
      <c r="H1654" s="125">
        <f t="shared" ref="H1654:H1655" si="170">F1654*G1654</f>
        <v>2519.48</v>
      </c>
    </row>
    <row r="1655" spans="3:9">
      <c r="C1655" s="201" t="s">
        <v>1216</v>
      </c>
      <c r="D1655" s="78" t="s">
        <v>267</v>
      </c>
      <c r="E1655" s="69" t="s">
        <v>66</v>
      </c>
      <c r="F1655" s="94">
        <v>0.05</v>
      </c>
      <c r="G1655" s="65">
        <f>VLOOKUP(D1655,upahbahan,3,FALSE)</f>
        <v>20000</v>
      </c>
      <c r="H1655" s="125">
        <f t="shared" si="170"/>
        <v>1000</v>
      </c>
    </row>
    <row r="1656" spans="3:9">
      <c r="C1656" s="145" t="s">
        <v>1226</v>
      </c>
      <c r="D1656" s="81"/>
      <c r="E1656" s="81"/>
      <c r="F1656" s="81"/>
      <c r="G1656" s="163"/>
      <c r="H1656" s="125">
        <f>SUM(H1654:H1655)</f>
        <v>3519.48</v>
      </c>
    </row>
    <row r="1657" spans="3:9">
      <c r="C1657" s="153" t="s">
        <v>1227</v>
      </c>
      <c r="D1657" s="60" t="s">
        <v>1228</v>
      </c>
      <c r="E1657" s="74"/>
      <c r="F1657" s="74"/>
      <c r="G1657" s="74"/>
      <c r="H1657" s="147"/>
    </row>
    <row r="1658" spans="3:9">
      <c r="C1658" s="145" t="s">
        <v>1229</v>
      </c>
      <c r="D1658" s="81"/>
      <c r="E1658" s="81"/>
      <c r="F1658" s="81"/>
      <c r="G1658" s="163"/>
      <c r="H1658" s="154">
        <v>0</v>
      </c>
    </row>
    <row r="1659" spans="3:9">
      <c r="C1659" s="123" t="s">
        <v>1230</v>
      </c>
      <c r="D1659" s="70" t="s">
        <v>1231</v>
      </c>
      <c r="E1659" s="71"/>
      <c r="F1659" s="71"/>
      <c r="G1659" s="72"/>
      <c r="H1659" s="125">
        <f>H1658+H1656+H1652</f>
        <v>41029.480000000003</v>
      </c>
    </row>
    <row r="1660" spans="3:9">
      <c r="C1660" s="123" t="s">
        <v>1232</v>
      </c>
      <c r="D1660" s="70" t="s">
        <v>1410</v>
      </c>
      <c r="E1660" s="71"/>
      <c r="F1660" s="72"/>
      <c r="G1660" s="96">
        <f>$M$7</f>
        <v>0.1</v>
      </c>
      <c r="H1660" s="125">
        <f>H1659*G1660</f>
        <v>4102.9480000000003</v>
      </c>
    </row>
    <row r="1661" spans="3:9" ht="15.75" thickBot="1">
      <c r="C1661" s="131" t="s">
        <v>1233</v>
      </c>
      <c r="D1661" s="132" t="s">
        <v>1234</v>
      </c>
      <c r="E1661" s="133"/>
      <c r="F1661" s="133"/>
      <c r="G1661" s="156"/>
      <c r="H1661" s="135">
        <f>SUM(H1659:H1660)</f>
        <v>45132.428</v>
      </c>
    </row>
    <row r="1662" spans="3:9" ht="15.75" thickTop="1">
      <c r="C1662" s="58"/>
      <c r="D1662" s="82"/>
      <c r="E1662" s="82"/>
      <c r="F1662" s="82"/>
      <c r="G1662" s="82"/>
      <c r="H1662" s="83"/>
    </row>
    <row r="1663" spans="3:9" ht="15.75" thickBot="1">
      <c r="C1663" s="237" t="s">
        <v>1628</v>
      </c>
      <c r="D1663" s="237"/>
      <c r="E1663" s="237"/>
      <c r="F1663" s="237"/>
      <c r="G1663" s="237"/>
      <c r="H1663" s="237"/>
      <c r="I1663" s="57">
        <f>ROUNDDOWN(H1681,-2)</f>
        <v>128700</v>
      </c>
    </row>
    <row r="1664" spans="3:9" ht="29.25" thickTop="1">
      <c r="C1664" s="120" t="s">
        <v>1207</v>
      </c>
      <c r="D1664" s="121" t="s">
        <v>1208</v>
      </c>
      <c r="E1664" s="121" t="s">
        <v>1209</v>
      </c>
      <c r="F1664" s="121" t="s">
        <v>1210</v>
      </c>
      <c r="G1664" s="121" t="s">
        <v>1211</v>
      </c>
      <c r="H1664" s="122" t="s">
        <v>1212</v>
      </c>
    </row>
    <row r="1665" spans="3:9">
      <c r="C1665" s="142" t="s">
        <v>1213</v>
      </c>
      <c r="D1665" s="60" t="s">
        <v>1214</v>
      </c>
      <c r="E1665" s="74"/>
      <c r="F1665" s="74"/>
      <c r="G1665" s="74"/>
      <c r="H1665" s="147"/>
    </row>
    <row r="1666" spans="3:9">
      <c r="C1666" s="143">
        <v>1</v>
      </c>
      <c r="D1666" s="60" t="s">
        <v>5</v>
      </c>
      <c r="E1666" s="73" t="s">
        <v>6</v>
      </c>
      <c r="F1666" s="75">
        <v>0.1</v>
      </c>
      <c r="G1666" s="65">
        <f>VLOOKUP(D1666,upahbahan,3,FALSE)</f>
        <v>100000</v>
      </c>
      <c r="H1666" s="125">
        <f t="shared" ref="H1666:H1669" si="171">F1666*G1666</f>
        <v>10000</v>
      </c>
    </row>
    <row r="1667" spans="3:9">
      <c r="C1667" s="143">
        <v>2</v>
      </c>
      <c r="D1667" s="60" t="s">
        <v>8</v>
      </c>
      <c r="E1667" s="73" t="s">
        <v>6</v>
      </c>
      <c r="F1667" s="75">
        <v>0.05</v>
      </c>
      <c r="G1667" s="65">
        <f>VLOOKUP(D1667,upahbahan,3,FALSE)</f>
        <v>145000</v>
      </c>
      <c r="H1667" s="125">
        <f t="shared" si="171"/>
        <v>7250</v>
      </c>
    </row>
    <row r="1668" spans="3:9">
      <c r="C1668" s="143">
        <v>3</v>
      </c>
      <c r="D1668" s="60" t="s">
        <v>18</v>
      </c>
      <c r="E1668" s="73" t="s">
        <v>6</v>
      </c>
      <c r="F1668" s="75">
        <v>5.0000000000000001E-3</v>
      </c>
      <c r="G1668" s="65">
        <f>VLOOKUP(D1668,upahbahan,3,FALSE)</f>
        <v>150000</v>
      </c>
      <c r="H1668" s="125">
        <f t="shared" si="171"/>
        <v>750</v>
      </c>
    </row>
    <row r="1669" spans="3:9">
      <c r="C1669" s="143">
        <v>4</v>
      </c>
      <c r="D1669" s="60" t="s">
        <v>19</v>
      </c>
      <c r="E1669" s="73" t="s">
        <v>6</v>
      </c>
      <c r="F1669" s="75">
        <v>2E-3</v>
      </c>
      <c r="G1669" s="65">
        <f>VLOOKUP(D1669,upahbahan,3,FALSE)</f>
        <v>145000</v>
      </c>
      <c r="H1669" s="125">
        <f t="shared" si="171"/>
        <v>290</v>
      </c>
    </row>
    <row r="1670" spans="3:9">
      <c r="C1670" s="145" t="s">
        <v>1220</v>
      </c>
      <c r="D1670" s="81"/>
      <c r="E1670" s="81"/>
      <c r="F1670" s="220"/>
      <c r="G1670" s="221"/>
      <c r="H1670" s="125">
        <f>SUM(H1666:H1669)</f>
        <v>18290</v>
      </c>
      <c r="I1670" s="223"/>
    </row>
    <row r="1671" spans="3:9">
      <c r="C1671" s="142" t="s">
        <v>1221</v>
      </c>
      <c r="D1671" s="60" t="s">
        <v>1222</v>
      </c>
      <c r="E1671" s="74"/>
      <c r="F1671" s="74"/>
      <c r="G1671" s="74"/>
      <c r="H1671" s="147"/>
    </row>
    <row r="1672" spans="3:9">
      <c r="C1672" s="201" t="s">
        <v>1215</v>
      </c>
      <c r="D1672" s="78" t="s">
        <v>1629</v>
      </c>
      <c r="E1672" s="69" t="s">
        <v>63</v>
      </c>
      <c r="F1672" s="75">
        <v>1.5</v>
      </c>
      <c r="G1672" s="65">
        <f>VLOOKUP(D1672,upahbahan,3,FALSE)</f>
        <v>21000</v>
      </c>
      <c r="H1672" s="125">
        <f t="shared" ref="H1672:H1675" si="172">F1672*G1672</f>
        <v>31500</v>
      </c>
    </row>
    <row r="1673" spans="3:9">
      <c r="C1673" s="201" t="s">
        <v>1216</v>
      </c>
      <c r="D1673" s="78" t="s">
        <v>120</v>
      </c>
      <c r="E1673" s="69" t="s">
        <v>42</v>
      </c>
      <c r="F1673" s="75">
        <v>1.4E-2</v>
      </c>
      <c r="G1673" s="65">
        <f>VLOOKUP(D1673,upahbahan,3,FALSE)</f>
        <v>3500000</v>
      </c>
      <c r="H1673" s="125">
        <f t="shared" si="172"/>
        <v>49000</v>
      </c>
    </row>
    <row r="1674" spans="3:9">
      <c r="C1674" s="201" t="s">
        <v>1217</v>
      </c>
      <c r="D1674" s="78" t="s">
        <v>267</v>
      </c>
      <c r="E1674" s="69" t="s">
        <v>66</v>
      </c>
      <c r="F1674" s="75">
        <v>1.2E-2</v>
      </c>
      <c r="G1674" s="65">
        <f>VLOOKUP(D1674,upahbahan,3,FALSE)</f>
        <v>20000</v>
      </c>
      <c r="H1674" s="125">
        <f t="shared" si="172"/>
        <v>240</v>
      </c>
    </row>
    <row r="1675" spans="3:9">
      <c r="C1675" s="201" t="s">
        <v>1218</v>
      </c>
      <c r="D1675" s="78" t="s">
        <v>130</v>
      </c>
      <c r="E1675" s="69" t="s">
        <v>42</v>
      </c>
      <c r="F1675" s="75">
        <v>3.0000000000000001E-3</v>
      </c>
      <c r="G1675" s="65">
        <f>VLOOKUP(D1675,upahbahan,3,FALSE)</f>
        <v>6000000</v>
      </c>
      <c r="H1675" s="125">
        <f t="shared" si="172"/>
        <v>18000</v>
      </c>
    </row>
    <row r="1676" spans="3:9">
      <c r="C1676" s="145" t="s">
        <v>1226</v>
      </c>
      <c r="D1676" s="81"/>
      <c r="E1676" s="81"/>
      <c r="F1676" s="81"/>
      <c r="G1676" s="163"/>
      <c r="H1676" s="125">
        <f>SUM(H1672:H1675)</f>
        <v>98740</v>
      </c>
    </row>
    <row r="1677" spans="3:9">
      <c r="C1677" s="153" t="s">
        <v>1227</v>
      </c>
      <c r="D1677" s="60" t="s">
        <v>1228</v>
      </c>
      <c r="E1677" s="74"/>
      <c r="F1677" s="74"/>
      <c r="G1677" s="74"/>
      <c r="H1677" s="147"/>
    </row>
    <row r="1678" spans="3:9">
      <c r="C1678" s="145" t="s">
        <v>1229</v>
      </c>
      <c r="D1678" s="81"/>
      <c r="E1678" s="81"/>
      <c r="F1678" s="81"/>
      <c r="G1678" s="163"/>
      <c r="H1678" s="154">
        <v>0</v>
      </c>
    </row>
    <row r="1679" spans="3:9">
      <c r="C1679" s="123" t="s">
        <v>1230</v>
      </c>
      <c r="D1679" s="70" t="s">
        <v>1231</v>
      </c>
      <c r="E1679" s="71"/>
      <c r="F1679" s="71"/>
      <c r="G1679" s="72"/>
      <c r="H1679" s="125">
        <f>H1678+H1676+H1670</f>
        <v>117030</v>
      </c>
    </row>
    <row r="1680" spans="3:9">
      <c r="C1680" s="123" t="s">
        <v>1232</v>
      </c>
      <c r="D1680" s="70" t="s">
        <v>1410</v>
      </c>
      <c r="E1680" s="71"/>
      <c r="F1680" s="72"/>
      <c r="G1680" s="96">
        <f>$M$7</f>
        <v>0.1</v>
      </c>
      <c r="H1680" s="125">
        <f>H1679*G1680</f>
        <v>11703</v>
      </c>
    </row>
    <row r="1681" spans="3:9" ht="15.75" thickBot="1">
      <c r="C1681" s="131" t="s">
        <v>1233</v>
      </c>
      <c r="D1681" s="132" t="s">
        <v>1234</v>
      </c>
      <c r="E1681" s="133"/>
      <c r="F1681" s="133"/>
      <c r="G1681" s="156"/>
      <c r="H1681" s="135">
        <f>SUM(H1679:H1680)</f>
        <v>128733</v>
      </c>
    </row>
    <row r="1682" spans="3:9" ht="15.75" thickTop="1">
      <c r="C1682" s="58"/>
      <c r="D1682" s="82"/>
      <c r="E1682" s="82"/>
      <c r="F1682" s="82"/>
      <c r="G1682" s="82"/>
      <c r="H1682" s="83"/>
    </row>
    <row r="1683" spans="3:9" ht="15.75" thickBot="1">
      <c r="C1683" s="237" t="s">
        <v>1630</v>
      </c>
      <c r="D1683" s="237"/>
      <c r="E1683" s="237"/>
      <c r="F1683" s="237"/>
      <c r="G1683" s="237"/>
      <c r="H1683" s="237"/>
      <c r="I1683" s="57">
        <f>ROUNDDOWN(H1701,-2)</f>
        <v>1545900</v>
      </c>
    </row>
    <row r="1684" spans="3:9" ht="29.25" thickTop="1">
      <c r="C1684" s="120" t="s">
        <v>1207</v>
      </c>
      <c r="D1684" s="121" t="s">
        <v>1208</v>
      </c>
      <c r="E1684" s="121" t="s">
        <v>1209</v>
      </c>
      <c r="F1684" s="121" t="s">
        <v>1210</v>
      </c>
      <c r="G1684" s="121" t="s">
        <v>1211</v>
      </c>
      <c r="H1684" s="122" t="s">
        <v>1212</v>
      </c>
    </row>
    <row r="1685" spans="3:9">
      <c r="C1685" s="142" t="s">
        <v>1213</v>
      </c>
      <c r="D1685" s="60" t="s">
        <v>1214</v>
      </c>
      <c r="E1685" s="74"/>
      <c r="F1685" s="74"/>
      <c r="G1685" s="74"/>
      <c r="H1685" s="147"/>
    </row>
    <row r="1686" spans="3:9">
      <c r="C1686" s="143">
        <v>1</v>
      </c>
      <c r="D1686" s="60" t="s">
        <v>5</v>
      </c>
      <c r="E1686" s="73" t="s">
        <v>6</v>
      </c>
      <c r="F1686" s="75">
        <v>2</v>
      </c>
      <c r="G1686" s="65">
        <f>VLOOKUP(D1686,upahbahan,3,FALSE)</f>
        <v>100000</v>
      </c>
      <c r="H1686" s="125">
        <f t="shared" ref="H1686:H1689" si="173">F1686*G1686</f>
        <v>200000</v>
      </c>
    </row>
    <row r="1687" spans="3:9">
      <c r="C1687" s="143">
        <v>2</v>
      </c>
      <c r="D1687" s="60" t="s">
        <v>7</v>
      </c>
      <c r="E1687" s="73" t="s">
        <v>6</v>
      </c>
      <c r="F1687" s="75">
        <v>0.5</v>
      </c>
      <c r="G1687" s="65">
        <f>VLOOKUP(D1687,upahbahan,3,FALSE)</f>
        <v>145000</v>
      </c>
      <c r="H1687" s="125">
        <f t="shared" si="173"/>
        <v>72500</v>
      </c>
    </row>
    <row r="1688" spans="3:9">
      <c r="C1688" s="143">
        <v>3</v>
      </c>
      <c r="D1688" s="60" t="s">
        <v>18</v>
      </c>
      <c r="E1688" s="73" t="s">
        <v>6</v>
      </c>
      <c r="F1688" s="75">
        <v>0.05</v>
      </c>
      <c r="G1688" s="65">
        <f>VLOOKUP(D1688,upahbahan,3,FALSE)</f>
        <v>150000</v>
      </c>
      <c r="H1688" s="125">
        <f t="shared" si="173"/>
        <v>7500</v>
      </c>
    </row>
    <row r="1689" spans="3:9">
      <c r="C1689" s="143">
        <v>4</v>
      </c>
      <c r="D1689" s="60" t="s">
        <v>19</v>
      </c>
      <c r="E1689" s="73" t="s">
        <v>6</v>
      </c>
      <c r="F1689" s="75">
        <v>1.7000000000000001E-2</v>
      </c>
      <c r="G1689" s="65">
        <f>VLOOKUP(D1689,upahbahan,3,FALSE)</f>
        <v>145000</v>
      </c>
      <c r="H1689" s="125">
        <f t="shared" si="173"/>
        <v>2465</v>
      </c>
    </row>
    <row r="1690" spans="3:9">
      <c r="C1690" s="145" t="s">
        <v>1220</v>
      </c>
      <c r="D1690" s="81"/>
      <c r="E1690" s="81"/>
      <c r="F1690" s="220"/>
      <c r="G1690" s="221"/>
      <c r="H1690" s="125">
        <f>SUM(H1686:H1689)</f>
        <v>282465</v>
      </c>
      <c r="I1690" s="223"/>
    </row>
    <row r="1691" spans="3:9">
      <c r="C1691" s="142" t="s">
        <v>1221</v>
      </c>
      <c r="D1691" s="60" t="s">
        <v>1222</v>
      </c>
      <c r="E1691" s="74"/>
      <c r="F1691" s="74"/>
      <c r="G1691" s="74"/>
      <c r="H1691" s="147"/>
    </row>
    <row r="1692" spans="3:9">
      <c r="C1692" s="201" t="s">
        <v>1215</v>
      </c>
      <c r="D1692" s="78" t="s">
        <v>461</v>
      </c>
      <c r="E1692" s="69" t="s">
        <v>44</v>
      </c>
      <c r="F1692" s="75">
        <v>1.1000000000000001</v>
      </c>
      <c r="G1692" s="65">
        <f>VLOOKUP(D1692,upahbahan,3,FALSE)</f>
        <v>800000</v>
      </c>
      <c r="H1692" s="125">
        <f t="shared" ref="H1692:H1695" si="174">F1692*G1692</f>
        <v>880000.00000000012</v>
      </c>
    </row>
    <row r="1693" spans="3:9">
      <c r="C1693" s="201" t="s">
        <v>1216</v>
      </c>
      <c r="D1693" s="78" t="s">
        <v>232</v>
      </c>
      <c r="E1693" s="69" t="s">
        <v>66</v>
      </c>
      <c r="F1693" s="75">
        <v>9.6669999999999998</v>
      </c>
      <c r="G1693" s="65">
        <f>VLOOKUP(D1693,upahbahan,3,FALSE)</f>
        <v>15667</v>
      </c>
      <c r="H1693" s="125">
        <f t="shared" si="174"/>
        <v>151452.889</v>
      </c>
    </row>
    <row r="1694" spans="3:9">
      <c r="C1694" s="201" t="s">
        <v>1217</v>
      </c>
      <c r="D1694" s="78" t="s">
        <v>243</v>
      </c>
      <c r="E1694" s="69" t="s">
        <v>44</v>
      </c>
      <c r="F1694" s="75">
        <v>8</v>
      </c>
      <c r="G1694" s="65">
        <f>VLOOKUP(D1694,upahbahan,3,FALSE)</f>
        <v>4550</v>
      </c>
      <c r="H1694" s="125">
        <f t="shared" si="174"/>
        <v>36400</v>
      </c>
    </row>
    <row r="1695" spans="3:9">
      <c r="C1695" s="201" t="s">
        <v>1218</v>
      </c>
      <c r="D1695" s="78" t="s">
        <v>1013</v>
      </c>
      <c r="E1695" s="69" t="s">
        <v>66</v>
      </c>
      <c r="F1695" s="75">
        <v>0.38</v>
      </c>
      <c r="G1695" s="65">
        <f>VLOOKUP(D1695,upahbahan,3,FALSE)</f>
        <v>145000</v>
      </c>
      <c r="H1695" s="125">
        <f t="shared" si="174"/>
        <v>55100</v>
      </c>
    </row>
    <row r="1696" spans="3:9">
      <c r="C1696" s="145" t="s">
        <v>1226</v>
      </c>
      <c r="D1696" s="81"/>
      <c r="E1696" s="81"/>
      <c r="F1696" s="81"/>
      <c r="G1696" s="163"/>
      <c r="H1696" s="125">
        <f>SUM(H1692:H1695)</f>
        <v>1122952.889</v>
      </c>
    </row>
    <row r="1697" spans="3:9">
      <c r="C1697" s="153" t="s">
        <v>1227</v>
      </c>
      <c r="D1697" s="60" t="s">
        <v>1228</v>
      </c>
      <c r="E1697" s="74"/>
      <c r="F1697" s="74"/>
      <c r="G1697" s="74"/>
      <c r="H1697" s="147"/>
    </row>
    <row r="1698" spans="3:9">
      <c r="C1698" s="145" t="s">
        <v>1229</v>
      </c>
      <c r="D1698" s="81"/>
      <c r="E1698" s="81"/>
      <c r="F1698" s="81"/>
      <c r="G1698" s="163"/>
      <c r="H1698" s="154">
        <v>0</v>
      </c>
    </row>
    <row r="1699" spans="3:9">
      <c r="C1699" s="123" t="s">
        <v>1230</v>
      </c>
      <c r="D1699" s="70" t="s">
        <v>1231</v>
      </c>
      <c r="E1699" s="71"/>
      <c r="F1699" s="71"/>
      <c r="G1699" s="72"/>
      <c r="H1699" s="125">
        <f>H1698+H1696+H1690</f>
        <v>1405417.889</v>
      </c>
    </row>
    <row r="1700" spans="3:9">
      <c r="C1700" s="123" t="s">
        <v>1232</v>
      </c>
      <c r="D1700" s="70" t="s">
        <v>1410</v>
      </c>
      <c r="E1700" s="71"/>
      <c r="F1700" s="72"/>
      <c r="G1700" s="96">
        <f>$M$7</f>
        <v>0.1</v>
      </c>
      <c r="H1700" s="125">
        <f>H1699*G1700</f>
        <v>140541.78890000001</v>
      </c>
    </row>
    <row r="1701" spans="3:9" ht="15.75" thickBot="1">
      <c r="C1701" s="131" t="s">
        <v>1233</v>
      </c>
      <c r="D1701" s="132" t="s">
        <v>1234</v>
      </c>
      <c r="E1701" s="133"/>
      <c r="F1701" s="133"/>
      <c r="G1701" s="156"/>
      <c r="H1701" s="135">
        <f>SUM(H1699:H1700)</f>
        <v>1545959.6779</v>
      </c>
    </row>
    <row r="1702" spans="3:9" ht="15.75" thickTop="1">
      <c r="C1702" s="58"/>
      <c r="D1702" s="82"/>
      <c r="E1702" s="82"/>
      <c r="F1702" s="82"/>
      <c r="G1702" s="82"/>
      <c r="H1702" s="83"/>
    </row>
    <row r="1703" spans="3:9" ht="15.75" thickBot="1">
      <c r="C1703" s="237" t="s">
        <v>1631</v>
      </c>
      <c r="D1703" s="237"/>
      <c r="E1703" s="237"/>
      <c r="F1703" s="237"/>
      <c r="G1703" s="237"/>
      <c r="H1703" s="237"/>
      <c r="I1703" s="57">
        <f>ROUNDDOWN(H1722,-2)</f>
        <v>1316200</v>
      </c>
    </row>
    <row r="1704" spans="3:9" ht="29.25" thickTop="1">
      <c r="C1704" s="120" t="s">
        <v>1207</v>
      </c>
      <c r="D1704" s="121" t="s">
        <v>1208</v>
      </c>
      <c r="E1704" s="121" t="s">
        <v>1209</v>
      </c>
      <c r="F1704" s="121" t="s">
        <v>1210</v>
      </c>
      <c r="G1704" s="121" t="s">
        <v>1211</v>
      </c>
      <c r="H1704" s="122" t="s">
        <v>1212</v>
      </c>
    </row>
    <row r="1705" spans="3:9">
      <c r="C1705" s="142" t="s">
        <v>1213</v>
      </c>
      <c r="D1705" s="60" t="s">
        <v>1214</v>
      </c>
      <c r="E1705" s="74"/>
      <c r="F1705" s="74"/>
      <c r="G1705" s="74"/>
      <c r="H1705" s="147"/>
    </row>
    <row r="1706" spans="3:9">
      <c r="C1706" s="143">
        <v>1</v>
      </c>
      <c r="D1706" s="60" t="s">
        <v>5</v>
      </c>
      <c r="E1706" s="73" t="s">
        <v>6</v>
      </c>
      <c r="F1706" s="75">
        <v>2</v>
      </c>
      <c r="G1706" s="65">
        <f>VLOOKUP(D1706,upahbahan,3,FALSE)</f>
        <v>100000</v>
      </c>
      <c r="H1706" s="125">
        <f t="shared" ref="H1706:H1709" si="175">F1706*G1706</f>
        <v>200000</v>
      </c>
    </row>
    <row r="1707" spans="3:9">
      <c r="C1707" s="143">
        <v>2</v>
      </c>
      <c r="D1707" s="60" t="s">
        <v>7</v>
      </c>
      <c r="E1707" s="73" t="s">
        <v>6</v>
      </c>
      <c r="F1707" s="75">
        <v>0.5</v>
      </c>
      <c r="G1707" s="65">
        <f>VLOOKUP(D1707,upahbahan,3,FALSE)</f>
        <v>145000</v>
      </c>
      <c r="H1707" s="125">
        <f t="shared" si="175"/>
        <v>72500</v>
      </c>
    </row>
    <row r="1708" spans="3:9">
      <c r="C1708" s="143">
        <v>3</v>
      </c>
      <c r="D1708" s="60" t="s">
        <v>18</v>
      </c>
      <c r="E1708" s="73" t="s">
        <v>6</v>
      </c>
      <c r="F1708" s="75">
        <v>0.05</v>
      </c>
      <c r="G1708" s="65">
        <f>VLOOKUP(D1708,upahbahan,3,FALSE)</f>
        <v>150000</v>
      </c>
      <c r="H1708" s="125">
        <f t="shared" si="175"/>
        <v>7500</v>
      </c>
    </row>
    <row r="1709" spans="3:9">
      <c r="C1709" s="143">
        <v>4</v>
      </c>
      <c r="D1709" s="60" t="s">
        <v>19</v>
      </c>
      <c r="E1709" s="73" t="s">
        <v>6</v>
      </c>
      <c r="F1709" s="75">
        <v>1.7000000000000001E-2</v>
      </c>
      <c r="G1709" s="65">
        <f>VLOOKUP(D1709,upahbahan,3,FALSE)</f>
        <v>145000</v>
      </c>
      <c r="H1709" s="125">
        <f t="shared" si="175"/>
        <v>2465</v>
      </c>
    </row>
    <row r="1710" spans="3:9">
      <c r="C1710" s="145" t="s">
        <v>1220</v>
      </c>
      <c r="D1710" s="81"/>
      <c r="E1710" s="81"/>
      <c r="F1710" s="220"/>
      <c r="G1710" s="221"/>
      <c r="H1710" s="125">
        <f>SUM(H1706:H1709)</f>
        <v>282465</v>
      </c>
      <c r="I1710" s="223"/>
    </row>
    <row r="1711" spans="3:9">
      <c r="C1711" s="142" t="s">
        <v>1221</v>
      </c>
      <c r="D1711" s="60" t="s">
        <v>1222</v>
      </c>
      <c r="E1711" s="74"/>
      <c r="F1711" s="74"/>
      <c r="G1711" s="74"/>
      <c r="H1711" s="147"/>
    </row>
    <row r="1712" spans="3:9">
      <c r="C1712" s="201" t="s">
        <v>1215</v>
      </c>
      <c r="D1712" s="78" t="s">
        <v>461</v>
      </c>
      <c r="E1712" s="69" t="s">
        <v>44</v>
      </c>
      <c r="F1712" s="75">
        <v>1.1000000000000001</v>
      </c>
      <c r="G1712" s="65">
        <f>VLOOKUP(D1712,upahbahan,3,FALSE)</f>
        <v>800000</v>
      </c>
      <c r="H1712" s="125">
        <f t="shared" ref="H1712:H1716" si="176">F1712*G1712</f>
        <v>880000.00000000012</v>
      </c>
    </row>
    <row r="1713" spans="3:9">
      <c r="C1713" s="201" t="s">
        <v>1216</v>
      </c>
      <c r="D1713" s="78" t="s">
        <v>568</v>
      </c>
      <c r="E1713" s="69" t="s">
        <v>66</v>
      </c>
      <c r="F1713" s="75">
        <v>12.44</v>
      </c>
      <c r="G1713" s="65">
        <f>VLOOKUP(D1713,upahbahan,3,FALSE)</f>
        <v>1300</v>
      </c>
      <c r="H1713" s="125">
        <f t="shared" si="176"/>
        <v>16172</v>
      </c>
    </row>
    <row r="1714" spans="3:9">
      <c r="C1714" s="201" t="s">
        <v>1217</v>
      </c>
      <c r="D1714" s="78" t="s">
        <v>86</v>
      </c>
      <c r="E1714" s="69" t="s">
        <v>42</v>
      </c>
      <c r="F1714" s="75">
        <v>2.5000000000000001E-2</v>
      </c>
      <c r="G1714" s="65">
        <f>VLOOKUP(D1714,upahbahan,3,FALSE)</f>
        <v>275000</v>
      </c>
      <c r="H1714" s="125">
        <f t="shared" si="176"/>
        <v>6875</v>
      </c>
    </row>
    <row r="1715" spans="3:9">
      <c r="C1715" s="201" t="s">
        <v>1218</v>
      </c>
      <c r="D1715" s="78" t="s">
        <v>571</v>
      </c>
      <c r="E1715" s="69" t="s">
        <v>66</v>
      </c>
      <c r="F1715" s="75">
        <v>0.65</v>
      </c>
      <c r="G1715" s="65">
        <f>VLOOKUP(D1715,upahbahan,3,FALSE)</f>
        <v>7800</v>
      </c>
      <c r="H1715" s="125">
        <f t="shared" si="176"/>
        <v>5070</v>
      </c>
    </row>
    <row r="1716" spans="3:9">
      <c r="C1716" s="201" t="s">
        <v>1219</v>
      </c>
      <c r="D1716" s="78" t="s">
        <v>264</v>
      </c>
      <c r="E1716" s="69" t="s">
        <v>44</v>
      </c>
      <c r="F1716" s="75">
        <v>4</v>
      </c>
      <c r="G1716" s="65">
        <f>VLOOKUP(D1716,upahbahan,3,FALSE)</f>
        <v>1500</v>
      </c>
      <c r="H1716" s="125">
        <f t="shared" si="176"/>
        <v>6000</v>
      </c>
    </row>
    <row r="1717" spans="3:9">
      <c r="C1717" s="145" t="s">
        <v>1226</v>
      </c>
      <c r="D1717" s="81"/>
      <c r="E1717" s="81"/>
      <c r="F1717" s="81"/>
      <c r="G1717" s="163"/>
      <c r="H1717" s="125">
        <f>SUM(H1712:H1716)</f>
        <v>914117.00000000012</v>
      </c>
    </row>
    <row r="1718" spans="3:9">
      <c r="C1718" s="153" t="s">
        <v>1227</v>
      </c>
      <c r="D1718" s="60" t="s">
        <v>1228</v>
      </c>
      <c r="E1718" s="74"/>
      <c r="F1718" s="74"/>
      <c r="G1718" s="74"/>
      <c r="H1718" s="147"/>
    </row>
    <row r="1719" spans="3:9">
      <c r="C1719" s="145" t="s">
        <v>1229</v>
      </c>
      <c r="D1719" s="81"/>
      <c r="E1719" s="81"/>
      <c r="F1719" s="81"/>
      <c r="G1719" s="163"/>
      <c r="H1719" s="154">
        <v>0</v>
      </c>
    </row>
    <row r="1720" spans="3:9">
      <c r="C1720" s="123" t="s">
        <v>1230</v>
      </c>
      <c r="D1720" s="70" t="s">
        <v>1231</v>
      </c>
      <c r="E1720" s="71"/>
      <c r="F1720" s="71"/>
      <c r="G1720" s="72"/>
      <c r="H1720" s="125">
        <f>H1719+H1717+H1710</f>
        <v>1196582</v>
      </c>
    </row>
    <row r="1721" spans="3:9">
      <c r="C1721" s="123" t="s">
        <v>1232</v>
      </c>
      <c r="D1721" s="70" t="s">
        <v>1410</v>
      </c>
      <c r="E1721" s="71"/>
      <c r="F1721" s="72"/>
      <c r="G1721" s="96">
        <f>$M$7</f>
        <v>0.1</v>
      </c>
      <c r="H1721" s="125">
        <f>H1720*G1721</f>
        <v>119658.20000000001</v>
      </c>
    </row>
    <row r="1722" spans="3:9" ht="15.75" thickBot="1">
      <c r="C1722" s="131" t="s">
        <v>1233</v>
      </c>
      <c r="D1722" s="132" t="s">
        <v>1234</v>
      </c>
      <c r="E1722" s="133"/>
      <c r="F1722" s="133"/>
      <c r="G1722" s="156"/>
      <c r="H1722" s="135">
        <f>SUM(H1720:H1721)</f>
        <v>1316240.2</v>
      </c>
    </row>
    <row r="1723" spans="3:9" ht="15.75" thickTop="1">
      <c r="C1723" s="58"/>
      <c r="D1723" s="82"/>
      <c r="E1723" s="82"/>
      <c r="F1723" s="82"/>
      <c r="G1723" s="82"/>
      <c r="H1723" s="83"/>
    </row>
    <row r="1724" spans="3:9" ht="15.75" thickBot="1">
      <c r="C1724" s="519" t="s">
        <v>1632</v>
      </c>
      <c r="D1724" s="519"/>
      <c r="E1724" s="519"/>
      <c r="F1724" s="519"/>
      <c r="G1724" s="519"/>
      <c r="H1724" s="519"/>
      <c r="I1724" s="57">
        <f>ROUNDDOWN(H1741,-2)</f>
        <v>67300</v>
      </c>
    </row>
    <row r="1725" spans="3:9" ht="29.25" thickTop="1">
      <c r="C1725" s="120" t="s">
        <v>1207</v>
      </c>
      <c r="D1725" s="121" t="s">
        <v>1208</v>
      </c>
      <c r="E1725" s="121" t="s">
        <v>1209</v>
      </c>
      <c r="F1725" s="121" t="s">
        <v>1210</v>
      </c>
      <c r="G1725" s="121" t="s">
        <v>1211</v>
      </c>
      <c r="H1725" s="122" t="s">
        <v>1212</v>
      </c>
    </row>
    <row r="1726" spans="3:9">
      <c r="C1726" s="142" t="s">
        <v>1213</v>
      </c>
      <c r="D1726" s="60" t="s">
        <v>1214</v>
      </c>
      <c r="E1726" s="74"/>
      <c r="F1726" s="74"/>
      <c r="G1726" s="74"/>
      <c r="H1726" s="147"/>
    </row>
    <row r="1727" spans="3:9">
      <c r="C1727" s="143">
        <v>1</v>
      </c>
      <c r="D1727" s="60" t="s">
        <v>5</v>
      </c>
      <c r="E1727" s="73" t="s">
        <v>6</v>
      </c>
      <c r="F1727" s="75">
        <v>0.125</v>
      </c>
      <c r="G1727" s="65">
        <f>VLOOKUP(D1727,upahbahan,3,FALSE)</f>
        <v>100000</v>
      </c>
      <c r="H1727" s="125">
        <f t="shared" ref="H1727:H1730" si="177">F1727*G1727</f>
        <v>12500</v>
      </c>
    </row>
    <row r="1728" spans="3:9">
      <c r="C1728" s="143">
        <v>2</v>
      </c>
      <c r="D1728" s="60" t="s">
        <v>9</v>
      </c>
      <c r="E1728" s="73" t="s">
        <v>6</v>
      </c>
      <c r="F1728" s="75">
        <v>0.125</v>
      </c>
      <c r="G1728" s="65">
        <f>VLOOKUP(D1728,upahbahan,3,FALSE)</f>
        <v>145000</v>
      </c>
      <c r="H1728" s="125">
        <f t="shared" si="177"/>
        <v>18125</v>
      </c>
    </row>
    <row r="1729" spans="3:9">
      <c r="C1729" s="143">
        <v>3</v>
      </c>
      <c r="D1729" s="60" t="s">
        <v>18</v>
      </c>
      <c r="E1729" s="73" t="s">
        <v>6</v>
      </c>
      <c r="F1729" s="75">
        <v>1.2999999999999999E-2</v>
      </c>
      <c r="G1729" s="65">
        <f>VLOOKUP(D1729,upahbahan,3,FALSE)</f>
        <v>150000</v>
      </c>
      <c r="H1729" s="125">
        <f t="shared" si="177"/>
        <v>1950</v>
      </c>
    </row>
    <row r="1730" spans="3:9">
      <c r="C1730" s="143">
        <v>4</v>
      </c>
      <c r="D1730" s="60" t="s">
        <v>19</v>
      </c>
      <c r="E1730" s="73" t="s">
        <v>6</v>
      </c>
      <c r="F1730" s="75">
        <v>4.0000000000000001E-3</v>
      </c>
      <c r="G1730" s="65">
        <f>VLOOKUP(D1730,upahbahan,3,FALSE)</f>
        <v>145000</v>
      </c>
      <c r="H1730" s="125">
        <f t="shared" si="177"/>
        <v>580</v>
      </c>
    </row>
    <row r="1731" spans="3:9">
      <c r="C1731" s="145" t="s">
        <v>1220</v>
      </c>
      <c r="D1731" s="81"/>
      <c r="E1731" s="81"/>
      <c r="F1731" s="220"/>
      <c r="G1731" s="221"/>
      <c r="H1731" s="125">
        <f>SUM(H1727:H1730)</f>
        <v>33155</v>
      </c>
      <c r="I1731" s="223"/>
    </row>
    <row r="1732" spans="3:9">
      <c r="C1732" s="142" t="s">
        <v>1221</v>
      </c>
      <c r="D1732" s="60" t="s">
        <v>1222</v>
      </c>
      <c r="E1732" s="74"/>
      <c r="F1732" s="74"/>
      <c r="G1732" s="74"/>
      <c r="H1732" s="147"/>
    </row>
    <row r="1733" spans="3:9">
      <c r="C1733" s="201" t="s">
        <v>1215</v>
      </c>
      <c r="D1733" s="78" t="s">
        <v>226</v>
      </c>
      <c r="E1733" s="69" t="s">
        <v>114</v>
      </c>
      <c r="F1733" s="75">
        <v>4</v>
      </c>
      <c r="G1733" s="65">
        <f>VLOOKUP(D1733,upahbahan,3,FALSE)</f>
        <v>6250</v>
      </c>
      <c r="H1733" s="125">
        <f t="shared" ref="H1733:H1735" si="178">F1733*G1733</f>
        <v>25000</v>
      </c>
    </row>
    <row r="1734" spans="3:9">
      <c r="C1734" s="201" t="s">
        <v>1216</v>
      </c>
      <c r="D1734" s="78" t="s">
        <v>258</v>
      </c>
      <c r="E1734" s="69" t="s">
        <v>66</v>
      </c>
      <c r="F1734" s="75">
        <v>0.05</v>
      </c>
      <c r="G1734" s="65">
        <f>VLOOKUP(D1734,upahbahan,3,FALSE)</f>
        <v>45550</v>
      </c>
      <c r="H1734" s="125">
        <f t="shared" si="178"/>
        <v>2277.5</v>
      </c>
    </row>
    <row r="1735" spans="3:9">
      <c r="C1735" s="201" t="s">
        <v>1217</v>
      </c>
      <c r="D1735" s="78" t="s">
        <v>272</v>
      </c>
      <c r="E1735" s="69" t="s">
        <v>44</v>
      </c>
      <c r="F1735" s="75">
        <v>4</v>
      </c>
      <c r="G1735" s="65">
        <f>VLOOKUP(D1735,upahbahan,3,FALSE)</f>
        <v>200</v>
      </c>
      <c r="H1735" s="125">
        <f t="shared" si="178"/>
        <v>800</v>
      </c>
    </row>
    <row r="1736" spans="3:9">
      <c r="C1736" s="145" t="s">
        <v>1226</v>
      </c>
      <c r="D1736" s="81"/>
      <c r="E1736" s="81"/>
      <c r="F1736" s="81"/>
      <c r="G1736" s="163"/>
      <c r="H1736" s="125">
        <f>SUM(H1733:H1735)</f>
        <v>28077.5</v>
      </c>
    </row>
    <row r="1737" spans="3:9">
      <c r="C1737" s="153" t="s">
        <v>1227</v>
      </c>
      <c r="D1737" s="60" t="s">
        <v>1228</v>
      </c>
      <c r="E1737" s="74"/>
      <c r="F1737" s="74"/>
      <c r="G1737" s="74"/>
      <c r="H1737" s="147"/>
    </row>
    <row r="1738" spans="3:9">
      <c r="C1738" s="145" t="s">
        <v>1229</v>
      </c>
      <c r="D1738" s="81"/>
      <c r="E1738" s="81"/>
      <c r="F1738" s="81"/>
      <c r="G1738" s="163"/>
      <c r="H1738" s="154">
        <v>0</v>
      </c>
    </row>
    <row r="1739" spans="3:9">
      <c r="C1739" s="123" t="s">
        <v>1230</v>
      </c>
      <c r="D1739" s="70" t="s">
        <v>1231</v>
      </c>
      <c r="E1739" s="71"/>
      <c r="F1739" s="71"/>
      <c r="G1739" s="72"/>
      <c r="H1739" s="125">
        <f>H1738+H1736+H1731</f>
        <v>61232.5</v>
      </c>
    </row>
    <row r="1740" spans="3:9">
      <c r="C1740" s="123" t="s">
        <v>1232</v>
      </c>
      <c r="D1740" s="70" t="s">
        <v>1410</v>
      </c>
      <c r="E1740" s="71"/>
      <c r="F1740" s="72"/>
      <c r="G1740" s="96">
        <f>$M$7</f>
        <v>0.1</v>
      </c>
      <c r="H1740" s="125">
        <f>H1739*G1740</f>
        <v>6123.25</v>
      </c>
    </row>
    <row r="1741" spans="3:9" ht="15.75" thickBot="1">
      <c r="C1741" s="131" t="s">
        <v>1233</v>
      </c>
      <c r="D1741" s="132" t="s">
        <v>1234</v>
      </c>
      <c r="E1741" s="133"/>
      <c r="F1741" s="133"/>
      <c r="G1741" s="156"/>
      <c r="H1741" s="135">
        <f>SUM(H1739:H1740)</f>
        <v>67355.75</v>
      </c>
    </row>
    <row r="1742" spans="3:9" ht="15.75" thickTop="1">
      <c r="C1742" s="58"/>
      <c r="D1742" s="82"/>
      <c r="E1742" s="82"/>
      <c r="F1742" s="82"/>
      <c r="G1742" s="82"/>
      <c r="H1742" s="83"/>
    </row>
    <row r="1743" spans="3:9" ht="15.75" thickBot="1">
      <c r="C1743" s="237" t="s">
        <v>1633</v>
      </c>
      <c r="D1743" s="237"/>
      <c r="E1743" s="237"/>
      <c r="F1743" s="237"/>
      <c r="G1743" s="237"/>
      <c r="H1743" s="237"/>
      <c r="I1743" s="57">
        <f>ROUNDDOWN(H1759,-2)</f>
        <v>463900</v>
      </c>
    </row>
    <row r="1744" spans="3:9" ht="29.25" thickTop="1">
      <c r="C1744" s="120" t="s">
        <v>1207</v>
      </c>
      <c r="D1744" s="121" t="s">
        <v>1208</v>
      </c>
      <c r="E1744" s="121" t="s">
        <v>1209</v>
      </c>
      <c r="F1744" s="121" t="s">
        <v>1210</v>
      </c>
      <c r="G1744" s="121" t="s">
        <v>1211</v>
      </c>
      <c r="H1744" s="122" t="s">
        <v>1212</v>
      </c>
    </row>
    <row r="1745" spans="3:9">
      <c r="C1745" s="142" t="s">
        <v>1213</v>
      </c>
      <c r="D1745" s="60" t="s">
        <v>1214</v>
      </c>
      <c r="E1745" s="74"/>
      <c r="F1745" s="74"/>
      <c r="G1745" s="74"/>
      <c r="H1745" s="147"/>
    </row>
    <row r="1746" spans="3:9">
      <c r="C1746" s="143">
        <v>1</v>
      </c>
      <c r="D1746" s="60" t="s">
        <v>5</v>
      </c>
      <c r="E1746" s="73" t="s">
        <v>6</v>
      </c>
      <c r="F1746" s="75">
        <v>0.1</v>
      </c>
      <c r="G1746" s="65">
        <f>VLOOKUP(D1746,upahbahan,3,FALSE)</f>
        <v>100000</v>
      </c>
      <c r="H1746" s="125">
        <f t="shared" ref="H1746:H1749" si="179">F1746*G1746</f>
        <v>10000</v>
      </c>
    </row>
    <row r="1747" spans="3:9">
      <c r="C1747" s="143">
        <v>2</v>
      </c>
      <c r="D1747" s="60" t="s">
        <v>8</v>
      </c>
      <c r="E1747" s="73" t="s">
        <v>6</v>
      </c>
      <c r="F1747" s="75">
        <v>0.45</v>
      </c>
      <c r="G1747" s="65">
        <f>VLOOKUP(D1747,upahbahan,3,FALSE)</f>
        <v>145000</v>
      </c>
      <c r="H1747" s="125">
        <f t="shared" si="179"/>
        <v>65250</v>
      </c>
    </row>
    <row r="1748" spans="3:9">
      <c r="C1748" s="143">
        <v>3</v>
      </c>
      <c r="D1748" s="60" t="s">
        <v>18</v>
      </c>
      <c r="E1748" s="73" t="s">
        <v>6</v>
      </c>
      <c r="F1748" s="75">
        <v>4.4999999999999998E-2</v>
      </c>
      <c r="G1748" s="65">
        <f>VLOOKUP(D1748,upahbahan,3,FALSE)</f>
        <v>150000</v>
      </c>
      <c r="H1748" s="125">
        <f t="shared" si="179"/>
        <v>6750</v>
      </c>
    </row>
    <row r="1749" spans="3:9">
      <c r="C1749" s="143">
        <v>4</v>
      </c>
      <c r="D1749" s="60" t="s">
        <v>19</v>
      </c>
      <c r="E1749" s="73" t="s">
        <v>6</v>
      </c>
      <c r="F1749" s="75">
        <v>1.4999999999999999E-2</v>
      </c>
      <c r="G1749" s="65">
        <f>VLOOKUP(D1749,upahbahan,3,FALSE)</f>
        <v>145000</v>
      </c>
      <c r="H1749" s="125">
        <f t="shared" si="179"/>
        <v>2175</v>
      </c>
    </row>
    <row r="1750" spans="3:9">
      <c r="C1750" s="145" t="s">
        <v>1220</v>
      </c>
      <c r="D1750" s="81"/>
      <c r="E1750" s="81"/>
      <c r="F1750" s="220"/>
      <c r="G1750" s="221"/>
      <c r="H1750" s="125">
        <f>SUM(H1746:H1749)</f>
        <v>84175</v>
      </c>
      <c r="I1750" s="223"/>
    </row>
    <row r="1751" spans="3:9">
      <c r="C1751" s="142" t="s">
        <v>1221</v>
      </c>
      <c r="D1751" s="60" t="s">
        <v>1222</v>
      </c>
      <c r="E1751" s="74"/>
      <c r="F1751" s="74"/>
      <c r="G1751" s="74"/>
      <c r="H1751" s="147"/>
    </row>
    <row r="1752" spans="3:9">
      <c r="C1752" s="201" t="s">
        <v>1215</v>
      </c>
      <c r="D1752" s="78" t="s">
        <v>116</v>
      </c>
      <c r="E1752" s="69" t="s">
        <v>42</v>
      </c>
      <c r="F1752" s="184">
        <v>2.8000000000000001E-2</v>
      </c>
      <c r="G1752" s="65">
        <f>VLOOKUP(D1752,upahbahan,3,FALSE)</f>
        <v>11950000</v>
      </c>
      <c r="H1752" s="125">
        <f t="shared" ref="H1752:H1753" si="180">F1752*G1752</f>
        <v>334600</v>
      </c>
    </row>
    <row r="1753" spans="3:9">
      <c r="C1753" s="201" t="s">
        <v>1217</v>
      </c>
      <c r="D1753" s="78" t="s">
        <v>267</v>
      </c>
      <c r="E1753" s="69" t="s">
        <v>66</v>
      </c>
      <c r="F1753" s="184">
        <v>0.15</v>
      </c>
      <c r="G1753" s="65">
        <f>VLOOKUP(D1753,upahbahan,3,FALSE)</f>
        <v>20000</v>
      </c>
      <c r="H1753" s="125">
        <f t="shared" si="180"/>
        <v>3000</v>
      </c>
    </row>
    <row r="1754" spans="3:9">
      <c r="C1754" s="145" t="s">
        <v>1226</v>
      </c>
      <c r="D1754" s="81"/>
      <c r="E1754" s="81"/>
      <c r="F1754" s="81"/>
      <c r="G1754" s="163"/>
      <c r="H1754" s="125">
        <f>SUM(H1752:H1753)</f>
        <v>337600</v>
      </c>
    </row>
    <row r="1755" spans="3:9">
      <c r="C1755" s="153" t="s">
        <v>1227</v>
      </c>
      <c r="D1755" s="60" t="s">
        <v>1228</v>
      </c>
      <c r="E1755" s="74"/>
      <c r="F1755" s="74"/>
      <c r="G1755" s="74"/>
      <c r="H1755" s="147"/>
    </row>
    <row r="1756" spans="3:9">
      <c r="C1756" s="145" t="s">
        <v>1229</v>
      </c>
      <c r="D1756" s="81"/>
      <c r="E1756" s="81"/>
      <c r="F1756" s="81"/>
      <c r="G1756" s="163"/>
      <c r="H1756" s="154">
        <v>0</v>
      </c>
    </row>
    <row r="1757" spans="3:9">
      <c r="C1757" s="123" t="s">
        <v>1230</v>
      </c>
      <c r="D1757" s="70" t="s">
        <v>1231</v>
      </c>
      <c r="E1757" s="71"/>
      <c r="F1757" s="71"/>
      <c r="G1757" s="72"/>
      <c r="H1757" s="125">
        <f>H1756+H1754+H1750</f>
        <v>421775</v>
      </c>
    </row>
    <row r="1758" spans="3:9">
      <c r="C1758" s="123" t="s">
        <v>1232</v>
      </c>
      <c r="D1758" s="70" t="s">
        <v>1410</v>
      </c>
      <c r="E1758" s="71"/>
      <c r="F1758" s="72"/>
      <c r="G1758" s="96">
        <f>$M$7</f>
        <v>0.1</v>
      </c>
      <c r="H1758" s="125">
        <f>H1757*G1758</f>
        <v>42177.5</v>
      </c>
    </row>
    <row r="1759" spans="3:9" ht="15.75" thickBot="1">
      <c r="C1759" s="131" t="s">
        <v>1233</v>
      </c>
      <c r="D1759" s="132" t="s">
        <v>1234</v>
      </c>
      <c r="E1759" s="133"/>
      <c r="F1759" s="133"/>
      <c r="G1759" s="156"/>
      <c r="H1759" s="135">
        <f>SUM(H1757:H1758)</f>
        <v>463952.5</v>
      </c>
    </row>
    <row r="1760" spans="3:9" ht="15.75" thickTop="1">
      <c r="C1760" s="58"/>
      <c r="D1760" s="82"/>
      <c r="E1760" s="82"/>
      <c r="F1760" s="82"/>
      <c r="G1760" s="82"/>
      <c r="H1760" s="83"/>
    </row>
  </sheetData>
  <mergeCells count="18">
    <mergeCell ref="C256:H256"/>
    <mergeCell ref="C276:H276"/>
    <mergeCell ref="C296:H296"/>
    <mergeCell ref="C316:H316"/>
    <mergeCell ref="C574:H574"/>
    <mergeCell ref="C1724:H1724"/>
    <mergeCell ref="C336:H336"/>
    <mergeCell ref="C356:H356"/>
    <mergeCell ref="C374:H374"/>
    <mergeCell ref="C394:H394"/>
    <mergeCell ref="C414:H414"/>
    <mergeCell ref="C434:H434"/>
    <mergeCell ref="C494:H494"/>
    <mergeCell ref="C514:H514"/>
    <mergeCell ref="C534:H534"/>
    <mergeCell ref="C554:H554"/>
    <mergeCell ref="C454:H454"/>
    <mergeCell ref="C474:H47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D7DB-1790-47A5-A765-DEAEA3D18FF5}">
  <dimension ref="C3:M822"/>
  <sheetViews>
    <sheetView zoomScaleNormal="100" workbookViewId="0">
      <selection activeCell="C3" sqref="C3:I831"/>
    </sheetView>
    <sheetView workbookViewId="1"/>
  </sheetViews>
  <sheetFormatPr defaultColWidth="8.85546875" defaultRowHeight="15"/>
  <cols>
    <col min="1" max="2" width="4.42578125" style="56" customWidth="1"/>
    <col min="3" max="3" width="5" style="63" customWidth="1"/>
    <col min="4" max="4" width="36.7109375" style="63" customWidth="1"/>
    <col min="5" max="5" width="7.42578125" style="63" customWidth="1"/>
    <col min="6" max="6" width="10.7109375" style="63" customWidth="1"/>
    <col min="7" max="7" width="14.28515625" style="63" customWidth="1"/>
    <col min="8" max="8" width="17" style="63" customWidth="1"/>
    <col min="9" max="9" width="14.28515625" style="55" customWidth="1"/>
    <col min="10" max="10" width="15" style="160" bestFit="1" customWidth="1"/>
    <col min="11" max="11" width="12.28515625" style="56" bestFit="1" customWidth="1"/>
    <col min="12" max="16384" width="8.85546875" style="56"/>
  </cols>
  <sheetData>
    <row r="3" spans="3:13">
      <c r="C3" s="320" t="str">
        <f>'[1]Daftar HSP'!A363</f>
        <v>M</v>
      </c>
      <c r="D3" s="321" t="str">
        <f>'[1]Daftar HSP'!B363</f>
        <v>PEKERJAAN PINTU DAN JENDELA</v>
      </c>
      <c r="E3" s="229"/>
      <c r="F3" s="229"/>
      <c r="G3" s="229"/>
      <c r="H3" s="229"/>
    </row>
    <row r="4" spans="3:13" ht="15.75" thickBot="1">
      <c r="C4" s="237" t="s">
        <v>1634</v>
      </c>
      <c r="E4" s="225"/>
      <c r="F4" s="225"/>
      <c r="G4" s="225"/>
      <c r="H4" s="225"/>
      <c r="I4" s="57">
        <f>ROUNDDOWN(H19,-2)</f>
        <v>909500</v>
      </c>
      <c r="J4" s="327"/>
      <c r="K4" s="328"/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  <c r="J5" s="327"/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160" t="s">
        <v>1265</v>
      </c>
    </row>
    <row r="7" spans="3:13">
      <c r="C7" s="143">
        <v>1</v>
      </c>
      <c r="D7" s="60" t="s">
        <v>5</v>
      </c>
      <c r="E7" s="73" t="s">
        <v>6</v>
      </c>
      <c r="F7" s="75">
        <v>1.2</v>
      </c>
      <c r="G7" s="65">
        <f>VLOOKUP(D7,upahbahan,3,FALSE)</f>
        <v>100000</v>
      </c>
      <c r="H7" s="125">
        <f t="shared" ref="H7:H10" si="0">F7*G7</f>
        <v>120000</v>
      </c>
      <c r="J7" s="160" t="s">
        <v>1266</v>
      </c>
      <c r="M7" s="66">
        <v>0.1</v>
      </c>
    </row>
    <row r="8" spans="3:13">
      <c r="C8" s="143">
        <v>2</v>
      </c>
      <c r="D8" s="60" t="s">
        <v>11</v>
      </c>
      <c r="E8" s="73" t="s">
        <v>6</v>
      </c>
      <c r="F8" s="75">
        <v>1.2</v>
      </c>
      <c r="G8" s="65">
        <f>VLOOKUP(D8,upahbahan,3,FALSE)</f>
        <v>145000</v>
      </c>
      <c r="H8" s="125">
        <f t="shared" si="0"/>
        <v>174000</v>
      </c>
    </row>
    <row r="9" spans="3:13">
      <c r="C9" s="143">
        <v>3</v>
      </c>
      <c r="D9" s="60" t="s">
        <v>18</v>
      </c>
      <c r="E9" s="73" t="s">
        <v>6</v>
      </c>
      <c r="F9" s="75">
        <v>0.12</v>
      </c>
      <c r="G9" s="65">
        <f>VLOOKUP(D9,upahbahan,3,FALSE)</f>
        <v>150000</v>
      </c>
      <c r="H9" s="125">
        <f t="shared" si="0"/>
        <v>18000</v>
      </c>
    </row>
    <row r="10" spans="3:13">
      <c r="C10" s="143">
        <v>4</v>
      </c>
      <c r="D10" s="60" t="s">
        <v>19</v>
      </c>
      <c r="E10" s="73" t="s">
        <v>6</v>
      </c>
      <c r="F10" s="75">
        <v>0.04</v>
      </c>
      <c r="G10" s="65">
        <f>VLOOKUP(D10,upahbahan,3,FALSE)</f>
        <v>145000</v>
      </c>
      <c r="H10" s="125">
        <f t="shared" si="0"/>
        <v>5800</v>
      </c>
    </row>
    <row r="11" spans="3:13">
      <c r="C11" s="145" t="s">
        <v>1220</v>
      </c>
      <c r="D11" s="81"/>
      <c r="E11" s="81"/>
      <c r="F11" s="220"/>
      <c r="G11" s="221"/>
      <c r="H11" s="125">
        <f>SUM(H7:H10)</f>
        <v>317800</v>
      </c>
      <c r="I11" s="222"/>
    </row>
    <row r="12" spans="3:13">
      <c r="C12" s="142" t="s">
        <v>1221</v>
      </c>
      <c r="D12" s="60" t="s">
        <v>1222</v>
      </c>
      <c r="E12" s="74"/>
      <c r="F12" s="74"/>
      <c r="G12" s="74"/>
      <c r="H12" s="147"/>
    </row>
    <row r="13" spans="3:13">
      <c r="C13" s="143">
        <v>1</v>
      </c>
      <c r="D13" s="60" t="s">
        <v>825</v>
      </c>
      <c r="E13" s="73" t="s">
        <v>63</v>
      </c>
      <c r="F13" s="75">
        <v>1</v>
      </c>
      <c r="G13" s="65">
        <f>VLOOKUP(D13,upahbahan,3,FALSE)</f>
        <v>509100</v>
      </c>
      <c r="H13" s="125">
        <f t="shared" ref="H13" si="1">F13*G13</f>
        <v>509100</v>
      </c>
    </row>
    <row r="14" spans="3:13">
      <c r="C14" s="145" t="s">
        <v>1226</v>
      </c>
      <c r="D14" s="81"/>
      <c r="E14" s="81"/>
      <c r="F14" s="81"/>
      <c r="G14" s="163"/>
      <c r="H14" s="125">
        <f>SUM(H13:H13)</f>
        <v>509100</v>
      </c>
    </row>
    <row r="15" spans="3:13">
      <c r="C15" s="153" t="s">
        <v>1227</v>
      </c>
      <c r="D15" s="60" t="s">
        <v>1228</v>
      </c>
      <c r="E15" s="74"/>
      <c r="F15" s="74"/>
      <c r="G15" s="74"/>
      <c r="H15" s="147"/>
    </row>
    <row r="16" spans="3:13">
      <c r="C16" s="145" t="s">
        <v>1229</v>
      </c>
      <c r="D16" s="81"/>
      <c r="E16" s="81"/>
      <c r="F16" s="81"/>
      <c r="G16" s="163"/>
      <c r="H16" s="154">
        <v>0</v>
      </c>
    </row>
    <row r="17" spans="3:11">
      <c r="C17" s="123" t="s">
        <v>1230</v>
      </c>
      <c r="D17" s="70" t="s">
        <v>1231</v>
      </c>
      <c r="E17" s="71"/>
      <c r="F17" s="71"/>
      <c r="G17" s="72"/>
      <c r="H17" s="125">
        <f>H16+H14+H11</f>
        <v>826900</v>
      </c>
    </row>
    <row r="18" spans="3:11">
      <c r="C18" s="123" t="s">
        <v>1232</v>
      </c>
      <c r="D18" s="70" t="s">
        <v>1410</v>
      </c>
      <c r="E18" s="71"/>
      <c r="F18" s="72"/>
      <c r="G18" s="96">
        <f>$M$7</f>
        <v>0.1</v>
      </c>
      <c r="H18" s="125">
        <f>H17*G18</f>
        <v>82690</v>
      </c>
    </row>
    <row r="19" spans="3:11" ht="15.75" thickBot="1">
      <c r="C19" s="131" t="s">
        <v>1233</v>
      </c>
      <c r="D19" s="132" t="s">
        <v>1234</v>
      </c>
      <c r="E19" s="133"/>
      <c r="F19" s="133"/>
      <c r="G19" s="156"/>
      <c r="H19" s="135">
        <f>SUM(H17:H18)</f>
        <v>909590</v>
      </c>
    </row>
    <row r="20" spans="3:11" ht="15.75" thickTop="1"/>
    <row r="21" spans="3:11" ht="15.75" thickBot="1">
      <c r="C21" s="237" t="s">
        <v>1635</v>
      </c>
      <c r="D21" s="237"/>
      <c r="E21" s="225"/>
      <c r="F21" s="225"/>
      <c r="G21" s="225"/>
      <c r="H21" s="225"/>
      <c r="I21" s="57">
        <f>ROUNDDOWN(H36,-2)</f>
        <v>951900</v>
      </c>
      <c r="K21" s="328"/>
    </row>
    <row r="22" spans="3:11" ht="29.25" thickTop="1">
      <c r="C22" s="120" t="s">
        <v>1207</v>
      </c>
      <c r="D22" s="121" t="s">
        <v>1208</v>
      </c>
      <c r="E22" s="121" t="s">
        <v>1209</v>
      </c>
      <c r="F22" s="121" t="s">
        <v>1210</v>
      </c>
      <c r="G22" s="121" t="s">
        <v>1211</v>
      </c>
      <c r="H22" s="122" t="s">
        <v>1212</v>
      </c>
      <c r="K22" s="328"/>
    </row>
    <row r="23" spans="3:11">
      <c r="C23" s="142" t="s">
        <v>1213</v>
      </c>
      <c r="D23" s="60" t="s">
        <v>1214</v>
      </c>
      <c r="E23" s="74"/>
      <c r="F23" s="74"/>
      <c r="G23" s="74"/>
      <c r="H23" s="147"/>
      <c r="K23" s="328"/>
    </row>
    <row r="24" spans="3:11">
      <c r="C24" s="143">
        <v>1</v>
      </c>
      <c r="D24" s="60" t="s">
        <v>5</v>
      </c>
      <c r="E24" s="73" t="s">
        <v>6</v>
      </c>
      <c r="F24" s="75">
        <v>1</v>
      </c>
      <c r="G24" s="65">
        <f>VLOOKUP(D24,upahbahan,3,FALSE)</f>
        <v>100000</v>
      </c>
      <c r="H24" s="125">
        <f t="shared" ref="H24:H27" si="2">F24*G24</f>
        <v>100000</v>
      </c>
      <c r="K24" s="328"/>
    </row>
    <row r="25" spans="3:11">
      <c r="C25" s="143">
        <v>2</v>
      </c>
      <c r="D25" s="60" t="s">
        <v>14</v>
      </c>
      <c r="E25" s="73" t="s">
        <v>6</v>
      </c>
      <c r="F25" s="75">
        <v>1</v>
      </c>
      <c r="G25" s="65">
        <f>VLOOKUP(D25,upahbahan,3,FALSE)</f>
        <v>145000</v>
      </c>
      <c r="H25" s="125">
        <f t="shared" si="2"/>
        <v>145000</v>
      </c>
      <c r="K25" s="328"/>
    </row>
    <row r="26" spans="3:11">
      <c r="C26" s="143">
        <v>3</v>
      </c>
      <c r="D26" s="60" t="s">
        <v>18</v>
      </c>
      <c r="E26" s="73" t="s">
        <v>6</v>
      </c>
      <c r="F26" s="75">
        <v>0.1</v>
      </c>
      <c r="G26" s="65">
        <f>VLOOKUP(D26,upahbahan,3,FALSE)</f>
        <v>150000</v>
      </c>
      <c r="H26" s="125">
        <f t="shared" si="2"/>
        <v>15000</v>
      </c>
      <c r="K26" s="328"/>
    </row>
    <row r="27" spans="3:11">
      <c r="C27" s="143">
        <v>4</v>
      </c>
      <c r="D27" s="60" t="s">
        <v>19</v>
      </c>
      <c r="E27" s="73" t="s">
        <v>6</v>
      </c>
      <c r="F27" s="75">
        <v>3.3000000000000002E-2</v>
      </c>
      <c r="G27" s="65">
        <f>VLOOKUP(D27,upahbahan,3,FALSE)</f>
        <v>145000</v>
      </c>
      <c r="H27" s="125">
        <f t="shared" si="2"/>
        <v>4785</v>
      </c>
      <c r="K27" s="328"/>
    </row>
    <row r="28" spans="3:11">
      <c r="C28" s="145" t="s">
        <v>1220</v>
      </c>
      <c r="D28" s="81"/>
      <c r="E28" s="81"/>
      <c r="F28" s="220"/>
      <c r="G28" s="221"/>
      <c r="H28" s="125">
        <f>SUM(H24:H27)</f>
        <v>264785</v>
      </c>
      <c r="I28" s="222"/>
      <c r="K28" s="328"/>
    </row>
    <row r="29" spans="3:11">
      <c r="C29" s="142" t="s">
        <v>1221</v>
      </c>
      <c r="D29" s="60" t="s">
        <v>1222</v>
      </c>
      <c r="E29" s="74"/>
      <c r="F29" s="74"/>
      <c r="G29" s="74"/>
      <c r="H29" s="147"/>
      <c r="K29" s="328"/>
    </row>
    <row r="30" spans="3:11">
      <c r="C30" s="143">
        <v>1</v>
      </c>
      <c r="D30" s="60" t="s">
        <v>824</v>
      </c>
      <c r="E30" s="73" t="s">
        <v>63</v>
      </c>
      <c r="F30" s="75">
        <v>1</v>
      </c>
      <c r="G30" s="65">
        <f>VLOOKUP(D30,upahbahan,3,FALSE)</f>
        <v>600600</v>
      </c>
      <c r="H30" s="125">
        <f t="shared" ref="H30" si="3">F30*G30</f>
        <v>600600</v>
      </c>
      <c r="K30" s="328"/>
    </row>
    <row r="31" spans="3:11">
      <c r="C31" s="145" t="s">
        <v>1226</v>
      </c>
      <c r="D31" s="81"/>
      <c r="E31" s="81"/>
      <c r="F31" s="81"/>
      <c r="G31" s="163"/>
      <c r="H31" s="125">
        <f>SUM(H30:H30)</f>
        <v>600600</v>
      </c>
      <c r="K31" s="328"/>
    </row>
    <row r="32" spans="3:11">
      <c r="C32" s="153" t="s">
        <v>1227</v>
      </c>
      <c r="D32" s="60" t="s">
        <v>1228</v>
      </c>
      <c r="E32" s="74"/>
      <c r="F32" s="74"/>
      <c r="G32" s="74"/>
      <c r="H32" s="147"/>
      <c r="K32" s="328"/>
    </row>
    <row r="33" spans="3:11">
      <c r="C33" s="145" t="s">
        <v>1229</v>
      </c>
      <c r="D33" s="81"/>
      <c r="E33" s="81"/>
      <c r="F33" s="81"/>
      <c r="G33" s="163"/>
      <c r="H33" s="154">
        <v>0</v>
      </c>
      <c r="K33" s="328"/>
    </row>
    <row r="34" spans="3:11">
      <c r="C34" s="123" t="s">
        <v>1230</v>
      </c>
      <c r="D34" s="70" t="s">
        <v>1231</v>
      </c>
      <c r="E34" s="71"/>
      <c r="F34" s="71"/>
      <c r="G34" s="72"/>
      <c r="H34" s="125">
        <f>H33+H31+H28</f>
        <v>865385</v>
      </c>
      <c r="K34" s="328"/>
    </row>
    <row r="35" spans="3:11">
      <c r="C35" s="123" t="s">
        <v>1232</v>
      </c>
      <c r="D35" s="70" t="s">
        <v>1410</v>
      </c>
      <c r="E35" s="71"/>
      <c r="F35" s="72"/>
      <c r="G35" s="96">
        <f>$M$7</f>
        <v>0.1</v>
      </c>
      <c r="H35" s="125">
        <f>H34*G35</f>
        <v>86538.5</v>
      </c>
      <c r="K35" s="328"/>
    </row>
    <row r="36" spans="3:11" ht="15.75" thickBot="1">
      <c r="C36" s="131" t="s">
        <v>1233</v>
      </c>
      <c r="D36" s="132" t="s">
        <v>1234</v>
      </c>
      <c r="E36" s="133"/>
      <c r="F36" s="133"/>
      <c r="G36" s="156"/>
      <c r="H36" s="135">
        <f>SUM(H34:H35)</f>
        <v>951923.5</v>
      </c>
      <c r="K36" s="328"/>
    </row>
    <row r="37" spans="3:11" ht="15.75" thickTop="1">
      <c r="C37" s="90"/>
      <c r="D37" s="91"/>
      <c r="E37" s="91"/>
      <c r="F37" s="91"/>
      <c r="G37" s="91"/>
      <c r="H37" s="92"/>
      <c r="K37" s="328"/>
    </row>
    <row r="38" spans="3:11" ht="15.75" thickBot="1">
      <c r="C38" s="237" t="s">
        <v>1636</v>
      </c>
      <c r="D38" s="237"/>
      <c r="E38" s="225"/>
      <c r="F38" s="225"/>
      <c r="G38" s="225"/>
      <c r="H38" s="225"/>
      <c r="I38" s="57">
        <f>ROUNDDOWN(H53,-2)</f>
        <v>953200</v>
      </c>
      <c r="K38" s="328"/>
    </row>
    <row r="39" spans="3:11" ht="29.25" thickTop="1">
      <c r="C39" s="120" t="s">
        <v>1207</v>
      </c>
      <c r="D39" s="121" t="s">
        <v>1208</v>
      </c>
      <c r="E39" s="121" t="s">
        <v>1209</v>
      </c>
      <c r="F39" s="121" t="s">
        <v>1210</v>
      </c>
      <c r="G39" s="121" t="s">
        <v>1211</v>
      </c>
      <c r="H39" s="122" t="s">
        <v>1212</v>
      </c>
      <c r="K39" s="328"/>
    </row>
    <row r="40" spans="3:11">
      <c r="C40" s="142" t="s">
        <v>1213</v>
      </c>
      <c r="D40" s="60" t="s">
        <v>1214</v>
      </c>
      <c r="E40" s="74"/>
      <c r="F40" s="74"/>
      <c r="G40" s="74"/>
      <c r="H40" s="147"/>
      <c r="K40" s="328"/>
    </row>
    <row r="41" spans="3:11">
      <c r="C41" s="143">
        <v>1</v>
      </c>
      <c r="D41" s="60" t="s">
        <v>5</v>
      </c>
      <c r="E41" s="73" t="s">
        <v>6</v>
      </c>
      <c r="F41" s="75">
        <v>0.44</v>
      </c>
      <c r="G41" s="65">
        <f>VLOOKUP(D41,upahbahan,3,FALSE)</f>
        <v>100000</v>
      </c>
      <c r="H41" s="125">
        <f t="shared" ref="H41:H44" si="4">F41*G41</f>
        <v>44000</v>
      </c>
      <c r="K41" s="328"/>
    </row>
    <row r="42" spans="3:11">
      <c r="C42" s="143">
        <v>2</v>
      </c>
      <c r="D42" s="60" t="s">
        <v>14</v>
      </c>
      <c r="E42" s="73" t="s">
        <v>6</v>
      </c>
      <c r="F42" s="75">
        <v>0.44</v>
      </c>
      <c r="G42" s="65">
        <f>VLOOKUP(D42,upahbahan,3,FALSE)</f>
        <v>145000</v>
      </c>
      <c r="H42" s="125">
        <f t="shared" si="4"/>
        <v>63800</v>
      </c>
      <c r="K42" s="328"/>
    </row>
    <row r="43" spans="3:11">
      <c r="C43" s="143">
        <v>3</v>
      </c>
      <c r="D43" s="60" t="s">
        <v>18</v>
      </c>
      <c r="E43" s="73" t="s">
        <v>6</v>
      </c>
      <c r="F43" s="75">
        <v>4.3999999999999997E-2</v>
      </c>
      <c r="G43" s="65">
        <f>VLOOKUP(D43,upahbahan,3,FALSE)</f>
        <v>150000</v>
      </c>
      <c r="H43" s="125">
        <f t="shared" si="4"/>
        <v>6600</v>
      </c>
      <c r="K43" s="328"/>
    </row>
    <row r="44" spans="3:11">
      <c r="C44" s="143">
        <v>4</v>
      </c>
      <c r="D44" s="60" t="s">
        <v>19</v>
      </c>
      <c r="E44" s="73" t="s">
        <v>6</v>
      </c>
      <c r="F44" s="75">
        <v>1.4999999999999999E-2</v>
      </c>
      <c r="G44" s="65">
        <f>VLOOKUP(D44,upahbahan,3,FALSE)</f>
        <v>145000</v>
      </c>
      <c r="H44" s="125">
        <f t="shared" si="4"/>
        <v>2175</v>
      </c>
      <c r="K44" s="328"/>
    </row>
    <row r="45" spans="3:11">
      <c r="C45" s="145" t="s">
        <v>1220</v>
      </c>
      <c r="D45" s="81"/>
      <c r="E45" s="81"/>
      <c r="F45" s="220"/>
      <c r="G45" s="221"/>
      <c r="H45" s="125">
        <f>SUM(H41:H44)</f>
        <v>116575</v>
      </c>
      <c r="I45" s="222"/>
      <c r="K45" s="328"/>
    </row>
    <row r="46" spans="3:11">
      <c r="C46" s="142" t="s">
        <v>1221</v>
      </c>
      <c r="D46" s="60" t="s">
        <v>1222</v>
      </c>
      <c r="E46" s="74"/>
      <c r="F46" s="74"/>
      <c r="G46" s="74"/>
      <c r="H46" s="147"/>
      <c r="K46" s="328"/>
    </row>
    <row r="47" spans="3:11">
      <c r="C47" s="143">
        <v>1</v>
      </c>
      <c r="D47" s="60" t="s">
        <v>814</v>
      </c>
      <c r="E47" s="73" t="s">
        <v>63</v>
      </c>
      <c r="F47" s="75">
        <v>1</v>
      </c>
      <c r="G47" s="65">
        <f>VLOOKUP(D47,upahbahan,3,FALSE)</f>
        <v>750000</v>
      </c>
      <c r="H47" s="125">
        <f t="shared" ref="H47" si="5">F47*G47</f>
        <v>750000</v>
      </c>
      <c r="K47" s="328"/>
    </row>
    <row r="48" spans="3:11">
      <c r="C48" s="145" t="s">
        <v>1226</v>
      </c>
      <c r="D48" s="81"/>
      <c r="E48" s="81"/>
      <c r="F48" s="81"/>
      <c r="G48" s="163"/>
      <c r="H48" s="125">
        <f>SUM(H47:H47)</f>
        <v>750000</v>
      </c>
      <c r="K48" s="328"/>
    </row>
    <row r="49" spans="3:11">
      <c r="C49" s="153" t="s">
        <v>1227</v>
      </c>
      <c r="D49" s="60" t="s">
        <v>1228</v>
      </c>
      <c r="E49" s="74"/>
      <c r="F49" s="74"/>
      <c r="G49" s="74"/>
      <c r="H49" s="147"/>
      <c r="K49" s="328"/>
    </row>
    <row r="50" spans="3:11">
      <c r="C50" s="145" t="s">
        <v>1229</v>
      </c>
      <c r="D50" s="81"/>
      <c r="E50" s="81"/>
      <c r="F50" s="81"/>
      <c r="G50" s="163"/>
      <c r="H50" s="154">
        <v>0</v>
      </c>
      <c r="K50" s="328"/>
    </row>
    <row r="51" spans="3:11">
      <c r="C51" s="123" t="s">
        <v>1230</v>
      </c>
      <c r="D51" s="70" t="s">
        <v>1231</v>
      </c>
      <c r="E51" s="71"/>
      <c r="F51" s="71"/>
      <c r="G51" s="72"/>
      <c r="H51" s="125">
        <f>H50+H48+H45</f>
        <v>866575</v>
      </c>
      <c r="K51" s="328"/>
    </row>
    <row r="52" spans="3:11">
      <c r="C52" s="123" t="s">
        <v>1232</v>
      </c>
      <c r="D52" s="70" t="s">
        <v>1410</v>
      </c>
      <c r="E52" s="71"/>
      <c r="F52" s="72"/>
      <c r="G52" s="96">
        <f>$M$7</f>
        <v>0.1</v>
      </c>
      <c r="H52" s="125">
        <f>H51*G52</f>
        <v>86657.5</v>
      </c>
      <c r="K52" s="328"/>
    </row>
    <row r="53" spans="3:11" ht="15.75" thickBot="1">
      <c r="C53" s="131" t="s">
        <v>1233</v>
      </c>
      <c r="D53" s="132" t="s">
        <v>1234</v>
      </c>
      <c r="E53" s="133"/>
      <c r="F53" s="133"/>
      <c r="G53" s="156"/>
      <c r="H53" s="135">
        <f>SUM(H51:H52)</f>
        <v>953232.5</v>
      </c>
      <c r="K53" s="328"/>
    </row>
    <row r="54" spans="3:11" ht="15.75" thickTop="1">
      <c r="C54" s="90"/>
      <c r="D54" s="91"/>
      <c r="E54" s="91"/>
      <c r="F54" s="91"/>
      <c r="G54" s="91"/>
      <c r="H54" s="92"/>
      <c r="K54" s="328"/>
    </row>
    <row r="55" spans="3:11" ht="15.75" thickBot="1">
      <c r="C55" s="237" t="s">
        <v>1637</v>
      </c>
      <c r="D55" s="237"/>
      <c r="E55" s="225"/>
      <c r="F55" s="225"/>
      <c r="G55" s="225"/>
      <c r="H55" s="225"/>
      <c r="I55" s="57">
        <f>ROUNDDOWN(H71,-2)</f>
        <v>1457000</v>
      </c>
      <c r="K55" s="328"/>
    </row>
    <row r="56" spans="3:11" ht="29.25" thickTop="1">
      <c r="C56" s="120" t="s">
        <v>1207</v>
      </c>
      <c r="D56" s="121" t="s">
        <v>1208</v>
      </c>
      <c r="E56" s="121" t="s">
        <v>1209</v>
      </c>
      <c r="F56" s="121" t="s">
        <v>1210</v>
      </c>
      <c r="G56" s="121" t="s">
        <v>1211</v>
      </c>
      <c r="H56" s="122" t="s">
        <v>1212</v>
      </c>
      <c r="K56" s="328"/>
    </row>
    <row r="57" spans="3:11">
      <c r="C57" s="142" t="s">
        <v>1213</v>
      </c>
      <c r="D57" s="60" t="s">
        <v>1214</v>
      </c>
      <c r="E57" s="74"/>
      <c r="F57" s="74"/>
      <c r="G57" s="74"/>
      <c r="H57" s="147"/>
      <c r="K57" s="328"/>
    </row>
    <row r="58" spans="3:11">
      <c r="C58" s="143">
        <v>1</v>
      </c>
      <c r="D58" s="60" t="s">
        <v>5</v>
      </c>
      <c r="E58" s="73" t="s">
        <v>6</v>
      </c>
      <c r="F58" s="184">
        <v>8.5000000000000006E-2</v>
      </c>
      <c r="G58" s="65">
        <f>VLOOKUP(D58,upahbahan,3,FALSE)</f>
        <v>100000</v>
      </c>
      <c r="H58" s="125">
        <f t="shared" ref="H58:H61" si="6">F58*G58</f>
        <v>8500</v>
      </c>
      <c r="K58" s="328"/>
    </row>
    <row r="59" spans="3:11">
      <c r="C59" s="143">
        <v>2</v>
      </c>
      <c r="D59" s="60" t="s">
        <v>14</v>
      </c>
      <c r="E59" s="73" t="s">
        <v>6</v>
      </c>
      <c r="F59" s="184">
        <v>8.5000000000000006E-2</v>
      </c>
      <c r="G59" s="65">
        <f>VLOOKUP(D59,upahbahan,3,FALSE)</f>
        <v>145000</v>
      </c>
      <c r="H59" s="125">
        <f t="shared" si="6"/>
        <v>12325</v>
      </c>
      <c r="K59" s="328"/>
    </row>
    <row r="60" spans="3:11">
      <c r="C60" s="143">
        <v>3</v>
      </c>
      <c r="D60" s="60" t="s">
        <v>18</v>
      </c>
      <c r="E60" s="73" t="s">
        <v>6</v>
      </c>
      <c r="F60" s="184">
        <v>8.9999999999999993E-3</v>
      </c>
      <c r="G60" s="65">
        <f>VLOOKUP(D60,upahbahan,3,FALSE)</f>
        <v>150000</v>
      </c>
      <c r="H60" s="125">
        <f t="shared" si="6"/>
        <v>1350</v>
      </c>
      <c r="K60" s="328"/>
    </row>
    <row r="61" spans="3:11">
      <c r="C61" s="143">
        <v>4</v>
      </c>
      <c r="D61" s="60" t="s">
        <v>19</v>
      </c>
      <c r="E61" s="73" t="s">
        <v>6</v>
      </c>
      <c r="F61" s="184">
        <v>3.0000000000000001E-3</v>
      </c>
      <c r="G61" s="65">
        <f>VLOOKUP(D61,upahbahan,3,FALSE)</f>
        <v>145000</v>
      </c>
      <c r="H61" s="125">
        <f t="shared" si="6"/>
        <v>435</v>
      </c>
      <c r="K61" s="328"/>
    </row>
    <row r="62" spans="3:11">
      <c r="C62" s="145" t="s">
        <v>1220</v>
      </c>
      <c r="D62" s="81"/>
      <c r="E62" s="81"/>
      <c r="F62" s="220"/>
      <c r="G62" s="221"/>
      <c r="H62" s="125">
        <f>SUM(H58:H61)</f>
        <v>22610</v>
      </c>
      <c r="I62" s="222"/>
      <c r="K62" s="328"/>
    </row>
    <row r="63" spans="3:11">
      <c r="C63" s="142" t="s">
        <v>1221</v>
      </c>
      <c r="D63" s="60" t="s">
        <v>1222</v>
      </c>
      <c r="E63" s="74"/>
      <c r="F63" s="74"/>
      <c r="G63" s="74"/>
      <c r="H63" s="147"/>
      <c r="K63" s="328"/>
    </row>
    <row r="64" spans="3:11">
      <c r="C64" s="146" t="s">
        <v>1215</v>
      </c>
      <c r="D64" s="60" t="s">
        <v>1638</v>
      </c>
      <c r="E64" s="171" t="s">
        <v>114</v>
      </c>
      <c r="F64" s="172">
        <v>4.4000000000000004</v>
      </c>
      <c r="G64" s="65">
        <f>VLOOKUP(D64,upahbahan,3,FALSE)</f>
        <v>130000</v>
      </c>
      <c r="H64" s="125">
        <f t="shared" ref="H64:H65" si="7">F64*G64</f>
        <v>572000</v>
      </c>
      <c r="K64" s="328"/>
    </row>
    <row r="65" spans="3:11">
      <c r="C65" s="146" t="s">
        <v>1216</v>
      </c>
      <c r="D65" s="60" t="s">
        <v>1639</v>
      </c>
      <c r="E65" s="73" t="s">
        <v>114</v>
      </c>
      <c r="F65" s="75">
        <v>14.6</v>
      </c>
      <c r="G65" s="65">
        <f>VLOOKUP(D65,upahbahan,3,FALSE)</f>
        <v>50000</v>
      </c>
      <c r="H65" s="125">
        <f t="shared" si="7"/>
        <v>730000</v>
      </c>
      <c r="K65" s="328"/>
    </row>
    <row r="66" spans="3:11">
      <c r="C66" s="145" t="s">
        <v>1226</v>
      </c>
      <c r="D66" s="81"/>
      <c r="E66" s="81"/>
      <c r="F66" s="81"/>
      <c r="G66" s="163"/>
      <c r="H66" s="125">
        <f>SUM(H64:H65)</f>
        <v>1302000</v>
      </c>
      <c r="K66" s="328"/>
    </row>
    <row r="67" spans="3:11">
      <c r="C67" s="153" t="s">
        <v>1227</v>
      </c>
      <c r="D67" s="60" t="s">
        <v>1228</v>
      </c>
      <c r="E67" s="74"/>
      <c r="F67" s="74"/>
      <c r="G67" s="74"/>
      <c r="H67" s="147"/>
      <c r="K67" s="328"/>
    </row>
    <row r="68" spans="3:11">
      <c r="C68" s="145" t="s">
        <v>1229</v>
      </c>
      <c r="D68" s="81"/>
      <c r="E68" s="81"/>
      <c r="F68" s="81"/>
      <c r="G68" s="163"/>
      <c r="H68" s="154">
        <v>0</v>
      </c>
      <c r="K68" s="328"/>
    </row>
    <row r="69" spans="3:11">
      <c r="C69" s="123" t="s">
        <v>1230</v>
      </c>
      <c r="D69" s="70" t="s">
        <v>1231</v>
      </c>
      <c r="E69" s="71"/>
      <c r="F69" s="71"/>
      <c r="G69" s="72"/>
      <c r="H69" s="125">
        <f>H68+H66+H62</f>
        <v>1324610</v>
      </c>
      <c r="K69" s="328"/>
    </row>
    <row r="70" spans="3:11">
      <c r="C70" s="123" t="s">
        <v>1232</v>
      </c>
      <c r="D70" s="70" t="s">
        <v>1410</v>
      </c>
      <c r="E70" s="71"/>
      <c r="F70" s="72"/>
      <c r="G70" s="96">
        <f>$M$7</f>
        <v>0.1</v>
      </c>
      <c r="H70" s="125">
        <f>H69*G70</f>
        <v>132461</v>
      </c>
      <c r="K70" s="328"/>
    </row>
    <row r="71" spans="3:11" ht="15.75" thickBot="1">
      <c r="C71" s="131" t="s">
        <v>1233</v>
      </c>
      <c r="D71" s="132" t="s">
        <v>1234</v>
      </c>
      <c r="E71" s="133"/>
      <c r="F71" s="133"/>
      <c r="G71" s="156"/>
      <c r="H71" s="135">
        <f>SUM(H69:H70)</f>
        <v>1457071</v>
      </c>
      <c r="K71" s="328"/>
    </row>
    <row r="72" spans="3:11" ht="15.75" thickTop="1">
      <c r="C72" s="90"/>
      <c r="D72" s="91"/>
      <c r="E72" s="91"/>
      <c r="F72" s="91"/>
      <c r="G72" s="91"/>
      <c r="H72" s="92"/>
      <c r="K72" s="328"/>
    </row>
    <row r="73" spans="3:11" ht="15.75" thickBot="1">
      <c r="C73" s="237" t="s">
        <v>1640</v>
      </c>
      <c r="D73" s="237"/>
      <c r="E73" s="225"/>
      <c r="F73" s="225"/>
      <c r="G73" s="225"/>
      <c r="H73" s="225"/>
      <c r="I73" s="57">
        <f>ROUNDDOWN(H90,-2)</f>
        <v>950600</v>
      </c>
      <c r="K73" s="328"/>
    </row>
    <row r="74" spans="3:11" ht="29.25" thickTop="1">
      <c r="C74" s="120" t="s">
        <v>1207</v>
      </c>
      <c r="D74" s="121" t="s">
        <v>1208</v>
      </c>
      <c r="E74" s="121" t="s">
        <v>1209</v>
      </c>
      <c r="F74" s="121" t="s">
        <v>1210</v>
      </c>
      <c r="G74" s="121" t="s">
        <v>1211</v>
      </c>
      <c r="H74" s="122" t="s">
        <v>1212</v>
      </c>
      <c r="K74" s="328"/>
    </row>
    <row r="75" spans="3:11">
      <c r="C75" s="142" t="s">
        <v>1213</v>
      </c>
      <c r="D75" s="60" t="s">
        <v>1214</v>
      </c>
      <c r="E75" s="74"/>
      <c r="F75" s="74"/>
      <c r="G75" s="74"/>
      <c r="H75" s="147"/>
      <c r="K75" s="328"/>
    </row>
    <row r="76" spans="3:11">
      <c r="C76" s="143">
        <v>1</v>
      </c>
      <c r="D76" s="60" t="s">
        <v>5</v>
      </c>
      <c r="E76" s="73" t="s">
        <v>6</v>
      </c>
      <c r="F76" s="184">
        <v>8.5000000000000006E-2</v>
      </c>
      <c r="G76" s="65">
        <f>VLOOKUP(D76,upahbahan,3,FALSE)</f>
        <v>100000</v>
      </c>
      <c r="H76" s="125">
        <f t="shared" ref="H76:H79" si="8">F76*G76</f>
        <v>8500</v>
      </c>
      <c r="K76" s="328"/>
    </row>
    <row r="77" spans="3:11">
      <c r="C77" s="143">
        <v>2</v>
      </c>
      <c r="D77" s="60" t="s">
        <v>14</v>
      </c>
      <c r="E77" s="73" t="s">
        <v>6</v>
      </c>
      <c r="F77" s="184">
        <v>8.5000000000000006E-2</v>
      </c>
      <c r="G77" s="65">
        <f>VLOOKUP(D77,upahbahan,3,FALSE)</f>
        <v>145000</v>
      </c>
      <c r="H77" s="125">
        <f t="shared" si="8"/>
        <v>12325</v>
      </c>
      <c r="K77" s="328"/>
    </row>
    <row r="78" spans="3:11">
      <c r="C78" s="143">
        <v>3</v>
      </c>
      <c r="D78" s="60" t="s">
        <v>18</v>
      </c>
      <c r="E78" s="73" t="s">
        <v>6</v>
      </c>
      <c r="F78" s="184">
        <v>8.9999999999999993E-3</v>
      </c>
      <c r="G78" s="65">
        <f>VLOOKUP(D78,upahbahan,3,FALSE)</f>
        <v>150000</v>
      </c>
      <c r="H78" s="125">
        <f t="shared" si="8"/>
        <v>1350</v>
      </c>
      <c r="K78" s="328"/>
    </row>
    <row r="79" spans="3:11">
      <c r="C79" s="143">
        <v>4</v>
      </c>
      <c r="D79" s="60" t="s">
        <v>19</v>
      </c>
      <c r="E79" s="73" t="s">
        <v>6</v>
      </c>
      <c r="F79" s="184">
        <v>3.0000000000000001E-3</v>
      </c>
      <c r="G79" s="65">
        <f>VLOOKUP(D79,upahbahan,3,FALSE)</f>
        <v>145000</v>
      </c>
      <c r="H79" s="125">
        <f t="shared" si="8"/>
        <v>435</v>
      </c>
      <c r="K79" s="328"/>
    </row>
    <row r="80" spans="3:11">
      <c r="C80" s="145" t="s">
        <v>1220</v>
      </c>
      <c r="D80" s="81"/>
      <c r="E80" s="81"/>
      <c r="F80" s="220"/>
      <c r="G80" s="221"/>
      <c r="H80" s="125">
        <f>SUM(H76:H79)</f>
        <v>22610</v>
      </c>
      <c r="I80" s="222"/>
      <c r="K80" s="328"/>
    </row>
    <row r="81" spans="3:11">
      <c r="C81" s="142" t="s">
        <v>1221</v>
      </c>
      <c r="D81" s="60" t="s">
        <v>1222</v>
      </c>
      <c r="E81" s="74"/>
      <c r="F81" s="74"/>
      <c r="G81" s="74"/>
      <c r="H81" s="147"/>
      <c r="K81" s="328"/>
    </row>
    <row r="82" spans="3:11">
      <c r="C82" s="146" t="s">
        <v>1215</v>
      </c>
      <c r="D82" s="78" t="s">
        <v>817</v>
      </c>
      <c r="E82" s="181" t="s">
        <v>114</v>
      </c>
      <c r="F82" s="172">
        <v>4.4000000000000004</v>
      </c>
      <c r="G82" s="65">
        <f>VLOOKUP(D82,upahbahan,3,FALSE)</f>
        <v>130000</v>
      </c>
      <c r="H82" s="125">
        <f t="shared" ref="H82:H84" si="9">F82*G82</f>
        <v>572000</v>
      </c>
      <c r="K82" s="328"/>
    </row>
    <row r="83" spans="3:11">
      <c r="C83" s="146">
        <v>2</v>
      </c>
      <c r="D83" s="78" t="s">
        <v>661</v>
      </c>
      <c r="E83" s="181" t="s">
        <v>63</v>
      </c>
      <c r="F83" s="172">
        <v>1.1000000000000001</v>
      </c>
      <c r="G83" s="65">
        <f>VLOOKUP(D83,upahbahan,3,FALSE)</f>
        <v>237000</v>
      </c>
      <c r="H83" s="125">
        <f t="shared" si="9"/>
        <v>260700.00000000003</v>
      </c>
      <c r="K83" s="328"/>
    </row>
    <row r="84" spans="3:11">
      <c r="C84" s="146">
        <v>3</v>
      </c>
      <c r="D84" s="78" t="s">
        <v>1057</v>
      </c>
      <c r="E84" s="69" t="s">
        <v>1058</v>
      </c>
      <c r="F84" s="75">
        <v>0.27</v>
      </c>
      <c r="G84" s="65">
        <f>VLOOKUP(D84,upahbahan,3,FALSE)</f>
        <v>33100</v>
      </c>
      <c r="H84" s="125">
        <f t="shared" si="9"/>
        <v>8937</v>
      </c>
      <c r="K84" s="328"/>
    </row>
    <row r="85" spans="3:11">
      <c r="C85" s="145" t="s">
        <v>1226</v>
      </c>
      <c r="D85" s="81"/>
      <c r="E85" s="81"/>
      <c r="F85" s="81"/>
      <c r="G85" s="163"/>
      <c r="H85" s="125">
        <f>SUM(H82:H84)</f>
        <v>841637</v>
      </c>
      <c r="K85" s="328"/>
    </row>
    <row r="86" spans="3:11">
      <c r="C86" s="153" t="s">
        <v>1227</v>
      </c>
      <c r="D86" s="60" t="s">
        <v>1228</v>
      </c>
      <c r="E86" s="74"/>
      <c r="F86" s="74"/>
      <c r="G86" s="74"/>
      <c r="H86" s="147"/>
      <c r="K86" s="328"/>
    </row>
    <row r="87" spans="3:11">
      <c r="C87" s="145" t="s">
        <v>1229</v>
      </c>
      <c r="D87" s="81"/>
      <c r="E87" s="81"/>
      <c r="F87" s="81"/>
      <c r="G87" s="163"/>
      <c r="H87" s="154">
        <v>0</v>
      </c>
      <c r="K87" s="328"/>
    </row>
    <row r="88" spans="3:11">
      <c r="C88" s="123" t="s">
        <v>1230</v>
      </c>
      <c r="D88" s="70" t="s">
        <v>1231</v>
      </c>
      <c r="E88" s="71"/>
      <c r="F88" s="71"/>
      <c r="G88" s="72"/>
      <c r="H88" s="125">
        <f>H87+H85+H80</f>
        <v>864247</v>
      </c>
      <c r="K88" s="328"/>
    </row>
    <row r="89" spans="3:11">
      <c r="C89" s="123" t="s">
        <v>1232</v>
      </c>
      <c r="D89" s="70" t="s">
        <v>1410</v>
      </c>
      <c r="E89" s="71"/>
      <c r="F89" s="72"/>
      <c r="G89" s="96">
        <f>$M$7</f>
        <v>0.1</v>
      </c>
      <c r="H89" s="125">
        <f>H88*G89</f>
        <v>86424.700000000012</v>
      </c>
      <c r="K89" s="328"/>
    </row>
    <row r="90" spans="3:11" ht="15.75" thickBot="1">
      <c r="C90" s="131" t="s">
        <v>1233</v>
      </c>
      <c r="D90" s="132" t="s">
        <v>1234</v>
      </c>
      <c r="E90" s="133"/>
      <c r="F90" s="133"/>
      <c r="G90" s="156"/>
      <c r="H90" s="135">
        <f>SUM(H88:H89)</f>
        <v>950671.7</v>
      </c>
      <c r="K90" s="328"/>
    </row>
    <row r="91" spans="3:11" ht="15.75" thickTop="1">
      <c r="C91" s="90"/>
      <c r="D91" s="91"/>
      <c r="E91" s="91"/>
      <c r="F91" s="91"/>
      <c r="G91" s="91"/>
      <c r="H91" s="92"/>
      <c r="K91" s="328"/>
    </row>
    <row r="92" spans="3:11" ht="15.75" thickBot="1">
      <c r="C92" s="237" t="s">
        <v>1641</v>
      </c>
      <c r="D92" s="237"/>
      <c r="E92" s="225"/>
      <c r="F92" s="225"/>
      <c r="G92" s="225"/>
      <c r="H92" s="225"/>
      <c r="I92" s="57">
        <f>ROUNDDOWN(H109,-2)</f>
        <v>950600</v>
      </c>
      <c r="K92" s="328"/>
    </row>
    <row r="93" spans="3:11" ht="29.25" thickTop="1">
      <c r="C93" s="120" t="s">
        <v>1207</v>
      </c>
      <c r="D93" s="121" t="s">
        <v>1208</v>
      </c>
      <c r="E93" s="121" t="s">
        <v>1209</v>
      </c>
      <c r="F93" s="121" t="s">
        <v>1210</v>
      </c>
      <c r="G93" s="121" t="s">
        <v>1211</v>
      </c>
      <c r="H93" s="122" t="s">
        <v>1212</v>
      </c>
      <c r="K93" s="328"/>
    </row>
    <row r="94" spans="3:11">
      <c r="C94" s="142" t="s">
        <v>1213</v>
      </c>
      <c r="D94" s="60" t="s">
        <v>1214</v>
      </c>
      <c r="E94" s="74"/>
      <c r="F94" s="74"/>
      <c r="G94" s="74"/>
      <c r="H94" s="147"/>
      <c r="K94" s="328"/>
    </row>
    <row r="95" spans="3:11">
      <c r="C95" s="143">
        <v>1</v>
      </c>
      <c r="D95" s="60" t="s">
        <v>5</v>
      </c>
      <c r="E95" s="73" t="s">
        <v>6</v>
      </c>
      <c r="F95" s="184">
        <v>8.5000000000000006E-2</v>
      </c>
      <c r="G95" s="65">
        <f>VLOOKUP(D95,upahbahan,3,FALSE)</f>
        <v>100000</v>
      </c>
      <c r="H95" s="125">
        <f t="shared" ref="H95:H98" si="10">F95*G95</f>
        <v>8500</v>
      </c>
      <c r="K95" s="328"/>
    </row>
    <row r="96" spans="3:11">
      <c r="C96" s="143">
        <v>2</v>
      </c>
      <c r="D96" s="60" t="s">
        <v>14</v>
      </c>
      <c r="E96" s="73" t="s">
        <v>6</v>
      </c>
      <c r="F96" s="184">
        <v>8.5000000000000006E-2</v>
      </c>
      <c r="G96" s="65">
        <f>VLOOKUP(D96,upahbahan,3,FALSE)</f>
        <v>145000</v>
      </c>
      <c r="H96" s="125">
        <f t="shared" si="10"/>
        <v>12325</v>
      </c>
      <c r="K96" s="328"/>
    </row>
    <row r="97" spans="3:11">
      <c r="C97" s="143">
        <v>3</v>
      </c>
      <c r="D97" s="60" t="s">
        <v>18</v>
      </c>
      <c r="E97" s="73" t="s">
        <v>6</v>
      </c>
      <c r="F97" s="184">
        <v>8.9999999999999993E-3</v>
      </c>
      <c r="G97" s="65">
        <f>VLOOKUP(D97,upahbahan,3,FALSE)</f>
        <v>150000</v>
      </c>
      <c r="H97" s="125">
        <f t="shared" si="10"/>
        <v>1350</v>
      </c>
      <c r="K97" s="328"/>
    </row>
    <row r="98" spans="3:11">
      <c r="C98" s="143">
        <v>4</v>
      </c>
      <c r="D98" s="60" t="s">
        <v>19</v>
      </c>
      <c r="E98" s="73" t="s">
        <v>6</v>
      </c>
      <c r="F98" s="184">
        <v>3.0000000000000001E-3</v>
      </c>
      <c r="G98" s="65">
        <f>VLOOKUP(D98,upahbahan,3,FALSE)</f>
        <v>145000</v>
      </c>
      <c r="H98" s="125">
        <f t="shared" si="10"/>
        <v>435</v>
      </c>
      <c r="K98" s="328"/>
    </row>
    <row r="99" spans="3:11">
      <c r="C99" s="145" t="s">
        <v>1220</v>
      </c>
      <c r="D99" s="81"/>
      <c r="E99" s="81"/>
      <c r="F99" s="220"/>
      <c r="G99" s="221"/>
      <c r="H99" s="125">
        <f>SUM(H95:H98)</f>
        <v>22610</v>
      </c>
      <c r="I99" s="222"/>
      <c r="K99" s="328"/>
    </row>
    <row r="100" spans="3:11">
      <c r="C100" s="142" t="s">
        <v>1221</v>
      </c>
      <c r="D100" s="60" t="s">
        <v>1222</v>
      </c>
      <c r="E100" s="74"/>
      <c r="F100" s="74"/>
      <c r="G100" s="74"/>
      <c r="H100" s="147"/>
      <c r="K100" s="328"/>
    </row>
    <row r="101" spans="3:11">
      <c r="C101" s="146" t="s">
        <v>1215</v>
      </c>
      <c r="D101" s="78" t="s">
        <v>817</v>
      </c>
      <c r="E101" s="181" t="s">
        <v>114</v>
      </c>
      <c r="F101" s="172">
        <v>4.4000000000000004</v>
      </c>
      <c r="G101" s="65">
        <f>VLOOKUP(D101,upahbahan,3,FALSE)</f>
        <v>130000</v>
      </c>
      <c r="H101" s="125">
        <f t="shared" ref="H101:H103" si="11">F101*G101</f>
        <v>572000</v>
      </c>
      <c r="K101" s="328"/>
    </row>
    <row r="102" spans="3:11">
      <c r="C102" s="146">
        <v>2</v>
      </c>
      <c r="D102" s="78" t="s">
        <v>661</v>
      </c>
      <c r="E102" s="181" t="s">
        <v>63</v>
      </c>
      <c r="F102" s="172">
        <v>1.1000000000000001</v>
      </c>
      <c r="G102" s="65">
        <f>VLOOKUP(D102,upahbahan,3,FALSE)</f>
        <v>237000</v>
      </c>
      <c r="H102" s="125">
        <f t="shared" si="11"/>
        <v>260700.00000000003</v>
      </c>
      <c r="K102" s="328"/>
    </row>
    <row r="103" spans="3:11">
      <c r="C103" s="146">
        <v>3</v>
      </c>
      <c r="D103" s="78" t="s">
        <v>1057</v>
      </c>
      <c r="E103" s="69" t="s">
        <v>1058</v>
      </c>
      <c r="F103" s="75">
        <v>0.27</v>
      </c>
      <c r="G103" s="65">
        <f>VLOOKUP(D103,upahbahan,3,FALSE)</f>
        <v>33100</v>
      </c>
      <c r="H103" s="125">
        <f t="shared" si="11"/>
        <v>8937</v>
      </c>
      <c r="K103" s="328"/>
    </row>
    <row r="104" spans="3:11">
      <c r="C104" s="145" t="s">
        <v>1226</v>
      </c>
      <c r="D104" s="81"/>
      <c r="E104" s="81"/>
      <c r="F104" s="81"/>
      <c r="G104" s="163"/>
      <c r="H104" s="125">
        <f>SUM(H101:H103)</f>
        <v>841637</v>
      </c>
      <c r="K104" s="328"/>
    </row>
    <row r="105" spans="3:11">
      <c r="C105" s="153" t="s">
        <v>1227</v>
      </c>
      <c r="D105" s="60" t="s">
        <v>1228</v>
      </c>
      <c r="E105" s="74"/>
      <c r="F105" s="74"/>
      <c r="G105" s="74"/>
      <c r="H105" s="147"/>
      <c r="K105" s="328"/>
    </row>
    <row r="106" spans="3:11">
      <c r="C106" s="145" t="s">
        <v>1229</v>
      </c>
      <c r="D106" s="81"/>
      <c r="E106" s="81"/>
      <c r="F106" s="81"/>
      <c r="G106" s="163"/>
      <c r="H106" s="154">
        <v>0</v>
      </c>
      <c r="K106" s="328"/>
    </row>
    <row r="107" spans="3:11">
      <c r="C107" s="123" t="s">
        <v>1230</v>
      </c>
      <c r="D107" s="70" t="s">
        <v>1231</v>
      </c>
      <c r="E107" s="71"/>
      <c r="F107" s="71"/>
      <c r="G107" s="72"/>
      <c r="H107" s="125">
        <f>H106+H104+H99</f>
        <v>864247</v>
      </c>
      <c r="K107" s="328"/>
    </row>
    <row r="108" spans="3:11">
      <c r="C108" s="123" t="s">
        <v>1232</v>
      </c>
      <c r="D108" s="70" t="s">
        <v>1410</v>
      </c>
      <c r="E108" s="71"/>
      <c r="F108" s="72"/>
      <c r="G108" s="96">
        <f>$M$7</f>
        <v>0.1</v>
      </c>
      <c r="H108" s="125">
        <f>H107*G108</f>
        <v>86424.700000000012</v>
      </c>
      <c r="K108" s="328"/>
    </row>
    <row r="109" spans="3:11" ht="15.75" thickBot="1">
      <c r="C109" s="131" t="s">
        <v>1233</v>
      </c>
      <c r="D109" s="132" t="s">
        <v>1234</v>
      </c>
      <c r="E109" s="133"/>
      <c r="F109" s="133"/>
      <c r="G109" s="156"/>
      <c r="H109" s="135">
        <f>SUM(H107:H108)</f>
        <v>950671.7</v>
      </c>
      <c r="K109" s="328"/>
    </row>
    <row r="110" spans="3:11" ht="15.75" thickTop="1">
      <c r="C110" s="90"/>
      <c r="D110" s="91"/>
      <c r="E110" s="91"/>
      <c r="F110" s="91"/>
      <c r="G110" s="91"/>
      <c r="H110" s="92"/>
      <c r="K110" s="328"/>
    </row>
    <row r="111" spans="3:11" ht="15.75" thickBot="1">
      <c r="C111" s="237" t="s">
        <v>1642</v>
      </c>
      <c r="D111" s="237"/>
      <c r="E111" s="225"/>
      <c r="F111" s="225"/>
      <c r="G111" s="225"/>
      <c r="H111" s="225"/>
      <c r="I111" s="57">
        <f>ROUNDDOWN(H127,-2)</f>
        <v>736400</v>
      </c>
      <c r="K111" s="328"/>
    </row>
    <row r="112" spans="3:11" ht="29.25" thickTop="1">
      <c r="C112" s="120" t="s">
        <v>1207</v>
      </c>
      <c r="D112" s="121" t="s">
        <v>1208</v>
      </c>
      <c r="E112" s="121" t="s">
        <v>1209</v>
      </c>
      <c r="F112" s="121" t="s">
        <v>1210</v>
      </c>
      <c r="G112" s="121" t="s">
        <v>1211</v>
      </c>
      <c r="H112" s="122" t="s">
        <v>1212</v>
      </c>
      <c r="K112" s="328"/>
    </row>
    <row r="113" spans="3:11">
      <c r="C113" s="142" t="s">
        <v>1213</v>
      </c>
      <c r="D113" s="60" t="s">
        <v>1214</v>
      </c>
      <c r="E113" s="74"/>
      <c r="F113" s="74"/>
      <c r="G113" s="74"/>
      <c r="H113" s="147"/>
      <c r="K113" s="328"/>
    </row>
    <row r="114" spans="3:11">
      <c r="C114" s="143">
        <v>1</v>
      </c>
      <c r="D114" s="60" t="s">
        <v>5</v>
      </c>
      <c r="E114" s="73" t="s">
        <v>6</v>
      </c>
      <c r="F114" s="94">
        <v>0.59519999999999995</v>
      </c>
      <c r="G114" s="65">
        <f>VLOOKUP(D114,upahbahan,3,FALSE)</f>
        <v>100000</v>
      </c>
      <c r="H114" s="125">
        <f t="shared" ref="H114:H117" si="12">F114*G114</f>
        <v>59519.999999999993</v>
      </c>
      <c r="K114" s="328"/>
    </row>
    <row r="115" spans="3:11">
      <c r="C115" s="143">
        <v>2</v>
      </c>
      <c r="D115" s="60" t="s">
        <v>8</v>
      </c>
      <c r="E115" s="73" t="s">
        <v>6</v>
      </c>
      <c r="F115" s="94">
        <v>0.29759999999999998</v>
      </c>
      <c r="G115" s="65">
        <f>VLOOKUP(D115,upahbahan,3,FALSE)</f>
        <v>145000</v>
      </c>
      <c r="H115" s="125">
        <f t="shared" si="12"/>
        <v>43152</v>
      </c>
      <c r="K115" s="328"/>
    </row>
    <row r="116" spans="3:11">
      <c r="C116" s="143">
        <v>3</v>
      </c>
      <c r="D116" s="60" t="s">
        <v>18</v>
      </c>
      <c r="E116" s="73" t="s">
        <v>6</v>
      </c>
      <c r="F116" s="94">
        <v>2.98E-2</v>
      </c>
      <c r="G116" s="65">
        <f>VLOOKUP(D116,upahbahan,3,FALSE)</f>
        <v>150000</v>
      </c>
      <c r="H116" s="125">
        <f t="shared" si="12"/>
        <v>4470</v>
      </c>
      <c r="K116" s="328"/>
    </row>
    <row r="117" spans="3:11">
      <c r="C117" s="143">
        <v>4</v>
      </c>
      <c r="D117" s="60" t="s">
        <v>19</v>
      </c>
      <c r="E117" s="73" t="s">
        <v>6</v>
      </c>
      <c r="F117" s="94">
        <v>9.9000000000000008E-3</v>
      </c>
      <c r="G117" s="65">
        <f>VLOOKUP(D117,upahbahan,3,FALSE)</f>
        <v>145000</v>
      </c>
      <c r="H117" s="125">
        <f t="shared" si="12"/>
        <v>1435.5000000000002</v>
      </c>
      <c r="K117" s="328"/>
    </row>
    <row r="118" spans="3:11">
      <c r="C118" s="145" t="s">
        <v>1220</v>
      </c>
      <c r="D118" s="81"/>
      <c r="E118" s="81"/>
      <c r="F118" s="220"/>
      <c r="G118" s="221"/>
      <c r="H118" s="125">
        <f>SUM(H114:H117)</f>
        <v>108577.5</v>
      </c>
      <c r="I118" s="222"/>
      <c r="K118" s="328"/>
    </row>
    <row r="119" spans="3:11">
      <c r="C119" s="142" t="s">
        <v>1221</v>
      </c>
      <c r="D119" s="60" t="s">
        <v>1222</v>
      </c>
      <c r="E119" s="74"/>
      <c r="F119" s="74"/>
      <c r="G119" s="74"/>
      <c r="H119" s="147"/>
      <c r="K119" s="328"/>
    </row>
    <row r="120" spans="3:11">
      <c r="C120" s="146" t="s">
        <v>1215</v>
      </c>
      <c r="D120" s="78" t="s">
        <v>126</v>
      </c>
      <c r="E120" s="181" t="s">
        <v>42</v>
      </c>
      <c r="F120" s="172">
        <v>0.04</v>
      </c>
      <c r="G120" s="65">
        <f>VLOOKUP(D120,upahbahan,3,FALSE)</f>
        <v>14000000</v>
      </c>
      <c r="H120" s="125">
        <f t="shared" ref="H120:H121" si="13">F120*G120</f>
        <v>560000</v>
      </c>
      <c r="K120" s="328"/>
    </row>
    <row r="121" spans="3:11">
      <c r="C121" s="146">
        <v>2</v>
      </c>
      <c r="D121" s="78" t="s">
        <v>265</v>
      </c>
      <c r="E121" s="181" t="s">
        <v>66</v>
      </c>
      <c r="F121" s="172">
        <v>0.05</v>
      </c>
      <c r="G121" s="65">
        <f>VLOOKUP(D121,upahbahan,3,FALSE)</f>
        <v>18000</v>
      </c>
      <c r="H121" s="125">
        <f t="shared" si="13"/>
        <v>900</v>
      </c>
      <c r="K121" s="328"/>
    </row>
    <row r="122" spans="3:11">
      <c r="C122" s="145" t="s">
        <v>1226</v>
      </c>
      <c r="D122" s="81"/>
      <c r="E122" s="81"/>
      <c r="F122" s="81"/>
      <c r="G122" s="163"/>
      <c r="H122" s="125">
        <f>SUM(H120:H121)</f>
        <v>560900</v>
      </c>
      <c r="K122" s="328"/>
    </row>
    <row r="123" spans="3:11">
      <c r="C123" s="153" t="s">
        <v>1227</v>
      </c>
      <c r="D123" s="60" t="s">
        <v>1228</v>
      </c>
      <c r="E123" s="74"/>
      <c r="F123" s="74"/>
      <c r="G123" s="74"/>
      <c r="H123" s="147"/>
      <c r="K123" s="328"/>
    </row>
    <row r="124" spans="3:11">
      <c r="C124" s="145" t="s">
        <v>1229</v>
      </c>
      <c r="D124" s="81"/>
      <c r="E124" s="81"/>
      <c r="F124" s="81"/>
      <c r="G124" s="163"/>
      <c r="H124" s="154">
        <v>0</v>
      </c>
      <c r="K124" s="328"/>
    </row>
    <row r="125" spans="3:11">
      <c r="C125" s="123" t="s">
        <v>1230</v>
      </c>
      <c r="D125" s="70" t="s">
        <v>1231</v>
      </c>
      <c r="E125" s="71"/>
      <c r="F125" s="71"/>
      <c r="G125" s="72"/>
      <c r="H125" s="125">
        <f>H124+H122+H118</f>
        <v>669477.5</v>
      </c>
      <c r="K125" s="328"/>
    </row>
    <row r="126" spans="3:11">
      <c r="C126" s="123" t="s">
        <v>1232</v>
      </c>
      <c r="D126" s="70" t="s">
        <v>1410</v>
      </c>
      <c r="E126" s="71"/>
      <c r="F126" s="72"/>
      <c r="G126" s="96">
        <f>$M$7</f>
        <v>0.1</v>
      </c>
      <c r="H126" s="125">
        <f>H125*G126</f>
        <v>66947.75</v>
      </c>
      <c r="K126" s="328"/>
    </row>
    <row r="127" spans="3:11" ht="15.75" thickBot="1">
      <c r="C127" s="131" t="s">
        <v>1233</v>
      </c>
      <c r="D127" s="132" t="s">
        <v>1234</v>
      </c>
      <c r="E127" s="133"/>
      <c r="F127" s="133"/>
      <c r="G127" s="156"/>
      <c r="H127" s="135">
        <f>SUM(H125:H126)</f>
        <v>736425.25</v>
      </c>
      <c r="K127" s="328"/>
    </row>
    <row r="128" spans="3:11" ht="15.75" thickTop="1">
      <c r="C128" s="58"/>
      <c r="D128" s="82"/>
      <c r="E128" s="82"/>
      <c r="F128" s="82"/>
      <c r="G128" s="82"/>
      <c r="H128" s="83"/>
      <c r="K128" s="328"/>
    </row>
    <row r="129" spans="3:11" ht="15.75" thickBot="1">
      <c r="C129" s="237" t="s">
        <v>1643</v>
      </c>
      <c r="D129" s="237"/>
      <c r="E129" s="225"/>
      <c r="F129" s="225"/>
      <c r="G129" s="225"/>
      <c r="H129" s="225"/>
      <c r="I129" s="57">
        <f>ROUNDDOWN(H145,-2)</f>
        <v>581800</v>
      </c>
      <c r="K129" s="328"/>
    </row>
    <row r="130" spans="3:11" ht="29.25" thickTop="1">
      <c r="C130" s="120" t="s">
        <v>1207</v>
      </c>
      <c r="D130" s="121" t="s">
        <v>1208</v>
      </c>
      <c r="E130" s="121" t="s">
        <v>1209</v>
      </c>
      <c r="F130" s="121" t="s">
        <v>1210</v>
      </c>
      <c r="G130" s="121" t="s">
        <v>1211</v>
      </c>
      <c r="H130" s="122" t="s">
        <v>1212</v>
      </c>
      <c r="K130" s="328"/>
    </row>
    <row r="131" spans="3:11">
      <c r="C131" s="142" t="s">
        <v>1213</v>
      </c>
      <c r="D131" s="60" t="s">
        <v>1214</v>
      </c>
      <c r="E131" s="74"/>
      <c r="F131" s="74"/>
      <c r="G131" s="74"/>
      <c r="H131" s="147"/>
      <c r="K131" s="328"/>
    </row>
    <row r="132" spans="3:11">
      <c r="C132" s="143">
        <v>1</v>
      </c>
      <c r="D132" s="60" t="s">
        <v>5</v>
      </c>
      <c r="E132" s="73" t="s">
        <v>6</v>
      </c>
      <c r="F132" s="75">
        <v>0.35</v>
      </c>
      <c r="G132" s="65">
        <f>VLOOKUP(D132,upahbahan,3,FALSE)</f>
        <v>100000</v>
      </c>
      <c r="H132" s="125">
        <f t="shared" ref="H132:H135" si="14">F132*G132</f>
        <v>35000</v>
      </c>
      <c r="K132" s="328"/>
    </row>
    <row r="133" spans="3:11">
      <c r="C133" s="143">
        <v>2</v>
      </c>
      <c r="D133" s="60" t="s">
        <v>8</v>
      </c>
      <c r="E133" s="73" t="s">
        <v>6</v>
      </c>
      <c r="F133" s="75">
        <v>1.05</v>
      </c>
      <c r="G133" s="65">
        <f>VLOOKUP(D133,upahbahan,3,FALSE)</f>
        <v>145000</v>
      </c>
      <c r="H133" s="125">
        <f t="shared" si="14"/>
        <v>152250</v>
      </c>
      <c r="K133" s="328"/>
    </row>
    <row r="134" spans="3:11">
      <c r="C134" s="143">
        <v>3</v>
      </c>
      <c r="D134" s="60" t="s">
        <v>18</v>
      </c>
      <c r="E134" s="73" t="s">
        <v>6</v>
      </c>
      <c r="F134" s="75">
        <v>0.105</v>
      </c>
      <c r="G134" s="65">
        <f>VLOOKUP(D134,upahbahan,3,FALSE)</f>
        <v>150000</v>
      </c>
      <c r="H134" s="125">
        <f t="shared" si="14"/>
        <v>15750</v>
      </c>
      <c r="K134" s="328"/>
    </row>
    <row r="135" spans="3:11">
      <c r="C135" s="143">
        <v>4</v>
      </c>
      <c r="D135" s="60" t="s">
        <v>19</v>
      </c>
      <c r="E135" s="73" t="s">
        <v>6</v>
      </c>
      <c r="F135" s="75">
        <v>3.5000000000000003E-2</v>
      </c>
      <c r="G135" s="65">
        <f>VLOOKUP(D135,upahbahan,3,FALSE)</f>
        <v>145000</v>
      </c>
      <c r="H135" s="125">
        <f t="shared" si="14"/>
        <v>5075.0000000000009</v>
      </c>
      <c r="K135" s="328"/>
    </row>
    <row r="136" spans="3:11">
      <c r="C136" s="145" t="s">
        <v>1220</v>
      </c>
      <c r="D136" s="81"/>
      <c r="E136" s="81"/>
      <c r="F136" s="220"/>
      <c r="G136" s="221"/>
      <c r="H136" s="125">
        <f>SUM(H132:H135)</f>
        <v>208075</v>
      </c>
      <c r="I136" s="222"/>
      <c r="K136" s="328"/>
    </row>
    <row r="137" spans="3:11">
      <c r="C137" s="142" t="s">
        <v>1221</v>
      </c>
      <c r="D137" s="60" t="s">
        <v>1222</v>
      </c>
      <c r="E137" s="74"/>
      <c r="F137" s="74"/>
      <c r="G137" s="74"/>
      <c r="H137" s="147"/>
      <c r="K137" s="328"/>
    </row>
    <row r="138" spans="3:11">
      <c r="C138" s="146" t="s">
        <v>1215</v>
      </c>
      <c r="D138" s="78" t="s">
        <v>127</v>
      </c>
      <c r="E138" s="181" t="s">
        <v>42</v>
      </c>
      <c r="F138" s="172">
        <v>0.04</v>
      </c>
      <c r="G138" s="65">
        <f>VLOOKUP(D138,upahbahan,3,FALSE)</f>
        <v>8000000</v>
      </c>
      <c r="H138" s="125">
        <f t="shared" ref="H138:H139" si="15">F138*G138</f>
        <v>320000</v>
      </c>
      <c r="K138" s="328"/>
    </row>
    <row r="139" spans="3:11">
      <c r="C139" s="146">
        <v>2</v>
      </c>
      <c r="D139" s="78" t="s">
        <v>265</v>
      </c>
      <c r="E139" s="181" t="s">
        <v>66</v>
      </c>
      <c r="F139" s="172">
        <v>0.05</v>
      </c>
      <c r="G139" s="65">
        <f>VLOOKUP(D139,upahbahan,3,FALSE)</f>
        <v>18000</v>
      </c>
      <c r="H139" s="125">
        <f t="shared" si="15"/>
        <v>900</v>
      </c>
      <c r="K139" s="328"/>
    </row>
    <row r="140" spans="3:11">
      <c r="C140" s="145" t="s">
        <v>1226</v>
      </c>
      <c r="D140" s="81"/>
      <c r="E140" s="81"/>
      <c r="F140" s="81"/>
      <c r="G140" s="163"/>
      <c r="H140" s="125">
        <f>SUM(H138:H139)</f>
        <v>320900</v>
      </c>
      <c r="K140" s="328"/>
    </row>
    <row r="141" spans="3:11">
      <c r="C141" s="153" t="s">
        <v>1227</v>
      </c>
      <c r="D141" s="60" t="s">
        <v>1228</v>
      </c>
      <c r="E141" s="74"/>
      <c r="F141" s="74"/>
      <c r="G141" s="74"/>
      <c r="H141" s="147"/>
      <c r="K141" s="328"/>
    </row>
    <row r="142" spans="3:11">
      <c r="C142" s="145" t="s">
        <v>1229</v>
      </c>
      <c r="D142" s="81"/>
      <c r="E142" s="81"/>
      <c r="F142" s="81"/>
      <c r="G142" s="163"/>
      <c r="H142" s="154">
        <v>0</v>
      </c>
      <c r="K142" s="328"/>
    </row>
    <row r="143" spans="3:11">
      <c r="C143" s="123" t="s">
        <v>1230</v>
      </c>
      <c r="D143" s="70" t="s">
        <v>1231</v>
      </c>
      <c r="E143" s="71"/>
      <c r="F143" s="71"/>
      <c r="G143" s="72"/>
      <c r="H143" s="125">
        <f>H142+H140+H136</f>
        <v>528975</v>
      </c>
      <c r="K143" s="328"/>
    </row>
    <row r="144" spans="3:11">
      <c r="C144" s="123" t="s">
        <v>1232</v>
      </c>
      <c r="D144" s="70" t="s">
        <v>1410</v>
      </c>
      <c r="E144" s="71"/>
      <c r="F144" s="72"/>
      <c r="G144" s="96">
        <f>$M$7</f>
        <v>0.1</v>
      </c>
      <c r="H144" s="125">
        <f>H143*G144</f>
        <v>52897.5</v>
      </c>
      <c r="K144" s="328"/>
    </row>
    <row r="145" spans="3:11" ht="15.75" thickBot="1">
      <c r="C145" s="131" t="s">
        <v>1233</v>
      </c>
      <c r="D145" s="132" t="s">
        <v>1234</v>
      </c>
      <c r="E145" s="133"/>
      <c r="F145" s="133"/>
      <c r="G145" s="156"/>
      <c r="H145" s="135">
        <f>SUM(H143:H144)</f>
        <v>581872.5</v>
      </c>
      <c r="K145" s="328"/>
    </row>
    <row r="146" spans="3:11" ht="15.75" thickTop="1">
      <c r="C146" s="58"/>
      <c r="D146" s="82"/>
      <c r="E146" s="82"/>
      <c r="F146" s="82"/>
      <c r="G146" s="82"/>
      <c r="H146" s="83"/>
      <c r="K146" s="328"/>
    </row>
    <row r="147" spans="3:11" ht="15.75" thickBot="1">
      <c r="C147" s="237" t="s">
        <v>1644</v>
      </c>
      <c r="D147" s="237"/>
      <c r="E147" s="225"/>
      <c r="F147" s="225"/>
      <c r="G147" s="225"/>
      <c r="H147" s="225"/>
      <c r="I147" s="57">
        <f>ROUNDDOWN(H163,-2)</f>
        <v>736300</v>
      </c>
      <c r="K147" s="328"/>
    </row>
    <row r="148" spans="3:11" ht="29.25" thickTop="1">
      <c r="C148" s="120" t="s">
        <v>1207</v>
      </c>
      <c r="D148" s="121" t="s">
        <v>1208</v>
      </c>
      <c r="E148" s="121" t="s">
        <v>1209</v>
      </c>
      <c r="F148" s="121" t="s">
        <v>1210</v>
      </c>
      <c r="G148" s="121" t="s">
        <v>1211</v>
      </c>
      <c r="H148" s="122" t="s">
        <v>1212</v>
      </c>
      <c r="K148" s="328"/>
    </row>
    <row r="149" spans="3:11">
      <c r="C149" s="142" t="s">
        <v>1213</v>
      </c>
      <c r="D149" s="60" t="s">
        <v>1214</v>
      </c>
      <c r="E149" s="74"/>
      <c r="F149" s="74"/>
      <c r="G149" s="74"/>
      <c r="H149" s="147"/>
      <c r="K149" s="328"/>
    </row>
    <row r="150" spans="3:11">
      <c r="C150" s="143">
        <v>1</v>
      </c>
      <c r="D150" s="60" t="s">
        <v>5</v>
      </c>
      <c r="E150" s="73" t="s">
        <v>6</v>
      </c>
      <c r="F150" s="184">
        <v>0.59519999999999995</v>
      </c>
      <c r="G150" s="65">
        <f>VLOOKUP(D150,upahbahan,3,FALSE)</f>
        <v>100000</v>
      </c>
      <c r="H150" s="125">
        <f t="shared" ref="H150:H153" si="16">F150*G150</f>
        <v>59519.999999999993</v>
      </c>
      <c r="K150" s="328"/>
    </row>
    <row r="151" spans="3:11">
      <c r="C151" s="143">
        <v>2</v>
      </c>
      <c r="D151" s="60" t="s">
        <v>8</v>
      </c>
      <c r="E151" s="73" t="s">
        <v>6</v>
      </c>
      <c r="F151" s="184">
        <v>0.29759999999999998</v>
      </c>
      <c r="G151" s="65">
        <f>VLOOKUP(D151,upahbahan,3,FALSE)</f>
        <v>145000</v>
      </c>
      <c r="H151" s="125">
        <f t="shared" si="16"/>
        <v>43152</v>
      </c>
      <c r="K151" s="328"/>
    </row>
    <row r="152" spans="3:11">
      <c r="C152" s="143">
        <v>3</v>
      </c>
      <c r="D152" s="60" t="s">
        <v>18</v>
      </c>
      <c r="E152" s="73" t="s">
        <v>6</v>
      </c>
      <c r="F152" s="184">
        <v>2.98E-2</v>
      </c>
      <c r="G152" s="65">
        <f>VLOOKUP(D152,upahbahan,3,FALSE)</f>
        <v>150000</v>
      </c>
      <c r="H152" s="125">
        <f t="shared" si="16"/>
        <v>4470</v>
      </c>
      <c r="K152" s="328"/>
    </row>
    <row r="153" spans="3:11">
      <c r="C153" s="143">
        <v>4</v>
      </c>
      <c r="D153" s="60" t="s">
        <v>19</v>
      </c>
      <c r="E153" s="73" t="s">
        <v>6</v>
      </c>
      <c r="F153" s="184">
        <v>9.9000000000000008E-3</v>
      </c>
      <c r="G153" s="65">
        <f>VLOOKUP(D153,upahbahan,3,FALSE)</f>
        <v>145000</v>
      </c>
      <c r="H153" s="125">
        <f t="shared" si="16"/>
        <v>1435.5000000000002</v>
      </c>
      <c r="K153" s="328"/>
    </row>
    <row r="154" spans="3:11">
      <c r="C154" s="145" t="s">
        <v>1220</v>
      </c>
      <c r="D154" s="81"/>
      <c r="E154" s="81"/>
      <c r="F154" s="220"/>
      <c r="G154" s="221"/>
      <c r="H154" s="125">
        <f>SUM(H150:H153)</f>
        <v>108577.5</v>
      </c>
      <c r="I154" s="222"/>
      <c r="K154" s="328"/>
    </row>
    <row r="155" spans="3:11">
      <c r="C155" s="142" t="s">
        <v>1221</v>
      </c>
      <c r="D155" s="60" t="s">
        <v>1222</v>
      </c>
      <c r="E155" s="74"/>
      <c r="F155" s="74"/>
      <c r="G155" s="74"/>
      <c r="H155" s="147"/>
      <c r="K155" s="328"/>
    </row>
    <row r="156" spans="3:11">
      <c r="C156" s="146" t="s">
        <v>1215</v>
      </c>
      <c r="D156" s="78" t="s">
        <v>126</v>
      </c>
      <c r="E156" s="181" t="s">
        <v>42</v>
      </c>
      <c r="F156" s="172">
        <v>0.04</v>
      </c>
      <c r="G156" s="65">
        <f>VLOOKUP(D156,upahbahan,3,FALSE)</f>
        <v>14000000</v>
      </c>
      <c r="H156" s="125">
        <f t="shared" ref="H156:H157" si="17">F156*G156</f>
        <v>560000</v>
      </c>
      <c r="K156" s="328"/>
    </row>
    <row r="157" spans="3:11">
      <c r="C157" s="146">
        <v>2</v>
      </c>
      <c r="D157" s="78" t="s">
        <v>1625</v>
      </c>
      <c r="E157" s="181" t="s">
        <v>66</v>
      </c>
      <c r="F157" s="172">
        <v>0.05</v>
      </c>
      <c r="G157" s="65">
        <f>VLOOKUP(D157,upahbahan,3,FALSE)</f>
        <v>16400</v>
      </c>
      <c r="H157" s="125">
        <f t="shared" si="17"/>
        <v>820</v>
      </c>
      <c r="K157" s="328"/>
    </row>
    <row r="158" spans="3:11">
      <c r="C158" s="145" t="s">
        <v>1226</v>
      </c>
      <c r="D158" s="81"/>
      <c r="E158" s="81"/>
      <c r="F158" s="81"/>
      <c r="G158" s="163"/>
      <c r="H158" s="125">
        <f>SUM(H156:H157)</f>
        <v>560820</v>
      </c>
      <c r="K158" s="328"/>
    </row>
    <row r="159" spans="3:11">
      <c r="C159" s="153" t="s">
        <v>1227</v>
      </c>
      <c r="D159" s="60" t="s">
        <v>1228</v>
      </c>
      <c r="E159" s="74"/>
      <c r="F159" s="74"/>
      <c r="G159" s="74"/>
      <c r="H159" s="147"/>
      <c r="K159" s="328"/>
    </row>
    <row r="160" spans="3:11">
      <c r="C160" s="145" t="s">
        <v>1229</v>
      </c>
      <c r="D160" s="81"/>
      <c r="E160" s="81"/>
      <c r="F160" s="81"/>
      <c r="G160" s="163"/>
      <c r="H160" s="154">
        <v>0</v>
      </c>
      <c r="K160" s="328"/>
    </row>
    <row r="161" spans="3:11">
      <c r="C161" s="123" t="s">
        <v>1230</v>
      </c>
      <c r="D161" s="70" t="s">
        <v>1231</v>
      </c>
      <c r="E161" s="71"/>
      <c r="F161" s="71"/>
      <c r="G161" s="72"/>
      <c r="H161" s="125">
        <f>H160+H158+H154</f>
        <v>669397.5</v>
      </c>
      <c r="K161" s="328"/>
    </row>
    <row r="162" spans="3:11">
      <c r="C162" s="123" t="s">
        <v>1232</v>
      </c>
      <c r="D162" s="70" t="s">
        <v>1410</v>
      </c>
      <c r="E162" s="71"/>
      <c r="F162" s="72"/>
      <c r="G162" s="96">
        <f>$M$7</f>
        <v>0.1</v>
      </c>
      <c r="H162" s="125">
        <f>H161*G162</f>
        <v>66939.75</v>
      </c>
      <c r="K162" s="328"/>
    </row>
    <row r="163" spans="3:11" ht="15.75" thickBot="1">
      <c r="C163" s="131" t="s">
        <v>1233</v>
      </c>
      <c r="D163" s="132" t="s">
        <v>1234</v>
      </c>
      <c r="E163" s="133"/>
      <c r="F163" s="133"/>
      <c r="G163" s="156"/>
      <c r="H163" s="135">
        <f>SUM(H161:H162)</f>
        <v>736337.25</v>
      </c>
      <c r="K163" s="328"/>
    </row>
    <row r="164" spans="3:11" ht="15.75" thickTop="1">
      <c r="C164" s="58"/>
      <c r="D164" s="82"/>
      <c r="E164" s="82"/>
      <c r="F164" s="82"/>
      <c r="G164" s="82"/>
      <c r="H164" s="83"/>
      <c r="K164" s="328"/>
    </row>
    <row r="165" spans="3:11" ht="15.75" thickBot="1">
      <c r="C165" s="237" t="s">
        <v>1645</v>
      </c>
      <c r="D165" s="237"/>
      <c r="E165" s="225"/>
      <c r="F165" s="225"/>
      <c r="G165" s="225"/>
      <c r="H165" s="225"/>
      <c r="I165" s="57">
        <f>ROUNDDOWN(H181,-2)</f>
        <v>1648500</v>
      </c>
      <c r="K165" s="328"/>
    </row>
    <row r="166" spans="3:11" ht="29.25" thickTop="1">
      <c r="C166" s="120" t="s">
        <v>1207</v>
      </c>
      <c r="D166" s="121" t="s">
        <v>1208</v>
      </c>
      <c r="E166" s="121" t="s">
        <v>1209</v>
      </c>
      <c r="F166" s="121" t="s">
        <v>1210</v>
      </c>
      <c r="G166" s="121" t="s">
        <v>1211</v>
      </c>
      <c r="H166" s="122" t="s">
        <v>1212</v>
      </c>
      <c r="K166" s="328"/>
    </row>
    <row r="167" spans="3:11">
      <c r="C167" s="142" t="s">
        <v>1213</v>
      </c>
      <c r="D167" s="60" t="s">
        <v>1214</v>
      </c>
      <c r="E167" s="74"/>
      <c r="F167" s="74"/>
      <c r="G167" s="74"/>
      <c r="H167" s="147"/>
      <c r="K167" s="328"/>
    </row>
    <row r="168" spans="3:11">
      <c r="C168" s="143">
        <v>1</v>
      </c>
      <c r="D168" s="60" t="s">
        <v>5</v>
      </c>
      <c r="E168" s="73" t="s">
        <v>6</v>
      </c>
      <c r="F168" s="75">
        <v>1</v>
      </c>
      <c r="G168" s="65">
        <f>VLOOKUP(D168,upahbahan,3,FALSE)</f>
        <v>100000</v>
      </c>
      <c r="H168" s="125">
        <f t="shared" ref="H168:H171" si="18">F168*G168</f>
        <v>100000</v>
      </c>
      <c r="K168" s="328"/>
    </row>
    <row r="169" spans="3:11">
      <c r="C169" s="143">
        <v>2</v>
      </c>
      <c r="D169" s="60" t="s">
        <v>8</v>
      </c>
      <c r="E169" s="73" t="s">
        <v>6</v>
      </c>
      <c r="F169" s="75">
        <v>3</v>
      </c>
      <c r="G169" s="65">
        <f>VLOOKUP(D169,upahbahan,3,FALSE)</f>
        <v>145000</v>
      </c>
      <c r="H169" s="125">
        <f t="shared" si="18"/>
        <v>435000</v>
      </c>
      <c r="K169" s="328"/>
    </row>
    <row r="170" spans="3:11">
      <c r="C170" s="143">
        <v>3</v>
      </c>
      <c r="D170" s="60" t="s">
        <v>18</v>
      </c>
      <c r="E170" s="73" t="s">
        <v>6</v>
      </c>
      <c r="F170" s="75">
        <v>0.3</v>
      </c>
      <c r="G170" s="65">
        <f>VLOOKUP(D170,upahbahan,3,FALSE)</f>
        <v>150000</v>
      </c>
      <c r="H170" s="125">
        <f t="shared" si="18"/>
        <v>45000</v>
      </c>
      <c r="K170" s="328"/>
    </row>
    <row r="171" spans="3:11">
      <c r="C171" s="143">
        <v>4</v>
      </c>
      <c r="D171" s="60" t="s">
        <v>19</v>
      </c>
      <c r="E171" s="73" t="s">
        <v>6</v>
      </c>
      <c r="F171" s="75">
        <v>0.1</v>
      </c>
      <c r="G171" s="65">
        <f>VLOOKUP(D171,upahbahan,3,FALSE)</f>
        <v>145000</v>
      </c>
      <c r="H171" s="125">
        <f t="shared" si="18"/>
        <v>14500</v>
      </c>
      <c r="K171" s="328"/>
    </row>
    <row r="172" spans="3:11">
      <c r="C172" s="145" t="s">
        <v>1220</v>
      </c>
      <c r="D172" s="81"/>
      <c r="E172" s="81"/>
      <c r="F172" s="220"/>
      <c r="G172" s="221"/>
      <c r="H172" s="125">
        <f>SUM(H168:H171)</f>
        <v>594500</v>
      </c>
      <c r="I172" s="222"/>
      <c r="K172" s="328"/>
    </row>
    <row r="173" spans="3:11">
      <c r="C173" s="142" t="s">
        <v>1221</v>
      </c>
      <c r="D173" s="60" t="s">
        <v>1222</v>
      </c>
      <c r="E173" s="74"/>
      <c r="F173" s="74"/>
      <c r="G173" s="74"/>
      <c r="H173" s="147"/>
      <c r="K173" s="328"/>
    </row>
    <row r="174" spans="3:11">
      <c r="C174" s="146" t="s">
        <v>1215</v>
      </c>
      <c r="D174" s="78" t="s">
        <v>126</v>
      </c>
      <c r="E174" s="181" t="s">
        <v>42</v>
      </c>
      <c r="F174" s="172">
        <v>6.4000000000000001E-2</v>
      </c>
      <c r="G174" s="65">
        <f>VLOOKUP(D174,upahbahan,3,FALSE)</f>
        <v>14000000</v>
      </c>
      <c r="H174" s="125">
        <f t="shared" ref="H174:H175" si="19">F174*G174</f>
        <v>896000</v>
      </c>
      <c r="K174" s="328"/>
    </row>
    <row r="175" spans="3:11">
      <c r="C175" s="146">
        <v>2</v>
      </c>
      <c r="D175" s="78" t="s">
        <v>1625</v>
      </c>
      <c r="E175" s="181" t="s">
        <v>66</v>
      </c>
      <c r="F175" s="172">
        <v>0.5</v>
      </c>
      <c r="G175" s="65">
        <f>VLOOKUP(D175,upahbahan,3,FALSE)</f>
        <v>16400</v>
      </c>
      <c r="H175" s="125">
        <f t="shared" si="19"/>
        <v>8200</v>
      </c>
      <c r="K175" s="328"/>
    </row>
    <row r="176" spans="3:11">
      <c r="C176" s="145" t="s">
        <v>1226</v>
      </c>
      <c r="D176" s="81"/>
      <c r="E176" s="81"/>
      <c r="F176" s="81"/>
      <c r="G176" s="163"/>
      <c r="H176" s="125">
        <f>SUM(H174:H175)</f>
        <v>904200</v>
      </c>
      <c r="K176" s="328"/>
    </row>
    <row r="177" spans="3:11">
      <c r="C177" s="153" t="s">
        <v>1227</v>
      </c>
      <c r="D177" s="60" t="s">
        <v>1228</v>
      </c>
      <c r="E177" s="74"/>
      <c r="F177" s="74"/>
      <c r="G177" s="74"/>
      <c r="H177" s="147"/>
      <c r="K177" s="328"/>
    </row>
    <row r="178" spans="3:11">
      <c r="C178" s="145" t="s">
        <v>1229</v>
      </c>
      <c r="D178" s="81"/>
      <c r="E178" s="81"/>
      <c r="F178" s="81"/>
      <c r="G178" s="163"/>
      <c r="H178" s="154">
        <v>0</v>
      </c>
      <c r="K178" s="328"/>
    </row>
    <row r="179" spans="3:11">
      <c r="C179" s="123" t="s">
        <v>1230</v>
      </c>
      <c r="D179" s="70" t="s">
        <v>1231</v>
      </c>
      <c r="E179" s="71"/>
      <c r="F179" s="71"/>
      <c r="G179" s="72"/>
      <c r="H179" s="125">
        <f>H178+H176+H172</f>
        <v>1498700</v>
      </c>
      <c r="K179" s="328"/>
    </row>
    <row r="180" spans="3:11">
      <c r="C180" s="123" t="s">
        <v>1232</v>
      </c>
      <c r="D180" s="70" t="s">
        <v>1410</v>
      </c>
      <c r="E180" s="71"/>
      <c r="F180" s="72"/>
      <c r="G180" s="96">
        <f>$M$7</f>
        <v>0.1</v>
      </c>
      <c r="H180" s="125">
        <f>H179*G180</f>
        <v>149870</v>
      </c>
      <c r="K180" s="328"/>
    </row>
    <row r="181" spans="3:11" ht="15.75" thickBot="1">
      <c r="C181" s="131" t="s">
        <v>1233</v>
      </c>
      <c r="D181" s="132" t="s">
        <v>1234</v>
      </c>
      <c r="E181" s="133"/>
      <c r="F181" s="133"/>
      <c r="G181" s="156"/>
      <c r="H181" s="135">
        <f>SUM(H179:H180)</f>
        <v>1648570</v>
      </c>
      <c r="K181" s="328"/>
    </row>
    <row r="182" spans="3:11" ht="15.75" thickTop="1">
      <c r="C182" s="58"/>
      <c r="D182" s="82"/>
      <c r="E182" s="82"/>
      <c r="F182" s="82"/>
      <c r="G182" s="82"/>
      <c r="H182" s="83"/>
      <c r="K182" s="328"/>
    </row>
    <row r="183" spans="3:11" ht="15.75" thickBot="1">
      <c r="C183" s="237" t="s">
        <v>1646</v>
      </c>
      <c r="D183" s="237"/>
      <c r="E183" s="225"/>
      <c r="F183" s="225"/>
      <c r="G183" s="225"/>
      <c r="H183" s="225"/>
      <c r="I183" s="57">
        <f>ROUNDDOWN(H199,-2)</f>
        <v>1278900</v>
      </c>
      <c r="K183" s="328"/>
    </row>
    <row r="184" spans="3:11" ht="29.25" thickTop="1">
      <c r="C184" s="120" t="s">
        <v>1207</v>
      </c>
      <c r="D184" s="121" t="s">
        <v>1208</v>
      </c>
      <c r="E184" s="121" t="s">
        <v>1209</v>
      </c>
      <c r="F184" s="121" t="s">
        <v>1210</v>
      </c>
      <c r="G184" s="121" t="s">
        <v>1211</v>
      </c>
      <c r="H184" s="122" t="s">
        <v>1212</v>
      </c>
      <c r="K184" s="328"/>
    </row>
    <row r="185" spans="3:11">
      <c r="C185" s="142" t="s">
        <v>1213</v>
      </c>
      <c r="D185" s="60" t="s">
        <v>1214</v>
      </c>
      <c r="E185" s="74"/>
      <c r="F185" s="74"/>
      <c r="G185" s="74"/>
      <c r="H185" s="147"/>
      <c r="K185" s="328"/>
    </row>
    <row r="186" spans="3:11">
      <c r="C186" s="143">
        <v>1</v>
      </c>
      <c r="D186" s="60" t="s">
        <v>5</v>
      </c>
      <c r="E186" s="73" t="s">
        <v>6</v>
      </c>
      <c r="F186" s="75">
        <v>1</v>
      </c>
      <c r="G186" s="65">
        <f>VLOOKUP(D186,upahbahan,3,FALSE)</f>
        <v>100000</v>
      </c>
      <c r="H186" s="125">
        <f t="shared" ref="H186:H189" si="20">F186*G186</f>
        <v>100000</v>
      </c>
      <c r="K186" s="328"/>
    </row>
    <row r="187" spans="3:11">
      <c r="C187" s="143">
        <v>2</v>
      </c>
      <c r="D187" s="60" t="s">
        <v>8</v>
      </c>
      <c r="E187" s="73" t="s">
        <v>6</v>
      </c>
      <c r="F187" s="75">
        <v>3</v>
      </c>
      <c r="G187" s="65">
        <f>VLOOKUP(D187,upahbahan,3,FALSE)</f>
        <v>145000</v>
      </c>
      <c r="H187" s="125">
        <f t="shared" si="20"/>
        <v>435000</v>
      </c>
      <c r="K187" s="328"/>
    </row>
    <row r="188" spans="3:11">
      <c r="C188" s="143">
        <v>3</v>
      </c>
      <c r="D188" s="60" t="s">
        <v>18</v>
      </c>
      <c r="E188" s="73" t="s">
        <v>6</v>
      </c>
      <c r="F188" s="75">
        <v>0.3</v>
      </c>
      <c r="G188" s="65">
        <f>VLOOKUP(D188,upahbahan,3,FALSE)</f>
        <v>150000</v>
      </c>
      <c r="H188" s="125">
        <f t="shared" si="20"/>
        <v>45000</v>
      </c>
      <c r="K188" s="328"/>
    </row>
    <row r="189" spans="3:11">
      <c r="C189" s="143">
        <v>4</v>
      </c>
      <c r="D189" s="60" t="s">
        <v>19</v>
      </c>
      <c r="E189" s="73" t="s">
        <v>6</v>
      </c>
      <c r="F189" s="75">
        <v>0.1</v>
      </c>
      <c r="G189" s="65">
        <f>VLOOKUP(D189,upahbahan,3,FALSE)</f>
        <v>145000</v>
      </c>
      <c r="H189" s="125">
        <f t="shared" si="20"/>
        <v>14500</v>
      </c>
      <c r="K189" s="328"/>
    </row>
    <row r="190" spans="3:11">
      <c r="C190" s="145" t="s">
        <v>1220</v>
      </c>
      <c r="D190" s="81"/>
      <c r="E190" s="81"/>
      <c r="F190" s="220"/>
      <c r="G190" s="221"/>
      <c r="H190" s="125">
        <f>SUM(H186:H189)</f>
        <v>594500</v>
      </c>
      <c r="I190" s="222"/>
      <c r="K190" s="328"/>
    </row>
    <row r="191" spans="3:11">
      <c r="C191" s="142" t="s">
        <v>1221</v>
      </c>
      <c r="D191" s="60" t="s">
        <v>1222</v>
      </c>
      <c r="E191" s="74"/>
      <c r="F191" s="74"/>
      <c r="G191" s="74"/>
      <c r="H191" s="147"/>
      <c r="K191" s="328"/>
    </row>
    <row r="192" spans="3:11">
      <c r="C192" s="146" t="s">
        <v>1215</v>
      </c>
      <c r="D192" s="78" t="s">
        <v>126</v>
      </c>
      <c r="E192" s="181" t="s">
        <v>42</v>
      </c>
      <c r="F192" s="172">
        <v>0.04</v>
      </c>
      <c r="G192" s="65">
        <f>VLOOKUP(D192,upahbahan,3,FALSE)</f>
        <v>14000000</v>
      </c>
      <c r="H192" s="125">
        <f t="shared" ref="H192:H193" si="21">F192*G192</f>
        <v>560000</v>
      </c>
      <c r="K192" s="328"/>
    </row>
    <row r="193" spans="3:11">
      <c r="C193" s="146">
        <v>2</v>
      </c>
      <c r="D193" s="78" t="s">
        <v>1625</v>
      </c>
      <c r="E193" s="181" t="s">
        <v>66</v>
      </c>
      <c r="F193" s="172">
        <v>0.5</v>
      </c>
      <c r="G193" s="65">
        <f>VLOOKUP(D193,upahbahan,3,FALSE)</f>
        <v>16400</v>
      </c>
      <c r="H193" s="125">
        <f t="shared" si="21"/>
        <v>8200</v>
      </c>
      <c r="K193" s="328"/>
    </row>
    <row r="194" spans="3:11">
      <c r="C194" s="145" t="s">
        <v>1226</v>
      </c>
      <c r="D194" s="81"/>
      <c r="E194" s="81"/>
      <c r="F194" s="81"/>
      <c r="G194" s="163"/>
      <c r="H194" s="125">
        <f>SUM(H192:H193)</f>
        <v>568200</v>
      </c>
      <c r="K194" s="328"/>
    </row>
    <row r="195" spans="3:11">
      <c r="C195" s="153" t="s">
        <v>1227</v>
      </c>
      <c r="D195" s="60" t="s">
        <v>1228</v>
      </c>
      <c r="E195" s="74"/>
      <c r="F195" s="74"/>
      <c r="G195" s="74"/>
      <c r="H195" s="147"/>
      <c r="K195" s="328"/>
    </row>
    <row r="196" spans="3:11">
      <c r="C196" s="145" t="s">
        <v>1229</v>
      </c>
      <c r="D196" s="81"/>
      <c r="E196" s="81"/>
      <c r="F196" s="81"/>
      <c r="G196" s="163"/>
      <c r="H196" s="154">
        <v>0</v>
      </c>
      <c r="K196" s="328"/>
    </row>
    <row r="197" spans="3:11">
      <c r="C197" s="123" t="s">
        <v>1230</v>
      </c>
      <c r="D197" s="70" t="s">
        <v>1231</v>
      </c>
      <c r="E197" s="71"/>
      <c r="F197" s="71"/>
      <c r="G197" s="72"/>
      <c r="H197" s="125">
        <f>H196+H194+H190</f>
        <v>1162700</v>
      </c>
      <c r="K197" s="328"/>
    </row>
    <row r="198" spans="3:11">
      <c r="C198" s="123" t="s">
        <v>1232</v>
      </c>
      <c r="D198" s="70" t="s">
        <v>1410</v>
      </c>
      <c r="E198" s="71"/>
      <c r="F198" s="72"/>
      <c r="G198" s="96">
        <f>$M$7</f>
        <v>0.1</v>
      </c>
      <c r="H198" s="125">
        <f>H197*G198</f>
        <v>116270</v>
      </c>
      <c r="K198" s="328"/>
    </row>
    <row r="199" spans="3:11" ht="15.75" thickBot="1">
      <c r="C199" s="131" t="s">
        <v>1233</v>
      </c>
      <c r="D199" s="132" t="s">
        <v>1234</v>
      </c>
      <c r="E199" s="133"/>
      <c r="F199" s="133"/>
      <c r="G199" s="156"/>
      <c r="H199" s="135">
        <f>SUM(H197:H198)</f>
        <v>1278970</v>
      </c>
      <c r="K199" s="328"/>
    </row>
    <row r="200" spans="3:11" ht="15.75" thickTop="1">
      <c r="C200" s="58"/>
      <c r="D200" s="82"/>
      <c r="E200" s="82"/>
      <c r="F200" s="82"/>
      <c r="G200" s="82"/>
      <c r="H200" s="83"/>
      <c r="K200" s="328"/>
    </row>
    <row r="201" spans="3:11" ht="15.75" thickBot="1">
      <c r="C201" s="237" t="s">
        <v>1647</v>
      </c>
      <c r="D201" s="237"/>
      <c r="E201" s="225"/>
      <c r="F201" s="225"/>
      <c r="G201" s="225"/>
      <c r="H201" s="225"/>
      <c r="I201" s="57">
        <f>ROUNDDOWN(H219,-2)</f>
        <v>934700</v>
      </c>
      <c r="K201" s="328"/>
    </row>
    <row r="202" spans="3:11" ht="29.25" thickTop="1">
      <c r="C202" s="120" t="s">
        <v>1207</v>
      </c>
      <c r="D202" s="121" t="s">
        <v>1208</v>
      </c>
      <c r="E202" s="121" t="s">
        <v>1209</v>
      </c>
      <c r="F202" s="121" t="s">
        <v>1210</v>
      </c>
      <c r="G202" s="121" t="s">
        <v>1211</v>
      </c>
      <c r="H202" s="122" t="s">
        <v>1212</v>
      </c>
      <c r="K202" s="328"/>
    </row>
    <row r="203" spans="3:11">
      <c r="C203" s="142" t="s">
        <v>1213</v>
      </c>
      <c r="D203" s="60" t="s">
        <v>1214</v>
      </c>
      <c r="E203" s="74"/>
      <c r="F203" s="74"/>
      <c r="G203" s="74"/>
      <c r="H203" s="147"/>
      <c r="K203" s="328"/>
    </row>
    <row r="204" spans="3:11">
      <c r="C204" s="143">
        <v>1</v>
      </c>
      <c r="D204" s="60" t="s">
        <v>5</v>
      </c>
      <c r="E204" s="73" t="s">
        <v>6</v>
      </c>
      <c r="F204" s="75">
        <v>0.7</v>
      </c>
      <c r="G204" s="65">
        <f>VLOOKUP(D204,upahbahan,3,FALSE)</f>
        <v>100000</v>
      </c>
      <c r="H204" s="125">
        <f t="shared" ref="H204:H207" si="22">F204*G204</f>
        <v>70000</v>
      </c>
      <c r="K204" s="328"/>
    </row>
    <row r="205" spans="3:11">
      <c r="C205" s="143">
        <v>2</v>
      </c>
      <c r="D205" s="60" t="s">
        <v>8</v>
      </c>
      <c r="E205" s="73" t="s">
        <v>6</v>
      </c>
      <c r="F205" s="75">
        <v>2.1</v>
      </c>
      <c r="G205" s="65">
        <f>VLOOKUP(D205,upahbahan,3,FALSE)</f>
        <v>145000</v>
      </c>
      <c r="H205" s="125">
        <f t="shared" si="22"/>
        <v>304500</v>
      </c>
      <c r="K205" s="328"/>
    </row>
    <row r="206" spans="3:11">
      <c r="C206" s="143">
        <v>3</v>
      </c>
      <c r="D206" s="60" t="s">
        <v>18</v>
      </c>
      <c r="E206" s="73" t="s">
        <v>6</v>
      </c>
      <c r="F206" s="75">
        <v>0.21</v>
      </c>
      <c r="G206" s="65">
        <f>VLOOKUP(D206,upahbahan,3,FALSE)</f>
        <v>150000</v>
      </c>
      <c r="H206" s="125">
        <f t="shared" si="22"/>
        <v>31500</v>
      </c>
      <c r="K206" s="328"/>
    </row>
    <row r="207" spans="3:11">
      <c r="C207" s="143">
        <v>4</v>
      </c>
      <c r="D207" s="60" t="s">
        <v>19</v>
      </c>
      <c r="E207" s="73" t="s">
        <v>6</v>
      </c>
      <c r="F207" s="75">
        <v>7.0000000000000007E-2</v>
      </c>
      <c r="G207" s="65">
        <f>VLOOKUP(D207,upahbahan,3,FALSE)</f>
        <v>145000</v>
      </c>
      <c r="H207" s="125">
        <f t="shared" si="22"/>
        <v>10150.000000000002</v>
      </c>
      <c r="K207" s="328"/>
    </row>
    <row r="208" spans="3:11">
      <c r="C208" s="145" t="s">
        <v>1220</v>
      </c>
      <c r="D208" s="81"/>
      <c r="E208" s="81"/>
      <c r="F208" s="220"/>
      <c r="G208" s="221"/>
      <c r="H208" s="125">
        <f>SUM(H204:H207)</f>
        <v>416150</v>
      </c>
      <c r="I208" s="222"/>
      <c r="K208" s="328"/>
    </row>
    <row r="209" spans="3:11">
      <c r="C209" s="142" t="s">
        <v>1221</v>
      </c>
      <c r="D209" s="60" t="s">
        <v>1222</v>
      </c>
      <c r="E209" s="74"/>
      <c r="F209" s="74"/>
      <c r="G209" s="74"/>
      <c r="H209" s="147"/>
      <c r="K209" s="328"/>
    </row>
    <row r="210" spans="3:11">
      <c r="C210" s="146" t="s">
        <v>1215</v>
      </c>
      <c r="D210" s="78" t="s">
        <v>126</v>
      </c>
      <c r="E210" s="181" t="s">
        <v>42</v>
      </c>
      <c r="F210" s="172">
        <v>2.5000000000000001E-2</v>
      </c>
      <c r="G210" s="65">
        <f>VLOOKUP(D210,upahbahan,3,FALSE)</f>
        <v>14000000</v>
      </c>
      <c r="H210" s="125">
        <f t="shared" ref="H210:H213" si="23">F210*G210</f>
        <v>350000</v>
      </c>
      <c r="K210" s="328"/>
    </row>
    <row r="211" spans="3:11">
      <c r="C211" s="146" t="s">
        <v>1216</v>
      </c>
      <c r="D211" s="78" t="s">
        <v>263</v>
      </c>
      <c r="E211" s="181" t="s">
        <v>66</v>
      </c>
      <c r="F211" s="172">
        <v>0.03</v>
      </c>
      <c r="G211" s="65">
        <f>VLOOKUP(D211,upahbahan,3,FALSE)</f>
        <v>15000</v>
      </c>
      <c r="H211" s="125">
        <f t="shared" si="23"/>
        <v>450</v>
      </c>
      <c r="K211" s="328"/>
    </row>
    <row r="212" spans="3:11">
      <c r="C212" s="146" t="s">
        <v>1217</v>
      </c>
      <c r="D212" s="78" t="s">
        <v>1625</v>
      </c>
      <c r="E212" s="181" t="s">
        <v>66</v>
      </c>
      <c r="F212" s="172">
        <v>0.5</v>
      </c>
      <c r="G212" s="65">
        <f>VLOOKUP(D212,upahbahan,3,FALSE)</f>
        <v>16400</v>
      </c>
      <c r="H212" s="125">
        <f t="shared" si="23"/>
        <v>8200</v>
      </c>
      <c r="K212" s="328"/>
    </row>
    <row r="213" spans="3:11">
      <c r="C213" s="146" t="s">
        <v>1218</v>
      </c>
      <c r="D213" s="78" t="s">
        <v>1268</v>
      </c>
      <c r="E213" s="181" t="s">
        <v>133</v>
      </c>
      <c r="F213" s="172">
        <v>1</v>
      </c>
      <c r="G213" s="65">
        <f>VLOOKUP(D213,upahbahan,3,FALSE)</f>
        <v>75000</v>
      </c>
      <c r="H213" s="125">
        <f t="shared" si="23"/>
        <v>75000</v>
      </c>
      <c r="K213" s="328"/>
    </row>
    <row r="214" spans="3:11">
      <c r="C214" s="145" t="s">
        <v>1226</v>
      </c>
      <c r="D214" s="81"/>
      <c r="E214" s="81"/>
      <c r="F214" s="81"/>
      <c r="G214" s="163"/>
      <c r="H214" s="125">
        <f>SUM(H210:H213)</f>
        <v>433650</v>
      </c>
      <c r="K214" s="328"/>
    </row>
    <row r="215" spans="3:11">
      <c r="C215" s="153" t="s">
        <v>1227</v>
      </c>
      <c r="D215" s="60" t="s">
        <v>1228</v>
      </c>
      <c r="E215" s="74"/>
      <c r="F215" s="74"/>
      <c r="G215" s="74"/>
      <c r="H215" s="147"/>
      <c r="K215" s="328"/>
    </row>
    <row r="216" spans="3:11">
      <c r="C216" s="145" t="s">
        <v>1229</v>
      </c>
      <c r="D216" s="81"/>
      <c r="E216" s="81"/>
      <c r="F216" s="81"/>
      <c r="G216" s="163"/>
      <c r="H216" s="154">
        <v>0</v>
      </c>
      <c r="K216" s="328"/>
    </row>
    <row r="217" spans="3:11">
      <c r="C217" s="123" t="s">
        <v>1230</v>
      </c>
      <c r="D217" s="70" t="s">
        <v>1231</v>
      </c>
      <c r="E217" s="71"/>
      <c r="F217" s="71"/>
      <c r="G217" s="72"/>
      <c r="H217" s="125">
        <f>H216+H214+H208</f>
        <v>849800</v>
      </c>
      <c r="K217" s="328"/>
    </row>
    <row r="218" spans="3:11">
      <c r="C218" s="123" t="s">
        <v>1232</v>
      </c>
      <c r="D218" s="70" t="s">
        <v>1410</v>
      </c>
      <c r="E218" s="71"/>
      <c r="F218" s="72"/>
      <c r="G218" s="96">
        <f>$M$7</f>
        <v>0.1</v>
      </c>
      <c r="H218" s="125">
        <f>H217*G218</f>
        <v>84980</v>
      </c>
      <c r="K218" s="328"/>
    </row>
    <row r="219" spans="3:11" ht="15.75" thickBot="1">
      <c r="C219" s="131" t="s">
        <v>1233</v>
      </c>
      <c r="D219" s="132" t="s">
        <v>1234</v>
      </c>
      <c r="E219" s="133"/>
      <c r="F219" s="133"/>
      <c r="G219" s="156"/>
      <c r="H219" s="135">
        <f>SUM(H217:H218)</f>
        <v>934780</v>
      </c>
      <c r="K219" s="328"/>
    </row>
    <row r="220" spans="3:11" ht="15.75" thickTop="1">
      <c r="C220" s="58"/>
      <c r="D220" s="82"/>
      <c r="E220" s="82"/>
      <c r="F220" s="82"/>
      <c r="G220" s="82"/>
      <c r="H220" s="83"/>
      <c r="K220" s="328"/>
    </row>
    <row r="221" spans="3:11" ht="15.75" thickBot="1">
      <c r="C221" s="237" t="s">
        <v>1648</v>
      </c>
      <c r="D221" s="237"/>
      <c r="E221" s="225"/>
      <c r="F221" s="225"/>
      <c r="G221" s="225"/>
      <c r="H221" s="225"/>
      <c r="I221" s="57">
        <f>ROUNDDOWN(H239,-2)</f>
        <v>1003000</v>
      </c>
      <c r="K221" s="328"/>
    </row>
    <row r="222" spans="3:11" ht="29.25" thickTop="1">
      <c r="C222" s="120" t="s">
        <v>1207</v>
      </c>
      <c r="D222" s="121" t="s">
        <v>1208</v>
      </c>
      <c r="E222" s="121" t="s">
        <v>1209</v>
      </c>
      <c r="F222" s="121" t="s">
        <v>1210</v>
      </c>
      <c r="G222" s="121" t="s">
        <v>1211</v>
      </c>
      <c r="H222" s="122" t="s">
        <v>1212</v>
      </c>
      <c r="K222" s="328"/>
    </row>
    <row r="223" spans="3:11">
      <c r="C223" s="142" t="s">
        <v>1213</v>
      </c>
      <c r="D223" s="60" t="s">
        <v>1214</v>
      </c>
      <c r="E223" s="74"/>
      <c r="F223" s="74"/>
      <c r="G223" s="74"/>
      <c r="H223" s="147"/>
      <c r="K223" s="328"/>
    </row>
    <row r="224" spans="3:11">
      <c r="C224" s="143">
        <v>1</v>
      </c>
      <c r="D224" s="60" t="s">
        <v>5</v>
      </c>
      <c r="E224" s="73" t="s">
        <v>6</v>
      </c>
      <c r="F224" s="75">
        <v>0.8</v>
      </c>
      <c r="G224" s="65">
        <f>VLOOKUP(D224,upahbahan,3,FALSE)</f>
        <v>100000</v>
      </c>
      <c r="H224" s="125">
        <f t="shared" ref="H224:H227" si="24">F224*G224</f>
        <v>80000</v>
      </c>
      <c r="K224" s="328"/>
    </row>
    <row r="225" spans="3:11">
      <c r="C225" s="143">
        <v>2</v>
      </c>
      <c r="D225" s="60" t="s">
        <v>8</v>
      </c>
      <c r="E225" s="73" t="s">
        <v>6</v>
      </c>
      <c r="F225" s="75">
        <v>2.4</v>
      </c>
      <c r="G225" s="65">
        <f>VLOOKUP(D225,upahbahan,3,FALSE)</f>
        <v>145000</v>
      </c>
      <c r="H225" s="125">
        <f t="shared" si="24"/>
        <v>348000</v>
      </c>
      <c r="K225" s="328"/>
    </row>
    <row r="226" spans="3:11">
      <c r="C226" s="143">
        <v>3</v>
      </c>
      <c r="D226" s="60" t="s">
        <v>18</v>
      </c>
      <c r="E226" s="73" t="s">
        <v>6</v>
      </c>
      <c r="F226" s="75">
        <v>0.24</v>
      </c>
      <c r="G226" s="65">
        <f>VLOOKUP(D226,upahbahan,3,FALSE)</f>
        <v>150000</v>
      </c>
      <c r="H226" s="125">
        <f t="shared" si="24"/>
        <v>36000</v>
      </c>
      <c r="K226" s="328"/>
    </row>
    <row r="227" spans="3:11">
      <c r="C227" s="143">
        <v>4</v>
      </c>
      <c r="D227" s="60" t="s">
        <v>19</v>
      </c>
      <c r="E227" s="73" t="s">
        <v>6</v>
      </c>
      <c r="F227" s="75">
        <v>0.04</v>
      </c>
      <c r="G227" s="65">
        <f>VLOOKUP(D227,upahbahan,3,FALSE)</f>
        <v>145000</v>
      </c>
      <c r="H227" s="125">
        <f t="shared" si="24"/>
        <v>5800</v>
      </c>
      <c r="K227" s="328"/>
    </row>
    <row r="228" spans="3:11">
      <c r="C228" s="145" t="s">
        <v>1220</v>
      </c>
      <c r="D228" s="81"/>
      <c r="E228" s="81"/>
      <c r="F228" s="220"/>
      <c r="G228" s="221"/>
      <c r="H228" s="125">
        <f>SUM(H224:H227)</f>
        <v>469800</v>
      </c>
      <c r="I228" s="222"/>
      <c r="K228" s="328"/>
    </row>
    <row r="229" spans="3:11">
      <c r="C229" s="142" t="s">
        <v>1221</v>
      </c>
      <c r="D229" s="60" t="s">
        <v>1222</v>
      </c>
      <c r="E229" s="74"/>
      <c r="F229" s="74"/>
      <c r="G229" s="74"/>
      <c r="H229" s="147"/>
      <c r="K229" s="328"/>
    </row>
    <row r="230" spans="3:11">
      <c r="C230" s="146" t="s">
        <v>1215</v>
      </c>
      <c r="D230" s="78" t="s">
        <v>126</v>
      </c>
      <c r="E230" s="181" t="s">
        <v>42</v>
      </c>
      <c r="F230" s="192">
        <v>2.5600000000000001E-2</v>
      </c>
      <c r="G230" s="65">
        <f>VLOOKUP(D230,upahbahan,3,FALSE)</f>
        <v>14000000</v>
      </c>
      <c r="H230" s="125">
        <f t="shared" ref="H230:H233" si="25">F230*G230</f>
        <v>358400</v>
      </c>
      <c r="K230" s="328"/>
    </row>
    <row r="231" spans="3:11">
      <c r="C231" s="146" t="s">
        <v>1216</v>
      </c>
      <c r="D231" s="78" t="s">
        <v>263</v>
      </c>
      <c r="E231" s="181" t="s">
        <v>66</v>
      </c>
      <c r="F231" s="192">
        <v>0.03</v>
      </c>
      <c r="G231" s="65">
        <f>VLOOKUP(D231,upahbahan,3,FALSE)</f>
        <v>15000</v>
      </c>
      <c r="H231" s="125">
        <f t="shared" si="25"/>
        <v>450</v>
      </c>
      <c r="K231" s="328"/>
    </row>
    <row r="232" spans="3:11">
      <c r="C232" s="146" t="s">
        <v>1217</v>
      </c>
      <c r="D232" s="78" t="s">
        <v>1625</v>
      </c>
      <c r="E232" s="181" t="s">
        <v>66</v>
      </c>
      <c r="F232" s="192">
        <v>0.5</v>
      </c>
      <c r="G232" s="65">
        <f>VLOOKUP(D232,upahbahan,3,FALSE)</f>
        <v>16400</v>
      </c>
      <c r="H232" s="125">
        <f t="shared" si="25"/>
        <v>8200</v>
      </c>
      <c r="K232" s="328"/>
    </row>
    <row r="233" spans="3:11">
      <c r="C233" s="146" t="s">
        <v>1218</v>
      </c>
      <c r="D233" s="78" t="s">
        <v>1268</v>
      </c>
      <c r="E233" s="181" t="s">
        <v>133</v>
      </c>
      <c r="F233" s="192">
        <v>1</v>
      </c>
      <c r="G233" s="65">
        <f>VLOOKUP(D233,upahbahan,3,FALSE)</f>
        <v>75000</v>
      </c>
      <c r="H233" s="125">
        <f t="shared" si="25"/>
        <v>75000</v>
      </c>
      <c r="K233" s="328"/>
    </row>
    <row r="234" spans="3:11">
      <c r="C234" s="145" t="s">
        <v>1226</v>
      </c>
      <c r="D234" s="81"/>
      <c r="E234" s="81"/>
      <c r="F234" s="81"/>
      <c r="G234" s="163"/>
      <c r="H234" s="125">
        <f>SUM(H230:H233)</f>
        <v>442050</v>
      </c>
      <c r="K234" s="328"/>
    </row>
    <row r="235" spans="3:11">
      <c r="C235" s="153" t="s">
        <v>1227</v>
      </c>
      <c r="D235" s="60" t="s">
        <v>1228</v>
      </c>
      <c r="E235" s="74"/>
      <c r="F235" s="74"/>
      <c r="G235" s="74"/>
      <c r="H235" s="147"/>
      <c r="K235" s="328"/>
    </row>
    <row r="236" spans="3:11">
      <c r="C236" s="145" t="s">
        <v>1229</v>
      </c>
      <c r="D236" s="81"/>
      <c r="E236" s="81"/>
      <c r="F236" s="81"/>
      <c r="G236" s="163"/>
      <c r="H236" s="154">
        <v>0</v>
      </c>
      <c r="K236" s="328"/>
    </row>
    <row r="237" spans="3:11">
      <c r="C237" s="123" t="s">
        <v>1230</v>
      </c>
      <c r="D237" s="70" t="s">
        <v>1231</v>
      </c>
      <c r="E237" s="71"/>
      <c r="F237" s="71"/>
      <c r="G237" s="72"/>
      <c r="H237" s="125">
        <f>H236+H234+H228</f>
        <v>911850</v>
      </c>
      <c r="K237" s="328"/>
    </row>
    <row r="238" spans="3:11">
      <c r="C238" s="123" t="s">
        <v>1232</v>
      </c>
      <c r="D238" s="70" t="s">
        <v>1410</v>
      </c>
      <c r="E238" s="71"/>
      <c r="F238" s="72"/>
      <c r="G238" s="96">
        <f>$M$7</f>
        <v>0.1</v>
      </c>
      <c r="H238" s="125">
        <f>H237*G238</f>
        <v>91185</v>
      </c>
      <c r="K238" s="328"/>
    </row>
    <row r="239" spans="3:11" ht="15.75" thickBot="1">
      <c r="C239" s="131" t="s">
        <v>1233</v>
      </c>
      <c r="D239" s="132" t="s">
        <v>1234</v>
      </c>
      <c r="E239" s="133"/>
      <c r="F239" s="133"/>
      <c r="G239" s="156"/>
      <c r="H239" s="135">
        <f>SUM(H237:H238)</f>
        <v>1003035</v>
      </c>
      <c r="K239" s="328"/>
    </row>
    <row r="240" spans="3:11" ht="15.75" thickTop="1">
      <c r="C240" s="58"/>
      <c r="D240" s="82"/>
      <c r="E240" s="82"/>
      <c r="F240" s="82"/>
      <c r="G240" s="82"/>
      <c r="H240" s="83"/>
      <c r="K240" s="328"/>
    </row>
    <row r="241" spans="3:11" ht="15.75" thickBot="1">
      <c r="C241" s="519" t="s">
        <v>1649</v>
      </c>
      <c r="D241" s="519"/>
      <c r="E241" s="519"/>
      <c r="F241" s="519"/>
      <c r="G241" s="519"/>
      <c r="H241" s="519"/>
      <c r="I241" s="57">
        <f>ROUNDDOWN(H256,-2)</f>
        <v>11802600</v>
      </c>
      <c r="K241" s="328"/>
    </row>
    <row r="242" spans="3:11" ht="29.25" thickTop="1">
      <c r="C242" s="120" t="s">
        <v>1207</v>
      </c>
      <c r="D242" s="121" t="s">
        <v>1208</v>
      </c>
      <c r="E242" s="121" t="s">
        <v>1209</v>
      </c>
      <c r="F242" s="121" t="s">
        <v>1210</v>
      </c>
      <c r="G242" s="121" t="s">
        <v>1211</v>
      </c>
      <c r="H242" s="122" t="s">
        <v>1212</v>
      </c>
      <c r="K242" s="328"/>
    </row>
    <row r="243" spans="3:11">
      <c r="C243" s="142" t="s">
        <v>1213</v>
      </c>
      <c r="D243" s="60" t="s">
        <v>1214</v>
      </c>
      <c r="E243" s="74"/>
      <c r="F243" s="74"/>
      <c r="G243" s="74"/>
      <c r="H243" s="147"/>
      <c r="K243" s="328"/>
    </row>
    <row r="244" spans="3:11">
      <c r="C244" s="143">
        <v>1</v>
      </c>
      <c r="D244" s="60" t="s">
        <v>5</v>
      </c>
      <c r="E244" s="73" t="s">
        <v>6</v>
      </c>
      <c r="F244" s="75">
        <v>4</v>
      </c>
      <c r="G244" s="65">
        <f>VLOOKUP(D244,upahbahan,3,FALSE)</f>
        <v>100000</v>
      </c>
      <c r="H244" s="125">
        <f t="shared" ref="H244:H247" si="26">F244*G244</f>
        <v>400000</v>
      </c>
      <c r="K244" s="328"/>
    </row>
    <row r="245" spans="3:11">
      <c r="C245" s="143">
        <v>2</v>
      </c>
      <c r="D245" s="60" t="s">
        <v>8</v>
      </c>
      <c r="E245" s="73" t="s">
        <v>6</v>
      </c>
      <c r="F245" s="75">
        <v>2</v>
      </c>
      <c r="G245" s="65">
        <f>VLOOKUP(D245,upahbahan,3,FALSE)</f>
        <v>145000</v>
      </c>
      <c r="H245" s="125">
        <f t="shared" si="26"/>
        <v>290000</v>
      </c>
      <c r="K245" s="328"/>
    </row>
    <row r="246" spans="3:11">
      <c r="C246" s="143">
        <v>3</v>
      </c>
      <c r="D246" s="60" t="s">
        <v>18</v>
      </c>
      <c r="E246" s="73" t="s">
        <v>6</v>
      </c>
      <c r="F246" s="75">
        <v>0.2</v>
      </c>
      <c r="G246" s="65">
        <f>VLOOKUP(D246,upahbahan,3,FALSE)</f>
        <v>150000</v>
      </c>
      <c r="H246" s="125">
        <f t="shared" si="26"/>
        <v>30000</v>
      </c>
      <c r="K246" s="328"/>
    </row>
    <row r="247" spans="3:11">
      <c r="C247" s="143">
        <v>4</v>
      </c>
      <c r="D247" s="60" t="s">
        <v>19</v>
      </c>
      <c r="E247" s="73" t="s">
        <v>6</v>
      </c>
      <c r="F247" s="75">
        <v>6.6699999999999995E-2</v>
      </c>
      <c r="G247" s="65">
        <f>VLOOKUP(D247,upahbahan,3,FALSE)</f>
        <v>145000</v>
      </c>
      <c r="H247" s="125">
        <f t="shared" si="26"/>
        <v>9671.5</v>
      </c>
      <c r="K247" s="328"/>
    </row>
    <row r="248" spans="3:11">
      <c r="C248" s="145" t="s">
        <v>1220</v>
      </c>
      <c r="D248" s="81"/>
      <c r="E248" s="81"/>
      <c r="F248" s="220"/>
      <c r="G248" s="221"/>
      <c r="H248" s="125">
        <f>SUM(H244:H247)</f>
        <v>729671.5</v>
      </c>
      <c r="I248" s="222"/>
      <c r="K248" s="328"/>
    </row>
    <row r="249" spans="3:11">
      <c r="C249" s="142" t="s">
        <v>1221</v>
      </c>
      <c r="D249" s="60" t="s">
        <v>1222</v>
      </c>
      <c r="E249" s="74"/>
      <c r="F249" s="74"/>
      <c r="G249" s="74"/>
      <c r="H249" s="147"/>
      <c r="K249" s="328"/>
    </row>
    <row r="250" spans="3:11">
      <c r="C250" s="146" t="s">
        <v>1215</v>
      </c>
      <c r="D250" s="78" t="s">
        <v>138</v>
      </c>
      <c r="E250" s="181" t="s">
        <v>139</v>
      </c>
      <c r="F250" s="192">
        <v>1</v>
      </c>
      <c r="G250" s="65">
        <f>VLOOKUP(D250,upahbahan,3,FALSE)</f>
        <v>10000000</v>
      </c>
      <c r="H250" s="125">
        <f t="shared" ref="H250" si="27">F250*G250</f>
        <v>10000000</v>
      </c>
      <c r="K250" s="328"/>
    </row>
    <row r="251" spans="3:11">
      <c r="C251" s="145" t="s">
        <v>1226</v>
      </c>
      <c r="D251" s="81"/>
      <c r="E251" s="81"/>
      <c r="F251" s="81"/>
      <c r="G251" s="163"/>
      <c r="H251" s="125">
        <f>SUM(H250:H250)</f>
        <v>10000000</v>
      </c>
      <c r="K251" s="328"/>
    </row>
    <row r="252" spans="3:11">
      <c r="C252" s="153" t="s">
        <v>1227</v>
      </c>
      <c r="D252" s="60" t="s">
        <v>1228</v>
      </c>
      <c r="E252" s="74"/>
      <c r="F252" s="74"/>
      <c r="G252" s="74"/>
      <c r="H252" s="147"/>
      <c r="K252" s="328"/>
    </row>
    <row r="253" spans="3:11">
      <c r="C253" s="145" t="s">
        <v>1229</v>
      </c>
      <c r="D253" s="81"/>
      <c r="E253" s="81"/>
      <c r="F253" s="81"/>
      <c r="G253" s="163"/>
      <c r="H253" s="154">
        <v>0</v>
      </c>
      <c r="K253" s="328"/>
    </row>
    <row r="254" spans="3:11">
      <c r="C254" s="123" t="s">
        <v>1230</v>
      </c>
      <c r="D254" s="70" t="s">
        <v>1231</v>
      </c>
      <c r="E254" s="71"/>
      <c r="F254" s="71"/>
      <c r="G254" s="72"/>
      <c r="H254" s="125">
        <f>H253+H251+H248</f>
        <v>10729671.5</v>
      </c>
      <c r="K254" s="328"/>
    </row>
    <row r="255" spans="3:11">
      <c r="C255" s="123" t="s">
        <v>1232</v>
      </c>
      <c r="D255" s="70" t="s">
        <v>1410</v>
      </c>
      <c r="E255" s="71"/>
      <c r="F255" s="72"/>
      <c r="G255" s="96">
        <f>$M$7</f>
        <v>0.1</v>
      </c>
      <c r="H255" s="125">
        <f>H254*G255</f>
        <v>1072967.1500000001</v>
      </c>
      <c r="K255" s="328"/>
    </row>
    <row r="256" spans="3:11" ht="15.75" thickBot="1">
      <c r="C256" s="131" t="s">
        <v>1233</v>
      </c>
      <c r="D256" s="132" t="s">
        <v>1234</v>
      </c>
      <c r="E256" s="133"/>
      <c r="F256" s="133"/>
      <c r="G256" s="156"/>
      <c r="H256" s="135">
        <f>SUM(H254:H255)</f>
        <v>11802638.65</v>
      </c>
      <c r="K256" s="328"/>
    </row>
    <row r="257" spans="3:11" ht="15.75" thickTop="1">
      <c r="C257" s="58"/>
      <c r="D257" s="82"/>
      <c r="E257" s="82"/>
      <c r="F257" s="82"/>
      <c r="G257" s="82"/>
      <c r="H257" s="83"/>
      <c r="K257" s="328"/>
    </row>
    <row r="258" spans="3:11" ht="15.75" thickBot="1">
      <c r="C258" s="519" t="s">
        <v>1650</v>
      </c>
      <c r="D258" s="519"/>
      <c r="E258" s="519"/>
      <c r="F258" s="519"/>
      <c r="G258" s="519"/>
      <c r="H258" s="519"/>
      <c r="I258" s="57">
        <f>ROUNDDOWN(H275,-2)</f>
        <v>1402800</v>
      </c>
      <c r="K258" s="328"/>
    </row>
    <row r="259" spans="3:11" ht="29.25" thickTop="1">
      <c r="C259" s="120" t="s">
        <v>1207</v>
      </c>
      <c r="D259" s="121" t="s">
        <v>1208</v>
      </c>
      <c r="E259" s="121" t="s">
        <v>1209</v>
      </c>
      <c r="F259" s="121" t="s">
        <v>1210</v>
      </c>
      <c r="G259" s="121" t="s">
        <v>1211</v>
      </c>
      <c r="H259" s="122" t="s">
        <v>1212</v>
      </c>
      <c r="K259" s="328"/>
    </row>
    <row r="260" spans="3:11">
      <c r="C260" s="142" t="s">
        <v>1213</v>
      </c>
      <c r="D260" s="60" t="s">
        <v>1214</v>
      </c>
      <c r="E260" s="74"/>
      <c r="F260" s="74"/>
      <c r="G260" s="74"/>
      <c r="H260" s="147"/>
      <c r="K260" s="328"/>
    </row>
    <row r="261" spans="3:11">
      <c r="C261" s="143">
        <v>1</v>
      </c>
      <c r="D261" s="60" t="s">
        <v>5</v>
      </c>
      <c r="E261" s="73" t="s">
        <v>6</v>
      </c>
      <c r="F261" s="75">
        <v>1.05</v>
      </c>
      <c r="G261" s="65">
        <f>VLOOKUP(D261,upahbahan,3,FALSE)</f>
        <v>100000</v>
      </c>
      <c r="H261" s="125">
        <f t="shared" ref="H261:H264" si="28">F261*G261</f>
        <v>105000</v>
      </c>
      <c r="K261" s="328"/>
    </row>
    <row r="262" spans="3:11">
      <c r="C262" s="143">
        <v>2</v>
      </c>
      <c r="D262" s="60" t="s">
        <v>9</v>
      </c>
      <c r="E262" s="73" t="s">
        <v>6</v>
      </c>
      <c r="F262" s="75">
        <v>1.05</v>
      </c>
      <c r="G262" s="65">
        <f>VLOOKUP(D262,upahbahan,3,FALSE)</f>
        <v>145000</v>
      </c>
      <c r="H262" s="125">
        <f t="shared" si="28"/>
        <v>152250</v>
      </c>
      <c r="K262" s="328"/>
    </row>
    <row r="263" spans="3:11">
      <c r="C263" s="143">
        <v>3</v>
      </c>
      <c r="D263" s="60" t="s">
        <v>18</v>
      </c>
      <c r="E263" s="73" t="s">
        <v>6</v>
      </c>
      <c r="F263" s="75">
        <v>0.105</v>
      </c>
      <c r="G263" s="65">
        <f>VLOOKUP(D263,upahbahan,3,FALSE)</f>
        <v>150000</v>
      </c>
      <c r="H263" s="125">
        <f t="shared" si="28"/>
        <v>15750</v>
      </c>
      <c r="K263" s="328"/>
    </row>
    <row r="264" spans="3:11">
      <c r="C264" s="143">
        <v>4</v>
      </c>
      <c r="D264" s="60" t="s">
        <v>19</v>
      </c>
      <c r="E264" s="73" t="s">
        <v>6</v>
      </c>
      <c r="F264" s="75">
        <v>3.5000000000000003E-2</v>
      </c>
      <c r="G264" s="65">
        <f>VLOOKUP(D264,upahbahan,3,FALSE)</f>
        <v>145000</v>
      </c>
      <c r="H264" s="125">
        <f t="shared" si="28"/>
        <v>5075.0000000000009</v>
      </c>
      <c r="K264" s="328"/>
    </row>
    <row r="265" spans="3:11">
      <c r="C265" s="145" t="s">
        <v>1220</v>
      </c>
      <c r="D265" s="81"/>
      <c r="E265" s="81"/>
      <c r="F265" s="220"/>
      <c r="G265" s="221"/>
      <c r="H265" s="125">
        <f>SUM(H261:H264)</f>
        <v>278075</v>
      </c>
      <c r="I265" s="222"/>
      <c r="K265" s="328"/>
    </row>
    <row r="266" spans="3:11">
      <c r="C266" s="142" t="s">
        <v>1221</v>
      </c>
      <c r="D266" s="60" t="s">
        <v>1222</v>
      </c>
      <c r="E266" s="74"/>
      <c r="F266" s="74"/>
      <c r="G266" s="74"/>
      <c r="H266" s="147"/>
      <c r="K266" s="328"/>
    </row>
    <row r="267" spans="3:11">
      <c r="C267" s="146" t="s">
        <v>1215</v>
      </c>
      <c r="D267" s="78" t="s">
        <v>231</v>
      </c>
      <c r="E267" s="181" t="s">
        <v>66</v>
      </c>
      <c r="F267" s="172">
        <v>15</v>
      </c>
      <c r="G267" s="65">
        <f>VLOOKUP(D267,upahbahan,3,FALSE)</f>
        <v>13000</v>
      </c>
      <c r="H267" s="125">
        <f t="shared" ref="H267:H269" si="29">F267*G267</f>
        <v>195000</v>
      </c>
      <c r="K267" s="328"/>
    </row>
    <row r="268" spans="3:11">
      <c r="C268" s="146" t="s">
        <v>1216</v>
      </c>
      <c r="D268" s="78" t="s">
        <v>228</v>
      </c>
      <c r="E268" s="181" t="s">
        <v>66</v>
      </c>
      <c r="F268" s="172">
        <v>32</v>
      </c>
      <c r="G268" s="65">
        <f>VLOOKUP(D268,upahbahan,3,FALSE)</f>
        <v>25000</v>
      </c>
      <c r="H268" s="125">
        <f t="shared" si="29"/>
        <v>800000</v>
      </c>
      <c r="K268" s="328"/>
    </row>
    <row r="269" spans="3:11">
      <c r="C269" s="146" t="s">
        <v>1217</v>
      </c>
      <c r="D269" s="78" t="s">
        <v>1651</v>
      </c>
      <c r="E269" s="181" t="s">
        <v>66</v>
      </c>
      <c r="F269" s="172">
        <v>0.05</v>
      </c>
      <c r="G269" s="65">
        <f>VLOOKUP(D269,upahbahan,3,FALSE)</f>
        <v>45550</v>
      </c>
      <c r="H269" s="125">
        <f t="shared" si="29"/>
        <v>2277.5</v>
      </c>
      <c r="K269" s="328"/>
    </row>
    <row r="270" spans="3:11">
      <c r="C270" s="145" t="s">
        <v>1226</v>
      </c>
      <c r="D270" s="81"/>
      <c r="E270" s="81"/>
      <c r="F270" s="81"/>
      <c r="G270" s="163"/>
      <c r="H270" s="125">
        <f>SUM(H267:H269)</f>
        <v>997277.5</v>
      </c>
      <c r="K270" s="328"/>
    </row>
    <row r="271" spans="3:11">
      <c r="C271" s="153" t="s">
        <v>1227</v>
      </c>
      <c r="D271" s="60" t="s">
        <v>1228</v>
      </c>
      <c r="E271" s="74"/>
      <c r="F271" s="74"/>
      <c r="G271" s="74"/>
      <c r="H271" s="147"/>
      <c r="K271" s="328"/>
    </row>
    <row r="272" spans="3:11">
      <c r="C272" s="145" t="s">
        <v>1229</v>
      </c>
      <c r="D272" s="81"/>
      <c r="E272" s="81"/>
      <c r="F272" s="81"/>
      <c r="G272" s="163"/>
      <c r="H272" s="154">
        <v>0</v>
      </c>
      <c r="K272" s="328"/>
    </row>
    <row r="273" spans="3:11">
      <c r="C273" s="123" t="s">
        <v>1230</v>
      </c>
      <c r="D273" s="70" t="s">
        <v>1231</v>
      </c>
      <c r="E273" s="71"/>
      <c r="F273" s="71"/>
      <c r="G273" s="72"/>
      <c r="H273" s="125">
        <f>H272+H270+H265</f>
        <v>1275352.5</v>
      </c>
      <c r="K273" s="328"/>
    </row>
    <row r="274" spans="3:11">
      <c r="C274" s="123" t="s">
        <v>1232</v>
      </c>
      <c r="D274" s="70" t="s">
        <v>1410</v>
      </c>
      <c r="E274" s="71"/>
      <c r="F274" s="72"/>
      <c r="G274" s="96">
        <f>$M$7</f>
        <v>0.1</v>
      </c>
      <c r="H274" s="125">
        <f>H273*G274</f>
        <v>127535.25</v>
      </c>
      <c r="K274" s="328"/>
    </row>
    <row r="275" spans="3:11" ht="15.75" thickBot="1">
      <c r="C275" s="131" t="s">
        <v>1233</v>
      </c>
      <c r="D275" s="132" t="s">
        <v>1234</v>
      </c>
      <c r="E275" s="133"/>
      <c r="F275" s="133"/>
      <c r="G275" s="156"/>
      <c r="H275" s="135">
        <f>SUM(H273:H274)</f>
        <v>1402887.75</v>
      </c>
      <c r="K275" s="328"/>
    </row>
    <row r="276" spans="3:11" ht="15.75" thickTop="1">
      <c r="C276" s="58"/>
      <c r="D276" s="82"/>
      <c r="E276" s="82"/>
      <c r="F276" s="82"/>
      <c r="G276" s="82"/>
      <c r="H276" s="83"/>
      <c r="K276" s="328"/>
    </row>
    <row r="277" spans="3:11" ht="15.75" thickBot="1">
      <c r="C277" s="224" t="s">
        <v>1652</v>
      </c>
      <c r="D277" s="224"/>
      <c r="E277" s="224"/>
      <c r="F277" s="224"/>
      <c r="G277" s="224"/>
      <c r="H277" s="224"/>
      <c r="I277" s="57">
        <f>ROUNDDOWN(H292,-2)</f>
        <v>9258800</v>
      </c>
      <c r="K277" s="328"/>
    </row>
    <row r="278" spans="3:11" ht="29.25" thickTop="1">
      <c r="C278" s="120" t="s">
        <v>1207</v>
      </c>
      <c r="D278" s="121" t="s">
        <v>1208</v>
      </c>
      <c r="E278" s="121" t="s">
        <v>1209</v>
      </c>
      <c r="F278" s="121" t="s">
        <v>1210</v>
      </c>
      <c r="G278" s="121" t="s">
        <v>1211</v>
      </c>
      <c r="H278" s="122" t="s">
        <v>1212</v>
      </c>
      <c r="K278" s="328"/>
    </row>
    <row r="279" spans="3:11">
      <c r="C279" s="142" t="s">
        <v>1213</v>
      </c>
      <c r="D279" s="60" t="s">
        <v>1214</v>
      </c>
      <c r="E279" s="74"/>
      <c r="F279" s="74"/>
      <c r="G279" s="74"/>
      <c r="H279" s="147"/>
      <c r="K279" s="328"/>
    </row>
    <row r="280" spans="3:11">
      <c r="C280" s="143">
        <v>1</v>
      </c>
      <c r="D280" s="60" t="s">
        <v>5</v>
      </c>
      <c r="E280" s="73" t="s">
        <v>6</v>
      </c>
      <c r="F280" s="94">
        <v>1.575</v>
      </c>
      <c r="G280" s="65">
        <f>VLOOKUP(D280,upahbahan,3,FALSE)</f>
        <v>100000</v>
      </c>
      <c r="H280" s="125">
        <f t="shared" ref="H280:H283" si="30">F280*G280</f>
        <v>157500</v>
      </c>
      <c r="K280" s="328"/>
    </row>
    <row r="281" spans="3:11">
      <c r="C281" s="143">
        <v>2</v>
      </c>
      <c r="D281" s="60" t="s">
        <v>9</v>
      </c>
      <c r="E281" s="73" t="s">
        <v>6</v>
      </c>
      <c r="F281" s="94">
        <v>1.575</v>
      </c>
      <c r="G281" s="65">
        <f>VLOOKUP(D281,upahbahan,3,FALSE)</f>
        <v>145000</v>
      </c>
      <c r="H281" s="125">
        <f t="shared" si="30"/>
        <v>228375</v>
      </c>
      <c r="K281" s="328"/>
    </row>
    <row r="282" spans="3:11">
      <c r="C282" s="143">
        <v>3</v>
      </c>
      <c r="D282" s="60" t="s">
        <v>18</v>
      </c>
      <c r="E282" s="73" t="s">
        <v>6</v>
      </c>
      <c r="F282" s="94">
        <v>0.1575</v>
      </c>
      <c r="G282" s="65">
        <f>VLOOKUP(D282,upahbahan,3,FALSE)</f>
        <v>150000</v>
      </c>
      <c r="H282" s="125">
        <f t="shared" si="30"/>
        <v>23625</v>
      </c>
      <c r="K282" s="328"/>
    </row>
    <row r="283" spans="3:11">
      <c r="C283" s="143">
        <v>4</v>
      </c>
      <c r="D283" s="60" t="s">
        <v>19</v>
      </c>
      <c r="E283" s="73" t="s">
        <v>6</v>
      </c>
      <c r="F283" s="94">
        <v>5.2499999999999998E-2</v>
      </c>
      <c r="G283" s="65">
        <f>VLOOKUP(D283,upahbahan,3,FALSE)</f>
        <v>145000</v>
      </c>
      <c r="H283" s="125">
        <f t="shared" si="30"/>
        <v>7612.5</v>
      </c>
      <c r="K283" s="328"/>
    </row>
    <row r="284" spans="3:11">
      <c r="C284" s="145" t="s">
        <v>1220</v>
      </c>
      <c r="D284" s="81"/>
      <c r="E284" s="81"/>
      <c r="F284" s="220"/>
      <c r="G284" s="221"/>
      <c r="H284" s="125">
        <f>SUM(H280:H283)</f>
        <v>417112.5</v>
      </c>
      <c r="I284" s="222"/>
      <c r="K284" s="328"/>
    </row>
    <row r="285" spans="3:11">
      <c r="C285" s="142" t="s">
        <v>1221</v>
      </c>
      <c r="D285" s="60" t="s">
        <v>1222</v>
      </c>
      <c r="E285" s="74"/>
      <c r="F285" s="74"/>
      <c r="G285" s="74"/>
      <c r="H285" s="147"/>
      <c r="K285" s="328"/>
    </row>
    <row r="286" spans="3:11">
      <c r="C286" s="146" t="s">
        <v>1215</v>
      </c>
      <c r="D286" s="78" t="s">
        <v>274</v>
      </c>
      <c r="E286" s="181" t="s">
        <v>139</v>
      </c>
      <c r="F286" s="172">
        <v>1</v>
      </c>
      <c r="G286" s="65">
        <f>VLOOKUP(D286,upahbahan,3,FALSE)</f>
        <v>8000000</v>
      </c>
      <c r="H286" s="125">
        <f t="shared" ref="H286" si="31">F286*G286</f>
        <v>8000000</v>
      </c>
      <c r="K286" s="328"/>
    </row>
    <row r="287" spans="3:11">
      <c r="C287" s="145" t="s">
        <v>1226</v>
      </c>
      <c r="D287" s="81"/>
      <c r="E287" s="81"/>
      <c r="F287" s="81"/>
      <c r="G287" s="163"/>
      <c r="H287" s="125">
        <f>SUM(H286:H286)</f>
        <v>8000000</v>
      </c>
      <c r="K287" s="328"/>
    </row>
    <row r="288" spans="3:11">
      <c r="C288" s="153" t="s">
        <v>1227</v>
      </c>
      <c r="D288" s="60" t="s">
        <v>1228</v>
      </c>
      <c r="E288" s="74"/>
      <c r="F288" s="74"/>
      <c r="G288" s="74"/>
      <c r="H288" s="147"/>
      <c r="K288" s="328"/>
    </row>
    <row r="289" spans="3:11">
      <c r="C289" s="145" t="s">
        <v>1229</v>
      </c>
      <c r="D289" s="81"/>
      <c r="E289" s="81"/>
      <c r="F289" s="81"/>
      <c r="G289" s="163"/>
      <c r="H289" s="154">
        <v>0</v>
      </c>
      <c r="K289" s="328"/>
    </row>
    <row r="290" spans="3:11">
      <c r="C290" s="123" t="s">
        <v>1230</v>
      </c>
      <c r="D290" s="70" t="s">
        <v>1231</v>
      </c>
      <c r="E290" s="71"/>
      <c r="F290" s="71"/>
      <c r="G290" s="72"/>
      <c r="H290" s="125">
        <f>H289+H287+H284</f>
        <v>8417112.5</v>
      </c>
      <c r="K290" s="328"/>
    </row>
    <row r="291" spans="3:11">
      <c r="C291" s="123" t="s">
        <v>1232</v>
      </c>
      <c r="D291" s="70" t="s">
        <v>1410</v>
      </c>
      <c r="E291" s="71"/>
      <c r="F291" s="72"/>
      <c r="G291" s="96">
        <f>$M$7</f>
        <v>0.1</v>
      </c>
      <c r="H291" s="125">
        <f>H290*G291</f>
        <v>841711.25</v>
      </c>
      <c r="K291" s="328"/>
    </row>
    <row r="292" spans="3:11" ht="15.75" thickBot="1">
      <c r="C292" s="131" t="s">
        <v>1233</v>
      </c>
      <c r="D292" s="132" t="s">
        <v>1234</v>
      </c>
      <c r="E292" s="133"/>
      <c r="F292" s="133"/>
      <c r="G292" s="156"/>
      <c r="H292" s="135">
        <f>SUM(H290:H291)</f>
        <v>9258823.75</v>
      </c>
      <c r="K292" s="328"/>
    </row>
    <row r="293" spans="3:11" ht="15.75" thickTop="1">
      <c r="C293" s="58"/>
      <c r="D293" s="82"/>
      <c r="E293" s="82"/>
      <c r="F293" s="82"/>
      <c r="G293" s="82"/>
      <c r="H293" s="83"/>
      <c r="K293" s="328"/>
    </row>
    <row r="294" spans="3:11" ht="15.75" thickBot="1">
      <c r="C294" s="224" t="s">
        <v>1653</v>
      </c>
      <c r="D294" s="224"/>
      <c r="E294" s="224"/>
      <c r="F294" s="224"/>
      <c r="G294" s="224"/>
      <c r="H294" s="224"/>
      <c r="I294" s="57">
        <f>ROUNDDOWN(H311,-2)</f>
        <v>1444600</v>
      </c>
      <c r="K294" s="328"/>
    </row>
    <row r="295" spans="3:11" ht="29.25" thickTop="1">
      <c r="C295" s="120" t="s">
        <v>1207</v>
      </c>
      <c r="D295" s="121" t="s">
        <v>1208</v>
      </c>
      <c r="E295" s="121" t="s">
        <v>1209</v>
      </c>
      <c r="F295" s="121" t="s">
        <v>1210</v>
      </c>
      <c r="G295" s="121" t="s">
        <v>1211</v>
      </c>
      <c r="H295" s="122" t="s">
        <v>1212</v>
      </c>
      <c r="K295" s="328"/>
    </row>
    <row r="296" spans="3:11">
      <c r="C296" s="142" t="s">
        <v>1213</v>
      </c>
      <c r="D296" s="60" t="s">
        <v>1214</v>
      </c>
      <c r="E296" s="74"/>
      <c r="F296" s="74"/>
      <c r="G296" s="74"/>
      <c r="H296" s="147"/>
      <c r="K296" s="328"/>
    </row>
    <row r="297" spans="3:11">
      <c r="C297" s="143">
        <v>1</v>
      </c>
      <c r="D297" s="60" t="s">
        <v>5</v>
      </c>
      <c r="E297" s="73" t="s">
        <v>6</v>
      </c>
      <c r="F297" s="75">
        <v>1</v>
      </c>
      <c r="G297" s="65">
        <f>VLOOKUP(D297,upahbahan,3,FALSE)</f>
        <v>100000</v>
      </c>
      <c r="H297" s="125">
        <f t="shared" ref="H297:H300" si="32">F297*G297</f>
        <v>100000</v>
      </c>
      <c r="K297" s="328"/>
    </row>
    <row r="298" spans="3:11">
      <c r="C298" s="143">
        <v>2</v>
      </c>
      <c r="D298" s="60" t="s">
        <v>9</v>
      </c>
      <c r="E298" s="73" t="s">
        <v>6</v>
      </c>
      <c r="F298" s="75">
        <v>3</v>
      </c>
      <c r="G298" s="65">
        <f>VLOOKUP(D298,upahbahan,3,FALSE)</f>
        <v>145000</v>
      </c>
      <c r="H298" s="125">
        <f t="shared" si="32"/>
        <v>435000</v>
      </c>
      <c r="K298" s="328"/>
    </row>
    <row r="299" spans="3:11">
      <c r="C299" s="143">
        <v>3</v>
      </c>
      <c r="D299" s="60" t="s">
        <v>18</v>
      </c>
      <c r="E299" s="73" t="s">
        <v>6</v>
      </c>
      <c r="F299" s="75">
        <v>0.3</v>
      </c>
      <c r="G299" s="65">
        <f>VLOOKUP(D299,upahbahan,3,FALSE)</f>
        <v>150000</v>
      </c>
      <c r="H299" s="125">
        <f t="shared" si="32"/>
        <v>45000</v>
      </c>
      <c r="K299" s="328"/>
    </row>
    <row r="300" spans="3:11">
      <c r="C300" s="143">
        <v>4</v>
      </c>
      <c r="D300" s="60" t="s">
        <v>19</v>
      </c>
      <c r="E300" s="73" t="s">
        <v>6</v>
      </c>
      <c r="F300" s="75">
        <v>0.1</v>
      </c>
      <c r="G300" s="65">
        <f>VLOOKUP(D300,upahbahan,3,FALSE)</f>
        <v>145000</v>
      </c>
      <c r="H300" s="125">
        <f t="shared" si="32"/>
        <v>14500</v>
      </c>
      <c r="K300" s="328"/>
    </row>
    <row r="301" spans="3:11">
      <c r="C301" s="145" t="s">
        <v>1220</v>
      </c>
      <c r="D301" s="81"/>
      <c r="E301" s="81"/>
      <c r="F301" s="220"/>
      <c r="G301" s="221"/>
      <c r="H301" s="125">
        <f>SUM(H297:H300)</f>
        <v>594500</v>
      </c>
      <c r="I301" s="222"/>
      <c r="K301" s="328"/>
    </row>
    <row r="302" spans="3:11">
      <c r="C302" s="142" t="s">
        <v>1221</v>
      </c>
      <c r="D302" s="60" t="s">
        <v>1222</v>
      </c>
      <c r="E302" s="74"/>
      <c r="F302" s="74"/>
      <c r="G302" s="74"/>
      <c r="H302" s="147"/>
      <c r="K302" s="328"/>
    </row>
    <row r="303" spans="3:11">
      <c r="C303" s="146" t="s">
        <v>1215</v>
      </c>
      <c r="D303" s="78" t="s">
        <v>112</v>
      </c>
      <c r="E303" s="181" t="s">
        <v>63</v>
      </c>
      <c r="F303" s="172">
        <v>1</v>
      </c>
      <c r="G303" s="65">
        <f>VLOOKUP(D303,upahbahan,3,FALSE)</f>
        <v>410600</v>
      </c>
      <c r="H303" s="125">
        <f t="shared" ref="H303:H305" si="33">F303*G303</f>
        <v>410600</v>
      </c>
      <c r="K303" s="328"/>
    </row>
    <row r="304" spans="3:11">
      <c r="C304" s="146" t="s">
        <v>1216</v>
      </c>
      <c r="D304" s="78" t="s">
        <v>1014</v>
      </c>
      <c r="E304" s="181" t="s">
        <v>66</v>
      </c>
      <c r="F304" s="172">
        <v>0.5</v>
      </c>
      <c r="G304" s="65">
        <f>VLOOKUP(D304,upahbahan,3,FALSE)</f>
        <v>16400</v>
      </c>
      <c r="H304" s="125">
        <f t="shared" si="33"/>
        <v>8200</v>
      </c>
      <c r="K304" s="328"/>
    </row>
    <row r="305" spans="3:11">
      <c r="C305" s="146" t="s">
        <v>1217</v>
      </c>
      <c r="D305" s="78" t="s">
        <v>149</v>
      </c>
      <c r="E305" s="181" t="s">
        <v>63</v>
      </c>
      <c r="F305" s="172">
        <v>2</v>
      </c>
      <c r="G305" s="65">
        <f>VLOOKUP(D305,upahbahan,3,FALSE)</f>
        <v>150000</v>
      </c>
      <c r="H305" s="125">
        <f t="shared" si="33"/>
        <v>300000</v>
      </c>
      <c r="K305" s="328"/>
    </row>
    <row r="306" spans="3:11">
      <c r="C306" s="145" t="s">
        <v>1226</v>
      </c>
      <c r="D306" s="81"/>
      <c r="E306" s="81"/>
      <c r="F306" s="81"/>
      <c r="G306" s="163"/>
      <c r="H306" s="125">
        <f>SUM(H303:H305)</f>
        <v>718800</v>
      </c>
      <c r="K306" s="328"/>
    </row>
    <row r="307" spans="3:11">
      <c r="C307" s="153" t="s">
        <v>1227</v>
      </c>
      <c r="D307" s="60" t="s">
        <v>1228</v>
      </c>
      <c r="E307" s="74"/>
      <c r="F307" s="74"/>
      <c r="G307" s="74"/>
      <c r="H307" s="147"/>
      <c r="K307" s="328"/>
    </row>
    <row r="308" spans="3:11">
      <c r="C308" s="145" t="s">
        <v>1229</v>
      </c>
      <c r="D308" s="81"/>
      <c r="E308" s="81"/>
      <c r="F308" s="81"/>
      <c r="G308" s="163"/>
      <c r="H308" s="154">
        <v>0</v>
      </c>
      <c r="K308" s="328"/>
    </row>
    <row r="309" spans="3:11">
      <c r="C309" s="123" t="s">
        <v>1230</v>
      </c>
      <c r="D309" s="70" t="s">
        <v>1231</v>
      </c>
      <c r="E309" s="71"/>
      <c r="F309" s="71"/>
      <c r="G309" s="72"/>
      <c r="H309" s="125">
        <f>H308+H306+H301</f>
        <v>1313300</v>
      </c>
      <c r="K309" s="328"/>
    </row>
    <row r="310" spans="3:11">
      <c r="C310" s="123" t="s">
        <v>1232</v>
      </c>
      <c r="D310" s="70" t="s">
        <v>1410</v>
      </c>
      <c r="E310" s="71"/>
      <c r="F310" s="72"/>
      <c r="G310" s="96">
        <f>$M$7</f>
        <v>0.1</v>
      </c>
      <c r="H310" s="125">
        <f>H309*G310</f>
        <v>131330</v>
      </c>
      <c r="K310" s="328"/>
    </row>
    <row r="311" spans="3:11" ht="15.75" thickBot="1">
      <c r="C311" s="131" t="s">
        <v>1233</v>
      </c>
      <c r="D311" s="132" t="s">
        <v>1234</v>
      </c>
      <c r="E311" s="133"/>
      <c r="F311" s="133"/>
      <c r="G311" s="156"/>
      <c r="H311" s="135">
        <f>SUM(H309:H310)</f>
        <v>1444630</v>
      </c>
      <c r="K311" s="328"/>
    </row>
    <row r="312" spans="3:11" ht="15.75" thickTop="1">
      <c r="C312" s="58"/>
      <c r="D312" s="82"/>
      <c r="E312" s="82"/>
      <c r="F312" s="82"/>
      <c r="G312" s="82"/>
      <c r="H312" s="83"/>
      <c r="K312" s="328"/>
    </row>
    <row r="313" spans="3:11" ht="15.75" thickBot="1">
      <c r="C313" s="224" t="s">
        <v>1654</v>
      </c>
      <c r="D313" s="224"/>
      <c r="E313" s="224"/>
      <c r="F313" s="224"/>
      <c r="G313" s="224"/>
      <c r="H313" s="224"/>
      <c r="I313" s="57">
        <f>ROUNDDOWN(H329,-2)</f>
        <v>368700</v>
      </c>
      <c r="K313" s="328"/>
    </row>
    <row r="314" spans="3:11" ht="29.25" thickTop="1">
      <c r="C314" s="120" t="s">
        <v>1207</v>
      </c>
      <c r="D314" s="121" t="s">
        <v>1208</v>
      </c>
      <c r="E314" s="121" t="s">
        <v>1209</v>
      </c>
      <c r="F314" s="121" t="s">
        <v>1210</v>
      </c>
      <c r="G314" s="121" t="s">
        <v>1211</v>
      </c>
      <c r="H314" s="122" t="s">
        <v>1212</v>
      </c>
      <c r="K314" s="328"/>
    </row>
    <row r="315" spans="3:11">
      <c r="C315" s="142" t="s">
        <v>1213</v>
      </c>
      <c r="D315" s="60" t="s">
        <v>1214</v>
      </c>
      <c r="E315" s="74"/>
      <c r="F315" s="74"/>
      <c r="G315" s="74"/>
      <c r="H315" s="147"/>
      <c r="K315" s="328"/>
    </row>
    <row r="316" spans="3:11">
      <c r="C316" s="143">
        <v>1</v>
      </c>
      <c r="D316" s="60" t="s">
        <v>5</v>
      </c>
      <c r="E316" s="73" t="s">
        <v>6</v>
      </c>
      <c r="F316" s="75">
        <v>0.2</v>
      </c>
      <c r="G316" s="65">
        <f>VLOOKUP(D316,upahbahan,3,FALSE)</f>
        <v>100000</v>
      </c>
      <c r="H316" s="125">
        <f t="shared" ref="H316:H319" si="34">F316*G316</f>
        <v>20000</v>
      </c>
      <c r="K316" s="328"/>
    </row>
    <row r="317" spans="3:11">
      <c r="C317" s="143">
        <v>2</v>
      </c>
      <c r="D317" s="60" t="s">
        <v>9</v>
      </c>
      <c r="E317" s="73" t="s">
        <v>6</v>
      </c>
      <c r="F317" s="75">
        <v>0.2</v>
      </c>
      <c r="G317" s="65">
        <f>VLOOKUP(D317,upahbahan,3,FALSE)</f>
        <v>145000</v>
      </c>
      <c r="H317" s="125">
        <f t="shared" si="34"/>
        <v>29000</v>
      </c>
      <c r="K317" s="328"/>
    </row>
    <row r="318" spans="3:11">
      <c r="C318" s="143">
        <v>3</v>
      </c>
      <c r="D318" s="60" t="s">
        <v>18</v>
      </c>
      <c r="E318" s="73" t="s">
        <v>6</v>
      </c>
      <c r="F318" s="75">
        <v>0.02</v>
      </c>
      <c r="G318" s="65">
        <f>VLOOKUP(D318,upahbahan,3,FALSE)</f>
        <v>150000</v>
      </c>
      <c r="H318" s="125">
        <f t="shared" si="34"/>
        <v>3000</v>
      </c>
      <c r="K318" s="328"/>
    </row>
    <row r="319" spans="3:11">
      <c r="C319" s="143">
        <v>4</v>
      </c>
      <c r="D319" s="60" t="s">
        <v>19</v>
      </c>
      <c r="E319" s="73" t="s">
        <v>6</v>
      </c>
      <c r="F319" s="75">
        <v>7.0000000000000001E-3</v>
      </c>
      <c r="G319" s="65">
        <f>VLOOKUP(D319,upahbahan,3,FALSE)</f>
        <v>145000</v>
      </c>
      <c r="H319" s="125">
        <f t="shared" si="34"/>
        <v>1015</v>
      </c>
      <c r="K319" s="328"/>
    </row>
    <row r="320" spans="3:11">
      <c r="C320" s="145" t="s">
        <v>1220</v>
      </c>
      <c r="D320" s="81"/>
      <c r="E320" s="81"/>
      <c r="F320" s="220"/>
      <c r="G320" s="221"/>
      <c r="H320" s="125">
        <f>SUM(H316:H319)</f>
        <v>53015</v>
      </c>
      <c r="I320" s="222"/>
      <c r="K320" s="328"/>
    </row>
    <row r="321" spans="3:11">
      <c r="C321" s="142" t="s">
        <v>1221</v>
      </c>
      <c r="D321" s="60" t="s">
        <v>1222</v>
      </c>
      <c r="E321" s="74"/>
      <c r="F321" s="74"/>
      <c r="G321" s="74"/>
      <c r="H321" s="147"/>
      <c r="K321" s="328"/>
    </row>
    <row r="322" spans="3:11">
      <c r="C322" s="146" t="s">
        <v>1215</v>
      </c>
      <c r="D322" s="78" t="s">
        <v>646</v>
      </c>
      <c r="E322" s="181" t="s">
        <v>63</v>
      </c>
      <c r="F322" s="172">
        <v>1.1000000000000001</v>
      </c>
      <c r="G322" s="65">
        <f>VLOOKUP(D322,upahbahan,3,FALSE)</f>
        <v>242000</v>
      </c>
      <c r="H322" s="125">
        <f t="shared" ref="H322:H323" si="35">F322*G322</f>
        <v>266200</v>
      </c>
      <c r="K322" s="328"/>
    </row>
    <row r="323" spans="3:11">
      <c r="C323" s="146" t="s">
        <v>1216</v>
      </c>
      <c r="D323" s="78" t="s">
        <v>1509</v>
      </c>
      <c r="E323" s="181" t="s">
        <v>44</v>
      </c>
      <c r="F323" s="172">
        <v>10</v>
      </c>
      <c r="G323" s="65">
        <f>VLOOKUP(D323,upahbahan,3,FALSE)</f>
        <v>1600</v>
      </c>
      <c r="H323" s="125">
        <f t="shared" si="35"/>
        <v>16000</v>
      </c>
      <c r="K323" s="328"/>
    </row>
    <row r="324" spans="3:11">
      <c r="C324" s="145" t="s">
        <v>1226</v>
      </c>
      <c r="D324" s="81"/>
      <c r="E324" s="81"/>
      <c r="F324" s="81"/>
      <c r="G324" s="163"/>
      <c r="H324" s="125">
        <f>SUM(H322:H323)</f>
        <v>282200</v>
      </c>
      <c r="K324" s="328"/>
    </row>
    <row r="325" spans="3:11">
      <c r="C325" s="153" t="s">
        <v>1227</v>
      </c>
      <c r="D325" s="60" t="s">
        <v>1228</v>
      </c>
      <c r="E325" s="74"/>
      <c r="F325" s="74"/>
      <c r="G325" s="74"/>
      <c r="H325" s="147"/>
      <c r="K325" s="328"/>
    </row>
    <row r="326" spans="3:11">
      <c r="C326" s="145" t="s">
        <v>1229</v>
      </c>
      <c r="D326" s="81"/>
      <c r="E326" s="81"/>
      <c r="F326" s="81"/>
      <c r="G326" s="163"/>
      <c r="H326" s="154">
        <v>0</v>
      </c>
      <c r="K326" s="328"/>
    </row>
    <row r="327" spans="3:11">
      <c r="C327" s="123" t="s">
        <v>1230</v>
      </c>
      <c r="D327" s="70" t="s">
        <v>1231</v>
      </c>
      <c r="E327" s="71"/>
      <c r="F327" s="71"/>
      <c r="G327" s="72"/>
      <c r="H327" s="125">
        <f>H326+H324+H320</f>
        <v>335215</v>
      </c>
      <c r="K327" s="328"/>
    </row>
    <row r="328" spans="3:11">
      <c r="C328" s="123" t="s">
        <v>1232</v>
      </c>
      <c r="D328" s="70" t="s">
        <v>1410</v>
      </c>
      <c r="E328" s="71"/>
      <c r="F328" s="72"/>
      <c r="G328" s="96">
        <f>$M$7</f>
        <v>0.1</v>
      </c>
      <c r="H328" s="125">
        <f>H327*G328</f>
        <v>33521.5</v>
      </c>
      <c r="K328" s="328"/>
    </row>
    <row r="329" spans="3:11" ht="15.75" thickBot="1">
      <c r="C329" s="131" t="s">
        <v>1233</v>
      </c>
      <c r="D329" s="132" t="s">
        <v>1234</v>
      </c>
      <c r="E329" s="133"/>
      <c r="F329" s="133"/>
      <c r="G329" s="156"/>
      <c r="H329" s="135">
        <f>SUM(H327:H328)</f>
        <v>368736.5</v>
      </c>
      <c r="K329" s="328"/>
    </row>
    <row r="330" spans="3:11" ht="15.75" thickTop="1">
      <c r="C330" s="58"/>
      <c r="D330" s="82"/>
      <c r="E330" s="82"/>
      <c r="F330" s="82"/>
      <c r="G330" s="82"/>
      <c r="H330" s="83"/>
      <c r="K330" s="328"/>
    </row>
    <row r="331" spans="3:11" ht="15.75" thickBot="1">
      <c r="C331" s="224" t="s">
        <v>1655</v>
      </c>
      <c r="D331" s="224"/>
      <c r="E331" s="224"/>
      <c r="F331" s="224"/>
      <c r="G331" s="224"/>
      <c r="H331" s="224"/>
      <c r="I331" s="57">
        <f>ROUNDDOWN(H348,-2)</f>
        <v>407200</v>
      </c>
      <c r="K331" s="328"/>
    </row>
    <row r="332" spans="3:11" ht="29.25" thickTop="1">
      <c r="C332" s="120" t="s">
        <v>1207</v>
      </c>
      <c r="D332" s="121" t="s">
        <v>1208</v>
      </c>
      <c r="E332" s="121" t="s">
        <v>1209</v>
      </c>
      <c r="F332" s="121" t="s">
        <v>1210</v>
      </c>
      <c r="G332" s="121" t="s">
        <v>1211</v>
      </c>
      <c r="H332" s="122" t="s">
        <v>1212</v>
      </c>
      <c r="K332" s="328"/>
    </row>
    <row r="333" spans="3:11">
      <c r="C333" s="142" t="s">
        <v>1213</v>
      </c>
      <c r="D333" s="60" t="s">
        <v>1214</v>
      </c>
      <c r="E333" s="74"/>
      <c r="F333" s="74"/>
      <c r="G333" s="74"/>
      <c r="H333" s="147"/>
      <c r="K333" s="328"/>
    </row>
    <row r="334" spans="3:11">
      <c r="C334" s="143">
        <v>1</v>
      </c>
      <c r="D334" s="60" t="s">
        <v>5</v>
      </c>
      <c r="E334" s="73" t="s">
        <v>6</v>
      </c>
      <c r="F334" s="75">
        <v>0.2</v>
      </c>
      <c r="G334" s="65">
        <f>VLOOKUP(D334,upahbahan,3,FALSE)</f>
        <v>100000</v>
      </c>
      <c r="H334" s="125">
        <f t="shared" ref="H334:H337" si="36">F334*G334</f>
        <v>20000</v>
      </c>
      <c r="K334" s="328"/>
    </row>
    <row r="335" spans="3:11">
      <c r="C335" s="143">
        <v>2</v>
      </c>
      <c r="D335" s="60" t="s">
        <v>9</v>
      </c>
      <c r="E335" s="73" t="s">
        <v>6</v>
      </c>
      <c r="F335" s="75">
        <v>0.2</v>
      </c>
      <c r="G335" s="65">
        <f>VLOOKUP(D335,upahbahan,3,FALSE)</f>
        <v>145000</v>
      </c>
      <c r="H335" s="125">
        <f t="shared" si="36"/>
        <v>29000</v>
      </c>
      <c r="K335" s="328"/>
    </row>
    <row r="336" spans="3:11">
      <c r="C336" s="143">
        <v>3</v>
      </c>
      <c r="D336" s="60" t="s">
        <v>18</v>
      </c>
      <c r="E336" s="73" t="s">
        <v>6</v>
      </c>
      <c r="F336" s="75">
        <v>0.02</v>
      </c>
      <c r="G336" s="65">
        <f>VLOOKUP(D336,upahbahan,3,FALSE)</f>
        <v>150000</v>
      </c>
      <c r="H336" s="125">
        <f t="shared" si="36"/>
        <v>3000</v>
      </c>
      <c r="K336" s="328"/>
    </row>
    <row r="337" spans="3:11">
      <c r="C337" s="143">
        <v>4</v>
      </c>
      <c r="D337" s="60" t="s">
        <v>19</v>
      </c>
      <c r="E337" s="73" t="s">
        <v>6</v>
      </c>
      <c r="F337" s="75">
        <v>7.0000000000000001E-3</v>
      </c>
      <c r="G337" s="65">
        <f>VLOOKUP(D337,upahbahan,3,FALSE)</f>
        <v>145000</v>
      </c>
      <c r="H337" s="125">
        <f t="shared" si="36"/>
        <v>1015</v>
      </c>
      <c r="K337" s="328"/>
    </row>
    <row r="338" spans="3:11">
      <c r="C338" s="145" t="s">
        <v>1220</v>
      </c>
      <c r="D338" s="81"/>
      <c r="E338" s="81"/>
      <c r="F338" s="220"/>
      <c r="G338" s="221"/>
      <c r="H338" s="125">
        <f>SUM(H334:H337)</f>
        <v>53015</v>
      </c>
      <c r="I338" s="222"/>
      <c r="K338" s="328"/>
    </row>
    <row r="339" spans="3:11">
      <c r="C339" s="142" t="s">
        <v>1221</v>
      </c>
      <c r="D339" s="60" t="s">
        <v>1222</v>
      </c>
      <c r="E339" s="74"/>
      <c r="F339" s="74"/>
      <c r="G339" s="74"/>
      <c r="H339" s="147"/>
      <c r="K339" s="328"/>
    </row>
    <row r="340" spans="3:11">
      <c r="C340" s="146" t="s">
        <v>1215</v>
      </c>
      <c r="D340" s="78" t="s">
        <v>646</v>
      </c>
      <c r="E340" s="181" t="s">
        <v>63</v>
      </c>
      <c r="F340" s="172">
        <v>1.1000000000000001</v>
      </c>
      <c r="G340" s="65">
        <f>VLOOKUP(D340,upahbahan,3,FALSE)</f>
        <v>242000</v>
      </c>
      <c r="H340" s="125">
        <f t="shared" ref="H340:H342" si="37">F340*G340</f>
        <v>266200</v>
      </c>
      <c r="K340" s="328"/>
    </row>
    <row r="341" spans="3:11">
      <c r="C341" s="146" t="s">
        <v>1216</v>
      </c>
      <c r="D341" s="78" t="s">
        <v>1509</v>
      </c>
      <c r="E341" s="181" t="s">
        <v>44</v>
      </c>
      <c r="F341" s="172">
        <v>10</v>
      </c>
      <c r="G341" s="65">
        <f>VLOOKUP(D341,upahbahan,3,FALSE)</f>
        <v>1600</v>
      </c>
      <c r="H341" s="125">
        <f t="shared" si="37"/>
        <v>16000</v>
      </c>
      <c r="K341" s="328"/>
    </row>
    <row r="342" spans="3:11">
      <c r="C342" s="146" t="s">
        <v>1217</v>
      </c>
      <c r="D342" s="78" t="s">
        <v>233</v>
      </c>
      <c r="E342" s="181" t="s">
        <v>114</v>
      </c>
      <c r="F342" s="172">
        <v>7</v>
      </c>
      <c r="G342" s="65">
        <f>VLOOKUP(D342,upahbahan,3,FALSE)</f>
        <v>5000</v>
      </c>
      <c r="H342" s="125">
        <f t="shared" si="37"/>
        <v>35000</v>
      </c>
      <c r="K342" s="328"/>
    </row>
    <row r="343" spans="3:11">
      <c r="C343" s="145" t="s">
        <v>1226</v>
      </c>
      <c r="D343" s="81"/>
      <c r="E343" s="81"/>
      <c r="F343" s="81"/>
      <c r="G343" s="163"/>
      <c r="H343" s="125">
        <f>SUM(H340:H342)</f>
        <v>317200</v>
      </c>
      <c r="K343" s="328"/>
    </row>
    <row r="344" spans="3:11">
      <c r="C344" s="153" t="s">
        <v>1227</v>
      </c>
      <c r="D344" s="60" t="s">
        <v>1228</v>
      </c>
      <c r="E344" s="74"/>
      <c r="F344" s="74"/>
      <c r="G344" s="74"/>
      <c r="H344" s="147"/>
      <c r="K344" s="328"/>
    </row>
    <row r="345" spans="3:11">
      <c r="C345" s="145" t="s">
        <v>1229</v>
      </c>
      <c r="D345" s="81"/>
      <c r="E345" s="81"/>
      <c r="F345" s="81"/>
      <c r="G345" s="163"/>
      <c r="H345" s="154">
        <v>0</v>
      </c>
      <c r="K345" s="328"/>
    </row>
    <row r="346" spans="3:11">
      <c r="C346" s="123" t="s">
        <v>1230</v>
      </c>
      <c r="D346" s="70" t="s">
        <v>1231</v>
      </c>
      <c r="E346" s="71"/>
      <c r="F346" s="71"/>
      <c r="G346" s="72"/>
      <c r="H346" s="125">
        <f>H345+H343+H338</f>
        <v>370215</v>
      </c>
      <c r="K346" s="328"/>
    </row>
    <row r="347" spans="3:11">
      <c r="C347" s="123" t="s">
        <v>1232</v>
      </c>
      <c r="D347" s="70" t="s">
        <v>1410</v>
      </c>
      <c r="E347" s="71"/>
      <c r="F347" s="72"/>
      <c r="G347" s="96">
        <f>$M$7</f>
        <v>0.1</v>
      </c>
      <c r="H347" s="125">
        <f>H346*G347</f>
        <v>37021.5</v>
      </c>
      <c r="K347" s="328"/>
    </row>
    <row r="348" spans="3:11" ht="15.75" thickBot="1">
      <c r="C348" s="131" t="s">
        <v>1233</v>
      </c>
      <c r="D348" s="132" t="s">
        <v>1234</v>
      </c>
      <c r="E348" s="133"/>
      <c r="F348" s="133"/>
      <c r="G348" s="156"/>
      <c r="H348" s="135">
        <f>SUM(H346:H347)</f>
        <v>407236.5</v>
      </c>
      <c r="K348" s="328"/>
    </row>
    <row r="349" spans="3:11" ht="15.75" thickTop="1">
      <c r="C349" s="58"/>
      <c r="D349" s="82"/>
      <c r="E349" s="82"/>
      <c r="F349" s="82"/>
      <c r="G349" s="82"/>
      <c r="H349" s="83"/>
      <c r="K349" s="328"/>
    </row>
    <row r="350" spans="3:11" ht="15.75" thickBot="1">
      <c r="C350" s="224" t="s">
        <v>1656</v>
      </c>
      <c r="D350" s="224"/>
      <c r="E350" s="224"/>
      <c r="F350" s="224"/>
      <c r="G350" s="224"/>
      <c r="H350" s="224"/>
      <c r="I350" s="57">
        <f>ROUNDDOWN(H367,-2)</f>
        <v>175400</v>
      </c>
      <c r="K350" s="328"/>
    </row>
    <row r="351" spans="3:11" ht="29.25" thickTop="1">
      <c r="C351" s="120" t="s">
        <v>1207</v>
      </c>
      <c r="D351" s="121" t="s">
        <v>1208</v>
      </c>
      <c r="E351" s="121" t="s">
        <v>1209</v>
      </c>
      <c r="F351" s="121" t="s">
        <v>1210</v>
      </c>
      <c r="G351" s="121" t="s">
        <v>1211</v>
      </c>
      <c r="H351" s="122" t="s">
        <v>1212</v>
      </c>
      <c r="K351" s="328"/>
    </row>
    <row r="352" spans="3:11">
      <c r="C352" s="142" t="s">
        <v>1213</v>
      </c>
      <c r="D352" s="60" t="s">
        <v>1214</v>
      </c>
      <c r="E352" s="74"/>
      <c r="F352" s="74"/>
      <c r="G352" s="74"/>
      <c r="H352" s="147"/>
      <c r="K352" s="328"/>
    </row>
    <row r="353" spans="3:11">
      <c r="C353" s="143">
        <v>1</v>
      </c>
      <c r="D353" s="60" t="s">
        <v>5</v>
      </c>
      <c r="E353" s="73" t="s">
        <v>6</v>
      </c>
      <c r="F353" s="184">
        <v>4.2999999999999997E-2</v>
      </c>
      <c r="G353" s="65">
        <f>VLOOKUP(D353,upahbahan,3,FALSE)</f>
        <v>100000</v>
      </c>
      <c r="H353" s="125">
        <f t="shared" ref="H353:H356" si="38">F353*G353</f>
        <v>4300</v>
      </c>
      <c r="K353" s="328"/>
    </row>
    <row r="354" spans="3:11">
      <c r="C354" s="143">
        <v>2</v>
      </c>
      <c r="D354" s="60" t="s">
        <v>14</v>
      </c>
      <c r="E354" s="73" t="s">
        <v>6</v>
      </c>
      <c r="F354" s="184">
        <v>4.2999999999999997E-2</v>
      </c>
      <c r="G354" s="65">
        <f>VLOOKUP(D354,upahbahan,3,FALSE)</f>
        <v>145000</v>
      </c>
      <c r="H354" s="125">
        <f t="shared" si="38"/>
        <v>6234.9999999999991</v>
      </c>
      <c r="K354" s="328"/>
    </row>
    <row r="355" spans="3:11">
      <c r="C355" s="143">
        <v>3</v>
      </c>
      <c r="D355" s="60" t="s">
        <v>18</v>
      </c>
      <c r="E355" s="73" t="s">
        <v>6</v>
      </c>
      <c r="F355" s="184">
        <v>4.0000000000000001E-3</v>
      </c>
      <c r="G355" s="65">
        <f>VLOOKUP(D355,upahbahan,3,FALSE)</f>
        <v>150000</v>
      </c>
      <c r="H355" s="125">
        <f t="shared" si="38"/>
        <v>600</v>
      </c>
      <c r="K355" s="328"/>
    </row>
    <row r="356" spans="3:11">
      <c r="C356" s="143">
        <v>4</v>
      </c>
      <c r="D356" s="60" t="s">
        <v>19</v>
      </c>
      <c r="E356" s="73" t="s">
        <v>6</v>
      </c>
      <c r="F356" s="184">
        <v>1E-3</v>
      </c>
      <c r="G356" s="65">
        <f>VLOOKUP(D356,upahbahan,3,FALSE)</f>
        <v>145000</v>
      </c>
      <c r="H356" s="125">
        <f t="shared" si="38"/>
        <v>145</v>
      </c>
      <c r="K356" s="328"/>
    </row>
    <row r="357" spans="3:11">
      <c r="C357" s="145" t="s">
        <v>1220</v>
      </c>
      <c r="D357" s="81"/>
      <c r="E357" s="81"/>
      <c r="F357" s="220"/>
      <c r="G357" s="65" t="e">
        <f>VLOOKUP(D357,upahbahan,3,FALSE)</f>
        <v>#N/A</v>
      </c>
      <c r="H357" s="125">
        <f>SUM(H353:H356)</f>
        <v>11280</v>
      </c>
      <c r="I357" s="222"/>
      <c r="K357" s="328"/>
    </row>
    <row r="358" spans="3:11">
      <c r="C358" s="142" t="s">
        <v>1221</v>
      </c>
      <c r="D358" s="60" t="s">
        <v>1222</v>
      </c>
      <c r="E358" s="74"/>
      <c r="F358" s="74"/>
      <c r="G358" s="74"/>
      <c r="H358" s="147"/>
      <c r="K358" s="328"/>
    </row>
    <row r="359" spans="3:11">
      <c r="C359" s="146" t="s">
        <v>1215</v>
      </c>
      <c r="D359" s="78" t="s">
        <v>817</v>
      </c>
      <c r="E359" s="181" t="s">
        <v>114</v>
      </c>
      <c r="F359" s="172">
        <v>1.1000000000000001</v>
      </c>
      <c r="G359" s="65">
        <f>VLOOKUP(D359,upahbahan,3,FALSE)</f>
        <v>130000</v>
      </c>
      <c r="H359" s="125">
        <f t="shared" ref="H359:H361" si="39">F359*G359</f>
        <v>143000</v>
      </c>
      <c r="K359" s="328"/>
    </row>
    <row r="360" spans="3:11">
      <c r="C360" s="146" t="s">
        <v>1216</v>
      </c>
      <c r="D360" s="78" t="s">
        <v>1069</v>
      </c>
      <c r="E360" s="181" t="s">
        <v>44</v>
      </c>
      <c r="F360" s="172">
        <v>2</v>
      </c>
      <c r="G360" s="65">
        <f>VLOOKUP(D360,upahbahan,3,FALSE)</f>
        <v>1600</v>
      </c>
      <c r="H360" s="125">
        <f t="shared" si="39"/>
        <v>3200</v>
      </c>
      <c r="K360" s="328"/>
    </row>
    <row r="361" spans="3:11">
      <c r="C361" s="146" t="s">
        <v>1217</v>
      </c>
      <c r="D361" s="78" t="s">
        <v>1057</v>
      </c>
      <c r="E361" s="181" t="s">
        <v>1058</v>
      </c>
      <c r="F361" s="172">
        <v>0.06</v>
      </c>
      <c r="G361" s="65">
        <f>VLOOKUP(D361,upahbahan,3,FALSE)</f>
        <v>33100</v>
      </c>
      <c r="H361" s="125">
        <f t="shared" si="39"/>
        <v>1986</v>
      </c>
      <c r="K361" s="328"/>
    </row>
    <row r="362" spans="3:11">
      <c r="C362" s="145" t="s">
        <v>1226</v>
      </c>
      <c r="D362" s="81"/>
      <c r="E362" s="81"/>
      <c r="F362" s="81"/>
      <c r="G362" s="163"/>
      <c r="H362" s="125">
        <f>SUM(H359:H361)</f>
        <v>148186</v>
      </c>
      <c r="K362" s="328"/>
    </row>
    <row r="363" spans="3:11">
      <c r="C363" s="153" t="s">
        <v>1227</v>
      </c>
      <c r="D363" s="60" t="s">
        <v>1228</v>
      </c>
      <c r="E363" s="74"/>
      <c r="F363" s="74"/>
      <c r="G363" s="74"/>
      <c r="H363" s="147"/>
      <c r="K363" s="328"/>
    </row>
    <row r="364" spans="3:11">
      <c r="C364" s="145" t="s">
        <v>1229</v>
      </c>
      <c r="D364" s="81"/>
      <c r="E364" s="81"/>
      <c r="F364" s="81"/>
      <c r="G364" s="163"/>
      <c r="H364" s="154">
        <v>0</v>
      </c>
      <c r="K364" s="328"/>
    </row>
    <row r="365" spans="3:11">
      <c r="C365" s="123" t="s">
        <v>1230</v>
      </c>
      <c r="D365" s="70" t="s">
        <v>1231</v>
      </c>
      <c r="E365" s="71"/>
      <c r="F365" s="71"/>
      <c r="G365" s="72"/>
      <c r="H365" s="125">
        <f>H364+H362+H357</f>
        <v>159466</v>
      </c>
      <c r="K365" s="328"/>
    </row>
    <row r="366" spans="3:11">
      <c r="C366" s="123" t="s">
        <v>1232</v>
      </c>
      <c r="D366" s="70" t="s">
        <v>1410</v>
      </c>
      <c r="E366" s="71"/>
      <c r="F366" s="72"/>
      <c r="G366" s="96">
        <f>$M$7</f>
        <v>0.1</v>
      </c>
      <c r="H366" s="125">
        <f>H365*G366</f>
        <v>15946.6</v>
      </c>
      <c r="K366" s="328"/>
    </row>
    <row r="367" spans="3:11" ht="15.75" thickBot="1">
      <c r="C367" s="131" t="s">
        <v>1233</v>
      </c>
      <c r="D367" s="132" t="s">
        <v>1234</v>
      </c>
      <c r="E367" s="133"/>
      <c r="F367" s="133"/>
      <c r="G367" s="156"/>
      <c r="H367" s="135">
        <f>SUM(H365:H366)</f>
        <v>175412.6</v>
      </c>
      <c r="K367" s="328"/>
    </row>
    <row r="368" spans="3:11" ht="15.75" thickTop="1">
      <c r="C368" s="58"/>
      <c r="D368" s="82"/>
      <c r="E368" s="82"/>
      <c r="F368" s="82"/>
      <c r="G368" s="82"/>
      <c r="H368" s="83"/>
      <c r="K368" s="328"/>
    </row>
    <row r="369" spans="3:11" ht="15.75" thickBot="1">
      <c r="C369" s="519" t="s">
        <v>1657</v>
      </c>
      <c r="D369" s="519"/>
      <c r="E369" s="519"/>
      <c r="F369" s="519"/>
      <c r="G369" s="519"/>
      <c r="H369" s="519"/>
      <c r="I369" s="57">
        <f>ROUNDDOWN(H386,-2)</f>
        <v>314600</v>
      </c>
      <c r="K369" s="328"/>
    </row>
    <row r="370" spans="3:11" ht="29.25" thickTop="1">
      <c r="C370" s="120" t="s">
        <v>1207</v>
      </c>
      <c r="D370" s="121" t="s">
        <v>1208</v>
      </c>
      <c r="E370" s="121" t="s">
        <v>1209</v>
      </c>
      <c r="F370" s="121" t="s">
        <v>1210</v>
      </c>
      <c r="G370" s="121" t="s">
        <v>1211</v>
      </c>
      <c r="H370" s="122" t="s">
        <v>1212</v>
      </c>
      <c r="K370" s="328"/>
    </row>
    <row r="371" spans="3:11">
      <c r="C371" s="142" t="s">
        <v>1213</v>
      </c>
      <c r="D371" s="60" t="s">
        <v>1214</v>
      </c>
      <c r="E371" s="74"/>
      <c r="F371" s="74"/>
      <c r="G371" s="74"/>
      <c r="H371" s="147"/>
      <c r="K371" s="328"/>
    </row>
    <row r="372" spans="3:11">
      <c r="C372" s="143">
        <v>1</v>
      </c>
      <c r="D372" s="60" t="s">
        <v>5</v>
      </c>
      <c r="E372" s="73" t="s">
        <v>6</v>
      </c>
      <c r="F372" s="184">
        <v>0.28570000000000001</v>
      </c>
      <c r="G372" s="65">
        <f>VLOOKUP(D372,upahbahan,3,FALSE)</f>
        <v>100000</v>
      </c>
      <c r="H372" s="125">
        <f t="shared" ref="H372:H375" si="40">F372*G372</f>
        <v>28570</v>
      </c>
      <c r="K372" s="328"/>
    </row>
    <row r="373" spans="3:11">
      <c r="C373" s="143">
        <v>2</v>
      </c>
      <c r="D373" s="60" t="s">
        <v>8</v>
      </c>
      <c r="E373" s="73" t="s">
        <v>6</v>
      </c>
      <c r="F373" s="184">
        <v>0.1429</v>
      </c>
      <c r="G373" s="65">
        <f>VLOOKUP(D373,upahbahan,3,FALSE)</f>
        <v>145000</v>
      </c>
      <c r="H373" s="125">
        <f t="shared" si="40"/>
        <v>20720.5</v>
      </c>
      <c r="K373" s="328"/>
    </row>
    <row r="374" spans="3:11">
      <c r="C374" s="143">
        <v>3</v>
      </c>
      <c r="D374" s="60" t="s">
        <v>18</v>
      </c>
      <c r="E374" s="73" t="s">
        <v>6</v>
      </c>
      <c r="F374" s="184">
        <v>1.43E-2</v>
      </c>
      <c r="G374" s="65">
        <f>VLOOKUP(D374,upahbahan,3,FALSE)</f>
        <v>150000</v>
      </c>
      <c r="H374" s="125">
        <f t="shared" si="40"/>
        <v>2145</v>
      </c>
      <c r="K374" s="328"/>
    </row>
    <row r="375" spans="3:11">
      <c r="C375" s="143">
        <v>4</v>
      </c>
      <c r="D375" s="60" t="s">
        <v>19</v>
      </c>
      <c r="E375" s="73" t="s">
        <v>6</v>
      </c>
      <c r="F375" s="184">
        <v>4.7999999999999996E-3</v>
      </c>
      <c r="G375" s="65">
        <f>VLOOKUP(D375,upahbahan,3,FALSE)</f>
        <v>145000</v>
      </c>
      <c r="H375" s="125">
        <f t="shared" si="40"/>
        <v>695.99999999999989</v>
      </c>
      <c r="K375" s="328"/>
    </row>
    <row r="376" spans="3:11">
      <c r="C376" s="145" t="s">
        <v>1220</v>
      </c>
      <c r="D376" s="81"/>
      <c r="E376" s="81"/>
      <c r="F376" s="220"/>
      <c r="G376" s="221"/>
      <c r="H376" s="125">
        <f>SUM(H372:H375)</f>
        <v>52131.5</v>
      </c>
      <c r="I376" s="222"/>
      <c r="K376" s="328"/>
    </row>
    <row r="377" spans="3:11">
      <c r="C377" s="142" t="s">
        <v>1221</v>
      </c>
      <c r="D377" s="60" t="s">
        <v>1222</v>
      </c>
      <c r="E377" s="74"/>
      <c r="F377" s="74"/>
      <c r="G377" s="74"/>
      <c r="H377" s="147"/>
      <c r="K377" s="328"/>
    </row>
    <row r="378" spans="3:11">
      <c r="C378" s="146" t="s">
        <v>1215</v>
      </c>
      <c r="D378" s="78" t="s">
        <v>115</v>
      </c>
      <c r="E378" s="181" t="s">
        <v>42</v>
      </c>
      <c r="F378" s="192">
        <v>8.6E-3</v>
      </c>
      <c r="G378" s="65">
        <f>VLOOKUP(D378,upahbahan,3,FALSE)</f>
        <v>25000000</v>
      </c>
      <c r="H378" s="125">
        <f t="shared" ref="H378:H380" si="41">F378*G378</f>
        <v>215000</v>
      </c>
      <c r="K378" s="328"/>
    </row>
    <row r="379" spans="3:11">
      <c r="C379" s="146" t="s">
        <v>1216</v>
      </c>
      <c r="D379" s="78" t="s">
        <v>267</v>
      </c>
      <c r="E379" s="181" t="s">
        <v>66</v>
      </c>
      <c r="F379" s="192">
        <v>0.12759999999999999</v>
      </c>
      <c r="G379" s="65">
        <f>VLOOKUP(D379,upahbahan,3,FALSE)</f>
        <v>20000</v>
      </c>
      <c r="H379" s="125">
        <f t="shared" si="41"/>
        <v>2552</v>
      </c>
      <c r="K379" s="328"/>
    </row>
    <row r="380" spans="3:11">
      <c r="C380" s="146" t="s">
        <v>1217</v>
      </c>
      <c r="D380" s="78" t="s">
        <v>1625</v>
      </c>
      <c r="E380" s="181" t="s">
        <v>66</v>
      </c>
      <c r="F380" s="192">
        <v>1</v>
      </c>
      <c r="G380" s="65">
        <f>VLOOKUP(D380,upahbahan,3,FALSE)</f>
        <v>16400</v>
      </c>
      <c r="H380" s="125">
        <f t="shared" si="41"/>
        <v>16400</v>
      </c>
      <c r="K380" s="328"/>
    </row>
    <row r="381" spans="3:11">
      <c r="C381" s="145" t="s">
        <v>1226</v>
      </c>
      <c r="D381" s="81"/>
      <c r="E381" s="81"/>
      <c r="F381" s="81"/>
      <c r="G381" s="163"/>
      <c r="H381" s="125">
        <f>SUM(H378:H380)</f>
        <v>233952</v>
      </c>
      <c r="K381" s="328"/>
    </row>
    <row r="382" spans="3:11">
      <c r="C382" s="153" t="s">
        <v>1227</v>
      </c>
      <c r="D382" s="60" t="s">
        <v>1228</v>
      </c>
      <c r="E382" s="74"/>
      <c r="F382" s="74"/>
      <c r="G382" s="74"/>
      <c r="H382" s="147"/>
      <c r="K382" s="328"/>
    </row>
    <row r="383" spans="3:11">
      <c r="C383" s="145" t="s">
        <v>1229</v>
      </c>
      <c r="D383" s="81"/>
      <c r="E383" s="81"/>
      <c r="F383" s="81"/>
      <c r="G383" s="163"/>
      <c r="H383" s="154">
        <v>0</v>
      </c>
      <c r="K383" s="328"/>
    </row>
    <row r="384" spans="3:11">
      <c r="C384" s="123" t="s">
        <v>1230</v>
      </c>
      <c r="D384" s="70" t="s">
        <v>1231</v>
      </c>
      <c r="E384" s="71"/>
      <c r="F384" s="71"/>
      <c r="G384" s="72"/>
      <c r="H384" s="125">
        <f>H383+H381+H376</f>
        <v>286083.5</v>
      </c>
      <c r="K384" s="328"/>
    </row>
    <row r="385" spans="3:11">
      <c r="C385" s="123" t="s">
        <v>1232</v>
      </c>
      <c r="D385" s="70" t="s">
        <v>1410</v>
      </c>
      <c r="E385" s="71"/>
      <c r="F385" s="72"/>
      <c r="G385" s="96">
        <f>$M$7</f>
        <v>0.1</v>
      </c>
      <c r="H385" s="125">
        <f>H384*G385</f>
        <v>28608.350000000002</v>
      </c>
      <c r="K385" s="328"/>
    </row>
    <row r="386" spans="3:11" ht="15.75" thickBot="1">
      <c r="C386" s="131" t="s">
        <v>1233</v>
      </c>
      <c r="D386" s="132" t="s">
        <v>1234</v>
      </c>
      <c r="E386" s="133"/>
      <c r="F386" s="133"/>
      <c r="G386" s="156"/>
      <c r="H386" s="135">
        <f>SUM(H384:H385)</f>
        <v>314691.84999999998</v>
      </c>
      <c r="K386" s="328"/>
    </row>
    <row r="387" spans="3:11" ht="15.75" thickTop="1">
      <c r="C387" s="58"/>
      <c r="D387" s="82"/>
      <c r="E387" s="82"/>
      <c r="F387" s="82"/>
      <c r="G387" s="82"/>
      <c r="H387" s="83"/>
      <c r="K387" s="328"/>
    </row>
    <row r="388" spans="3:11" ht="15.75" thickBot="1">
      <c r="C388" s="519" t="s">
        <v>1658</v>
      </c>
      <c r="D388" s="519"/>
      <c r="E388" s="519"/>
      <c r="F388" s="519"/>
      <c r="G388" s="519"/>
      <c r="H388" s="519"/>
      <c r="I388" s="57">
        <f>ROUNDDOWN(H405,-2)</f>
        <v>375100</v>
      </c>
      <c r="K388" s="328"/>
    </row>
    <row r="389" spans="3:11" ht="29.25" thickTop="1">
      <c r="C389" s="120" t="s">
        <v>1207</v>
      </c>
      <c r="D389" s="121" t="s">
        <v>1208</v>
      </c>
      <c r="E389" s="121" t="s">
        <v>1209</v>
      </c>
      <c r="F389" s="121" t="s">
        <v>1210</v>
      </c>
      <c r="G389" s="121" t="s">
        <v>1211</v>
      </c>
      <c r="H389" s="122" t="s">
        <v>1212</v>
      </c>
      <c r="K389" s="328"/>
    </row>
    <row r="390" spans="3:11">
      <c r="C390" s="142" t="s">
        <v>1213</v>
      </c>
      <c r="D390" s="60" t="s">
        <v>1214</v>
      </c>
      <c r="E390" s="74"/>
      <c r="F390" s="74"/>
      <c r="G390" s="74"/>
      <c r="H390" s="147"/>
      <c r="K390" s="328"/>
    </row>
    <row r="391" spans="3:11">
      <c r="C391" s="143">
        <v>1</v>
      </c>
      <c r="D391" s="60" t="s">
        <v>5</v>
      </c>
      <c r="E391" s="73" t="s">
        <v>6</v>
      </c>
      <c r="F391" s="184">
        <v>0.28570000000000001</v>
      </c>
      <c r="G391" s="65">
        <f>VLOOKUP(D391,upahbahan,3,FALSE)</f>
        <v>100000</v>
      </c>
      <c r="H391" s="125">
        <f t="shared" ref="H391:H394" si="42">F391*G391</f>
        <v>28570</v>
      </c>
      <c r="K391" s="328"/>
    </row>
    <row r="392" spans="3:11">
      <c r="C392" s="143">
        <v>2</v>
      </c>
      <c r="D392" s="60" t="s">
        <v>8</v>
      </c>
      <c r="E392" s="73" t="s">
        <v>6</v>
      </c>
      <c r="F392" s="184">
        <v>0.1429</v>
      </c>
      <c r="G392" s="65">
        <f>VLOOKUP(D392,upahbahan,3,FALSE)</f>
        <v>145000</v>
      </c>
      <c r="H392" s="125">
        <f t="shared" si="42"/>
        <v>20720.5</v>
      </c>
      <c r="K392" s="328"/>
    </row>
    <row r="393" spans="3:11">
      <c r="C393" s="143">
        <v>3</v>
      </c>
      <c r="D393" s="60" t="s">
        <v>18</v>
      </c>
      <c r="E393" s="73" t="s">
        <v>6</v>
      </c>
      <c r="F393" s="184">
        <v>1.43E-2</v>
      </c>
      <c r="G393" s="65">
        <f>VLOOKUP(D393,upahbahan,3,FALSE)</f>
        <v>150000</v>
      </c>
      <c r="H393" s="125">
        <f t="shared" si="42"/>
        <v>2145</v>
      </c>
      <c r="K393" s="328"/>
    </row>
    <row r="394" spans="3:11">
      <c r="C394" s="143">
        <v>4</v>
      </c>
      <c r="D394" s="60" t="s">
        <v>19</v>
      </c>
      <c r="E394" s="73" t="s">
        <v>6</v>
      </c>
      <c r="F394" s="184">
        <v>4.7999999999999996E-3</v>
      </c>
      <c r="G394" s="65">
        <f>VLOOKUP(D394,upahbahan,3,FALSE)</f>
        <v>145000</v>
      </c>
      <c r="H394" s="125">
        <f t="shared" si="42"/>
        <v>695.99999999999989</v>
      </c>
      <c r="K394" s="328"/>
    </row>
    <row r="395" spans="3:11">
      <c r="C395" s="145" t="s">
        <v>1220</v>
      </c>
      <c r="D395" s="81"/>
      <c r="E395" s="81"/>
      <c r="F395" s="220"/>
      <c r="G395" s="221"/>
      <c r="H395" s="125">
        <f>SUM(H391:H394)</f>
        <v>52131.5</v>
      </c>
      <c r="I395" s="222"/>
      <c r="K395" s="328"/>
    </row>
    <row r="396" spans="3:11">
      <c r="C396" s="142" t="s">
        <v>1221</v>
      </c>
      <c r="D396" s="60" t="s">
        <v>1222</v>
      </c>
      <c r="E396" s="74"/>
      <c r="F396" s="74"/>
      <c r="G396" s="74"/>
      <c r="H396" s="147"/>
      <c r="K396" s="328"/>
    </row>
    <row r="397" spans="3:11">
      <c r="C397" s="146" t="s">
        <v>1215</v>
      </c>
      <c r="D397" s="78" t="s">
        <v>117</v>
      </c>
      <c r="E397" s="181" t="s">
        <v>42</v>
      </c>
      <c r="F397" s="192">
        <v>1.0800000000000001E-2</v>
      </c>
      <c r="G397" s="65">
        <f>VLOOKUP(D397,upahbahan,3,FALSE)</f>
        <v>25000000</v>
      </c>
      <c r="H397" s="125">
        <f t="shared" ref="H397:H399" si="43">F397*G397</f>
        <v>270000</v>
      </c>
      <c r="K397" s="328"/>
    </row>
    <row r="398" spans="3:11">
      <c r="C398" s="146" t="s">
        <v>1216</v>
      </c>
      <c r="D398" s="78" t="s">
        <v>267</v>
      </c>
      <c r="E398" s="181" t="s">
        <v>66</v>
      </c>
      <c r="F398" s="192">
        <v>0.12759999999999999</v>
      </c>
      <c r="G398" s="65">
        <f>VLOOKUP(D398,upahbahan,3,FALSE)</f>
        <v>20000</v>
      </c>
      <c r="H398" s="125">
        <f t="shared" si="43"/>
        <v>2552</v>
      </c>
      <c r="K398" s="328"/>
    </row>
    <row r="399" spans="3:11">
      <c r="C399" s="146" t="s">
        <v>1217</v>
      </c>
      <c r="D399" s="78" t="s">
        <v>1625</v>
      </c>
      <c r="E399" s="181" t="s">
        <v>66</v>
      </c>
      <c r="F399" s="192">
        <v>1</v>
      </c>
      <c r="G399" s="65">
        <f>VLOOKUP(D399,upahbahan,3,FALSE)</f>
        <v>16400</v>
      </c>
      <c r="H399" s="125">
        <f t="shared" si="43"/>
        <v>16400</v>
      </c>
      <c r="K399" s="328"/>
    </row>
    <row r="400" spans="3:11">
      <c r="C400" s="145" t="s">
        <v>1226</v>
      </c>
      <c r="D400" s="81"/>
      <c r="E400" s="81"/>
      <c r="F400" s="81"/>
      <c r="G400" s="163"/>
      <c r="H400" s="125">
        <f>SUM(H397:H399)</f>
        <v>288952</v>
      </c>
      <c r="K400" s="328"/>
    </row>
    <row r="401" spans="3:11">
      <c r="C401" s="153" t="s">
        <v>1227</v>
      </c>
      <c r="D401" s="60" t="s">
        <v>1228</v>
      </c>
      <c r="E401" s="74"/>
      <c r="F401" s="74"/>
      <c r="G401" s="74"/>
      <c r="H401" s="147"/>
      <c r="K401" s="328"/>
    </row>
    <row r="402" spans="3:11">
      <c r="C402" s="145" t="s">
        <v>1229</v>
      </c>
      <c r="D402" s="81"/>
      <c r="E402" s="81"/>
      <c r="F402" s="81"/>
      <c r="G402" s="163"/>
      <c r="H402" s="154">
        <v>0</v>
      </c>
      <c r="K402" s="328"/>
    </row>
    <row r="403" spans="3:11">
      <c r="C403" s="123" t="s">
        <v>1230</v>
      </c>
      <c r="D403" s="70" t="s">
        <v>1231</v>
      </c>
      <c r="E403" s="71"/>
      <c r="F403" s="71"/>
      <c r="G403" s="72"/>
      <c r="H403" s="125">
        <f>H402+H400+H395</f>
        <v>341083.5</v>
      </c>
      <c r="K403" s="328"/>
    </row>
    <row r="404" spans="3:11">
      <c r="C404" s="123" t="s">
        <v>1232</v>
      </c>
      <c r="D404" s="70" t="s">
        <v>1410</v>
      </c>
      <c r="E404" s="71"/>
      <c r="F404" s="72"/>
      <c r="G404" s="96">
        <f>$M$7</f>
        <v>0.1</v>
      </c>
      <c r="H404" s="125">
        <f>H403*G404</f>
        <v>34108.35</v>
      </c>
      <c r="K404" s="328"/>
    </row>
    <row r="405" spans="3:11" ht="15.75" thickBot="1">
      <c r="C405" s="131" t="s">
        <v>1233</v>
      </c>
      <c r="D405" s="132" t="s">
        <v>1234</v>
      </c>
      <c r="E405" s="133"/>
      <c r="F405" s="133"/>
      <c r="G405" s="156"/>
      <c r="H405" s="135">
        <f>SUM(H403:H404)</f>
        <v>375191.85</v>
      </c>
      <c r="K405" s="328"/>
    </row>
    <row r="406" spans="3:11" ht="15.75" thickTop="1">
      <c r="C406" s="58"/>
      <c r="D406" s="82"/>
      <c r="E406" s="82"/>
      <c r="F406" s="82"/>
      <c r="G406" s="82"/>
      <c r="H406" s="83"/>
      <c r="K406" s="328"/>
    </row>
    <row r="407" spans="3:11" ht="15.75" thickBot="1">
      <c r="C407" s="519" t="s">
        <v>1659</v>
      </c>
      <c r="D407" s="519"/>
      <c r="E407" s="519"/>
      <c r="F407" s="519"/>
      <c r="G407" s="519"/>
      <c r="H407" s="519"/>
      <c r="I407" s="57">
        <f>ROUNDDOWN(H424,-2)</f>
        <v>191200</v>
      </c>
      <c r="K407" s="328"/>
    </row>
    <row r="408" spans="3:11" ht="29.25" thickTop="1">
      <c r="C408" s="120" t="s">
        <v>1207</v>
      </c>
      <c r="D408" s="121" t="s">
        <v>1208</v>
      </c>
      <c r="E408" s="121" t="s">
        <v>1209</v>
      </c>
      <c r="F408" s="121" t="s">
        <v>1210</v>
      </c>
      <c r="G408" s="121" t="s">
        <v>1211</v>
      </c>
      <c r="H408" s="122" t="s">
        <v>1212</v>
      </c>
      <c r="K408" s="328"/>
    </row>
    <row r="409" spans="3:11">
      <c r="C409" s="142" t="s">
        <v>1213</v>
      </c>
      <c r="D409" s="60" t="s">
        <v>1214</v>
      </c>
      <c r="E409" s="74"/>
      <c r="F409" s="74"/>
      <c r="G409" s="74"/>
      <c r="H409" s="147"/>
      <c r="K409" s="328"/>
    </row>
    <row r="410" spans="3:11">
      <c r="C410" s="143">
        <v>1</v>
      </c>
      <c r="D410" s="60" t="s">
        <v>5</v>
      </c>
      <c r="E410" s="73" t="s">
        <v>6</v>
      </c>
      <c r="F410" s="184">
        <v>0.28570000000000001</v>
      </c>
      <c r="G410" s="65">
        <f>VLOOKUP(D410,upahbahan,3,FALSE)</f>
        <v>100000</v>
      </c>
      <c r="H410" s="125">
        <f t="shared" ref="H410:H413" si="44">F410*G410</f>
        <v>28570</v>
      </c>
      <c r="K410" s="328"/>
    </row>
    <row r="411" spans="3:11">
      <c r="C411" s="143">
        <v>2</v>
      </c>
      <c r="D411" s="60" t="s">
        <v>8</v>
      </c>
      <c r="E411" s="73" t="s">
        <v>6</v>
      </c>
      <c r="F411" s="184">
        <v>0.1429</v>
      </c>
      <c r="G411" s="65">
        <f>VLOOKUP(D411,upahbahan,3,FALSE)</f>
        <v>145000</v>
      </c>
      <c r="H411" s="125">
        <f t="shared" si="44"/>
        <v>20720.5</v>
      </c>
      <c r="K411" s="328"/>
    </row>
    <row r="412" spans="3:11">
      <c r="C412" s="143">
        <v>3</v>
      </c>
      <c r="D412" s="60" t="s">
        <v>18</v>
      </c>
      <c r="E412" s="73" t="s">
        <v>6</v>
      </c>
      <c r="F412" s="184">
        <v>1.43E-2</v>
      </c>
      <c r="G412" s="65">
        <f>VLOOKUP(D412,upahbahan,3,FALSE)</f>
        <v>150000</v>
      </c>
      <c r="H412" s="125">
        <f t="shared" si="44"/>
        <v>2145</v>
      </c>
      <c r="K412" s="328"/>
    </row>
    <row r="413" spans="3:11">
      <c r="C413" s="143">
        <v>4</v>
      </c>
      <c r="D413" s="60" t="s">
        <v>19</v>
      </c>
      <c r="E413" s="73" t="s">
        <v>6</v>
      </c>
      <c r="F413" s="184">
        <v>4.7999999999999996E-3</v>
      </c>
      <c r="G413" s="65">
        <f>VLOOKUP(D413,upahbahan,3,FALSE)</f>
        <v>145000</v>
      </c>
      <c r="H413" s="125">
        <f t="shared" si="44"/>
        <v>695.99999999999989</v>
      </c>
      <c r="K413" s="328"/>
    </row>
    <row r="414" spans="3:11">
      <c r="C414" s="145" t="s">
        <v>1220</v>
      </c>
      <c r="D414" s="81"/>
      <c r="E414" s="81"/>
      <c r="F414" s="220"/>
      <c r="G414" s="221"/>
      <c r="H414" s="125">
        <f>SUM(H410:H413)</f>
        <v>52131.5</v>
      </c>
      <c r="I414" s="222"/>
      <c r="K414" s="328"/>
    </row>
    <row r="415" spans="3:11">
      <c r="C415" s="142" t="s">
        <v>1221</v>
      </c>
      <c r="D415" s="60" t="s">
        <v>1222</v>
      </c>
      <c r="E415" s="74"/>
      <c r="F415" s="74"/>
      <c r="G415" s="74"/>
      <c r="H415" s="147"/>
      <c r="K415" s="328"/>
    </row>
    <row r="416" spans="3:11">
      <c r="C416" s="146" t="s">
        <v>1215</v>
      </c>
      <c r="D416" s="78" t="s">
        <v>116</v>
      </c>
      <c r="E416" s="181" t="s">
        <v>42</v>
      </c>
      <c r="F416" s="192">
        <v>8.6E-3</v>
      </c>
      <c r="G416" s="65">
        <f>VLOOKUP(D416,upahbahan,3,FALSE)</f>
        <v>11950000</v>
      </c>
      <c r="H416" s="125">
        <f t="shared" ref="H416:H418" si="45">F416*G416</f>
        <v>102770</v>
      </c>
      <c r="K416" s="328"/>
    </row>
    <row r="417" spans="3:11">
      <c r="C417" s="146" t="s">
        <v>1216</v>
      </c>
      <c r="D417" s="78" t="s">
        <v>267</v>
      </c>
      <c r="E417" s="181" t="s">
        <v>66</v>
      </c>
      <c r="F417" s="192">
        <v>0.12759999999999999</v>
      </c>
      <c r="G417" s="65">
        <f>VLOOKUP(D417,upahbahan,3,FALSE)</f>
        <v>20000</v>
      </c>
      <c r="H417" s="125">
        <f t="shared" si="45"/>
        <v>2552</v>
      </c>
      <c r="K417" s="328"/>
    </row>
    <row r="418" spans="3:11">
      <c r="C418" s="146" t="s">
        <v>1217</v>
      </c>
      <c r="D418" s="78" t="s">
        <v>1625</v>
      </c>
      <c r="E418" s="181" t="s">
        <v>66</v>
      </c>
      <c r="F418" s="192">
        <v>1</v>
      </c>
      <c r="G418" s="65">
        <f>VLOOKUP(D418,upahbahan,3,FALSE)</f>
        <v>16400</v>
      </c>
      <c r="H418" s="125">
        <f t="shared" si="45"/>
        <v>16400</v>
      </c>
      <c r="K418" s="328"/>
    </row>
    <row r="419" spans="3:11">
      <c r="C419" s="145" t="s">
        <v>1226</v>
      </c>
      <c r="D419" s="81"/>
      <c r="E419" s="81"/>
      <c r="F419" s="81"/>
      <c r="G419" s="163"/>
      <c r="H419" s="125">
        <f>SUM(H416:H418)</f>
        <v>121722</v>
      </c>
      <c r="K419" s="328"/>
    </row>
    <row r="420" spans="3:11">
      <c r="C420" s="153" t="s">
        <v>1227</v>
      </c>
      <c r="D420" s="60" t="s">
        <v>1228</v>
      </c>
      <c r="E420" s="74"/>
      <c r="F420" s="74"/>
      <c r="G420" s="74"/>
      <c r="H420" s="147"/>
      <c r="K420" s="328"/>
    </row>
    <row r="421" spans="3:11">
      <c r="C421" s="145" t="s">
        <v>1229</v>
      </c>
      <c r="D421" s="81"/>
      <c r="E421" s="81"/>
      <c r="F421" s="81"/>
      <c r="G421" s="163"/>
      <c r="H421" s="154">
        <v>0</v>
      </c>
      <c r="K421" s="328"/>
    </row>
    <row r="422" spans="3:11">
      <c r="C422" s="123" t="s">
        <v>1230</v>
      </c>
      <c r="D422" s="70" t="s">
        <v>1231</v>
      </c>
      <c r="E422" s="71"/>
      <c r="F422" s="71"/>
      <c r="G422" s="72"/>
      <c r="H422" s="125">
        <f>H421+H419+H414</f>
        <v>173853.5</v>
      </c>
      <c r="K422" s="328"/>
    </row>
    <row r="423" spans="3:11">
      <c r="C423" s="123" t="s">
        <v>1232</v>
      </c>
      <c r="D423" s="70" t="s">
        <v>1410</v>
      </c>
      <c r="E423" s="71"/>
      <c r="F423" s="72"/>
      <c r="G423" s="96">
        <f>$M$7</f>
        <v>0.1</v>
      </c>
      <c r="H423" s="125">
        <f>H422*G423</f>
        <v>17385.350000000002</v>
      </c>
      <c r="K423" s="328"/>
    </row>
    <row r="424" spans="3:11" ht="15.75" thickBot="1">
      <c r="C424" s="131" t="s">
        <v>1233</v>
      </c>
      <c r="D424" s="132" t="s">
        <v>1234</v>
      </c>
      <c r="E424" s="133"/>
      <c r="F424" s="133"/>
      <c r="G424" s="156"/>
      <c r="H424" s="135">
        <f>SUM(H422:H423)</f>
        <v>191238.85</v>
      </c>
      <c r="K424" s="328"/>
    </row>
    <row r="425" spans="3:11" ht="15.75" thickTop="1">
      <c r="C425" s="58"/>
      <c r="D425" s="82"/>
      <c r="E425" s="82"/>
      <c r="F425" s="82"/>
      <c r="G425" s="82"/>
      <c r="H425" s="83"/>
      <c r="K425" s="328"/>
    </row>
    <row r="426" spans="3:11" ht="15.75" thickBot="1">
      <c r="C426" s="519" t="s">
        <v>1660</v>
      </c>
      <c r="D426" s="519"/>
      <c r="E426" s="519"/>
      <c r="F426" s="519"/>
      <c r="G426" s="519"/>
      <c r="H426" s="519"/>
      <c r="I426" s="57">
        <f>ROUNDDOWN(H443,-2)</f>
        <v>220100</v>
      </c>
      <c r="K426" s="328"/>
    </row>
    <row r="427" spans="3:11" ht="29.25" thickTop="1">
      <c r="C427" s="120" t="s">
        <v>1207</v>
      </c>
      <c r="D427" s="121" t="s">
        <v>1208</v>
      </c>
      <c r="E427" s="121" t="s">
        <v>1209</v>
      </c>
      <c r="F427" s="121" t="s">
        <v>1210</v>
      </c>
      <c r="G427" s="121" t="s">
        <v>1211</v>
      </c>
      <c r="H427" s="122" t="s">
        <v>1212</v>
      </c>
      <c r="K427" s="328"/>
    </row>
    <row r="428" spans="3:11">
      <c r="C428" s="142" t="s">
        <v>1213</v>
      </c>
      <c r="D428" s="60" t="s">
        <v>1214</v>
      </c>
      <c r="E428" s="74"/>
      <c r="F428" s="74"/>
      <c r="G428" s="74"/>
      <c r="H428" s="147"/>
      <c r="K428" s="328"/>
    </row>
    <row r="429" spans="3:11">
      <c r="C429" s="143">
        <v>1</v>
      </c>
      <c r="D429" s="60" t="s">
        <v>5</v>
      </c>
      <c r="E429" s="73" t="s">
        <v>6</v>
      </c>
      <c r="F429" s="184">
        <v>0.28570000000000001</v>
      </c>
      <c r="G429" s="65">
        <f>VLOOKUP(D429,upahbahan,3,FALSE)</f>
        <v>100000</v>
      </c>
      <c r="H429" s="125">
        <f t="shared" ref="H429:H432" si="46">F429*G429</f>
        <v>28570</v>
      </c>
      <c r="K429" s="328"/>
    </row>
    <row r="430" spans="3:11">
      <c r="C430" s="143">
        <v>2</v>
      </c>
      <c r="D430" s="60" t="s">
        <v>8</v>
      </c>
      <c r="E430" s="73" t="s">
        <v>6</v>
      </c>
      <c r="F430" s="184">
        <v>0.1429</v>
      </c>
      <c r="G430" s="65">
        <f>VLOOKUP(D430,upahbahan,3,FALSE)</f>
        <v>145000</v>
      </c>
      <c r="H430" s="125">
        <f t="shared" si="46"/>
        <v>20720.5</v>
      </c>
      <c r="K430" s="328"/>
    </row>
    <row r="431" spans="3:11">
      <c r="C431" s="143">
        <v>3</v>
      </c>
      <c r="D431" s="60" t="s">
        <v>18</v>
      </c>
      <c r="E431" s="73" t="s">
        <v>6</v>
      </c>
      <c r="F431" s="184">
        <v>1.43E-2</v>
      </c>
      <c r="G431" s="65">
        <f>VLOOKUP(D431,upahbahan,3,FALSE)</f>
        <v>150000</v>
      </c>
      <c r="H431" s="125">
        <f t="shared" si="46"/>
        <v>2145</v>
      </c>
      <c r="K431" s="328"/>
    </row>
    <row r="432" spans="3:11">
      <c r="C432" s="143">
        <v>4</v>
      </c>
      <c r="D432" s="60" t="s">
        <v>19</v>
      </c>
      <c r="E432" s="73" t="s">
        <v>6</v>
      </c>
      <c r="F432" s="184">
        <v>4.7999999999999996E-3</v>
      </c>
      <c r="G432" s="65">
        <f>VLOOKUP(D432,upahbahan,3,FALSE)</f>
        <v>145000</v>
      </c>
      <c r="H432" s="125">
        <f t="shared" si="46"/>
        <v>695.99999999999989</v>
      </c>
      <c r="K432" s="328"/>
    </row>
    <row r="433" spans="3:11">
      <c r="C433" s="145" t="s">
        <v>1220</v>
      </c>
      <c r="D433" s="81"/>
      <c r="E433" s="81"/>
      <c r="F433" s="220"/>
      <c r="G433" s="221"/>
      <c r="H433" s="125">
        <f>SUM(H429:H432)</f>
        <v>52131.5</v>
      </c>
      <c r="I433" s="222"/>
      <c r="K433" s="328"/>
    </row>
    <row r="434" spans="3:11">
      <c r="C434" s="142" t="s">
        <v>1221</v>
      </c>
      <c r="D434" s="60" t="s">
        <v>1222</v>
      </c>
      <c r="E434" s="74"/>
      <c r="F434" s="74"/>
      <c r="G434" s="74"/>
      <c r="H434" s="147"/>
      <c r="K434" s="328"/>
    </row>
    <row r="435" spans="3:11">
      <c r="C435" s="146" t="s">
        <v>1215</v>
      </c>
      <c r="D435" s="78" t="s">
        <v>118</v>
      </c>
      <c r="E435" s="181" t="s">
        <v>42</v>
      </c>
      <c r="F435" s="192">
        <v>1.0800000000000001E-2</v>
      </c>
      <c r="G435" s="65">
        <f>VLOOKUP(D435,upahbahan,3,FALSE)</f>
        <v>11950000</v>
      </c>
      <c r="H435" s="125">
        <f t="shared" ref="H435:H437" si="47">F435*G435</f>
        <v>129060</v>
      </c>
      <c r="K435" s="328"/>
    </row>
    <row r="436" spans="3:11">
      <c r="C436" s="146" t="s">
        <v>1216</v>
      </c>
      <c r="D436" s="78" t="s">
        <v>267</v>
      </c>
      <c r="E436" s="181" t="s">
        <v>66</v>
      </c>
      <c r="F436" s="192">
        <v>0.12759999999999999</v>
      </c>
      <c r="G436" s="65">
        <f>VLOOKUP(D436,upahbahan,3,FALSE)</f>
        <v>20000</v>
      </c>
      <c r="H436" s="125">
        <f t="shared" si="47"/>
        <v>2552</v>
      </c>
      <c r="K436" s="328"/>
    </row>
    <row r="437" spans="3:11">
      <c r="C437" s="146" t="s">
        <v>1217</v>
      </c>
      <c r="D437" s="78" t="s">
        <v>1625</v>
      </c>
      <c r="E437" s="181" t="s">
        <v>66</v>
      </c>
      <c r="F437" s="192">
        <v>1</v>
      </c>
      <c r="G437" s="65">
        <f>VLOOKUP(D437,upahbahan,3,FALSE)</f>
        <v>16400</v>
      </c>
      <c r="H437" s="125">
        <f t="shared" si="47"/>
        <v>16400</v>
      </c>
      <c r="K437" s="328"/>
    </row>
    <row r="438" spans="3:11">
      <c r="C438" s="145" t="s">
        <v>1226</v>
      </c>
      <c r="D438" s="81"/>
      <c r="E438" s="81"/>
      <c r="F438" s="81"/>
      <c r="G438" s="163"/>
      <c r="H438" s="125">
        <f>SUM(H435:H437)</f>
        <v>148012</v>
      </c>
      <c r="K438" s="328"/>
    </row>
    <row r="439" spans="3:11">
      <c r="C439" s="153" t="s">
        <v>1227</v>
      </c>
      <c r="D439" s="60" t="s">
        <v>1228</v>
      </c>
      <c r="E439" s="74"/>
      <c r="F439" s="74"/>
      <c r="G439" s="74"/>
      <c r="H439" s="147"/>
      <c r="K439" s="328"/>
    </row>
    <row r="440" spans="3:11">
      <c r="C440" s="145" t="s">
        <v>1229</v>
      </c>
      <c r="D440" s="81"/>
      <c r="E440" s="81"/>
      <c r="F440" s="81"/>
      <c r="G440" s="163"/>
      <c r="H440" s="154">
        <v>0</v>
      </c>
      <c r="K440" s="328"/>
    </row>
    <row r="441" spans="3:11">
      <c r="C441" s="123" t="s">
        <v>1230</v>
      </c>
      <c r="D441" s="70" t="s">
        <v>1231</v>
      </c>
      <c r="E441" s="71"/>
      <c r="F441" s="71"/>
      <c r="G441" s="72"/>
      <c r="H441" s="125">
        <f>H440+H438+H433</f>
        <v>200143.5</v>
      </c>
      <c r="K441" s="328"/>
    </row>
    <row r="442" spans="3:11">
      <c r="C442" s="123" t="s">
        <v>1232</v>
      </c>
      <c r="D442" s="70" t="s">
        <v>1410</v>
      </c>
      <c r="E442" s="71"/>
      <c r="F442" s="72"/>
      <c r="G442" s="96">
        <f>$M$7</f>
        <v>0.1</v>
      </c>
      <c r="H442" s="125">
        <f>H441*G442</f>
        <v>20014.350000000002</v>
      </c>
      <c r="K442" s="328"/>
    </row>
    <row r="443" spans="3:11" ht="15.75" thickBot="1">
      <c r="C443" s="131" t="s">
        <v>1233</v>
      </c>
      <c r="D443" s="132" t="s">
        <v>1234</v>
      </c>
      <c r="E443" s="133"/>
      <c r="F443" s="133"/>
      <c r="G443" s="156"/>
      <c r="H443" s="135">
        <f>SUM(H441:H442)</f>
        <v>220157.85</v>
      </c>
      <c r="K443" s="328"/>
    </row>
    <row r="444" spans="3:11" ht="15.75" thickTop="1">
      <c r="C444" s="58"/>
      <c r="D444" s="82"/>
      <c r="E444" s="82"/>
      <c r="F444" s="82"/>
      <c r="G444" s="82"/>
      <c r="H444" s="83"/>
      <c r="K444" s="328"/>
    </row>
    <row r="445" spans="3:11" ht="15.75" thickBot="1">
      <c r="C445" s="224" t="s">
        <v>1661</v>
      </c>
      <c r="D445" s="224"/>
      <c r="E445" s="224"/>
      <c r="F445" s="224"/>
      <c r="G445" s="224"/>
      <c r="H445" s="224"/>
      <c r="I445" s="57">
        <f>ROUNDDOWN(H461,-2)</f>
        <v>1362800</v>
      </c>
      <c r="K445" s="328"/>
    </row>
    <row r="446" spans="3:11" ht="29.25" thickTop="1">
      <c r="C446" s="120" t="s">
        <v>1207</v>
      </c>
      <c r="D446" s="121" t="s">
        <v>1208</v>
      </c>
      <c r="E446" s="121" t="s">
        <v>1209</v>
      </c>
      <c r="F446" s="121" t="s">
        <v>1210</v>
      </c>
      <c r="G446" s="121" t="s">
        <v>1211</v>
      </c>
      <c r="H446" s="122" t="s">
        <v>1212</v>
      </c>
      <c r="K446" s="328"/>
    </row>
    <row r="447" spans="3:11">
      <c r="C447" s="142" t="s">
        <v>1213</v>
      </c>
      <c r="D447" s="60" t="s">
        <v>1214</v>
      </c>
      <c r="E447" s="74"/>
      <c r="F447" s="74"/>
      <c r="G447" s="74"/>
      <c r="H447" s="147"/>
      <c r="K447" s="328"/>
    </row>
    <row r="448" spans="3:11">
      <c r="C448" s="143">
        <v>1</v>
      </c>
      <c r="D448" s="60" t="s">
        <v>5</v>
      </c>
      <c r="E448" s="73" t="s">
        <v>6</v>
      </c>
      <c r="F448" s="94">
        <v>0.67</v>
      </c>
      <c r="G448" s="65">
        <f>VLOOKUP(D448,upahbahan,3,FALSE)</f>
        <v>100000</v>
      </c>
      <c r="H448" s="125">
        <f t="shared" ref="H448:H451" si="48">F448*G448</f>
        <v>67000</v>
      </c>
      <c r="K448" s="328"/>
    </row>
    <row r="449" spans="3:11">
      <c r="C449" s="143">
        <v>2</v>
      </c>
      <c r="D449" s="60" t="s">
        <v>8</v>
      </c>
      <c r="E449" s="73" t="s">
        <v>6</v>
      </c>
      <c r="F449" s="94">
        <v>2</v>
      </c>
      <c r="G449" s="65">
        <f>VLOOKUP(D449,upahbahan,3,FALSE)</f>
        <v>145000</v>
      </c>
      <c r="H449" s="125">
        <f t="shared" si="48"/>
        <v>290000</v>
      </c>
      <c r="K449" s="328"/>
    </row>
    <row r="450" spans="3:11">
      <c r="C450" s="143">
        <v>3</v>
      </c>
      <c r="D450" s="60" t="s">
        <v>18</v>
      </c>
      <c r="E450" s="73" t="s">
        <v>6</v>
      </c>
      <c r="F450" s="94">
        <v>0.2</v>
      </c>
      <c r="G450" s="65">
        <f>VLOOKUP(D450,upahbahan,3,FALSE)</f>
        <v>150000</v>
      </c>
      <c r="H450" s="125">
        <f t="shared" si="48"/>
        <v>30000</v>
      </c>
      <c r="K450" s="328"/>
    </row>
    <row r="451" spans="3:11">
      <c r="C451" s="143">
        <v>4</v>
      </c>
      <c r="D451" s="60" t="s">
        <v>19</v>
      </c>
      <c r="E451" s="73" t="s">
        <v>6</v>
      </c>
      <c r="F451" s="94">
        <v>6.6699999999999995E-2</v>
      </c>
      <c r="G451" s="65">
        <f>VLOOKUP(D451,upahbahan,3,FALSE)</f>
        <v>145000</v>
      </c>
      <c r="H451" s="125">
        <f t="shared" si="48"/>
        <v>9671.5</v>
      </c>
      <c r="K451" s="328"/>
    </row>
    <row r="452" spans="3:11">
      <c r="C452" s="145" t="s">
        <v>1220</v>
      </c>
      <c r="D452" s="81"/>
      <c r="E452" s="81"/>
      <c r="F452" s="220"/>
      <c r="G452" s="221"/>
      <c r="H452" s="125">
        <f>SUM(H448:H451)</f>
        <v>396671.5</v>
      </c>
      <c r="I452" s="222"/>
      <c r="K452" s="328"/>
    </row>
    <row r="453" spans="3:11">
      <c r="C453" s="142" t="s">
        <v>1221</v>
      </c>
      <c r="D453" s="60" t="s">
        <v>1222</v>
      </c>
      <c r="E453" s="74"/>
      <c r="F453" s="74"/>
      <c r="G453" s="65" t="e">
        <f>VLOOKUP(D453,upahbahan,3,FALSE)</f>
        <v>#N/A</v>
      </c>
      <c r="H453" s="147"/>
      <c r="K453" s="328"/>
    </row>
    <row r="454" spans="3:11">
      <c r="C454" s="146" t="s">
        <v>1215</v>
      </c>
      <c r="D454" s="78" t="s">
        <v>126</v>
      </c>
      <c r="E454" s="181" t="s">
        <v>42</v>
      </c>
      <c r="F454" s="172">
        <v>0.06</v>
      </c>
      <c r="G454" s="65">
        <f>VLOOKUP(D454,upahbahan,3,FALSE)</f>
        <v>14000000</v>
      </c>
      <c r="H454" s="125">
        <f t="shared" ref="H454:H455" si="49">F454*G454</f>
        <v>840000</v>
      </c>
      <c r="K454" s="328"/>
    </row>
    <row r="455" spans="3:11">
      <c r="C455" s="146" t="s">
        <v>1216</v>
      </c>
      <c r="D455" s="78" t="s">
        <v>263</v>
      </c>
      <c r="E455" s="181" t="s">
        <v>66</v>
      </c>
      <c r="F455" s="172">
        <v>0.15</v>
      </c>
      <c r="G455" s="65">
        <f>VLOOKUP(D455,upahbahan,3,FALSE)</f>
        <v>15000</v>
      </c>
      <c r="H455" s="125">
        <f t="shared" si="49"/>
        <v>2250</v>
      </c>
      <c r="K455" s="328"/>
    </row>
    <row r="456" spans="3:11">
      <c r="C456" s="145" t="s">
        <v>1226</v>
      </c>
      <c r="D456" s="81"/>
      <c r="E456" s="81"/>
      <c r="F456" s="81"/>
      <c r="G456" s="163"/>
      <c r="H456" s="125">
        <f>SUM(H454:H455)</f>
        <v>842250</v>
      </c>
      <c r="K456" s="328"/>
    </row>
    <row r="457" spans="3:11">
      <c r="C457" s="153" t="s">
        <v>1227</v>
      </c>
      <c r="D457" s="60" t="s">
        <v>1228</v>
      </c>
      <c r="E457" s="74"/>
      <c r="F457" s="74"/>
      <c r="G457" s="74"/>
      <c r="H457" s="147"/>
      <c r="K457" s="328"/>
    </row>
    <row r="458" spans="3:11">
      <c r="C458" s="145" t="s">
        <v>1229</v>
      </c>
      <c r="D458" s="81"/>
      <c r="E458" s="81"/>
      <c r="F458" s="81"/>
      <c r="G458" s="163"/>
      <c r="H458" s="154">
        <v>0</v>
      </c>
      <c r="K458" s="328"/>
    </row>
    <row r="459" spans="3:11">
      <c r="C459" s="123" t="s">
        <v>1230</v>
      </c>
      <c r="D459" s="70" t="s">
        <v>1231</v>
      </c>
      <c r="E459" s="71"/>
      <c r="F459" s="71"/>
      <c r="G459" s="72"/>
      <c r="H459" s="125">
        <f>H458+H456+H452</f>
        <v>1238921.5</v>
      </c>
      <c r="K459" s="328"/>
    </row>
    <row r="460" spans="3:11">
      <c r="C460" s="123" t="s">
        <v>1232</v>
      </c>
      <c r="D460" s="70" t="s">
        <v>1410</v>
      </c>
      <c r="E460" s="71"/>
      <c r="F460" s="72"/>
      <c r="G460" s="96">
        <f>$M$7</f>
        <v>0.1</v>
      </c>
      <c r="H460" s="125">
        <f>H459*G460</f>
        <v>123892.15000000001</v>
      </c>
      <c r="K460" s="328"/>
    </row>
    <row r="461" spans="3:11" ht="15.75" thickBot="1">
      <c r="C461" s="131" t="s">
        <v>1233</v>
      </c>
      <c r="D461" s="132" t="s">
        <v>1234</v>
      </c>
      <c r="E461" s="133"/>
      <c r="F461" s="133"/>
      <c r="G461" s="156"/>
      <c r="H461" s="135">
        <f>SUM(H459:H460)</f>
        <v>1362813.65</v>
      </c>
      <c r="K461" s="328"/>
    </row>
    <row r="462" spans="3:11" ht="15.75" thickTop="1">
      <c r="C462" s="58"/>
      <c r="D462" s="82"/>
      <c r="E462" s="82"/>
      <c r="F462" s="82"/>
      <c r="G462" s="82"/>
      <c r="H462" s="83"/>
      <c r="K462" s="328"/>
    </row>
    <row r="463" spans="3:11" ht="15.75" thickBot="1">
      <c r="C463" s="224" t="s">
        <v>1662</v>
      </c>
      <c r="D463" s="225"/>
      <c r="E463" s="225"/>
      <c r="F463" s="225"/>
      <c r="G463" s="225"/>
      <c r="H463" s="225"/>
      <c r="I463" s="57">
        <f>ROUNDDOWN(H478,-2)</f>
        <v>274100</v>
      </c>
      <c r="K463" s="328"/>
    </row>
    <row r="464" spans="3:11" ht="29.25" thickTop="1">
      <c r="C464" s="120" t="s">
        <v>1207</v>
      </c>
      <c r="D464" s="121" t="s">
        <v>1208</v>
      </c>
      <c r="E464" s="121" t="s">
        <v>1209</v>
      </c>
      <c r="F464" s="121" t="s">
        <v>1210</v>
      </c>
      <c r="G464" s="121" t="s">
        <v>1211</v>
      </c>
      <c r="H464" s="122" t="s">
        <v>1212</v>
      </c>
      <c r="K464" s="328"/>
    </row>
    <row r="465" spans="3:11">
      <c r="C465" s="142" t="s">
        <v>1213</v>
      </c>
      <c r="D465" s="60" t="s">
        <v>1214</v>
      </c>
      <c r="E465" s="74"/>
      <c r="F465" s="74"/>
      <c r="G465" s="74"/>
      <c r="H465" s="147"/>
      <c r="K465" s="328"/>
    </row>
    <row r="466" spans="3:11">
      <c r="C466" s="143">
        <v>1</v>
      </c>
      <c r="D466" s="60" t="s">
        <v>5</v>
      </c>
      <c r="E466" s="73" t="s">
        <v>6</v>
      </c>
      <c r="F466" s="75">
        <v>0.06</v>
      </c>
      <c r="G466" s="65">
        <f>VLOOKUP(D466,upahbahan,3,FALSE)</f>
        <v>100000</v>
      </c>
      <c r="H466" s="125">
        <f t="shared" ref="H466:H469" si="50">F466*G466</f>
        <v>6000</v>
      </c>
      <c r="K466" s="328"/>
    </row>
    <row r="467" spans="3:11">
      <c r="C467" s="143">
        <v>2</v>
      </c>
      <c r="D467" s="60" t="s">
        <v>8</v>
      </c>
      <c r="E467" s="73" t="s">
        <v>6</v>
      </c>
      <c r="F467" s="75">
        <v>0.6</v>
      </c>
      <c r="G467" s="65">
        <f>VLOOKUP(D467,upahbahan,3,FALSE)</f>
        <v>145000</v>
      </c>
      <c r="H467" s="125">
        <f t="shared" si="50"/>
        <v>87000</v>
      </c>
      <c r="K467" s="328"/>
    </row>
    <row r="468" spans="3:11">
      <c r="C468" s="143">
        <v>3</v>
      </c>
      <c r="D468" s="60" t="s">
        <v>18</v>
      </c>
      <c r="E468" s="73" t="s">
        <v>6</v>
      </c>
      <c r="F468" s="75">
        <v>0.06</v>
      </c>
      <c r="G468" s="65">
        <f>VLOOKUP(D468,upahbahan,3,FALSE)</f>
        <v>150000</v>
      </c>
      <c r="H468" s="125">
        <f t="shared" si="50"/>
        <v>9000</v>
      </c>
      <c r="K468" s="328"/>
    </row>
    <row r="469" spans="3:11">
      <c r="C469" s="143">
        <v>4</v>
      </c>
      <c r="D469" s="60" t="s">
        <v>19</v>
      </c>
      <c r="E469" s="73" t="s">
        <v>6</v>
      </c>
      <c r="F469" s="75">
        <v>0.02</v>
      </c>
      <c r="G469" s="65">
        <f>VLOOKUP(D469,upahbahan,3,FALSE)</f>
        <v>145000</v>
      </c>
      <c r="H469" s="125">
        <f t="shared" si="50"/>
        <v>2900</v>
      </c>
      <c r="K469" s="328"/>
    </row>
    <row r="470" spans="3:11">
      <c r="C470" s="145" t="s">
        <v>1220</v>
      </c>
      <c r="D470" s="81"/>
      <c r="E470" s="81"/>
      <c r="F470" s="220"/>
      <c r="G470" s="221"/>
      <c r="H470" s="125">
        <f>SUM(H466:H469)</f>
        <v>104900</v>
      </c>
      <c r="I470" s="222"/>
      <c r="K470" s="328"/>
    </row>
    <row r="471" spans="3:11">
      <c r="C471" s="142" t="s">
        <v>1221</v>
      </c>
      <c r="D471" s="60" t="s">
        <v>1222</v>
      </c>
      <c r="E471" s="74"/>
      <c r="F471" s="74"/>
      <c r="G471" s="74"/>
      <c r="H471" s="147"/>
      <c r="K471" s="328"/>
    </row>
    <row r="472" spans="3:11">
      <c r="C472" s="143">
        <v>1</v>
      </c>
      <c r="D472" s="60" t="s">
        <v>632</v>
      </c>
      <c r="E472" s="73" t="s">
        <v>44</v>
      </c>
      <c r="F472" s="75">
        <v>1</v>
      </c>
      <c r="G472" s="65">
        <f>VLOOKUP(D472,upahbahan,3,FALSE)</f>
        <v>144300</v>
      </c>
      <c r="H472" s="125">
        <f t="shared" ref="H472" si="51">F472*G472</f>
        <v>144300</v>
      </c>
      <c r="K472" s="328"/>
    </row>
    <row r="473" spans="3:11">
      <c r="C473" s="145" t="s">
        <v>1226</v>
      </c>
      <c r="D473" s="81"/>
      <c r="E473" s="81"/>
      <c r="F473" s="81"/>
      <c r="G473" s="163"/>
      <c r="H473" s="125">
        <f>SUM(H472)</f>
        <v>144300</v>
      </c>
      <c r="K473" s="328"/>
    </row>
    <row r="474" spans="3:11">
      <c r="C474" s="153" t="s">
        <v>1227</v>
      </c>
      <c r="D474" s="60" t="s">
        <v>1228</v>
      </c>
      <c r="E474" s="74"/>
      <c r="F474" s="74"/>
      <c r="G474" s="74"/>
      <c r="H474" s="147"/>
      <c r="K474" s="328"/>
    </row>
    <row r="475" spans="3:11">
      <c r="C475" s="145" t="s">
        <v>1229</v>
      </c>
      <c r="D475" s="81"/>
      <c r="E475" s="81"/>
      <c r="F475" s="81"/>
      <c r="G475" s="163"/>
      <c r="H475" s="154">
        <v>0</v>
      </c>
      <c r="K475" s="328"/>
    </row>
    <row r="476" spans="3:11">
      <c r="C476" s="123" t="s">
        <v>1230</v>
      </c>
      <c r="D476" s="70" t="s">
        <v>1231</v>
      </c>
      <c r="E476" s="71"/>
      <c r="F476" s="71"/>
      <c r="G476" s="72"/>
      <c r="H476" s="125">
        <f>H475+H473+H470</f>
        <v>249200</v>
      </c>
      <c r="K476" s="328"/>
    </row>
    <row r="477" spans="3:11">
      <c r="C477" s="123" t="s">
        <v>1232</v>
      </c>
      <c r="D477" s="70" t="s">
        <v>1410</v>
      </c>
      <c r="E477" s="71"/>
      <c r="F477" s="72"/>
      <c r="G477" s="96">
        <f>$M$7</f>
        <v>0.1</v>
      </c>
      <c r="H477" s="125">
        <f>H476*G477</f>
        <v>24920</v>
      </c>
      <c r="K477" s="328"/>
    </row>
    <row r="478" spans="3:11" ht="15.75" thickBot="1">
      <c r="C478" s="131" t="s">
        <v>1233</v>
      </c>
      <c r="D478" s="132" t="s">
        <v>1234</v>
      </c>
      <c r="E478" s="133"/>
      <c r="F478" s="133"/>
      <c r="G478" s="156"/>
      <c r="H478" s="135">
        <f>SUM(H476:H477)</f>
        <v>274120</v>
      </c>
      <c r="K478" s="328"/>
    </row>
    <row r="479" spans="3:11" ht="15.75" thickTop="1">
      <c r="C479" s="90"/>
      <c r="D479" s="91"/>
      <c r="E479" s="91"/>
      <c r="F479" s="91"/>
      <c r="G479" s="91"/>
      <c r="H479" s="92"/>
      <c r="K479" s="328"/>
    </row>
    <row r="480" spans="3:11" ht="15.75" thickBot="1">
      <c r="C480" s="224" t="s">
        <v>1663</v>
      </c>
      <c r="D480" s="226"/>
      <c r="E480" s="226"/>
      <c r="F480" s="226"/>
      <c r="G480" s="226"/>
      <c r="H480" s="226"/>
      <c r="I480" s="57">
        <f>ROUNDDOWN(H495,-2)</f>
        <v>164100</v>
      </c>
      <c r="K480" s="328"/>
    </row>
    <row r="481" spans="3:11" ht="29.25" thickTop="1">
      <c r="C481" s="120" t="s">
        <v>1207</v>
      </c>
      <c r="D481" s="121" t="s">
        <v>1208</v>
      </c>
      <c r="E481" s="121" t="s">
        <v>1209</v>
      </c>
      <c r="F481" s="121" t="s">
        <v>1210</v>
      </c>
      <c r="G481" s="121" t="s">
        <v>1211</v>
      </c>
      <c r="H481" s="122" t="s">
        <v>1212</v>
      </c>
      <c r="K481" s="328"/>
    </row>
    <row r="482" spans="3:11">
      <c r="C482" s="142" t="s">
        <v>1213</v>
      </c>
      <c r="D482" s="60" t="s">
        <v>1214</v>
      </c>
      <c r="E482" s="74"/>
      <c r="F482" s="74"/>
      <c r="G482" s="74"/>
      <c r="H482" s="147"/>
      <c r="K482" s="328"/>
    </row>
    <row r="483" spans="3:11">
      <c r="C483" s="143">
        <v>1</v>
      </c>
      <c r="D483" s="60" t="s">
        <v>5</v>
      </c>
      <c r="E483" s="73" t="s">
        <v>6</v>
      </c>
      <c r="F483" s="75">
        <v>0.01</v>
      </c>
      <c r="G483" s="65">
        <f>VLOOKUP(D483,upahbahan,3,FALSE)</f>
        <v>100000</v>
      </c>
      <c r="H483" s="125">
        <f t="shared" ref="H483:H486" si="52">F483*G483</f>
        <v>1000</v>
      </c>
      <c r="K483" s="328"/>
    </row>
    <row r="484" spans="3:11">
      <c r="C484" s="143">
        <v>2</v>
      </c>
      <c r="D484" s="60" t="s">
        <v>8</v>
      </c>
      <c r="E484" s="73" t="s">
        <v>6</v>
      </c>
      <c r="F484" s="75">
        <v>0.5</v>
      </c>
      <c r="G484" s="65">
        <f>VLOOKUP(D484,upahbahan,3,FALSE)</f>
        <v>145000</v>
      </c>
      <c r="H484" s="125">
        <f t="shared" si="52"/>
        <v>72500</v>
      </c>
      <c r="K484" s="328"/>
    </row>
    <row r="485" spans="3:11">
      <c r="C485" s="143">
        <v>3</v>
      </c>
      <c r="D485" s="60" t="s">
        <v>18</v>
      </c>
      <c r="E485" s="73" t="s">
        <v>6</v>
      </c>
      <c r="F485" s="75">
        <v>0.05</v>
      </c>
      <c r="G485" s="65">
        <f>VLOOKUP(D485,upahbahan,3,FALSE)</f>
        <v>150000</v>
      </c>
      <c r="H485" s="125">
        <f t="shared" si="52"/>
        <v>7500</v>
      </c>
      <c r="K485" s="328"/>
    </row>
    <row r="486" spans="3:11">
      <c r="C486" s="143">
        <v>4</v>
      </c>
      <c r="D486" s="60" t="s">
        <v>19</v>
      </c>
      <c r="E486" s="73" t="s">
        <v>6</v>
      </c>
      <c r="F486" s="75">
        <v>1.7000000000000001E-2</v>
      </c>
      <c r="G486" s="65">
        <f>VLOOKUP(D486,upahbahan,3,FALSE)</f>
        <v>145000</v>
      </c>
      <c r="H486" s="125">
        <f t="shared" si="52"/>
        <v>2465</v>
      </c>
      <c r="K486" s="328"/>
    </row>
    <row r="487" spans="3:11">
      <c r="C487" s="145" t="s">
        <v>1220</v>
      </c>
      <c r="D487" s="81"/>
      <c r="E487" s="81"/>
      <c r="F487" s="220"/>
      <c r="G487" s="221"/>
      <c r="H487" s="125">
        <f>SUM(H483:H486)</f>
        <v>83465</v>
      </c>
      <c r="I487" s="222"/>
      <c r="K487" s="328"/>
    </row>
    <row r="488" spans="3:11">
      <c r="C488" s="142" t="s">
        <v>1221</v>
      </c>
      <c r="D488" s="60" t="s">
        <v>1222</v>
      </c>
      <c r="E488" s="74"/>
      <c r="F488" s="74"/>
      <c r="G488" s="74"/>
      <c r="H488" s="147"/>
      <c r="K488" s="328"/>
    </row>
    <row r="489" spans="3:11">
      <c r="C489" s="143">
        <v>1</v>
      </c>
      <c r="D489" s="60" t="s">
        <v>633</v>
      </c>
      <c r="E489" s="73" t="s">
        <v>44</v>
      </c>
      <c r="F489" s="75">
        <v>1</v>
      </c>
      <c r="G489" s="65">
        <f>VLOOKUP(D489,upahbahan,3,FALSE)</f>
        <v>65800</v>
      </c>
      <c r="H489" s="125">
        <f t="shared" ref="H489" si="53">F489*G489</f>
        <v>65800</v>
      </c>
      <c r="K489" s="328"/>
    </row>
    <row r="490" spans="3:11">
      <c r="C490" s="145" t="s">
        <v>1226</v>
      </c>
      <c r="D490" s="81"/>
      <c r="E490" s="81"/>
      <c r="F490" s="81"/>
      <c r="G490" s="163"/>
      <c r="H490" s="125">
        <f>SUM(H489)</f>
        <v>65800</v>
      </c>
      <c r="K490" s="328"/>
    </row>
    <row r="491" spans="3:11">
      <c r="C491" s="153" t="s">
        <v>1227</v>
      </c>
      <c r="D491" s="60" t="s">
        <v>1228</v>
      </c>
      <c r="E491" s="74"/>
      <c r="F491" s="74"/>
      <c r="G491" s="74"/>
      <c r="H491" s="147"/>
      <c r="K491" s="328"/>
    </row>
    <row r="492" spans="3:11">
      <c r="C492" s="145" t="s">
        <v>1229</v>
      </c>
      <c r="D492" s="81"/>
      <c r="E492" s="81"/>
      <c r="F492" s="81"/>
      <c r="G492" s="163"/>
      <c r="H492" s="154">
        <v>0</v>
      </c>
      <c r="K492" s="328"/>
    </row>
    <row r="493" spans="3:11">
      <c r="C493" s="123" t="s">
        <v>1230</v>
      </c>
      <c r="D493" s="70" t="s">
        <v>1231</v>
      </c>
      <c r="E493" s="71"/>
      <c r="F493" s="71"/>
      <c r="G493" s="72"/>
      <c r="H493" s="125">
        <f>H492+H490+H487</f>
        <v>149265</v>
      </c>
      <c r="K493" s="328"/>
    </row>
    <row r="494" spans="3:11">
      <c r="C494" s="123" t="s">
        <v>1232</v>
      </c>
      <c r="D494" s="70" t="s">
        <v>1410</v>
      </c>
      <c r="E494" s="71"/>
      <c r="F494" s="72"/>
      <c r="G494" s="96">
        <f>$M$7</f>
        <v>0.1</v>
      </c>
      <c r="H494" s="125">
        <f>H493*G494</f>
        <v>14926.5</v>
      </c>
      <c r="K494" s="328"/>
    </row>
    <row r="495" spans="3:11" ht="15.75" thickBot="1">
      <c r="C495" s="131" t="s">
        <v>1233</v>
      </c>
      <c r="D495" s="132" t="s">
        <v>1234</v>
      </c>
      <c r="E495" s="133"/>
      <c r="F495" s="133"/>
      <c r="G495" s="156"/>
      <c r="H495" s="135">
        <f>SUM(H493:H494)</f>
        <v>164191.5</v>
      </c>
      <c r="K495" s="328"/>
    </row>
    <row r="496" spans="3:11" ht="15.75" thickTop="1">
      <c r="C496" s="90"/>
      <c r="D496" s="91"/>
      <c r="E496" s="91"/>
      <c r="F496" s="91"/>
      <c r="G496" s="91"/>
      <c r="H496" s="92"/>
      <c r="K496" s="328"/>
    </row>
    <row r="497" spans="3:11" ht="15.75" thickBot="1">
      <c r="C497" s="224" t="s">
        <v>1664</v>
      </c>
      <c r="D497" s="226"/>
      <c r="E497" s="226"/>
      <c r="F497" s="226"/>
      <c r="G497" s="226"/>
      <c r="H497" s="226"/>
      <c r="I497" s="57">
        <f>ROUNDDOWN(H512,-2)</f>
        <v>142800</v>
      </c>
      <c r="K497" s="328"/>
    </row>
    <row r="498" spans="3:11" ht="29.25" thickTop="1">
      <c r="C498" s="120" t="s">
        <v>1207</v>
      </c>
      <c r="D498" s="121" t="s">
        <v>1208</v>
      </c>
      <c r="E498" s="121" t="s">
        <v>1209</v>
      </c>
      <c r="F498" s="121" t="s">
        <v>1210</v>
      </c>
      <c r="G498" s="121" t="s">
        <v>1211</v>
      </c>
      <c r="H498" s="122" t="s">
        <v>1212</v>
      </c>
      <c r="K498" s="328"/>
    </row>
    <row r="499" spans="3:11">
      <c r="C499" s="142" t="s">
        <v>1213</v>
      </c>
      <c r="D499" s="60" t="s">
        <v>1214</v>
      </c>
      <c r="E499" s="74"/>
      <c r="F499" s="74"/>
      <c r="G499" s="74"/>
      <c r="H499" s="147"/>
      <c r="K499" s="328"/>
    </row>
    <row r="500" spans="3:11">
      <c r="C500" s="143">
        <v>1</v>
      </c>
      <c r="D500" s="60" t="s">
        <v>5</v>
      </c>
      <c r="E500" s="73" t="s">
        <v>6</v>
      </c>
      <c r="F500" s="75">
        <v>5.0000000000000001E-3</v>
      </c>
      <c r="G500" s="65">
        <f>VLOOKUP(D500,upahbahan,3,FALSE)</f>
        <v>100000</v>
      </c>
      <c r="H500" s="125">
        <f t="shared" ref="H500:H503" si="54">F500*G500</f>
        <v>500</v>
      </c>
      <c r="K500" s="328"/>
    </row>
    <row r="501" spans="3:11">
      <c r="C501" s="143">
        <v>2</v>
      </c>
      <c r="D501" s="60" t="s">
        <v>8</v>
      </c>
      <c r="E501" s="73" t="s">
        <v>6</v>
      </c>
      <c r="F501" s="75">
        <v>0.5</v>
      </c>
      <c r="G501" s="65">
        <f>VLOOKUP(D501,upahbahan,3,FALSE)</f>
        <v>145000</v>
      </c>
      <c r="H501" s="125">
        <f t="shared" si="54"/>
        <v>72500</v>
      </c>
      <c r="K501" s="328"/>
    </row>
    <row r="502" spans="3:11">
      <c r="C502" s="143">
        <v>3</v>
      </c>
      <c r="D502" s="60" t="s">
        <v>18</v>
      </c>
      <c r="E502" s="73" t="s">
        <v>6</v>
      </c>
      <c r="F502" s="75">
        <v>0.05</v>
      </c>
      <c r="G502" s="65">
        <f>VLOOKUP(D502,upahbahan,3,FALSE)</f>
        <v>150000</v>
      </c>
      <c r="H502" s="125">
        <f t="shared" si="54"/>
        <v>7500</v>
      </c>
      <c r="K502" s="328"/>
    </row>
    <row r="503" spans="3:11">
      <c r="C503" s="143">
        <v>4</v>
      </c>
      <c r="D503" s="60" t="s">
        <v>19</v>
      </c>
      <c r="E503" s="73" t="s">
        <v>6</v>
      </c>
      <c r="F503" s="75">
        <v>1.7000000000000001E-2</v>
      </c>
      <c r="G503" s="65">
        <f>VLOOKUP(D503,upahbahan,3,FALSE)</f>
        <v>145000</v>
      </c>
      <c r="H503" s="125">
        <f t="shared" si="54"/>
        <v>2465</v>
      </c>
      <c r="K503" s="328"/>
    </row>
    <row r="504" spans="3:11">
      <c r="C504" s="145" t="s">
        <v>1220</v>
      </c>
      <c r="D504" s="81"/>
      <c r="E504" s="81"/>
      <c r="F504" s="220"/>
      <c r="G504" s="221"/>
      <c r="H504" s="125">
        <f>SUM(H500:H503)</f>
        <v>82965</v>
      </c>
      <c r="I504" s="222"/>
      <c r="K504" s="328"/>
    </row>
    <row r="505" spans="3:11">
      <c r="C505" s="142" t="s">
        <v>1221</v>
      </c>
      <c r="D505" s="60" t="s">
        <v>1222</v>
      </c>
      <c r="E505" s="74"/>
      <c r="F505" s="74"/>
      <c r="G505" s="74"/>
      <c r="H505" s="147"/>
      <c r="K505" s="328"/>
    </row>
    <row r="506" spans="3:11">
      <c r="C506" s="143">
        <v>1</v>
      </c>
      <c r="D506" s="60" t="s">
        <v>635</v>
      </c>
      <c r="E506" s="73" t="s">
        <v>44</v>
      </c>
      <c r="F506" s="230">
        <v>1</v>
      </c>
      <c r="G506" s="65">
        <f>VLOOKUP(D506,upahbahan,3,FALSE)</f>
        <v>46900</v>
      </c>
      <c r="H506" s="125">
        <f t="shared" ref="H506" si="55">F506*G506</f>
        <v>46900</v>
      </c>
      <c r="K506" s="328"/>
    </row>
    <row r="507" spans="3:11">
      <c r="C507" s="145" t="s">
        <v>1226</v>
      </c>
      <c r="D507" s="81"/>
      <c r="E507" s="81"/>
      <c r="F507" s="81"/>
      <c r="G507" s="163"/>
      <c r="H507" s="125">
        <f>SUM(H506)</f>
        <v>46900</v>
      </c>
      <c r="K507" s="328"/>
    </row>
    <row r="508" spans="3:11">
      <c r="C508" s="153" t="s">
        <v>1227</v>
      </c>
      <c r="D508" s="60" t="s">
        <v>1228</v>
      </c>
      <c r="E508" s="74"/>
      <c r="F508" s="74"/>
      <c r="G508" s="74"/>
      <c r="H508" s="147"/>
      <c r="K508" s="328"/>
    </row>
    <row r="509" spans="3:11">
      <c r="C509" s="145" t="s">
        <v>1229</v>
      </c>
      <c r="D509" s="81"/>
      <c r="E509" s="81"/>
      <c r="F509" s="81"/>
      <c r="G509" s="163"/>
      <c r="H509" s="154">
        <v>0</v>
      </c>
      <c r="K509" s="328"/>
    </row>
    <row r="510" spans="3:11">
      <c r="C510" s="123" t="s">
        <v>1230</v>
      </c>
      <c r="D510" s="70" t="s">
        <v>1231</v>
      </c>
      <c r="E510" s="71"/>
      <c r="F510" s="71"/>
      <c r="G510" s="72"/>
      <c r="H510" s="125">
        <f>H509+H507+H504</f>
        <v>129865</v>
      </c>
      <c r="K510" s="328"/>
    </row>
    <row r="511" spans="3:11">
      <c r="C511" s="123" t="s">
        <v>1232</v>
      </c>
      <c r="D511" s="70" t="s">
        <v>1410</v>
      </c>
      <c r="E511" s="71"/>
      <c r="F511" s="72"/>
      <c r="G511" s="96">
        <f>$M$7</f>
        <v>0.1</v>
      </c>
      <c r="H511" s="125">
        <f>H510*G511</f>
        <v>12986.5</v>
      </c>
      <c r="K511" s="328"/>
    </row>
    <row r="512" spans="3:11" ht="15.75" thickBot="1">
      <c r="C512" s="131" t="s">
        <v>1233</v>
      </c>
      <c r="D512" s="132" t="s">
        <v>1234</v>
      </c>
      <c r="E512" s="133"/>
      <c r="F512" s="133"/>
      <c r="G512" s="156"/>
      <c r="H512" s="135">
        <f>SUM(H510:H511)</f>
        <v>142851.5</v>
      </c>
      <c r="K512" s="328"/>
    </row>
    <row r="513" spans="3:11" ht="15.75" thickTop="1">
      <c r="C513" s="90"/>
      <c r="D513" s="91"/>
      <c r="E513" s="91"/>
      <c r="F513" s="91"/>
      <c r="G513" s="91"/>
      <c r="H513" s="92"/>
      <c r="K513" s="328"/>
    </row>
    <row r="514" spans="3:11" ht="15.75" thickBot="1">
      <c r="C514" s="224" t="s">
        <v>1665</v>
      </c>
      <c r="D514" s="226"/>
      <c r="E514" s="226"/>
      <c r="F514" s="226"/>
      <c r="G514" s="226"/>
      <c r="H514" s="226"/>
      <c r="I514" s="57">
        <f>ROUNDDOWN(H529,-2)</f>
        <v>168200</v>
      </c>
      <c r="K514" s="328"/>
    </row>
    <row r="515" spans="3:11" ht="29.25" thickTop="1">
      <c r="C515" s="120" t="s">
        <v>1207</v>
      </c>
      <c r="D515" s="121" t="s">
        <v>1208</v>
      </c>
      <c r="E515" s="121" t="s">
        <v>1209</v>
      </c>
      <c r="F515" s="121" t="s">
        <v>1210</v>
      </c>
      <c r="G515" s="121" t="s">
        <v>1211</v>
      </c>
      <c r="H515" s="122" t="s">
        <v>1212</v>
      </c>
      <c r="K515" s="328"/>
    </row>
    <row r="516" spans="3:11">
      <c r="C516" s="142" t="s">
        <v>1213</v>
      </c>
      <c r="D516" s="60" t="s">
        <v>1214</v>
      </c>
      <c r="E516" s="74"/>
      <c r="F516" s="74"/>
      <c r="G516" s="74"/>
      <c r="H516" s="147"/>
      <c r="K516" s="328"/>
    </row>
    <row r="517" spans="3:11">
      <c r="C517" s="143">
        <v>1</v>
      </c>
      <c r="D517" s="60" t="s">
        <v>5</v>
      </c>
      <c r="E517" s="73" t="s">
        <v>6</v>
      </c>
      <c r="F517" s="75">
        <v>5.0000000000000001E-3</v>
      </c>
      <c r="G517" s="65">
        <f>VLOOKUP(D517,upahbahan,3,FALSE)</f>
        <v>100000</v>
      </c>
      <c r="H517" s="125">
        <f t="shared" ref="H517:H520" si="56">F517*G517</f>
        <v>500</v>
      </c>
      <c r="K517" s="328"/>
    </row>
    <row r="518" spans="3:11">
      <c r="C518" s="143">
        <v>2</v>
      </c>
      <c r="D518" s="60" t="s">
        <v>8</v>
      </c>
      <c r="E518" s="73" t="s">
        <v>6</v>
      </c>
      <c r="F518" s="75">
        <v>0.5</v>
      </c>
      <c r="G518" s="65">
        <f>VLOOKUP(D518,upahbahan,3,FALSE)</f>
        <v>145000</v>
      </c>
      <c r="H518" s="125">
        <f t="shared" si="56"/>
        <v>72500</v>
      </c>
      <c r="K518" s="328"/>
    </row>
    <row r="519" spans="3:11">
      <c r="C519" s="143">
        <v>3</v>
      </c>
      <c r="D519" s="60" t="s">
        <v>18</v>
      </c>
      <c r="E519" s="73" t="s">
        <v>6</v>
      </c>
      <c r="F519" s="75">
        <v>0.05</v>
      </c>
      <c r="G519" s="65">
        <f>VLOOKUP(D519,upahbahan,3,FALSE)</f>
        <v>150000</v>
      </c>
      <c r="H519" s="125">
        <f t="shared" si="56"/>
        <v>7500</v>
      </c>
      <c r="K519" s="328"/>
    </row>
    <row r="520" spans="3:11">
      <c r="C520" s="143">
        <v>4</v>
      </c>
      <c r="D520" s="60" t="s">
        <v>19</v>
      </c>
      <c r="E520" s="73" t="s">
        <v>6</v>
      </c>
      <c r="F520" s="75">
        <v>1.7000000000000001E-2</v>
      </c>
      <c r="G520" s="65">
        <f>VLOOKUP(D520,upahbahan,3,FALSE)</f>
        <v>145000</v>
      </c>
      <c r="H520" s="125">
        <f t="shared" si="56"/>
        <v>2465</v>
      </c>
      <c r="K520" s="328"/>
    </row>
    <row r="521" spans="3:11">
      <c r="C521" s="145" t="s">
        <v>1220</v>
      </c>
      <c r="D521" s="81"/>
      <c r="E521" s="81"/>
      <c r="F521" s="220"/>
      <c r="G521" s="221"/>
      <c r="H521" s="125">
        <f>SUM(H517:H520)</f>
        <v>82965</v>
      </c>
      <c r="I521" s="222"/>
      <c r="K521" s="328"/>
    </row>
    <row r="522" spans="3:11">
      <c r="C522" s="142" t="s">
        <v>1221</v>
      </c>
      <c r="D522" s="60" t="s">
        <v>1222</v>
      </c>
      <c r="E522" s="74"/>
      <c r="F522" s="74"/>
      <c r="G522" s="74"/>
      <c r="H522" s="147"/>
      <c r="K522" s="328"/>
    </row>
    <row r="523" spans="3:11">
      <c r="C523" s="143">
        <v>1</v>
      </c>
      <c r="D523" s="60" t="s">
        <v>630</v>
      </c>
      <c r="E523" s="73" t="s">
        <v>44</v>
      </c>
      <c r="F523" s="230">
        <v>1</v>
      </c>
      <c r="G523" s="65">
        <f>VLOOKUP(D523,upahbahan,3,FALSE)</f>
        <v>70000</v>
      </c>
      <c r="H523" s="125">
        <f t="shared" ref="H523" si="57">F523*G523</f>
        <v>70000</v>
      </c>
      <c r="K523" s="328"/>
    </row>
    <row r="524" spans="3:11">
      <c r="C524" s="145" t="s">
        <v>1226</v>
      </c>
      <c r="D524" s="81"/>
      <c r="E524" s="81"/>
      <c r="F524" s="81"/>
      <c r="G524" s="163"/>
      <c r="H524" s="125">
        <f>SUM(H523)</f>
        <v>70000</v>
      </c>
      <c r="K524" s="328"/>
    </row>
    <row r="525" spans="3:11">
      <c r="C525" s="153" t="s">
        <v>1227</v>
      </c>
      <c r="D525" s="60" t="s">
        <v>1228</v>
      </c>
      <c r="E525" s="74"/>
      <c r="F525" s="74"/>
      <c r="G525" s="74"/>
      <c r="H525" s="147"/>
      <c r="K525" s="328"/>
    </row>
    <row r="526" spans="3:11">
      <c r="C526" s="145" t="s">
        <v>1229</v>
      </c>
      <c r="D526" s="81"/>
      <c r="E526" s="81"/>
      <c r="F526" s="81"/>
      <c r="G526" s="163"/>
      <c r="H526" s="154">
        <v>0</v>
      </c>
      <c r="K526" s="328"/>
    </row>
    <row r="527" spans="3:11">
      <c r="C527" s="123" t="s">
        <v>1230</v>
      </c>
      <c r="D527" s="70" t="s">
        <v>1231</v>
      </c>
      <c r="E527" s="71"/>
      <c r="F527" s="71"/>
      <c r="G527" s="72"/>
      <c r="H527" s="125">
        <f>H526+H524+H521</f>
        <v>152965</v>
      </c>
      <c r="K527" s="328"/>
    </row>
    <row r="528" spans="3:11">
      <c r="C528" s="123" t="s">
        <v>1232</v>
      </c>
      <c r="D528" s="70" t="s">
        <v>1410</v>
      </c>
      <c r="E528" s="71"/>
      <c r="F528" s="72"/>
      <c r="G528" s="96">
        <f>$M$7</f>
        <v>0.1</v>
      </c>
      <c r="H528" s="125">
        <f>H527*G528</f>
        <v>15296.5</v>
      </c>
      <c r="K528" s="328"/>
    </row>
    <row r="529" spans="3:11" ht="15.75" thickBot="1">
      <c r="C529" s="131" t="s">
        <v>1233</v>
      </c>
      <c r="D529" s="132" t="s">
        <v>1234</v>
      </c>
      <c r="E529" s="133"/>
      <c r="F529" s="133"/>
      <c r="G529" s="156"/>
      <c r="H529" s="135">
        <f>SUM(H527:H528)</f>
        <v>168261.5</v>
      </c>
      <c r="K529" s="328"/>
    </row>
    <row r="530" spans="3:11" ht="15.75" thickTop="1">
      <c r="K530" s="328"/>
    </row>
    <row r="531" spans="3:11" ht="15.75" thickBot="1">
      <c r="C531" s="224" t="s">
        <v>1666</v>
      </c>
      <c r="D531" s="225"/>
      <c r="E531" s="225"/>
      <c r="F531" s="225"/>
      <c r="G531" s="225"/>
      <c r="H531" s="225"/>
      <c r="I531" s="57">
        <f>ROUNDDOWN(H546,-2)</f>
        <v>63400</v>
      </c>
      <c r="K531" s="328"/>
    </row>
    <row r="532" spans="3:11" ht="29.25" thickTop="1">
      <c r="C532" s="120" t="s">
        <v>1207</v>
      </c>
      <c r="D532" s="121" t="s">
        <v>1208</v>
      </c>
      <c r="E532" s="121" t="s">
        <v>1209</v>
      </c>
      <c r="F532" s="121" t="s">
        <v>1210</v>
      </c>
      <c r="G532" s="121" t="s">
        <v>1211</v>
      </c>
      <c r="H532" s="122" t="s">
        <v>1212</v>
      </c>
      <c r="K532" s="328"/>
    </row>
    <row r="533" spans="3:11">
      <c r="C533" s="142" t="s">
        <v>1213</v>
      </c>
      <c r="D533" s="60" t="s">
        <v>1214</v>
      </c>
      <c r="E533" s="74"/>
      <c r="F533" s="74"/>
      <c r="G533" s="74"/>
      <c r="H533" s="147"/>
      <c r="K533" s="328"/>
    </row>
    <row r="534" spans="3:11">
      <c r="C534" s="143">
        <v>1</v>
      </c>
      <c r="D534" s="60" t="s">
        <v>5</v>
      </c>
      <c r="E534" s="73" t="s">
        <v>6</v>
      </c>
      <c r="F534" s="75">
        <v>1.4999999999999999E-2</v>
      </c>
      <c r="G534" s="65">
        <f>VLOOKUP(D534,upahbahan,3,FALSE)</f>
        <v>100000</v>
      </c>
      <c r="H534" s="125">
        <f t="shared" ref="H534:H537" si="58">F534*G534</f>
        <v>1500</v>
      </c>
      <c r="K534" s="328"/>
    </row>
    <row r="535" spans="3:11">
      <c r="C535" s="143">
        <v>2</v>
      </c>
      <c r="D535" s="60" t="s">
        <v>8</v>
      </c>
      <c r="E535" s="73" t="s">
        <v>6</v>
      </c>
      <c r="F535" s="75">
        <v>0.15</v>
      </c>
      <c r="G535" s="65">
        <f>VLOOKUP(D535,upahbahan,3,FALSE)</f>
        <v>145000</v>
      </c>
      <c r="H535" s="125">
        <f t="shared" si="58"/>
        <v>21750</v>
      </c>
      <c r="K535" s="328"/>
    </row>
    <row r="536" spans="3:11">
      <c r="C536" s="143">
        <v>3</v>
      </c>
      <c r="D536" s="60" t="s">
        <v>18</v>
      </c>
      <c r="E536" s="73" t="s">
        <v>6</v>
      </c>
      <c r="F536" s="75">
        <v>1.4999999999999999E-2</v>
      </c>
      <c r="G536" s="65">
        <f>VLOOKUP(D536,upahbahan,3,FALSE)</f>
        <v>150000</v>
      </c>
      <c r="H536" s="125">
        <f t="shared" si="58"/>
        <v>2250</v>
      </c>
      <c r="K536" s="328"/>
    </row>
    <row r="537" spans="3:11">
      <c r="C537" s="143">
        <v>4</v>
      </c>
      <c r="D537" s="60" t="s">
        <v>19</v>
      </c>
      <c r="E537" s="73" t="s">
        <v>6</v>
      </c>
      <c r="F537" s="75">
        <v>5.0000000000000001E-3</v>
      </c>
      <c r="G537" s="65">
        <f>VLOOKUP(D537,upahbahan,3,FALSE)</f>
        <v>145000</v>
      </c>
      <c r="H537" s="125">
        <f t="shared" si="58"/>
        <v>725</v>
      </c>
      <c r="K537" s="328"/>
    </row>
    <row r="538" spans="3:11">
      <c r="C538" s="145" t="s">
        <v>1220</v>
      </c>
      <c r="D538" s="81"/>
      <c r="E538" s="81"/>
      <c r="F538" s="220"/>
      <c r="G538" s="221"/>
      <c r="H538" s="125">
        <f>SUM(H534:H537)</f>
        <v>26225</v>
      </c>
      <c r="I538" s="222"/>
      <c r="K538" s="328"/>
    </row>
    <row r="539" spans="3:11">
      <c r="C539" s="142" t="s">
        <v>1221</v>
      </c>
      <c r="D539" s="60" t="s">
        <v>1222</v>
      </c>
      <c r="E539" s="74"/>
      <c r="F539" s="74"/>
      <c r="G539" s="74"/>
      <c r="H539" s="147"/>
      <c r="K539" s="328"/>
    </row>
    <row r="540" spans="3:11">
      <c r="C540" s="143">
        <v>1</v>
      </c>
      <c r="D540" s="60" t="s">
        <v>621</v>
      </c>
      <c r="E540" s="73" t="s">
        <v>44</v>
      </c>
      <c r="F540" s="230">
        <v>1</v>
      </c>
      <c r="G540" s="65">
        <f>VLOOKUP(D540,upahbahan,3,FALSE)</f>
        <v>31500</v>
      </c>
      <c r="H540" s="125">
        <f t="shared" ref="H540" si="59">F540*G540</f>
        <v>31500</v>
      </c>
      <c r="K540" s="328"/>
    </row>
    <row r="541" spans="3:11">
      <c r="C541" s="145" t="s">
        <v>1226</v>
      </c>
      <c r="D541" s="81"/>
      <c r="E541" s="81"/>
      <c r="F541" s="81"/>
      <c r="G541" s="163"/>
      <c r="H541" s="125">
        <f>SUM(H540)</f>
        <v>31500</v>
      </c>
      <c r="K541" s="328"/>
    </row>
    <row r="542" spans="3:11">
      <c r="C542" s="153" t="s">
        <v>1227</v>
      </c>
      <c r="D542" s="60" t="s">
        <v>1228</v>
      </c>
      <c r="E542" s="74"/>
      <c r="F542" s="74"/>
      <c r="G542" s="74"/>
      <c r="H542" s="147"/>
      <c r="K542" s="328"/>
    </row>
    <row r="543" spans="3:11">
      <c r="C543" s="145" t="s">
        <v>1229</v>
      </c>
      <c r="D543" s="81"/>
      <c r="E543" s="81"/>
      <c r="F543" s="81"/>
      <c r="G543" s="163"/>
      <c r="H543" s="154">
        <v>0</v>
      </c>
      <c r="K543" s="328"/>
    </row>
    <row r="544" spans="3:11">
      <c r="C544" s="123" t="s">
        <v>1230</v>
      </c>
      <c r="D544" s="70" t="s">
        <v>1231</v>
      </c>
      <c r="E544" s="71"/>
      <c r="F544" s="71"/>
      <c r="G544" s="72"/>
      <c r="H544" s="125">
        <f>H543+H541+H538</f>
        <v>57725</v>
      </c>
      <c r="K544" s="328"/>
    </row>
    <row r="545" spans="3:11">
      <c r="C545" s="123" t="s">
        <v>1232</v>
      </c>
      <c r="D545" s="70" t="s">
        <v>1410</v>
      </c>
      <c r="E545" s="71"/>
      <c r="F545" s="72"/>
      <c r="G545" s="96">
        <f>$M$7</f>
        <v>0.1</v>
      </c>
      <c r="H545" s="125">
        <f>H544*G545</f>
        <v>5772.5</v>
      </c>
      <c r="K545" s="328"/>
    </row>
    <row r="546" spans="3:11" ht="15.75" thickBot="1">
      <c r="C546" s="131" t="s">
        <v>1233</v>
      </c>
      <c r="D546" s="132" t="s">
        <v>1234</v>
      </c>
      <c r="E546" s="133"/>
      <c r="F546" s="133"/>
      <c r="G546" s="156"/>
      <c r="H546" s="135">
        <f>SUM(H544:H545)</f>
        <v>63497.5</v>
      </c>
      <c r="K546" s="328"/>
    </row>
    <row r="547" spans="3:11" ht="15.75" thickTop="1">
      <c r="C547" s="90"/>
      <c r="D547" s="91"/>
      <c r="E547" s="91"/>
      <c r="F547" s="91"/>
      <c r="G547" s="91"/>
      <c r="H547" s="92"/>
      <c r="K547" s="328"/>
    </row>
    <row r="548" spans="3:11" ht="15.75" thickBot="1">
      <c r="C548" s="224" t="s">
        <v>1667</v>
      </c>
      <c r="D548" s="225"/>
      <c r="E548" s="225"/>
      <c r="F548" s="225"/>
      <c r="G548" s="225"/>
      <c r="H548" s="225"/>
      <c r="I548" s="57">
        <f>ROUNDDOWN(H563,-2)</f>
        <v>644500</v>
      </c>
      <c r="K548" s="328"/>
    </row>
    <row r="549" spans="3:11" ht="29.25" thickTop="1">
      <c r="C549" s="120" t="s">
        <v>1207</v>
      </c>
      <c r="D549" s="121" t="s">
        <v>1208</v>
      </c>
      <c r="E549" s="121" t="s">
        <v>1209</v>
      </c>
      <c r="F549" s="121" t="s">
        <v>1210</v>
      </c>
      <c r="G549" s="121" t="s">
        <v>1211</v>
      </c>
      <c r="H549" s="122" t="s">
        <v>1212</v>
      </c>
      <c r="K549" s="328"/>
    </row>
    <row r="550" spans="3:11">
      <c r="C550" s="142" t="s">
        <v>1213</v>
      </c>
      <c r="D550" s="60" t="s">
        <v>1214</v>
      </c>
      <c r="E550" s="74"/>
      <c r="F550" s="74"/>
      <c r="G550" s="74"/>
      <c r="H550" s="147"/>
      <c r="K550" s="328"/>
    </row>
    <row r="551" spans="3:11">
      <c r="C551" s="143">
        <v>1</v>
      </c>
      <c r="D551" s="60" t="s">
        <v>5</v>
      </c>
      <c r="E551" s="73" t="s">
        <v>6</v>
      </c>
      <c r="F551" s="94">
        <v>0.2</v>
      </c>
      <c r="G551" s="65">
        <f>VLOOKUP(D551,upahbahan,3,FALSE)</f>
        <v>100000</v>
      </c>
      <c r="H551" s="125">
        <f t="shared" ref="H551:H554" si="60">F551*G551</f>
        <v>20000</v>
      </c>
      <c r="K551" s="328"/>
    </row>
    <row r="552" spans="3:11">
      <c r="C552" s="143">
        <v>2</v>
      </c>
      <c r="D552" s="60" t="s">
        <v>8</v>
      </c>
      <c r="E552" s="73" t="s">
        <v>6</v>
      </c>
      <c r="F552" s="94">
        <v>0.4</v>
      </c>
      <c r="G552" s="65">
        <f>VLOOKUP(D552,upahbahan,3,FALSE)</f>
        <v>145000</v>
      </c>
      <c r="H552" s="125">
        <f t="shared" si="60"/>
        <v>58000</v>
      </c>
      <c r="K552" s="328"/>
    </row>
    <row r="553" spans="3:11">
      <c r="C553" s="143">
        <v>3</v>
      </c>
      <c r="D553" s="60" t="s">
        <v>18</v>
      </c>
      <c r="E553" s="73" t="s">
        <v>6</v>
      </c>
      <c r="F553" s="94">
        <v>0.04</v>
      </c>
      <c r="G553" s="65">
        <f>VLOOKUP(D553,upahbahan,3,FALSE)</f>
        <v>150000</v>
      </c>
      <c r="H553" s="125">
        <f t="shared" si="60"/>
        <v>6000</v>
      </c>
      <c r="K553" s="328"/>
    </row>
    <row r="554" spans="3:11">
      <c r="C554" s="143">
        <v>4</v>
      </c>
      <c r="D554" s="60" t="s">
        <v>19</v>
      </c>
      <c r="E554" s="73" t="s">
        <v>6</v>
      </c>
      <c r="F554" s="94">
        <v>1.3299999999999999E-2</v>
      </c>
      <c r="G554" s="65">
        <f>VLOOKUP(D554,upahbahan,3,FALSE)</f>
        <v>145000</v>
      </c>
      <c r="H554" s="125">
        <f t="shared" si="60"/>
        <v>1928.5</v>
      </c>
      <c r="K554" s="328"/>
    </row>
    <row r="555" spans="3:11">
      <c r="C555" s="145" t="s">
        <v>1220</v>
      </c>
      <c r="D555" s="81"/>
      <c r="E555" s="81"/>
      <c r="F555" s="220"/>
      <c r="G555" s="221"/>
      <c r="H555" s="125">
        <f>SUM(H551:H554)</f>
        <v>85928.5</v>
      </c>
      <c r="I555" s="222"/>
      <c r="K555" s="328"/>
    </row>
    <row r="556" spans="3:11">
      <c r="C556" s="142" t="s">
        <v>1221</v>
      </c>
      <c r="D556" s="60" t="s">
        <v>1222</v>
      </c>
      <c r="E556" s="74"/>
      <c r="F556" s="74"/>
      <c r="G556" s="74"/>
      <c r="H556" s="147"/>
      <c r="K556" s="328"/>
    </row>
    <row r="557" spans="3:11">
      <c r="C557" s="143">
        <v>1</v>
      </c>
      <c r="D557" s="60" t="s">
        <v>623</v>
      </c>
      <c r="E557" s="73" t="s">
        <v>44</v>
      </c>
      <c r="F557" s="230">
        <v>1</v>
      </c>
      <c r="G557" s="65">
        <f>VLOOKUP(D557,upahbahan,3,FALSE)</f>
        <v>500000</v>
      </c>
      <c r="H557" s="125">
        <f t="shared" ref="H557" si="61">F557*G557</f>
        <v>500000</v>
      </c>
      <c r="K557" s="328"/>
    </row>
    <row r="558" spans="3:11">
      <c r="C558" s="145" t="s">
        <v>1226</v>
      </c>
      <c r="D558" s="81"/>
      <c r="E558" s="81"/>
      <c r="F558" s="81"/>
      <c r="G558" s="163"/>
      <c r="H558" s="125">
        <f>SUM(H557)</f>
        <v>500000</v>
      </c>
      <c r="K558" s="328"/>
    </row>
    <row r="559" spans="3:11">
      <c r="C559" s="153" t="s">
        <v>1227</v>
      </c>
      <c r="D559" s="60" t="s">
        <v>1228</v>
      </c>
      <c r="E559" s="74"/>
      <c r="F559" s="74"/>
      <c r="G559" s="74"/>
      <c r="H559" s="147"/>
      <c r="K559" s="328"/>
    </row>
    <row r="560" spans="3:11">
      <c r="C560" s="145" t="s">
        <v>1229</v>
      </c>
      <c r="D560" s="81"/>
      <c r="E560" s="81"/>
      <c r="F560" s="81"/>
      <c r="G560" s="163"/>
      <c r="H560" s="154">
        <v>0</v>
      </c>
      <c r="K560" s="328"/>
    </row>
    <row r="561" spans="3:11">
      <c r="C561" s="123" t="s">
        <v>1230</v>
      </c>
      <c r="D561" s="70" t="s">
        <v>1231</v>
      </c>
      <c r="E561" s="71"/>
      <c r="F561" s="71"/>
      <c r="G561" s="72"/>
      <c r="H561" s="125">
        <f>H560+H558+H555</f>
        <v>585928.5</v>
      </c>
      <c r="K561" s="328"/>
    </row>
    <row r="562" spans="3:11">
      <c r="C562" s="123" t="s">
        <v>1232</v>
      </c>
      <c r="D562" s="70" t="s">
        <v>1410</v>
      </c>
      <c r="E562" s="71"/>
      <c r="F562" s="72"/>
      <c r="G562" s="96">
        <f>$M$7</f>
        <v>0.1</v>
      </c>
      <c r="H562" s="125">
        <f>H561*G562</f>
        <v>58592.850000000006</v>
      </c>
      <c r="K562" s="328"/>
    </row>
    <row r="563" spans="3:11" ht="15.75" thickBot="1">
      <c r="C563" s="131" t="s">
        <v>1233</v>
      </c>
      <c r="D563" s="132" t="s">
        <v>1234</v>
      </c>
      <c r="E563" s="133"/>
      <c r="F563" s="133"/>
      <c r="G563" s="156"/>
      <c r="H563" s="135">
        <f>SUM(H561:H562)</f>
        <v>644521.35</v>
      </c>
      <c r="K563" s="328"/>
    </row>
    <row r="564" spans="3:11" ht="15.75" thickTop="1">
      <c r="C564" s="90"/>
      <c r="D564" s="91"/>
      <c r="E564" s="91"/>
      <c r="F564" s="91"/>
      <c r="G564" s="91"/>
      <c r="H564" s="92"/>
      <c r="K564" s="328"/>
    </row>
    <row r="565" spans="3:11" ht="15.75" thickBot="1">
      <c r="C565" s="224" t="s">
        <v>1668</v>
      </c>
      <c r="D565" s="226"/>
      <c r="E565" s="226"/>
      <c r="F565" s="226"/>
      <c r="G565" s="226"/>
      <c r="H565" s="226"/>
      <c r="I565" s="57">
        <f>ROUNDDOWN(H580,-2)</f>
        <v>65000</v>
      </c>
      <c r="K565" s="328"/>
    </row>
    <row r="566" spans="3:11" ht="29.25" thickTop="1">
      <c r="C566" s="120" t="s">
        <v>1207</v>
      </c>
      <c r="D566" s="121" t="s">
        <v>1208</v>
      </c>
      <c r="E566" s="121" t="s">
        <v>1209</v>
      </c>
      <c r="F566" s="121" t="s">
        <v>1210</v>
      </c>
      <c r="G566" s="121" t="s">
        <v>1211</v>
      </c>
      <c r="H566" s="122" t="s">
        <v>1212</v>
      </c>
      <c r="K566" s="328"/>
    </row>
    <row r="567" spans="3:11">
      <c r="C567" s="142" t="s">
        <v>1213</v>
      </c>
      <c r="D567" s="60" t="s">
        <v>1214</v>
      </c>
      <c r="E567" s="74"/>
      <c r="F567" s="74"/>
      <c r="G567" s="74"/>
      <c r="H567" s="147"/>
      <c r="K567" s="328"/>
    </row>
    <row r="568" spans="3:11">
      <c r="C568" s="143">
        <v>1</v>
      </c>
      <c r="D568" s="60" t="s">
        <v>5</v>
      </c>
      <c r="E568" s="73" t="s">
        <v>6</v>
      </c>
      <c r="F568" s="94">
        <v>0.01</v>
      </c>
      <c r="G568" s="65">
        <f>VLOOKUP(D568,upahbahan,3,FALSE)</f>
        <v>100000</v>
      </c>
      <c r="H568" s="125">
        <f t="shared" ref="H568:H571" si="62">F568*G568</f>
        <v>1000</v>
      </c>
      <c r="K568" s="328"/>
    </row>
    <row r="569" spans="3:11">
      <c r="C569" s="143">
        <v>2</v>
      </c>
      <c r="D569" s="60" t="s">
        <v>8</v>
      </c>
      <c r="E569" s="73" t="s">
        <v>6</v>
      </c>
      <c r="F569" s="94">
        <v>0.1</v>
      </c>
      <c r="G569" s="65">
        <f>VLOOKUP(D569,upahbahan,3,FALSE)</f>
        <v>145000</v>
      </c>
      <c r="H569" s="125">
        <f t="shared" si="62"/>
        <v>14500</v>
      </c>
      <c r="K569" s="328"/>
    </row>
    <row r="570" spans="3:11">
      <c r="C570" s="143">
        <v>3</v>
      </c>
      <c r="D570" s="60" t="s">
        <v>18</v>
      </c>
      <c r="E570" s="73" t="s">
        <v>6</v>
      </c>
      <c r="F570" s="94">
        <v>0.01</v>
      </c>
      <c r="G570" s="65">
        <f>VLOOKUP(D570,upahbahan,3,FALSE)</f>
        <v>150000</v>
      </c>
      <c r="H570" s="125">
        <f t="shared" si="62"/>
        <v>1500</v>
      </c>
      <c r="K570" s="328"/>
    </row>
    <row r="571" spans="3:11">
      <c r="C571" s="143">
        <v>4</v>
      </c>
      <c r="D571" s="60" t="s">
        <v>19</v>
      </c>
      <c r="E571" s="73" t="s">
        <v>6</v>
      </c>
      <c r="F571" s="94">
        <v>3.3E-3</v>
      </c>
      <c r="G571" s="65">
        <f>VLOOKUP(D571,upahbahan,3,FALSE)</f>
        <v>145000</v>
      </c>
      <c r="H571" s="125">
        <f t="shared" si="62"/>
        <v>478.5</v>
      </c>
      <c r="K571" s="328"/>
    </row>
    <row r="572" spans="3:11">
      <c r="C572" s="145" t="s">
        <v>1220</v>
      </c>
      <c r="D572" s="81"/>
      <c r="E572" s="81"/>
      <c r="F572" s="220"/>
      <c r="G572" s="221"/>
      <c r="H572" s="125">
        <f>SUM(H568:H571)</f>
        <v>17478.5</v>
      </c>
      <c r="I572" s="222"/>
      <c r="K572" s="328"/>
    </row>
    <row r="573" spans="3:11">
      <c r="C573" s="142" t="s">
        <v>1221</v>
      </c>
      <c r="D573" s="60" t="s">
        <v>1222</v>
      </c>
      <c r="E573" s="74"/>
      <c r="F573" s="74"/>
      <c r="G573" s="74"/>
      <c r="H573" s="147"/>
      <c r="K573" s="328"/>
    </row>
    <row r="574" spans="3:11">
      <c r="C574" s="143">
        <v>1</v>
      </c>
      <c r="D574" s="60" t="s">
        <v>619</v>
      </c>
      <c r="E574" s="73" t="s">
        <v>44</v>
      </c>
      <c r="F574" s="230">
        <v>1</v>
      </c>
      <c r="G574" s="65">
        <f>VLOOKUP(D574,upahbahan,3,FALSE)</f>
        <v>41700</v>
      </c>
      <c r="H574" s="125">
        <f t="shared" ref="H574" si="63">F574*G574</f>
        <v>41700</v>
      </c>
      <c r="K574" s="328"/>
    </row>
    <row r="575" spans="3:11">
      <c r="C575" s="145" t="s">
        <v>1226</v>
      </c>
      <c r="D575" s="81"/>
      <c r="E575" s="81"/>
      <c r="F575" s="81"/>
      <c r="G575" s="163"/>
      <c r="H575" s="125">
        <f>SUM(H574)</f>
        <v>41700</v>
      </c>
      <c r="K575" s="328"/>
    </row>
    <row r="576" spans="3:11">
      <c r="C576" s="153" t="s">
        <v>1227</v>
      </c>
      <c r="D576" s="60" t="s">
        <v>1228</v>
      </c>
      <c r="E576" s="74"/>
      <c r="F576" s="74"/>
      <c r="G576" s="74"/>
      <c r="H576" s="147"/>
      <c r="K576" s="328"/>
    </row>
    <row r="577" spans="3:11">
      <c r="C577" s="145" t="s">
        <v>1229</v>
      </c>
      <c r="D577" s="81"/>
      <c r="E577" s="81"/>
      <c r="F577" s="81"/>
      <c r="G577" s="163"/>
      <c r="H577" s="154">
        <v>0</v>
      </c>
      <c r="K577" s="328"/>
    </row>
    <row r="578" spans="3:11">
      <c r="C578" s="123" t="s">
        <v>1230</v>
      </c>
      <c r="D578" s="70" t="s">
        <v>1231</v>
      </c>
      <c r="E578" s="71"/>
      <c r="F578" s="71"/>
      <c r="G578" s="72"/>
      <c r="H578" s="125">
        <f>H577+H575+H572</f>
        <v>59178.5</v>
      </c>
      <c r="K578" s="328"/>
    </row>
    <row r="579" spans="3:11">
      <c r="C579" s="123" t="s">
        <v>1232</v>
      </c>
      <c r="D579" s="70" t="s">
        <v>1410</v>
      </c>
      <c r="E579" s="71"/>
      <c r="F579" s="72"/>
      <c r="G579" s="96">
        <f>$M$7</f>
        <v>0.1</v>
      </c>
      <c r="H579" s="125">
        <f>H578*G579</f>
        <v>5917.85</v>
      </c>
      <c r="K579" s="328"/>
    </row>
    <row r="580" spans="3:11" ht="15.75" thickBot="1">
      <c r="C580" s="131" t="s">
        <v>1233</v>
      </c>
      <c r="D580" s="132" t="s">
        <v>1234</v>
      </c>
      <c r="E580" s="133"/>
      <c r="F580" s="133"/>
      <c r="G580" s="156"/>
      <c r="H580" s="135">
        <f>SUM(H578:H579)</f>
        <v>65096.35</v>
      </c>
      <c r="K580" s="328"/>
    </row>
    <row r="581" spans="3:11" ht="15.75" thickTop="1">
      <c r="C581" s="90"/>
      <c r="D581" s="91"/>
      <c r="E581" s="91"/>
      <c r="F581" s="91"/>
      <c r="G581" s="91"/>
      <c r="H581" s="92"/>
      <c r="K581" s="328"/>
    </row>
    <row r="582" spans="3:11" ht="15.75" thickBot="1">
      <c r="C582" s="224" t="s">
        <v>1669</v>
      </c>
      <c r="D582" s="226"/>
      <c r="E582" s="226"/>
      <c r="F582" s="226"/>
      <c r="G582" s="226"/>
      <c r="H582" s="226"/>
      <c r="I582" s="57">
        <f>ROUNDDOWN(H597,-2)</f>
        <v>77400</v>
      </c>
      <c r="K582" s="328"/>
    </row>
    <row r="583" spans="3:11" ht="29.25" thickTop="1">
      <c r="C583" s="120" t="s">
        <v>1207</v>
      </c>
      <c r="D583" s="121" t="s">
        <v>1208</v>
      </c>
      <c r="E583" s="121" t="s">
        <v>1209</v>
      </c>
      <c r="F583" s="121" t="s">
        <v>1210</v>
      </c>
      <c r="G583" s="121" t="s">
        <v>1211</v>
      </c>
      <c r="H583" s="122" t="s">
        <v>1212</v>
      </c>
      <c r="K583" s="328"/>
    </row>
    <row r="584" spans="3:11">
      <c r="C584" s="142" t="s">
        <v>1213</v>
      </c>
      <c r="D584" s="60" t="s">
        <v>1214</v>
      </c>
      <c r="E584" s="74"/>
      <c r="F584" s="74"/>
      <c r="G584" s="74"/>
      <c r="H584" s="147"/>
      <c r="K584" s="328"/>
    </row>
    <row r="585" spans="3:11">
      <c r="C585" s="143">
        <v>1</v>
      </c>
      <c r="D585" s="60" t="s">
        <v>5</v>
      </c>
      <c r="E585" s="73" t="s">
        <v>6</v>
      </c>
      <c r="F585" s="94">
        <v>0.1</v>
      </c>
      <c r="G585" s="65">
        <f>VLOOKUP(D585,upahbahan,3,FALSE)</f>
        <v>100000</v>
      </c>
      <c r="H585" s="125">
        <f t="shared" ref="H585:H588" si="64">F585*G585</f>
        <v>10000</v>
      </c>
      <c r="K585" s="328"/>
    </row>
    <row r="586" spans="3:11">
      <c r="C586" s="143">
        <v>2</v>
      </c>
      <c r="D586" s="60" t="s">
        <v>8</v>
      </c>
      <c r="E586" s="73" t="s">
        <v>6</v>
      </c>
      <c r="F586" s="94">
        <v>0.2</v>
      </c>
      <c r="G586" s="65">
        <f>VLOOKUP(D586,upahbahan,3,FALSE)</f>
        <v>145000</v>
      </c>
      <c r="H586" s="125">
        <f t="shared" si="64"/>
        <v>29000</v>
      </c>
      <c r="K586" s="328"/>
    </row>
    <row r="587" spans="3:11">
      <c r="C587" s="143">
        <v>3</v>
      </c>
      <c r="D587" s="60" t="s">
        <v>18</v>
      </c>
      <c r="E587" s="73" t="s">
        <v>6</v>
      </c>
      <c r="F587" s="94">
        <v>0.02</v>
      </c>
      <c r="G587" s="65">
        <f>VLOOKUP(D587,upahbahan,3,FALSE)</f>
        <v>150000</v>
      </c>
      <c r="H587" s="125">
        <f t="shared" si="64"/>
        <v>3000</v>
      </c>
      <c r="K587" s="328"/>
    </row>
    <row r="588" spans="3:11">
      <c r="C588" s="143">
        <v>4</v>
      </c>
      <c r="D588" s="60" t="s">
        <v>19</v>
      </c>
      <c r="E588" s="73" t="s">
        <v>6</v>
      </c>
      <c r="F588" s="94">
        <v>6.7000000000000002E-3</v>
      </c>
      <c r="G588" s="65">
        <f>VLOOKUP(D588,upahbahan,3,FALSE)</f>
        <v>145000</v>
      </c>
      <c r="H588" s="125">
        <f t="shared" si="64"/>
        <v>971.5</v>
      </c>
      <c r="K588" s="328"/>
    </row>
    <row r="589" spans="3:11">
      <c r="C589" s="145" t="s">
        <v>1220</v>
      </c>
      <c r="D589" s="81"/>
      <c r="E589" s="81"/>
      <c r="F589" s="220"/>
      <c r="G589" s="221"/>
      <c r="H589" s="125">
        <f>SUM(H585:H588)</f>
        <v>42971.5</v>
      </c>
      <c r="I589" s="222"/>
      <c r="K589" s="328"/>
    </row>
    <row r="590" spans="3:11">
      <c r="C590" s="142" t="s">
        <v>1221</v>
      </c>
      <c r="D590" s="60" t="s">
        <v>1222</v>
      </c>
      <c r="E590" s="74"/>
      <c r="F590" s="74"/>
      <c r="G590" s="74"/>
      <c r="H590" s="147"/>
      <c r="K590" s="328"/>
    </row>
    <row r="591" spans="3:11">
      <c r="C591" s="143">
        <v>1</v>
      </c>
      <c r="D591" s="60" t="s">
        <v>617</v>
      </c>
      <c r="E591" s="73" t="s">
        <v>44</v>
      </c>
      <c r="F591" s="75">
        <v>1</v>
      </c>
      <c r="G591" s="65">
        <f>VLOOKUP(D591,upahbahan,3,FALSE)</f>
        <v>27400</v>
      </c>
      <c r="H591" s="125">
        <f t="shared" ref="H591" si="65">F591*G591</f>
        <v>27400</v>
      </c>
      <c r="K591" s="328"/>
    </row>
    <row r="592" spans="3:11">
      <c r="C592" s="145" t="s">
        <v>1226</v>
      </c>
      <c r="D592" s="81"/>
      <c r="E592" s="81"/>
      <c r="F592" s="81"/>
      <c r="G592" s="163"/>
      <c r="H592" s="125">
        <f>SUM(H591)</f>
        <v>27400</v>
      </c>
      <c r="K592" s="328"/>
    </row>
    <row r="593" spans="3:11">
      <c r="C593" s="153" t="s">
        <v>1227</v>
      </c>
      <c r="D593" s="60" t="s">
        <v>1228</v>
      </c>
      <c r="E593" s="74"/>
      <c r="F593" s="74"/>
      <c r="G593" s="74"/>
      <c r="H593" s="147"/>
      <c r="K593" s="328"/>
    </row>
    <row r="594" spans="3:11">
      <c r="C594" s="145" t="s">
        <v>1229</v>
      </c>
      <c r="D594" s="81"/>
      <c r="E594" s="81"/>
      <c r="F594" s="81"/>
      <c r="G594" s="163"/>
      <c r="H594" s="154">
        <v>0</v>
      </c>
      <c r="K594" s="328"/>
    </row>
    <row r="595" spans="3:11">
      <c r="C595" s="123" t="s">
        <v>1230</v>
      </c>
      <c r="D595" s="70" t="s">
        <v>1231</v>
      </c>
      <c r="E595" s="71"/>
      <c r="F595" s="71"/>
      <c r="G595" s="72"/>
      <c r="H595" s="125">
        <f>H594+H592+H589</f>
        <v>70371.5</v>
      </c>
      <c r="K595" s="328"/>
    </row>
    <row r="596" spans="3:11">
      <c r="C596" s="123" t="s">
        <v>1232</v>
      </c>
      <c r="D596" s="70" t="s">
        <v>1410</v>
      </c>
      <c r="E596" s="71"/>
      <c r="F596" s="72"/>
      <c r="G596" s="96">
        <f>$M$7</f>
        <v>0.1</v>
      </c>
      <c r="H596" s="125">
        <f>H595*G596</f>
        <v>7037.1500000000005</v>
      </c>
      <c r="K596" s="328"/>
    </row>
    <row r="597" spans="3:11" ht="15.75" thickBot="1">
      <c r="C597" s="131" t="s">
        <v>1233</v>
      </c>
      <c r="D597" s="132" t="s">
        <v>1234</v>
      </c>
      <c r="E597" s="133"/>
      <c r="F597" s="133"/>
      <c r="G597" s="156"/>
      <c r="H597" s="135">
        <f>SUM(H595:H596)</f>
        <v>77408.649999999994</v>
      </c>
      <c r="K597" s="328"/>
    </row>
    <row r="598" spans="3:11" ht="15.75" thickTop="1">
      <c r="C598" s="90"/>
      <c r="D598" s="91"/>
      <c r="E598" s="91"/>
      <c r="F598" s="91"/>
      <c r="G598" s="91"/>
      <c r="H598" s="92"/>
      <c r="K598" s="328"/>
    </row>
    <row r="599" spans="3:11" ht="15.75" thickBot="1">
      <c r="C599" s="224" t="s">
        <v>1670</v>
      </c>
      <c r="D599" s="226"/>
      <c r="E599" s="226"/>
      <c r="F599" s="226"/>
      <c r="G599" s="226"/>
      <c r="H599" s="226"/>
      <c r="I599" s="57">
        <f>ROUNDDOWN(H614,-2)</f>
        <v>52600</v>
      </c>
      <c r="K599" s="328"/>
    </row>
    <row r="600" spans="3:11" ht="29.25" thickTop="1">
      <c r="C600" s="120" t="s">
        <v>1207</v>
      </c>
      <c r="D600" s="121" t="s">
        <v>1208</v>
      </c>
      <c r="E600" s="121" t="s">
        <v>1209</v>
      </c>
      <c r="F600" s="121" t="s">
        <v>1210</v>
      </c>
      <c r="G600" s="121" t="s">
        <v>1211</v>
      </c>
      <c r="H600" s="122" t="s">
        <v>1212</v>
      </c>
      <c r="K600" s="328"/>
    </row>
    <row r="601" spans="3:11">
      <c r="C601" s="142" t="s">
        <v>1213</v>
      </c>
      <c r="D601" s="60" t="s">
        <v>1214</v>
      </c>
      <c r="E601" s="74"/>
      <c r="F601" s="74"/>
      <c r="G601" s="74"/>
      <c r="H601" s="147"/>
      <c r="K601" s="328"/>
    </row>
    <row r="602" spans="3:11">
      <c r="C602" s="143">
        <v>1</v>
      </c>
      <c r="D602" s="60" t="s">
        <v>5</v>
      </c>
      <c r="E602" s="73" t="s">
        <v>6</v>
      </c>
      <c r="F602" s="75">
        <v>1.4999999999999999E-2</v>
      </c>
      <c r="G602" s="65">
        <f>VLOOKUP(D602,upahbahan,3,FALSE)</f>
        <v>100000</v>
      </c>
      <c r="H602" s="125">
        <f t="shared" ref="H602:H605" si="66">F602*G602</f>
        <v>1500</v>
      </c>
      <c r="K602" s="328"/>
    </row>
    <row r="603" spans="3:11">
      <c r="C603" s="143">
        <v>2</v>
      </c>
      <c r="D603" s="60" t="s">
        <v>8</v>
      </c>
      <c r="E603" s="73" t="s">
        <v>6</v>
      </c>
      <c r="F603" s="75">
        <v>0.15</v>
      </c>
      <c r="G603" s="65">
        <f>VLOOKUP(D603,upahbahan,3,FALSE)</f>
        <v>145000</v>
      </c>
      <c r="H603" s="125">
        <f t="shared" si="66"/>
        <v>21750</v>
      </c>
      <c r="K603" s="328"/>
    </row>
    <row r="604" spans="3:11">
      <c r="C604" s="143">
        <v>3</v>
      </c>
      <c r="D604" s="60" t="s">
        <v>18</v>
      </c>
      <c r="E604" s="73" t="s">
        <v>6</v>
      </c>
      <c r="F604" s="75">
        <v>1.4999999999999999E-2</v>
      </c>
      <c r="G604" s="65">
        <f>VLOOKUP(D604,upahbahan,3,FALSE)</f>
        <v>150000</v>
      </c>
      <c r="H604" s="125">
        <f t="shared" si="66"/>
        <v>2250</v>
      </c>
      <c r="K604" s="328"/>
    </row>
    <row r="605" spans="3:11">
      <c r="C605" s="143">
        <v>4</v>
      </c>
      <c r="D605" s="60" t="s">
        <v>19</v>
      </c>
      <c r="E605" s="73" t="s">
        <v>6</v>
      </c>
      <c r="F605" s="75">
        <v>5.0000000000000001E-3</v>
      </c>
      <c r="G605" s="65">
        <f>VLOOKUP(D605,upahbahan,3,FALSE)</f>
        <v>145000</v>
      </c>
      <c r="H605" s="125">
        <f t="shared" si="66"/>
        <v>725</v>
      </c>
      <c r="K605" s="328"/>
    </row>
    <row r="606" spans="3:11">
      <c r="C606" s="145" t="s">
        <v>1220</v>
      </c>
      <c r="D606" s="81"/>
      <c r="E606" s="81"/>
      <c r="F606" s="220"/>
      <c r="G606" s="221"/>
      <c r="H606" s="125">
        <f>SUM(H602:H605)</f>
        <v>26225</v>
      </c>
      <c r="I606" s="222"/>
      <c r="K606" s="328"/>
    </row>
    <row r="607" spans="3:11">
      <c r="C607" s="142" t="s">
        <v>1221</v>
      </c>
      <c r="D607" s="60" t="s">
        <v>1222</v>
      </c>
      <c r="E607" s="74"/>
      <c r="F607" s="74"/>
      <c r="G607" s="74"/>
      <c r="H607" s="147"/>
      <c r="K607" s="328"/>
    </row>
    <row r="608" spans="3:11">
      <c r="C608" s="143">
        <v>1</v>
      </c>
      <c r="D608" s="60" t="s">
        <v>640</v>
      </c>
      <c r="E608" s="73" t="s">
        <v>44</v>
      </c>
      <c r="F608" s="230">
        <v>1</v>
      </c>
      <c r="G608" s="65">
        <f>VLOOKUP(D608,upahbahan,3,FALSE)</f>
        <v>21600</v>
      </c>
      <c r="H608" s="125">
        <f t="shared" ref="H608" si="67">F608*G608</f>
        <v>21600</v>
      </c>
      <c r="K608" s="328"/>
    </row>
    <row r="609" spans="3:11">
      <c r="C609" s="145" t="s">
        <v>1226</v>
      </c>
      <c r="D609" s="81"/>
      <c r="E609" s="81"/>
      <c r="F609" s="81"/>
      <c r="G609" s="163"/>
      <c r="H609" s="125">
        <f>SUM(H608)</f>
        <v>21600</v>
      </c>
      <c r="K609" s="328"/>
    </row>
    <row r="610" spans="3:11">
      <c r="C610" s="153" t="s">
        <v>1227</v>
      </c>
      <c r="D610" s="60" t="s">
        <v>1228</v>
      </c>
      <c r="E610" s="74"/>
      <c r="F610" s="74"/>
      <c r="G610" s="74"/>
      <c r="H610" s="147"/>
      <c r="K610" s="328"/>
    </row>
    <row r="611" spans="3:11">
      <c r="C611" s="145" t="s">
        <v>1229</v>
      </c>
      <c r="D611" s="81"/>
      <c r="E611" s="81"/>
      <c r="F611" s="81"/>
      <c r="G611" s="163"/>
      <c r="H611" s="154">
        <v>0</v>
      </c>
      <c r="K611" s="328"/>
    </row>
    <row r="612" spans="3:11">
      <c r="C612" s="123" t="s">
        <v>1230</v>
      </c>
      <c r="D612" s="70" t="s">
        <v>1231</v>
      </c>
      <c r="E612" s="71"/>
      <c r="F612" s="71"/>
      <c r="G612" s="72"/>
      <c r="H612" s="125">
        <f>H611+H609+H606</f>
        <v>47825</v>
      </c>
      <c r="K612" s="328"/>
    </row>
    <row r="613" spans="3:11">
      <c r="C613" s="123" t="s">
        <v>1232</v>
      </c>
      <c r="D613" s="70" t="s">
        <v>1410</v>
      </c>
      <c r="E613" s="71"/>
      <c r="F613" s="72"/>
      <c r="G613" s="96">
        <f>$M$7</f>
        <v>0.1</v>
      </c>
      <c r="H613" s="125">
        <f>H612*G613</f>
        <v>4782.5</v>
      </c>
      <c r="K613" s="328"/>
    </row>
    <row r="614" spans="3:11" ht="15.75" thickBot="1">
      <c r="C614" s="131" t="s">
        <v>1233</v>
      </c>
      <c r="D614" s="132" t="s">
        <v>1234</v>
      </c>
      <c r="E614" s="133"/>
      <c r="F614" s="133"/>
      <c r="G614" s="156"/>
      <c r="H614" s="135">
        <f>SUM(H612:H613)</f>
        <v>52607.5</v>
      </c>
      <c r="K614" s="328"/>
    </row>
    <row r="615" spans="3:11" ht="15.75" thickTop="1">
      <c r="C615" s="323"/>
      <c r="D615" s="324"/>
      <c r="E615" s="324"/>
      <c r="F615" s="324"/>
      <c r="G615" s="324"/>
      <c r="H615" s="92"/>
      <c r="K615" s="328"/>
    </row>
    <row r="616" spans="3:11" ht="15.75" thickBot="1">
      <c r="C616" s="224" t="s">
        <v>1671</v>
      </c>
      <c r="D616" s="226"/>
      <c r="E616" s="226"/>
      <c r="F616" s="226"/>
      <c r="G616" s="226"/>
      <c r="H616" s="226"/>
      <c r="I616" s="57">
        <f>ROUNDDOWN(H631,-2)</f>
        <v>42000</v>
      </c>
      <c r="K616" s="328"/>
    </row>
    <row r="617" spans="3:11" ht="29.25" thickTop="1">
      <c r="C617" s="120" t="s">
        <v>1207</v>
      </c>
      <c r="D617" s="121" t="s">
        <v>1208</v>
      </c>
      <c r="E617" s="121" t="s">
        <v>1209</v>
      </c>
      <c r="F617" s="121" t="s">
        <v>1210</v>
      </c>
      <c r="G617" s="121" t="s">
        <v>1211</v>
      </c>
      <c r="H617" s="122" t="s">
        <v>1212</v>
      </c>
      <c r="K617" s="328"/>
    </row>
    <row r="618" spans="3:11">
      <c r="C618" s="142" t="s">
        <v>1213</v>
      </c>
      <c r="D618" s="60" t="s">
        <v>1214</v>
      </c>
      <c r="E618" s="74"/>
      <c r="F618" s="74"/>
      <c r="G618" s="74"/>
      <c r="H618" s="147"/>
      <c r="K618" s="328"/>
    </row>
    <row r="619" spans="3:11">
      <c r="C619" s="143">
        <v>1</v>
      </c>
      <c r="D619" s="60" t="s">
        <v>5</v>
      </c>
      <c r="E619" s="73" t="s">
        <v>6</v>
      </c>
      <c r="F619" s="75">
        <v>1.4999999999999999E-2</v>
      </c>
      <c r="G619" s="65">
        <f>VLOOKUP(D619,upahbahan,3,FALSE)</f>
        <v>100000</v>
      </c>
      <c r="H619" s="125">
        <f t="shared" ref="H619:H622" si="68">F619*G619</f>
        <v>1500</v>
      </c>
      <c r="K619" s="328"/>
    </row>
    <row r="620" spans="3:11">
      <c r="C620" s="143">
        <v>2</v>
      </c>
      <c r="D620" s="60" t="s">
        <v>8</v>
      </c>
      <c r="E620" s="73" t="s">
        <v>6</v>
      </c>
      <c r="F620" s="75">
        <v>0.15</v>
      </c>
      <c r="G620" s="65">
        <f>VLOOKUP(D620,upahbahan,3,FALSE)</f>
        <v>145000</v>
      </c>
      <c r="H620" s="125">
        <f t="shared" si="68"/>
        <v>21750</v>
      </c>
      <c r="K620" s="328"/>
    </row>
    <row r="621" spans="3:11">
      <c r="C621" s="143">
        <v>3</v>
      </c>
      <c r="D621" s="60" t="s">
        <v>18</v>
      </c>
      <c r="E621" s="73" t="s">
        <v>6</v>
      </c>
      <c r="F621" s="75">
        <v>1.4999999999999999E-2</v>
      </c>
      <c r="G621" s="65">
        <f>VLOOKUP(D621,upahbahan,3,FALSE)</f>
        <v>150000</v>
      </c>
      <c r="H621" s="125">
        <f t="shared" si="68"/>
        <v>2250</v>
      </c>
      <c r="K621" s="328"/>
    </row>
    <row r="622" spans="3:11">
      <c r="C622" s="143">
        <v>4</v>
      </c>
      <c r="D622" s="60" t="s">
        <v>19</v>
      </c>
      <c r="E622" s="73" t="s">
        <v>6</v>
      </c>
      <c r="F622" s="75">
        <v>5.0000000000000001E-3</v>
      </c>
      <c r="G622" s="65">
        <f>VLOOKUP(D622,upahbahan,3,FALSE)</f>
        <v>145000</v>
      </c>
      <c r="H622" s="125">
        <f t="shared" si="68"/>
        <v>725</v>
      </c>
      <c r="K622" s="328"/>
    </row>
    <row r="623" spans="3:11">
      <c r="C623" s="145" t="s">
        <v>1220</v>
      </c>
      <c r="D623" s="81"/>
      <c r="E623" s="81"/>
      <c r="F623" s="220"/>
      <c r="G623" s="221"/>
      <c r="H623" s="125">
        <f>SUM(H619:H622)</f>
        <v>26225</v>
      </c>
      <c r="I623" s="222"/>
      <c r="K623" s="328"/>
    </row>
    <row r="624" spans="3:11">
      <c r="C624" s="142" t="s">
        <v>1221</v>
      </c>
      <c r="D624" s="60" t="s">
        <v>1222</v>
      </c>
      <c r="E624" s="74"/>
      <c r="F624" s="74"/>
      <c r="G624" s="74"/>
      <c r="H624" s="147"/>
      <c r="K624" s="328"/>
    </row>
    <row r="625" spans="3:11">
      <c r="C625" s="143">
        <v>1</v>
      </c>
      <c r="D625" s="60" t="s">
        <v>628</v>
      </c>
      <c r="E625" s="73" t="s">
        <v>44</v>
      </c>
      <c r="F625" s="325">
        <v>1</v>
      </c>
      <c r="G625" s="65">
        <f>VLOOKUP(D625,upahbahan,3,FALSE)</f>
        <v>12000</v>
      </c>
      <c r="H625" s="125">
        <f t="shared" ref="H625" si="69">F625*G625</f>
        <v>12000</v>
      </c>
      <c r="K625" s="328"/>
    </row>
    <row r="626" spans="3:11">
      <c r="C626" s="145" t="s">
        <v>1226</v>
      </c>
      <c r="D626" s="81"/>
      <c r="E626" s="81"/>
      <c r="F626" s="81"/>
      <c r="G626" s="163"/>
      <c r="H626" s="125">
        <f>SUM(H625)</f>
        <v>12000</v>
      </c>
      <c r="K626" s="328"/>
    </row>
    <row r="627" spans="3:11">
      <c r="C627" s="153" t="s">
        <v>1227</v>
      </c>
      <c r="D627" s="60" t="s">
        <v>1228</v>
      </c>
      <c r="E627" s="74"/>
      <c r="F627" s="74"/>
      <c r="G627" s="74"/>
      <c r="H627" s="147"/>
      <c r="K627" s="328"/>
    </row>
    <row r="628" spans="3:11">
      <c r="C628" s="145" t="s">
        <v>1229</v>
      </c>
      <c r="D628" s="81"/>
      <c r="E628" s="81"/>
      <c r="F628" s="81"/>
      <c r="G628" s="163"/>
      <c r="H628" s="154">
        <v>0</v>
      </c>
      <c r="K628" s="328"/>
    </row>
    <row r="629" spans="3:11">
      <c r="C629" s="123" t="s">
        <v>1230</v>
      </c>
      <c r="D629" s="70" t="s">
        <v>1231</v>
      </c>
      <c r="E629" s="71"/>
      <c r="F629" s="71"/>
      <c r="G629" s="72"/>
      <c r="H629" s="125">
        <f>H628+H626+H623</f>
        <v>38225</v>
      </c>
      <c r="K629" s="328"/>
    </row>
    <row r="630" spans="3:11">
      <c r="C630" s="123" t="s">
        <v>1232</v>
      </c>
      <c r="D630" s="70" t="s">
        <v>1410</v>
      </c>
      <c r="E630" s="71"/>
      <c r="F630" s="72"/>
      <c r="G630" s="96">
        <f>$M$7</f>
        <v>0.1</v>
      </c>
      <c r="H630" s="125">
        <f>H629*G630</f>
        <v>3822.5</v>
      </c>
      <c r="K630" s="328"/>
    </row>
    <row r="631" spans="3:11" ht="15.75" thickBot="1">
      <c r="C631" s="131" t="s">
        <v>1233</v>
      </c>
      <c r="D631" s="132" t="s">
        <v>1234</v>
      </c>
      <c r="E631" s="133"/>
      <c r="F631" s="133"/>
      <c r="G631" s="156"/>
      <c r="H631" s="135">
        <f>SUM(H629:H630)</f>
        <v>42047.5</v>
      </c>
      <c r="K631" s="328"/>
    </row>
    <row r="632" spans="3:11" ht="15.75" thickTop="1">
      <c r="K632" s="328"/>
    </row>
    <row r="633" spans="3:11" ht="15.75" thickBot="1">
      <c r="C633" s="224" t="s">
        <v>1672</v>
      </c>
      <c r="D633" s="226"/>
      <c r="E633" s="226"/>
      <c r="F633" s="226"/>
      <c r="G633" s="226"/>
      <c r="H633" s="226"/>
      <c r="I633" s="57">
        <f>ROUNDDOWN(H648,-2)</f>
        <v>280400</v>
      </c>
      <c r="K633" s="328"/>
    </row>
    <row r="634" spans="3:11" ht="29.25" thickTop="1">
      <c r="C634" s="120" t="s">
        <v>1207</v>
      </c>
      <c r="D634" s="121" t="s">
        <v>1208</v>
      </c>
      <c r="E634" s="121" t="s">
        <v>1209</v>
      </c>
      <c r="F634" s="121" t="s">
        <v>1210</v>
      </c>
      <c r="G634" s="121" t="s">
        <v>1211</v>
      </c>
      <c r="H634" s="122" t="s">
        <v>1212</v>
      </c>
      <c r="K634" s="328"/>
    </row>
    <row r="635" spans="3:11">
      <c r="C635" s="142" t="s">
        <v>1213</v>
      </c>
      <c r="D635" s="60" t="s">
        <v>1214</v>
      </c>
      <c r="E635" s="74"/>
      <c r="F635" s="74"/>
      <c r="G635" s="74"/>
      <c r="H635" s="147"/>
      <c r="K635" s="328"/>
    </row>
    <row r="636" spans="3:11">
      <c r="C636" s="143">
        <v>1</v>
      </c>
      <c r="D636" s="60" t="s">
        <v>5</v>
      </c>
      <c r="E636" s="73" t="s">
        <v>6</v>
      </c>
      <c r="F636" s="75">
        <v>0.05</v>
      </c>
      <c r="G636" s="65">
        <f>VLOOKUP(D636,upahbahan,3,FALSE)</f>
        <v>100000</v>
      </c>
      <c r="H636" s="125">
        <f t="shared" ref="H636:H639" si="70">F636*G636</f>
        <v>5000</v>
      </c>
      <c r="K636" s="328"/>
    </row>
    <row r="637" spans="3:11">
      <c r="C637" s="143">
        <v>2</v>
      </c>
      <c r="D637" s="60" t="s">
        <v>8</v>
      </c>
      <c r="E637" s="73" t="s">
        <v>6</v>
      </c>
      <c r="F637" s="75">
        <v>0.5</v>
      </c>
      <c r="G637" s="65">
        <f>VLOOKUP(D637,upahbahan,3,FALSE)</f>
        <v>145000</v>
      </c>
      <c r="H637" s="125">
        <f t="shared" si="70"/>
        <v>72500</v>
      </c>
      <c r="K637" s="328"/>
    </row>
    <row r="638" spans="3:11">
      <c r="C638" s="143">
        <v>3</v>
      </c>
      <c r="D638" s="60" t="s">
        <v>18</v>
      </c>
      <c r="E638" s="73" t="s">
        <v>6</v>
      </c>
      <c r="F638" s="75">
        <v>0.05</v>
      </c>
      <c r="G638" s="65">
        <f>VLOOKUP(D638,upahbahan,3,FALSE)</f>
        <v>150000</v>
      </c>
      <c r="H638" s="125">
        <f t="shared" si="70"/>
        <v>7500</v>
      </c>
      <c r="K638" s="328"/>
    </row>
    <row r="639" spans="3:11">
      <c r="C639" s="143">
        <v>4</v>
      </c>
      <c r="D639" s="60" t="s">
        <v>19</v>
      </c>
      <c r="E639" s="73" t="s">
        <v>6</v>
      </c>
      <c r="F639" s="75">
        <v>1.7000000000000001E-2</v>
      </c>
      <c r="G639" s="65">
        <f>VLOOKUP(D639,upahbahan,3,FALSE)</f>
        <v>145000</v>
      </c>
      <c r="H639" s="125">
        <f t="shared" si="70"/>
        <v>2465</v>
      </c>
      <c r="K639" s="328"/>
    </row>
    <row r="640" spans="3:11">
      <c r="C640" s="145" t="s">
        <v>1220</v>
      </c>
      <c r="D640" s="81"/>
      <c r="E640" s="81"/>
      <c r="F640" s="220"/>
      <c r="G640" s="221"/>
      <c r="H640" s="125">
        <f>SUM(H636:H639)</f>
        <v>87465</v>
      </c>
      <c r="I640" s="222"/>
      <c r="K640" s="328"/>
    </row>
    <row r="641" spans="3:11">
      <c r="C641" s="142" t="s">
        <v>1221</v>
      </c>
      <c r="D641" s="60" t="s">
        <v>1222</v>
      </c>
      <c r="E641" s="74"/>
      <c r="F641" s="74"/>
      <c r="G641" s="74"/>
      <c r="H641" s="147"/>
      <c r="K641" s="328"/>
    </row>
    <row r="642" spans="3:11">
      <c r="C642" s="143">
        <v>1</v>
      </c>
      <c r="D642" s="60" t="s">
        <v>614</v>
      </c>
      <c r="E642" s="73" t="s">
        <v>44</v>
      </c>
      <c r="F642" s="75">
        <v>1</v>
      </c>
      <c r="G642" s="65">
        <f>VLOOKUP(D642,upahbahan,3,FALSE)</f>
        <v>167500</v>
      </c>
      <c r="H642" s="125">
        <f t="shared" ref="H642" si="71">F642*G642</f>
        <v>167500</v>
      </c>
      <c r="K642" s="328"/>
    </row>
    <row r="643" spans="3:11">
      <c r="C643" s="145" t="s">
        <v>1226</v>
      </c>
      <c r="D643" s="81"/>
      <c r="E643" s="81"/>
      <c r="F643" s="81"/>
      <c r="G643" s="163"/>
      <c r="H643" s="125">
        <f>SUM(H642)</f>
        <v>167500</v>
      </c>
      <c r="K643" s="328"/>
    </row>
    <row r="644" spans="3:11">
      <c r="C644" s="153" t="s">
        <v>1227</v>
      </c>
      <c r="D644" s="60" t="s">
        <v>1228</v>
      </c>
      <c r="E644" s="74"/>
      <c r="F644" s="74"/>
      <c r="G644" s="74"/>
      <c r="H644" s="147"/>
      <c r="K644" s="328"/>
    </row>
    <row r="645" spans="3:11">
      <c r="C645" s="145" t="s">
        <v>1229</v>
      </c>
      <c r="D645" s="81"/>
      <c r="E645" s="81"/>
      <c r="F645" s="81"/>
      <c r="G645" s="163"/>
      <c r="H645" s="154">
        <v>0</v>
      </c>
      <c r="K645" s="328"/>
    </row>
    <row r="646" spans="3:11">
      <c r="C646" s="123" t="s">
        <v>1230</v>
      </c>
      <c r="D646" s="70" t="s">
        <v>1231</v>
      </c>
      <c r="E646" s="71"/>
      <c r="F646" s="71"/>
      <c r="G646" s="72"/>
      <c r="H646" s="125">
        <f>H645+H643+H640</f>
        <v>254965</v>
      </c>
      <c r="K646" s="328"/>
    </row>
    <row r="647" spans="3:11">
      <c r="C647" s="123" t="s">
        <v>1232</v>
      </c>
      <c r="D647" s="70" t="s">
        <v>1410</v>
      </c>
      <c r="E647" s="71"/>
      <c r="F647" s="72"/>
      <c r="G647" s="96">
        <f>$M$7</f>
        <v>0.1</v>
      </c>
      <c r="H647" s="125">
        <f>H646*G647</f>
        <v>25496.5</v>
      </c>
      <c r="K647" s="328"/>
    </row>
    <row r="648" spans="3:11" ht="15.75" thickBot="1">
      <c r="C648" s="131" t="s">
        <v>1233</v>
      </c>
      <c r="D648" s="132" t="s">
        <v>1234</v>
      </c>
      <c r="E648" s="133"/>
      <c r="F648" s="133"/>
      <c r="G648" s="156"/>
      <c r="H648" s="135">
        <f>SUM(H646:H647)</f>
        <v>280461.5</v>
      </c>
      <c r="K648" s="328"/>
    </row>
    <row r="649" spans="3:11" ht="15.75" thickTop="1">
      <c r="C649" s="90"/>
      <c r="D649" s="91"/>
      <c r="E649" s="91"/>
      <c r="F649" s="91"/>
      <c r="G649" s="91"/>
      <c r="H649" s="92"/>
      <c r="K649" s="328"/>
    </row>
    <row r="650" spans="3:11" ht="15.75" thickBot="1">
      <c r="C650" s="224" t="s">
        <v>1673</v>
      </c>
      <c r="D650" s="226"/>
      <c r="E650" s="226"/>
      <c r="F650" s="226"/>
      <c r="G650" s="226"/>
      <c r="H650" s="226"/>
      <c r="I650" s="57">
        <f>ROUNDDOWN(H665,-2)</f>
        <v>185300</v>
      </c>
      <c r="K650" s="328"/>
    </row>
    <row r="651" spans="3:11" ht="29.25" thickTop="1">
      <c r="C651" s="120" t="s">
        <v>1207</v>
      </c>
      <c r="D651" s="121" t="s">
        <v>1208</v>
      </c>
      <c r="E651" s="121" t="s">
        <v>1209</v>
      </c>
      <c r="F651" s="121" t="s">
        <v>1210</v>
      </c>
      <c r="G651" s="121" t="s">
        <v>1211</v>
      </c>
      <c r="H651" s="122" t="s">
        <v>1212</v>
      </c>
      <c r="K651" s="328"/>
    </row>
    <row r="652" spans="3:11">
      <c r="C652" s="142" t="s">
        <v>1213</v>
      </c>
      <c r="D652" s="60" t="s">
        <v>1214</v>
      </c>
      <c r="E652" s="74"/>
      <c r="F652" s="74"/>
      <c r="G652" s="74"/>
      <c r="H652" s="147"/>
      <c r="K652" s="328"/>
    </row>
    <row r="653" spans="3:11">
      <c r="C653" s="143">
        <v>1</v>
      </c>
      <c r="D653" s="60" t="s">
        <v>5</v>
      </c>
      <c r="E653" s="73" t="s">
        <v>6</v>
      </c>
      <c r="F653" s="75">
        <v>0.05</v>
      </c>
      <c r="G653" s="65">
        <f>VLOOKUP(D653,upahbahan,3,FALSE)</f>
        <v>100000</v>
      </c>
      <c r="H653" s="125">
        <f t="shared" ref="H653:H656" si="72">F653*G653</f>
        <v>5000</v>
      </c>
      <c r="K653" s="328"/>
    </row>
    <row r="654" spans="3:11">
      <c r="C654" s="143">
        <v>2</v>
      </c>
      <c r="D654" s="60" t="s">
        <v>8</v>
      </c>
      <c r="E654" s="73" t="s">
        <v>6</v>
      </c>
      <c r="F654" s="75">
        <v>0.5</v>
      </c>
      <c r="G654" s="65">
        <f>VLOOKUP(D654,upahbahan,3,FALSE)</f>
        <v>145000</v>
      </c>
      <c r="H654" s="125">
        <f t="shared" si="72"/>
        <v>72500</v>
      </c>
      <c r="K654" s="328"/>
    </row>
    <row r="655" spans="3:11">
      <c r="C655" s="143">
        <v>3</v>
      </c>
      <c r="D655" s="60" t="s">
        <v>18</v>
      </c>
      <c r="E655" s="73" t="s">
        <v>6</v>
      </c>
      <c r="F655" s="75">
        <v>0.05</v>
      </c>
      <c r="G655" s="65">
        <f>VLOOKUP(D655,upahbahan,3,FALSE)</f>
        <v>150000</v>
      </c>
      <c r="H655" s="125">
        <f t="shared" si="72"/>
        <v>7500</v>
      </c>
      <c r="K655" s="328"/>
    </row>
    <row r="656" spans="3:11">
      <c r="C656" s="143">
        <v>4</v>
      </c>
      <c r="D656" s="60" t="s">
        <v>19</v>
      </c>
      <c r="E656" s="73" t="s">
        <v>6</v>
      </c>
      <c r="F656" s="75">
        <v>1.7000000000000001E-2</v>
      </c>
      <c r="G656" s="65">
        <f>VLOOKUP(D656,upahbahan,3,FALSE)</f>
        <v>145000</v>
      </c>
      <c r="H656" s="125">
        <f t="shared" si="72"/>
        <v>2465</v>
      </c>
      <c r="K656" s="328"/>
    </row>
    <row r="657" spans="3:11">
      <c r="C657" s="145" t="s">
        <v>1220</v>
      </c>
      <c r="D657" s="81"/>
      <c r="E657" s="81"/>
      <c r="F657" s="220"/>
      <c r="G657" s="221"/>
      <c r="H657" s="125">
        <f>SUM(H653:H656)</f>
        <v>87465</v>
      </c>
      <c r="I657" s="222"/>
      <c r="K657" s="328"/>
    </row>
    <row r="658" spans="3:11">
      <c r="C658" s="142" t="s">
        <v>1221</v>
      </c>
      <c r="D658" s="60" t="s">
        <v>1222</v>
      </c>
      <c r="E658" s="74"/>
      <c r="F658" s="74"/>
      <c r="G658" s="74"/>
      <c r="H658" s="147"/>
      <c r="K658" s="328"/>
    </row>
    <row r="659" spans="3:11">
      <c r="C659" s="143">
        <v>1</v>
      </c>
      <c r="D659" s="60" t="s">
        <v>615</v>
      </c>
      <c r="E659" s="73" t="s">
        <v>44</v>
      </c>
      <c r="F659" s="230">
        <v>1</v>
      </c>
      <c r="G659" s="65">
        <f>VLOOKUP(D659,upahbahan,3,FALSE)</f>
        <v>81000</v>
      </c>
      <c r="H659" s="125">
        <f t="shared" ref="H659" si="73">F659*G659</f>
        <v>81000</v>
      </c>
      <c r="K659" s="328"/>
    </row>
    <row r="660" spans="3:11">
      <c r="C660" s="145" t="s">
        <v>1226</v>
      </c>
      <c r="D660" s="81"/>
      <c r="E660" s="81"/>
      <c r="F660" s="81"/>
      <c r="G660" s="163"/>
      <c r="H660" s="125">
        <f>SUM(H659)</f>
        <v>81000</v>
      </c>
      <c r="K660" s="328"/>
    </row>
    <row r="661" spans="3:11">
      <c r="C661" s="153" t="s">
        <v>1227</v>
      </c>
      <c r="D661" s="60" t="s">
        <v>1228</v>
      </c>
      <c r="E661" s="74"/>
      <c r="F661" s="74"/>
      <c r="G661" s="74"/>
      <c r="H661" s="147"/>
      <c r="K661" s="328"/>
    </row>
    <row r="662" spans="3:11">
      <c r="C662" s="145" t="s">
        <v>1229</v>
      </c>
      <c r="D662" s="81"/>
      <c r="E662" s="81"/>
      <c r="F662" s="81"/>
      <c r="G662" s="163"/>
      <c r="H662" s="154">
        <v>0</v>
      </c>
      <c r="K662" s="328"/>
    </row>
    <row r="663" spans="3:11">
      <c r="C663" s="123" t="s">
        <v>1230</v>
      </c>
      <c r="D663" s="70" t="s">
        <v>1231</v>
      </c>
      <c r="E663" s="71"/>
      <c r="F663" s="71"/>
      <c r="G663" s="72"/>
      <c r="H663" s="125">
        <f>H662+H660+H657</f>
        <v>168465</v>
      </c>
      <c r="K663" s="328"/>
    </row>
    <row r="664" spans="3:11">
      <c r="C664" s="123" t="s">
        <v>1232</v>
      </c>
      <c r="D664" s="70" t="s">
        <v>1410</v>
      </c>
      <c r="E664" s="71"/>
      <c r="F664" s="72"/>
      <c r="G664" s="96">
        <f>$M$7</f>
        <v>0.1</v>
      </c>
      <c r="H664" s="125">
        <f>H663*G664</f>
        <v>16846.5</v>
      </c>
      <c r="K664" s="328"/>
    </row>
    <row r="665" spans="3:11" ht="15.75" thickBot="1">
      <c r="C665" s="131" t="s">
        <v>1233</v>
      </c>
      <c r="D665" s="132" t="s">
        <v>1234</v>
      </c>
      <c r="E665" s="133"/>
      <c r="F665" s="133"/>
      <c r="G665" s="156"/>
      <c r="H665" s="135">
        <f>SUM(H663:H664)</f>
        <v>185311.5</v>
      </c>
      <c r="K665" s="328"/>
    </row>
    <row r="666" spans="3:11" ht="15.75" thickTop="1">
      <c r="C666" s="90"/>
      <c r="D666" s="91"/>
      <c r="E666" s="91"/>
      <c r="F666" s="91"/>
      <c r="G666" s="91"/>
      <c r="H666" s="92"/>
      <c r="K666" s="328"/>
    </row>
    <row r="667" spans="3:11" ht="15.75" thickBot="1">
      <c r="C667" s="224" t="s">
        <v>1674</v>
      </c>
      <c r="D667" s="226"/>
      <c r="E667" s="226"/>
      <c r="F667" s="226"/>
      <c r="G667" s="226"/>
      <c r="H667" s="226"/>
      <c r="I667" s="57">
        <f>ROUNDDOWN(H682,-2)</f>
        <v>83500</v>
      </c>
      <c r="K667" s="328"/>
    </row>
    <row r="668" spans="3:11" ht="29.25" thickTop="1">
      <c r="C668" s="120" t="s">
        <v>1207</v>
      </c>
      <c r="D668" s="121" t="s">
        <v>1208</v>
      </c>
      <c r="E668" s="121" t="s">
        <v>1209</v>
      </c>
      <c r="F668" s="121" t="s">
        <v>1210</v>
      </c>
      <c r="G668" s="121" t="s">
        <v>1211</v>
      </c>
      <c r="H668" s="122" t="s">
        <v>1212</v>
      </c>
      <c r="K668" s="328"/>
    </row>
    <row r="669" spans="3:11">
      <c r="C669" s="142" t="s">
        <v>1213</v>
      </c>
      <c r="D669" s="60" t="s">
        <v>1214</v>
      </c>
      <c r="E669" s="74"/>
      <c r="F669" s="74"/>
      <c r="G669" s="74"/>
      <c r="H669" s="147"/>
      <c r="K669" s="328"/>
    </row>
    <row r="670" spans="3:11">
      <c r="C670" s="143">
        <v>1</v>
      </c>
      <c r="D670" s="60" t="s">
        <v>5</v>
      </c>
      <c r="E670" s="73" t="s">
        <v>6</v>
      </c>
      <c r="F670" s="75">
        <v>0.01</v>
      </c>
      <c r="G670" s="65">
        <f>VLOOKUP(D670,upahbahan,3,FALSE)</f>
        <v>100000</v>
      </c>
      <c r="H670" s="125">
        <f t="shared" ref="H670:H673" si="74">F670*G670</f>
        <v>1000</v>
      </c>
      <c r="K670" s="328"/>
    </row>
    <row r="671" spans="3:11">
      <c r="C671" s="143">
        <v>2</v>
      </c>
      <c r="D671" s="60" t="s">
        <v>8</v>
      </c>
      <c r="E671" s="73" t="s">
        <v>6</v>
      </c>
      <c r="F671" s="75">
        <v>0.1</v>
      </c>
      <c r="G671" s="65">
        <f>VLOOKUP(D671,upahbahan,3,FALSE)</f>
        <v>145000</v>
      </c>
      <c r="H671" s="125">
        <f t="shared" si="74"/>
        <v>14500</v>
      </c>
      <c r="K671" s="328"/>
    </row>
    <row r="672" spans="3:11">
      <c r="C672" s="143">
        <v>3</v>
      </c>
      <c r="D672" s="60" t="s">
        <v>18</v>
      </c>
      <c r="E672" s="73" t="s">
        <v>6</v>
      </c>
      <c r="F672" s="75">
        <v>0.01</v>
      </c>
      <c r="G672" s="65">
        <f>VLOOKUP(D672,upahbahan,3,FALSE)</f>
        <v>150000</v>
      </c>
      <c r="H672" s="125">
        <f t="shared" si="74"/>
        <v>1500</v>
      </c>
      <c r="K672" s="328"/>
    </row>
    <row r="673" spans="3:11">
      <c r="C673" s="143">
        <v>4</v>
      </c>
      <c r="D673" s="60" t="s">
        <v>19</v>
      </c>
      <c r="E673" s="73" t="s">
        <v>6</v>
      </c>
      <c r="F673" s="75">
        <v>3.0000000000000001E-3</v>
      </c>
      <c r="G673" s="65">
        <f>VLOOKUP(D673,upahbahan,3,FALSE)</f>
        <v>145000</v>
      </c>
      <c r="H673" s="125">
        <f t="shared" si="74"/>
        <v>435</v>
      </c>
      <c r="K673" s="328"/>
    </row>
    <row r="674" spans="3:11">
      <c r="C674" s="145" t="s">
        <v>1220</v>
      </c>
      <c r="D674" s="81"/>
      <c r="E674" s="81"/>
      <c r="F674" s="220"/>
      <c r="G674" s="221"/>
      <c r="H674" s="125">
        <f>SUM(H670:H673)</f>
        <v>17435</v>
      </c>
      <c r="I674" s="222"/>
      <c r="K674" s="328"/>
    </row>
    <row r="675" spans="3:11">
      <c r="C675" s="142" t="s">
        <v>1221</v>
      </c>
      <c r="D675" s="60" t="s">
        <v>1222</v>
      </c>
      <c r="E675" s="74"/>
      <c r="F675" s="74"/>
      <c r="G675" s="74"/>
      <c r="H675" s="147"/>
      <c r="K675" s="328"/>
    </row>
    <row r="676" spans="3:11">
      <c r="C676" s="143">
        <v>1</v>
      </c>
      <c r="D676" s="60" t="s">
        <v>616</v>
      </c>
      <c r="E676" s="73" t="s">
        <v>44</v>
      </c>
      <c r="F676" s="230">
        <v>1</v>
      </c>
      <c r="G676" s="65">
        <f>VLOOKUP(D676,upahbahan,3,FALSE)</f>
        <v>58500</v>
      </c>
      <c r="H676" s="125">
        <f t="shared" ref="H676" si="75">F676*G676</f>
        <v>58500</v>
      </c>
      <c r="K676" s="328"/>
    </row>
    <row r="677" spans="3:11">
      <c r="C677" s="145" t="s">
        <v>1226</v>
      </c>
      <c r="D677" s="81"/>
      <c r="E677" s="81"/>
      <c r="F677" s="81"/>
      <c r="G677" s="163"/>
      <c r="H677" s="125">
        <f>SUM(H676)</f>
        <v>58500</v>
      </c>
      <c r="K677" s="328"/>
    </row>
    <row r="678" spans="3:11">
      <c r="C678" s="153" t="s">
        <v>1227</v>
      </c>
      <c r="D678" s="60" t="s">
        <v>1228</v>
      </c>
      <c r="E678" s="74"/>
      <c r="F678" s="74"/>
      <c r="G678" s="74"/>
      <c r="H678" s="147"/>
      <c r="K678" s="328"/>
    </row>
    <row r="679" spans="3:11">
      <c r="C679" s="145" t="s">
        <v>1229</v>
      </c>
      <c r="D679" s="81"/>
      <c r="E679" s="81"/>
      <c r="F679" s="81"/>
      <c r="G679" s="163"/>
      <c r="H679" s="154">
        <v>0</v>
      </c>
      <c r="K679" s="328"/>
    </row>
    <row r="680" spans="3:11">
      <c r="C680" s="123" t="s">
        <v>1230</v>
      </c>
      <c r="D680" s="70" t="s">
        <v>1231</v>
      </c>
      <c r="E680" s="71"/>
      <c r="F680" s="71"/>
      <c r="G680" s="72"/>
      <c r="H680" s="125">
        <f>H679+H677+H674</f>
        <v>75935</v>
      </c>
      <c r="K680" s="328"/>
    </row>
    <row r="681" spans="3:11">
      <c r="C681" s="123" t="s">
        <v>1232</v>
      </c>
      <c r="D681" s="70" t="s">
        <v>1410</v>
      </c>
      <c r="E681" s="71"/>
      <c r="F681" s="72"/>
      <c r="G681" s="96">
        <f>$M$7</f>
        <v>0.1</v>
      </c>
      <c r="H681" s="125">
        <f>H680*G681</f>
        <v>7593.5</v>
      </c>
      <c r="K681" s="328"/>
    </row>
    <row r="682" spans="3:11" ht="15.75" thickBot="1">
      <c r="C682" s="131" t="s">
        <v>1233</v>
      </c>
      <c r="D682" s="132" t="s">
        <v>1234</v>
      </c>
      <c r="E682" s="133"/>
      <c r="F682" s="133"/>
      <c r="G682" s="156"/>
      <c r="H682" s="135">
        <f>SUM(H680:H681)</f>
        <v>83528.5</v>
      </c>
      <c r="K682" s="328"/>
    </row>
    <row r="683" spans="3:11" ht="15.75" thickTop="1">
      <c r="K683" s="328"/>
    </row>
    <row r="684" spans="3:11" ht="15.75" thickBot="1">
      <c r="C684" s="224" t="s">
        <v>1675</v>
      </c>
      <c r="D684" s="225"/>
      <c r="E684" s="225"/>
      <c r="F684" s="225"/>
      <c r="G684" s="225"/>
      <c r="H684" s="225"/>
      <c r="I684" s="57">
        <f>ROUNDDOWN(H699,-2)</f>
        <v>382800</v>
      </c>
      <c r="K684" s="328"/>
    </row>
    <row r="685" spans="3:11" ht="29.25" thickTop="1">
      <c r="C685" s="120" t="s">
        <v>1207</v>
      </c>
      <c r="D685" s="121" t="s">
        <v>1208</v>
      </c>
      <c r="E685" s="121" t="s">
        <v>1209</v>
      </c>
      <c r="F685" s="121" t="s">
        <v>1210</v>
      </c>
      <c r="G685" s="121" t="s">
        <v>1211</v>
      </c>
      <c r="H685" s="122" t="s">
        <v>1212</v>
      </c>
      <c r="K685" s="328"/>
    </row>
    <row r="686" spans="3:11">
      <c r="C686" s="142" t="s">
        <v>1213</v>
      </c>
      <c r="D686" s="60" t="s">
        <v>1214</v>
      </c>
      <c r="E686" s="74"/>
      <c r="F686" s="74"/>
      <c r="G686" s="74"/>
      <c r="H686" s="147"/>
      <c r="K686" s="328"/>
    </row>
    <row r="687" spans="3:11">
      <c r="C687" s="143">
        <v>1</v>
      </c>
      <c r="D687" s="60" t="s">
        <v>5</v>
      </c>
      <c r="E687" s="73" t="s">
        <v>6</v>
      </c>
      <c r="F687" s="75">
        <v>0.06</v>
      </c>
      <c r="G687" s="65">
        <f>VLOOKUP(D687,upahbahan,3,FALSE)</f>
        <v>100000</v>
      </c>
      <c r="H687" s="125">
        <f t="shared" ref="H687:H690" si="76">F687*G687</f>
        <v>6000</v>
      </c>
      <c r="K687" s="328"/>
    </row>
    <row r="688" spans="3:11">
      <c r="C688" s="143">
        <v>2</v>
      </c>
      <c r="D688" s="60" t="s">
        <v>8</v>
      </c>
      <c r="E688" s="73" t="s">
        <v>6</v>
      </c>
      <c r="F688" s="75">
        <v>0.6</v>
      </c>
      <c r="G688" s="65">
        <f>VLOOKUP(D688,upahbahan,3,FALSE)</f>
        <v>145000</v>
      </c>
      <c r="H688" s="125">
        <f t="shared" si="76"/>
        <v>87000</v>
      </c>
      <c r="K688" s="328"/>
    </row>
    <row r="689" spans="3:11">
      <c r="C689" s="143">
        <v>3</v>
      </c>
      <c r="D689" s="60" t="s">
        <v>18</v>
      </c>
      <c r="E689" s="73" t="s">
        <v>6</v>
      </c>
      <c r="F689" s="75">
        <v>0.06</v>
      </c>
      <c r="G689" s="65">
        <f>VLOOKUP(D689,upahbahan,3,FALSE)</f>
        <v>150000</v>
      </c>
      <c r="H689" s="125">
        <f t="shared" si="76"/>
        <v>9000</v>
      </c>
      <c r="K689" s="328"/>
    </row>
    <row r="690" spans="3:11">
      <c r="C690" s="143">
        <v>4</v>
      </c>
      <c r="D690" s="60" t="s">
        <v>19</v>
      </c>
      <c r="E690" s="73" t="s">
        <v>6</v>
      </c>
      <c r="F690" s="75">
        <v>0.02</v>
      </c>
      <c r="G690" s="65">
        <f>VLOOKUP(D690,upahbahan,3,FALSE)</f>
        <v>145000</v>
      </c>
      <c r="H690" s="125">
        <f t="shared" si="76"/>
        <v>2900</v>
      </c>
      <c r="K690" s="328"/>
    </row>
    <row r="691" spans="3:11">
      <c r="C691" s="145" t="s">
        <v>1220</v>
      </c>
      <c r="D691" s="81"/>
      <c r="E691" s="81"/>
      <c r="F691" s="220"/>
      <c r="G691" s="221"/>
      <c r="H691" s="125">
        <f>SUM(H687:H690)</f>
        <v>104900</v>
      </c>
      <c r="I691" s="222"/>
      <c r="K691" s="328"/>
    </row>
    <row r="692" spans="3:11">
      <c r="C692" s="142" t="s">
        <v>1221</v>
      </c>
      <c r="D692" s="60" t="s">
        <v>1222</v>
      </c>
      <c r="E692" s="74"/>
      <c r="F692" s="74"/>
      <c r="G692" s="74"/>
      <c r="H692" s="147"/>
      <c r="K692" s="328"/>
    </row>
    <row r="693" spans="3:11">
      <c r="C693" s="143">
        <v>1</v>
      </c>
      <c r="D693" s="60" t="s">
        <v>638</v>
      </c>
      <c r="E693" s="73" t="s">
        <v>639</v>
      </c>
      <c r="F693" s="230">
        <v>1</v>
      </c>
      <c r="G693" s="65">
        <f>VLOOKUP(D693,upahbahan,3,FALSE)</f>
        <v>243100</v>
      </c>
      <c r="H693" s="125">
        <f t="shared" ref="H693" si="77">F693*G693</f>
        <v>243100</v>
      </c>
      <c r="K693" s="328"/>
    </row>
    <row r="694" spans="3:11">
      <c r="C694" s="145" t="s">
        <v>1226</v>
      </c>
      <c r="D694" s="81"/>
      <c r="E694" s="81"/>
      <c r="F694" s="81"/>
      <c r="G694" s="163"/>
      <c r="H694" s="125">
        <f>SUM(H693)</f>
        <v>243100</v>
      </c>
      <c r="K694" s="328"/>
    </row>
    <row r="695" spans="3:11">
      <c r="C695" s="153" t="s">
        <v>1227</v>
      </c>
      <c r="D695" s="60" t="s">
        <v>1228</v>
      </c>
      <c r="E695" s="74"/>
      <c r="F695" s="74"/>
      <c r="G695" s="74"/>
      <c r="H695" s="147"/>
      <c r="K695" s="328"/>
    </row>
    <row r="696" spans="3:11">
      <c r="C696" s="145" t="s">
        <v>1229</v>
      </c>
      <c r="D696" s="81"/>
      <c r="E696" s="81"/>
      <c r="F696" s="81"/>
      <c r="G696" s="163"/>
      <c r="H696" s="154">
        <v>0</v>
      </c>
      <c r="K696" s="328"/>
    </row>
    <row r="697" spans="3:11">
      <c r="C697" s="123" t="s">
        <v>1230</v>
      </c>
      <c r="D697" s="70" t="s">
        <v>1231</v>
      </c>
      <c r="E697" s="71"/>
      <c r="F697" s="71"/>
      <c r="G697" s="72"/>
      <c r="H697" s="125">
        <f>H696+H694+H691</f>
        <v>348000</v>
      </c>
      <c r="K697" s="328"/>
    </row>
    <row r="698" spans="3:11">
      <c r="C698" s="123" t="s">
        <v>1232</v>
      </c>
      <c r="D698" s="70" t="s">
        <v>1410</v>
      </c>
      <c r="E698" s="71"/>
      <c r="F698" s="72"/>
      <c r="G698" s="96">
        <f>$M$7</f>
        <v>0.1</v>
      </c>
      <c r="H698" s="125">
        <f>H697*G698</f>
        <v>34800</v>
      </c>
      <c r="K698" s="328"/>
    </row>
    <row r="699" spans="3:11" ht="15.75" thickBot="1">
      <c r="C699" s="131" t="s">
        <v>1233</v>
      </c>
      <c r="D699" s="132" t="s">
        <v>1234</v>
      </c>
      <c r="E699" s="133"/>
      <c r="F699" s="133"/>
      <c r="G699" s="156"/>
      <c r="H699" s="135">
        <f>SUM(H697:H698)</f>
        <v>382800</v>
      </c>
      <c r="K699" s="328"/>
    </row>
    <row r="700" spans="3:11" ht="15.75" thickTop="1">
      <c r="C700" s="90"/>
      <c r="D700" s="91"/>
      <c r="E700" s="91"/>
      <c r="F700" s="91"/>
      <c r="G700" s="91"/>
      <c r="H700" s="92"/>
      <c r="K700" s="328"/>
    </row>
    <row r="701" spans="3:11" ht="15.75" thickBot="1">
      <c r="C701" s="224" t="s">
        <v>1676</v>
      </c>
      <c r="D701" s="225"/>
      <c r="E701" s="225"/>
      <c r="F701" s="225"/>
      <c r="G701" s="225"/>
      <c r="H701" s="225"/>
      <c r="I701" s="57">
        <f>ROUNDDOWN(H716,-2)</f>
        <v>255900</v>
      </c>
      <c r="K701" s="328"/>
    </row>
    <row r="702" spans="3:11" ht="29.25" thickTop="1">
      <c r="C702" s="120" t="s">
        <v>1207</v>
      </c>
      <c r="D702" s="121" t="s">
        <v>1208</v>
      </c>
      <c r="E702" s="121" t="s">
        <v>1209</v>
      </c>
      <c r="F702" s="121" t="s">
        <v>1210</v>
      </c>
      <c r="G702" s="121" t="s">
        <v>1211</v>
      </c>
      <c r="H702" s="122" t="s">
        <v>1212</v>
      </c>
      <c r="K702" s="328"/>
    </row>
    <row r="703" spans="3:11">
      <c r="C703" s="142" t="s">
        <v>1213</v>
      </c>
      <c r="D703" s="60" t="s">
        <v>1214</v>
      </c>
      <c r="E703" s="74"/>
      <c r="F703" s="74"/>
      <c r="G703" s="74"/>
      <c r="H703" s="147"/>
      <c r="K703" s="328"/>
    </row>
    <row r="704" spans="3:11">
      <c r="C704" s="143">
        <v>1</v>
      </c>
      <c r="D704" s="60" t="s">
        <v>5</v>
      </c>
      <c r="E704" s="73" t="s">
        <v>6</v>
      </c>
      <c r="F704" s="94">
        <v>0.35</v>
      </c>
      <c r="G704" s="65">
        <f>VLOOKUP(D704,upahbahan,3,FALSE)</f>
        <v>100000</v>
      </c>
      <c r="H704" s="125">
        <f t="shared" ref="H704:H707" si="78">F704*G704</f>
        <v>35000</v>
      </c>
      <c r="K704" s="328"/>
    </row>
    <row r="705" spans="3:11">
      <c r="C705" s="143">
        <v>2</v>
      </c>
      <c r="D705" s="60" t="s">
        <v>8</v>
      </c>
      <c r="E705" s="73" t="s">
        <v>6</v>
      </c>
      <c r="F705" s="94">
        <v>0.35</v>
      </c>
      <c r="G705" s="65">
        <f>VLOOKUP(D705,upahbahan,3,FALSE)</f>
        <v>145000</v>
      </c>
      <c r="H705" s="125">
        <f t="shared" si="78"/>
        <v>50750</v>
      </c>
      <c r="K705" s="328"/>
    </row>
    <row r="706" spans="3:11">
      <c r="C706" s="143">
        <v>3</v>
      </c>
      <c r="D706" s="60" t="s">
        <v>18</v>
      </c>
      <c r="E706" s="73" t="s">
        <v>6</v>
      </c>
      <c r="F706" s="94">
        <v>3.5000000000000003E-2</v>
      </c>
      <c r="G706" s="65">
        <f>VLOOKUP(D706,upahbahan,3,FALSE)</f>
        <v>150000</v>
      </c>
      <c r="H706" s="125">
        <f t="shared" si="78"/>
        <v>5250.0000000000009</v>
      </c>
      <c r="K706" s="328"/>
    </row>
    <row r="707" spans="3:11">
      <c r="C707" s="143">
        <v>4</v>
      </c>
      <c r="D707" s="60" t="s">
        <v>19</v>
      </c>
      <c r="E707" s="73" t="s">
        <v>6</v>
      </c>
      <c r="F707" s="94">
        <v>1.17E-2</v>
      </c>
      <c r="G707" s="65">
        <f>VLOOKUP(D707,upahbahan,3,FALSE)</f>
        <v>145000</v>
      </c>
      <c r="H707" s="125">
        <f t="shared" si="78"/>
        <v>1696.5</v>
      </c>
      <c r="K707" s="328"/>
    </row>
    <row r="708" spans="3:11">
      <c r="C708" s="145" t="s">
        <v>1220</v>
      </c>
      <c r="D708" s="81"/>
      <c r="E708" s="81"/>
      <c r="F708" s="220"/>
      <c r="G708" s="221"/>
      <c r="H708" s="125">
        <f>SUM(H704:H707)</f>
        <v>92696.5</v>
      </c>
      <c r="I708" s="222"/>
      <c r="K708" s="328"/>
    </row>
    <row r="709" spans="3:11">
      <c r="C709" s="142" t="s">
        <v>1221</v>
      </c>
      <c r="D709" s="60" t="s">
        <v>1222</v>
      </c>
      <c r="E709" s="74"/>
      <c r="F709" s="74"/>
      <c r="G709" s="74"/>
      <c r="H709" s="147"/>
      <c r="K709" s="328"/>
    </row>
    <row r="710" spans="3:11">
      <c r="C710" s="143">
        <v>1</v>
      </c>
      <c r="D710" s="60" t="s">
        <v>642</v>
      </c>
      <c r="E710" s="73" t="s">
        <v>63</v>
      </c>
      <c r="F710" s="230">
        <v>1</v>
      </c>
      <c r="G710" s="65">
        <f>VLOOKUP(D710,upahbahan,3,FALSE)</f>
        <v>140000</v>
      </c>
      <c r="H710" s="125">
        <f t="shared" ref="H710" si="79">F710*G710</f>
        <v>140000</v>
      </c>
      <c r="K710" s="328"/>
    </row>
    <row r="711" spans="3:11">
      <c r="C711" s="145" t="s">
        <v>1226</v>
      </c>
      <c r="D711" s="81"/>
      <c r="E711" s="81"/>
      <c r="F711" s="81"/>
      <c r="G711" s="163"/>
      <c r="H711" s="125">
        <f>SUM(H710)</f>
        <v>140000</v>
      </c>
      <c r="K711" s="328"/>
    </row>
    <row r="712" spans="3:11">
      <c r="C712" s="153" t="s">
        <v>1227</v>
      </c>
      <c r="D712" s="60" t="s">
        <v>1228</v>
      </c>
      <c r="E712" s="74"/>
      <c r="F712" s="74"/>
      <c r="G712" s="74"/>
      <c r="H712" s="147"/>
      <c r="K712" s="328"/>
    </row>
    <row r="713" spans="3:11">
      <c r="C713" s="145" t="s">
        <v>1229</v>
      </c>
      <c r="D713" s="81"/>
      <c r="E713" s="81"/>
      <c r="F713" s="81"/>
      <c r="G713" s="163"/>
      <c r="H713" s="154">
        <v>0</v>
      </c>
      <c r="K713" s="328"/>
    </row>
    <row r="714" spans="3:11">
      <c r="C714" s="123" t="s">
        <v>1230</v>
      </c>
      <c r="D714" s="70" t="s">
        <v>1231</v>
      </c>
      <c r="E714" s="71"/>
      <c r="F714" s="71"/>
      <c r="G714" s="72"/>
      <c r="H714" s="125">
        <f>H713+H711+H708</f>
        <v>232696.5</v>
      </c>
      <c r="K714" s="328"/>
    </row>
    <row r="715" spans="3:11">
      <c r="C715" s="123" t="s">
        <v>1232</v>
      </c>
      <c r="D715" s="70" t="s">
        <v>1410</v>
      </c>
      <c r="E715" s="71"/>
      <c r="F715" s="72"/>
      <c r="G715" s="96">
        <f>$M$7</f>
        <v>0.1</v>
      </c>
      <c r="H715" s="125">
        <f>H714*G715</f>
        <v>23269.65</v>
      </c>
      <c r="K715" s="328"/>
    </row>
    <row r="716" spans="3:11" ht="15.75" thickBot="1">
      <c r="C716" s="131" t="s">
        <v>1233</v>
      </c>
      <c r="D716" s="132" t="s">
        <v>1234</v>
      </c>
      <c r="E716" s="133"/>
      <c r="F716" s="133"/>
      <c r="G716" s="156"/>
      <c r="H716" s="135">
        <f>SUM(H714:H715)</f>
        <v>255966.15</v>
      </c>
      <c r="K716" s="328"/>
    </row>
    <row r="717" spans="3:11" ht="15.75" thickTop="1">
      <c r="C717" s="90"/>
      <c r="D717" s="91"/>
      <c r="E717" s="91"/>
      <c r="F717" s="91"/>
      <c r="G717" s="91"/>
      <c r="H717" s="92"/>
      <c r="K717" s="328"/>
    </row>
    <row r="718" spans="3:11" ht="15.75" thickBot="1">
      <c r="C718" s="224" t="s">
        <v>1677</v>
      </c>
      <c r="D718" s="329"/>
      <c r="E718" s="329"/>
      <c r="F718" s="329"/>
      <c r="G718" s="329"/>
      <c r="H718" s="329"/>
      <c r="I718" s="57">
        <f>ROUNDDOWN(H734,-2)</f>
        <v>613600</v>
      </c>
      <c r="K718" s="328"/>
    </row>
    <row r="719" spans="3:11" ht="29.25" thickTop="1">
      <c r="C719" s="120" t="s">
        <v>1207</v>
      </c>
      <c r="D719" s="121" t="s">
        <v>1208</v>
      </c>
      <c r="E719" s="121" t="s">
        <v>1209</v>
      </c>
      <c r="F719" s="121" t="s">
        <v>1210</v>
      </c>
      <c r="G719" s="121" t="s">
        <v>1211</v>
      </c>
      <c r="H719" s="122" t="s">
        <v>1212</v>
      </c>
      <c r="K719" s="328"/>
    </row>
    <row r="720" spans="3:11">
      <c r="C720" s="142" t="s">
        <v>1213</v>
      </c>
      <c r="D720" s="60" t="s">
        <v>1214</v>
      </c>
      <c r="E720" s="74"/>
      <c r="F720" s="74"/>
      <c r="G720" s="74"/>
      <c r="H720" s="147"/>
      <c r="K720" s="328"/>
    </row>
    <row r="721" spans="3:11">
      <c r="C721" s="143">
        <v>1</v>
      </c>
      <c r="D721" s="60" t="s">
        <v>5</v>
      </c>
      <c r="E721" s="73" t="s">
        <v>6</v>
      </c>
      <c r="F721" s="94">
        <v>1.67</v>
      </c>
      <c r="G721" s="65">
        <f>VLOOKUP(D721,upahbahan,3,FALSE)</f>
        <v>100000</v>
      </c>
      <c r="H721" s="125">
        <f t="shared" ref="H721:H724" si="80">F721*G721</f>
        <v>167000</v>
      </c>
      <c r="K721" s="328"/>
    </row>
    <row r="722" spans="3:11">
      <c r="C722" s="143">
        <v>2</v>
      </c>
      <c r="D722" s="60" t="s">
        <v>11</v>
      </c>
      <c r="E722" s="73" t="s">
        <v>6</v>
      </c>
      <c r="F722" s="94">
        <v>1.67</v>
      </c>
      <c r="G722" s="65">
        <f>VLOOKUP(D722,upahbahan,3,FALSE)</f>
        <v>145000</v>
      </c>
      <c r="H722" s="125">
        <f t="shared" si="80"/>
        <v>242150</v>
      </c>
      <c r="K722" s="328"/>
    </row>
    <row r="723" spans="3:11">
      <c r="C723" s="143">
        <v>3</v>
      </c>
      <c r="D723" s="60" t="s">
        <v>18</v>
      </c>
      <c r="E723" s="73" t="s">
        <v>6</v>
      </c>
      <c r="F723" s="94">
        <v>0.16700000000000001</v>
      </c>
      <c r="G723" s="65">
        <f>VLOOKUP(D723,upahbahan,3,FALSE)</f>
        <v>150000</v>
      </c>
      <c r="H723" s="125">
        <f t="shared" si="80"/>
        <v>25050</v>
      </c>
      <c r="K723" s="328"/>
    </row>
    <row r="724" spans="3:11">
      <c r="C724" s="143">
        <v>4</v>
      </c>
      <c r="D724" s="60" t="s">
        <v>19</v>
      </c>
      <c r="E724" s="73" t="s">
        <v>6</v>
      </c>
      <c r="F724" s="94">
        <v>5.57E-2</v>
      </c>
      <c r="G724" s="65">
        <f>VLOOKUP(D724,upahbahan,3,FALSE)</f>
        <v>145000</v>
      </c>
      <c r="H724" s="125">
        <f t="shared" si="80"/>
        <v>8076.5</v>
      </c>
      <c r="K724" s="328"/>
    </row>
    <row r="725" spans="3:11">
      <c r="C725" s="145" t="s">
        <v>1220</v>
      </c>
      <c r="D725" s="81"/>
      <c r="E725" s="81"/>
      <c r="F725" s="220"/>
      <c r="G725" s="221"/>
      <c r="H725" s="125">
        <f>SUM(H721:H724)</f>
        <v>442276.5</v>
      </c>
      <c r="I725" s="222"/>
      <c r="K725" s="328"/>
    </row>
    <row r="726" spans="3:11">
      <c r="C726" s="142" t="s">
        <v>1221</v>
      </c>
      <c r="D726" s="60" t="s">
        <v>1222</v>
      </c>
      <c r="E726" s="74"/>
      <c r="F726" s="74"/>
      <c r="G726" s="74"/>
      <c r="H726" s="147"/>
      <c r="K726" s="328"/>
    </row>
    <row r="727" spans="3:11">
      <c r="C727" s="143">
        <v>1</v>
      </c>
      <c r="D727" s="60" t="s">
        <v>234</v>
      </c>
      <c r="E727" s="73" t="s">
        <v>66</v>
      </c>
      <c r="F727" s="75">
        <v>6.1769999999999996</v>
      </c>
      <c r="G727" s="65">
        <f>VLOOKUP(D727,upahbahan,3,FALSE)</f>
        <v>17250</v>
      </c>
      <c r="H727" s="125">
        <f t="shared" ref="H727:H728" si="81">F727*G727</f>
        <v>106553.25</v>
      </c>
      <c r="K727" s="328"/>
    </row>
    <row r="728" spans="3:11">
      <c r="C728" s="143">
        <v>2</v>
      </c>
      <c r="D728" s="60" t="s">
        <v>1678</v>
      </c>
      <c r="E728" s="73" t="s">
        <v>1679</v>
      </c>
      <c r="F728" s="75">
        <v>27.08</v>
      </c>
      <c r="G728" s="65">
        <f>VLOOKUP(D728,upahbahan,3,FALSE)</f>
        <v>332</v>
      </c>
      <c r="H728" s="125">
        <f t="shared" si="81"/>
        <v>8990.56</v>
      </c>
      <c r="K728" s="328"/>
    </row>
    <row r="729" spans="3:11">
      <c r="C729" s="145" t="s">
        <v>1226</v>
      </c>
      <c r="D729" s="81"/>
      <c r="E729" s="81"/>
      <c r="F729" s="81"/>
      <c r="G729" s="163"/>
      <c r="H729" s="125">
        <f>SUM(H727:H728)</f>
        <v>115543.81</v>
      </c>
      <c r="K729" s="328"/>
    </row>
    <row r="730" spans="3:11">
      <c r="C730" s="153" t="s">
        <v>1227</v>
      </c>
      <c r="D730" s="60" t="s">
        <v>1228</v>
      </c>
      <c r="E730" s="74"/>
      <c r="F730" s="74"/>
      <c r="G730" s="74"/>
      <c r="H730" s="147"/>
      <c r="K730" s="328"/>
    </row>
    <row r="731" spans="3:11">
      <c r="C731" s="145" t="s">
        <v>1229</v>
      </c>
      <c r="D731" s="81"/>
      <c r="E731" s="81"/>
      <c r="F731" s="81"/>
      <c r="G731" s="163"/>
      <c r="H731" s="154">
        <v>0</v>
      </c>
      <c r="K731" s="328"/>
    </row>
    <row r="732" spans="3:11">
      <c r="C732" s="123" t="s">
        <v>1230</v>
      </c>
      <c r="D732" s="70" t="s">
        <v>1231</v>
      </c>
      <c r="E732" s="71"/>
      <c r="F732" s="71"/>
      <c r="G732" s="72"/>
      <c r="H732" s="125">
        <f>H731+H729+H725</f>
        <v>557820.31000000006</v>
      </c>
      <c r="K732" s="328"/>
    </row>
    <row r="733" spans="3:11">
      <c r="C733" s="123" t="s">
        <v>1232</v>
      </c>
      <c r="D733" s="70" t="s">
        <v>1410</v>
      </c>
      <c r="E733" s="71"/>
      <c r="F733" s="72"/>
      <c r="G733" s="96">
        <f>$M$7</f>
        <v>0.1</v>
      </c>
      <c r="H733" s="125">
        <f>H732*G733</f>
        <v>55782.03100000001</v>
      </c>
      <c r="K733" s="328"/>
    </row>
    <row r="734" spans="3:11" ht="15.75" thickBot="1">
      <c r="C734" s="131" t="s">
        <v>1233</v>
      </c>
      <c r="D734" s="132" t="s">
        <v>1234</v>
      </c>
      <c r="E734" s="133"/>
      <c r="F734" s="133"/>
      <c r="G734" s="156"/>
      <c r="H734" s="135">
        <f>SUM(H732:H733)</f>
        <v>613602.34100000001</v>
      </c>
      <c r="K734" s="328"/>
    </row>
    <row r="735" spans="3:11" ht="15.75" thickTop="1">
      <c r="C735" s="90"/>
      <c r="D735" s="91"/>
      <c r="E735" s="91"/>
      <c r="F735" s="91"/>
      <c r="G735" s="91"/>
      <c r="H735" s="92"/>
      <c r="K735" s="328"/>
    </row>
    <row r="736" spans="3:11" ht="15.75" thickBot="1">
      <c r="C736" s="224" t="s">
        <v>1680</v>
      </c>
      <c r="D736" s="226"/>
      <c r="E736" s="226"/>
      <c r="F736" s="226"/>
      <c r="G736" s="226"/>
      <c r="H736" s="226"/>
      <c r="I736" s="57">
        <f>ROUNDDOWN(H753,-2)</f>
        <v>64400</v>
      </c>
      <c r="K736" s="328"/>
    </row>
    <row r="737" spans="3:11" ht="29.25" thickTop="1">
      <c r="C737" s="120" t="s">
        <v>1207</v>
      </c>
      <c r="D737" s="121" t="s">
        <v>1208</v>
      </c>
      <c r="E737" s="121" t="s">
        <v>1209</v>
      </c>
      <c r="F737" s="121" t="s">
        <v>1210</v>
      </c>
      <c r="G737" s="121" t="s">
        <v>1211</v>
      </c>
      <c r="H737" s="122" t="s">
        <v>1212</v>
      </c>
      <c r="K737" s="328"/>
    </row>
    <row r="738" spans="3:11">
      <c r="C738" s="142" t="s">
        <v>1213</v>
      </c>
      <c r="D738" s="60" t="s">
        <v>1214</v>
      </c>
      <c r="E738" s="74"/>
      <c r="F738" s="74"/>
      <c r="G738" s="74"/>
      <c r="H738" s="147"/>
      <c r="K738" s="328"/>
    </row>
    <row r="739" spans="3:11">
      <c r="C739" s="143">
        <v>1</v>
      </c>
      <c r="D739" s="60" t="s">
        <v>5</v>
      </c>
      <c r="E739" s="73" t="s">
        <v>6</v>
      </c>
      <c r="F739" s="94">
        <v>0.1</v>
      </c>
      <c r="G739" s="65">
        <f>VLOOKUP(D739,upahbahan,3,FALSE)</f>
        <v>100000</v>
      </c>
      <c r="H739" s="125">
        <f t="shared" ref="H739:H742" si="82">F739*G739</f>
        <v>10000</v>
      </c>
      <c r="K739" s="328"/>
    </row>
    <row r="740" spans="3:11">
      <c r="C740" s="143">
        <v>2</v>
      </c>
      <c r="D740" s="60" t="s">
        <v>11</v>
      </c>
      <c r="E740" s="73" t="s">
        <v>6</v>
      </c>
      <c r="F740" s="94">
        <v>0.1</v>
      </c>
      <c r="G740" s="65">
        <f>VLOOKUP(D740,upahbahan,3,FALSE)</f>
        <v>145000</v>
      </c>
      <c r="H740" s="125">
        <f t="shared" si="82"/>
        <v>14500</v>
      </c>
      <c r="K740" s="328"/>
    </row>
    <row r="741" spans="3:11">
      <c r="C741" s="143">
        <v>3</v>
      </c>
      <c r="D741" s="60" t="s">
        <v>18</v>
      </c>
      <c r="E741" s="73" t="s">
        <v>6</v>
      </c>
      <c r="F741" s="94">
        <v>0.01</v>
      </c>
      <c r="G741" s="65">
        <f>VLOOKUP(D741,upahbahan,3,FALSE)</f>
        <v>150000</v>
      </c>
      <c r="H741" s="125">
        <f t="shared" si="82"/>
        <v>1500</v>
      </c>
      <c r="K741" s="328"/>
    </row>
    <row r="742" spans="3:11">
      <c r="C742" s="143">
        <v>4</v>
      </c>
      <c r="D742" s="60" t="s">
        <v>19</v>
      </c>
      <c r="E742" s="73" t="s">
        <v>6</v>
      </c>
      <c r="F742" s="94">
        <v>3.3E-3</v>
      </c>
      <c r="G742" s="65">
        <f>VLOOKUP(D742,upahbahan,3,FALSE)</f>
        <v>145000</v>
      </c>
      <c r="H742" s="125">
        <f t="shared" si="82"/>
        <v>478.5</v>
      </c>
      <c r="K742" s="328"/>
    </row>
    <row r="743" spans="3:11">
      <c r="C743" s="145" t="s">
        <v>1220</v>
      </c>
      <c r="D743" s="81"/>
      <c r="E743" s="81"/>
      <c r="F743" s="220"/>
      <c r="G743" s="221"/>
      <c r="H743" s="125">
        <f>SUM(H739:H742)</f>
        <v>26478.5</v>
      </c>
      <c r="I743" s="222"/>
      <c r="K743" s="328"/>
    </row>
    <row r="744" spans="3:11">
      <c r="C744" s="142" t="s">
        <v>1221</v>
      </c>
      <c r="D744" s="60" t="s">
        <v>1222</v>
      </c>
      <c r="E744" s="74"/>
      <c r="F744" s="74"/>
      <c r="G744" s="74"/>
      <c r="H744" s="147"/>
      <c r="K744" s="328"/>
    </row>
    <row r="745" spans="3:11">
      <c r="C745" s="143">
        <v>1</v>
      </c>
      <c r="D745" s="60" t="s">
        <v>260</v>
      </c>
      <c r="E745" s="73" t="s">
        <v>63</v>
      </c>
      <c r="F745" s="75">
        <v>1.1000000000000001</v>
      </c>
      <c r="G745" s="65">
        <f>VLOOKUP(D745,upahbahan,3,FALSE)</f>
        <v>18000</v>
      </c>
      <c r="H745" s="125">
        <f t="shared" ref="H745:H747" si="83">F745*G745</f>
        <v>19800</v>
      </c>
      <c r="K745" s="328"/>
    </row>
    <row r="746" spans="3:11">
      <c r="C746" s="143">
        <v>2</v>
      </c>
      <c r="D746" s="60" t="s">
        <v>1678</v>
      </c>
      <c r="E746" s="73" t="s">
        <v>1679</v>
      </c>
      <c r="F746" s="75">
        <v>11.11</v>
      </c>
      <c r="G746" s="65">
        <f>VLOOKUP(D746,upahbahan,3,FALSE)</f>
        <v>332</v>
      </c>
      <c r="H746" s="125">
        <f t="shared" si="83"/>
        <v>3688.52</v>
      </c>
      <c r="K746" s="328"/>
    </row>
    <row r="747" spans="3:11">
      <c r="C747" s="143">
        <v>3</v>
      </c>
      <c r="D747" s="60" t="s">
        <v>233</v>
      </c>
      <c r="E747" s="73" t="s">
        <v>66</v>
      </c>
      <c r="F747" s="75">
        <v>1.716</v>
      </c>
      <c r="G747" s="65">
        <f>VLOOKUP(D747,upahbahan,3,FALSE)</f>
        <v>5000</v>
      </c>
      <c r="H747" s="125">
        <f t="shared" si="83"/>
        <v>8580</v>
      </c>
      <c r="K747" s="328"/>
    </row>
    <row r="748" spans="3:11">
      <c r="C748" s="145" t="s">
        <v>1226</v>
      </c>
      <c r="D748" s="81"/>
      <c r="E748" s="81"/>
      <c r="F748" s="81"/>
      <c r="G748" s="163"/>
      <c r="H748" s="125">
        <f>SUM(H745:H747)</f>
        <v>32068.52</v>
      </c>
      <c r="K748" s="328"/>
    </row>
    <row r="749" spans="3:11">
      <c r="C749" s="153" t="s">
        <v>1227</v>
      </c>
      <c r="D749" s="60" t="s">
        <v>1228</v>
      </c>
      <c r="E749" s="74"/>
      <c r="F749" s="74"/>
      <c r="G749" s="74"/>
      <c r="H749" s="147"/>
      <c r="K749" s="328"/>
    </row>
    <row r="750" spans="3:11">
      <c r="C750" s="145" t="s">
        <v>1229</v>
      </c>
      <c r="D750" s="81"/>
      <c r="E750" s="81"/>
      <c r="F750" s="81"/>
      <c r="G750" s="163"/>
      <c r="H750" s="154">
        <v>0</v>
      </c>
      <c r="K750" s="328"/>
    </row>
    <row r="751" spans="3:11">
      <c r="C751" s="123" t="s">
        <v>1230</v>
      </c>
      <c r="D751" s="70" t="s">
        <v>1231</v>
      </c>
      <c r="E751" s="71"/>
      <c r="F751" s="71"/>
      <c r="G751" s="72"/>
      <c r="H751" s="125">
        <f>H750+H748+H743</f>
        <v>58547.020000000004</v>
      </c>
      <c r="K751" s="328"/>
    </row>
    <row r="752" spans="3:11">
      <c r="C752" s="123" t="s">
        <v>1232</v>
      </c>
      <c r="D752" s="70" t="s">
        <v>1410</v>
      </c>
      <c r="E752" s="71"/>
      <c r="F752" s="72"/>
      <c r="G752" s="96">
        <f>$M$7</f>
        <v>0.1</v>
      </c>
      <c r="H752" s="125">
        <f>H751*G752</f>
        <v>5854.7020000000011</v>
      </c>
      <c r="K752" s="328"/>
    </row>
    <row r="753" spans="3:11" ht="15.75" thickBot="1">
      <c r="C753" s="131" t="s">
        <v>1233</v>
      </c>
      <c r="D753" s="132" t="s">
        <v>1234</v>
      </c>
      <c r="E753" s="133"/>
      <c r="F753" s="133"/>
      <c r="G753" s="156"/>
      <c r="H753" s="135">
        <f>SUM(H751:H752)</f>
        <v>64401.722000000009</v>
      </c>
      <c r="K753" s="328"/>
    </row>
    <row r="754" spans="3:11" ht="15.75" thickTop="1">
      <c r="C754" s="90"/>
      <c r="D754" s="91"/>
      <c r="E754" s="91"/>
      <c r="F754" s="91"/>
      <c r="G754" s="91"/>
      <c r="H754" s="92"/>
      <c r="K754" s="328"/>
    </row>
    <row r="755" spans="3:11" ht="15.75" thickBot="1">
      <c r="C755" s="224" t="s">
        <v>1681</v>
      </c>
      <c r="D755" s="226"/>
      <c r="E755" s="226"/>
      <c r="F755" s="226"/>
      <c r="G755" s="226"/>
      <c r="H755" s="226"/>
      <c r="I755" s="57">
        <f>ROUNDDOWN(H770,-2)</f>
        <v>161000</v>
      </c>
      <c r="K755" s="328"/>
    </row>
    <row r="756" spans="3:11" ht="29.25" thickTop="1">
      <c r="C756" s="120" t="s">
        <v>1207</v>
      </c>
      <c r="D756" s="121" t="s">
        <v>1208</v>
      </c>
      <c r="E756" s="121" t="s">
        <v>1209</v>
      </c>
      <c r="F756" s="121" t="s">
        <v>1210</v>
      </c>
      <c r="G756" s="121" t="s">
        <v>1211</v>
      </c>
      <c r="H756" s="122" t="s">
        <v>1212</v>
      </c>
      <c r="K756" s="328"/>
    </row>
    <row r="757" spans="3:11">
      <c r="C757" s="142" t="s">
        <v>1213</v>
      </c>
      <c r="D757" s="60" t="s">
        <v>1214</v>
      </c>
      <c r="E757" s="74"/>
      <c r="F757" s="74"/>
      <c r="G757" s="74"/>
      <c r="H757" s="147"/>
      <c r="K757" s="328"/>
    </row>
    <row r="758" spans="3:11">
      <c r="C758" s="143">
        <v>1</v>
      </c>
      <c r="D758" s="60" t="s">
        <v>5</v>
      </c>
      <c r="E758" s="73" t="s">
        <v>6</v>
      </c>
      <c r="F758" s="94">
        <v>0.02</v>
      </c>
      <c r="G758" s="65">
        <f>VLOOKUP(D758,upahbahan,3,FALSE)</f>
        <v>100000</v>
      </c>
      <c r="H758" s="125">
        <f t="shared" ref="H758:H761" si="84">F758*G758</f>
        <v>2000</v>
      </c>
      <c r="K758" s="328"/>
    </row>
    <row r="759" spans="3:11">
      <c r="C759" s="143">
        <v>2</v>
      </c>
      <c r="D759" s="60" t="s">
        <v>8</v>
      </c>
      <c r="E759" s="73" t="s">
        <v>6</v>
      </c>
      <c r="F759" s="94">
        <v>0.2</v>
      </c>
      <c r="G759" s="65">
        <f>VLOOKUP(D759,upahbahan,3,FALSE)</f>
        <v>145000</v>
      </c>
      <c r="H759" s="125">
        <f t="shared" si="84"/>
        <v>29000</v>
      </c>
      <c r="K759" s="328"/>
    </row>
    <row r="760" spans="3:11">
      <c r="C760" s="143">
        <v>3</v>
      </c>
      <c r="D760" s="60" t="s">
        <v>18</v>
      </c>
      <c r="E760" s="73" t="s">
        <v>6</v>
      </c>
      <c r="F760" s="94">
        <v>0.02</v>
      </c>
      <c r="G760" s="65">
        <f>VLOOKUP(D760,upahbahan,3,FALSE)</f>
        <v>150000</v>
      </c>
      <c r="H760" s="125">
        <f t="shared" si="84"/>
        <v>3000</v>
      </c>
      <c r="K760" s="328"/>
    </row>
    <row r="761" spans="3:11">
      <c r="C761" s="143">
        <v>4</v>
      </c>
      <c r="D761" s="60" t="s">
        <v>19</v>
      </c>
      <c r="E761" s="73" t="s">
        <v>6</v>
      </c>
      <c r="F761" s="94">
        <v>6.7000000000000002E-3</v>
      </c>
      <c r="G761" s="65">
        <f>VLOOKUP(D761,upahbahan,3,FALSE)</f>
        <v>145000</v>
      </c>
      <c r="H761" s="125">
        <f t="shared" si="84"/>
        <v>971.5</v>
      </c>
      <c r="K761" s="328"/>
    </row>
    <row r="762" spans="3:11">
      <c r="C762" s="145" t="s">
        <v>1220</v>
      </c>
      <c r="D762" s="81"/>
      <c r="E762" s="81"/>
      <c r="F762" s="220"/>
      <c r="G762" s="221"/>
      <c r="H762" s="125">
        <f>SUM(H758:H761)</f>
        <v>34971.5</v>
      </c>
      <c r="I762" s="222"/>
      <c r="K762" s="328"/>
    </row>
    <row r="763" spans="3:11">
      <c r="C763" s="142" t="s">
        <v>1221</v>
      </c>
      <c r="D763" s="60" t="s">
        <v>1222</v>
      </c>
      <c r="E763" s="74"/>
      <c r="F763" s="74"/>
      <c r="G763" s="74"/>
      <c r="H763" s="147"/>
      <c r="K763" s="328"/>
    </row>
    <row r="764" spans="3:11">
      <c r="C764" s="143">
        <v>1</v>
      </c>
      <c r="D764" s="60" t="s">
        <v>631</v>
      </c>
      <c r="E764" s="73" t="s">
        <v>44</v>
      </c>
      <c r="F764" s="75">
        <v>1.1000000000000001</v>
      </c>
      <c r="G764" s="65">
        <f>VLOOKUP(D764,upahbahan,3,FALSE)</f>
        <v>101300</v>
      </c>
      <c r="H764" s="125">
        <f t="shared" ref="H764" si="85">F764*G764</f>
        <v>111430.00000000001</v>
      </c>
      <c r="K764" s="328"/>
    </row>
    <row r="765" spans="3:11">
      <c r="C765" s="145" t="s">
        <v>1226</v>
      </c>
      <c r="D765" s="81"/>
      <c r="E765" s="81"/>
      <c r="F765" s="81"/>
      <c r="G765" s="163"/>
      <c r="H765" s="125">
        <f>SUM(H764:H764)</f>
        <v>111430.00000000001</v>
      </c>
      <c r="K765" s="328"/>
    </row>
    <row r="766" spans="3:11">
      <c r="C766" s="153" t="s">
        <v>1227</v>
      </c>
      <c r="D766" s="60" t="s">
        <v>1228</v>
      </c>
      <c r="E766" s="74"/>
      <c r="F766" s="74"/>
      <c r="G766" s="74"/>
      <c r="H766" s="147"/>
      <c r="K766" s="328"/>
    </row>
    <row r="767" spans="3:11">
      <c r="C767" s="145" t="s">
        <v>1229</v>
      </c>
      <c r="D767" s="81"/>
      <c r="E767" s="81"/>
      <c r="F767" s="81"/>
      <c r="G767" s="163"/>
      <c r="H767" s="154">
        <v>0</v>
      </c>
      <c r="K767" s="328"/>
    </row>
    <row r="768" spans="3:11">
      <c r="C768" s="123" t="s">
        <v>1230</v>
      </c>
      <c r="D768" s="70" t="s">
        <v>1231</v>
      </c>
      <c r="E768" s="71"/>
      <c r="F768" s="71"/>
      <c r="G768" s="72"/>
      <c r="H768" s="125">
        <f>H767+H765+H762</f>
        <v>146401.5</v>
      </c>
      <c r="K768" s="328"/>
    </row>
    <row r="769" spans="3:11">
      <c r="C769" s="123" t="s">
        <v>1232</v>
      </c>
      <c r="D769" s="70" t="s">
        <v>1410</v>
      </c>
      <c r="E769" s="71"/>
      <c r="F769" s="72"/>
      <c r="G769" s="96">
        <f>$M$7</f>
        <v>0.1</v>
      </c>
      <c r="H769" s="125">
        <f>H768*G769</f>
        <v>14640.150000000001</v>
      </c>
      <c r="K769" s="328"/>
    </row>
    <row r="770" spans="3:11" ht="15.75" thickBot="1">
      <c r="C770" s="131" t="s">
        <v>1233</v>
      </c>
      <c r="D770" s="132" t="s">
        <v>1234</v>
      </c>
      <c r="E770" s="133"/>
      <c r="F770" s="133"/>
      <c r="G770" s="156"/>
      <c r="H770" s="135">
        <f>SUM(H768:H769)</f>
        <v>161041.65</v>
      </c>
      <c r="K770" s="328"/>
    </row>
    <row r="771" spans="3:11" ht="15.75" thickTop="1">
      <c r="C771" s="90"/>
      <c r="D771" s="91"/>
      <c r="E771" s="91"/>
      <c r="F771" s="91"/>
      <c r="G771" s="91"/>
      <c r="H771" s="92"/>
      <c r="K771" s="328"/>
    </row>
    <row r="772" spans="3:11" ht="15.75" thickBot="1">
      <c r="C772" s="224" t="s">
        <v>1682</v>
      </c>
      <c r="D772" s="330"/>
      <c r="E772" s="330"/>
      <c r="F772" s="330"/>
      <c r="G772" s="330"/>
      <c r="H772" s="330"/>
      <c r="I772" s="57">
        <f>ROUNDDOWN(H787,-2)</f>
        <v>62400</v>
      </c>
      <c r="K772" s="328"/>
    </row>
    <row r="773" spans="3:11" ht="29.25" thickTop="1">
      <c r="C773" s="120" t="s">
        <v>1207</v>
      </c>
      <c r="D773" s="121" t="s">
        <v>1208</v>
      </c>
      <c r="E773" s="121" t="s">
        <v>1209</v>
      </c>
      <c r="F773" s="121" t="s">
        <v>1210</v>
      </c>
      <c r="G773" s="121" t="s">
        <v>1211</v>
      </c>
      <c r="H773" s="122" t="s">
        <v>1212</v>
      </c>
      <c r="K773" s="328"/>
    </row>
    <row r="774" spans="3:11">
      <c r="C774" s="142" t="s">
        <v>1213</v>
      </c>
      <c r="D774" s="60" t="s">
        <v>1214</v>
      </c>
      <c r="E774" s="74"/>
      <c r="F774" s="74"/>
      <c r="G774" s="74"/>
      <c r="H774" s="147"/>
      <c r="K774" s="328"/>
    </row>
    <row r="775" spans="3:11">
      <c r="C775" s="143">
        <v>1</v>
      </c>
      <c r="D775" s="60" t="s">
        <v>5</v>
      </c>
      <c r="E775" s="73" t="s">
        <v>6</v>
      </c>
      <c r="F775" s="94">
        <v>2.5000000000000001E-2</v>
      </c>
      <c r="G775" s="65">
        <f>VLOOKUP(D775,upahbahan,3,FALSE)</f>
        <v>100000</v>
      </c>
      <c r="H775" s="125">
        <f t="shared" ref="H775:H778" si="86">F775*G775</f>
        <v>2500</v>
      </c>
      <c r="K775" s="328"/>
    </row>
    <row r="776" spans="3:11">
      <c r="C776" s="143">
        <v>2</v>
      </c>
      <c r="D776" s="60" t="s">
        <v>8</v>
      </c>
      <c r="E776" s="73" t="s">
        <v>6</v>
      </c>
      <c r="F776" s="94">
        <v>0.25</v>
      </c>
      <c r="G776" s="65">
        <f>VLOOKUP(D776,upahbahan,3,FALSE)</f>
        <v>145000</v>
      </c>
      <c r="H776" s="125">
        <f t="shared" si="86"/>
        <v>36250</v>
      </c>
      <c r="K776" s="328"/>
    </row>
    <row r="777" spans="3:11">
      <c r="C777" s="143">
        <v>3</v>
      </c>
      <c r="D777" s="60" t="s">
        <v>18</v>
      </c>
      <c r="E777" s="73" t="s">
        <v>6</v>
      </c>
      <c r="F777" s="94">
        <v>2.5000000000000001E-2</v>
      </c>
      <c r="G777" s="65">
        <f>VLOOKUP(D777,upahbahan,3,FALSE)</f>
        <v>150000</v>
      </c>
      <c r="H777" s="125">
        <f t="shared" si="86"/>
        <v>3750</v>
      </c>
      <c r="K777" s="328"/>
    </row>
    <row r="778" spans="3:11">
      <c r="C778" s="143">
        <v>4</v>
      </c>
      <c r="D778" s="60" t="s">
        <v>19</v>
      </c>
      <c r="E778" s="73" t="s">
        <v>6</v>
      </c>
      <c r="F778" s="94">
        <v>1.2999999999999999E-3</v>
      </c>
      <c r="G778" s="65">
        <f>VLOOKUP(D778,upahbahan,3,FALSE)</f>
        <v>145000</v>
      </c>
      <c r="H778" s="125">
        <f t="shared" si="86"/>
        <v>188.5</v>
      </c>
      <c r="K778" s="328"/>
    </row>
    <row r="779" spans="3:11">
      <c r="C779" s="145" t="s">
        <v>1220</v>
      </c>
      <c r="D779" s="81"/>
      <c r="E779" s="81"/>
      <c r="F779" s="220"/>
      <c r="G779" s="221"/>
      <c r="H779" s="125">
        <f>SUM(H775:H778)</f>
        <v>42688.5</v>
      </c>
      <c r="I779" s="222"/>
      <c r="K779" s="328"/>
    </row>
    <row r="780" spans="3:11">
      <c r="C780" s="142" t="s">
        <v>1221</v>
      </c>
      <c r="D780" s="60" t="s">
        <v>1222</v>
      </c>
      <c r="E780" s="74"/>
      <c r="F780" s="74"/>
      <c r="G780" s="74"/>
      <c r="H780" s="147"/>
      <c r="K780" s="328"/>
    </row>
    <row r="781" spans="3:11">
      <c r="C781" s="143">
        <v>1</v>
      </c>
      <c r="D781" s="60" t="s">
        <v>629</v>
      </c>
      <c r="E781" s="73" t="s">
        <v>44</v>
      </c>
      <c r="F781" s="75">
        <v>1</v>
      </c>
      <c r="G781" s="65">
        <f>VLOOKUP(D781,upahbahan,3,FALSE)</f>
        <v>14100</v>
      </c>
      <c r="H781" s="125">
        <f t="shared" ref="H781" si="87">F781*G781</f>
        <v>14100</v>
      </c>
      <c r="K781" s="328"/>
    </row>
    <row r="782" spans="3:11">
      <c r="C782" s="145" t="s">
        <v>1226</v>
      </c>
      <c r="D782" s="81"/>
      <c r="E782" s="81"/>
      <c r="F782" s="81"/>
      <c r="G782" s="163"/>
      <c r="H782" s="125">
        <f>SUM(H781)</f>
        <v>14100</v>
      </c>
      <c r="K782" s="328"/>
    </row>
    <row r="783" spans="3:11">
      <c r="C783" s="153" t="s">
        <v>1227</v>
      </c>
      <c r="D783" s="60" t="s">
        <v>1228</v>
      </c>
      <c r="E783" s="74"/>
      <c r="F783" s="74"/>
      <c r="G783" s="74"/>
      <c r="H783" s="147"/>
      <c r="K783" s="328"/>
    </row>
    <row r="784" spans="3:11">
      <c r="C784" s="145" t="s">
        <v>1229</v>
      </c>
      <c r="D784" s="81"/>
      <c r="E784" s="81"/>
      <c r="F784" s="81"/>
      <c r="G784" s="163"/>
      <c r="H784" s="154">
        <v>0</v>
      </c>
      <c r="K784" s="328"/>
    </row>
    <row r="785" spans="3:11">
      <c r="C785" s="123" t="s">
        <v>1230</v>
      </c>
      <c r="D785" s="70" t="s">
        <v>1231</v>
      </c>
      <c r="E785" s="71"/>
      <c r="F785" s="71"/>
      <c r="G785" s="72"/>
      <c r="H785" s="125">
        <f>H784+H782+H779</f>
        <v>56788.5</v>
      </c>
      <c r="K785" s="328"/>
    </row>
    <row r="786" spans="3:11">
      <c r="C786" s="123" t="s">
        <v>1232</v>
      </c>
      <c r="D786" s="70" t="s">
        <v>1410</v>
      </c>
      <c r="E786" s="71"/>
      <c r="F786" s="72"/>
      <c r="G786" s="96">
        <f>$M$7</f>
        <v>0.1</v>
      </c>
      <c r="H786" s="125">
        <f>H785*G786</f>
        <v>5678.85</v>
      </c>
      <c r="K786" s="328"/>
    </row>
    <row r="787" spans="3:11" ht="15.75" thickBot="1">
      <c r="C787" s="131" t="s">
        <v>1233</v>
      </c>
      <c r="D787" s="132" t="s">
        <v>1234</v>
      </c>
      <c r="E787" s="133"/>
      <c r="F787" s="133"/>
      <c r="G787" s="156"/>
      <c r="H787" s="135">
        <f>SUM(H785:H786)</f>
        <v>62467.35</v>
      </c>
      <c r="K787" s="328"/>
    </row>
    <row r="788" spans="3:11" ht="15.75" thickTop="1">
      <c r="C788" s="90"/>
      <c r="D788" s="91"/>
      <c r="E788" s="91"/>
      <c r="F788" s="91"/>
      <c r="G788" s="91"/>
      <c r="H788" s="92"/>
      <c r="K788" s="328"/>
    </row>
    <row r="789" spans="3:11" ht="15.75" thickBot="1">
      <c r="C789" s="224" t="s">
        <v>1683</v>
      </c>
      <c r="D789" s="226"/>
      <c r="E789" s="226"/>
      <c r="F789" s="226"/>
      <c r="G789" s="226"/>
      <c r="H789" s="226"/>
      <c r="I789" s="57">
        <f>ROUNDDOWN(H804,-2)</f>
        <v>45300</v>
      </c>
      <c r="K789" s="328"/>
    </row>
    <row r="790" spans="3:11" ht="29.25" thickTop="1">
      <c r="C790" s="120" t="s">
        <v>1207</v>
      </c>
      <c r="D790" s="121" t="s">
        <v>1208</v>
      </c>
      <c r="E790" s="121" t="s">
        <v>1209</v>
      </c>
      <c r="F790" s="121" t="s">
        <v>1210</v>
      </c>
      <c r="G790" s="121" t="s">
        <v>1211</v>
      </c>
      <c r="H790" s="122" t="s">
        <v>1212</v>
      </c>
      <c r="K790" s="328"/>
    </row>
    <row r="791" spans="3:11">
      <c r="C791" s="142" t="s">
        <v>1213</v>
      </c>
      <c r="D791" s="60" t="s">
        <v>1214</v>
      </c>
      <c r="E791" s="74"/>
      <c r="F791" s="74"/>
      <c r="G791" s="74"/>
      <c r="H791" s="147"/>
      <c r="K791" s="328"/>
    </row>
    <row r="792" spans="3:11">
      <c r="C792" s="143">
        <v>1</v>
      </c>
      <c r="D792" s="60" t="s">
        <v>5</v>
      </c>
      <c r="E792" s="73" t="s">
        <v>6</v>
      </c>
      <c r="F792" s="75">
        <v>1.4999999999999999E-2</v>
      </c>
      <c r="G792" s="65">
        <f>VLOOKUP(D792,upahbahan,3,FALSE)</f>
        <v>100000</v>
      </c>
      <c r="H792" s="125">
        <f t="shared" ref="H792:H795" si="88">F792*G792</f>
        <v>1500</v>
      </c>
      <c r="K792" s="328"/>
    </row>
    <row r="793" spans="3:11">
      <c r="C793" s="143">
        <v>2</v>
      </c>
      <c r="D793" s="60" t="s">
        <v>8</v>
      </c>
      <c r="E793" s="73" t="s">
        <v>6</v>
      </c>
      <c r="F793" s="75">
        <v>0.15</v>
      </c>
      <c r="G793" s="65">
        <f>VLOOKUP(D793,upahbahan,3,FALSE)</f>
        <v>145000</v>
      </c>
      <c r="H793" s="125">
        <f t="shared" si="88"/>
        <v>21750</v>
      </c>
      <c r="K793" s="328"/>
    </row>
    <row r="794" spans="3:11">
      <c r="C794" s="143">
        <v>3</v>
      </c>
      <c r="D794" s="60" t="s">
        <v>18</v>
      </c>
      <c r="E794" s="73" t="s">
        <v>6</v>
      </c>
      <c r="F794" s="75">
        <v>1.4999999999999999E-2</v>
      </c>
      <c r="G794" s="65">
        <f>VLOOKUP(D794,upahbahan,3,FALSE)</f>
        <v>150000</v>
      </c>
      <c r="H794" s="125">
        <f t="shared" si="88"/>
        <v>2250</v>
      </c>
      <c r="K794" s="328"/>
    </row>
    <row r="795" spans="3:11">
      <c r="C795" s="143">
        <v>4</v>
      </c>
      <c r="D795" s="60" t="s">
        <v>19</v>
      </c>
      <c r="E795" s="73" t="s">
        <v>6</v>
      </c>
      <c r="F795" s="75">
        <v>5.0000000000000001E-3</v>
      </c>
      <c r="G795" s="65">
        <f>VLOOKUP(D795,upahbahan,3,FALSE)</f>
        <v>145000</v>
      </c>
      <c r="H795" s="125">
        <f t="shared" si="88"/>
        <v>725</v>
      </c>
      <c r="K795" s="328"/>
    </row>
    <row r="796" spans="3:11">
      <c r="C796" s="145" t="s">
        <v>1220</v>
      </c>
      <c r="D796" s="81"/>
      <c r="E796" s="81"/>
      <c r="F796" s="220"/>
      <c r="G796" s="221"/>
      <c r="H796" s="125">
        <f>SUM(H792:H795)</f>
        <v>26225</v>
      </c>
      <c r="I796" s="222"/>
      <c r="K796" s="328"/>
    </row>
    <row r="797" spans="3:11">
      <c r="C797" s="142" t="s">
        <v>1221</v>
      </c>
      <c r="D797" s="60" t="s">
        <v>1222</v>
      </c>
      <c r="E797" s="74"/>
      <c r="F797" s="74"/>
      <c r="G797" s="74"/>
      <c r="H797" s="147"/>
      <c r="K797" s="328"/>
    </row>
    <row r="798" spans="3:11">
      <c r="C798" s="143">
        <v>1</v>
      </c>
      <c r="D798" s="60" t="s">
        <v>625</v>
      </c>
      <c r="E798" s="73" t="s">
        <v>44</v>
      </c>
      <c r="F798" s="75">
        <v>1</v>
      </c>
      <c r="G798" s="65">
        <f>VLOOKUP(D798,upahbahan,3,FALSE)</f>
        <v>15000</v>
      </c>
      <c r="H798" s="125">
        <f t="shared" ref="H798" si="89">F798*G798</f>
        <v>15000</v>
      </c>
      <c r="K798" s="328"/>
    </row>
    <row r="799" spans="3:11">
      <c r="C799" s="145" t="s">
        <v>1226</v>
      </c>
      <c r="D799" s="81"/>
      <c r="E799" s="81"/>
      <c r="F799" s="81"/>
      <c r="G799" s="163"/>
      <c r="H799" s="125">
        <f>SUM(H798)</f>
        <v>15000</v>
      </c>
      <c r="K799" s="328"/>
    </row>
    <row r="800" spans="3:11">
      <c r="C800" s="153" t="s">
        <v>1227</v>
      </c>
      <c r="D800" s="60" t="s">
        <v>1228</v>
      </c>
      <c r="E800" s="74"/>
      <c r="F800" s="74"/>
      <c r="G800" s="74"/>
      <c r="H800" s="147"/>
      <c r="K800" s="328"/>
    </row>
    <row r="801" spans="3:11">
      <c r="C801" s="145" t="s">
        <v>1229</v>
      </c>
      <c r="D801" s="81"/>
      <c r="E801" s="81"/>
      <c r="F801" s="81"/>
      <c r="G801" s="163"/>
      <c r="H801" s="154">
        <v>0</v>
      </c>
      <c r="K801" s="328"/>
    </row>
    <row r="802" spans="3:11">
      <c r="C802" s="123" t="s">
        <v>1230</v>
      </c>
      <c r="D802" s="70" t="s">
        <v>1231</v>
      </c>
      <c r="E802" s="71"/>
      <c r="F802" s="71"/>
      <c r="G802" s="72"/>
      <c r="H802" s="125">
        <f>H801+H799+H796</f>
        <v>41225</v>
      </c>
      <c r="K802" s="328"/>
    </row>
    <row r="803" spans="3:11">
      <c r="C803" s="123" t="s">
        <v>1232</v>
      </c>
      <c r="D803" s="70" t="s">
        <v>1410</v>
      </c>
      <c r="E803" s="71"/>
      <c r="F803" s="72"/>
      <c r="G803" s="96">
        <f>$M$7</f>
        <v>0.1</v>
      </c>
      <c r="H803" s="125">
        <f>H802*G803</f>
        <v>4122.5</v>
      </c>
      <c r="K803" s="328"/>
    </row>
    <row r="804" spans="3:11" ht="15.75" thickBot="1">
      <c r="C804" s="131" t="s">
        <v>1233</v>
      </c>
      <c r="D804" s="132" t="s">
        <v>1234</v>
      </c>
      <c r="E804" s="133"/>
      <c r="F804" s="133"/>
      <c r="G804" s="156"/>
      <c r="H804" s="135">
        <f>SUM(H802:H803)</f>
        <v>45347.5</v>
      </c>
      <c r="K804" s="328"/>
    </row>
    <row r="805" spans="3:11" ht="15.75" thickTop="1">
      <c r="C805" s="312"/>
      <c r="D805" s="312"/>
      <c r="E805" s="312"/>
      <c r="F805" s="312"/>
      <c r="G805" s="312"/>
      <c r="H805" s="312"/>
      <c r="K805" s="328"/>
    </row>
    <row r="806" spans="3:11" ht="15.75" thickBot="1">
      <c r="C806" s="224" t="s">
        <v>1684</v>
      </c>
      <c r="D806" s="226"/>
      <c r="E806" s="226"/>
      <c r="F806" s="226"/>
      <c r="G806" s="226"/>
      <c r="H806" s="226"/>
      <c r="I806" s="57">
        <f>ROUNDDOWN(H821,-2)</f>
        <v>208200</v>
      </c>
      <c r="K806" s="328"/>
    </row>
    <row r="807" spans="3:11" ht="29.25" thickTop="1">
      <c r="C807" s="120" t="s">
        <v>1207</v>
      </c>
      <c r="D807" s="121" t="s">
        <v>1208</v>
      </c>
      <c r="E807" s="121" t="s">
        <v>1209</v>
      </c>
      <c r="F807" s="121" t="s">
        <v>1210</v>
      </c>
      <c r="G807" s="121" t="s">
        <v>1211</v>
      </c>
      <c r="H807" s="122" t="s">
        <v>1212</v>
      </c>
      <c r="K807" s="328"/>
    </row>
    <row r="808" spans="3:11">
      <c r="C808" s="142" t="s">
        <v>1213</v>
      </c>
      <c r="D808" s="60" t="s">
        <v>1214</v>
      </c>
      <c r="E808" s="74"/>
      <c r="F808" s="74"/>
      <c r="G808" s="74"/>
      <c r="H808" s="147"/>
      <c r="K808" s="328"/>
    </row>
    <row r="809" spans="3:11">
      <c r="C809" s="143">
        <v>1</v>
      </c>
      <c r="D809" s="60" t="s">
        <v>5</v>
      </c>
      <c r="E809" s="73" t="s">
        <v>6</v>
      </c>
      <c r="F809" s="94">
        <v>2.2499999999999999E-2</v>
      </c>
      <c r="G809" s="65">
        <f>VLOOKUP(D809,upahbahan,3,FALSE)</f>
        <v>100000</v>
      </c>
      <c r="H809" s="125">
        <f t="shared" ref="H809:H812" si="90">F809*G809</f>
        <v>2250</v>
      </c>
      <c r="K809" s="328"/>
    </row>
    <row r="810" spans="3:11">
      <c r="C810" s="143">
        <v>2</v>
      </c>
      <c r="D810" s="60" t="s">
        <v>8</v>
      </c>
      <c r="E810" s="73" t="s">
        <v>6</v>
      </c>
      <c r="F810" s="94">
        <v>0.22500000000000001</v>
      </c>
      <c r="G810" s="65">
        <f>VLOOKUP(D810,upahbahan,3,FALSE)</f>
        <v>145000</v>
      </c>
      <c r="H810" s="125">
        <f t="shared" si="90"/>
        <v>32625</v>
      </c>
      <c r="K810" s="328"/>
    </row>
    <row r="811" spans="3:11">
      <c r="C811" s="143">
        <v>3</v>
      </c>
      <c r="D811" s="60" t="s">
        <v>18</v>
      </c>
      <c r="E811" s="73" t="s">
        <v>6</v>
      </c>
      <c r="F811" s="94">
        <v>2.2499999999999999E-2</v>
      </c>
      <c r="G811" s="65">
        <f>VLOOKUP(D811,upahbahan,3,FALSE)</f>
        <v>150000</v>
      </c>
      <c r="H811" s="125">
        <f t="shared" si="90"/>
        <v>3375</v>
      </c>
      <c r="K811" s="328"/>
    </row>
    <row r="812" spans="3:11">
      <c r="C812" s="143">
        <v>4</v>
      </c>
      <c r="D812" s="60" t="s">
        <v>19</v>
      </c>
      <c r="E812" s="73" t="s">
        <v>6</v>
      </c>
      <c r="F812" s="94">
        <v>7.4999999999999997E-3</v>
      </c>
      <c r="G812" s="65">
        <f>VLOOKUP(D812,upahbahan,3,FALSE)</f>
        <v>145000</v>
      </c>
      <c r="H812" s="125">
        <f t="shared" si="90"/>
        <v>1087.5</v>
      </c>
      <c r="K812" s="328"/>
    </row>
    <row r="813" spans="3:11">
      <c r="C813" s="145" t="s">
        <v>1220</v>
      </c>
      <c r="D813" s="81"/>
      <c r="E813" s="81"/>
      <c r="F813" s="220"/>
      <c r="G813" s="221"/>
      <c r="H813" s="125">
        <f>SUM(H809:H812)</f>
        <v>39337.5</v>
      </c>
      <c r="I813" s="222"/>
      <c r="K813" s="328"/>
    </row>
    <row r="814" spans="3:11">
      <c r="C814" s="142" t="s">
        <v>1221</v>
      </c>
      <c r="D814" s="60" t="s">
        <v>1222</v>
      </c>
      <c r="E814" s="74"/>
      <c r="F814" s="74"/>
      <c r="G814" s="74"/>
      <c r="H814" s="147"/>
      <c r="K814" s="328"/>
    </row>
    <row r="815" spans="3:11">
      <c r="C815" s="143">
        <v>1</v>
      </c>
      <c r="D815" s="60" t="s">
        <v>626</v>
      </c>
      <c r="E815" s="73" t="s">
        <v>44</v>
      </c>
      <c r="F815" s="75">
        <v>1</v>
      </c>
      <c r="G815" s="65">
        <f>VLOOKUP(D815,upahbahan,3,FALSE)</f>
        <v>150000</v>
      </c>
      <c r="H815" s="125">
        <f t="shared" ref="H815" si="91">F815*G815</f>
        <v>150000</v>
      </c>
      <c r="K815" s="328"/>
    </row>
    <row r="816" spans="3:11">
      <c r="C816" s="145" t="s">
        <v>1226</v>
      </c>
      <c r="D816" s="81"/>
      <c r="E816" s="81"/>
      <c r="F816" s="81"/>
      <c r="G816" s="163"/>
      <c r="H816" s="125">
        <f>SUM(H815)</f>
        <v>150000</v>
      </c>
      <c r="K816" s="328"/>
    </row>
    <row r="817" spans="3:11">
      <c r="C817" s="153" t="s">
        <v>1227</v>
      </c>
      <c r="D817" s="60" t="s">
        <v>1228</v>
      </c>
      <c r="E817" s="74"/>
      <c r="F817" s="74"/>
      <c r="G817" s="74"/>
      <c r="H817" s="147"/>
      <c r="K817" s="328"/>
    </row>
    <row r="818" spans="3:11">
      <c r="C818" s="145" t="s">
        <v>1229</v>
      </c>
      <c r="D818" s="81"/>
      <c r="E818" s="81"/>
      <c r="F818" s="81"/>
      <c r="G818" s="163"/>
      <c r="H818" s="154">
        <v>0</v>
      </c>
      <c r="K818" s="328"/>
    </row>
    <row r="819" spans="3:11">
      <c r="C819" s="123" t="s">
        <v>1230</v>
      </c>
      <c r="D819" s="70" t="s">
        <v>1231</v>
      </c>
      <c r="E819" s="71"/>
      <c r="F819" s="71"/>
      <c r="G819" s="72"/>
      <c r="H819" s="125">
        <f>H818+H816+H813</f>
        <v>189337.5</v>
      </c>
      <c r="K819" s="328"/>
    </row>
    <row r="820" spans="3:11">
      <c r="C820" s="123" t="s">
        <v>1232</v>
      </c>
      <c r="D820" s="70" t="s">
        <v>1410</v>
      </c>
      <c r="E820" s="71"/>
      <c r="F820" s="72"/>
      <c r="G820" s="96">
        <f>$M$7</f>
        <v>0.1</v>
      </c>
      <c r="H820" s="125">
        <f>H819*G820</f>
        <v>18933.75</v>
      </c>
      <c r="K820" s="328"/>
    </row>
    <row r="821" spans="3:11" ht="15.75" thickBot="1">
      <c r="C821" s="131" t="s">
        <v>1233</v>
      </c>
      <c r="D821" s="132" t="s">
        <v>1234</v>
      </c>
      <c r="E821" s="133"/>
      <c r="F821" s="133"/>
      <c r="G821" s="156"/>
      <c r="H821" s="135">
        <f>SUM(H819:H820)</f>
        <v>208271.25</v>
      </c>
      <c r="K821" s="328"/>
    </row>
    <row r="822" spans="3:11" ht="15.75" thickTop="1">
      <c r="C822" s="312"/>
      <c r="D822" s="312"/>
      <c r="E822" s="312"/>
      <c r="F822" s="312"/>
      <c r="G822" s="312"/>
      <c r="H822" s="312"/>
    </row>
  </sheetData>
  <mergeCells count="6">
    <mergeCell ref="C426:H426"/>
    <mergeCell ref="C241:H241"/>
    <mergeCell ref="C258:H258"/>
    <mergeCell ref="C369:H369"/>
    <mergeCell ref="C388:H388"/>
    <mergeCell ref="C407:H40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E46E-230D-442D-A9CC-73B811398E8A}">
  <dimension ref="C1:M255"/>
  <sheetViews>
    <sheetView workbookViewId="0">
      <selection activeCell="C3" sqref="C3:I259"/>
    </sheetView>
    <sheetView workbookViewId="1"/>
  </sheetViews>
  <sheetFormatPr defaultColWidth="8.85546875" defaultRowHeight="15"/>
  <cols>
    <col min="1" max="2" width="3.5703125" style="56" customWidth="1"/>
    <col min="3" max="3" width="5.42578125" style="63" customWidth="1"/>
    <col min="4" max="4" width="36.7109375" style="63" customWidth="1"/>
    <col min="5" max="5" width="5.7109375" style="63" customWidth="1"/>
    <col min="6" max="6" width="10.7109375" style="63" customWidth="1"/>
    <col min="7" max="7" width="14.7109375" style="63" customWidth="1"/>
    <col min="8" max="8" width="16.7109375" style="63" customWidth="1"/>
    <col min="9" max="9" width="16.7109375" style="55" customWidth="1"/>
    <col min="10" max="10" width="13.85546875" style="160" bestFit="1" customWidth="1"/>
    <col min="11" max="11" width="14.140625" style="56" bestFit="1" customWidth="1"/>
    <col min="12" max="16384" width="8.85546875" style="56"/>
  </cols>
  <sheetData>
    <row r="1" spans="3:13" ht="10.9" customHeight="1"/>
    <row r="2" spans="3:13" ht="10.9" customHeight="1"/>
    <row r="3" spans="3:13">
      <c r="C3" s="331" t="str">
        <f>'[1]Daftar HSP'!A410</f>
        <v>N</v>
      </c>
      <c r="D3" s="238" t="str">
        <f>'[1]Daftar HSP'!B410</f>
        <v>PEKERJAAN KACA</v>
      </c>
      <c r="E3" s="332"/>
      <c r="F3" s="332"/>
      <c r="G3" s="332"/>
      <c r="H3" s="332"/>
    </row>
    <row r="4" spans="3:13" ht="15.75" thickBot="1">
      <c r="C4" s="224" t="s">
        <v>1685</v>
      </c>
      <c r="D4" s="226"/>
      <c r="E4" s="226"/>
      <c r="F4" s="226"/>
      <c r="G4" s="226"/>
      <c r="H4" s="226"/>
      <c r="I4" s="57">
        <f>ROUNDDOWN(H19,-2)</f>
        <v>573900</v>
      </c>
      <c r="K4" s="328"/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</row>
    <row r="6" spans="3:13">
      <c r="C6" s="334" t="s">
        <v>1213</v>
      </c>
      <c r="D6" s="60" t="s">
        <v>1214</v>
      </c>
      <c r="E6" s="74"/>
      <c r="F6" s="74"/>
      <c r="G6" s="74"/>
      <c r="H6" s="147"/>
      <c r="J6" s="160" t="s">
        <v>1265</v>
      </c>
    </row>
    <row r="7" spans="3:13">
      <c r="C7" s="335">
        <v>1</v>
      </c>
      <c r="D7" s="60" t="s">
        <v>5</v>
      </c>
      <c r="E7" s="73" t="s">
        <v>6</v>
      </c>
      <c r="F7" s="94">
        <v>0.08</v>
      </c>
      <c r="G7" s="65">
        <f>VLOOKUP(D7,upahbahan,3,FALSE)</f>
        <v>100000</v>
      </c>
      <c r="H7" s="125">
        <f t="shared" ref="H7:H10" si="0">F7*G7</f>
        <v>8000</v>
      </c>
      <c r="J7" s="160" t="s">
        <v>1266</v>
      </c>
      <c r="M7" s="66">
        <v>0.1</v>
      </c>
    </row>
    <row r="8" spans="3:13">
      <c r="C8" s="335">
        <v>2</v>
      </c>
      <c r="D8" s="60" t="s">
        <v>14</v>
      </c>
      <c r="E8" s="73" t="s">
        <v>6</v>
      </c>
      <c r="F8" s="94">
        <v>0.8</v>
      </c>
      <c r="G8" s="65">
        <f>VLOOKUP(D8,upahbahan,3,FALSE)</f>
        <v>145000</v>
      </c>
      <c r="H8" s="125">
        <f t="shared" si="0"/>
        <v>116000</v>
      </c>
    </row>
    <row r="9" spans="3:13">
      <c r="C9" s="335">
        <v>3</v>
      </c>
      <c r="D9" s="60" t="s">
        <v>18</v>
      </c>
      <c r="E9" s="73" t="s">
        <v>6</v>
      </c>
      <c r="F9" s="94">
        <v>0.08</v>
      </c>
      <c r="G9" s="65">
        <f>VLOOKUP(D9,upahbahan,3,FALSE)</f>
        <v>150000</v>
      </c>
      <c r="H9" s="125">
        <f t="shared" si="0"/>
        <v>12000</v>
      </c>
    </row>
    <row r="10" spans="3:13">
      <c r="C10" s="335">
        <v>4</v>
      </c>
      <c r="D10" s="60" t="s">
        <v>19</v>
      </c>
      <c r="E10" s="73" t="s">
        <v>6</v>
      </c>
      <c r="F10" s="94">
        <v>2.6700000000000002E-2</v>
      </c>
      <c r="G10" s="65">
        <f>VLOOKUP(D10,upahbahan,3,FALSE)</f>
        <v>145000</v>
      </c>
      <c r="H10" s="125">
        <f t="shared" si="0"/>
        <v>3871.5</v>
      </c>
    </row>
    <row r="11" spans="3:13">
      <c r="C11" s="145" t="s">
        <v>1220</v>
      </c>
      <c r="D11" s="81"/>
      <c r="E11" s="81"/>
      <c r="F11" s="220"/>
      <c r="G11" s="221"/>
      <c r="H11" s="125">
        <f>SUM(H7:H10)</f>
        <v>139871.5</v>
      </c>
      <c r="I11" s="222"/>
    </row>
    <row r="12" spans="3:13">
      <c r="C12" s="334" t="s">
        <v>1221</v>
      </c>
      <c r="D12" s="60" t="s">
        <v>1222</v>
      </c>
      <c r="E12" s="74"/>
      <c r="F12" s="74"/>
      <c r="G12" s="74"/>
      <c r="H12" s="147"/>
    </row>
    <row r="13" spans="3:13">
      <c r="C13" s="335">
        <v>1</v>
      </c>
      <c r="D13" s="60" t="s">
        <v>835</v>
      </c>
      <c r="E13" s="73" t="s">
        <v>63</v>
      </c>
      <c r="F13" s="75">
        <v>1</v>
      </c>
      <c r="G13" s="65">
        <f>VLOOKUP(D13,upahbahan,3,FALSE)</f>
        <v>381900</v>
      </c>
      <c r="H13" s="125">
        <f t="shared" ref="H13" si="1">F13*G13</f>
        <v>381900</v>
      </c>
    </row>
    <row r="14" spans="3:13">
      <c r="C14" s="145" t="s">
        <v>1226</v>
      </c>
      <c r="D14" s="81"/>
      <c r="E14" s="81"/>
      <c r="F14" s="81"/>
      <c r="G14" s="163"/>
      <c r="H14" s="125">
        <f>SUM(H12:H13)</f>
        <v>381900</v>
      </c>
    </row>
    <row r="15" spans="3:13">
      <c r="C15" s="153" t="s">
        <v>1227</v>
      </c>
      <c r="D15" s="60" t="s">
        <v>1228</v>
      </c>
      <c r="E15" s="74"/>
      <c r="F15" s="74"/>
      <c r="G15" s="74"/>
      <c r="H15" s="147"/>
    </row>
    <row r="16" spans="3:13">
      <c r="C16" s="145" t="s">
        <v>1229</v>
      </c>
      <c r="D16" s="81"/>
      <c r="E16" s="81"/>
      <c r="F16" s="81"/>
      <c r="G16" s="163"/>
      <c r="H16" s="154">
        <v>0</v>
      </c>
    </row>
    <row r="17" spans="3:11">
      <c r="C17" s="123" t="s">
        <v>1230</v>
      </c>
      <c r="D17" s="70" t="s">
        <v>1231</v>
      </c>
      <c r="E17" s="71"/>
      <c r="F17" s="71"/>
      <c r="G17" s="72"/>
      <c r="H17" s="125">
        <f>H16+H14+H11</f>
        <v>521771.5</v>
      </c>
    </row>
    <row r="18" spans="3:11">
      <c r="C18" s="123" t="s">
        <v>1232</v>
      </c>
      <c r="D18" s="70" t="s">
        <v>1410</v>
      </c>
      <c r="E18" s="71"/>
      <c r="F18" s="72"/>
      <c r="G18" s="96">
        <f>$M$7</f>
        <v>0.1</v>
      </c>
      <c r="H18" s="125">
        <f>H17*G18</f>
        <v>52177.15</v>
      </c>
    </row>
    <row r="19" spans="3:11" ht="15.75" thickBot="1">
      <c r="C19" s="131" t="s">
        <v>1233</v>
      </c>
      <c r="D19" s="132" t="s">
        <v>1234</v>
      </c>
      <c r="E19" s="133"/>
      <c r="F19" s="133"/>
      <c r="G19" s="156"/>
      <c r="H19" s="135">
        <f>SUM(H17:H18)</f>
        <v>573948.65</v>
      </c>
    </row>
    <row r="20" spans="3:11" ht="15.75" thickTop="1"/>
    <row r="21" spans="3:11" ht="15.75" thickBot="1">
      <c r="C21" s="224" t="s">
        <v>1686</v>
      </c>
      <c r="D21" s="225"/>
      <c r="E21" s="225"/>
      <c r="F21" s="225"/>
      <c r="G21" s="225"/>
      <c r="H21" s="225"/>
      <c r="I21" s="57">
        <f>ROUNDDOWN(H37,-2)</f>
        <v>175800</v>
      </c>
      <c r="K21" s="328"/>
    </row>
    <row r="22" spans="3:11" ht="29.25" thickTop="1">
      <c r="C22" s="120" t="s">
        <v>1207</v>
      </c>
      <c r="D22" s="121" t="s">
        <v>1208</v>
      </c>
      <c r="E22" s="121" t="s">
        <v>1209</v>
      </c>
      <c r="F22" s="121" t="s">
        <v>1210</v>
      </c>
      <c r="G22" s="121" t="s">
        <v>1211</v>
      </c>
      <c r="H22" s="122" t="s">
        <v>1212</v>
      </c>
      <c r="K22" s="328"/>
    </row>
    <row r="23" spans="3:11">
      <c r="C23" s="142" t="s">
        <v>1213</v>
      </c>
      <c r="D23" s="60" t="s">
        <v>1214</v>
      </c>
      <c r="E23" s="74"/>
      <c r="F23" s="74"/>
      <c r="G23" s="74"/>
      <c r="H23" s="147"/>
      <c r="K23" s="328"/>
    </row>
    <row r="24" spans="3:11">
      <c r="C24" s="143">
        <v>1</v>
      </c>
      <c r="D24" s="60" t="s">
        <v>5</v>
      </c>
      <c r="E24" s="73" t="s">
        <v>6</v>
      </c>
      <c r="F24" s="75">
        <v>1.4999999999999999E-2</v>
      </c>
      <c r="G24" s="65">
        <f>VLOOKUP(D24,upahbahan,3,FALSE)</f>
        <v>100000</v>
      </c>
      <c r="H24" s="125">
        <f t="shared" ref="H24:H27" si="2">F24*G24</f>
        <v>1500</v>
      </c>
      <c r="K24" s="328"/>
    </row>
    <row r="25" spans="3:11">
      <c r="C25" s="143">
        <v>2</v>
      </c>
      <c r="D25" s="60" t="s">
        <v>8</v>
      </c>
      <c r="E25" s="73" t="s">
        <v>6</v>
      </c>
      <c r="F25" s="75">
        <v>0.15</v>
      </c>
      <c r="G25" s="65">
        <f>VLOOKUP(D25,upahbahan,3,FALSE)</f>
        <v>145000</v>
      </c>
      <c r="H25" s="125">
        <f t="shared" si="2"/>
        <v>21750</v>
      </c>
      <c r="K25" s="328"/>
    </row>
    <row r="26" spans="3:11">
      <c r="C26" s="143">
        <v>3</v>
      </c>
      <c r="D26" s="60" t="s">
        <v>18</v>
      </c>
      <c r="E26" s="73" t="s">
        <v>6</v>
      </c>
      <c r="F26" s="75">
        <v>1.4999999999999999E-2</v>
      </c>
      <c r="G26" s="65">
        <f>VLOOKUP(D26,upahbahan,3,FALSE)</f>
        <v>150000</v>
      </c>
      <c r="H26" s="125">
        <f t="shared" si="2"/>
        <v>2250</v>
      </c>
      <c r="K26" s="328"/>
    </row>
    <row r="27" spans="3:11">
      <c r="C27" s="143">
        <v>4</v>
      </c>
      <c r="D27" s="60" t="s">
        <v>19</v>
      </c>
      <c r="E27" s="73" t="s">
        <v>6</v>
      </c>
      <c r="F27" s="75">
        <v>5.0000000000000001E-3</v>
      </c>
      <c r="G27" s="65">
        <f>VLOOKUP(D27,upahbahan,3,FALSE)</f>
        <v>145000</v>
      </c>
      <c r="H27" s="125">
        <f t="shared" si="2"/>
        <v>725</v>
      </c>
      <c r="K27" s="328"/>
    </row>
    <row r="28" spans="3:11">
      <c r="C28" s="145" t="s">
        <v>1220</v>
      </c>
      <c r="D28" s="81"/>
      <c r="E28" s="81"/>
      <c r="F28" s="220"/>
      <c r="G28" s="221"/>
      <c r="H28" s="125">
        <f>SUM(H24:H27)</f>
        <v>26225</v>
      </c>
      <c r="I28" s="222"/>
      <c r="K28" s="328"/>
    </row>
    <row r="29" spans="3:11">
      <c r="C29" s="142" t="s">
        <v>1221</v>
      </c>
      <c r="D29" s="60" t="s">
        <v>1222</v>
      </c>
      <c r="E29" s="74"/>
      <c r="F29" s="74"/>
      <c r="G29" s="74"/>
      <c r="H29" s="147"/>
      <c r="K29" s="328"/>
    </row>
    <row r="30" spans="3:11">
      <c r="C30" s="143">
        <v>1</v>
      </c>
      <c r="D30" s="60" t="s">
        <v>659</v>
      </c>
      <c r="E30" s="73" t="s">
        <v>63</v>
      </c>
      <c r="F30" s="230">
        <v>1.1000000000000001</v>
      </c>
      <c r="G30" s="65">
        <f>VLOOKUP(D30,upahbahan,3,FALSE)</f>
        <v>120000</v>
      </c>
      <c r="H30" s="125">
        <f t="shared" ref="H30:H31" si="3">F30*G30</f>
        <v>132000</v>
      </c>
      <c r="K30" s="328"/>
    </row>
    <row r="31" spans="3:11">
      <c r="C31" s="143">
        <v>2</v>
      </c>
      <c r="D31" s="60" t="s">
        <v>1057</v>
      </c>
      <c r="E31" s="73" t="s">
        <v>1058</v>
      </c>
      <c r="F31" s="230">
        <v>0.05</v>
      </c>
      <c r="G31" s="65">
        <f>VLOOKUP(D31,upahbahan,3,FALSE)</f>
        <v>33100</v>
      </c>
      <c r="H31" s="125">
        <f t="shared" si="3"/>
        <v>1655</v>
      </c>
      <c r="K31" s="328"/>
    </row>
    <row r="32" spans="3:11">
      <c r="C32" s="145" t="s">
        <v>1226</v>
      </c>
      <c r="D32" s="81"/>
      <c r="E32" s="81"/>
      <c r="F32" s="81"/>
      <c r="G32" s="163"/>
      <c r="H32" s="125">
        <f>SUM(H30:H31)</f>
        <v>133655</v>
      </c>
      <c r="K32" s="328"/>
    </row>
    <row r="33" spans="3:11">
      <c r="C33" s="153" t="s">
        <v>1227</v>
      </c>
      <c r="D33" s="60" t="s">
        <v>1228</v>
      </c>
      <c r="E33" s="74"/>
      <c r="F33" s="74"/>
      <c r="G33" s="74"/>
      <c r="H33" s="147"/>
      <c r="K33" s="328"/>
    </row>
    <row r="34" spans="3:11">
      <c r="C34" s="145" t="s">
        <v>1229</v>
      </c>
      <c r="D34" s="81"/>
      <c r="E34" s="81"/>
      <c r="F34" s="81"/>
      <c r="G34" s="163"/>
      <c r="H34" s="154">
        <v>0</v>
      </c>
      <c r="K34" s="328"/>
    </row>
    <row r="35" spans="3:11">
      <c r="C35" s="123" t="s">
        <v>1230</v>
      </c>
      <c r="D35" s="70" t="s">
        <v>1231</v>
      </c>
      <c r="E35" s="71"/>
      <c r="F35" s="71"/>
      <c r="G35" s="72"/>
      <c r="H35" s="125">
        <f>H34+H32+H28</f>
        <v>159880</v>
      </c>
      <c r="K35" s="328"/>
    </row>
    <row r="36" spans="3:11">
      <c r="C36" s="123" t="s">
        <v>1232</v>
      </c>
      <c r="D36" s="70" t="s">
        <v>1410</v>
      </c>
      <c r="E36" s="71"/>
      <c r="F36" s="72"/>
      <c r="G36" s="96">
        <f>$M$7</f>
        <v>0.1</v>
      </c>
      <c r="H36" s="125">
        <f>H35*G36</f>
        <v>15988</v>
      </c>
      <c r="K36" s="328"/>
    </row>
    <row r="37" spans="3:11" ht="15.75" thickBot="1">
      <c r="C37" s="131" t="s">
        <v>1233</v>
      </c>
      <c r="D37" s="132" t="s">
        <v>1234</v>
      </c>
      <c r="E37" s="133"/>
      <c r="F37" s="133"/>
      <c r="G37" s="156"/>
      <c r="H37" s="135">
        <f>SUM(H35:H36)</f>
        <v>175868</v>
      </c>
      <c r="K37" s="328"/>
    </row>
    <row r="38" spans="3:11" ht="15.75" thickTop="1">
      <c r="K38" s="328"/>
    </row>
    <row r="39" spans="3:11" ht="15.75" thickBot="1">
      <c r="C39" s="224" t="s">
        <v>1687</v>
      </c>
      <c r="D39" s="225"/>
      <c r="E39" s="225"/>
      <c r="F39" s="225"/>
      <c r="G39" s="225"/>
      <c r="H39" s="225"/>
      <c r="I39" s="57">
        <f>ROUNDDOWN(H55,-2)</f>
        <v>270200</v>
      </c>
      <c r="K39" s="328"/>
    </row>
    <row r="40" spans="3:11" ht="29.25" thickTop="1">
      <c r="C40" s="120" t="s">
        <v>1207</v>
      </c>
      <c r="D40" s="121" t="s">
        <v>1208</v>
      </c>
      <c r="E40" s="121" t="s">
        <v>1209</v>
      </c>
      <c r="F40" s="121" t="s">
        <v>1210</v>
      </c>
      <c r="G40" s="121" t="s">
        <v>1211</v>
      </c>
      <c r="H40" s="122" t="s">
        <v>1212</v>
      </c>
      <c r="K40" s="328"/>
    </row>
    <row r="41" spans="3:11">
      <c r="C41" s="142" t="s">
        <v>1213</v>
      </c>
      <c r="D41" s="60" t="s">
        <v>1214</v>
      </c>
      <c r="E41" s="74"/>
      <c r="F41" s="74"/>
      <c r="G41" s="74"/>
      <c r="H41" s="147"/>
      <c r="K41" s="328"/>
    </row>
    <row r="42" spans="3:11">
      <c r="C42" s="143">
        <v>1</v>
      </c>
      <c r="D42" s="60" t="s">
        <v>5</v>
      </c>
      <c r="E42" s="73" t="s">
        <v>6</v>
      </c>
      <c r="F42" s="75">
        <v>1.4999999999999999E-2</v>
      </c>
      <c r="G42" s="65">
        <f>VLOOKUP(D42,upahbahan,3,FALSE)</f>
        <v>100000</v>
      </c>
      <c r="H42" s="125">
        <f t="shared" ref="H42:H45" si="4">F42*G42</f>
        <v>1500</v>
      </c>
      <c r="K42" s="328"/>
    </row>
    <row r="43" spans="3:11">
      <c r="C43" s="143">
        <v>2</v>
      </c>
      <c r="D43" s="60" t="s">
        <v>8</v>
      </c>
      <c r="E43" s="73" t="s">
        <v>6</v>
      </c>
      <c r="F43" s="75">
        <v>0.15</v>
      </c>
      <c r="G43" s="65">
        <f>VLOOKUP(D43,upahbahan,3,FALSE)</f>
        <v>145000</v>
      </c>
      <c r="H43" s="125">
        <f t="shared" si="4"/>
        <v>21750</v>
      </c>
      <c r="K43" s="328"/>
    </row>
    <row r="44" spans="3:11">
      <c r="C44" s="143">
        <v>3</v>
      </c>
      <c r="D44" s="60" t="s">
        <v>18</v>
      </c>
      <c r="E44" s="73" t="s">
        <v>6</v>
      </c>
      <c r="F44" s="75">
        <v>1.4999999999999999E-2</v>
      </c>
      <c r="G44" s="65">
        <f>VLOOKUP(D44,upahbahan,3,FALSE)</f>
        <v>150000</v>
      </c>
      <c r="H44" s="125">
        <f t="shared" si="4"/>
        <v>2250</v>
      </c>
      <c r="K44" s="328"/>
    </row>
    <row r="45" spans="3:11">
      <c r="C45" s="143">
        <v>4</v>
      </c>
      <c r="D45" s="60" t="s">
        <v>19</v>
      </c>
      <c r="E45" s="73" t="s">
        <v>6</v>
      </c>
      <c r="F45" s="75">
        <v>5.0000000000000001E-3</v>
      </c>
      <c r="G45" s="65">
        <f>VLOOKUP(D45,upahbahan,3,FALSE)</f>
        <v>145000</v>
      </c>
      <c r="H45" s="125">
        <f t="shared" si="4"/>
        <v>725</v>
      </c>
      <c r="K45" s="328"/>
    </row>
    <row r="46" spans="3:11">
      <c r="C46" s="145" t="s">
        <v>1220</v>
      </c>
      <c r="D46" s="81"/>
      <c r="E46" s="81"/>
      <c r="F46" s="220"/>
      <c r="G46" s="221"/>
      <c r="H46" s="125">
        <f>SUM(H42:H45)</f>
        <v>26225</v>
      </c>
      <c r="I46" s="222"/>
      <c r="K46" s="328"/>
    </row>
    <row r="47" spans="3:11">
      <c r="C47" s="142" t="s">
        <v>1221</v>
      </c>
      <c r="D47" s="60" t="s">
        <v>1222</v>
      </c>
      <c r="E47" s="74"/>
      <c r="F47" s="74"/>
      <c r="G47" s="74"/>
      <c r="H47" s="147"/>
      <c r="K47" s="328"/>
    </row>
    <row r="48" spans="3:11">
      <c r="C48" s="143">
        <v>1</v>
      </c>
      <c r="D48" s="60" t="s">
        <v>660</v>
      </c>
      <c r="E48" s="73" t="s">
        <v>63</v>
      </c>
      <c r="F48" s="230">
        <v>1.1000000000000001</v>
      </c>
      <c r="G48" s="65">
        <f>VLOOKUP(D48,upahbahan,3,FALSE)</f>
        <v>198000</v>
      </c>
      <c r="H48" s="125">
        <f t="shared" ref="H48:H49" si="5">F48*G48</f>
        <v>217800.00000000003</v>
      </c>
      <c r="K48" s="328"/>
    </row>
    <row r="49" spans="3:11">
      <c r="C49" s="143">
        <v>2</v>
      </c>
      <c r="D49" s="60" t="s">
        <v>1057</v>
      </c>
      <c r="E49" s="73" t="s">
        <v>1058</v>
      </c>
      <c r="F49" s="230">
        <v>0.05</v>
      </c>
      <c r="G49" s="65">
        <f>VLOOKUP(D49,upahbahan,3,FALSE)</f>
        <v>33100</v>
      </c>
      <c r="H49" s="125">
        <f t="shared" si="5"/>
        <v>1655</v>
      </c>
      <c r="K49" s="328"/>
    </row>
    <row r="50" spans="3:11">
      <c r="C50" s="145" t="s">
        <v>1226</v>
      </c>
      <c r="D50" s="81"/>
      <c r="E50" s="81"/>
      <c r="F50" s="81"/>
      <c r="G50" s="163"/>
      <c r="H50" s="125">
        <f>SUM(H48:H49)</f>
        <v>219455.00000000003</v>
      </c>
      <c r="K50" s="328"/>
    </row>
    <row r="51" spans="3:11">
      <c r="C51" s="153" t="s">
        <v>1227</v>
      </c>
      <c r="D51" s="60" t="s">
        <v>1228</v>
      </c>
      <c r="E51" s="74"/>
      <c r="F51" s="74"/>
      <c r="G51" s="74"/>
      <c r="H51" s="147"/>
      <c r="K51" s="328"/>
    </row>
    <row r="52" spans="3:11">
      <c r="C52" s="145" t="s">
        <v>1229</v>
      </c>
      <c r="D52" s="81"/>
      <c r="E52" s="81"/>
      <c r="F52" s="81"/>
      <c r="G52" s="163"/>
      <c r="H52" s="154">
        <v>0</v>
      </c>
      <c r="K52" s="328"/>
    </row>
    <row r="53" spans="3:11">
      <c r="C53" s="123" t="s">
        <v>1230</v>
      </c>
      <c r="D53" s="70" t="s">
        <v>1231</v>
      </c>
      <c r="E53" s="71"/>
      <c r="F53" s="71"/>
      <c r="G53" s="72"/>
      <c r="H53" s="125">
        <f>H52+H50+H46</f>
        <v>245680.00000000003</v>
      </c>
      <c r="K53" s="328"/>
    </row>
    <row r="54" spans="3:11">
      <c r="C54" s="123" t="s">
        <v>1232</v>
      </c>
      <c r="D54" s="70" t="s">
        <v>1410</v>
      </c>
      <c r="E54" s="71"/>
      <c r="F54" s="72"/>
      <c r="G54" s="96">
        <f>$M$7</f>
        <v>0.1</v>
      </c>
      <c r="H54" s="125">
        <f>H53*G54</f>
        <v>24568.000000000004</v>
      </c>
      <c r="K54" s="328"/>
    </row>
    <row r="55" spans="3:11" ht="15.75" thickBot="1">
      <c r="C55" s="131" t="s">
        <v>1233</v>
      </c>
      <c r="D55" s="132" t="s">
        <v>1234</v>
      </c>
      <c r="E55" s="133"/>
      <c r="F55" s="133"/>
      <c r="G55" s="156"/>
      <c r="H55" s="135">
        <f>SUM(H53:H54)</f>
        <v>270248.00000000006</v>
      </c>
      <c r="K55" s="328"/>
    </row>
    <row r="56" spans="3:11" ht="15.75" thickTop="1">
      <c r="C56" s="90"/>
      <c r="D56" s="91"/>
      <c r="E56" s="91"/>
      <c r="F56" s="91"/>
      <c r="G56" s="91"/>
      <c r="H56" s="92"/>
      <c r="K56" s="328"/>
    </row>
    <row r="57" spans="3:11" ht="15.75" thickBot="1">
      <c r="C57" s="224" t="s">
        <v>1688</v>
      </c>
      <c r="D57" s="225"/>
      <c r="E57" s="225"/>
      <c r="F57" s="225"/>
      <c r="G57" s="225"/>
      <c r="H57" s="225"/>
      <c r="I57" s="57">
        <f>ROUNDDOWN(H73,-2)</f>
        <v>319300</v>
      </c>
      <c r="K57" s="328"/>
    </row>
    <row r="58" spans="3:11" ht="29.25" thickTop="1">
      <c r="C58" s="120" t="s">
        <v>1207</v>
      </c>
      <c r="D58" s="121" t="s">
        <v>1208</v>
      </c>
      <c r="E58" s="121" t="s">
        <v>1209</v>
      </c>
      <c r="F58" s="121" t="s">
        <v>1210</v>
      </c>
      <c r="G58" s="121" t="s">
        <v>1211</v>
      </c>
      <c r="H58" s="122" t="s">
        <v>1212</v>
      </c>
      <c r="K58" s="328"/>
    </row>
    <row r="59" spans="3:11">
      <c r="C59" s="142" t="s">
        <v>1213</v>
      </c>
      <c r="D59" s="60" t="s">
        <v>1214</v>
      </c>
      <c r="E59" s="74"/>
      <c r="F59" s="74"/>
      <c r="G59" s="74"/>
      <c r="H59" s="147"/>
      <c r="K59" s="328"/>
    </row>
    <row r="60" spans="3:11">
      <c r="C60" s="143">
        <v>1</v>
      </c>
      <c r="D60" s="60" t="s">
        <v>5</v>
      </c>
      <c r="E60" s="73" t="s">
        <v>6</v>
      </c>
      <c r="F60" s="94">
        <v>1.6E-2</v>
      </c>
      <c r="G60" s="65">
        <f>VLOOKUP(D60,upahbahan,3,FALSE)</f>
        <v>100000</v>
      </c>
      <c r="H60" s="125">
        <f t="shared" ref="H60:H63" si="6">F60*G60</f>
        <v>1600</v>
      </c>
      <c r="K60" s="328"/>
    </row>
    <row r="61" spans="3:11">
      <c r="C61" s="143">
        <v>2</v>
      </c>
      <c r="D61" s="60" t="s">
        <v>8</v>
      </c>
      <c r="E61" s="73" t="s">
        <v>6</v>
      </c>
      <c r="F61" s="94">
        <v>0.16</v>
      </c>
      <c r="G61" s="65">
        <f>VLOOKUP(D61,upahbahan,3,FALSE)</f>
        <v>145000</v>
      </c>
      <c r="H61" s="125">
        <f t="shared" si="6"/>
        <v>23200</v>
      </c>
      <c r="K61" s="328"/>
    </row>
    <row r="62" spans="3:11">
      <c r="C62" s="143">
        <v>3</v>
      </c>
      <c r="D62" s="60" t="s">
        <v>18</v>
      </c>
      <c r="E62" s="73" t="s">
        <v>6</v>
      </c>
      <c r="F62" s="94">
        <v>1.6E-2</v>
      </c>
      <c r="G62" s="65">
        <f>VLOOKUP(D62,upahbahan,3,FALSE)</f>
        <v>150000</v>
      </c>
      <c r="H62" s="125">
        <f t="shared" si="6"/>
        <v>2400</v>
      </c>
      <c r="K62" s="328"/>
    </row>
    <row r="63" spans="3:11">
      <c r="C63" s="143">
        <v>4</v>
      </c>
      <c r="D63" s="60" t="s">
        <v>19</v>
      </c>
      <c r="E63" s="73" t="s">
        <v>6</v>
      </c>
      <c r="F63" s="94">
        <v>5.3E-3</v>
      </c>
      <c r="G63" s="65">
        <f>VLOOKUP(D63,upahbahan,3,FALSE)</f>
        <v>145000</v>
      </c>
      <c r="H63" s="125">
        <f t="shared" si="6"/>
        <v>768.5</v>
      </c>
      <c r="K63" s="328"/>
    </row>
    <row r="64" spans="3:11">
      <c r="C64" s="145" t="s">
        <v>1220</v>
      </c>
      <c r="D64" s="81"/>
      <c r="E64" s="81"/>
      <c r="F64" s="220"/>
      <c r="G64" s="221"/>
      <c r="H64" s="125">
        <f>SUM(H60:H63)</f>
        <v>27968.5</v>
      </c>
      <c r="I64" s="222"/>
      <c r="K64" s="328"/>
    </row>
    <row r="65" spans="3:11">
      <c r="C65" s="142" t="s">
        <v>1221</v>
      </c>
      <c r="D65" s="60" t="s">
        <v>1222</v>
      </c>
      <c r="E65" s="74"/>
      <c r="F65" s="74"/>
      <c r="G65" s="74"/>
      <c r="H65" s="147"/>
      <c r="K65" s="328"/>
    </row>
    <row r="66" spans="3:11">
      <c r="C66" s="143">
        <v>1</v>
      </c>
      <c r="D66" s="60" t="s">
        <v>661</v>
      </c>
      <c r="E66" s="73" t="s">
        <v>63</v>
      </c>
      <c r="F66" s="230">
        <v>1.1000000000000001</v>
      </c>
      <c r="G66" s="65">
        <f>VLOOKUP(D66,upahbahan,3,FALSE)</f>
        <v>237000</v>
      </c>
      <c r="H66" s="125">
        <f t="shared" ref="H66:H67" si="7">F66*G66</f>
        <v>260700.00000000003</v>
      </c>
      <c r="K66" s="328"/>
    </row>
    <row r="67" spans="3:11">
      <c r="C67" s="143">
        <v>2</v>
      </c>
      <c r="D67" s="60" t="s">
        <v>1057</v>
      </c>
      <c r="E67" s="73" t="s">
        <v>1058</v>
      </c>
      <c r="F67" s="230">
        <v>0.05</v>
      </c>
      <c r="G67" s="65">
        <f>VLOOKUP(D67,upahbahan,3,FALSE)</f>
        <v>33100</v>
      </c>
      <c r="H67" s="125">
        <f t="shared" si="7"/>
        <v>1655</v>
      </c>
      <c r="K67" s="328"/>
    </row>
    <row r="68" spans="3:11">
      <c r="C68" s="145" t="s">
        <v>1226</v>
      </c>
      <c r="D68" s="81"/>
      <c r="E68" s="81"/>
      <c r="F68" s="81"/>
      <c r="G68" s="163"/>
      <c r="H68" s="125">
        <f>SUM(H66:H67)</f>
        <v>262355</v>
      </c>
      <c r="K68" s="328"/>
    </row>
    <row r="69" spans="3:11">
      <c r="C69" s="153" t="s">
        <v>1227</v>
      </c>
      <c r="D69" s="60" t="s">
        <v>1228</v>
      </c>
      <c r="E69" s="74"/>
      <c r="F69" s="74"/>
      <c r="G69" s="74"/>
      <c r="H69" s="147"/>
      <c r="K69" s="328"/>
    </row>
    <row r="70" spans="3:11">
      <c r="C70" s="145" t="s">
        <v>1229</v>
      </c>
      <c r="D70" s="81"/>
      <c r="E70" s="81"/>
      <c r="F70" s="81"/>
      <c r="G70" s="163"/>
      <c r="H70" s="154">
        <v>0</v>
      </c>
      <c r="K70" s="328"/>
    </row>
    <row r="71" spans="3:11">
      <c r="C71" s="123" t="s">
        <v>1230</v>
      </c>
      <c r="D71" s="70" t="s">
        <v>1231</v>
      </c>
      <c r="E71" s="71"/>
      <c r="F71" s="71"/>
      <c r="G71" s="72"/>
      <c r="H71" s="125">
        <f>H70+H68+H64</f>
        <v>290323.5</v>
      </c>
      <c r="K71" s="328"/>
    </row>
    <row r="72" spans="3:11">
      <c r="C72" s="123" t="s">
        <v>1232</v>
      </c>
      <c r="D72" s="70" t="s">
        <v>1410</v>
      </c>
      <c r="E72" s="71"/>
      <c r="F72" s="72"/>
      <c r="G72" s="96">
        <f>$M$7</f>
        <v>0.1</v>
      </c>
      <c r="H72" s="125">
        <f>H71*G72</f>
        <v>29032.350000000002</v>
      </c>
      <c r="K72" s="328"/>
    </row>
    <row r="73" spans="3:11" ht="15.75" thickBot="1">
      <c r="C73" s="131" t="s">
        <v>1233</v>
      </c>
      <c r="D73" s="132" t="s">
        <v>1234</v>
      </c>
      <c r="E73" s="133"/>
      <c r="F73" s="133"/>
      <c r="G73" s="156"/>
      <c r="H73" s="135">
        <f>SUM(H71:H72)</f>
        <v>319355.84999999998</v>
      </c>
      <c r="K73" s="328"/>
    </row>
    <row r="74" spans="3:11" ht="15.75" thickTop="1">
      <c r="C74" s="90"/>
      <c r="D74" s="91"/>
      <c r="E74" s="91"/>
      <c r="F74" s="91"/>
      <c r="G74" s="91"/>
      <c r="H74" s="92"/>
      <c r="K74" s="328"/>
    </row>
    <row r="75" spans="3:11" ht="15.75" thickBot="1">
      <c r="C75" s="224" t="s">
        <v>1689</v>
      </c>
      <c r="D75" s="226"/>
      <c r="E75" s="226"/>
      <c r="F75" s="226"/>
      <c r="G75" s="226"/>
      <c r="H75" s="226"/>
      <c r="I75" s="57">
        <f>ROUNDDOWN(H91,-2)</f>
        <v>309100</v>
      </c>
      <c r="K75" s="328"/>
    </row>
    <row r="76" spans="3:11" ht="29.25" thickTop="1">
      <c r="C76" s="120" t="s">
        <v>1207</v>
      </c>
      <c r="D76" s="121" t="s">
        <v>1208</v>
      </c>
      <c r="E76" s="121" t="s">
        <v>1209</v>
      </c>
      <c r="F76" s="121" t="s">
        <v>1210</v>
      </c>
      <c r="G76" s="121" t="s">
        <v>1211</v>
      </c>
      <c r="H76" s="122" t="s">
        <v>1212</v>
      </c>
      <c r="K76" s="328"/>
    </row>
    <row r="77" spans="3:11">
      <c r="C77" s="142" t="s">
        <v>1213</v>
      </c>
      <c r="D77" s="60" t="s">
        <v>1214</v>
      </c>
      <c r="E77" s="74"/>
      <c r="F77" s="74"/>
      <c r="G77" s="74"/>
      <c r="H77" s="147"/>
      <c r="K77" s="328"/>
    </row>
    <row r="78" spans="3:11">
      <c r="C78" s="143">
        <v>1</v>
      </c>
      <c r="D78" s="60" t="s">
        <v>5</v>
      </c>
      <c r="E78" s="73" t="s">
        <v>6</v>
      </c>
      <c r="F78" s="94">
        <v>1.7000000000000001E-2</v>
      </c>
      <c r="G78" s="65">
        <f>VLOOKUP(D78,upahbahan,3,FALSE)</f>
        <v>100000</v>
      </c>
      <c r="H78" s="125">
        <f>F78*G78</f>
        <v>1700.0000000000002</v>
      </c>
      <c r="K78" s="328"/>
    </row>
    <row r="79" spans="3:11">
      <c r="C79" s="143">
        <v>2</v>
      </c>
      <c r="D79" s="60" t="s">
        <v>8</v>
      </c>
      <c r="E79" s="73" t="s">
        <v>6</v>
      </c>
      <c r="F79" s="94">
        <v>0.17</v>
      </c>
      <c r="G79" s="65">
        <f>VLOOKUP(D79,upahbahan,3,FALSE)</f>
        <v>145000</v>
      </c>
      <c r="H79" s="125">
        <f t="shared" ref="H79:H81" si="8">F79*G79</f>
        <v>24650</v>
      </c>
      <c r="K79" s="328"/>
    </row>
    <row r="80" spans="3:11">
      <c r="C80" s="143">
        <v>3</v>
      </c>
      <c r="D80" s="60" t="s">
        <v>18</v>
      </c>
      <c r="E80" s="73" t="s">
        <v>6</v>
      </c>
      <c r="F80" s="94">
        <v>1.7000000000000001E-2</v>
      </c>
      <c r="G80" s="65">
        <f>VLOOKUP(D80,upahbahan,3,FALSE)</f>
        <v>150000</v>
      </c>
      <c r="H80" s="125">
        <f t="shared" si="8"/>
        <v>2550</v>
      </c>
      <c r="K80" s="328"/>
    </row>
    <row r="81" spans="3:11">
      <c r="C81" s="143">
        <v>4</v>
      </c>
      <c r="D81" s="60" t="s">
        <v>19</v>
      </c>
      <c r="E81" s="73" t="s">
        <v>6</v>
      </c>
      <c r="F81" s="94">
        <v>5.7000000000000002E-3</v>
      </c>
      <c r="G81" s="65">
        <f>VLOOKUP(D81,upahbahan,3,FALSE)</f>
        <v>145000</v>
      </c>
      <c r="H81" s="125">
        <f t="shared" si="8"/>
        <v>826.5</v>
      </c>
      <c r="K81" s="328"/>
    </row>
    <row r="82" spans="3:11">
      <c r="C82" s="145" t="s">
        <v>1220</v>
      </c>
      <c r="D82" s="81"/>
      <c r="E82" s="81"/>
      <c r="F82" s="220"/>
      <c r="G82" s="221"/>
      <c r="H82" s="125">
        <f>SUM(H78:H81)</f>
        <v>29726.5</v>
      </c>
      <c r="I82" s="222"/>
      <c r="K82" s="328"/>
    </row>
    <row r="83" spans="3:11">
      <c r="C83" s="142" t="s">
        <v>1221</v>
      </c>
      <c r="D83" s="60" t="s">
        <v>1222</v>
      </c>
      <c r="E83" s="74"/>
      <c r="F83" s="74"/>
      <c r="G83" s="74"/>
      <c r="H83" s="147"/>
      <c r="K83" s="328"/>
    </row>
    <row r="84" spans="3:11">
      <c r="C84" s="143">
        <v>1</v>
      </c>
      <c r="D84" s="60" t="s">
        <v>662</v>
      </c>
      <c r="E84" s="73" t="s">
        <v>63</v>
      </c>
      <c r="F84" s="230">
        <v>1.1000000000000001</v>
      </c>
      <c r="G84" s="65">
        <f>VLOOKUP(D84,upahbahan,3,FALSE)</f>
        <v>226400</v>
      </c>
      <c r="H84" s="125">
        <f t="shared" ref="H84:H85" si="9">F84*G84</f>
        <v>249040.00000000003</v>
      </c>
      <c r="K84" s="328"/>
    </row>
    <row r="85" spans="3:11">
      <c r="C85" s="143">
        <v>2</v>
      </c>
      <c r="D85" s="60" t="s">
        <v>1057</v>
      </c>
      <c r="E85" s="73" t="s">
        <v>1058</v>
      </c>
      <c r="F85" s="230">
        <v>7.0000000000000007E-2</v>
      </c>
      <c r="G85" s="65">
        <f>VLOOKUP(D85,upahbahan,3,FALSE)</f>
        <v>33100</v>
      </c>
      <c r="H85" s="125">
        <f t="shared" si="9"/>
        <v>2317</v>
      </c>
      <c r="K85" s="328"/>
    </row>
    <row r="86" spans="3:11">
      <c r="C86" s="145" t="s">
        <v>1226</v>
      </c>
      <c r="D86" s="81"/>
      <c r="E86" s="81"/>
      <c r="F86" s="81"/>
      <c r="G86" s="163"/>
      <c r="H86" s="125">
        <f>SUM(H84:H85)</f>
        <v>251357.00000000003</v>
      </c>
      <c r="K86" s="328"/>
    </row>
    <row r="87" spans="3:11">
      <c r="C87" s="153" t="s">
        <v>1227</v>
      </c>
      <c r="D87" s="60" t="s">
        <v>1228</v>
      </c>
      <c r="E87" s="74"/>
      <c r="F87" s="74"/>
      <c r="G87" s="74"/>
      <c r="H87" s="147"/>
      <c r="K87" s="328"/>
    </row>
    <row r="88" spans="3:11">
      <c r="C88" s="145" t="s">
        <v>1229</v>
      </c>
      <c r="D88" s="81"/>
      <c r="E88" s="81"/>
      <c r="F88" s="81"/>
      <c r="G88" s="163"/>
      <c r="H88" s="154">
        <v>0</v>
      </c>
      <c r="K88" s="328"/>
    </row>
    <row r="89" spans="3:11">
      <c r="C89" s="123" t="s">
        <v>1230</v>
      </c>
      <c r="D89" s="70" t="s">
        <v>1231</v>
      </c>
      <c r="E89" s="71"/>
      <c r="F89" s="71"/>
      <c r="G89" s="72"/>
      <c r="H89" s="125">
        <f>H88+H86+H82</f>
        <v>281083.5</v>
      </c>
      <c r="K89" s="328"/>
    </row>
    <row r="90" spans="3:11">
      <c r="C90" s="123" t="s">
        <v>1232</v>
      </c>
      <c r="D90" s="70" t="s">
        <v>1410</v>
      </c>
      <c r="E90" s="71"/>
      <c r="F90" s="72"/>
      <c r="G90" s="96">
        <f>$M$7</f>
        <v>0.1</v>
      </c>
      <c r="H90" s="125">
        <f>H89*G90</f>
        <v>28108.350000000002</v>
      </c>
      <c r="K90" s="328"/>
    </row>
    <row r="91" spans="3:11" ht="15.75" thickBot="1">
      <c r="C91" s="131" t="s">
        <v>1233</v>
      </c>
      <c r="D91" s="132" t="s">
        <v>1234</v>
      </c>
      <c r="E91" s="133"/>
      <c r="F91" s="133"/>
      <c r="G91" s="156"/>
      <c r="H91" s="135">
        <f>SUM(H89:H90)</f>
        <v>309191.84999999998</v>
      </c>
      <c r="K91" s="328"/>
    </row>
    <row r="92" spans="3:11" ht="15.75" thickTop="1">
      <c r="C92" s="90"/>
      <c r="D92" s="91"/>
      <c r="E92" s="91"/>
      <c r="F92" s="91"/>
      <c r="G92" s="91"/>
      <c r="H92" s="92"/>
      <c r="K92" s="328"/>
    </row>
    <row r="93" spans="3:11" ht="15.75" thickBot="1">
      <c r="C93" s="224" t="s">
        <v>1690</v>
      </c>
      <c r="D93" s="226"/>
      <c r="E93" s="226"/>
      <c r="F93" s="226"/>
      <c r="G93" s="226"/>
      <c r="H93" s="226"/>
      <c r="I93" s="57">
        <f>ROUNDDOWN(H109,-2)</f>
        <v>434100</v>
      </c>
      <c r="K93" s="328"/>
    </row>
    <row r="94" spans="3:11" ht="29.25" thickTop="1">
      <c r="C94" s="120" t="s">
        <v>1207</v>
      </c>
      <c r="D94" s="121" t="s">
        <v>1208</v>
      </c>
      <c r="E94" s="121" t="s">
        <v>1209</v>
      </c>
      <c r="F94" s="121" t="s">
        <v>1210</v>
      </c>
      <c r="G94" s="121" t="s">
        <v>1211</v>
      </c>
      <c r="H94" s="122" t="s">
        <v>1212</v>
      </c>
      <c r="K94" s="328"/>
    </row>
    <row r="95" spans="3:11">
      <c r="C95" s="142" t="s">
        <v>1213</v>
      </c>
      <c r="D95" s="60" t="s">
        <v>1214</v>
      </c>
      <c r="E95" s="74"/>
      <c r="F95" s="74"/>
      <c r="G95" s="74"/>
      <c r="H95" s="147"/>
      <c r="K95" s="328"/>
    </row>
    <row r="96" spans="3:11">
      <c r="C96" s="143">
        <v>1</v>
      </c>
      <c r="D96" s="60" t="s">
        <v>5</v>
      </c>
      <c r="E96" s="73" t="s">
        <v>6</v>
      </c>
      <c r="F96" s="94">
        <v>2.5000000000000001E-2</v>
      </c>
      <c r="G96" s="65">
        <f>VLOOKUP(D96,upahbahan,3,FALSE)</f>
        <v>100000</v>
      </c>
      <c r="H96" s="125">
        <f t="shared" ref="H96:H99" si="10">F96*G96</f>
        <v>2500</v>
      </c>
      <c r="K96" s="328"/>
    </row>
    <row r="97" spans="3:11">
      <c r="C97" s="143">
        <v>2</v>
      </c>
      <c r="D97" s="60" t="s">
        <v>8</v>
      </c>
      <c r="E97" s="73" t="s">
        <v>6</v>
      </c>
      <c r="F97" s="94">
        <v>0.25</v>
      </c>
      <c r="G97" s="65">
        <f>VLOOKUP(D97,upahbahan,3,FALSE)</f>
        <v>145000</v>
      </c>
      <c r="H97" s="125">
        <f t="shared" si="10"/>
        <v>36250</v>
      </c>
      <c r="K97" s="328"/>
    </row>
    <row r="98" spans="3:11">
      <c r="C98" s="143">
        <v>3</v>
      </c>
      <c r="D98" s="60" t="s">
        <v>18</v>
      </c>
      <c r="E98" s="73" t="s">
        <v>6</v>
      </c>
      <c r="F98" s="94">
        <v>2.5000000000000001E-2</v>
      </c>
      <c r="G98" s="65">
        <f>VLOOKUP(D98,upahbahan,3,FALSE)</f>
        <v>150000</v>
      </c>
      <c r="H98" s="125">
        <f t="shared" si="10"/>
        <v>3750</v>
      </c>
      <c r="K98" s="328"/>
    </row>
    <row r="99" spans="3:11">
      <c r="C99" s="143">
        <v>4</v>
      </c>
      <c r="D99" s="60" t="s">
        <v>19</v>
      </c>
      <c r="E99" s="73" t="s">
        <v>6</v>
      </c>
      <c r="F99" s="94">
        <v>8.3000000000000001E-3</v>
      </c>
      <c r="G99" s="65">
        <f>VLOOKUP(D99,upahbahan,3,FALSE)</f>
        <v>145000</v>
      </c>
      <c r="H99" s="125">
        <f t="shared" si="10"/>
        <v>1203.5</v>
      </c>
      <c r="K99" s="328"/>
    </row>
    <row r="100" spans="3:11">
      <c r="C100" s="145" t="s">
        <v>1220</v>
      </c>
      <c r="D100" s="81"/>
      <c r="E100" s="81"/>
      <c r="F100" s="220"/>
      <c r="G100" s="221"/>
      <c r="H100" s="125">
        <f>SUM(H96:H99)</f>
        <v>43703.5</v>
      </c>
      <c r="I100" s="222"/>
      <c r="K100" s="328"/>
    </row>
    <row r="101" spans="3:11">
      <c r="C101" s="142" t="s">
        <v>1221</v>
      </c>
      <c r="D101" s="60" t="s">
        <v>1222</v>
      </c>
      <c r="E101" s="74"/>
      <c r="F101" s="74"/>
      <c r="G101" s="74"/>
      <c r="H101" s="147"/>
      <c r="K101" s="328"/>
    </row>
    <row r="102" spans="3:11">
      <c r="C102" s="143">
        <v>1</v>
      </c>
      <c r="D102" s="60" t="s">
        <v>647</v>
      </c>
      <c r="E102" s="73" t="s">
        <v>63</v>
      </c>
      <c r="F102" s="230">
        <v>1.1000000000000001</v>
      </c>
      <c r="G102" s="65">
        <f>VLOOKUP(D102,upahbahan,3,FALSE)</f>
        <v>317000</v>
      </c>
      <c r="H102" s="125">
        <f t="shared" ref="H102:H103" si="11">F102*G102</f>
        <v>348700</v>
      </c>
      <c r="K102" s="328"/>
    </row>
    <row r="103" spans="3:11">
      <c r="C103" s="143">
        <v>2</v>
      </c>
      <c r="D103" s="60" t="s">
        <v>1057</v>
      </c>
      <c r="E103" s="73" t="s">
        <v>1058</v>
      </c>
      <c r="F103" s="230">
        <v>7.0000000000000007E-2</v>
      </c>
      <c r="G103" s="65">
        <f>VLOOKUP(D103,upahbahan,3,FALSE)</f>
        <v>33100</v>
      </c>
      <c r="H103" s="125">
        <f t="shared" si="11"/>
        <v>2317</v>
      </c>
      <c r="K103" s="328"/>
    </row>
    <row r="104" spans="3:11">
      <c r="C104" s="145" t="s">
        <v>1226</v>
      </c>
      <c r="D104" s="81"/>
      <c r="E104" s="81"/>
      <c r="F104" s="81"/>
      <c r="G104" s="163"/>
      <c r="H104" s="125">
        <f>SUM(H102:H103)</f>
        <v>351017</v>
      </c>
      <c r="K104" s="328"/>
    </row>
    <row r="105" spans="3:11">
      <c r="C105" s="153" t="s">
        <v>1227</v>
      </c>
      <c r="D105" s="60" t="s">
        <v>1228</v>
      </c>
      <c r="E105" s="74"/>
      <c r="F105" s="74"/>
      <c r="G105" s="74"/>
      <c r="H105" s="147"/>
      <c r="K105" s="328"/>
    </row>
    <row r="106" spans="3:11">
      <c r="C106" s="145" t="s">
        <v>1229</v>
      </c>
      <c r="D106" s="81"/>
      <c r="E106" s="81"/>
      <c r="F106" s="81"/>
      <c r="G106" s="163"/>
      <c r="H106" s="154">
        <v>0</v>
      </c>
      <c r="K106" s="328"/>
    </row>
    <row r="107" spans="3:11">
      <c r="C107" s="123" t="s">
        <v>1230</v>
      </c>
      <c r="D107" s="70" t="s">
        <v>1231</v>
      </c>
      <c r="E107" s="71"/>
      <c r="F107" s="71"/>
      <c r="G107" s="72"/>
      <c r="H107" s="125">
        <f>H106+H104+H100</f>
        <v>394720.5</v>
      </c>
      <c r="K107" s="328"/>
    </row>
    <row r="108" spans="3:11">
      <c r="C108" s="123" t="s">
        <v>1232</v>
      </c>
      <c r="D108" s="70" t="s">
        <v>1410</v>
      </c>
      <c r="E108" s="71"/>
      <c r="F108" s="72"/>
      <c r="G108" s="96">
        <f>$M$7</f>
        <v>0.1</v>
      </c>
      <c r="H108" s="125">
        <f>H107*G108</f>
        <v>39472.050000000003</v>
      </c>
      <c r="K108" s="328"/>
    </row>
    <row r="109" spans="3:11" ht="15.75" thickBot="1">
      <c r="C109" s="131" t="s">
        <v>1233</v>
      </c>
      <c r="D109" s="132" t="s">
        <v>1234</v>
      </c>
      <c r="E109" s="133"/>
      <c r="F109" s="133"/>
      <c r="G109" s="156"/>
      <c r="H109" s="135">
        <f>SUM(H107:H108)</f>
        <v>434192.55</v>
      </c>
      <c r="K109" s="328"/>
    </row>
    <row r="110" spans="3:11" ht="15.75" thickTop="1">
      <c r="C110" s="90"/>
      <c r="D110" s="91"/>
      <c r="E110" s="91"/>
      <c r="F110" s="91"/>
      <c r="G110" s="91"/>
      <c r="H110" s="92"/>
      <c r="K110" s="328"/>
    </row>
    <row r="111" spans="3:11" ht="15.75" thickBot="1">
      <c r="C111" s="224" t="s">
        <v>1691</v>
      </c>
      <c r="D111" s="226"/>
      <c r="E111" s="226"/>
      <c r="F111" s="226"/>
      <c r="G111" s="226"/>
      <c r="H111" s="226"/>
      <c r="I111" s="57">
        <f>ROUNDDOWN(H126,-2)</f>
        <v>268600</v>
      </c>
      <c r="K111" s="328"/>
    </row>
    <row r="112" spans="3:11" ht="29.25" thickTop="1">
      <c r="C112" s="120" t="s">
        <v>1207</v>
      </c>
      <c r="D112" s="121" t="s">
        <v>1208</v>
      </c>
      <c r="E112" s="121" t="s">
        <v>1209</v>
      </c>
      <c r="F112" s="121" t="s">
        <v>1210</v>
      </c>
      <c r="G112" s="121" t="s">
        <v>1211</v>
      </c>
      <c r="H112" s="122" t="s">
        <v>1212</v>
      </c>
      <c r="K112" s="328"/>
    </row>
    <row r="113" spans="3:11">
      <c r="C113" s="142" t="s">
        <v>1213</v>
      </c>
      <c r="D113" s="60" t="s">
        <v>1214</v>
      </c>
      <c r="E113" s="74"/>
      <c r="F113" s="74"/>
      <c r="G113" s="74"/>
      <c r="H113" s="147"/>
      <c r="K113" s="328"/>
    </row>
    <row r="114" spans="3:11">
      <c r="C114" s="143">
        <v>1</v>
      </c>
      <c r="D114" s="60" t="s">
        <v>5</v>
      </c>
      <c r="E114" s="73" t="s">
        <v>6</v>
      </c>
      <c r="F114" s="75">
        <v>1.4999999999999999E-2</v>
      </c>
      <c r="G114" s="65">
        <f>VLOOKUP(D114,upahbahan,3,FALSE)</f>
        <v>100000</v>
      </c>
      <c r="H114" s="125">
        <f t="shared" ref="H114:H117" si="12">F114*G114</f>
        <v>1500</v>
      </c>
      <c r="K114" s="328"/>
    </row>
    <row r="115" spans="3:11">
      <c r="C115" s="143">
        <v>2</v>
      </c>
      <c r="D115" s="60" t="s">
        <v>8</v>
      </c>
      <c r="E115" s="73" t="s">
        <v>6</v>
      </c>
      <c r="F115" s="75">
        <v>0.15</v>
      </c>
      <c r="G115" s="65">
        <f>VLOOKUP(D115,upahbahan,3,FALSE)</f>
        <v>145000</v>
      </c>
      <c r="H115" s="125">
        <f t="shared" si="12"/>
        <v>21750</v>
      </c>
      <c r="K115" s="328"/>
    </row>
    <row r="116" spans="3:11">
      <c r="C116" s="143">
        <v>3</v>
      </c>
      <c r="D116" s="60" t="s">
        <v>18</v>
      </c>
      <c r="E116" s="73" t="s">
        <v>6</v>
      </c>
      <c r="F116" s="75">
        <v>1.4999999999999999E-2</v>
      </c>
      <c r="G116" s="65">
        <f>VLOOKUP(D116,upahbahan,3,FALSE)</f>
        <v>150000</v>
      </c>
      <c r="H116" s="125">
        <f t="shared" si="12"/>
        <v>2250</v>
      </c>
      <c r="K116" s="328"/>
    </row>
    <row r="117" spans="3:11">
      <c r="C117" s="143">
        <v>4</v>
      </c>
      <c r="D117" s="60" t="s">
        <v>19</v>
      </c>
      <c r="E117" s="73" t="s">
        <v>6</v>
      </c>
      <c r="F117" s="75">
        <v>5.0000000000000001E-3</v>
      </c>
      <c r="G117" s="65">
        <f>VLOOKUP(D117,upahbahan,3,FALSE)</f>
        <v>145000</v>
      </c>
      <c r="H117" s="125">
        <f t="shared" si="12"/>
        <v>725</v>
      </c>
      <c r="K117" s="328"/>
    </row>
    <row r="118" spans="3:11">
      <c r="C118" s="145" t="s">
        <v>1220</v>
      </c>
      <c r="D118" s="81"/>
      <c r="E118" s="81"/>
      <c r="F118" s="220"/>
      <c r="G118" s="221"/>
      <c r="H118" s="125">
        <f>SUM(H114:H117)</f>
        <v>26225</v>
      </c>
      <c r="I118" s="222"/>
      <c r="K118" s="328"/>
    </row>
    <row r="119" spans="3:11">
      <c r="C119" s="142" t="s">
        <v>1221</v>
      </c>
      <c r="D119" s="60" t="s">
        <v>1222</v>
      </c>
      <c r="E119" s="74"/>
      <c r="F119" s="74"/>
      <c r="G119" s="74"/>
      <c r="H119" s="147"/>
      <c r="K119" s="328"/>
    </row>
    <row r="120" spans="3:11">
      <c r="C120" s="143">
        <v>1</v>
      </c>
      <c r="D120" s="60" t="s">
        <v>648</v>
      </c>
      <c r="E120" s="73" t="s">
        <v>63</v>
      </c>
      <c r="F120" s="230">
        <v>1.1000000000000001</v>
      </c>
      <c r="G120" s="65">
        <f>VLOOKUP(D120,upahbahan,3,FALSE)</f>
        <v>221400</v>
      </c>
      <c r="H120" s="125">
        <f t="shared" ref="H120" si="13">F120*G120</f>
        <v>243540.00000000003</v>
      </c>
      <c r="K120" s="328"/>
    </row>
    <row r="121" spans="3:11">
      <c r="C121" s="145" t="s">
        <v>1226</v>
      </c>
      <c r="D121" s="81"/>
      <c r="E121" s="81"/>
      <c r="F121" s="81"/>
      <c r="G121" s="163"/>
      <c r="H121" s="125">
        <f>SUM(H119:H120)</f>
        <v>243540.00000000003</v>
      </c>
      <c r="K121" s="328"/>
    </row>
    <row r="122" spans="3:11">
      <c r="C122" s="153" t="s">
        <v>1227</v>
      </c>
      <c r="D122" s="60" t="s">
        <v>1228</v>
      </c>
      <c r="E122" s="74"/>
      <c r="F122" s="74"/>
      <c r="G122" s="74"/>
      <c r="H122" s="147"/>
      <c r="K122" s="328"/>
    </row>
    <row r="123" spans="3:11">
      <c r="C123" s="145" t="s">
        <v>1229</v>
      </c>
      <c r="D123" s="81"/>
      <c r="E123" s="81"/>
      <c r="F123" s="81"/>
      <c r="G123" s="163"/>
      <c r="H123" s="154">
        <v>0</v>
      </c>
      <c r="K123" s="328"/>
    </row>
    <row r="124" spans="3:11">
      <c r="C124" s="123" t="s">
        <v>1230</v>
      </c>
      <c r="D124" s="70" t="s">
        <v>1231</v>
      </c>
      <c r="E124" s="71"/>
      <c r="F124" s="71"/>
      <c r="G124" s="72"/>
      <c r="H124" s="125">
        <f>H123+H121+H117</f>
        <v>244265.00000000003</v>
      </c>
      <c r="K124" s="328"/>
    </row>
    <row r="125" spans="3:11">
      <c r="C125" s="123" t="s">
        <v>1232</v>
      </c>
      <c r="D125" s="70" t="s">
        <v>1410</v>
      </c>
      <c r="E125" s="71"/>
      <c r="F125" s="72"/>
      <c r="G125" s="96">
        <f>$M$7</f>
        <v>0.1</v>
      </c>
      <c r="H125" s="125">
        <f>H124*G125</f>
        <v>24426.500000000004</v>
      </c>
      <c r="K125" s="328"/>
    </row>
    <row r="126" spans="3:11" ht="15.75" thickBot="1">
      <c r="C126" s="131" t="s">
        <v>1233</v>
      </c>
      <c r="D126" s="132" t="s">
        <v>1234</v>
      </c>
      <c r="E126" s="133"/>
      <c r="F126" s="133"/>
      <c r="G126" s="156"/>
      <c r="H126" s="135">
        <f>SUM(H124:H125)</f>
        <v>268691.50000000006</v>
      </c>
      <c r="K126" s="328"/>
    </row>
    <row r="127" spans="3:11" ht="15.75" thickTop="1">
      <c r="K127" s="328"/>
    </row>
    <row r="128" spans="3:11" ht="15.75" thickBot="1">
      <c r="C128" s="224" t="s">
        <v>1692</v>
      </c>
      <c r="D128" s="226"/>
      <c r="E128" s="226"/>
      <c r="F128" s="226"/>
      <c r="G128" s="226"/>
      <c r="H128" s="226"/>
      <c r="I128" s="57">
        <f>ROUNDDOWN(H143,-2)</f>
        <v>995900</v>
      </c>
      <c r="K128" s="328"/>
    </row>
    <row r="129" spans="3:11" ht="29.25" thickTop="1">
      <c r="C129" s="120" t="s">
        <v>1207</v>
      </c>
      <c r="D129" s="121" t="s">
        <v>1208</v>
      </c>
      <c r="E129" s="121" t="s">
        <v>1209</v>
      </c>
      <c r="F129" s="121" t="s">
        <v>1210</v>
      </c>
      <c r="G129" s="121" t="s">
        <v>1211</v>
      </c>
      <c r="H129" s="122" t="s">
        <v>1212</v>
      </c>
      <c r="K129" s="328"/>
    </row>
    <row r="130" spans="3:11">
      <c r="C130" s="142" t="s">
        <v>1213</v>
      </c>
      <c r="D130" s="60" t="s">
        <v>1214</v>
      </c>
      <c r="E130" s="74"/>
      <c r="F130" s="74"/>
      <c r="G130" s="74"/>
      <c r="H130" s="147"/>
      <c r="K130" s="328"/>
    </row>
    <row r="131" spans="3:11">
      <c r="C131" s="143">
        <v>1</v>
      </c>
      <c r="D131" s="60" t="s">
        <v>5</v>
      </c>
      <c r="E131" s="73" t="s">
        <v>6</v>
      </c>
      <c r="F131" s="94">
        <v>1.7000000000000001E-2</v>
      </c>
      <c r="G131" s="65">
        <f>VLOOKUP(D131,upahbahan,3,FALSE)</f>
        <v>100000</v>
      </c>
      <c r="H131" s="125">
        <f t="shared" ref="H131:H134" si="14">F131*G131</f>
        <v>1700.0000000000002</v>
      </c>
      <c r="K131" s="328"/>
    </row>
    <row r="132" spans="3:11">
      <c r="C132" s="143">
        <v>2</v>
      </c>
      <c r="D132" s="60" t="s">
        <v>8</v>
      </c>
      <c r="E132" s="73" t="s">
        <v>6</v>
      </c>
      <c r="F132" s="94">
        <v>0.17</v>
      </c>
      <c r="G132" s="65">
        <f>VLOOKUP(D132,upahbahan,3,FALSE)</f>
        <v>145000</v>
      </c>
      <c r="H132" s="125">
        <f t="shared" si="14"/>
        <v>24650</v>
      </c>
      <c r="K132" s="328"/>
    </row>
    <row r="133" spans="3:11">
      <c r="C133" s="143">
        <v>3</v>
      </c>
      <c r="D133" s="60" t="s">
        <v>18</v>
      </c>
      <c r="E133" s="73" t="s">
        <v>6</v>
      </c>
      <c r="F133" s="94">
        <v>1.7000000000000001E-2</v>
      </c>
      <c r="G133" s="65">
        <f>VLOOKUP(D133,upahbahan,3,FALSE)</f>
        <v>150000</v>
      </c>
      <c r="H133" s="125">
        <f t="shared" si="14"/>
        <v>2550</v>
      </c>
      <c r="K133" s="328"/>
    </row>
    <row r="134" spans="3:11">
      <c r="C134" s="143">
        <v>4</v>
      </c>
      <c r="D134" s="60" t="s">
        <v>19</v>
      </c>
      <c r="E134" s="73" t="s">
        <v>6</v>
      </c>
      <c r="F134" s="94">
        <v>5.7000000000000002E-3</v>
      </c>
      <c r="G134" s="65">
        <f>VLOOKUP(D134,upahbahan,3,FALSE)</f>
        <v>145000</v>
      </c>
      <c r="H134" s="125">
        <f t="shared" si="14"/>
        <v>826.5</v>
      </c>
      <c r="K134" s="328"/>
    </row>
    <row r="135" spans="3:11">
      <c r="C135" s="145" t="s">
        <v>1220</v>
      </c>
      <c r="D135" s="81"/>
      <c r="E135" s="81"/>
      <c r="F135" s="220"/>
      <c r="G135" s="221"/>
      <c r="H135" s="125">
        <f>SUM(H131:H134)</f>
        <v>29726.5</v>
      </c>
      <c r="I135" s="222"/>
      <c r="K135" s="328"/>
    </row>
    <row r="136" spans="3:11">
      <c r="C136" s="142" t="s">
        <v>1221</v>
      </c>
      <c r="D136" s="60" t="s">
        <v>1222</v>
      </c>
      <c r="E136" s="74"/>
      <c r="F136" s="74"/>
      <c r="G136" s="74"/>
      <c r="H136" s="147"/>
      <c r="K136" s="328"/>
    </row>
    <row r="137" spans="3:11">
      <c r="C137" s="143">
        <v>1</v>
      </c>
      <c r="D137" s="60" t="s">
        <v>650</v>
      </c>
      <c r="E137" s="73" t="s">
        <v>63</v>
      </c>
      <c r="F137" s="230">
        <v>1.1000000000000001</v>
      </c>
      <c r="G137" s="65">
        <f>VLOOKUP(D137,upahbahan,3,FALSE)</f>
        <v>796100</v>
      </c>
      <c r="H137" s="125">
        <f t="shared" ref="H137" si="15">F137*G137</f>
        <v>875710.00000000012</v>
      </c>
      <c r="K137" s="328"/>
    </row>
    <row r="138" spans="3:11">
      <c r="C138" s="145" t="s">
        <v>1226</v>
      </c>
      <c r="D138" s="81"/>
      <c r="E138" s="81"/>
      <c r="F138" s="81"/>
      <c r="G138" s="163"/>
      <c r="H138" s="125">
        <f>SUM(H137)</f>
        <v>875710.00000000012</v>
      </c>
      <c r="K138" s="328"/>
    </row>
    <row r="139" spans="3:11">
      <c r="C139" s="153" t="s">
        <v>1227</v>
      </c>
      <c r="D139" s="60" t="s">
        <v>1228</v>
      </c>
      <c r="E139" s="74"/>
      <c r="F139" s="74"/>
      <c r="G139" s="74"/>
      <c r="H139" s="147"/>
      <c r="K139" s="328"/>
    </row>
    <row r="140" spans="3:11">
      <c r="C140" s="145" t="s">
        <v>1229</v>
      </c>
      <c r="D140" s="81"/>
      <c r="E140" s="81"/>
      <c r="F140" s="81"/>
      <c r="G140" s="163"/>
      <c r="H140" s="154">
        <v>0</v>
      </c>
      <c r="K140" s="328"/>
    </row>
    <row r="141" spans="3:11">
      <c r="C141" s="123" t="s">
        <v>1230</v>
      </c>
      <c r="D141" s="70" t="s">
        <v>1231</v>
      </c>
      <c r="E141" s="71"/>
      <c r="F141" s="71"/>
      <c r="G141" s="72"/>
      <c r="H141" s="125">
        <f>H140+H138+H135</f>
        <v>905436.50000000012</v>
      </c>
      <c r="K141" s="328"/>
    </row>
    <row r="142" spans="3:11">
      <c r="C142" s="123" t="s">
        <v>1232</v>
      </c>
      <c r="D142" s="70" t="s">
        <v>1410</v>
      </c>
      <c r="E142" s="71"/>
      <c r="F142" s="72"/>
      <c r="G142" s="96">
        <f>$M$7</f>
        <v>0.1</v>
      </c>
      <c r="H142" s="125">
        <f>H141*G142</f>
        <v>90543.650000000023</v>
      </c>
      <c r="K142" s="328"/>
    </row>
    <row r="143" spans="3:11" ht="15.75" thickBot="1">
      <c r="C143" s="131" t="s">
        <v>1233</v>
      </c>
      <c r="D143" s="132" t="s">
        <v>1234</v>
      </c>
      <c r="E143" s="133"/>
      <c r="F143" s="133"/>
      <c r="G143" s="156"/>
      <c r="H143" s="135">
        <f>SUM(H141:H142)</f>
        <v>995980.15000000014</v>
      </c>
      <c r="K143" s="328"/>
    </row>
    <row r="144" spans="3:11" ht="15.75" thickTop="1">
      <c r="K144" s="328"/>
    </row>
    <row r="145" spans="3:11" ht="15.75" thickBot="1">
      <c r="C145" s="224" t="s">
        <v>1693</v>
      </c>
      <c r="D145" s="226"/>
      <c r="E145" s="226"/>
      <c r="F145" s="226"/>
      <c r="G145" s="226"/>
      <c r="H145" s="226"/>
      <c r="I145" s="57">
        <f>ROUNDDOWN(H160,-2)</f>
        <v>204000</v>
      </c>
      <c r="K145" s="328"/>
    </row>
    <row r="146" spans="3:11" ht="29.25" thickTop="1">
      <c r="C146" s="120" t="s">
        <v>1207</v>
      </c>
      <c r="D146" s="121" t="s">
        <v>1208</v>
      </c>
      <c r="E146" s="121" t="s">
        <v>1209</v>
      </c>
      <c r="F146" s="121" t="s">
        <v>1210</v>
      </c>
      <c r="G146" s="121" t="s">
        <v>1211</v>
      </c>
      <c r="H146" s="122" t="s">
        <v>1212</v>
      </c>
      <c r="K146" s="328"/>
    </row>
    <row r="147" spans="3:11">
      <c r="C147" s="142" t="s">
        <v>1213</v>
      </c>
      <c r="D147" s="60" t="s">
        <v>1214</v>
      </c>
      <c r="E147" s="74"/>
      <c r="F147" s="74"/>
      <c r="G147" s="74"/>
      <c r="H147" s="147"/>
      <c r="K147" s="328"/>
    </row>
    <row r="148" spans="3:11">
      <c r="C148" s="143">
        <v>1</v>
      </c>
      <c r="D148" s="60" t="s">
        <v>5</v>
      </c>
      <c r="E148" s="73" t="s">
        <v>6</v>
      </c>
      <c r="F148" s="75">
        <v>1.4999999999999999E-2</v>
      </c>
      <c r="G148" s="65">
        <f>VLOOKUP(D148,upahbahan,3,FALSE)</f>
        <v>100000</v>
      </c>
      <c r="H148" s="125">
        <f t="shared" ref="H148:H151" si="16">F148*G148</f>
        <v>1500</v>
      </c>
      <c r="K148" s="328"/>
    </row>
    <row r="149" spans="3:11">
      <c r="C149" s="143">
        <v>2</v>
      </c>
      <c r="D149" s="60" t="s">
        <v>8</v>
      </c>
      <c r="E149" s="73" t="s">
        <v>6</v>
      </c>
      <c r="F149" s="75">
        <v>0.15</v>
      </c>
      <c r="G149" s="65">
        <f>VLOOKUP(D149,upahbahan,3,FALSE)</f>
        <v>145000</v>
      </c>
      <c r="H149" s="125">
        <f t="shared" si="16"/>
        <v>21750</v>
      </c>
      <c r="K149" s="328"/>
    </row>
    <row r="150" spans="3:11">
      <c r="C150" s="143">
        <v>3</v>
      </c>
      <c r="D150" s="60" t="s">
        <v>18</v>
      </c>
      <c r="E150" s="73" t="s">
        <v>6</v>
      </c>
      <c r="F150" s="75">
        <v>1.4999999999999999E-2</v>
      </c>
      <c r="G150" s="65">
        <f>VLOOKUP(D150,upahbahan,3,FALSE)</f>
        <v>150000</v>
      </c>
      <c r="H150" s="125">
        <f t="shared" si="16"/>
        <v>2250</v>
      </c>
      <c r="K150" s="328"/>
    </row>
    <row r="151" spans="3:11">
      <c r="C151" s="143">
        <v>4</v>
      </c>
      <c r="D151" s="60" t="s">
        <v>19</v>
      </c>
      <c r="E151" s="73" t="s">
        <v>6</v>
      </c>
      <c r="F151" s="75">
        <v>5.0000000000000001E-3</v>
      </c>
      <c r="G151" s="65">
        <f>VLOOKUP(D151,upahbahan,3,FALSE)</f>
        <v>145000</v>
      </c>
      <c r="H151" s="125">
        <f t="shared" si="16"/>
        <v>725</v>
      </c>
      <c r="K151" s="328"/>
    </row>
    <row r="152" spans="3:11">
      <c r="C152" s="145" t="s">
        <v>1220</v>
      </c>
      <c r="D152" s="81"/>
      <c r="E152" s="81"/>
      <c r="F152" s="220"/>
      <c r="G152" s="221"/>
      <c r="H152" s="125">
        <f>SUM(H148:H151)</f>
        <v>26225</v>
      </c>
      <c r="I152" s="222"/>
      <c r="K152" s="328"/>
    </row>
    <row r="153" spans="3:11">
      <c r="C153" s="142" t="s">
        <v>1221</v>
      </c>
      <c r="D153" s="60" t="s">
        <v>1222</v>
      </c>
      <c r="E153" s="74"/>
      <c r="F153" s="74"/>
      <c r="G153" s="74"/>
      <c r="H153" s="147"/>
      <c r="K153" s="328"/>
    </row>
    <row r="154" spans="3:11">
      <c r="C154" s="143">
        <v>1</v>
      </c>
      <c r="D154" s="60" t="s">
        <v>667</v>
      </c>
      <c r="E154" s="73" t="s">
        <v>63</v>
      </c>
      <c r="F154" s="230">
        <v>1.1000000000000001</v>
      </c>
      <c r="G154" s="65">
        <f>VLOOKUP(D154,upahbahan,3,FALSE)</f>
        <v>144800</v>
      </c>
      <c r="H154" s="125">
        <f t="shared" ref="H154" si="17">F154*G154</f>
        <v>159280</v>
      </c>
      <c r="K154" s="328"/>
    </row>
    <row r="155" spans="3:11">
      <c r="C155" s="145" t="s">
        <v>1226</v>
      </c>
      <c r="D155" s="81"/>
      <c r="E155" s="81"/>
      <c r="F155" s="81"/>
      <c r="G155" s="163"/>
      <c r="H155" s="125">
        <f>SUM(H154)</f>
        <v>159280</v>
      </c>
      <c r="K155" s="328"/>
    </row>
    <row r="156" spans="3:11">
      <c r="C156" s="153" t="s">
        <v>1227</v>
      </c>
      <c r="D156" s="60" t="s">
        <v>1228</v>
      </c>
      <c r="E156" s="74"/>
      <c r="F156" s="74"/>
      <c r="G156" s="74"/>
      <c r="H156" s="147"/>
      <c r="K156" s="328"/>
    </row>
    <row r="157" spans="3:11">
      <c r="C157" s="145" t="s">
        <v>1229</v>
      </c>
      <c r="D157" s="81"/>
      <c r="E157" s="81"/>
      <c r="F157" s="81"/>
      <c r="G157" s="163"/>
      <c r="H157" s="154">
        <v>0</v>
      </c>
      <c r="K157" s="328"/>
    </row>
    <row r="158" spans="3:11">
      <c r="C158" s="123" t="s">
        <v>1230</v>
      </c>
      <c r="D158" s="70" t="s">
        <v>1231</v>
      </c>
      <c r="E158" s="71"/>
      <c r="F158" s="71"/>
      <c r="G158" s="72"/>
      <c r="H158" s="125">
        <f>H157+H155+H152</f>
        <v>185505</v>
      </c>
      <c r="K158" s="328"/>
    </row>
    <row r="159" spans="3:11">
      <c r="C159" s="123" t="s">
        <v>1232</v>
      </c>
      <c r="D159" s="70" t="s">
        <v>1410</v>
      </c>
      <c r="E159" s="71"/>
      <c r="F159" s="72"/>
      <c r="G159" s="96">
        <f>$M$7</f>
        <v>0.1</v>
      </c>
      <c r="H159" s="125">
        <f>H158*G159</f>
        <v>18550.5</v>
      </c>
      <c r="K159" s="328"/>
    </row>
    <row r="160" spans="3:11" ht="15.75" thickBot="1">
      <c r="C160" s="131" t="s">
        <v>1233</v>
      </c>
      <c r="D160" s="132" t="s">
        <v>1234</v>
      </c>
      <c r="E160" s="133"/>
      <c r="F160" s="133"/>
      <c r="G160" s="156"/>
      <c r="H160" s="135">
        <f>SUM(H158:H159)</f>
        <v>204055.5</v>
      </c>
      <c r="K160" s="328"/>
    </row>
    <row r="161" spans="3:11" ht="15.75" thickTop="1">
      <c r="K161" s="328"/>
    </row>
    <row r="162" spans="3:11" ht="15.75" thickBot="1">
      <c r="C162" s="224" t="s">
        <v>1694</v>
      </c>
      <c r="D162" s="226"/>
      <c r="E162" s="226"/>
      <c r="F162" s="226"/>
      <c r="G162" s="226"/>
      <c r="H162" s="226"/>
      <c r="I162" s="57">
        <f>ROUNDDOWN(H178,-2)</f>
        <v>1871900</v>
      </c>
      <c r="K162" s="328"/>
    </row>
    <row r="163" spans="3:11" ht="29.25" thickTop="1">
      <c r="C163" s="120" t="s">
        <v>1207</v>
      </c>
      <c r="D163" s="121" t="s">
        <v>1208</v>
      </c>
      <c r="E163" s="121" t="s">
        <v>1209</v>
      </c>
      <c r="F163" s="121" t="s">
        <v>1210</v>
      </c>
      <c r="G163" s="121" t="s">
        <v>1211</v>
      </c>
      <c r="H163" s="122" t="s">
        <v>1212</v>
      </c>
      <c r="K163" s="328"/>
    </row>
    <row r="164" spans="3:11">
      <c r="C164" s="142" t="s">
        <v>1213</v>
      </c>
      <c r="D164" s="60" t="s">
        <v>1214</v>
      </c>
      <c r="E164" s="74"/>
      <c r="F164" s="74"/>
      <c r="G164" s="74"/>
      <c r="H164" s="147"/>
      <c r="K164" s="328"/>
    </row>
    <row r="165" spans="3:11">
      <c r="C165" s="143">
        <v>1</v>
      </c>
      <c r="D165" s="60" t="s">
        <v>5</v>
      </c>
      <c r="E165" s="73" t="s">
        <v>6</v>
      </c>
      <c r="F165" s="75">
        <v>7.4999999999999997E-2</v>
      </c>
      <c r="G165" s="65">
        <f>VLOOKUP(D165,upahbahan,3,FALSE)</f>
        <v>100000</v>
      </c>
      <c r="H165" s="125">
        <f t="shared" ref="H165:H168" si="18">F165*G165</f>
        <v>7500</v>
      </c>
      <c r="K165" s="328"/>
    </row>
    <row r="166" spans="3:11">
      <c r="C166" s="143">
        <v>2</v>
      </c>
      <c r="D166" s="60" t="s">
        <v>8</v>
      </c>
      <c r="E166" s="73" t="s">
        <v>6</v>
      </c>
      <c r="F166" s="75">
        <v>0.15</v>
      </c>
      <c r="G166" s="65">
        <f>VLOOKUP(D166,upahbahan,3,FALSE)</f>
        <v>145000</v>
      </c>
      <c r="H166" s="125">
        <f t="shared" si="18"/>
        <v>21750</v>
      </c>
      <c r="K166" s="328"/>
    </row>
    <row r="167" spans="3:11">
      <c r="C167" s="143">
        <v>3</v>
      </c>
      <c r="D167" s="60" t="s">
        <v>18</v>
      </c>
      <c r="E167" s="73" t="s">
        <v>6</v>
      </c>
      <c r="F167" s="75">
        <v>1.4999999999999999E-2</v>
      </c>
      <c r="G167" s="65">
        <f>VLOOKUP(D167,upahbahan,3,FALSE)</f>
        <v>150000</v>
      </c>
      <c r="H167" s="125">
        <f t="shared" si="18"/>
        <v>2250</v>
      </c>
      <c r="K167" s="328"/>
    </row>
    <row r="168" spans="3:11">
      <c r="C168" s="143">
        <v>4</v>
      </c>
      <c r="D168" s="60" t="s">
        <v>19</v>
      </c>
      <c r="E168" s="73" t="s">
        <v>6</v>
      </c>
      <c r="F168" s="75">
        <v>5.0000000000000001E-3</v>
      </c>
      <c r="G168" s="65">
        <f>VLOOKUP(D168,upahbahan,3,FALSE)</f>
        <v>145000</v>
      </c>
      <c r="H168" s="125">
        <f t="shared" si="18"/>
        <v>725</v>
      </c>
      <c r="K168" s="328"/>
    </row>
    <row r="169" spans="3:11">
      <c r="C169" s="145" t="s">
        <v>1220</v>
      </c>
      <c r="D169" s="81"/>
      <c r="E169" s="81"/>
      <c r="F169" s="220"/>
      <c r="G169" s="221"/>
      <c r="H169" s="125">
        <f>SUM(H165:H168)</f>
        <v>32225</v>
      </c>
      <c r="I169" s="222"/>
      <c r="K169" s="328"/>
    </row>
    <row r="170" spans="3:11">
      <c r="C170" s="142" t="s">
        <v>1221</v>
      </c>
      <c r="D170" s="60" t="s">
        <v>1222</v>
      </c>
      <c r="E170" s="74"/>
      <c r="F170" s="74"/>
      <c r="G170" s="74"/>
      <c r="H170" s="147"/>
      <c r="K170" s="328"/>
    </row>
    <row r="171" spans="3:11">
      <c r="C171" s="146" t="s">
        <v>1215</v>
      </c>
      <c r="D171" s="78" t="s">
        <v>658</v>
      </c>
      <c r="E171" s="171" t="s">
        <v>63</v>
      </c>
      <c r="F171" s="172">
        <v>1.1000000000000001</v>
      </c>
      <c r="G171" s="65">
        <f>VLOOKUP(D171,upahbahan,3,FALSE)</f>
        <v>1516300</v>
      </c>
      <c r="H171" s="125">
        <f t="shared" ref="H171:H172" si="19">F171*G171</f>
        <v>1667930.0000000002</v>
      </c>
      <c r="K171" s="328"/>
    </row>
    <row r="172" spans="3:11">
      <c r="C172" s="146" t="s">
        <v>1216</v>
      </c>
      <c r="D172" s="78" t="s">
        <v>1057</v>
      </c>
      <c r="E172" s="73" t="s">
        <v>1058</v>
      </c>
      <c r="F172" s="75">
        <v>0.05</v>
      </c>
      <c r="G172" s="65">
        <f>VLOOKUP(D172,upahbahan,3,FALSE)</f>
        <v>33100</v>
      </c>
      <c r="H172" s="125">
        <f t="shared" si="19"/>
        <v>1655</v>
      </c>
      <c r="K172" s="328"/>
    </row>
    <row r="173" spans="3:11">
      <c r="C173" s="145" t="s">
        <v>1226</v>
      </c>
      <c r="D173" s="81"/>
      <c r="E173" s="81"/>
      <c r="F173" s="81"/>
      <c r="G173" s="163"/>
      <c r="H173" s="125">
        <f>SUM(H171:H172)</f>
        <v>1669585.0000000002</v>
      </c>
      <c r="K173" s="328"/>
    </row>
    <row r="174" spans="3:11">
      <c r="C174" s="153" t="s">
        <v>1227</v>
      </c>
      <c r="D174" s="60" t="s">
        <v>1228</v>
      </c>
      <c r="E174" s="74"/>
      <c r="F174" s="74"/>
      <c r="G174" s="74"/>
      <c r="H174" s="147"/>
      <c r="K174" s="328"/>
    </row>
    <row r="175" spans="3:11">
      <c r="C175" s="145" t="s">
        <v>1229</v>
      </c>
      <c r="D175" s="81"/>
      <c r="E175" s="81"/>
      <c r="F175" s="81"/>
      <c r="G175" s="163"/>
      <c r="H175" s="154">
        <v>0</v>
      </c>
      <c r="K175" s="328"/>
    </row>
    <row r="176" spans="3:11">
      <c r="C176" s="123" t="s">
        <v>1230</v>
      </c>
      <c r="D176" s="70" t="s">
        <v>1231</v>
      </c>
      <c r="E176" s="71"/>
      <c r="F176" s="71"/>
      <c r="G176" s="72"/>
      <c r="H176" s="125">
        <f>H175+H173+H169</f>
        <v>1701810.0000000002</v>
      </c>
      <c r="K176" s="328"/>
    </row>
    <row r="177" spans="3:11">
      <c r="C177" s="123" t="s">
        <v>1232</v>
      </c>
      <c r="D177" s="70" t="s">
        <v>1410</v>
      </c>
      <c r="E177" s="71"/>
      <c r="F177" s="72"/>
      <c r="G177" s="96">
        <f>$M$7</f>
        <v>0.1</v>
      </c>
      <c r="H177" s="125">
        <f>H176*G177</f>
        <v>170181.00000000003</v>
      </c>
      <c r="K177" s="328"/>
    </row>
    <row r="178" spans="3:11" ht="15.75" thickBot="1">
      <c r="C178" s="131" t="s">
        <v>1233</v>
      </c>
      <c r="D178" s="132" t="s">
        <v>1234</v>
      </c>
      <c r="E178" s="133"/>
      <c r="F178" s="133"/>
      <c r="G178" s="156"/>
      <c r="H178" s="135">
        <f>SUM(H176:H177)</f>
        <v>1871991.0000000002</v>
      </c>
      <c r="K178" s="328"/>
    </row>
    <row r="179" spans="3:11" ht="15.75" thickTop="1">
      <c r="K179" s="328"/>
    </row>
    <row r="180" spans="3:11" ht="15.75" thickBot="1">
      <c r="C180" s="224" t="s">
        <v>1695</v>
      </c>
      <c r="D180" s="226"/>
      <c r="E180" s="226"/>
      <c r="F180" s="226"/>
      <c r="G180" s="226"/>
      <c r="H180" s="226"/>
      <c r="I180" s="57">
        <f>ROUNDDOWN(H196,-2)</f>
        <v>1672400</v>
      </c>
      <c r="K180" s="328"/>
    </row>
    <row r="181" spans="3:11" ht="29.25" thickTop="1">
      <c r="C181" s="120" t="s">
        <v>1207</v>
      </c>
      <c r="D181" s="121" t="s">
        <v>1208</v>
      </c>
      <c r="E181" s="121" t="s">
        <v>1209</v>
      </c>
      <c r="F181" s="121" t="s">
        <v>1210</v>
      </c>
      <c r="G181" s="121" t="s">
        <v>1211</v>
      </c>
      <c r="H181" s="122" t="s">
        <v>1212</v>
      </c>
      <c r="K181" s="328"/>
    </row>
    <row r="182" spans="3:11">
      <c r="C182" s="142" t="s">
        <v>1213</v>
      </c>
      <c r="D182" s="60" t="s">
        <v>1214</v>
      </c>
      <c r="E182" s="74"/>
      <c r="F182" s="74"/>
      <c r="G182" s="74"/>
      <c r="H182" s="147"/>
      <c r="K182" s="328"/>
    </row>
    <row r="183" spans="3:11">
      <c r="C183" s="143">
        <v>1</v>
      </c>
      <c r="D183" s="60" t="s">
        <v>5</v>
      </c>
      <c r="E183" s="73" t="s">
        <v>6</v>
      </c>
      <c r="F183" s="75">
        <v>0.25</v>
      </c>
      <c r="G183" s="65">
        <f>VLOOKUP(D183,upahbahan,3,FALSE)</f>
        <v>100000</v>
      </c>
      <c r="H183" s="125">
        <f t="shared" ref="H183:H186" si="20">F183*G183</f>
        <v>25000</v>
      </c>
      <c r="K183" s="328"/>
    </row>
    <row r="184" spans="3:11">
      <c r="C184" s="143">
        <v>2</v>
      </c>
      <c r="D184" s="60" t="s">
        <v>8</v>
      </c>
      <c r="E184" s="73" t="s">
        <v>6</v>
      </c>
      <c r="F184" s="75">
        <v>0.125</v>
      </c>
      <c r="G184" s="65">
        <f>VLOOKUP(D184,upahbahan,3,FALSE)</f>
        <v>145000</v>
      </c>
      <c r="H184" s="125">
        <f t="shared" si="20"/>
        <v>18125</v>
      </c>
      <c r="K184" s="328"/>
    </row>
    <row r="185" spans="3:11">
      <c r="C185" s="143">
        <v>3</v>
      </c>
      <c r="D185" s="60" t="s">
        <v>18</v>
      </c>
      <c r="E185" s="73" t="s">
        <v>6</v>
      </c>
      <c r="F185" s="75">
        <v>1.2999999999999999E-2</v>
      </c>
      <c r="G185" s="65">
        <f>VLOOKUP(D185,upahbahan,3,FALSE)</f>
        <v>150000</v>
      </c>
      <c r="H185" s="125">
        <f t="shared" si="20"/>
        <v>1950</v>
      </c>
      <c r="K185" s="328"/>
    </row>
    <row r="186" spans="3:11">
      <c r="C186" s="143">
        <v>4</v>
      </c>
      <c r="D186" s="60" t="s">
        <v>19</v>
      </c>
      <c r="E186" s="73" t="s">
        <v>6</v>
      </c>
      <c r="F186" s="75">
        <v>4.0000000000000001E-3</v>
      </c>
      <c r="G186" s="65">
        <f>VLOOKUP(D186,upahbahan,3,FALSE)</f>
        <v>145000</v>
      </c>
      <c r="H186" s="125">
        <f t="shared" si="20"/>
        <v>580</v>
      </c>
      <c r="K186" s="328"/>
    </row>
    <row r="187" spans="3:11">
      <c r="C187" s="145" t="s">
        <v>1220</v>
      </c>
      <c r="D187" s="81"/>
      <c r="E187" s="81"/>
      <c r="F187" s="220"/>
      <c r="G187" s="221"/>
      <c r="H187" s="125">
        <f>SUM(H183:H186)</f>
        <v>45655</v>
      </c>
      <c r="I187" s="222"/>
      <c r="K187" s="328"/>
    </row>
    <row r="188" spans="3:11">
      <c r="C188" s="142" t="s">
        <v>1221</v>
      </c>
      <c r="D188" s="60" t="s">
        <v>1222</v>
      </c>
      <c r="E188" s="74"/>
      <c r="F188" s="74"/>
      <c r="G188" s="74"/>
      <c r="H188" s="147"/>
      <c r="K188" s="328"/>
    </row>
    <row r="189" spans="3:11">
      <c r="C189" s="146" t="s">
        <v>1215</v>
      </c>
      <c r="D189" s="78" t="s">
        <v>656</v>
      </c>
      <c r="E189" s="171" t="s">
        <v>63</v>
      </c>
      <c r="F189" s="172">
        <v>2.1</v>
      </c>
      <c r="G189" s="65">
        <f>VLOOKUP(D189,upahbahan,3,FALSE)</f>
        <v>700000</v>
      </c>
      <c r="H189" s="125">
        <f t="shared" ref="H189:H190" si="21">F189*G189</f>
        <v>1470000</v>
      </c>
      <c r="K189" s="328"/>
    </row>
    <row r="190" spans="3:11">
      <c r="C190" s="146" t="s">
        <v>1216</v>
      </c>
      <c r="D190" s="78" t="s">
        <v>1057</v>
      </c>
      <c r="E190" s="73" t="s">
        <v>1058</v>
      </c>
      <c r="F190" s="75">
        <v>0.14299999999999999</v>
      </c>
      <c r="G190" s="65">
        <f>VLOOKUP(D190,upahbahan,3,FALSE)</f>
        <v>33100</v>
      </c>
      <c r="H190" s="125">
        <f t="shared" si="21"/>
        <v>4733.2999999999993</v>
      </c>
      <c r="K190" s="328"/>
    </row>
    <row r="191" spans="3:11">
      <c r="C191" s="145" t="s">
        <v>1226</v>
      </c>
      <c r="D191" s="81"/>
      <c r="E191" s="81"/>
      <c r="F191" s="81"/>
      <c r="G191" s="163"/>
      <c r="H191" s="125">
        <f>SUM(H189:H190)</f>
        <v>1474733.3</v>
      </c>
      <c r="K191" s="328"/>
    </row>
    <row r="192" spans="3:11">
      <c r="C192" s="153" t="s">
        <v>1227</v>
      </c>
      <c r="D192" s="60" t="s">
        <v>1228</v>
      </c>
      <c r="E192" s="74"/>
      <c r="F192" s="74"/>
      <c r="G192" s="74"/>
      <c r="H192" s="147"/>
      <c r="K192" s="328"/>
    </row>
    <row r="193" spans="3:11">
      <c r="C193" s="145" t="s">
        <v>1229</v>
      </c>
      <c r="D193" s="81"/>
      <c r="E193" s="81"/>
      <c r="F193" s="81"/>
      <c r="G193" s="163"/>
      <c r="H193" s="154">
        <v>0</v>
      </c>
      <c r="K193" s="328"/>
    </row>
    <row r="194" spans="3:11">
      <c r="C194" s="123" t="s">
        <v>1230</v>
      </c>
      <c r="D194" s="70" t="s">
        <v>1231</v>
      </c>
      <c r="E194" s="71"/>
      <c r="F194" s="71"/>
      <c r="G194" s="72"/>
      <c r="H194" s="125">
        <f>H193+H191+H187</f>
        <v>1520388.3</v>
      </c>
      <c r="K194" s="328"/>
    </row>
    <row r="195" spans="3:11">
      <c r="C195" s="123" t="s">
        <v>1232</v>
      </c>
      <c r="D195" s="70" t="s">
        <v>1410</v>
      </c>
      <c r="E195" s="71"/>
      <c r="F195" s="72"/>
      <c r="G195" s="96">
        <f>$M$7</f>
        <v>0.1</v>
      </c>
      <c r="H195" s="125">
        <f>H194*G195</f>
        <v>152038.83000000002</v>
      </c>
      <c r="K195" s="328"/>
    </row>
    <row r="196" spans="3:11" ht="15.75" thickBot="1">
      <c r="C196" s="131" t="s">
        <v>1233</v>
      </c>
      <c r="D196" s="132" t="s">
        <v>1234</v>
      </c>
      <c r="E196" s="133"/>
      <c r="F196" s="133"/>
      <c r="G196" s="156"/>
      <c r="H196" s="135">
        <f>SUM(H194:H195)</f>
        <v>1672427.1300000001</v>
      </c>
      <c r="K196" s="328"/>
    </row>
    <row r="197" spans="3:11" ht="15.75" thickTop="1">
      <c r="K197" s="328"/>
    </row>
    <row r="198" spans="3:11" ht="15.75" thickBot="1">
      <c r="C198" s="519" t="s">
        <v>1696</v>
      </c>
      <c r="D198" s="519"/>
      <c r="E198" s="519"/>
      <c r="F198" s="519"/>
      <c r="G198" s="519"/>
      <c r="H198" s="519"/>
      <c r="I198" s="57">
        <f>ROUNDDOWN(H216,-2)</f>
        <v>1857000</v>
      </c>
      <c r="K198" s="328"/>
    </row>
    <row r="199" spans="3:11" ht="29.25" thickTop="1">
      <c r="C199" s="120" t="s">
        <v>1207</v>
      </c>
      <c r="D199" s="121" t="s">
        <v>1208</v>
      </c>
      <c r="E199" s="121" t="s">
        <v>1209</v>
      </c>
      <c r="F199" s="121" t="s">
        <v>1210</v>
      </c>
      <c r="G199" s="121" t="s">
        <v>1211</v>
      </c>
      <c r="H199" s="122" t="s">
        <v>1212</v>
      </c>
      <c r="K199" s="328"/>
    </row>
    <row r="200" spans="3:11">
      <c r="C200" s="142" t="s">
        <v>1213</v>
      </c>
      <c r="D200" s="60" t="s">
        <v>1214</v>
      </c>
      <c r="E200" s="74"/>
      <c r="F200" s="74"/>
      <c r="G200" s="74"/>
      <c r="H200" s="147"/>
      <c r="K200" s="328"/>
    </row>
    <row r="201" spans="3:11">
      <c r="C201" s="201" t="s">
        <v>1215</v>
      </c>
      <c r="D201" s="60" t="s">
        <v>5</v>
      </c>
      <c r="E201" s="73" t="s">
        <v>6</v>
      </c>
      <c r="F201" s="75">
        <v>0.25</v>
      </c>
      <c r="G201" s="65">
        <f>VLOOKUP(D201,upahbahan,3,FALSE)</f>
        <v>100000</v>
      </c>
      <c r="H201" s="125">
        <f t="shared" ref="H201:H205" si="22">F201*G201</f>
        <v>25000</v>
      </c>
      <c r="K201" s="328"/>
    </row>
    <row r="202" spans="3:11">
      <c r="C202" s="201" t="s">
        <v>1216</v>
      </c>
      <c r="D202" s="60" t="s">
        <v>8</v>
      </c>
      <c r="E202" s="73" t="s">
        <v>6</v>
      </c>
      <c r="F202" s="75">
        <v>0.125</v>
      </c>
      <c r="G202" s="65">
        <f>VLOOKUP(D202,upahbahan,3,FALSE)</f>
        <v>145000</v>
      </c>
      <c r="H202" s="125">
        <f t="shared" si="22"/>
        <v>18125</v>
      </c>
      <c r="K202" s="328"/>
    </row>
    <row r="203" spans="3:11">
      <c r="C203" s="201" t="s">
        <v>1217</v>
      </c>
      <c r="D203" s="60" t="s">
        <v>14</v>
      </c>
      <c r="E203" s="73" t="s">
        <v>6</v>
      </c>
      <c r="F203" s="75">
        <v>0.1</v>
      </c>
      <c r="G203" s="65">
        <f>VLOOKUP(D203,upahbahan,3,FALSE)</f>
        <v>145000</v>
      </c>
      <c r="H203" s="125">
        <f t="shared" si="22"/>
        <v>14500</v>
      </c>
      <c r="K203" s="328"/>
    </row>
    <row r="204" spans="3:11">
      <c r="C204" s="201" t="s">
        <v>1218</v>
      </c>
      <c r="D204" s="60" t="s">
        <v>18</v>
      </c>
      <c r="E204" s="73" t="s">
        <v>6</v>
      </c>
      <c r="F204" s="75">
        <v>1.2999999999999999E-2</v>
      </c>
      <c r="G204" s="65">
        <f>VLOOKUP(D204,upahbahan,3,FALSE)</f>
        <v>150000</v>
      </c>
      <c r="H204" s="125">
        <f t="shared" si="22"/>
        <v>1950</v>
      </c>
      <c r="K204" s="328"/>
    </row>
    <row r="205" spans="3:11">
      <c r="C205" s="201" t="s">
        <v>1219</v>
      </c>
      <c r="D205" s="60" t="s">
        <v>19</v>
      </c>
      <c r="E205" s="73" t="s">
        <v>6</v>
      </c>
      <c r="F205" s="75">
        <v>4.0000000000000001E-3</v>
      </c>
      <c r="G205" s="65">
        <f>VLOOKUP(D205,upahbahan,3,FALSE)</f>
        <v>145000</v>
      </c>
      <c r="H205" s="125">
        <f t="shared" si="22"/>
        <v>580</v>
      </c>
      <c r="K205" s="328"/>
    </row>
    <row r="206" spans="3:11">
      <c r="C206" s="145" t="s">
        <v>1220</v>
      </c>
      <c r="D206" s="81"/>
      <c r="E206" s="81"/>
      <c r="F206" s="220"/>
      <c r="G206" s="221"/>
      <c r="H206" s="125">
        <f>SUM(H201:H205)</f>
        <v>60155</v>
      </c>
      <c r="I206" s="222"/>
      <c r="K206" s="328"/>
    </row>
    <row r="207" spans="3:11">
      <c r="C207" s="142" t="s">
        <v>1221</v>
      </c>
      <c r="D207" s="60" t="s">
        <v>1222</v>
      </c>
      <c r="E207" s="74"/>
      <c r="F207" s="74"/>
      <c r="G207" s="74"/>
      <c r="H207" s="147"/>
      <c r="K207" s="328"/>
    </row>
    <row r="208" spans="3:11">
      <c r="C208" s="146" t="s">
        <v>1215</v>
      </c>
      <c r="D208" s="78" t="s">
        <v>656</v>
      </c>
      <c r="E208" s="171" t="s">
        <v>63</v>
      </c>
      <c r="F208" s="172">
        <v>2.1</v>
      </c>
      <c r="G208" s="65">
        <f>VLOOKUP(D208,upahbahan,3,FALSE)</f>
        <v>700000</v>
      </c>
      <c r="H208" s="125">
        <f t="shared" ref="H208:H210" si="23">F208*G208</f>
        <v>1470000</v>
      </c>
      <c r="K208" s="328"/>
    </row>
    <row r="209" spans="3:11">
      <c r="C209" s="146" t="s">
        <v>1216</v>
      </c>
      <c r="D209" s="78" t="s">
        <v>1057</v>
      </c>
      <c r="E209" s="73" t="s">
        <v>1058</v>
      </c>
      <c r="F209" s="75">
        <v>0.14299999999999999</v>
      </c>
      <c r="G209" s="65">
        <f>VLOOKUP(D209,upahbahan,3,FALSE)</f>
        <v>33100</v>
      </c>
      <c r="H209" s="125">
        <f t="shared" si="23"/>
        <v>4733.2999999999993</v>
      </c>
      <c r="K209" s="328"/>
    </row>
    <row r="210" spans="3:11">
      <c r="C210" s="146" t="s">
        <v>1217</v>
      </c>
      <c r="D210" s="78" t="s">
        <v>792</v>
      </c>
      <c r="E210" s="73" t="s">
        <v>114</v>
      </c>
      <c r="F210" s="75">
        <v>4</v>
      </c>
      <c r="G210" s="65">
        <f>VLOOKUP(D210,upahbahan,3,FALSE)</f>
        <v>38333</v>
      </c>
      <c r="H210" s="125">
        <f t="shared" si="23"/>
        <v>153332</v>
      </c>
      <c r="K210" s="328"/>
    </row>
    <row r="211" spans="3:11">
      <c r="C211" s="145" t="s">
        <v>1226</v>
      </c>
      <c r="D211" s="81"/>
      <c r="E211" s="81"/>
      <c r="F211" s="81"/>
      <c r="G211" s="163"/>
      <c r="H211" s="125">
        <f>SUM(H208:H210)</f>
        <v>1628065.3</v>
      </c>
      <c r="K211" s="328"/>
    </row>
    <row r="212" spans="3:11">
      <c r="C212" s="153" t="s">
        <v>1227</v>
      </c>
      <c r="D212" s="60" t="s">
        <v>1228</v>
      </c>
      <c r="E212" s="74"/>
      <c r="F212" s="74"/>
      <c r="G212" s="74"/>
      <c r="H212" s="147"/>
      <c r="K212" s="328"/>
    </row>
    <row r="213" spans="3:11">
      <c r="C213" s="145" t="s">
        <v>1229</v>
      </c>
      <c r="D213" s="81"/>
      <c r="E213" s="81"/>
      <c r="F213" s="81"/>
      <c r="G213" s="163"/>
      <c r="H213" s="154">
        <v>0</v>
      </c>
      <c r="K213" s="328"/>
    </row>
    <row r="214" spans="3:11">
      <c r="C214" s="123" t="s">
        <v>1230</v>
      </c>
      <c r="D214" s="70" t="s">
        <v>1231</v>
      </c>
      <c r="E214" s="71"/>
      <c r="F214" s="71"/>
      <c r="G214" s="72"/>
      <c r="H214" s="125">
        <f>H213+H211+H206</f>
        <v>1688220.3</v>
      </c>
      <c r="K214" s="328"/>
    </row>
    <row r="215" spans="3:11">
      <c r="C215" s="123" t="s">
        <v>1232</v>
      </c>
      <c r="D215" s="70" t="s">
        <v>1410</v>
      </c>
      <c r="E215" s="71"/>
      <c r="F215" s="72"/>
      <c r="G215" s="96">
        <f>$M$7</f>
        <v>0.1</v>
      </c>
      <c r="H215" s="125">
        <f>H214*G215</f>
        <v>168822.03000000003</v>
      </c>
      <c r="K215" s="328"/>
    </row>
    <row r="216" spans="3:11" ht="15.75" thickBot="1">
      <c r="C216" s="131" t="s">
        <v>1233</v>
      </c>
      <c r="D216" s="132" t="s">
        <v>1234</v>
      </c>
      <c r="E216" s="133"/>
      <c r="F216" s="133"/>
      <c r="G216" s="156"/>
      <c r="H216" s="135">
        <f>SUM(H214:H215)</f>
        <v>1857042.33</v>
      </c>
      <c r="K216" s="328"/>
    </row>
    <row r="217" spans="3:11" ht="15.75" thickTop="1">
      <c r="K217" s="328"/>
    </row>
    <row r="218" spans="3:11" ht="15.75" thickBot="1">
      <c r="C218" s="224" t="s">
        <v>1697</v>
      </c>
      <c r="D218" s="224"/>
      <c r="E218" s="224"/>
      <c r="F218" s="224"/>
      <c r="G218" s="224"/>
      <c r="H218" s="224"/>
      <c r="I218" s="57">
        <f>ROUNDDOWN(H234,-2)</f>
        <v>771300</v>
      </c>
      <c r="K218" s="328"/>
    </row>
    <row r="219" spans="3:11" ht="29.25" thickTop="1">
      <c r="C219" s="120" t="s">
        <v>1207</v>
      </c>
      <c r="D219" s="121" t="s">
        <v>1208</v>
      </c>
      <c r="E219" s="121" t="s">
        <v>1209</v>
      </c>
      <c r="F219" s="121" t="s">
        <v>1210</v>
      </c>
      <c r="G219" s="121" t="s">
        <v>1211</v>
      </c>
      <c r="H219" s="122" t="s">
        <v>1212</v>
      </c>
      <c r="K219" s="328"/>
    </row>
    <row r="220" spans="3:11">
      <c r="C220" s="142" t="s">
        <v>1213</v>
      </c>
      <c r="D220" s="60" t="s">
        <v>1214</v>
      </c>
      <c r="E220" s="74"/>
      <c r="F220" s="74"/>
      <c r="G220" s="74"/>
      <c r="H220" s="147"/>
      <c r="K220" s="328"/>
    </row>
    <row r="221" spans="3:11">
      <c r="C221" s="201" t="s">
        <v>1215</v>
      </c>
      <c r="D221" s="60" t="s">
        <v>5</v>
      </c>
      <c r="E221" s="73" t="s">
        <v>6</v>
      </c>
      <c r="F221" s="94">
        <v>0.2</v>
      </c>
      <c r="G221" s="65">
        <f>VLOOKUP(D221,upahbahan,3,FALSE)</f>
        <v>100000</v>
      </c>
      <c r="H221" s="125">
        <f t="shared" ref="H221:H224" si="24">F221*G221</f>
        <v>20000</v>
      </c>
      <c r="K221" s="328"/>
    </row>
    <row r="222" spans="3:11">
      <c r="C222" s="201" t="s">
        <v>1216</v>
      </c>
      <c r="D222" s="60" t="s">
        <v>14</v>
      </c>
      <c r="E222" s="73" t="s">
        <v>6</v>
      </c>
      <c r="F222" s="94">
        <v>0.1</v>
      </c>
      <c r="G222" s="65">
        <f>VLOOKUP(D222,upahbahan,3,FALSE)</f>
        <v>145000</v>
      </c>
      <c r="H222" s="125">
        <f t="shared" si="24"/>
        <v>14500</v>
      </c>
      <c r="K222" s="328"/>
    </row>
    <row r="223" spans="3:11">
      <c r="C223" s="201" t="s">
        <v>1217</v>
      </c>
      <c r="D223" s="60" t="s">
        <v>18</v>
      </c>
      <c r="E223" s="73" t="s">
        <v>6</v>
      </c>
      <c r="F223" s="94">
        <v>0.01</v>
      </c>
      <c r="G223" s="65">
        <f>VLOOKUP(D223,upahbahan,3,FALSE)</f>
        <v>150000</v>
      </c>
      <c r="H223" s="125">
        <f t="shared" si="24"/>
        <v>1500</v>
      </c>
      <c r="K223" s="328"/>
    </row>
    <row r="224" spans="3:11">
      <c r="C224" s="201" t="s">
        <v>1218</v>
      </c>
      <c r="D224" s="60" t="s">
        <v>19</v>
      </c>
      <c r="E224" s="73" t="s">
        <v>6</v>
      </c>
      <c r="F224" s="94">
        <v>3.3E-3</v>
      </c>
      <c r="G224" s="65">
        <f>VLOOKUP(D224,upahbahan,3,FALSE)</f>
        <v>145000</v>
      </c>
      <c r="H224" s="125">
        <f t="shared" si="24"/>
        <v>478.5</v>
      </c>
      <c r="K224" s="328"/>
    </row>
    <row r="225" spans="3:11">
      <c r="C225" s="145" t="s">
        <v>1220</v>
      </c>
      <c r="D225" s="81"/>
      <c r="E225" s="81"/>
      <c r="F225" s="220"/>
      <c r="G225" s="221"/>
      <c r="H225" s="125">
        <f>SUM(H221:H224)</f>
        <v>36478.5</v>
      </c>
      <c r="I225" s="222"/>
      <c r="K225" s="328"/>
    </row>
    <row r="226" spans="3:11">
      <c r="C226" s="142" t="s">
        <v>1221</v>
      </c>
      <c r="D226" s="60" t="s">
        <v>1222</v>
      </c>
      <c r="E226" s="74"/>
      <c r="F226" s="74"/>
      <c r="G226" s="74"/>
      <c r="H226" s="147"/>
      <c r="K226" s="328"/>
    </row>
    <row r="227" spans="3:11">
      <c r="C227" s="146" t="s">
        <v>1215</v>
      </c>
      <c r="D227" s="78" t="s">
        <v>664</v>
      </c>
      <c r="E227" s="171" t="s">
        <v>63</v>
      </c>
      <c r="F227" s="172">
        <v>1.1000000000000001</v>
      </c>
      <c r="G227" s="65">
        <f>VLOOKUP(D227,upahbahan,3,FALSE)</f>
        <v>600000</v>
      </c>
      <c r="H227" s="125">
        <f t="shared" ref="H227:H228" si="25">F227*G227</f>
        <v>660000</v>
      </c>
      <c r="K227" s="328"/>
    </row>
    <row r="228" spans="3:11">
      <c r="C228" s="146" t="s">
        <v>1216</v>
      </c>
      <c r="D228" s="78" t="s">
        <v>1057</v>
      </c>
      <c r="E228" s="73" t="s">
        <v>1058</v>
      </c>
      <c r="F228" s="75">
        <v>0.14299999999999999</v>
      </c>
      <c r="G228" s="65">
        <f>VLOOKUP(D228,upahbahan,3,FALSE)</f>
        <v>33100</v>
      </c>
      <c r="H228" s="125">
        <f t="shared" si="25"/>
        <v>4733.2999999999993</v>
      </c>
      <c r="K228" s="328"/>
    </row>
    <row r="229" spans="3:11">
      <c r="C229" s="145" t="s">
        <v>1226</v>
      </c>
      <c r="D229" s="81"/>
      <c r="E229" s="81"/>
      <c r="F229" s="81"/>
      <c r="G229" s="163"/>
      <c r="H229" s="125">
        <f>SUM(H227:H228)</f>
        <v>664733.30000000005</v>
      </c>
      <c r="K229" s="328"/>
    </row>
    <row r="230" spans="3:11">
      <c r="C230" s="153" t="s">
        <v>1227</v>
      </c>
      <c r="D230" s="60" t="s">
        <v>1228</v>
      </c>
      <c r="E230" s="74"/>
      <c r="F230" s="74"/>
      <c r="G230" s="74"/>
      <c r="H230" s="147"/>
      <c r="K230" s="328"/>
    </row>
    <row r="231" spans="3:11">
      <c r="C231" s="145" t="s">
        <v>1229</v>
      </c>
      <c r="D231" s="81"/>
      <c r="E231" s="81"/>
      <c r="F231" s="81"/>
      <c r="G231" s="163"/>
      <c r="H231" s="154">
        <v>0</v>
      </c>
      <c r="K231" s="328"/>
    </row>
    <row r="232" spans="3:11">
      <c r="C232" s="123" t="s">
        <v>1230</v>
      </c>
      <c r="D232" s="70" t="s">
        <v>1231</v>
      </c>
      <c r="E232" s="71"/>
      <c r="F232" s="71"/>
      <c r="G232" s="72"/>
      <c r="H232" s="125">
        <f>H231+H229+H225</f>
        <v>701211.8</v>
      </c>
      <c r="K232" s="328"/>
    </row>
    <row r="233" spans="3:11">
      <c r="C233" s="123" t="s">
        <v>1232</v>
      </c>
      <c r="D233" s="70" t="s">
        <v>1410</v>
      </c>
      <c r="E233" s="71"/>
      <c r="F233" s="72"/>
      <c r="G233" s="96">
        <f>$M$7</f>
        <v>0.1</v>
      </c>
      <c r="H233" s="125">
        <f>H232*G233</f>
        <v>70121.180000000008</v>
      </c>
      <c r="K233" s="328"/>
    </row>
    <row r="234" spans="3:11" ht="15.75" thickBot="1">
      <c r="C234" s="131" t="s">
        <v>1233</v>
      </c>
      <c r="D234" s="132" t="s">
        <v>1234</v>
      </c>
      <c r="E234" s="133"/>
      <c r="F234" s="133"/>
      <c r="G234" s="156"/>
      <c r="H234" s="135">
        <f>SUM(H232:H233)</f>
        <v>771332.9800000001</v>
      </c>
      <c r="K234" s="328"/>
    </row>
    <row r="235" spans="3:11" ht="15.75" thickTop="1">
      <c r="K235" s="328"/>
    </row>
    <row r="236" spans="3:11" ht="15.75" thickBot="1">
      <c r="C236" s="224" t="s">
        <v>1698</v>
      </c>
      <c r="D236" s="224"/>
      <c r="E236" s="224"/>
      <c r="F236" s="224"/>
      <c r="G236" s="224"/>
      <c r="H236" s="224"/>
      <c r="I236" s="57">
        <f>ROUNDDOWN(H254,-2)</f>
        <v>1329000</v>
      </c>
      <c r="K236" s="328"/>
    </row>
    <row r="237" spans="3:11" ht="29.25" thickTop="1">
      <c r="C237" s="120" t="s">
        <v>1207</v>
      </c>
      <c r="D237" s="121" t="s">
        <v>1208</v>
      </c>
      <c r="E237" s="121" t="s">
        <v>1209</v>
      </c>
      <c r="F237" s="121" t="s">
        <v>1210</v>
      </c>
      <c r="G237" s="121" t="s">
        <v>1211</v>
      </c>
      <c r="H237" s="122" t="s">
        <v>1212</v>
      </c>
    </row>
    <row r="238" spans="3:11">
      <c r="C238" s="142" t="s">
        <v>1213</v>
      </c>
      <c r="D238" s="60" t="s">
        <v>1214</v>
      </c>
      <c r="E238" s="74"/>
      <c r="F238" s="74"/>
      <c r="G238" s="74"/>
      <c r="H238" s="147"/>
    </row>
    <row r="239" spans="3:11">
      <c r="C239" s="201" t="s">
        <v>1215</v>
      </c>
      <c r="D239" s="60" t="s">
        <v>5</v>
      </c>
      <c r="E239" s="73" t="s">
        <v>6</v>
      </c>
      <c r="F239" s="75">
        <v>0.25</v>
      </c>
      <c r="G239" s="65">
        <f>VLOOKUP(D239,upahbahan,3,FALSE)</f>
        <v>100000</v>
      </c>
      <c r="H239" s="125">
        <f t="shared" ref="H239:H243" si="26">F239*G239</f>
        <v>25000</v>
      </c>
    </row>
    <row r="240" spans="3:11">
      <c r="C240" s="201" t="s">
        <v>1216</v>
      </c>
      <c r="D240" s="60" t="s">
        <v>8</v>
      </c>
      <c r="E240" s="73" t="s">
        <v>6</v>
      </c>
      <c r="F240" s="75">
        <v>0.125</v>
      </c>
      <c r="G240" s="65">
        <f>VLOOKUP(D240,upahbahan,3,FALSE)</f>
        <v>145000</v>
      </c>
      <c r="H240" s="125">
        <f t="shared" si="26"/>
        <v>18125</v>
      </c>
    </row>
    <row r="241" spans="3:9">
      <c r="C241" s="201" t="s">
        <v>1217</v>
      </c>
      <c r="D241" s="60" t="s">
        <v>14</v>
      </c>
      <c r="E241" s="73" t="s">
        <v>6</v>
      </c>
      <c r="F241" s="75">
        <v>0.1</v>
      </c>
      <c r="G241" s="65">
        <f>VLOOKUP(D241,upahbahan,3,FALSE)</f>
        <v>145000</v>
      </c>
      <c r="H241" s="125">
        <f t="shared" si="26"/>
        <v>14500</v>
      </c>
    </row>
    <row r="242" spans="3:9">
      <c r="C242" s="201" t="s">
        <v>1218</v>
      </c>
      <c r="D242" s="60" t="s">
        <v>18</v>
      </c>
      <c r="E242" s="73" t="s">
        <v>6</v>
      </c>
      <c r="F242" s="75">
        <v>1.2999999999999999E-2</v>
      </c>
      <c r="G242" s="65">
        <f>VLOOKUP(D242,upahbahan,3,FALSE)</f>
        <v>150000</v>
      </c>
      <c r="H242" s="125">
        <f t="shared" si="26"/>
        <v>1950</v>
      </c>
    </row>
    <row r="243" spans="3:9">
      <c r="C243" s="201" t="s">
        <v>1219</v>
      </c>
      <c r="D243" s="60" t="s">
        <v>19</v>
      </c>
      <c r="E243" s="73" t="s">
        <v>6</v>
      </c>
      <c r="F243" s="75">
        <v>4.0000000000000001E-3</v>
      </c>
      <c r="G243" s="65">
        <f>VLOOKUP(D243,upahbahan,3,FALSE)</f>
        <v>145000</v>
      </c>
      <c r="H243" s="125">
        <f t="shared" si="26"/>
        <v>580</v>
      </c>
    </row>
    <row r="244" spans="3:9">
      <c r="C244" s="145" t="s">
        <v>1220</v>
      </c>
      <c r="D244" s="81"/>
      <c r="E244" s="81"/>
      <c r="F244" s="220"/>
      <c r="G244" s="221"/>
      <c r="H244" s="125">
        <f>SUM(H239:H243)</f>
        <v>60155</v>
      </c>
      <c r="I244" s="222"/>
    </row>
    <row r="245" spans="3:9">
      <c r="C245" s="142" t="s">
        <v>1221</v>
      </c>
      <c r="D245" s="60" t="s">
        <v>1222</v>
      </c>
      <c r="E245" s="74"/>
      <c r="F245" s="74"/>
      <c r="G245" s="74"/>
      <c r="H245" s="147"/>
    </row>
    <row r="246" spans="3:9">
      <c r="C246" s="146" t="s">
        <v>1215</v>
      </c>
      <c r="D246" s="78" t="s">
        <v>655</v>
      </c>
      <c r="E246" s="171" t="s">
        <v>63</v>
      </c>
      <c r="F246" s="172">
        <v>1.1000000000000001</v>
      </c>
      <c r="G246" s="65">
        <f>VLOOKUP(D246,upahbahan,3,FALSE)</f>
        <v>900000</v>
      </c>
      <c r="H246" s="125">
        <f t="shared" ref="H246:H248" si="27">F246*G246</f>
        <v>990000.00000000012</v>
      </c>
    </row>
    <row r="247" spans="3:9">
      <c r="C247" s="146" t="s">
        <v>1216</v>
      </c>
      <c r="D247" s="78" t="s">
        <v>1057</v>
      </c>
      <c r="E247" s="73" t="s">
        <v>1058</v>
      </c>
      <c r="F247" s="75">
        <v>0.14299999999999999</v>
      </c>
      <c r="G247" s="65">
        <f>VLOOKUP(D247,upahbahan,3,FALSE)</f>
        <v>33100</v>
      </c>
      <c r="H247" s="125">
        <f t="shared" si="27"/>
        <v>4733.2999999999993</v>
      </c>
    </row>
    <row r="248" spans="3:9">
      <c r="C248" s="146" t="s">
        <v>1217</v>
      </c>
      <c r="D248" s="78" t="s">
        <v>792</v>
      </c>
      <c r="E248" s="73" t="s">
        <v>114</v>
      </c>
      <c r="F248" s="75">
        <v>4</v>
      </c>
      <c r="G248" s="65">
        <f>VLOOKUP(D248,upahbahan,3,FALSE)</f>
        <v>38333</v>
      </c>
      <c r="H248" s="125">
        <f t="shared" si="27"/>
        <v>153332</v>
      </c>
    </row>
    <row r="249" spans="3:9">
      <c r="C249" s="145" t="s">
        <v>1226</v>
      </c>
      <c r="D249" s="81"/>
      <c r="E249" s="81"/>
      <c r="F249" s="81"/>
      <c r="G249" s="163"/>
      <c r="H249" s="125">
        <f>SUM(H246:H248)</f>
        <v>1148065.3000000003</v>
      </c>
    </row>
    <row r="250" spans="3:9">
      <c r="C250" s="153" t="s">
        <v>1227</v>
      </c>
      <c r="D250" s="60" t="s">
        <v>1228</v>
      </c>
      <c r="E250" s="74"/>
      <c r="F250" s="74"/>
      <c r="G250" s="74"/>
      <c r="H250" s="147"/>
    </row>
    <row r="251" spans="3:9">
      <c r="C251" s="145" t="s">
        <v>1229</v>
      </c>
      <c r="D251" s="81"/>
      <c r="E251" s="81"/>
      <c r="F251" s="81"/>
      <c r="G251" s="163"/>
      <c r="H251" s="154">
        <v>0</v>
      </c>
    </row>
    <row r="252" spans="3:9">
      <c r="C252" s="123" t="s">
        <v>1230</v>
      </c>
      <c r="D252" s="70" t="s">
        <v>1231</v>
      </c>
      <c r="E252" s="71"/>
      <c r="F252" s="71"/>
      <c r="G252" s="72"/>
      <c r="H252" s="125">
        <f>H251+H249+H244</f>
        <v>1208220.3000000003</v>
      </c>
    </row>
    <row r="253" spans="3:9">
      <c r="C253" s="123" t="s">
        <v>1232</v>
      </c>
      <c r="D253" s="70" t="s">
        <v>1410</v>
      </c>
      <c r="E253" s="71"/>
      <c r="F253" s="72"/>
      <c r="G253" s="96">
        <f>$M$7</f>
        <v>0.1</v>
      </c>
      <c r="H253" s="125">
        <f>H252*G253</f>
        <v>120822.03000000003</v>
      </c>
    </row>
    <row r="254" spans="3:9" ht="15.75" thickBot="1">
      <c r="C254" s="131" t="s">
        <v>1233</v>
      </c>
      <c r="D254" s="132" t="s">
        <v>1234</v>
      </c>
      <c r="E254" s="133"/>
      <c r="F254" s="133"/>
      <c r="G254" s="156"/>
      <c r="H254" s="135">
        <f>SUM(H252:H253)</f>
        <v>1329042.3300000003</v>
      </c>
    </row>
    <row r="255" spans="3:9" ht="15.75" thickTop="1"/>
  </sheetData>
  <mergeCells count="1">
    <mergeCell ref="C198:H19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19C8-798A-4504-BEBF-563E7AD90DCC}">
  <dimension ref="C1:M118"/>
  <sheetViews>
    <sheetView zoomScale="90" zoomScaleNormal="90" workbookViewId="0">
      <selection activeCell="C3" sqref="C3:I123"/>
    </sheetView>
    <sheetView workbookViewId="1"/>
  </sheetViews>
  <sheetFormatPr defaultColWidth="8.85546875" defaultRowHeight="14.25"/>
  <cols>
    <col min="1" max="2" width="4" style="56" customWidth="1"/>
    <col min="3" max="3" width="5.140625" style="336" customWidth="1"/>
    <col min="4" max="4" width="37" style="63" customWidth="1"/>
    <col min="5" max="5" width="6.7109375" style="63" customWidth="1"/>
    <col min="6" max="6" width="10.7109375" style="63" customWidth="1"/>
    <col min="7" max="7" width="14.42578125" style="63" customWidth="1"/>
    <col min="8" max="8" width="16.42578125" style="63" customWidth="1"/>
    <col min="9" max="9" width="14.7109375" style="63" customWidth="1"/>
    <col min="10" max="10" width="16.140625" style="160" customWidth="1"/>
    <col min="11" max="11" width="11.7109375" style="56" bestFit="1" customWidth="1"/>
    <col min="12" max="16384" width="8.85546875" style="56"/>
  </cols>
  <sheetData>
    <row r="1" spans="3:13" ht="7.9" customHeight="1"/>
    <row r="2" spans="3:13" ht="7.9" customHeight="1"/>
    <row r="3" spans="3:13" ht="15">
      <c r="C3" s="170" t="str">
        <f>'[1]Daftar HSP'!A425</f>
        <v>O</v>
      </c>
      <c r="D3" s="180" t="str">
        <f>'[1]Daftar HSP'!B425</f>
        <v>PEKERJAAN BESI DAN ALUMINIUM</v>
      </c>
      <c r="E3" s="54"/>
      <c r="F3" s="54"/>
      <c r="G3" s="54"/>
      <c r="H3" s="54"/>
    </row>
    <row r="4" spans="3:13" ht="15.75" thickBot="1">
      <c r="C4" s="224" t="s">
        <v>1699</v>
      </c>
      <c r="D4" s="346"/>
      <c r="E4" s="346"/>
      <c r="F4" s="346"/>
      <c r="G4" s="346"/>
      <c r="H4" s="346"/>
      <c r="I4" s="57">
        <f>ROUNDDOWN(H20,-2)</f>
        <v>88600</v>
      </c>
      <c r="K4" s="216"/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</row>
    <row r="6" spans="3:13">
      <c r="C6" s="334" t="s">
        <v>1213</v>
      </c>
      <c r="D6" s="60" t="s">
        <v>1214</v>
      </c>
      <c r="E6" s="74"/>
      <c r="F6" s="74"/>
      <c r="G6" s="74"/>
      <c r="H6" s="147"/>
      <c r="J6" s="160" t="s">
        <v>1265</v>
      </c>
    </row>
    <row r="7" spans="3:13">
      <c r="C7" s="335">
        <v>1</v>
      </c>
      <c r="D7" s="60" t="s">
        <v>5</v>
      </c>
      <c r="E7" s="73" t="s">
        <v>6</v>
      </c>
      <c r="F7" s="94">
        <v>4.2999999999999997E-2</v>
      </c>
      <c r="G7" s="65">
        <f>VLOOKUP(D7,upahbahan,3,FALSE)</f>
        <v>100000</v>
      </c>
      <c r="H7" s="125">
        <f t="shared" ref="H7:H10" si="0">F7*G7</f>
        <v>4300</v>
      </c>
      <c r="J7" s="160" t="s">
        <v>1266</v>
      </c>
      <c r="M7" s="66">
        <v>0.1</v>
      </c>
    </row>
    <row r="8" spans="3:13">
      <c r="C8" s="335">
        <v>2</v>
      </c>
      <c r="D8" s="60" t="s">
        <v>14</v>
      </c>
      <c r="E8" s="73" t="s">
        <v>6</v>
      </c>
      <c r="F8" s="94">
        <v>4.2999999999999997E-2</v>
      </c>
      <c r="G8" s="65">
        <f>VLOOKUP(D8,upahbahan,3,FALSE)</f>
        <v>145000</v>
      </c>
      <c r="H8" s="125">
        <f t="shared" si="0"/>
        <v>6234.9999999999991</v>
      </c>
    </row>
    <row r="9" spans="3:13">
      <c r="C9" s="335">
        <v>3</v>
      </c>
      <c r="D9" s="60" t="s">
        <v>18</v>
      </c>
      <c r="E9" s="73" t="s">
        <v>6</v>
      </c>
      <c r="F9" s="94">
        <v>4.3E-3</v>
      </c>
      <c r="G9" s="65">
        <f>VLOOKUP(D9,upahbahan,3,FALSE)</f>
        <v>150000</v>
      </c>
      <c r="H9" s="125">
        <f t="shared" si="0"/>
        <v>645</v>
      </c>
    </row>
    <row r="10" spans="3:13">
      <c r="C10" s="335">
        <v>4</v>
      </c>
      <c r="D10" s="60" t="s">
        <v>19</v>
      </c>
      <c r="E10" s="73" t="s">
        <v>6</v>
      </c>
      <c r="F10" s="94">
        <v>1.4E-3</v>
      </c>
      <c r="G10" s="65">
        <f>VLOOKUP(D10,upahbahan,3,FALSE)</f>
        <v>145000</v>
      </c>
      <c r="H10" s="125">
        <f t="shared" si="0"/>
        <v>203</v>
      </c>
    </row>
    <row r="11" spans="3:13">
      <c r="C11" s="145" t="s">
        <v>1220</v>
      </c>
      <c r="D11" s="81"/>
      <c r="E11" s="81"/>
      <c r="F11" s="220"/>
      <c r="G11" s="221"/>
      <c r="H11" s="125">
        <f>SUM(H7:H10)</f>
        <v>11383</v>
      </c>
      <c r="I11" s="223"/>
    </row>
    <row r="12" spans="3:13">
      <c r="C12" s="347" t="s">
        <v>1221</v>
      </c>
      <c r="D12" s="337" t="s">
        <v>1222</v>
      </c>
      <c r="E12" s="74"/>
      <c r="G12" s="74"/>
      <c r="H12" s="348"/>
    </row>
    <row r="13" spans="3:13">
      <c r="C13" s="347">
        <v>1</v>
      </c>
      <c r="D13" s="337" t="s">
        <v>819</v>
      </c>
      <c r="E13" s="171" t="s">
        <v>114</v>
      </c>
      <c r="F13" s="64">
        <v>1.1000000000000001</v>
      </c>
      <c r="G13" s="65">
        <f>VLOOKUP(D13,upahbahan,3,FALSE)</f>
        <v>60000</v>
      </c>
      <c r="H13" s="125">
        <f t="shared" ref="H13:H14" si="1">F13*G13</f>
        <v>66000</v>
      </c>
    </row>
    <row r="14" spans="3:13">
      <c r="C14" s="335">
        <v>2</v>
      </c>
      <c r="D14" s="60" t="s">
        <v>1069</v>
      </c>
      <c r="E14" s="73" t="s">
        <v>44</v>
      </c>
      <c r="F14" s="338">
        <v>2</v>
      </c>
      <c r="G14" s="65">
        <f>VLOOKUP(D14,upahbahan,3,FALSE)</f>
        <v>1600</v>
      </c>
      <c r="H14" s="125">
        <f t="shared" si="1"/>
        <v>3200</v>
      </c>
    </row>
    <row r="15" spans="3:13">
      <c r="C15" s="145" t="s">
        <v>1226</v>
      </c>
      <c r="D15" s="81"/>
      <c r="E15" s="81"/>
      <c r="F15" s="81"/>
      <c r="G15" s="163"/>
      <c r="H15" s="125">
        <f>SUM(H13:H14)</f>
        <v>69200</v>
      </c>
    </row>
    <row r="16" spans="3:13">
      <c r="C16" s="153" t="s">
        <v>1227</v>
      </c>
      <c r="D16" s="60" t="s">
        <v>1228</v>
      </c>
      <c r="E16" s="74"/>
      <c r="F16" s="74"/>
      <c r="G16" s="74"/>
      <c r="H16" s="147"/>
    </row>
    <row r="17" spans="3:11">
      <c r="C17" s="145" t="s">
        <v>1229</v>
      </c>
      <c r="D17" s="81"/>
      <c r="E17" s="81"/>
      <c r="F17" s="81"/>
      <c r="G17" s="163"/>
      <c r="H17" s="154">
        <v>0</v>
      </c>
    </row>
    <row r="18" spans="3:11">
      <c r="C18" s="123" t="s">
        <v>1230</v>
      </c>
      <c r="D18" s="70" t="s">
        <v>1231</v>
      </c>
      <c r="E18" s="71"/>
      <c r="F18" s="71"/>
      <c r="G18" s="72"/>
      <c r="H18" s="125">
        <f>H17+H15+H11</f>
        <v>80583</v>
      </c>
    </row>
    <row r="19" spans="3:11">
      <c r="C19" s="123" t="s">
        <v>1232</v>
      </c>
      <c r="D19" s="70" t="s">
        <v>1410</v>
      </c>
      <c r="E19" s="71"/>
      <c r="F19" s="72"/>
      <c r="G19" s="96">
        <f>$M$7</f>
        <v>0.1</v>
      </c>
      <c r="H19" s="125">
        <f>H18*G19</f>
        <v>8058.3</v>
      </c>
    </row>
    <row r="20" spans="3:11" ht="15.75" thickBot="1">
      <c r="C20" s="131" t="s">
        <v>1233</v>
      </c>
      <c r="D20" s="132" t="s">
        <v>1234</v>
      </c>
      <c r="E20" s="133"/>
      <c r="F20" s="133"/>
      <c r="G20" s="156"/>
      <c r="H20" s="135">
        <f>SUM(H18:H19)</f>
        <v>88641.3</v>
      </c>
    </row>
    <row r="21" spans="3:11" ht="15.75" thickTop="1">
      <c r="C21" s="339"/>
      <c r="D21" s="91"/>
      <c r="E21" s="91"/>
      <c r="F21" s="91"/>
      <c r="G21" s="91"/>
      <c r="H21" s="92"/>
    </row>
    <row r="22" spans="3:11" ht="15.75" thickBot="1">
      <c r="C22" s="224" t="s">
        <v>1700</v>
      </c>
      <c r="D22" s="346"/>
      <c r="E22" s="346"/>
      <c r="F22" s="346"/>
      <c r="G22" s="346"/>
      <c r="H22" s="346"/>
      <c r="I22" s="57">
        <f>ROUNDDOWN(H38,-2)</f>
        <v>740300</v>
      </c>
      <c r="K22" s="216"/>
    </row>
    <row r="23" spans="3:11" ht="29.25" thickTop="1">
      <c r="C23" s="120" t="s">
        <v>1207</v>
      </c>
      <c r="D23" s="121" t="s">
        <v>1208</v>
      </c>
      <c r="E23" s="121" t="s">
        <v>1209</v>
      </c>
      <c r="F23" s="121" t="s">
        <v>1210</v>
      </c>
      <c r="G23" s="121" t="s">
        <v>1211</v>
      </c>
      <c r="H23" s="122" t="s">
        <v>1212</v>
      </c>
      <c r="K23" s="216"/>
    </row>
    <row r="24" spans="3:11">
      <c r="C24" s="334" t="s">
        <v>1213</v>
      </c>
      <c r="D24" s="60" t="s">
        <v>1214</v>
      </c>
      <c r="E24" s="74"/>
      <c r="F24" s="74"/>
      <c r="G24" s="74"/>
      <c r="H24" s="147"/>
      <c r="K24" s="216"/>
    </row>
    <row r="25" spans="3:11">
      <c r="C25" s="335">
        <v>1</v>
      </c>
      <c r="D25" s="60" t="s">
        <v>5</v>
      </c>
      <c r="E25" s="73" t="s">
        <v>6</v>
      </c>
      <c r="F25" s="94">
        <v>4.2999999999999997E-2</v>
      </c>
      <c r="G25" s="65">
        <f>VLOOKUP(D25,upahbahan,3,FALSE)</f>
        <v>100000</v>
      </c>
      <c r="H25" s="125">
        <f t="shared" ref="H25:H28" si="2">F25*G25</f>
        <v>4300</v>
      </c>
      <c r="K25" s="216"/>
    </row>
    <row r="26" spans="3:11">
      <c r="C26" s="335">
        <v>2</v>
      </c>
      <c r="D26" s="60" t="s">
        <v>14</v>
      </c>
      <c r="E26" s="73" t="s">
        <v>6</v>
      </c>
      <c r="F26" s="94">
        <v>4.2999999999999997E-2</v>
      </c>
      <c r="G26" s="65">
        <f>VLOOKUP(D26,upahbahan,3,FALSE)</f>
        <v>145000</v>
      </c>
      <c r="H26" s="125">
        <f t="shared" si="2"/>
        <v>6234.9999999999991</v>
      </c>
      <c r="K26" s="216"/>
    </row>
    <row r="27" spans="3:11">
      <c r="C27" s="335">
        <v>3</v>
      </c>
      <c r="D27" s="60" t="s">
        <v>18</v>
      </c>
      <c r="E27" s="73" t="s">
        <v>6</v>
      </c>
      <c r="F27" s="94">
        <v>4.3E-3</v>
      </c>
      <c r="G27" s="65">
        <f>VLOOKUP(D27,upahbahan,3,FALSE)</f>
        <v>150000</v>
      </c>
      <c r="H27" s="125">
        <f t="shared" si="2"/>
        <v>645</v>
      </c>
      <c r="K27" s="216"/>
    </row>
    <row r="28" spans="3:11">
      <c r="C28" s="335">
        <v>4</v>
      </c>
      <c r="D28" s="60" t="s">
        <v>19</v>
      </c>
      <c r="E28" s="73" t="s">
        <v>6</v>
      </c>
      <c r="F28" s="94">
        <v>1.4E-3</v>
      </c>
      <c r="G28" s="65">
        <f>VLOOKUP(D28,upahbahan,3,FALSE)</f>
        <v>145000</v>
      </c>
      <c r="H28" s="125">
        <f t="shared" si="2"/>
        <v>203</v>
      </c>
      <c r="K28" s="216"/>
    </row>
    <row r="29" spans="3:11">
      <c r="C29" s="145" t="s">
        <v>1220</v>
      </c>
      <c r="D29" s="81"/>
      <c r="E29" s="81"/>
      <c r="F29" s="220"/>
      <c r="G29" s="221"/>
      <c r="H29" s="125">
        <f>SUM(H25:H28)</f>
        <v>11383</v>
      </c>
      <c r="I29" s="223"/>
      <c r="K29" s="216"/>
    </row>
    <row r="30" spans="3:11">
      <c r="C30" s="347" t="s">
        <v>1221</v>
      </c>
      <c r="D30" s="337" t="s">
        <v>1222</v>
      </c>
      <c r="E30" s="74"/>
      <c r="G30" s="74"/>
      <c r="H30" s="348"/>
      <c r="K30" s="216"/>
    </row>
    <row r="31" spans="3:11">
      <c r="C31" s="347">
        <v>1</v>
      </c>
      <c r="D31" s="337" t="s">
        <v>797</v>
      </c>
      <c r="E31" s="171" t="s">
        <v>63</v>
      </c>
      <c r="F31" s="64">
        <v>1.1000000000000001</v>
      </c>
      <c r="G31" s="65">
        <f>VLOOKUP(D31,upahbahan,3,FALSE)</f>
        <v>600000</v>
      </c>
      <c r="H31" s="125">
        <f t="shared" ref="H31:H32" si="3">F31*G31</f>
        <v>660000</v>
      </c>
      <c r="K31" s="216"/>
    </row>
    <row r="32" spans="3:11">
      <c r="C32" s="335">
        <v>2</v>
      </c>
      <c r="D32" s="60" t="s">
        <v>1057</v>
      </c>
      <c r="E32" s="73" t="s">
        <v>1058</v>
      </c>
      <c r="F32" s="338">
        <v>0.05</v>
      </c>
      <c r="G32" s="65">
        <f>VLOOKUP(D32,upahbahan,3,FALSE)</f>
        <v>33100</v>
      </c>
      <c r="H32" s="125">
        <f t="shared" si="3"/>
        <v>1655</v>
      </c>
      <c r="K32" s="216"/>
    </row>
    <row r="33" spans="3:11">
      <c r="C33" s="145" t="s">
        <v>1226</v>
      </c>
      <c r="D33" s="81"/>
      <c r="E33" s="81"/>
      <c r="F33" s="81"/>
      <c r="G33" s="163"/>
      <c r="H33" s="125">
        <f>SUM(H31:H32)</f>
        <v>661655</v>
      </c>
      <c r="K33" s="216"/>
    </row>
    <row r="34" spans="3:11">
      <c r="C34" s="153" t="s">
        <v>1227</v>
      </c>
      <c r="D34" s="60" t="s">
        <v>1228</v>
      </c>
      <c r="E34" s="74"/>
      <c r="F34" s="74"/>
      <c r="G34" s="74"/>
      <c r="H34" s="147"/>
      <c r="K34" s="216"/>
    </row>
    <row r="35" spans="3:11">
      <c r="C35" s="145" t="s">
        <v>1229</v>
      </c>
      <c r="D35" s="81"/>
      <c r="E35" s="81"/>
      <c r="F35" s="81"/>
      <c r="G35" s="163"/>
      <c r="H35" s="154">
        <v>0</v>
      </c>
      <c r="K35" s="216"/>
    </row>
    <row r="36" spans="3:11">
      <c r="C36" s="123" t="s">
        <v>1230</v>
      </c>
      <c r="D36" s="70" t="s">
        <v>1231</v>
      </c>
      <c r="E36" s="71"/>
      <c r="F36" s="71"/>
      <c r="G36" s="72"/>
      <c r="H36" s="125">
        <f>H35+H33+H29</f>
        <v>673038</v>
      </c>
      <c r="K36" s="216"/>
    </row>
    <row r="37" spans="3:11">
      <c r="C37" s="123" t="s">
        <v>1232</v>
      </c>
      <c r="D37" s="70" t="s">
        <v>1410</v>
      </c>
      <c r="E37" s="71"/>
      <c r="F37" s="72"/>
      <c r="G37" s="96">
        <f>$M$7</f>
        <v>0.1</v>
      </c>
      <c r="H37" s="125">
        <f>H36*G37</f>
        <v>67303.8</v>
      </c>
      <c r="K37" s="216"/>
    </row>
    <row r="38" spans="3:11" ht="15.75" thickBot="1">
      <c r="C38" s="131" t="s">
        <v>1233</v>
      </c>
      <c r="D38" s="132" t="s">
        <v>1234</v>
      </c>
      <c r="E38" s="133"/>
      <c r="F38" s="133"/>
      <c r="G38" s="156"/>
      <c r="H38" s="135">
        <f>SUM(H36:H37)</f>
        <v>740341.8</v>
      </c>
      <c r="K38" s="216"/>
    </row>
    <row r="39" spans="3:11" ht="15.75" thickTop="1">
      <c r="C39" s="339"/>
      <c r="D39" s="91"/>
      <c r="E39" s="91"/>
      <c r="F39" s="91"/>
      <c r="G39" s="91"/>
      <c r="H39" s="92"/>
      <c r="K39" s="216"/>
    </row>
    <row r="40" spans="3:11" ht="15.75" thickBot="1">
      <c r="C40" s="224" t="s">
        <v>1701</v>
      </c>
      <c r="D40" s="346"/>
      <c r="E40" s="346"/>
      <c r="F40" s="346"/>
      <c r="G40" s="346"/>
      <c r="H40" s="346"/>
      <c r="I40" s="57">
        <f>ROUNDDOWN(H58,-2)</f>
        <v>614200</v>
      </c>
      <c r="K40" s="216"/>
    </row>
    <row r="41" spans="3:11" ht="29.25" thickTop="1">
      <c r="C41" s="120" t="s">
        <v>1207</v>
      </c>
      <c r="D41" s="121" t="s">
        <v>1208</v>
      </c>
      <c r="E41" s="121" t="s">
        <v>1209</v>
      </c>
      <c r="F41" s="121" t="s">
        <v>1210</v>
      </c>
      <c r="G41" s="121" t="s">
        <v>1211</v>
      </c>
      <c r="H41" s="122" t="s">
        <v>1212</v>
      </c>
      <c r="K41" s="216"/>
    </row>
    <row r="42" spans="3:11">
      <c r="C42" s="334" t="s">
        <v>1213</v>
      </c>
      <c r="D42" s="60" t="s">
        <v>1214</v>
      </c>
      <c r="E42" s="74"/>
      <c r="F42" s="74"/>
      <c r="G42" s="74"/>
      <c r="H42" s="147"/>
      <c r="K42" s="216"/>
    </row>
    <row r="43" spans="3:11">
      <c r="C43" s="335">
        <v>1</v>
      </c>
      <c r="D43" s="60" t="s">
        <v>5</v>
      </c>
      <c r="E43" s="73" t="s">
        <v>6</v>
      </c>
      <c r="F43" s="94">
        <v>0.25</v>
      </c>
      <c r="G43" s="65">
        <f>VLOOKUP(D43,upahbahan,3,FALSE)</f>
        <v>100000</v>
      </c>
      <c r="H43" s="125">
        <f t="shared" ref="H43:H46" si="4">F43*G43</f>
        <v>25000</v>
      </c>
      <c r="K43" s="216"/>
    </row>
    <row r="44" spans="3:11">
      <c r="C44" s="335">
        <v>2</v>
      </c>
      <c r="D44" s="60" t="s">
        <v>9</v>
      </c>
      <c r="E44" s="73" t="s">
        <v>6</v>
      </c>
      <c r="F44" s="94">
        <v>0.25</v>
      </c>
      <c r="G44" s="65">
        <f>VLOOKUP(D44,upahbahan,3,FALSE)</f>
        <v>145000</v>
      </c>
      <c r="H44" s="125">
        <f t="shared" si="4"/>
        <v>36250</v>
      </c>
      <c r="K44" s="216"/>
    </row>
    <row r="45" spans="3:11">
      <c r="C45" s="335">
        <v>3</v>
      </c>
      <c r="D45" s="60" t="s">
        <v>18</v>
      </c>
      <c r="E45" s="73" t="s">
        <v>6</v>
      </c>
      <c r="F45" s="94">
        <v>2.5000000000000001E-2</v>
      </c>
      <c r="G45" s="65">
        <f>VLOOKUP(D45,upahbahan,3,FALSE)</f>
        <v>150000</v>
      </c>
      <c r="H45" s="125">
        <f t="shared" si="4"/>
        <v>3750</v>
      </c>
      <c r="K45" s="216"/>
    </row>
    <row r="46" spans="3:11">
      <c r="C46" s="335">
        <v>4</v>
      </c>
      <c r="D46" s="60" t="s">
        <v>19</v>
      </c>
      <c r="E46" s="73" t="s">
        <v>6</v>
      </c>
      <c r="F46" s="94">
        <v>1.2999999999999999E-2</v>
      </c>
      <c r="G46" s="65">
        <f>VLOOKUP(D46,upahbahan,3,FALSE)</f>
        <v>145000</v>
      </c>
      <c r="H46" s="125">
        <f t="shared" si="4"/>
        <v>1885</v>
      </c>
      <c r="K46" s="216"/>
    </row>
    <row r="47" spans="3:11">
      <c r="C47" s="145" t="s">
        <v>1220</v>
      </c>
      <c r="D47" s="81"/>
      <c r="E47" s="81"/>
      <c r="F47" s="220"/>
      <c r="G47" s="221"/>
      <c r="H47" s="125">
        <f>SUM(H43:H46)</f>
        <v>66885</v>
      </c>
      <c r="I47" s="223"/>
      <c r="K47" s="216"/>
    </row>
    <row r="48" spans="3:11">
      <c r="C48" s="347" t="s">
        <v>1221</v>
      </c>
      <c r="D48" s="337" t="s">
        <v>1222</v>
      </c>
      <c r="E48" s="74"/>
      <c r="G48" s="74"/>
      <c r="H48" s="348"/>
      <c r="K48" s="216"/>
    </row>
    <row r="49" spans="3:11">
      <c r="C49" s="349" t="s">
        <v>1215</v>
      </c>
      <c r="D49" s="337" t="s">
        <v>820</v>
      </c>
      <c r="E49" s="171" t="s">
        <v>114</v>
      </c>
      <c r="F49" s="64">
        <v>3.5</v>
      </c>
      <c r="G49" s="65">
        <f>VLOOKUP(D49,upahbahan,3,FALSE)</f>
        <v>16200</v>
      </c>
      <c r="H49" s="125">
        <f t="shared" ref="H49" si="5">F49*G49</f>
        <v>56700</v>
      </c>
      <c r="K49" s="216"/>
    </row>
    <row r="50" spans="3:11">
      <c r="C50" s="349" t="s">
        <v>1216</v>
      </c>
      <c r="D50" s="337" t="s">
        <v>1702</v>
      </c>
      <c r="E50" s="171" t="s">
        <v>1183</v>
      </c>
      <c r="F50" s="340">
        <v>0.5</v>
      </c>
      <c r="G50" s="65"/>
      <c r="H50" s="125">
        <f>H49*F50</f>
        <v>28350</v>
      </c>
      <c r="K50" s="216"/>
    </row>
    <row r="51" spans="3:11">
      <c r="C51" s="349" t="s">
        <v>1217</v>
      </c>
      <c r="D51" s="337" t="s">
        <v>780</v>
      </c>
      <c r="E51" s="171" t="s">
        <v>63</v>
      </c>
      <c r="F51" s="340">
        <v>1.2</v>
      </c>
      <c r="G51" s="65">
        <f>VLOOKUP(D51,upahbahan,3,FALSE)</f>
        <v>225800</v>
      </c>
      <c r="H51" s="125">
        <f t="shared" ref="H51" si="6">F51*G51</f>
        <v>270960</v>
      </c>
      <c r="K51" s="216"/>
    </row>
    <row r="52" spans="3:11">
      <c r="C52" s="349" t="s">
        <v>1218</v>
      </c>
      <c r="D52" s="337" t="s">
        <v>1703</v>
      </c>
      <c r="E52" s="171" t="s">
        <v>1183</v>
      </c>
      <c r="F52" s="340">
        <f>F50</f>
        <v>0.5</v>
      </c>
      <c r="G52" s="65"/>
      <c r="H52" s="125">
        <f>H51*F52</f>
        <v>135480</v>
      </c>
      <c r="K52" s="216"/>
    </row>
    <row r="53" spans="3:11">
      <c r="C53" s="145" t="s">
        <v>1226</v>
      </c>
      <c r="D53" s="81"/>
      <c r="E53" s="81"/>
      <c r="F53" s="81"/>
      <c r="G53" s="163"/>
      <c r="H53" s="125">
        <f>SUM(H49:H52)</f>
        <v>491490</v>
      </c>
      <c r="K53" s="216"/>
    </row>
    <row r="54" spans="3:11">
      <c r="C54" s="153" t="s">
        <v>1227</v>
      </c>
      <c r="D54" s="60" t="s">
        <v>1228</v>
      </c>
      <c r="E54" s="74"/>
      <c r="F54" s="74"/>
      <c r="G54" s="74"/>
      <c r="H54" s="147"/>
      <c r="K54" s="216"/>
    </row>
    <row r="55" spans="3:11">
      <c r="C55" s="145" t="s">
        <v>1229</v>
      </c>
      <c r="D55" s="81"/>
      <c r="E55" s="81"/>
      <c r="F55" s="81"/>
      <c r="G55" s="163"/>
      <c r="H55" s="154">
        <v>0</v>
      </c>
      <c r="K55" s="216"/>
    </row>
    <row r="56" spans="3:11">
      <c r="C56" s="123" t="s">
        <v>1230</v>
      </c>
      <c r="D56" s="70" t="s">
        <v>1231</v>
      </c>
      <c r="E56" s="71"/>
      <c r="F56" s="71"/>
      <c r="G56" s="72"/>
      <c r="H56" s="125">
        <f>H55+H53+H47</f>
        <v>558375</v>
      </c>
      <c r="K56" s="216"/>
    </row>
    <row r="57" spans="3:11">
      <c r="C57" s="123" t="s">
        <v>1232</v>
      </c>
      <c r="D57" s="70" t="s">
        <v>1410</v>
      </c>
      <c r="E57" s="71"/>
      <c r="F57" s="72"/>
      <c r="G57" s="96">
        <f>$M$7</f>
        <v>0.1</v>
      </c>
      <c r="H57" s="125">
        <f>H56*G57</f>
        <v>55837.5</v>
      </c>
      <c r="K57" s="216"/>
    </row>
    <row r="58" spans="3:11" ht="15.75" thickBot="1">
      <c r="C58" s="131" t="s">
        <v>1233</v>
      </c>
      <c r="D58" s="132" t="s">
        <v>1234</v>
      </c>
      <c r="E58" s="133"/>
      <c r="F58" s="133"/>
      <c r="G58" s="156"/>
      <c r="H58" s="135">
        <f>SUM(H56:H57)</f>
        <v>614212.5</v>
      </c>
      <c r="K58" s="216"/>
    </row>
    <row r="59" spans="3:11" ht="15.75" thickTop="1">
      <c r="C59" s="58"/>
      <c r="D59" s="82"/>
      <c r="E59" s="82"/>
      <c r="F59" s="82"/>
      <c r="G59" s="82"/>
      <c r="H59" s="83"/>
      <c r="K59" s="216"/>
    </row>
    <row r="60" spans="3:11" ht="15.75" thickBot="1">
      <c r="C60" s="136" t="s">
        <v>1704</v>
      </c>
      <c r="E60" s="198"/>
      <c r="F60" s="198"/>
      <c r="G60" s="198"/>
      <c r="H60" s="198"/>
      <c r="I60" s="57">
        <f>ROUNDDOWN(H76,-2)</f>
        <v>32700</v>
      </c>
      <c r="K60" s="216"/>
    </row>
    <row r="61" spans="3:11" ht="29.25" thickTop="1">
      <c r="C61" s="120" t="s">
        <v>1207</v>
      </c>
      <c r="D61" s="121" t="s">
        <v>1208</v>
      </c>
      <c r="E61" s="121" t="s">
        <v>1209</v>
      </c>
      <c r="F61" s="121" t="s">
        <v>1210</v>
      </c>
      <c r="G61" s="121" t="s">
        <v>1211</v>
      </c>
      <c r="H61" s="122" t="s">
        <v>1212</v>
      </c>
      <c r="K61" s="216"/>
    </row>
    <row r="62" spans="3:11">
      <c r="C62" s="334" t="s">
        <v>1213</v>
      </c>
      <c r="D62" s="60" t="s">
        <v>1214</v>
      </c>
      <c r="E62" s="74"/>
      <c r="F62" s="74"/>
      <c r="G62" s="74"/>
      <c r="H62" s="147"/>
      <c r="K62" s="216"/>
    </row>
    <row r="63" spans="3:11">
      <c r="C63" s="335">
        <v>1</v>
      </c>
      <c r="D63" s="60" t="s">
        <v>5</v>
      </c>
      <c r="E63" s="73" t="s">
        <v>6</v>
      </c>
      <c r="F63" s="94">
        <v>0.04</v>
      </c>
      <c r="G63" s="65">
        <f>VLOOKUP(D63,upahbahan,3,FALSE)</f>
        <v>100000</v>
      </c>
      <c r="H63" s="125">
        <f t="shared" ref="H63:H66" si="7">F63*G63</f>
        <v>4000</v>
      </c>
      <c r="K63" s="216"/>
    </row>
    <row r="64" spans="3:11">
      <c r="C64" s="335">
        <v>2</v>
      </c>
      <c r="D64" s="60" t="s">
        <v>9</v>
      </c>
      <c r="E64" s="73" t="s">
        <v>6</v>
      </c>
      <c r="F64" s="94">
        <v>0.02</v>
      </c>
      <c r="G64" s="65">
        <f>VLOOKUP(D64,upahbahan,3,FALSE)</f>
        <v>145000</v>
      </c>
      <c r="H64" s="125">
        <f t="shared" si="7"/>
        <v>2900</v>
      </c>
      <c r="K64" s="216"/>
    </row>
    <row r="65" spans="3:11">
      <c r="C65" s="335">
        <v>3</v>
      </c>
      <c r="D65" s="60" t="s">
        <v>18</v>
      </c>
      <c r="E65" s="73" t="s">
        <v>6</v>
      </c>
      <c r="F65" s="94">
        <v>2E-3</v>
      </c>
      <c r="G65" s="65">
        <f>VLOOKUP(D65,upahbahan,3,FALSE)</f>
        <v>150000</v>
      </c>
      <c r="H65" s="125">
        <f t="shared" si="7"/>
        <v>300</v>
      </c>
      <c r="K65" s="216"/>
    </row>
    <row r="66" spans="3:11">
      <c r="C66" s="335">
        <v>4</v>
      </c>
      <c r="D66" s="60" t="s">
        <v>19</v>
      </c>
      <c r="E66" s="73" t="s">
        <v>6</v>
      </c>
      <c r="F66" s="94">
        <v>6.9999999999999999E-4</v>
      </c>
      <c r="G66" s="65">
        <f>VLOOKUP(D66,upahbahan,3,FALSE)</f>
        <v>145000</v>
      </c>
      <c r="H66" s="125">
        <f t="shared" si="7"/>
        <v>101.5</v>
      </c>
      <c r="K66" s="216"/>
    </row>
    <row r="67" spans="3:11">
      <c r="C67" s="145" t="s">
        <v>1220</v>
      </c>
      <c r="D67" s="81"/>
      <c r="E67" s="81"/>
      <c r="F67" s="220"/>
      <c r="G67" s="221"/>
      <c r="H67" s="125">
        <f>SUM(H63:H66)</f>
        <v>7301.5</v>
      </c>
      <c r="I67" s="223"/>
      <c r="K67" s="216"/>
    </row>
    <row r="68" spans="3:11">
      <c r="C68" s="334" t="s">
        <v>1221</v>
      </c>
      <c r="D68" s="60" t="s">
        <v>1222</v>
      </c>
      <c r="E68" s="74"/>
      <c r="F68" s="74"/>
      <c r="G68" s="74"/>
      <c r="H68" s="147"/>
      <c r="K68" s="216"/>
    </row>
    <row r="69" spans="3:11">
      <c r="C69" s="335">
        <v>1</v>
      </c>
      <c r="D69" s="60" t="s">
        <v>258</v>
      </c>
      <c r="E69" s="73" t="s">
        <v>66</v>
      </c>
      <c r="F69" s="75">
        <v>0.4</v>
      </c>
      <c r="G69" s="65">
        <f>VLOOKUP(D69,upahbahan,3,FALSE)</f>
        <v>45550</v>
      </c>
      <c r="H69" s="125">
        <f t="shared" ref="H69" si="8">F69*G69</f>
        <v>18220</v>
      </c>
      <c r="K69" s="216"/>
    </row>
    <row r="70" spans="3:11">
      <c r="C70" s="145" t="s">
        <v>1226</v>
      </c>
      <c r="D70" s="81"/>
      <c r="E70" s="81"/>
      <c r="F70" s="81"/>
      <c r="G70" s="163"/>
      <c r="H70" s="125">
        <f>SUM(H69)</f>
        <v>18220</v>
      </c>
      <c r="K70" s="216"/>
    </row>
    <row r="71" spans="3:11">
      <c r="C71" s="334" t="s">
        <v>1227</v>
      </c>
      <c r="D71" s="60" t="s">
        <v>1228</v>
      </c>
      <c r="E71" s="74"/>
      <c r="F71" s="74"/>
      <c r="G71" s="74"/>
      <c r="H71" s="147"/>
      <c r="K71" s="216"/>
    </row>
    <row r="72" spans="3:11">
      <c r="C72" s="335">
        <v>1</v>
      </c>
      <c r="D72" s="60" t="s">
        <v>1148</v>
      </c>
      <c r="E72" s="73" t="s">
        <v>1091</v>
      </c>
      <c r="F72" s="75">
        <v>0.17</v>
      </c>
      <c r="G72" s="65">
        <f>VLOOKUP(D72,upahbahan,3,FALSE)</f>
        <v>25000</v>
      </c>
      <c r="H72" s="125">
        <f t="shared" ref="H72" si="9">F72*G72</f>
        <v>4250</v>
      </c>
      <c r="K72" s="216"/>
    </row>
    <row r="73" spans="3:11">
      <c r="C73" s="350" t="s">
        <v>1229</v>
      </c>
      <c r="D73" s="341"/>
      <c r="E73" s="341"/>
      <c r="F73" s="341"/>
      <c r="G73" s="342"/>
      <c r="H73" s="125">
        <f>SUM(H72)</f>
        <v>4250</v>
      </c>
      <c r="K73" s="216"/>
    </row>
    <row r="74" spans="3:11">
      <c r="C74" s="351" t="s">
        <v>1230</v>
      </c>
      <c r="D74" s="343" t="s">
        <v>1705</v>
      </c>
      <c r="E74" s="344"/>
      <c r="F74" s="344"/>
      <c r="G74" s="345"/>
      <c r="H74" s="352">
        <f>H67+H70+H73</f>
        <v>29771.5</v>
      </c>
      <c r="K74" s="216"/>
    </row>
    <row r="75" spans="3:11">
      <c r="C75" s="123" t="s">
        <v>1232</v>
      </c>
      <c r="D75" s="70" t="s">
        <v>1410</v>
      </c>
      <c r="E75" s="71"/>
      <c r="F75" s="72"/>
      <c r="G75" s="96">
        <f>$M$7</f>
        <v>0.1</v>
      </c>
      <c r="H75" s="125">
        <f>H74*G75</f>
        <v>2977.15</v>
      </c>
      <c r="K75" s="216"/>
    </row>
    <row r="76" spans="3:11" ht="15.75" thickBot="1">
      <c r="C76" s="131" t="s">
        <v>1233</v>
      </c>
      <c r="D76" s="132" t="s">
        <v>1234</v>
      </c>
      <c r="E76" s="133"/>
      <c r="F76" s="133"/>
      <c r="G76" s="156"/>
      <c r="H76" s="135">
        <f>SUM(H74:H75)</f>
        <v>32748.65</v>
      </c>
      <c r="K76" s="216"/>
    </row>
    <row r="77" spans="3:11" ht="15.75" thickTop="1">
      <c r="C77" s="339"/>
      <c r="D77" s="91"/>
      <c r="E77" s="91"/>
      <c r="F77" s="91"/>
      <c r="G77" s="91"/>
      <c r="H77" s="92"/>
      <c r="K77" s="216"/>
    </row>
    <row r="78" spans="3:11" ht="15.75" thickBot="1">
      <c r="C78" s="136" t="s">
        <v>1706</v>
      </c>
      <c r="E78" s="198"/>
      <c r="F78" s="198"/>
      <c r="G78" s="198"/>
      <c r="H78" s="198"/>
      <c r="I78" s="57">
        <f>ROUNDDOWN(H96,-2)</f>
        <v>537700</v>
      </c>
      <c r="K78" s="216"/>
    </row>
    <row r="79" spans="3:11" ht="29.25" thickTop="1">
      <c r="C79" s="120" t="s">
        <v>1207</v>
      </c>
      <c r="D79" s="121" t="s">
        <v>1208</v>
      </c>
      <c r="E79" s="121" t="s">
        <v>1209</v>
      </c>
      <c r="F79" s="121" t="s">
        <v>1210</v>
      </c>
      <c r="G79" s="121" t="s">
        <v>1211</v>
      </c>
      <c r="H79" s="122" t="s">
        <v>1212</v>
      </c>
      <c r="K79" s="216"/>
    </row>
    <row r="80" spans="3:11">
      <c r="C80" s="334" t="s">
        <v>1213</v>
      </c>
      <c r="D80" s="60" t="s">
        <v>1214</v>
      </c>
      <c r="E80" s="74"/>
      <c r="F80" s="74"/>
      <c r="G80" s="74"/>
      <c r="H80" s="147"/>
      <c r="K80" s="216"/>
    </row>
    <row r="81" spans="3:11">
      <c r="C81" s="335">
        <v>1</v>
      </c>
      <c r="D81" s="60" t="s">
        <v>5</v>
      </c>
      <c r="E81" s="73" t="s">
        <v>6</v>
      </c>
      <c r="F81" s="94">
        <v>0.3</v>
      </c>
      <c r="G81" s="65">
        <f>VLOOKUP(D81,upahbahan,3,FALSE)</f>
        <v>100000</v>
      </c>
      <c r="H81" s="125">
        <f t="shared" ref="H81:H84" si="10">F81*G81</f>
        <v>30000</v>
      </c>
      <c r="K81" s="216"/>
    </row>
    <row r="82" spans="3:11">
      <c r="C82" s="335">
        <v>2</v>
      </c>
      <c r="D82" s="60" t="s">
        <v>11</v>
      </c>
      <c r="E82" s="73" t="s">
        <v>6</v>
      </c>
      <c r="F82" s="94">
        <v>0.6</v>
      </c>
      <c r="G82" s="65">
        <f>VLOOKUP(D82,upahbahan,3,FALSE)</f>
        <v>145000</v>
      </c>
      <c r="H82" s="125">
        <f t="shared" si="10"/>
        <v>87000</v>
      </c>
      <c r="K82" s="216"/>
    </row>
    <row r="83" spans="3:11">
      <c r="C83" s="335">
        <v>3</v>
      </c>
      <c r="D83" s="60" t="s">
        <v>18</v>
      </c>
      <c r="E83" s="73" t="s">
        <v>6</v>
      </c>
      <c r="F83" s="94">
        <v>0.06</v>
      </c>
      <c r="G83" s="65">
        <f>VLOOKUP(D83,upahbahan,3,FALSE)</f>
        <v>150000</v>
      </c>
      <c r="H83" s="125">
        <f t="shared" si="10"/>
        <v>9000</v>
      </c>
      <c r="K83" s="216"/>
    </row>
    <row r="84" spans="3:11">
      <c r="C84" s="335">
        <v>4</v>
      </c>
      <c r="D84" s="60" t="s">
        <v>19</v>
      </c>
      <c r="E84" s="73" t="s">
        <v>6</v>
      </c>
      <c r="F84" s="94">
        <v>0.02</v>
      </c>
      <c r="G84" s="65">
        <f>VLOOKUP(D84,upahbahan,3,FALSE)</f>
        <v>145000</v>
      </c>
      <c r="H84" s="125">
        <f t="shared" si="10"/>
        <v>2900</v>
      </c>
      <c r="K84" s="216"/>
    </row>
    <row r="85" spans="3:11">
      <c r="C85" s="145" t="s">
        <v>1220</v>
      </c>
      <c r="D85" s="81"/>
      <c r="E85" s="81"/>
      <c r="F85" s="220"/>
      <c r="G85" s="221"/>
      <c r="H85" s="125">
        <f>SUM(H81:H84)</f>
        <v>128900</v>
      </c>
      <c r="I85" s="223"/>
      <c r="K85" s="216"/>
    </row>
    <row r="86" spans="3:11">
      <c r="C86" s="334" t="s">
        <v>1221</v>
      </c>
      <c r="D86" s="60" t="s">
        <v>1222</v>
      </c>
      <c r="E86" s="74"/>
      <c r="F86" s="74"/>
      <c r="G86" s="74"/>
      <c r="H86" s="147"/>
      <c r="K86" s="216"/>
    </row>
    <row r="87" spans="3:11">
      <c r="C87" s="353" t="s">
        <v>1215</v>
      </c>
      <c r="D87" s="60" t="s">
        <v>281</v>
      </c>
      <c r="E87" s="171" t="s">
        <v>114</v>
      </c>
      <c r="F87" s="172">
        <v>4.8</v>
      </c>
      <c r="G87" s="65">
        <f>VLOOKUP(D87,upahbahan,3,FALSE)</f>
        <v>42000</v>
      </c>
      <c r="H87" s="125">
        <f t="shared" ref="H87:H90" si="11">F87*G87</f>
        <v>201600</v>
      </c>
      <c r="K87" s="216"/>
    </row>
    <row r="88" spans="3:11">
      <c r="C88" s="353" t="s">
        <v>1216</v>
      </c>
      <c r="D88" s="60" t="s">
        <v>278</v>
      </c>
      <c r="E88" s="171" t="s">
        <v>114</v>
      </c>
      <c r="F88" s="172">
        <v>9.9</v>
      </c>
      <c r="G88" s="65">
        <f>VLOOKUP(D88,upahbahan,3,FALSE)</f>
        <v>15500</v>
      </c>
      <c r="H88" s="125">
        <f t="shared" si="11"/>
        <v>153450</v>
      </c>
      <c r="K88" s="216"/>
    </row>
    <row r="89" spans="3:11">
      <c r="C89" s="353" t="s">
        <v>1217</v>
      </c>
      <c r="D89" s="60" t="s">
        <v>590</v>
      </c>
      <c r="E89" s="171" t="s">
        <v>66</v>
      </c>
      <c r="F89" s="172">
        <v>0.1</v>
      </c>
      <c r="G89" s="65">
        <f>VLOOKUP(D89,upahbahan,3,FALSE)</f>
        <v>26000</v>
      </c>
      <c r="H89" s="125">
        <f t="shared" si="11"/>
        <v>2600</v>
      </c>
      <c r="K89" s="216"/>
    </row>
    <row r="90" spans="3:11">
      <c r="C90" s="353" t="s">
        <v>1218</v>
      </c>
      <c r="D90" s="60" t="s">
        <v>258</v>
      </c>
      <c r="E90" s="73" t="s">
        <v>66</v>
      </c>
      <c r="F90" s="75">
        <v>0.05</v>
      </c>
      <c r="G90" s="65">
        <f>VLOOKUP(D90,upahbahan,3,FALSE)</f>
        <v>45550</v>
      </c>
      <c r="H90" s="125">
        <f t="shared" si="11"/>
        <v>2277.5</v>
      </c>
      <c r="K90" s="216"/>
    </row>
    <row r="91" spans="3:11">
      <c r="C91" s="145" t="s">
        <v>1226</v>
      </c>
      <c r="D91" s="81"/>
      <c r="E91" s="81"/>
      <c r="F91" s="81"/>
      <c r="G91" s="163"/>
      <c r="H91" s="125">
        <f>SUM(H87:H90)</f>
        <v>359927.5</v>
      </c>
      <c r="K91" s="216"/>
    </row>
    <row r="92" spans="3:11">
      <c r="C92" s="334" t="s">
        <v>1227</v>
      </c>
      <c r="D92" s="60" t="s">
        <v>1228</v>
      </c>
      <c r="E92" s="74"/>
      <c r="F92" s="74"/>
      <c r="G92" s="74"/>
      <c r="H92" s="147"/>
      <c r="K92" s="216"/>
    </row>
    <row r="93" spans="3:11">
      <c r="C93" s="145" t="s">
        <v>1229</v>
      </c>
      <c r="D93" s="81"/>
      <c r="E93" s="81"/>
      <c r="F93" s="81"/>
      <c r="G93" s="163"/>
      <c r="H93" s="154">
        <v>0</v>
      </c>
      <c r="K93" s="216"/>
    </row>
    <row r="94" spans="3:11">
      <c r="C94" s="123" t="s">
        <v>1230</v>
      </c>
      <c r="D94" s="70" t="s">
        <v>1231</v>
      </c>
      <c r="E94" s="71"/>
      <c r="F94" s="71"/>
      <c r="G94" s="72"/>
      <c r="H94" s="125">
        <f>H93+H91+H85</f>
        <v>488827.5</v>
      </c>
      <c r="K94" s="216"/>
    </row>
    <row r="95" spans="3:11">
      <c r="C95" s="123" t="s">
        <v>1232</v>
      </c>
      <c r="D95" s="70" t="s">
        <v>1410</v>
      </c>
      <c r="E95" s="71"/>
      <c r="F95" s="72"/>
      <c r="G95" s="96">
        <f>$M$7</f>
        <v>0.1</v>
      </c>
      <c r="H95" s="125">
        <f>H94*G95</f>
        <v>48882.75</v>
      </c>
      <c r="K95" s="216"/>
    </row>
    <row r="96" spans="3:11" ht="15.75" thickBot="1">
      <c r="C96" s="131" t="s">
        <v>1233</v>
      </c>
      <c r="D96" s="132" t="s">
        <v>1234</v>
      </c>
      <c r="E96" s="133"/>
      <c r="F96" s="133"/>
      <c r="G96" s="156"/>
      <c r="H96" s="135">
        <f>SUM(H94:H95)</f>
        <v>537710.25</v>
      </c>
      <c r="K96" s="216"/>
    </row>
    <row r="97" spans="3:11" ht="15.75" thickTop="1">
      <c r="C97" s="339"/>
      <c r="D97" s="91"/>
      <c r="E97" s="91"/>
      <c r="F97" s="91"/>
      <c r="G97" s="91"/>
      <c r="H97" s="92"/>
      <c r="K97" s="216"/>
    </row>
    <row r="98" spans="3:11" ht="15.75" thickBot="1">
      <c r="C98" s="516" t="s">
        <v>1707</v>
      </c>
      <c r="D98" s="516"/>
      <c r="E98" s="516"/>
      <c r="F98" s="516"/>
      <c r="G98" s="516"/>
      <c r="H98" s="516"/>
      <c r="I98" s="57">
        <f>ROUNDDOWN(H117,-2)</f>
        <v>307800</v>
      </c>
      <c r="K98" s="216"/>
    </row>
    <row r="99" spans="3:11" ht="29.25" thickTop="1">
      <c r="C99" s="120" t="s">
        <v>1207</v>
      </c>
      <c r="D99" s="121" t="s">
        <v>1208</v>
      </c>
      <c r="E99" s="121" t="s">
        <v>1209</v>
      </c>
      <c r="F99" s="121" t="s">
        <v>1210</v>
      </c>
      <c r="G99" s="121" t="s">
        <v>1211</v>
      </c>
      <c r="H99" s="122" t="s">
        <v>1212</v>
      </c>
    </row>
    <row r="100" spans="3:11">
      <c r="C100" s="334" t="s">
        <v>1213</v>
      </c>
      <c r="D100" s="60" t="s">
        <v>1214</v>
      </c>
      <c r="E100" s="74"/>
      <c r="F100" s="74"/>
      <c r="G100" s="74"/>
      <c r="H100" s="147"/>
    </row>
    <row r="101" spans="3:11">
      <c r="C101" s="335">
        <v>1</v>
      </c>
      <c r="D101" s="60" t="s">
        <v>5</v>
      </c>
      <c r="E101" s="73" t="s">
        <v>6</v>
      </c>
      <c r="F101" s="94">
        <v>0.1</v>
      </c>
      <c r="G101" s="65">
        <f>VLOOKUP(D101,upahbahan,3,FALSE)</f>
        <v>100000</v>
      </c>
      <c r="H101" s="125">
        <f t="shared" ref="H101:H104" si="12">F101*G101</f>
        <v>10000</v>
      </c>
    </row>
    <row r="102" spans="3:11">
      <c r="C102" s="335">
        <v>2</v>
      </c>
      <c r="D102" s="60" t="s">
        <v>11</v>
      </c>
      <c r="E102" s="73" t="s">
        <v>6</v>
      </c>
      <c r="F102" s="94">
        <v>0.2</v>
      </c>
      <c r="G102" s="65">
        <f>VLOOKUP(D102,upahbahan,3,FALSE)</f>
        <v>145000</v>
      </c>
      <c r="H102" s="125">
        <f t="shared" si="12"/>
        <v>29000</v>
      </c>
    </row>
    <row r="103" spans="3:11">
      <c r="C103" s="335">
        <v>3</v>
      </c>
      <c r="D103" s="60" t="s">
        <v>18</v>
      </c>
      <c r="E103" s="73" t="s">
        <v>6</v>
      </c>
      <c r="F103" s="94">
        <v>0.02</v>
      </c>
      <c r="G103" s="65">
        <f>VLOOKUP(D103,upahbahan,3,FALSE)</f>
        <v>150000</v>
      </c>
      <c r="H103" s="125">
        <f t="shared" si="12"/>
        <v>3000</v>
      </c>
    </row>
    <row r="104" spans="3:11">
      <c r="C104" s="335">
        <v>4</v>
      </c>
      <c r="D104" s="60" t="s">
        <v>19</v>
      </c>
      <c r="E104" s="73" t="s">
        <v>6</v>
      </c>
      <c r="F104" s="94">
        <v>6.7000000000000002E-3</v>
      </c>
      <c r="G104" s="65">
        <f>VLOOKUP(D104,upahbahan,3,FALSE)</f>
        <v>145000</v>
      </c>
      <c r="H104" s="125">
        <f t="shared" si="12"/>
        <v>971.5</v>
      </c>
    </row>
    <row r="105" spans="3:11">
      <c r="C105" s="145" t="s">
        <v>1220</v>
      </c>
      <c r="D105" s="81"/>
      <c r="E105" s="81"/>
      <c r="F105" s="220"/>
      <c r="G105" s="221"/>
      <c r="H105" s="125">
        <f>SUM(H101:H104)</f>
        <v>42971.5</v>
      </c>
      <c r="I105" s="223"/>
    </row>
    <row r="106" spans="3:11">
      <c r="C106" s="334" t="s">
        <v>1221</v>
      </c>
      <c r="D106" s="60" t="s">
        <v>1222</v>
      </c>
      <c r="E106" s="74"/>
      <c r="F106" s="74"/>
      <c r="G106" s="74"/>
      <c r="H106" s="147"/>
    </row>
    <row r="107" spans="3:11">
      <c r="C107" s="353" t="s">
        <v>1215</v>
      </c>
      <c r="D107" s="60" t="s">
        <v>281</v>
      </c>
      <c r="E107" s="171" t="s">
        <v>114</v>
      </c>
      <c r="F107" s="172">
        <v>3</v>
      </c>
      <c r="G107" s="65">
        <f>VLOOKUP(D107,upahbahan,3,FALSE)</f>
        <v>42000</v>
      </c>
      <c r="H107" s="125">
        <f t="shared" ref="H107:H111" si="13">F107*G107</f>
        <v>126000</v>
      </c>
    </row>
    <row r="108" spans="3:11">
      <c r="C108" s="353" t="s">
        <v>1216</v>
      </c>
      <c r="D108" s="60" t="s">
        <v>280</v>
      </c>
      <c r="E108" s="171" t="s">
        <v>114</v>
      </c>
      <c r="F108" s="172">
        <v>2</v>
      </c>
      <c r="G108" s="65">
        <f>VLOOKUP(D108,upahbahan,3,FALSE)</f>
        <v>31000</v>
      </c>
      <c r="H108" s="125">
        <f t="shared" si="13"/>
        <v>62000</v>
      </c>
    </row>
    <row r="109" spans="3:11">
      <c r="C109" s="353" t="s">
        <v>1217</v>
      </c>
      <c r="D109" s="60" t="s">
        <v>279</v>
      </c>
      <c r="E109" s="171" t="s">
        <v>114</v>
      </c>
      <c r="F109" s="172">
        <v>2</v>
      </c>
      <c r="G109" s="65">
        <f>VLOOKUP(D109,upahbahan,3,FALSE)</f>
        <v>22000</v>
      </c>
      <c r="H109" s="125">
        <f t="shared" si="13"/>
        <v>44000</v>
      </c>
    </row>
    <row r="110" spans="3:11">
      <c r="C110" s="353" t="s">
        <v>1218</v>
      </c>
      <c r="D110" s="60" t="s">
        <v>590</v>
      </c>
      <c r="E110" s="171" t="s">
        <v>66</v>
      </c>
      <c r="F110" s="172">
        <v>0.1</v>
      </c>
      <c r="G110" s="65">
        <f>VLOOKUP(D110,upahbahan,3,FALSE)</f>
        <v>26000</v>
      </c>
      <c r="H110" s="125">
        <f t="shared" si="13"/>
        <v>2600</v>
      </c>
    </row>
    <row r="111" spans="3:11">
      <c r="C111" s="353" t="s">
        <v>1219</v>
      </c>
      <c r="D111" s="60" t="s">
        <v>258</v>
      </c>
      <c r="E111" s="73" t="s">
        <v>66</v>
      </c>
      <c r="F111" s="75">
        <v>0.05</v>
      </c>
      <c r="G111" s="65">
        <f>VLOOKUP(D111,upahbahan,3,FALSE)</f>
        <v>45550</v>
      </c>
      <c r="H111" s="125">
        <f t="shared" si="13"/>
        <v>2277.5</v>
      </c>
    </row>
    <row r="112" spans="3:11">
      <c r="C112" s="145" t="s">
        <v>1226</v>
      </c>
      <c r="D112" s="81"/>
      <c r="E112" s="81"/>
      <c r="F112" s="81"/>
      <c r="G112" s="163"/>
      <c r="H112" s="125">
        <f>SUM(H107:H111)</f>
        <v>236877.5</v>
      </c>
    </row>
    <row r="113" spans="3:8">
      <c r="C113" s="334" t="s">
        <v>1227</v>
      </c>
      <c r="D113" s="60" t="s">
        <v>1228</v>
      </c>
      <c r="E113" s="74"/>
      <c r="F113" s="74"/>
      <c r="G113" s="74"/>
      <c r="H113" s="147"/>
    </row>
    <row r="114" spans="3:8">
      <c r="C114" s="145" t="s">
        <v>1229</v>
      </c>
      <c r="D114" s="81"/>
      <c r="E114" s="81"/>
      <c r="F114" s="81"/>
      <c r="G114" s="163"/>
      <c r="H114" s="154">
        <v>0</v>
      </c>
    </row>
    <row r="115" spans="3:8">
      <c r="C115" s="123" t="s">
        <v>1230</v>
      </c>
      <c r="D115" s="70" t="s">
        <v>1231</v>
      </c>
      <c r="E115" s="71"/>
      <c r="F115" s="71"/>
      <c r="G115" s="72"/>
      <c r="H115" s="125">
        <f>H114+H112+H105</f>
        <v>279849</v>
      </c>
    </row>
    <row r="116" spans="3:8">
      <c r="C116" s="123" t="s">
        <v>1232</v>
      </c>
      <c r="D116" s="70" t="s">
        <v>1410</v>
      </c>
      <c r="E116" s="71"/>
      <c r="F116" s="72"/>
      <c r="G116" s="96">
        <f>$M$7</f>
        <v>0.1</v>
      </c>
      <c r="H116" s="125">
        <f>H115*G116</f>
        <v>27984.9</v>
      </c>
    </row>
    <row r="117" spans="3:8" ht="15.75" thickBot="1">
      <c r="C117" s="131" t="s">
        <v>1233</v>
      </c>
      <c r="D117" s="132" t="s">
        <v>1234</v>
      </c>
      <c r="E117" s="133"/>
      <c r="F117" s="133"/>
      <c r="G117" s="156"/>
      <c r="H117" s="135">
        <f>SUM(H115:H116)</f>
        <v>307833.90000000002</v>
      </c>
    </row>
    <row r="118" spans="3:8" ht="15.75" thickTop="1">
      <c r="C118" s="339"/>
      <c r="D118" s="91"/>
      <c r="E118" s="91"/>
      <c r="F118" s="91"/>
      <c r="G118" s="91"/>
      <c r="H118" s="92"/>
    </row>
  </sheetData>
  <mergeCells count="1">
    <mergeCell ref="C98:H9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BB94-F127-49D5-BA94-74020155BE7A}">
  <dimension ref="C3:M44"/>
  <sheetViews>
    <sheetView workbookViewId="0">
      <selection activeCell="C3" sqref="C3:I51"/>
    </sheetView>
    <sheetView workbookViewId="1"/>
  </sheetViews>
  <sheetFormatPr defaultColWidth="8.85546875" defaultRowHeight="15"/>
  <cols>
    <col min="1" max="2" width="4.42578125" style="56" customWidth="1"/>
    <col min="3" max="3" width="5.42578125" style="63" customWidth="1"/>
    <col min="4" max="4" width="36.7109375" style="63" customWidth="1"/>
    <col min="5" max="5" width="8" style="63" customWidth="1"/>
    <col min="6" max="6" width="10.7109375" style="63" customWidth="1"/>
    <col min="7" max="7" width="15.140625" style="63" customWidth="1"/>
    <col min="8" max="8" width="18.42578125" style="63" customWidth="1"/>
    <col min="9" max="9" width="16.7109375" style="55" customWidth="1"/>
    <col min="10" max="16384" width="8.85546875" style="56"/>
  </cols>
  <sheetData>
    <row r="3" spans="3:13">
      <c r="C3" s="228" t="str">
        <f>'[1]Daftar HSP'!A432</f>
        <v>P</v>
      </c>
      <c r="D3" s="229" t="str">
        <f>'[1]Daftar HSP'!B432</f>
        <v>PEKERJAAN KAYU</v>
      </c>
      <c r="E3" s="229"/>
      <c r="F3" s="229"/>
      <c r="G3" s="229"/>
      <c r="H3" s="229"/>
    </row>
    <row r="4" spans="3:13" ht="15.75" thickBot="1">
      <c r="C4" s="224" t="s">
        <v>1708</v>
      </c>
      <c r="D4" s="225"/>
      <c r="E4" s="225"/>
      <c r="F4" s="225"/>
      <c r="G4" s="225"/>
      <c r="H4" s="225"/>
      <c r="I4" s="57">
        <f>ROUNDDOWN(H22,-2)</f>
        <v>922800</v>
      </c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160" t="s">
        <v>1265</v>
      </c>
    </row>
    <row r="7" spans="3:13">
      <c r="C7" s="143">
        <v>1</v>
      </c>
      <c r="D7" s="60" t="s">
        <v>5</v>
      </c>
      <c r="E7" s="73" t="s">
        <v>6</v>
      </c>
      <c r="F7" s="94">
        <v>0.59519999999999995</v>
      </c>
      <c r="G7" s="65">
        <f>VLOOKUP(D7,upahbahan,3,FALSE)</f>
        <v>100000</v>
      </c>
      <c r="H7" s="125">
        <f>F7*G7</f>
        <v>59519.999999999993</v>
      </c>
      <c r="J7" s="160" t="s">
        <v>1266</v>
      </c>
      <c r="M7" s="66">
        <v>0.1</v>
      </c>
    </row>
    <row r="8" spans="3:13">
      <c r="C8" s="143">
        <v>2</v>
      </c>
      <c r="D8" s="60" t="s">
        <v>8</v>
      </c>
      <c r="E8" s="73" t="s">
        <v>6</v>
      </c>
      <c r="F8" s="94">
        <v>0.29759999999999998</v>
      </c>
      <c r="G8" s="65">
        <f>VLOOKUP(D8,upahbahan,3,FALSE)</f>
        <v>145000</v>
      </c>
      <c r="H8" s="125">
        <f>F8*G8</f>
        <v>43152</v>
      </c>
    </row>
    <row r="9" spans="3:13">
      <c r="C9" s="143">
        <v>3</v>
      </c>
      <c r="D9" s="60" t="s">
        <v>18</v>
      </c>
      <c r="E9" s="73" t="s">
        <v>6</v>
      </c>
      <c r="F9" s="94">
        <v>2.98E-2</v>
      </c>
      <c r="G9" s="65">
        <f>VLOOKUP(D9,upahbahan,3,FALSE)</f>
        <v>150000</v>
      </c>
      <c r="H9" s="125">
        <f>F9*G9</f>
        <v>4470</v>
      </c>
    </row>
    <row r="10" spans="3:13">
      <c r="C10" s="143">
        <v>4</v>
      </c>
      <c r="D10" s="60" t="s">
        <v>19</v>
      </c>
      <c r="E10" s="73" t="s">
        <v>6</v>
      </c>
      <c r="F10" s="94">
        <v>9.9000000000000008E-3</v>
      </c>
      <c r="G10" s="65">
        <f>VLOOKUP(D10,upahbahan,3,FALSE)</f>
        <v>145000</v>
      </c>
      <c r="H10" s="125">
        <f>F10*G10</f>
        <v>1435.5000000000002</v>
      </c>
    </row>
    <row r="11" spans="3:13">
      <c r="C11" s="145" t="s">
        <v>1220</v>
      </c>
      <c r="D11" s="81"/>
      <c r="E11" s="81"/>
      <c r="F11" s="220"/>
      <c r="G11" s="221"/>
      <c r="H11" s="125">
        <f>SUM(H7:H10)</f>
        <v>108577.5</v>
      </c>
      <c r="I11" s="222"/>
    </row>
    <row r="12" spans="3:13">
      <c r="C12" s="142" t="s">
        <v>1221</v>
      </c>
      <c r="D12" s="60" t="s">
        <v>1222</v>
      </c>
      <c r="E12" s="74"/>
      <c r="F12" s="74"/>
      <c r="G12" s="74"/>
      <c r="H12" s="147"/>
    </row>
    <row r="13" spans="3:13">
      <c r="C13" s="201" t="s">
        <v>1215</v>
      </c>
      <c r="D13" s="60" t="s">
        <v>125</v>
      </c>
      <c r="E13" s="73" t="s">
        <v>42</v>
      </c>
      <c r="F13" s="75">
        <v>2.5000000000000001E-2</v>
      </c>
      <c r="G13" s="65">
        <f>VLOOKUP(D13,upahbahan,3,FALSE)</f>
        <v>26000000</v>
      </c>
      <c r="H13" s="125">
        <f>F13*G13</f>
        <v>650000</v>
      </c>
    </row>
    <row r="14" spans="3:13">
      <c r="C14" s="201" t="s">
        <v>1216</v>
      </c>
      <c r="D14" s="60" t="s">
        <v>263</v>
      </c>
      <c r="E14" s="73" t="s">
        <v>66</v>
      </c>
      <c r="F14" s="75">
        <v>0.03</v>
      </c>
      <c r="G14" s="65">
        <f>VLOOKUP(D14,upahbahan,3,FALSE)</f>
        <v>15000</v>
      </c>
      <c r="H14" s="125">
        <f t="shared" ref="H14:H16" si="0">F14*G14</f>
        <v>450</v>
      </c>
    </row>
    <row r="15" spans="3:13">
      <c r="C15" s="201" t="s">
        <v>1217</v>
      </c>
      <c r="D15" s="60" t="s">
        <v>1014</v>
      </c>
      <c r="E15" s="73" t="s">
        <v>66</v>
      </c>
      <c r="F15" s="75">
        <v>0.3</v>
      </c>
      <c r="G15" s="65">
        <f>VLOOKUP(D15,upahbahan,3,FALSE)</f>
        <v>16400</v>
      </c>
      <c r="H15" s="125">
        <f t="shared" si="0"/>
        <v>4920</v>
      </c>
    </row>
    <row r="16" spans="3:13">
      <c r="C16" s="201" t="s">
        <v>1218</v>
      </c>
      <c r="D16" s="60" t="s">
        <v>1268</v>
      </c>
      <c r="E16" s="73" t="s">
        <v>133</v>
      </c>
      <c r="F16" s="75">
        <v>1</v>
      </c>
      <c r="G16" s="65">
        <f>VLOOKUP(D16,upahbahan,3,FALSE)</f>
        <v>75000</v>
      </c>
      <c r="H16" s="125">
        <f t="shared" si="0"/>
        <v>75000</v>
      </c>
    </row>
    <row r="17" spans="3:9">
      <c r="C17" s="145" t="s">
        <v>1226</v>
      </c>
      <c r="D17" s="81"/>
      <c r="E17" s="81"/>
      <c r="F17" s="81"/>
      <c r="G17" s="163"/>
      <c r="H17" s="125">
        <f>SUM(H13:H16)</f>
        <v>730370</v>
      </c>
    </row>
    <row r="18" spans="3:9">
      <c r="C18" s="153" t="s">
        <v>1227</v>
      </c>
      <c r="D18" s="60" t="s">
        <v>1228</v>
      </c>
      <c r="E18" s="74"/>
      <c r="F18" s="74"/>
      <c r="G18" s="74"/>
      <c r="H18" s="147"/>
    </row>
    <row r="19" spans="3:9">
      <c r="C19" s="145" t="s">
        <v>1229</v>
      </c>
      <c r="D19" s="81"/>
      <c r="E19" s="81"/>
      <c r="F19" s="81"/>
      <c r="G19" s="163"/>
      <c r="H19" s="154">
        <v>0</v>
      </c>
    </row>
    <row r="20" spans="3:9">
      <c r="C20" s="123" t="s">
        <v>1230</v>
      </c>
      <c r="D20" s="70" t="s">
        <v>1231</v>
      </c>
      <c r="E20" s="71"/>
      <c r="F20" s="71"/>
      <c r="G20" s="72"/>
      <c r="H20" s="125">
        <f>H19+H17+H11</f>
        <v>838947.5</v>
      </c>
    </row>
    <row r="21" spans="3:9">
      <c r="C21" s="123" t="s">
        <v>1232</v>
      </c>
      <c r="D21" s="70" t="s">
        <v>1410</v>
      </c>
      <c r="E21" s="71"/>
      <c r="F21" s="72"/>
      <c r="G21" s="96">
        <f>$M$7</f>
        <v>0.1</v>
      </c>
      <c r="H21" s="125">
        <f>H20*G21</f>
        <v>83894.75</v>
      </c>
    </row>
    <row r="22" spans="3:9" ht="15.75" thickBot="1">
      <c r="C22" s="131" t="s">
        <v>1233</v>
      </c>
      <c r="D22" s="132" t="s">
        <v>1234</v>
      </c>
      <c r="E22" s="133"/>
      <c r="F22" s="133"/>
      <c r="G22" s="156"/>
      <c r="H22" s="135">
        <f>SUM(H20:H21)</f>
        <v>922842.25</v>
      </c>
    </row>
    <row r="23" spans="3:9" ht="15.75" thickTop="1">
      <c r="C23" s="90"/>
      <c r="D23" s="91"/>
      <c r="E23" s="91"/>
      <c r="F23" s="91"/>
      <c r="G23" s="91"/>
      <c r="H23" s="92"/>
    </row>
    <row r="24" spans="3:9" ht="15.75" thickBot="1">
      <c r="C24" s="224" t="s">
        <v>1709</v>
      </c>
      <c r="D24" s="225"/>
      <c r="E24" s="225"/>
      <c r="F24" s="225"/>
      <c r="G24" s="225"/>
      <c r="H24" s="225"/>
      <c r="I24" s="57">
        <f>ROUNDDOWN(H43,-2)</f>
        <v>1025300</v>
      </c>
    </row>
    <row r="25" spans="3:9" ht="29.25" thickTop="1">
      <c r="C25" s="120" t="s">
        <v>1207</v>
      </c>
      <c r="D25" s="121" t="s">
        <v>1208</v>
      </c>
      <c r="E25" s="121" t="s">
        <v>1209</v>
      </c>
      <c r="F25" s="121" t="s">
        <v>1210</v>
      </c>
      <c r="G25" s="121" t="s">
        <v>1211</v>
      </c>
      <c r="H25" s="122" t="s">
        <v>1212</v>
      </c>
    </row>
    <row r="26" spans="3:9">
      <c r="C26" s="142" t="s">
        <v>1213</v>
      </c>
      <c r="D26" s="60" t="s">
        <v>1214</v>
      </c>
      <c r="E26" s="74"/>
      <c r="F26" s="74"/>
      <c r="G26" s="74"/>
      <c r="H26" s="147"/>
    </row>
    <row r="27" spans="3:9">
      <c r="C27" s="143">
        <v>1</v>
      </c>
      <c r="D27" s="60" t="s">
        <v>5</v>
      </c>
      <c r="E27" s="73" t="s">
        <v>6</v>
      </c>
      <c r="F27" s="94">
        <v>0.59519999999999995</v>
      </c>
      <c r="G27" s="65">
        <f>VLOOKUP(D27,upahbahan,3,FALSE)</f>
        <v>100000</v>
      </c>
      <c r="H27" s="125">
        <f>F27*G27</f>
        <v>59519.999999999993</v>
      </c>
    </row>
    <row r="28" spans="3:9">
      <c r="C28" s="143">
        <v>2</v>
      </c>
      <c r="D28" s="60" t="s">
        <v>8</v>
      </c>
      <c r="E28" s="73" t="s">
        <v>6</v>
      </c>
      <c r="F28" s="94">
        <v>0.29759999999999998</v>
      </c>
      <c r="G28" s="65">
        <f>VLOOKUP(D28,upahbahan,3,FALSE)</f>
        <v>145000</v>
      </c>
      <c r="H28" s="125">
        <f>F28*G28</f>
        <v>43152</v>
      </c>
    </row>
    <row r="29" spans="3:9">
      <c r="C29" s="143">
        <v>3</v>
      </c>
      <c r="D29" s="60" t="s">
        <v>18</v>
      </c>
      <c r="E29" s="73" t="s">
        <v>6</v>
      </c>
      <c r="F29" s="94">
        <v>2.98E-2</v>
      </c>
      <c r="G29" s="65">
        <f>VLOOKUP(D29,upahbahan,3,FALSE)</f>
        <v>150000</v>
      </c>
      <c r="H29" s="125">
        <f>F29*G29</f>
        <v>4470</v>
      </c>
    </row>
    <row r="30" spans="3:9">
      <c r="C30" s="143">
        <v>4</v>
      </c>
      <c r="D30" s="60" t="s">
        <v>19</v>
      </c>
      <c r="E30" s="73" t="s">
        <v>6</v>
      </c>
      <c r="F30" s="94">
        <v>9.9000000000000008E-3</v>
      </c>
      <c r="G30" s="65">
        <f>VLOOKUP(D30,upahbahan,3,FALSE)</f>
        <v>145000</v>
      </c>
      <c r="H30" s="125">
        <f>F30*G30</f>
        <v>1435.5000000000002</v>
      </c>
    </row>
    <row r="31" spans="3:9">
      <c r="C31" s="145" t="s">
        <v>1220</v>
      </c>
      <c r="D31" s="81"/>
      <c r="E31" s="81"/>
      <c r="F31" s="220"/>
      <c r="G31" s="221"/>
      <c r="H31" s="125">
        <f>SUM(H27:H30)</f>
        <v>108577.5</v>
      </c>
      <c r="I31" s="222"/>
    </row>
    <row r="32" spans="3:9">
      <c r="C32" s="142" t="s">
        <v>1221</v>
      </c>
      <c r="D32" s="60" t="s">
        <v>1222</v>
      </c>
      <c r="E32" s="74"/>
      <c r="F32" s="74"/>
      <c r="G32" s="74"/>
      <c r="H32" s="147"/>
    </row>
    <row r="33" spans="3:8">
      <c r="C33" s="201" t="s">
        <v>1215</v>
      </c>
      <c r="D33" s="60" t="s">
        <v>125</v>
      </c>
      <c r="E33" s="73" t="s">
        <v>42</v>
      </c>
      <c r="F33" s="75">
        <v>2.5000000000000001E-2</v>
      </c>
      <c r="G33" s="65">
        <f>VLOOKUP(D33,upahbahan,3,FALSE)</f>
        <v>26000000</v>
      </c>
      <c r="H33" s="125">
        <f>F33*G33</f>
        <v>650000</v>
      </c>
    </row>
    <row r="34" spans="3:8">
      <c r="C34" s="201" t="s">
        <v>1216</v>
      </c>
      <c r="D34" s="60" t="s">
        <v>263</v>
      </c>
      <c r="E34" s="73" t="s">
        <v>66</v>
      </c>
      <c r="F34" s="75">
        <v>0.03</v>
      </c>
      <c r="G34" s="65">
        <f>VLOOKUP(D34,upahbahan,3,FALSE)</f>
        <v>15000</v>
      </c>
      <c r="H34" s="125">
        <f t="shared" ref="H34:H37" si="1">F34*G34</f>
        <v>450</v>
      </c>
    </row>
    <row r="35" spans="3:8">
      <c r="C35" s="201" t="s">
        <v>1217</v>
      </c>
      <c r="D35" s="60" t="s">
        <v>1014</v>
      </c>
      <c r="E35" s="73" t="s">
        <v>66</v>
      </c>
      <c r="F35" s="75">
        <v>0.8</v>
      </c>
      <c r="G35" s="65">
        <f>VLOOKUP(D35,upahbahan,3,FALSE)</f>
        <v>16400</v>
      </c>
      <c r="H35" s="125">
        <f t="shared" si="1"/>
        <v>13120</v>
      </c>
    </row>
    <row r="36" spans="3:8">
      <c r="C36" s="201" t="s">
        <v>1218</v>
      </c>
      <c r="D36" s="60" t="s">
        <v>1268</v>
      </c>
      <c r="E36" s="73" t="s">
        <v>133</v>
      </c>
      <c r="F36" s="75">
        <v>1</v>
      </c>
      <c r="G36" s="65">
        <f>VLOOKUP(D36,upahbahan,3,FALSE)</f>
        <v>75000</v>
      </c>
      <c r="H36" s="125">
        <f t="shared" si="1"/>
        <v>75000</v>
      </c>
    </row>
    <row r="37" spans="3:8">
      <c r="C37" s="201" t="s">
        <v>1219</v>
      </c>
      <c r="D37" s="60" t="s">
        <v>995</v>
      </c>
      <c r="E37" s="73" t="s">
        <v>133</v>
      </c>
      <c r="F37" s="75">
        <v>0.5</v>
      </c>
      <c r="G37" s="65">
        <f>VLOOKUP(D37,upahbahan,3,FALSE)</f>
        <v>170000</v>
      </c>
      <c r="H37" s="125">
        <f t="shared" si="1"/>
        <v>85000</v>
      </c>
    </row>
    <row r="38" spans="3:8">
      <c r="C38" s="145" t="s">
        <v>1226</v>
      </c>
      <c r="D38" s="81"/>
      <c r="E38" s="81"/>
      <c r="F38" s="81"/>
      <c r="G38" s="163"/>
      <c r="H38" s="125">
        <f>SUM(H33:H37)</f>
        <v>823570</v>
      </c>
    </row>
    <row r="39" spans="3:8">
      <c r="C39" s="153" t="s">
        <v>1227</v>
      </c>
      <c r="D39" s="60" t="s">
        <v>1228</v>
      </c>
      <c r="E39" s="74"/>
      <c r="F39" s="74"/>
      <c r="G39" s="74"/>
      <c r="H39" s="147"/>
    </row>
    <row r="40" spans="3:8">
      <c r="C40" s="145" t="s">
        <v>1229</v>
      </c>
      <c r="D40" s="81"/>
      <c r="E40" s="81"/>
      <c r="F40" s="81"/>
      <c r="G40" s="163"/>
      <c r="H40" s="154">
        <v>0</v>
      </c>
    </row>
    <row r="41" spans="3:8">
      <c r="C41" s="123" t="s">
        <v>1230</v>
      </c>
      <c r="D41" s="70" t="s">
        <v>1231</v>
      </c>
      <c r="E41" s="71"/>
      <c r="F41" s="71"/>
      <c r="G41" s="72"/>
      <c r="H41" s="125">
        <f>H40+H38+H31</f>
        <v>932147.5</v>
      </c>
    </row>
    <row r="42" spans="3:8">
      <c r="C42" s="123" t="s">
        <v>1232</v>
      </c>
      <c r="D42" s="70" t="s">
        <v>1410</v>
      </c>
      <c r="E42" s="71"/>
      <c r="F42" s="72"/>
      <c r="G42" s="96">
        <f>$M$7</f>
        <v>0.1</v>
      </c>
      <c r="H42" s="125">
        <f>H41*G42</f>
        <v>93214.75</v>
      </c>
    </row>
    <row r="43" spans="3:8" ht="15.75" thickBot="1">
      <c r="C43" s="131" t="s">
        <v>1233</v>
      </c>
      <c r="D43" s="132" t="s">
        <v>1234</v>
      </c>
      <c r="E43" s="133"/>
      <c r="F43" s="133"/>
      <c r="G43" s="156"/>
      <c r="H43" s="135">
        <f>SUM(H41:H42)</f>
        <v>1025362.25</v>
      </c>
    </row>
    <row r="44" spans="3:8" ht="15.75" thickTop="1"/>
  </sheetData>
  <dataValidations count="1">
    <dataValidation type="list" allowBlank="1" showInputMessage="1" showErrorMessage="1" sqref="D27:D30" xr:uid="{D3B2C576-4CB0-4035-B3F1-A9654581C36A}">
      <formula1>TENAGA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DB67-3BCD-45B4-A458-77490A4A321D}">
  <dimension ref="C1:M451"/>
  <sheetViews>
    <sheetView zoomScaleNormal="100" workbookViewId="0">
      <selection activeCell="C3" sqref="C3:I464"/>
    </sheetView>
    <sheetView workbookViewId="1"/>
  </sheetViews>
  <sheetFormatPr defaultColWidth="8.85546875" defaultRowHeight="15"/>
  <cols>
    <col min="1" max="2" width="3.28515625" style="56" customWidth="1"/>
    <col min="3" max="3" width="5.28515625" style="63" customWidth="1"/>
    <col min="4" max="4" width="36.7109375" style="63" customWidth="1"/>
    <col min="5" max="5" width="7.140625" style="63" customWidth="1"/>
    <col min="6" max="6" width="10.7109375" style="63" customWidth="1"/>
    <col min="7" max="7" width="14" style="63" customWidth="1"/>
    <col min="8" max="8" width="16.7109375" style="63" customWidth="1"/>
    <col min="9" max="9" width="14.140625" style="55" customWidth="1"/>
    <col min="10" max="10" width="8.85546875" style="56"/>
    <col min="11" max="11" width="11.7109375" style="56" bestFit="1" customWidth="1"/>
    <col min="12" max="12" width="11" style="56" customWidth="1"/>
    <col min="13" max="16384" width="8.85546875" style="56"/>
  </cols>
  <sheetData>
    <row r="1" spans="3:13" ht="12" customHeight="1"/>
    <row r="2" spans="3:13" ht="12" customHeight="1"/>
    <row r="3" spans="3:13">
      <c r="C3" s="354" t="str">
        <f>'[1]Daftar HSP'!A435</f>
        <v>Q</v>
      </c>
      <c r="D3" s="355" t="str">
        <f>'[1]Daftar HSP'!B435</f>
        <v>PEKERJAAN PENGECATAN DAN PELITURAN</v>
      </c>
      <c r="E3" s="332"/>
      <c r="F3" s="332"/>
      <c r="G3" s="332"/>
      <c r="H3" s="332"/>
    </row>
    <row r="4" spans="3:13" ht="15.75" thickBot="1">
      <c r="C4" s="235" t="s">
        <v>1710</v>
      </c>
      <c r="D4" s="235"/>
      <c r="E4" s="225"/>
      <c r="F4" s="225"/>
      <c r="G4" s="225"/>
      <c r="H4" s="225"/>
      <c r="I4" s="57">
        <f>ROUNDDOWN(H17,-2)</f>
        <v>18600</v>
      </c>
      <c r="K4" s="216"/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  <c r="K5" s="216"/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160" t="s">
        <v>1265</v>
      </c>
    </row>
    <row r="7" spans="3:13">
      <c r="C7" s="143">
        <v>1</v>
      </c>
      <c r="D7" s="60" t="s">
        <v>5</v>
      </c>
      <c r="E7" s="73" t="s">
        <v>6</v>
      </c>
      <c r="F7" s="94">
        <v>0.15</v>
      </c>
      <c r="G7" s="65">
        <f>VLOOKUP(D7,upahbahan,3,FALSE)</f>
        <v>100000</v>
      </c>
      <c r="H7" s="125">
        <f t="shared" ref="H7:H8" si="0">F7*G7</f>
        <v>15000</v>
      </c>
      <c r="J7" s="160" t="s">
        <v>1266</v>
      </c>
      <c r="M7" s="66">
        <v>0.1</v>
      </c>
    </row>
    <row r="8" spans="3:13">
      <c r="C8" s="143">
        <v>2</v>
      </c>
      <c r="D8" s="60" t="s">
        <v>19</v>
      </c>
      <c r="E8" s="73" t="s">
        <v>6</v>
      </c>
      <c r="F8" s="94">
        <v>7.4999999999999997E-3</v>
      </c>
      <c r="G8" s="65">
        <f>VLOOKUP(D8,upahbahan,3,FALSE)</f>
        <v>145000</v>
      </c>
      <c r="H8" s="125">
        <f t="shared" si="0"/>
        <v>1087.5</v>
      </c>
      <c r="K8" s="216"/>
    </row>
    <row r="9" spans="3:13">
      <c r="C9" s="145" t="s">
        <v>1220</v>
      </c>
      <c r="D9" s="81"/>
      <c r="E9" s="81"/>
      <c r="F9" s="220"/>
      <c r="G9" s="221"/>
      <c r="H9" s="125">
        <f>SUM(H7:H8)</f>
        <v>16087.5</v>
      </c>
      <c r="I9" s="222"/>
      <c r="K9" s="216"/>
    </row>
    <row r="10" spans="3:13">
      <c r="C10" s="142" t="s">
        <v>1221</v>
      </c>
      <c r="D10" s="60" t="s">
        <v>1222</v>
      </c>
      <c r="E10" s="74"/>
      <c r="F10" s="74"/>
      <c r="G10" s="74"/>
      <c r="H10" s="147"/>
      <c r="K10" s="216"/>
    </row>
    <row r="11" spans="3:13">
      <c r="C11" s="143">
        <v>1</v>
      </c>
      <c r="D11" s="60" t="s">
        <v>1070</v>
      </c>
      <c r="E11" s="73" t="s">
        <v>66</v>
      </c>
      <c r="F11" s="75">
        <v>0.05</v>
      </c>
      <c r="G11" s="65">
        <f>VLOOKUP(D11,upahbahan,3,FALSE)</f>
        <v>17900</v>
      </c>
      <c r="H11" s="125">
        <f t="shared" ref="H11" si="1">F11*G11</f>
        <v>895</v>
      </c>
      <c r="K11" s="216"/>
    </row>
    <row r="12" spans="3:13">
      <c r="C12" s="145" t="s">
        <v>1226</v>
      </c>
      <c r="D12" s="81"/>
      <c r="E12" s="81"/>
      <c r="F12" s="81"/>
      <c r="G12" s="163"/>
      <c r="H12" s="125">
        <f>SUM(H11)</f>
        <v>895</v>
      </c>
      <c r="K12" s="216"/>
    </row>
    <row r="13" spans="3:13">
      <c r="C13" s="153" t="s">
        <v>1227</v>
      </c>
      <c r="D13" s="60" t="s">
        <v>1228</v>
      </c>
      <c r="E13" s="74"/>
      <c r="F13" s="74"/>
      <c r="G13" s="74"/>
      <c r="H13" s="147"/>
      <c r="K13" s="216"/>
    </row>
    <row r="14" spans="3:13">
      <c r="C14" s="145" t="s">
        <v>1229</v>
      </c>
      <c r="D14" s="81"/>
      <c r="E14" s="81"/>
      <c r="F14" s="81"/>
      <c r="G14" s="163"/>
      <c r="H14" s="154">
        <v>0</v>
      </c>
      <c r="K14" s="216"/>
    </row>
    <row r="15" spans="3:13">
      <c r="C15" s="123" t="s">
        <v>1230</v>
      </c>
      <c r="D15" s="70" t="s">
        <v>1231</v>
      </c>
      <c r="E15" s="71"/>
      <c r="F15" s="71"/>
      <c r="G15" s="72"/>
      <c r="H15" s="125">
        <f>H14+H12+H9</f>
        <v>16982.5</v>
      </c>
      <c r="K15" s="216"/>
    </row>
    <row r="16" spans="3:13">
      <c r="C16" s="123" t="s">
        <v>1232</v>
      </c>
      <c r="D16" s="70" t="s">
        <v>1410</v>
      </c>
      <c r="E16" s="71"/>
      <c r="F16" s="72"/>
      <c r="G16" s="96">
        <f>$M$7</f>
        <v>0.1</v>
      </c>
      <c r="H16" s="125">
        <f>H15*G16</f>
        <v>1698.25</v>
      </c>
      <c r="K16" s="216"/>
    </row>
    <row r="17" spans="3:11" ht="15.75" thickBot="1">
      <c r="C17" s="131" t="s">
        <v>1233</v>
      </c>
      <c r="D17" s="132" t="s">
        <v>1234</v>
      </c>
      <c r="E17" s="133"/>
      <c r="F17" s="133"/>
      <c r="G17" s="156"/>
      <c r="H17" s="135">
        <f>SUM(H15:H16)</f>
        <v>18680.75</v>
      </c>
      <c r="K17" s="216"/>
    </row>
    <row r="18" spans="3:11" ht="15.75" thickTop="1">
      <c r="C18" s="90"/>
      <c r="D18" s="91"/>
      <c r="E18" s="91"/>
      <c r="F18" s="91"/>
      <c r="G18" s="91"/>
      <c r="H18" s="92"/>
      <c r="K18" s="216"/>
    </row>
    <row r="19" spans="3:11" ht="15.75" thickBot="1">
      <c r="C19" s="235" t="s">
        <v>1711</v>
      </c>
      <c r="D19" s="235"/>
      <c r="E19" s="226"/>
      <c r="F19" s="226"/>
      <c r="G19" s="226"/>
      <c r="H19" s="226"/>
      <c r="I19" s="57">
        <f>ROUNDDOWN(H32,-2)</f>
        <v>18700</v>
      </c>
      <c r="K19" s="216"/>
    </row>
    <row r="20" spans="3:11" ht="29.25" thickTop="1">
      <c r="C20" s="120" t="s">
        <v>1207</v>
      </c>
      <c r="D20" s="121" t="s">
        <v>1208</v>
      </c>
      <c r="E20" s="121" t="s">
        <v>1209</v>
      </c>
      <c r="F20" s="121" t="s">
        <v>1210</v>
      </c>
      <c r="G20" s="121" t="s">
        <v>1211</v>
      </c>
      <c r="H20" s="122" t="s">
        <v>1212</v>
      </c>
      <c r="K20" s="216"/>
    </row>
    <row r="21" spans="3:11">
      <c r="C21" s="142" t="s">
        <v>1213</v>
      </c>
      <c r="D21" s="60" t="s">
        <v>1214</v>
      </c>
      <c r="E21" s="74"/>
      <c r="F21" s="74"/>
      <c r="G21" s="74"/>
      <c r="H21" s="147"/>
      <c r="K21" s="216"/>
    </row>
    <row r="22" spans="3:11">
      <c r="C22" s="143">
        <v>1</v>
      </c>
      <c r="D22" s="60" t="s">
        <v>5</v>
      </c>
      <c r="E22" s="73" t="s">
        <v>6</v>
      </c>
      <c r="F22" s="94">
        <v>0.15</v>
      </c>
      <c r="G22" s="65">
        <f>VLOOKUP(D22,upahbahan,3,FALSE)</f>
        <v>100000</v>
      </c>
      <c r="H22" s="125">
        <f t="shared" ref="H22:H23" si="2">F22*G22</f>
        <v>15000</v>
      </c>
      <c r="K22" s="216"/>
    </row>
    <row r="23" spans="3:11">
      <c r="C23" s="143">
        <v>2</v>
      </c>
      <c r="D23" s="60" t="s">
        <v>19</v>
      </c>
      <c r="E23" s="73" t="s">
        <v>6</v>
      </c>
      <c r="F23" s="94">
        <v>7.4999999999999997E-3</v>
      </c>
      <c r="G23" s="65">
        <f>VLOOKUP(D23,upahbahan,3,FALSE)</f>
        <v>145000</v>
      </c>
      <c r="H23" s="125">
        <f t="shared" si="2"/>
        <v>1087.5</v>
      </c>
      <c r="K23" s="216"/>
    </row>
    <row r="24" spans="3:11">
      <c r="C24" s="145" t="s">
        <v>1421</v>
      </c>
      <c r="D24" s="81"/>
      <c r="E24" s="81"/>
      <c r="F24" s="220"/>
      <c r="G24" s="221"/>
      <c r="H24" s="125">
        <f>SUM(H22:H23)</f>
        <v>16087.5</v>
      </c>
      <c r="I24" s="222"/>
      <c r="K24" s="216"/>
    </row>
    <row r="25" spans="3:11">
      <c r="C25" s="142" t="s">
        <v>1221</v>
      </c>
      <c r="D25" s="60" t="s">
        <v>1222</v>
      </c>
      <c r="E25" s="74"/>
      <c r="F25" s="74"/>
      <c r="G25" s="74"/>
      <c r="H25" s="147"/>
      <c r="K25" s="216"/>
    </row>
    <row r="26" spans="3:11">
      <c r="C26" s="143">
        <v>1</v>
      </c>
      <c r="D26" s="60" t="s">
        <v>1053</v>
      </c>
      <c r="E26" s="73" t="s">
        <v>66</v>
      </c>
      <c r="F26" s="75">
        <v>0.05</v>
      </c>
      <c r="G26" s="65">
        <f>VLOOKUP(D26,upahbahan,3,FALSE)</f>
        <v>19400</v>
      </c>
      <c r="H26" s="125">
        <f t="shared" ref="H26" si="3">F26*G26</f>
        <v>970</v>
      </c>
      <c r="K26" s="216"/>
    </row>
    <row r="27" spans="3:11">
      <c r="C27" s="145" t="s">
        <v>1226</v>
      </c>
      <c r="D27" s="81"/>
      <c r="E27" s="81"/>
      <c r="F27" s="81"/>
      <c r="G27" s="163"/>
      <c r="H27" s="125">
        <f>SUM(H26)</f>
        <v>970</v>
      </c>
      <c r="K27" s="216"/>
    </row>
    <row r="28" spans="3:11">
      <c r="C28" s="153" t="s">
        <v>1227</v>
      </c>
      <c r="D28" s="60" t="s">
        <v>1228</v>
      </c>
      <c r="E28" s="74"/>
      <c r="F28" s="74"/>
      <c r="G28" s="74"/>
      <c r="H28" s="147"/>
      <c r="K28" s="216"/>
    </row>
    <row r="29" spans="3:11">
      <c r="C29" s="145" t="s">
        <v>1229</v>
      </c>
      <c r="D29" s="81"/>
      <c r="E29" s="81"/>
      <c r="F29" s="81"/>
      <c r="G29" s="163"/>
      <c r="H29" s="154">
        <v>0</v>
      </c>
      <c r="K29" s="216"/>
    </row>
    <row r="30" spans="3:11">
      <c r="C30" s="123" t="s">
        <v>1230</v>
      </c>
      <c r="D30" s="70" t="s">
        <v>1231</v>
      </c>
      <c r="E30" s="71"/>
      <c r="F30" s="71"/>
      <c r="G30" s="72"/>
      <c r="H30" s="125">
        <f>H29+H27+H24</f>
        <v>17057.5</v>
      </c>
      <c r="K30" s="216"/>
    </row>
    <row r="31" spans="3:11">
      <c r="C31" s="123" t="s">
        <v>1232</v>
      </c>
      <c r="D31" s="70" t="s">
        <v>1410</v>
      </c>
      <c r="E31" s="71"/>
      <c r="F31" s="72"/>
      <c r="G31" s="96">
        <f>$M$7</f>
        <v>0.1</v>
      </c>
      <c r="H31" s="125">
        <f>H30*G31</f>
        <v>1705.75</v>
      </c>
      <c r="K31" s="216"/>
    </row>
    <row r="32" spans="3:11" ht="15.75" thickBot="1">
      <c r="C32" s="131" t="s">
        <v>1233</v>
      </c>
      <c r="D32" s="132" t="s">
        <v>1234</v>
      </c>
      <c r="E32" s="133"/>
      <c r="F32" s="133"/>
      <c r="G32" s="156"/>
      <c r="H32" s="135">
        <f>SUM(H30:H31)</f>
        <v>18763.25</v>
      </c>
      <c r="K32" s="216"/>
    </row>
    <row r="33" spans="3:11" ht="15.75" thickTop="1">
      <c r="C33" s="90"/>
      <c r="D33" s="91"/>
      <c r="E33" s="91"/>
      <c r="F33" s="91"/>
      <c r="G33" s="91"/>
      <c r="H33" s="92"/>
      <c r="K33" s="216"/>
    </row>
    <row r="34" spans="3:11" ht="15.75" thickBot="1">
      <c r="C34" s="235" t="s">
        <v>1712</v>
      </c>
      <c r="D34" s="357"/>
      <c r="E34" s="226"/>
      <c r="F34" s="226"/>
      <c r="G34" s="226"/>
      <c r="H34" s="226"/>
      <c r="I34" s="57">
        <f>ROUNDDOWN(H47,-2)</f>
        <v>18700</v>
      </c>
      <c r="K34" s="216"/>
    </row>
    <row r="35" spans="3:11" ht="29.25" thickTop="1">
      <c r="C35" s="120" t="s">
        <v>1207</v>
      </c>
      <c r="D35" s="121" t="s">
        <v>1208</v>
      </c>
      <c r="E35" s="121" t="s">
        <v>1209</v>
      </c>
      <c r="F35" s="121" t="s">
        <v>1210</v>
      </c>
      <c r="G35" s="121" t="s">
        <v>1211</v>
      </c>
      <c r="H35" s="122" t="s">
        <v>1212</v>
      </c>
      <c r="K35" s="216"/>
    </row>
    <row r="36" spans="3:11">
      <c r="C36" s="142" t="s">
        <v>1213</v>
      </c>
      <c r="D36" s="60" t="s">
        <v>1214</v>
      </c>
      <c r="E36" s="74"/>
      <c r="F36" s="74"/>
      <c r="G36" s="74"/>
      <c r="H36" s="147"/>
      <c r="K36" s="216"/>
    </row>
    <row r="37" spans="3:11">
      <c r="C37" s="143">
        <v>1</v>
      </c>
      <c r="D37" s="60" t="s">
        <v>5</v>
      </c>
      <c r="E37" s="73" t="s">
        <v>6</v>
      </c>
      <c r="F37" s="94">
        <v>0.15</v>
      </c>
      <c r="G37" s="65">
        <f>VLOOKUP(D37,upahbahan,3,FALSE)</f>
        <v>100000</v>
      </c>
      <c r="H37" s="125">
        <f t="shared" ref="H37:H38" si="4">F37*G37</f>
        <v>15000</v>
      </c>
      <c r="K37" s="216"/>
    </row>
    <row r="38" spans="3:11">
      <c r="C38" s="143">
        <v>2</v>
      </c>
      <c r="D38" s="60" t="s">
        <v>19</v>
      </c>
      <c r="E38" s="73" t="s">
        <v>6</v>
      </c>
      <c r="F38" s="94">
        <v>7.4999999999999997E-3</v>
      </c>
      <c r="G38" s="65">
        <f>VLOOKUP(D38,upahbahan,3,FALSE)</f>
        <v>145000</v>
      </c>
      <c r="H38" s="125">
        <f t="shared" si="4"/>
        <v>1087.5</v>
      </c>
      <c r="K38" s="216"/>
    </row>
    <row r="39" spans="3:11">
      <c r="C39" s="145" t="s">
        <v>1421</v>
      </c>
      <c r="D39" s="81"/>
      <c r="E39" s="81"/>
      <c r="F39" s="220"/>
      <c r="G39" s="221"/>
      <c r="H39" s="125">
        <f>SUM(H37:H38)</f>
        <v>16087.5</v>
      </c>
      <c r="I39" s="222"/>
      <c r="K39" s="216"/>
    </row>
    <row r="40" spans="3:11">
      <c r="C40" s="142" t="s">
        <v>1221</v>
      </c>
      <c r="D40" s="60" t="s">
        <v>1222</v>
      </c>
      <c r="E40" s="74"/>
      <c r="F40" s="74"/>
      <c r="G40" s="74"/>
      <c r="H40" s="147"/>
      <c r="K40" s="216"/>
    </row>
    <row r="41" spans="3:11">
      <c r="C41" s="143">
        <v>1</v>
      </c>
      <c r="D41" s="60" t="s">
        <v>763</v>
      </c>
      <c r="E41" s="73" t="s">
        <v>66</v>
      </c>
      <c r="F41" s="75">
        <v>0.05</v>
      </c>
      <c r="G41" s="65">
        <f>VLOOKUP(D41,upahbahan,3,FALSE)</f>
        <v>20000</v>
      </c>
      <c r="H41" s="125">
        <f t="shared" ref="H41" si="5">F41*G41</f>
        <v>1000</v>
      </c>
      <c r="K41" s="216"/>
    </row>
    <row r="42" spans="3:11">
      <c r="C42" s="145" t="s">
        <v>1226</v>
      </c>
      <c r="D42" s="81"/>
      <c r="E42" s="81"/>
      <c r="F42" s="81"/>
      <c r="G42" s="163"/>
      <c r="H42" s="125">
        <f>SUM(H41)</f>
        <v>1000</v>
      </c>
      <c r="K42" s="216"/>
    </row>
    <row r="43" spans="3:11">
      <c r="C43" s="153" t="s">
        <v>1227</v>
      </c>
      <c r="D43" s="60" t="s">
        <v>1228</v>
      </c>
      <c r="E43" s="74"/>
      <c r="F43" s="74"/>
      <c r="G43" s="74"/>
      <c r="H43" s="147"/>
      <c r="K43" s="216"/>
    </row>
    <row r="44" spans="3:11">
      <c r="C44" s="145" t="s">
        <v>1229</v>
      </c>
      <c r="D44" s="81"/>
      <c r="E44" s="81"/>
      <c r="F44" s="81"/>
      <c r="G44" s="163"/>
      <c r="H44" s="154">
        <v>0</v>
      </c>
      <c r="K44" s="216"/>
    </row>
    <row r="45" spans="3:11">
      <c r="C45" s="123" t="s">
        <v>1230</v>
      </c>
      <c r="D45" s="70" t="s">
        <v>1231</v>
      </c>
      <c r="E45" s="71"/>
      <c r="F45" s="71"/>
      <c r="G45" s="72"/>
      <c r="H45" s="125">
        <f>H44+H42+H39</f>
        <v>17087.5</v>
      </c>
      <c r="K45" s="216"/>
    </row>
    <row r="46" spans="3:11">
      <c r="C46" s="123" t="s">
        <v>1232</v>
      </c>
      <c r="D46" s="70" t="s">
        <v>1410</v>
      </c>
      <c r="E46" s="71"/>
      <c r="F46" s="72"/>
      <c r="G46" s="96">
        <f>$M$7</f>
        <v>0.1</v>
      </c>
      <c r="H46" s="125">
        <f>H45*G46</f>
        <v>1708.75</v>
      </c>
      <c r="K46" s="216"/>
    </row>
    <row r="47" spans="3:11" ht="15.75" thickBot="1">
      <c r="C47" s="131" t="s">
        <v>1233</v>
      </c>
      <c r="D47" s="132" t="s">
        <v>1234</v>
      </c>
      <c r="E47" s="133"/>
      <c r="F47" s="133"/>
      <c r="G47" s="156"/>
      <c r="H47" s="135">
        <f>SUM(H45:H46)</f>
        <v>18796.25</v>
      </c>
      <c r="K47" s="216"/>
    </row>
    <row r="48" spans="3:11" ht="15.75" thickTop="1">
      <c r="C48" s="90"/>
      <c r="D48" s="91"/>
      <c r="E48" s="91"/>
      <c r="F48" s="91"/>
      <c r="G48" s="91"/>
      <c r="H48" s="92"/>
      <c r="K48" s="216"/>
    </row>
    <row r="49" spans="3:11" ht="15.75" thickBot="1">
      <c r="C49" s="521" t="s">
        <v>1713</v>
      </c>
      <c r="D49" s="521"/>
      <c r="E49" s="521"/>
      <c r="F49" s="521"/>
      <c r="G49" s="521"/>
      <c r="H49" s="521"/>
      <c r="I49" s="57">
        <f>ROUNDDOWN(H70,-2)</f>
        <v>47300</v>
      </c>
      <c r="K49" s="216"/>
    </row>
    <row r="50" spans="3:11" ht="29.25" thickTop="1">
      <c r="C50" s="120" t="s">
        <v>1207</v>
      </c>
      <c r="D50" s="121" t="s">
        <v>1208</v>
      </c>
      <c r="E50" s="121" t="s">
        <v>1209</v>
      </c>
      <c r="F50" s="121" t="s">
        <v>1210</v>
      </c>
      <c r="G50" s="121" t="s">
        <v>1211</v>
      </c>
      <c r="H50" s="122" t="s">
        <v>1212</v>
      </c>
      <c r="K50" s="216"/>
    </row>
    <row r="51" spans="3:11">
      <c r="C51" s="142" t="s">
        <v>1213</v>
      </c>
      <c r="D51" s="60" t="s">
        <v>1214</v>
      </c>
      <c r="E51" s="74"/>
      <c r="F51" s="74"/>
      <c r="G51" s="74"/>
      <c r="H51" s="147"/>
      <c r="K51" s="216"/>
    </row>
    <row r="52" spans="3:11">
      <c r="C52" s="143">
        <v>1</v>
      </c>
      <c r="D52" s="60" t="s">
        <v>5</v>
      </c>
      <c r="E52" s="73" t="s">
        <v>6</v>
      </c>
      <c r="F52" s="94">
        <v>7.0000000000000007E-2</v>
      </c>
      <c r="G52" s="65">
        <f>VLOOKUP(D52,upahbahan,3,FALSE)</f>
        <v>100000</v>
      </c>
      <c r="H52" s="125">
        <f t="shared" ref="H52:H55" si="6">F52*G52</f>
        <v>7000.0000000000009</v>
      </c>
      <c r="K52" s="216"/>
    </row>
    <row r="53" spans="3:11">
      <c r="C53" s="143">
        <v>2</v>
      </c>
      <c r="D53" s="60" t="s">
        <v>12</v>
      </c>
      <c r="E53" s="73" t="s">
        <v>6</v>
      </c>
      <c r="F53" s="94">
        <v>8.9999999999999993E-3</v>
      </c>
      <c r="G53" s="65">
        <f>VLOOKUP(D53,upahbahan,3,FALSE)</f>
        <v>145000</v>
      </c>
      <c r="H53" s="125">
        <f t="shared" si="6"/>
        <v>1305</v>
      </c>
      <c r="K53" s="216"/>
    </row>
    <row r="54" spans="3:11">
      <c r="C54" s="143">
        <v>3</v>
      </c>
      <c r="D54" s="60" t="s">
        <v>18</v>
      </c>
      <c r="E54" s="73" t="s">
        <v>6</v>
      </c>
      <c r="F54" s="94">
        <v>8.9999999999999998E-4</v>
      </c>
      <c r="G54" s="65">
        <f>VLOOKUP(D54,upahbahan,3,FALSE)</f>
        <v>150000</v>
      </c>
      <c r="H54" s="125">
        <f t="shared" si="6"/>
        <v>135</v>
      </c>
      <c r="K54" s="216"/>
    </row>
    <row r="55" spans="3:11">
      <c r="C55" s="143">
        <v>4</v>
      </c>
      <c r="D55" s="60" t="s">
        <v>19</v>
      </c>
      <c r="E55" s="73" t="s">
        <v>6</v>
      </c>
      <c r="F55" s="94">
        <v>2.9999999999999997E-4</v>
      </c>
      <c r="G55" s="65">
        <f>VLOOKUP(D55,upahbahan,3,FALSE)</f>
        <v>145000</v>
      </c>
      <c r="H55" s="125">
        <f t="shared" si="6"/>
        <v>43.499999999999993</v>
      </c>
      <c r="K55" s="216"/>
    </row>
    <row r="56" spans="3:11">
      <c r="C56" s="145" t="s">
        <v>1220</v>
      </c>
      <c r="D56" s="81"/>
      <c r="E56" s="81"/>
      <c r="F56" s="190"/>
      <c r="G56" s="232"/>
      <c r="H56" s="125">
        <f>SUM(H52:H55)</f>
        <v>8483.5</v>
      </c>
      <c r="K56" s="216"/>
    </row>
    <row r="57" spans="3:11">
      <c r="C57" s="142" t="s">
        <v>1221</v>
      </c>
      <c r="D57" s="60" t="s">
        <v>1222</v>
      </c>
      <c r="E57" s="74"/>
      <c r="F57" s="74"/>
      <c r="G57" s="74"/>
      <c r="H57" s="147"/>
      <c r="K57" s="216"/>
    </row>
    <row r="58" spans="3:11">
      <c r="C58" s="143">
        <v>1</v>
      </c>
      <c r="D58" s="60" t="s">
        <v>599</v>
      </c>
      <c r="E58" s="73" t="s">
        <v>66</v>
      </c>
      <c r="F58" s="75">
        <v>0.2</v>
      </c>
      <c r="G58" s="65">
        <f t="shared" ref="G58:G64" si="7">VLOOKUP(D58,upahbahan,3,FALSE)</f>
        <v>34500</v>
      </c>
      <c r="H58" s="125">
        <f t="shared" ref="H58:H64" si="8">F58*G58</f>
        <v>6900</v>
      </c>
      <c r="K58" s="216"/>
    </row>
    <row r="59" spans="3:11">
      <c r="C59" s="143">
        <v>2</v>
      </c>
      <c r="D59" s="60" t="s">
        <v>604</v>
      </c>
      <c r="E59" s="73" t="s">
        <v>66</v>
      </c>
      <c r="F59" s="75">
        <v>0.15</v>
      </c>
      <c r="G59" s="65">
        <f t="shared" si="7"/>
        <v>30100</v>
      </c>
      <c r="H59" s="125">
        <f t="shared" si="8"/>
        <v>4515</v>
      </c>
      <c r="K59" s="216"/>
    </row>
    <row r="60" spans="3:11">
      <c r="C60" s="143">
        <v>3</v>
      </c>
      <c r="D60" s="60" t="s">
        <v>581</v>
      </c>
      <c r="E60" s="73" t="s">
        <v>66</v>
      </c>
      <c r="F60" s="75">
        <v>0.17</v>
      </c>
      <c r="G60" s="65">
        <f t="shared" si="7"/>
        <v>38200</v>
      </c>
      <c r="H60" s="125">
        <f t="shared" si="8"/>
        <v>6494.0000000000009</v>
      </c>
      <c r="K60" s="216"/>
    </row>
    <row r="61" spans="3:11">
      <c r="C61" s="143">
        <v>4</v>
      </c>
      <c r="D61" s="60" t="s">
        <v>587</v>
      </c>
      <c r="E61" s="73" t="s">
        <v>66</v>
      </c>
      <c r="F61" s="75">
        <v>0.26</v>
      </c>
      <c r="G61" s="65">
        <f t="shared" si="7"/>
        <v>58500</v>
      </c>
      <c r="H61" s="125">
        <f t="shared" si="8"/>
        <v>15210</v>
      </c>
      <c r="K61" s="216"/>
    </row>
    <row r="62" spans="3:11">
      <c r="C62" s="143">
        <v>5</v>
      </c>
      <c r="D62" s="60" t="s">
        <v>596</v>
      </c>
      <c r="E62" s="73" t="s">
        <v>44</v>
      </c>
      <c r="F62" s="75">
        <v>0.01</v>
      </c>
      <c r="G62" s="65">
        <f t="shared" si="7"/>
        <v>10400</v>
      </c>
      <c r="H62" s="125">
        <f t="shared" si="8"/>
        <v>104</v>
      </c>
      <c r="K62" s="216"/>
    </row>
    <row r="63" spans="3:11">
      <c r="C63" s="143">
        <v>6</v>
      </c>
      <c r="D63" s="60" t="s">
        <v>602</v>
      </c>
      <c r="E63" s="73" t="s">
        <v>66</v>
      </c>
      <c r="F63" s="75">
        <v>0.03</v>
      </c>
      <c r="G63" s="65">
        <f t="shared" si="7"/>
        <v>20000</v>
      </c>
      <c r="H63" s="125">
        <f t="shared" si="8"/>
        <v>600</v>
      </c>
      <c r="K63" s="216"/>
    </row>
    <row r="64" spans="3:11">
      <c r="C64" s="143">
        <v>7</v>
      </c>
      <c r="D64" s="60" t="s">
        <v>977</v>
      </c>
      <c r="E64" s="69" t="s">
        <v>133</v>
      </c>
      <c r="F64" s="75">
        <v>0.2</v>
      </c>
      <c r="G64" s="65">
        <f t="shared" si="7"/>
        <v>3900</v>
      </c>
      <c r="H64" s="125">
        <f t="shared" si="8"/>
        <v>780</v>
      </c>
      <c r="K64" s="216"/>
    </row>
    <row r="65" spans="3:11">
      <c r="C65" s="145" t="s">
        <v>1226</v>
      </c>
      <c r="D65" s="81"/>
      <c r="E65" s="81"/>
      <c r="F65" s="81"/>
      <c r="G65" s="163"/>
      <c r="H65" s="125">
        <f>SUM(H58:H64)</f>
        <v>34603</v>
      </c>
      <c r="K65" s="216"/>
    </row>
    <row r="66" spans="3:11">
      <c r="C66" s="153" t="s">
        <v>1227</v>
      </c>
      <c r="D66" s="60" t="s">
        <v>1228</v>
      </c>
      <c r="E66" s="74"/>
      <c r="F66" s="74"/>
      <c r="G66" s="74"/>
      <c r="H66" s="147"/>
      <c r="K66" s="216"/>
    </row>
    <row r="67" spans="3:11">
      <c r="C67" s="145" t="s">
        <v>1229</v>
      </c>
      <c r="D67" s="81"/>
      <c r="E67" s="81"/>
      <c r="F67" s="81"/>
      <c r="G67" s="163"/>
      <c r="H67" s="154">
        <v>0</v>
      </c>
      <c r="K67" s="216"/>
    </row>
    <row r="68" spans="3:11">
      <c r="C68" s="123" t="s">
        <v>1230</v>
      </c>
      <c r="D68" s="70" t="s">
        <v>1231</v>
      </c>
      <c r="E68" s="71"/>
      <c r="F68" s="71"/>
      <c r="G68" s="72"/>
      <c r="H68" s="125">
        <f>H67+H65+H56</f>
        <v>43086.5</v>
      </c>
      <c r="K68" s="216"/>
    </row>
    <row r="69" spans="3:11">
      <c r="C69" s="123" t="s">
        <v>1232</v>
      </c>
      <c r="D69" s="70" t="s">
        <v>1410</v>
      </c>
      <c r="E69" s="71"/>
      <c r="F69" s="72"/>
      <c r="G69" s="96">
        <f>$M$7</f>
        <v>0.1</v>
      </c>
      <c r="H69" s="125">
        <f>H68*G69</f>
        <v>4308.6500000000005</v>
      </c>
      <c r="K69" s="216"/>
    </row>
    <row r="70" spans="3:11" ht="15.75" thickBot="1">
      <c r="C70" s="131" t="s">
        <v>1233</v>
      </c>
      <c r="D70" s="132" t="s">
        <v>1234</v>
      </c>
      <c r="E70" s="133"/>
      <c r="F70" s="133"/>
      <c r="G70" s="156"/>
      <c r="H70" s="135">
        <f>SUM(H68:H69)</f>
        <v>47395.15</v>
      </c>
      <c r="K70" s="216"/>
    </row>
    <row r="71" spans="3:11" ht="15.75" thickTop="1">
      <c r="K71" s="216"/>
    </row>
    <row r="72" spans="3:11" ht="15.75" thickBot="1">
      <c r="C72" s="521" t="s">
        <v>1714</v>
      </c>
      <c r="D72" s="521"/>
      <c r="E72" s="521"/>
      <c r="F72" s="521"/>
      <c r="G72" s="521"/>
      <c r="H72" s="521"/>
      <c r="I72" s="57">
        <f>ROUNDDOWN(H93,-2)</f>
        <v>70500</v>
      </c>
      <c r="K72" s="216"/>
    </row>
    <row r="73" spans="3:11" ht="29.25" thickTop="1">
      <c r="C73" s="120" t="s">
        <v>1207</v>
      </c>
      <c r="D73" s="121" t="s">
        <v>1208</v>
      </c>
      <c r="E73" s="121" t="s">
        <v>1209</v>
      </c>
      <c r="F73" s="121" t="s">
        <v>1210</v>
      </c>
      <c r="G73" s="121" t="s">
        <v>1211</v>
      </c>
      <c r="H73" s="122" t="s">
        <v>1212</v>
      </c>
      <c r="K73" s="216"/>
    </row>
    <row r="74" spans="3:11">
      <c r="C74" s="142" t="s">
        <v>1213</v>
      </c>
      <c r="D74" s="60" t="s">
        <v>1214</v>
      </c>
      <c r="E74" s="74"/>
      <c r="F74" s="74"/>
      <c r="G74" s="74"/>
      <c r="H74" s="147"/>
      <c r="K74" s="216"/>
    </row>
    <row r="75" spans="3:11">
      <c r="C75" s="143">
        <v>1</v>
      </c>
      <c r="D75" s="60" t="s">
        <v>5</v>
      </c>
      <c r="E75" s="73" t="s">
        <v>6</v>
      </c>
      <c r="F75" s="94">
        <v>7.0000000000000007E-2</v>
      </c>
      <c r="G75" s="65">
        <f>VLOOKUP(D75,upahbahan,3,FALSE)</f>
        <v>100000</v>
      </c>
      <c r="H75" s="125">
        <f t="shared" ref="H75:H78" si="9">F75*G75</f>
        <v>7000.0000000000009</v>
      </c>
      <c r="K75" s="216"/>
    </row>
    <row r="76" spans="3:11">
      <c r="C76" s="143">
        <v>2</v>
      </c>
      <c r="D76" s="60" t="s">
        <v>12</v>
      </c>
      <c r="E76" s="73" t="s">
        <v>6</v>
      </c>
      <c r="F76" s="94">
        <v>0.105</v>
      </c>
      <c r="G76" s="65">
        <f>VLOOKUP(D76,upahbahan,3,FALSE)</f>
        <v>145000</v>
      </c>
      <c r="H76" s="125">
        <f t="shared" si="9"/>
        <v>15225</v>
      </c>
      <c r="K76" s="216"/>
    </row>
    <row r="77" spans="3:11">
      <c r="C77" s="143">
        <v>3</v>
      </c>
      <c r="D77" s="60" t="s">
        <v>18</v>
      </c>
      <c r="E77" s="73" t="s">
        <v>6</v>
      </c>
      <c r="F77" s="94">
        <v>1.0500000000000001E-2</v>
      </c>
      <c r="G77" s="65">
        <f>VLOOKUP(D77,upahbahan,3,FALSE)</f>
        <v>150000</v>
      </c>
      <c r="H77" s="125">
        <f t="shared" si="9"/>
        <v>1575</v>
      </c>
      <c r="K77" s="216"/>
    </row>
    <row r="78" spans="3:11">
      <c r="C78" s="143">
        <v>4</v>
      </c>
      <c r="D78" s="60" t="s">
        <v>19</v>
      </c>
      <c r="E78" s="73" t="s">
        <v>6</v>
      </c>
      <c r="F78" s="94">
        <v>3.5000000000000001E-3</v>
      </c>
      <c r="G78" s="65">
        <f>VLOOKUP(D78,upahbahan,3,FALSE)</f>
        <v>145000</v>
      </c>
      <c r="H78" s="125">
        <f t="shared" si="9"/>
        <v>507.5</v>
      </c>
      <c r="K78" s="216"/>
    </row>
    <row r="79" spans="3:11">
      <c r="C79" s="145" t="s">
        <v>1220</v>
      </c>
      <c r="D79" s="81"/>
      <c r="E79" s="81"/>
      <c r="F79" s="190"/>
      <c r="G79" s="232"/>
      <c r="H79" s="125">
        <f>SUM(H75:H78)</f>
        <v>24307.5</v>
      </c>
      <c r="K79" s="216"/>
    </row>
    <row r="80" spans="3:11">
      <c r="C80" s="142" t="s">
        <v>1221</v>
      </c>
      <c r="D80" s="60" t="s">
        <v>1222</v>
      </c>
      <c r="E80" s="74"/>
      <c r="F80" s="74"/>
      <c r="G80" s="74"/>
      <c r="H80" s="147"/>
      <c r="K80" s="216"/>
    </row>
    <row r="81" spans="3:11">
      <c r="C81" s="143">
        <v>1</v>
      </c>
      <c r="D81" s="60" t="s">
        <v>599</v>
      </c>
      <c r="E81" s="73" t="s">
        <v>66</v>
      </c>
      <c r="F81" s="75">
        <v>0.2</v>
      </c>
      <c r="G81" s="65">
        <f t="shared" ref="G81:G87" si="10">VLOOKUP(D81,upahbahan,3,FALSE)</f>
        <v>34500</v>
      </c>
      <c r="H81" s="125">
        <f t="shared" ref="H81:H87" si="11">F81*G81</f>
        <v>6900</v>
      </c>
      <c r="K81" s="216"/>
    </row>
    <row r="82" spans="3:11">
      <c r="C82" s="143">
        <v>2</v>
      </c>
      <c r="D82" s="60" t="s">
        <v>604</v>
      </c>
      <c r="E82" s="73" t="s">
        <v>66</v>
      </c>
      <c r="F82" s="75">
        <v>0.15</v>
      </c>
      <c r="G82" s="65">
        <f t="shared" si="10"/>
        <v>30100</v>
      </c>
      <c r="H82" s="125">
        <f t="shared" si="11"/>
        <v>4515</v>
      </c>
      <c r="K82" s="216"/>
    </row>
    <row r="83" spans="3:11">
      <c r="C83" s="143">
        <v>3</v>
      </c>
      <c r="D83" s="60" t="s">
        <v>581</v>
      </c>
      <c r="E83" s="73" t="s">
        <v>66</v>
      </c>
      <c r="F83" s="75">
        <v>0.17</v>
      </c>
      <c r="G83" s="65">
        <f t="shared" si="10"/>
        <v>38200</v>
      </c>
      <c r="H83" s="125">
        <f t="shared" si="11"/>
        <v>6494.0000000000009</v>
      </c>
      <c r="K83" s="216"/>
    </row>
    <row r="84" spans="3:11">
      <c r="C84" s="143">
        <v>4</v>
      </c>
      <c r="D84" s="60" t="s">
        <v>587</v>
      </c>
      <c r="E84" s="73" t="s">
        <v>66</v>
      </c>
      <c r="F84" s="75">
        <v>0.35</v>
      </c>
      <c r="G84" s="65">
        <f t="shared" si="10"/>
        <v>58500</v>
      </c>
      <c r="H84" s="125">
        <f t="shared" si="11"/>
        <v>20475</v>
      </c>
      <c r="K84" s="216"/>
    </row>
    <row r="85" spans="3:11">
      <c r="C85" s="143">
        <v>5</v>
      </c>
      <c r="D85" s="60" t="s">
        <v>596</v>
      </c>
      <c r="E85" s="73" t="s">
        <v>44</v>
      </c>
      <c r="F85" s="75">
        <v>0.01</v>
      </c>
      <c r="G85" s="65">
        <f t="shared" si="10"/>
        <v>10400</v>
      </c>
      <c r="H85" s="125">
        <f t="shared" si="11"/>
        <v>104</v>
      </c>
      <c r="K85" s="216"/>
    </row>
    <row r="86" spans="3:11">
      <c r="C86" s="143">
        <v>6</v>
      </c>
      <c r="D86" s="60" t="s">
        <v>602</v>
      </c>
      <c r="E86" s="73" t="s">
        <v>66</v>
      </c>
      <c r="F86" s="75">
        <v>0.03</v>
      </c>
      <c r="G86" s="65">
        <f t="shared" si="10"/>
        <v>20000</v>
      </c>
      <c r="H86" s="125">
        <f t="shared" si="11"/>
        <v>600</v>
      </c>
      <c r="K86" s="216"/>
    </row>
    <row r="87" spans="3:11">
      <c r="C87" s="143">
        <v>7</v>
      </c>
      <c r="D87" s="60" t="s">
        <v>977</v>
      </c>
      <c r="E87" s="69" t="s">
        <v>133</v>
      </c>
      <c r="F87" s="75">
        <v>0.2</v>
      </c>
      <c r="G87" s="65">
        <f t="shared" si="10"/>
        <v>3900</v>
      </c>
      <c r="H87" s="125">
        <f t="shared" si="11"/>
        <v>780</v>
      </c>
      <c r="K87" s="216"/>
    </row>
    <row r="88" spans="3:11">
      <c r="C88" s="145" t="s">
        <v>1226</v>
      </c>
      <c r="D88" s="81"/>
      <c r="E88" s="81"/>
      <c r="F88" s="81"/>
      <c r="G88" s="163"/>
      <c r="H88" s="125">
        <f>SUM(H81:H87)</f>
        <v>39868</v>
      </c>
      <c r="K88" s="216"/>
    </row>
    <row r="89" spans="3:11">
      <c r="C89" s="153" t="s">
        <v>1227</v>
      </c>
      <c r="D89" s="60" t="s">
        <v>1228</v>
      </c>
      <c r="E89" s="74"/>
      <c r="F89" s="74"/>
      <c r="G89" s="74"/>
      <c r="H89" s="147"/>
      <c r="K89" s="216"/>
    </row>
    <row r="90" spans="3:11">
      <c r="C90" s="145" t="s">
        <v>1229</v>
      </c>
      <c r="D90" s="81"/>
      <c r="E90" s="81"/>
      <c r="F90" s="81"/>
      <c r="G90" s="163"/>
      <c r="H90" s="154">
        <v>0</v>
      </c>
      <c r="K90" s="216"/>
    </row>
    <row r="91" spans="3:11">
      <c r="C91" s="123" t="s">
        <v>1230</v>
      </c>
      <c r="D91" s="70" t="s">
        <v>1231</v>
      </c>
      <c r="E91" s="71"/>
      <c r="F91" s="71"/>
      <c r="G91" s="72"/>
      <c r="H91" s="125">
        <f>H90+H88+H79</f>
        <v>64175.5</v>
      </c>
      <c r="K91" s="216"/>
    </row>
    <row r="92" spans="3:11">
      <c r="C92" s="123" t="s">
        <v>1232</v>
      </c>
      <c r="D92" s="70" t="s">
        <v>1410</v>
      </c>
      <c r="E92" s="71"/>
      <c r="F92" s="72"/>
      <c r="G92" s="96">
        <f>$M$7</f>
        <v>0.1</v>
      </c>
      <c r="H92" s="125">
        <f>H91*G92</f>
        <v>6417.55</v>
      </c>
      <c r="K92" s="216"/>
    </row>
    <row r="93" spans="3:11" ht="15.75" thickBot="1">
      <c r="C93" s="131" t="s">
        <v>1233</v>
      </c>
      <c r="D93" s="132" t="s">
        <v>1234</v>
      </c>
      <c r="E93" s="133"/>
      <c r="F93" s="133"/>
      <c r="G93" s="156"/>
      <c r="H93" s="135">
        <f>SUM(H91:H92)</f>
        <v>70593.05</v>
      </c>
      <c r="K93" s="216"/>
    </row>
    <row r="94" spans="3:11" ht="15.75" thickTop="1">
      <c r="C94" s="90"/>
      <c r="D94" s="91"/>
      <c r="E94" s="91"/>
      <c r="F94" s="91"/>
      <c r="G94" s="91"/>
      <c r="H94" s="92"/>
      <c r="K94" s="216"/>
    </row>
    <row r="95" spans="3:11" ht="15.75" thickBot="1">
      <c r="C95" s="235" t="s">
        <v>1715</v>
      </c>
      <c r="D95" s="235"/>
      <c r="E95" s="226"/>
      <c r="F95" s="226"/>
      <c r="G95" s="226"/>
      <c r="H95" s="226"/>
      <c r="I95" s="57">
        <f>ROUNDDOWN(H110,-2)</f>
        <v>27300</v>
      </c>
      <c r="K95" s="216"/>
    </row>
    <row r="96" spans="3:11" ht="29.25" thickTop="1">
      <c r="C96" s="120" t="s">
        <v>1207</v>
      </c>
      <c r="D96" s="121" t="s">
        <v>1208</v>
      </c>
      <c r="E96" s="121" t="s">
        <v>1209</v>
      </c>
      <c r="F96" s="121" t="s">
        <v>1210</v>
      </c>
      <c r="G96" s="121" t="s">
        <v>1211</v>
      </c>
      <c r="H96" s="122" t="s">
        <v>1212</v>
      </c>
      <c r="K96" s="216"/>
    </row>
    <row r="97" spans="3:11">
      <c r="C97" s="142" t="s">
        <v>1213</v>
      </c>
      <c r="D97" s="60" t="s">
        <v>1214</v>
      </c>
      <c r="E97" s="74"/>
      <c r="F97" s="74"/>
      <c r="G97" s="74"/>
      <c r="H97" s="147"/>
      <c r="K97" s="216"/>
    </row>
    <row r="98" spans="3:11">
      <c r="C98" s="143">
        <v>1</v>
      </c>
      <c r="D98" s="60" t="s">
        <v>5</v>
      </c>
      <c r="E98" s="73" t="s">
        <v>6</v>
      </c>
      <c r="F98" s="94">
        <v>0.04</v>
      </c>
      <c r="G98" s="65">
        <f>VLOOKUP(D98,upahbahan,3,FALSE)</f>
        <v>100000</v>
      </c>
      <c r="H98" s="125">
        <f t="shared" ref="H98:H101" si="12">F98*G98</f>
        <v>4000</v>
      </c>
      <c r="K98" s="216"/>
    </row>
    <row r="99" spans="3:11">
      <c r="C99" s="143">
        <v>2</v>
      </c>
      <c r="D99" s="60" t="s">
        <v>12</v>
      </c>
      <c r="E99" s="73" t="s">
        <v>6</v>
      </c>
      <c r="F99" s="94">
        <v>6.3E-2</v>
      </c>
      <c r="G99" s="65">
        <f>VLOOKUP(D99,upahbahan,3,FALSE)</f>
        <v>145000</v>
      </c>
      <c r="H99" s="125">
        <f t="shared" si="12"/>
        <v>9135</v>
      </c>
      <c r="K99" s="216"/>
    </row>
    <row r="100" spans="3:11">
      <c r="C100" s="143">
        <v>3</v>
      </c>
      <c r="D100" s="60" t="s">
        <v>18</v>
      </c>
      <c r="E100" s="73" t="s">
        <v>6</v>
      </c>
      <c r="F100" s="94">
        <v>6.3E-3</v>
      </c>
      <c r="G100" s="65">
        <f>VLOOKUP(D100,upahbahan,3,FALSE)</f>
        <v>150000</v>
      </c>
      <c r="H100" s="125">
        <f t="shared" si="12"/>
        <v>945</v>
      </c>
      <c r="K100" s="216"/>
    </row>
    <row r="101" spans="3:11">
      <c r="C101" s="143">
        <v>4</v>
      </c>
      <c r="D101" s="60" t="s">
        <v>19</v>
      </c>
      <c r="E101" s="73" t="s">
        <v>6</v>
      </c>
      <c r="F101" s="94">
        <v>2.0999999999999999E-3</v>
      </c>
      <c r="G101" s="65">
        <f>VLOOKUP(D101,upahbahan,3,FALSE)</f>
        <v>145000</v>
      </c>
      <c r="H101" s="125">
        <f t="shared" si="12"/>
        <v>304.5</v>
      </c>
      <c r="K101" s="216"/>
    </row>
    <row r="102" spans="3:11">
      <c r="C102" s="145" t="s">
        <v>1220</v>
      </c>
      <c r="D102" s="81"/>
      <c r="E102" s="81"/>
      <c r="F102" s="190"/>
      <c r="G102" s="232"/>
      <c r="H102" s="125">
        <f>SUM(H98:H101)</f>
        <v>14384.5</v>
      </c>
      <c r="K102" s="216"/>
    </row>
    <row r="103" spans="3:11">
      <c r="C103" s="142" t="s">
        <v>1221</v>
      </c>
      <c r="D103" s="60" t="s">
        <v>1222</v>
      </c>
      <c r="E103" s="74"/>
      <c r="F103" s="74"/>
      <c r="G103" s="74"/>
      <c r="H103" s="147"/>
      <c r="K103" s="216"/>
    </row>
    <row r="104" spans="3:11">
      <c r="C104" s="143">
        <v>1</v>
      </c>
      <c r="D104" s="60" t="s">
        <v>776</v>
      </c>
      <c r="E104" s="73" t="s">
        <v>535</v>
      </c>
      <c r="F104" s="75">
        <v>0.36</v>
      </c>
      <c r="G104" s="65">
        <f>VLOOKUP(D104,upahbahan,3,FALSE)</f>
        <v>29200</v>
      </c>
      <c r="H104" s="125">
        <f t="shared" ref="H104" si="13">F104*G104</f>
        <v>10512</v>
      </c>
      <c r="K104" s="216"/>
    </row>
    <row r="105" spans="3:11">
      <c r="C105" s="145" t="s">
        <v>1226</v>
      </c>
      <c r="D105" s="81"/>
      <c r="E105" s="81"/>
      <c r="F105" s="81"/>
      <c r="G105" s="163"/>
      <c r="H105" s="125">
        <f>SUM(H104)</f>
        <v>10512</v>
      </c>
      <c r="K105" s="216"/>
    </row>
    <row r="106" spans="3:11">
      <c r="C106" s="153" t="s">
        <v>1227</v>
      </c>
      <c r="D106" s="60" t="s">
        <v>1228</v>
      </c>
      <c r="E106" s="74"/>
      <c r="F106" s="74"/>
      <c r="G106" s="74"/>
      <c r="H106" s="147"/>
      <c r="K106" s="216"/>
    </row>
    <row r="107" spans="3:11">
      <c r="C107" s="145" t="s">
        <v>1229</v>
      </c>
      <c r="D107" s="81"/>
      <c r="E107" s="81"/>
      <c r="F107" s="81"/>
      <c r="G107" s="163"/>
      <c r="H107" s="154">
        <v>0</v>
      </c>
      <c r="K107" s="216"/>
    </row>
    <row r="108" spans="3:11">
      <c r="C108" s="123" t="s">
        <v>1230</v>
      </c>
      <c r="D108" s="70" t="s">
        <v>1231</v>
      </c>
      <c r="E108" s="71"/>
      <c r="F108" s="71"/>
      <c r="G108" s="72"/>
      <c r="H108" s="125">
        <f>H107+H105+H102</f>
        <v>24896.5</v>
      </c>
      <c r="K108" s="216"/>
    </row>
    <row r="109" spans="3:11">
      <c r="C109" s="123" t="s">
        <v>1232</v>
      </c>
      <c r="D109" s="70" t="s">
        <v>1410</v>
      </c>
      <c r="E109" s="71"/>
      <c r="F109" s="72"/>
      <c r="G109" s="96">
        <f>$M$7</f>
        <v>0.1</v>
      </c>
      <c r="H109" s="125">
        <f>H108*G109</f>
        <v>2489.65</v>
      </c>
      <c r="K109" s="216"/>
    </row>
    <row r="110" spans="3:11" ht="15.75" thickBot="1">
      <c r="C110" s="131" t="s">
        <v>1233</v>
      </c>
      <c r="D110" s="132" t="s">
        <v>1234</v>
      </c>
      <c r="E110" s="133"/>
      <c r="F110" s="133"/>
      <c r="G110" s="156"/>
      <c r="H110" s="135">
        <f>SUM(H108:H109)</f>
        <v>27386.15</v>
      </c>
      <c r="K110" s="216"/>
    </row>
    <row r="111" spans="3:11" ht="15.75" thickTop="1">
      <c r="C111" s="90"/>
      <c r="D111" s="91"/>
      <c r="E111" s="91"/>
      <c r="F111" s="91"/>
      <c r="G111" s="91"/>
      <c r="H111" s="92"/>
      <c r="K111" s="216"/>
    </row>
    <row r="112" spans="3:11" ht="15.75" thickBot="1">
      <c r="C112" s="235" t="s">
        <v>1716</v>
      </c>
      <c r="D112" s="235"/>
      <c r="E112" s="226"/>
      <c r="F112" s="226"/>
      <c r="G112" s="226"/>
      <c r="H112" s="226"/>
      <c r="I112" s="57">
        <f>ROUNDDOWN(H129,-2)</f>
        <v>63100</v>
      </c>
      <c r="K112" s="216"/>
    </row>
    <row r="113" spans="3:11" ht="29.25" thickTop="1">
      <c r="C113" s="120" t="s">
        <v>1207</v>
      </c>
      <c r="D113" s="121" t="s">
        <v>1208</v>
      </c>
      <c r="E113" s="121" t="s">
        <v>1209</v>
      </c>
      <c r="F113" s="121" t="s">
        <v>1210</v>
      </c>
      <c r="G113" s="121" t="s">
        <v>1211</v>
      </c>
      <c r="H113" s="122" t="s">
        <v>1212</v>
      </c>
      <c r="K113" s="216"/>
    </row>
    <row r="114" spans="3:11">
      <c r="C114" s="142" t="s">
        <v>1213</v>
      </c>
      <c r="D114" s="60" t="s">
        <v>1214</v>
      </c>
      <c r="E114" s="74"/>
      <c r="F114" s="74"/>
      <c r="G114" s="74"/>
      <c r="H114" s="147"/>
      <c r="K114" s="216"/>
    </row>
    <row r="115" spans="3:11">
      <c r="C115" s="143">
        <v>1</v>
      </c>
      <c r="D115" s="60" t="s">
        <v>5</v>
      </c>
      <c r="E115" s="73" t="s">
        <v>6</v>
      </c>
      <c r="F115" s="75">
        <v>0.04</v>
      </c>
      <c r="G115" s="65">
        <f>VLOOKUP(D115,upahbahan,3,FALSE)</f>
        <v>100000</v>
      </c>
      <c r="H115" s="125">
        <f t="shared" ref="H115:H118" si="14">F115*G115</f>
        <v>4000</v>
      </c>
      <c r="K115" s="216"/>
    </row>
    <row r="116" spans="3:11">
      <c r="C116" s="143">
        <v>2</v>
      </c>
      <c r="D116" s="60" t="s">
        <v>12</v>
      </c>
      <c r="E116" s="73" t="s">
        <v>6</v>
      </c>
      <c r="F116" s="75">
        <v>0.06</v>
      </c>
      <c r="G116" s="65">
        <f>VLOOKUP(D116,upahbahan,3,FALSE)</f>
        <v>145000</v>
      </c>
      <c r="H116" s="125">
        <f t="shared" si="14"/>
        <v>8700</v>
      </c>
      <c r="K116" s="216"/>
    </row>
    <row r="117" spans="3:11">
      <c r="C117" s="143">
        <v>3</v>
      </c>
      <c r="D117" s="60" t="s">
        <v>18</v>
      </c>
      <c r="E117" s="73" t="s">
        <v>6</v>
      </c>
      <c r="F117" s="184">
        <v>6.0000000000000001E-3</v>
      </c>
      <c r="G117" s="65">
        <f>VLOOKUP(D117,upahbahan,3,FALSE)</f>
        <v>150000</v>
      </c>
      <c r="H117" s="125">
        <f t="shared" si="14"/>
        <v>900</v>
      </c>
      <c r="K117" s="216"/>
    </row>
    <row r="118" spans="3:11">
      <c r="C118" s="143">
        <v>4</v>
      </c>
      <c r="D118" s="60" t="s">
        <v>19</v>
      </c>
      <c r="E118" s="73" t="s">
        <v>6</v>
      </c>
      <c r="F118" s="184">
        <v>2E-3</v>
      </c>
      <c r="G118" s="65">
        <f>VLOOKUP(D118,upahbahan,3,FALSE)</f>
        <v>145000</v>
      </c>
      <c r="H118" s="125">
        <f t="shared" si="14"/>
        <v>290</v>
      </c>
      <c r="K118" s="216"/>
    </row>
    <row r="119" spans="3:11">
      <c r="C119" s="145" t="s">
        <v>1220</v>
      </c>
      <c r="D119" s="81"/>
      <c r="E119" s="81"/>
      <c r="F119" s="190"/>
      <c r="G119" s="232"/>
      <c r="H119" s="125">
        <f>SUM(H115:H118)</f>
        <v>13890</v>
      </c>
      <c r="K119" s="216"/>
    </row>
    <row r="120" spans="3:11">
      <c r="C120" s="142" t="s">
        <v>1221</v>
      </c>
      <c r="D120" s="60" t="s">
        <v>1222</v>
      </c>
      <c r="E120" s="74"/>
      <c r="F120" s="74"/>
      <c r="G120" s="74"/>
      <c r="H120" s="147"/>
      <c r="K120" s="216"/>
    </row>
    <row r="121" spans="3:11">
      <c r="C121" s="143">
        <v>1</v>
      </c>
      <c r="D121" s="60" t="s">
        <v>600</v>
      </c>
      <c r="E121" s="73" t="s">
        <v>535</v>
      </c>
      <c r="F121" s="75">
        <v>0.15</v>
      </c>
      <c r="G121" s="65">
        <f>VLOOKUP(D121,upahbahan,3,FALSE)</f>
        <v>73700</v>
      </c>
      <c r="H121" s="125">
        <f t="shared" ref="H121:H123" si="15">F121*G121</f>
        <v>11055</v>
      </c>
      <c r="K121" s="216"/>
    </row>
    <row r="122" spans="3:11">
      <c r="C122" s="143">
        <v>2</v>
      </c>
      <c r="D122" s="60" t="s">
        <v>601</v>
      </c>
      <c r="E122" s="73" t="s">
        <v>535</v>
      </c>
      <c r="F122" s="75">
        <v>0.372</v>
      </c>
      <c r="G122" s="65">
        <f>VLOOKUP(D122,upahbahan,3,FALSE)</f>
        <v>66200</v>
      </c>
      <c r="H122" s="125">
        <f t="shared" si="15"/>
        <v>24626.400000000001</v>
      </c>
      <c r="K122" s="216"/>
    </row>
    <row r="123" spans="3:11">
      <c r="C123" s="143">
        <v>3</v>
      </c>
      <c r="D123" s="60" t="s">
        <v>977</v>
      </c>
      <c r="E123" s="69" t="s">
        <v>133</v>
      </c>
      <c r="F123" s="75">
        <v>2</v>
      </c>
      <c r="G123" s="65">
        <f>VLOOKUP(D123,upahbahan,3,FALSE)</f>
        <v>3900</v>
      </c>
      <c r="H123" s="125">
        <f t="shared" si="15"/>
        <v>7800</v>
      </c>
      <c r="K123" s="216"/>
    </row>
    <row r="124" spans="3:11">
      <c r="C124" s="145" t="s">
        <v>1226</v>
      </c>
      <c r="D124" s="81"/>
      <c r="E124" s="81"/>
      <c r="F124" s="81"/>
      <c r="G124" s="163"/>
      <c r="H124" s="125">
        <f>SUM(H121:H123)</f>
        <v>43481.4</v>
      </c>
      <c r="K124" s="216"/>
    </row>
    <row r="125" spans="3:11">
      <c r="C125" s="153" t="s">
        <v>1227</v>
      </c>
      <c r="D125" s="60" t="s">
        <v>1228</v>
      </c>
      <c r="E125" s="74"/>
      <c r="F125" s="74"/>
      <c r="G125" s="74"/>
      <c r="H125" s="147"/>
      <c r="K125" s="216"/>
    </row>
    <row r="126" spans="3:11">
      <c r="C126" s="145" t="s">
        <v>1229</v>
      </c>
      <c r="D126" s="81"/>
      <c r="E126" s="81"/>
      <c r="F126" s="81"/>
      <c r="G126" s="163"/>
      <c r="H126" s="154">
        <v>0</v>
      </c>
      <c r="K126" s="216"/>
    </row>
    <row r="127" spans="3:11">
      <c r="C127" s="123" t="s">
        <v>1230</v>
      </c>
      <c r="D127" s="70" t="s">
        <v>1231</v>
      </c>
      <c r="E127" s="71"/>
      <c r="F127" s="71"/>
      <c r="G127" s="72"/>
      <c r="H127" s="125">
        <f>H126+H124+H119</f>
        <v>57371.4</v>
      </c>
      <c r="K127" s="216"/>
    </row>
    <row r="128" spans="3:11">
      <c r="C128" s="123" t="s">
        <v>1232</v>
      </c>
      <c r="D128" s="70" t="s">
        <v>1410</v>
      </c>
      <c r="E128" s="71"/>
      <c r="F128" s="72"/>
      <c r="G128" s="96">
        <f>$M$7</f>
        <v>0.1</v>
      </c>
      <c r="H128" s="125">
        <f>H127*G128</f>
        <v>5737.14</v>
      </c>
      <c r="K128" s="216"/>
    </row>
    <row r="129" spans="3:11" ht="15.75" thickBot="1">
      <c r="C129" s="131" t="s">
        <v>1233</v>
      </c>
      <c r="D129" s="132" t="s">
        <v>1234</v>
      </c>
      <c r="E129" s="133"/>
      <c r="F129" s="133"/>
      <c r="G129" s="156"/>
      <c r="H129" s="135">
        <f>SUM(H127:H128)</f>
        <v>63108.54</v>
      </c>
      <c r="K129" s="216"/>
    </row>
    <row r="130" spans="3:11" ht="15.75" thickTop="1">
      <c r="C130" s="90"/>
      <c r="D130" s="91"/>
      <c r="E130" s="91"/>
      <c r="F130" s="91"/>
      <c r="G130" s="91"/>
      <c r="H130" s="92"/>
      <c r="K130" s="216"/>
    </row>
    <row r="131" spans="3:11" ht="15.75" thickBot="1">
      <c r="C131" s="235" t="s">
        <v>1717</v>
      </c>
      <c r="D131" s="235"/>
      <c r="E131" s="226"/>
      <c r="F131" s="226"/>
      <c r="G131" s="226"/>
      <c r="H131" s="226"/>
      <c r="I131" s="57">
        <f>ROUNDDOWN(H144,-2)</f>
        <v>19800</v>
      </c>
      <c r="K131" s="216"/>
    </row>
    <row r="132" spans="3:11" ht="29.25" thickTop="1">
      <c r="C132" s="120" t="s">
        <v>1207</v>
      </c>
      <c r="D132" s="121" t="s">
        <v>1208</v>
      </c>
      <c r="E132" s="121" t="s">
        <v>1209</v>
      </c>
      <c r="F132" s="121" t="s">
        <v>1210</v>
      </c>
      <c r="G132" s="121" t="s">
        <v>1211</v>
      </c>
      <c r="H132" s="122" t="s">
        <v>1212</v>
      </c>
      <c r="K132" s="216"/>
    </row>
    <row r="133" spans="3:11">
      <c r="C133" s="142" t="s">
        <v>1213</v>
      </c>
      <c r="D133" s="60" t="s">
        <v>1214</v>
      </c>
      <c r="E133" s="74"/>
      <c r="F133" s="74"/>
      <c r="G133" s="74"/>
      <c r="H133" s="147"/>
      <c r="K133" s="216"/>
    </row>
    <row r="134" spans="3:11">
      <c r="C134" s="143">
        <v>1</v>
      </c>
      <c r="D134" s="60" t="s">
        <v>5</v>
      </c>
      <c r="E134" s="73" t="s">
        <v>6</v>
      </c>
      <c r="F134" s="75">
        <v>0.1</v>
      </c>
      <c r="G134" s="65">
        <f>VLOOKUP(D134,upahbahan,3,FALSE)</f>
        <v>100000</v>
      </c>
      <c r="H134" s="125">
        <f t="shared" ref="H134:H135" si="16">F134*G134</f>
        <v>10000</v>
      </c>
      <c r="K134" s="216"/>
    </row>
    <row r="135" spans="3:11">
      <c r="C135" s="143">
        <v>2</v>
      </c>
      <c r="D135" s="60" t="s">
        <v>19</v>
      </c>
      <c r="E135" s="73" t="s">
        <v>6</v>
      </c>
      <c r="F135" s="75">
        <v>5.0000000000000001E-3</v>
      </c>
      <c r="G135" s="65">
        <f>VLOOKUP(D135,upahbahan,3,FALSE)</f>
        <v>145000</v>
      </c>
      <c r="H135" s="125">
        <f t="shared" si="16"/>
        <v>725</v>
      </c>
      <c r="K135" s="216"/>
    </row>
    <row r="136" spans="3:11">
      <c r="C136" s="145" t="s">
        <v>1220</v>
      </c>
      <c r="D136" s="81"/>
      <c r="E136" s="81"/>
      <c r="F136" s="190"/>
      <c r="G136" s="232"/>
      <c r="H136" s="125">
        <f>SUM(H134:H135)</f>
        <v>10725</v>
      </c>
      <c r="K136" s="216"/>
    </row>
    <row r="137" spans="3:11">
      <c r="C137" s="142" t="s">
        <v>1221</v>
      </c>
      <c r="D137" s="60" t="s">
        <v>1222</v>
      </c>
      <c r="E137" s="74"/>
      <c r="F137" s="74"/>
      <c r="G137" s="74"/>
      <c r="H137" s="147"/>
      <c r="K137" s="216"/>
    </row>
    <row r="138" spans="3:11">
      <c r="C138" s="143">
        <v>1</v>
      </c>
      <c r="D138" s="60" t="s">
        <v>772</v>
      </c>
      <c r="E138" s="73" t="s">
        <v>535</v>
      </c>
      <c r="F138" s="75">
        <v>0.35</v>
      </c>
      <c r="G138" s="65">
        <f>VLOOKUP(D138,upahbahan,3,FALSE)</f>
        <v>21000</v>
      </c>
      <c r="H138" s="125">
        <f t="shared" ref="H138" si="17">F138*G138</f>
        <v>7349.9999999999991</v>
      </c>
      <c r="K138" s="216"/>
    </row>
    <row r="139" spans="3:11">
      <c r="C139" s="145" t="s">
        <v>1226</v>
      </c>
      <c r="D139" s="81"/>
      <c r="E139" s="81"/>
      <c r="F139" s="81"/>
      <c r="G139" s="163"/>
      <c r="H139" s="125">
        <f>SUM(H138)</f>
        <v>7349.9999999999991</v>
      </c>
      <c r="K139" s="216"/>
    </row>
    <row r="140" spans="3:11">
      <c r="C140" s="153" t="s">
        <v>1227</v>
      </c>
      <c r="D140" s="60" t="s">
        <v>1228</v>
      </c>
      <c r="E140" s="74"/>
      <c r="F140" s="74"/>
      <c r="G140" s="74"/>
      <c r="H140" s="147"/>
      <c r="K140" s="216"/>
    </row>
    <row r="141" spans="3:11">
      <c r="C141" s="145" t="s">
        <v>1229</v>
      </c>
      <c r="D141" s="81"/>
      <c r="E141" s="81"/>
      <c r="F141" s="81"/>
      <c r="G141" s="163"/>
      <c r="H141" s="154">
        <v>0</v>
      </c>
      <c r="K141" s="216"/>
    </row>
    <row r="142" spans="3:11">
      <c r="C142" s="123" t="s">
        <v>1230</v>
      </c>
      <c r="D142" s="70" t="s">
        <v>1231</v>
      </c>
      <c r="E142" s="71"/>
      <c r="F142" s="71"/>
      <c r="G142" s="72"/>
      <c r="H142" s="125">
        <f>H141+H139+H136</f>
        <v>18075</v>
      </c>
      <c r="K142" s="216"/>
    </row>
    <row r="143" spans="3:11">
      <c r="C143" s="123" t="s">
        <v>1232</v>
      </c>
      <c r="D143" s="70" t="s">
        <v>1410</v>
      </c>
      <c r="E143" s="71"/>
      <c r="F143" s="72"/>
      <c r="G143" s="96">
        <f>$M$7</f>
        <v>0.1</v>
      </c>
      <c r="H143" s="125">
        <f>H142*G143</f>
        <v>1807.5</v>
      </c>
      <c r="K143" s="216"/>
    </row>
    <row r="144" spans="3:11" ht="15.75" thickBot="1">
      <c r="C144" s="131" t="s">
        <v>1233</v>
      </c>
      <c r="D144" s="132" t="s">
        <v>1234</v>
      </c>
      <c r="E144" s="133"/>
      <c r="F144" s="133"/>
      <c r="G144" s="156"/>
      <c r="H144" s="135">
        <f>SUM(H142:H143)</f>
        <v>19882.5</v>
      </c>
      <c r="K144" s="216"/>
    </row>
    <row r="145" spans="3:11" ht="15.75" thickTop="1">
      <c r="K145" s="216"/>
    </row>
    <row r="146" spans="3:11" ht="15.75" thickBot="1">
      <c r="C146" s="235" t="s">
        <v>1718</v>
      </c>
      <c r="D146" s="235"/>
      <c r="E146" s="225"/>
      <c r="F146" s="225"/>
      <c r="G146" s="225"/>
      <c r="H146" s="225"/>
      <c r="I146" s="57">
        <f>ROUNDDOWN(H163,-2)</f>
        <v>56200</v>
      </c>
      <c r="K146" s="216"/>
    </row>
    <row r="147" spans="3:11" ht="29.25" thickTop="1">
      <c r="C147" s="120" t="s">
        <v>1207</v>
      </c>
      <c r="D147" s="121" t="s">
        <v>1208</v>
      </c>
      <c r="E147" s="121" t="s">
        <v>1209</v>
      </c>
      <c r="F147" s="121" t="s">
        <v>1210</v>
      </c>
      <c r="G147" s="121" t="s">
        <v>1211</v>
      </c>
      <c r="H147" s="122" t="s">
        <v>1212</v>
      </c>
      <c r="K147" s="216"/>
    </row>
    <row r="148" spans="3:11">
      <c r="C148" s="142" t="s">
        <v>1213</v>
      </c>
      <c r="D148" s="60" t="s">
        <v>1214</v>
      </c>
      <c r="E148" s="74"/>
      <c r="F148" s="74"/>
      <c r="G148" s="74"/>
      <c r="H148" s="147"/>
      <c r="K148" s="216"/>
    </row>
    <row r="149" spans="3:11">
      <c r="C149" s="143">
        <v>1</v>
      </c>
      <c r="D149" s="60" t="s">
        <v>5</v>
      </c>
      <c r="E149" s="73" t="s">
        <v>6</v>
      </c>
      <c r="F149" s="94">
        <v>0.16</v>
      </c>
      <c r="G149" s="65">
        <f>VLOOKUP(D149,upahbahan,3,FALSE)</f>
        <v>100000</v>
      </c>
      <c r="H149" s="125">
        <f t="shared" ref="H149:H152" si="18">F149*G149</f>
        <v>16000</v>
      </c>
      <c r="K149" s="216"/>
    </row>
    <row r="150" spans="3:11">
      <c r="C150" s="143">
        <v>2</v>
      </c>
      <c r="D150" s="60" t="s">
        <v>12</v>
      </c>
      <c r="E150" s="73" t="s">
        <v>6</v>
      </c>
      <c r="F150" s="94">
        <v>0.16</v>
      </c>
      <c r="G150" s="65">
        <f>VLOOKUP(D150,upahbahan,3,FALSE)</f>
        <v>145000</v>
      </c>
      <c r="H150" s="125">
        <f t="shared" si="18"/>
        <v>23200</v>
      </c>
      <c r="K150" s="216"/>
    </row>
    <row r="151" spans="3:11">
      <c r="C151" s="143">
        <v>3</v>
      </c>
      <c r="D151" s="60" t="s">
        <v>18</v>
      </c>
      <c r="E151" s="73" t="s">
        <v>6</v>
      </c>
      <c r="F151" s="94">
        <v>1.6E-2</v>
      </c>
      <c r="G151" s="65">
        <f>VLOOKUP(D151,upahbahan,3,FALSE)</f>
        <v>150000</v>
      </c>
      <c r="H151" s="125">
        <f t="shared" si="18"/>
        <v>2400</v>
      </c>
      <c r="K151" s="216"/>
    </row>
    <row r="152" spans="3:11">
      <c r="C152" s="143">
        <v>4</v>
      </c>
      <c r="D152" s="60" t="s">
        <v>19</v>
      </c>
      <c r="E152" s="73" t="s">
        <v>6</v>
      </c>
      <c r="F152" s="94">
        <v>5.3E-3</v>
      </c>
      <c r="G152" s="65">
        <f>VLOOKUP(D152,upahbahan,3,FALSE)</f>
        <v>145000</v>
      </c>
      <c r="H152" s="125">
        <f t="shared" si="18"/>
        <v>768.5</v>
      </c>
      <c r="K152" s="216"/>
    </row>
    <row r="153" spans="3:11">
      <c r="C153" s="145" t="s">
        <v>1220</v>
      </c>
      <c r="D153" s="81"/>
      <c r="E153" s="81"/>
      <c r="F153" s="190"/>
      <c r="G153" s="232"/>
      <c r="H153" s="125">
        <f>SUM(H149:H152)</f>
        <v>42368.5</v>
      </c>
      <c r="K153" s="216"/>
    </row>
    <row r="154" spans="3:11">
      <c r="C154" s="142" t="s">
        <v>1221</v>
      </c>
      <c r="D154" s="60" t="s">
        <v>1222</v>
      </c>
      <c r="E154" s="74"/>
      <c r="F154" s="74"/>
      <c r="G154" s="74"/>
      <c r="H154" s="147"/>
      <c r="K154" s="216"/>
    </row>
    <row r="155" spans="3:11">
      <c r="C155" s="143">
        <v>1</v>
      </c>
      <c r="D155" s="60" t="s">
        <v>607</v>
      </c>
      <c r="E155" s="73" t="s">
        <v>535</v>
      </c>
      <c r="F155" s="75">
        <v>0.15</v>
      </c>
      <c r="G155" s="65">
        <f>VLOOKUP(D155,upahbahan,3,FALSE)</f>
        <v>44500</v>
      </c>
      <c r="H155" s="125">
        <f t="shared" ref="H155:H157" si="19">F155*G155</f>
        <v>6675</v>
      </c>
      <c r="K155" s="216"/>
    </row>
    <row r="156" spans="3:11">
      <c r="C156" s="143">
        <v>2</v>
      </c>
      <c r="D156" s="60" t="s">
        <v>591</v>
      </c>
      <c r="E156" s="73" t="s">
        <v>66</v>
      </c>
      <c r="F156" s="75">
        <v>0.05</v>
      </c>
      <c r="G156" s="65">
        <f>VLOOKUP(D156,upahbahan,3,FALSE)</f>
        <v>33500</v>
      </c>
      <c r="H156" s="125">
        <f t="shared" si="19"/>
        <v>1675</v>
      </c>
      <c r="K156" s="216"/>
    </row>
    <row r="157" spans="3:11">
      <c r="C157" s="143">
        <v>3</v>
      </c>
      <c r="D157" s="60" t="s">
        <v>977</v>
      </c>
      <c r="E157" s="69" t="s">
        <v>133</v>
      </c>
      <c r="F157" s="75">
        <v>0.1</v>
      </c>
      <c r="G157" s="65">
        <f>VLOOKUP(D157,upahbahan,3,FALSE)</f>
        <v>3900</v>
      </c>
      <c r="H157" s="125">
        <f t="shared" si="19"/>
        <v>390</v>
      </c>
      <c r="K157" s="216"/>
    </row>
    <row r="158" spans="3:11">
      <c r="C158" s="145" t="s">
        <v>1226</v>
      </c>
      <c r="D158" s="81"/>
      <c r="E158" s="81"/>
      <c r="F158" s="81"/>
      <c r="G158" s="163"/>
      <c r="H158" s="125">
        <f>SUM(H155:H157)</f>
        <v>8740</v>
      </c>
      <c r="K158" s="216"/>
    </row>
    <row r="159" spans="3:11">
      <c r="C159" s="153" t="s">
        <v>1227</v>
      </c>
      <c r="D159" s="60" t="s">
        <v>1228</v>
      </c>
      <c r="E159" s="74"/>
      <c r="F159" s="74"/>
      <c r="G159" s="74"/>
      <c r="H159" s="147"/>
      <c r="K159" s="216"/>
    </row>
    <row r="160" spans="3:11">
      <c r="C160" s="145" t="s">
        <v>1229</v>
      </c>
      <c r="D160" s="81"/>
      <c r="E160" s="81"/>
      <c r="F160" s="81"/>
      <c r="G160" s="163"/>
      <c r="H160" s="154">
        <v>0</v>
      </c>
      <c r="K160" s="216"/>
    </row>
    <row r="161" spans="3:11">
      <c r="C161" s="123" t="s">
        <v>1230</v>
      </c>
      <c r="D161" s="70" t="s">
        <v>1231</v>
      </c>
      <c r="E161" s="71"/>
      <c r="F161" s="71"/>
      <c r="G161" s="72"/>
      <c r="H161" s="125">
        <f>H160+H158+H153</f>
        <v>51108.5</v>
      </c>
      <c r="K161" s="216"/>
    </row>
    <row r="162" spans="3:11">
      <c r="C162" s="123" t="s">
        <v>1232</v>
      </c>
      <c r="D162" s="70" t="s">
        <v>1410</v>
      </c>
      <c r="E162" s="71"/>
      <c r="F162" s="72"/>
      <c r="G162" s="96">
        <f>$M$7</f>
        <v>0.1</v>
      </c>
      <c r="H162" s="125">
        <f>H161*G162</f>
        <v>5110.8500000000004</v>
      </c>
      <c r="K162" s="216"/>
    </row>
    <row r="163" spans="3:11" ht="15.75" thickBot="1">
      <c r="C163" s="131" t="s">
        <v>1233</v>
      </c>
      <c r="D163" s="132" t="s">
        <v>1234</v>
      </c>
      <c r="E163" s="133"/>
      <c r="F163" s="133"/>
      <c r="G163" s="156"/>
      <c r="H163" s="135">
        <f>SUM(H161:H162)</f>
        <v>56219.35</v>
      </c>
      <c r="K163" s="216"/>
    </row>
    <row r="164" spans="3:11" ht="15.75" thickTop="1">
      <c r="C164" s="90"/>
      <c r="D164" s="91"/>
      <c r="E164" s="91"/>
      <c r="F164" s="91"/>
      <c r="G164" s="91"/>
      <c r="H164" s="92"/>
      <c r="K164" s="216"/>
    </row>
    <row r="165" spans="3:11" ht="15.75" thickBot="1">
      <c r="C165" s="519" t="s">
        <v>1719</v>
      </c>
      <c r="D165" s="519"/>
      <c r="E165" s="519"/>
      <c r="F165" s="519"/>
      <c r="G165" s="519"/>
      <c r="H165" s="519"/>
      <c r="I165" s="57">
        <f>ROUNDDOWN(H182,-2)</f>
        <v>72700</v>
      </c>
      <c r="K165" s="216"/>
    </row>
    <row r="166" spans="3:11" ht="29.25" thickTop="1">
      <c r="C166" s="120" t="s">
        <v>1207</v>
      </c>
      <c r="D166" s="121" t="s">
        <v>1208</v>
      </c>
      <c r="E166" s="121" t="s">
        <v>1209</v>
      </c>
      <c r="F166" s="121" t="s">
        <v>1210</v>
      </c>
      <c r="G166" s="121" t="s">
        <v>1211</v>
      </c>
      <c r="H166" s="122" t="s">
        <v>1212</v>
      </c>
      <c r="K166" s="216"/>
    </row>
    <row r="167" spans="3:11">
      <c r="C167" s="142" t="s">
        <v>1213</v>
      </c>
      <c r="D167" s="60" t="s">
        <v>1214</v>
      </c>
      <c r="E167" s="74"/>
      <c r="F167" s="74"/>
      <c r="G167" s="74"/>
      <c r="H167" s="147"/>
      <c r="K167" s="216"/>
    </row>
    <row r="168" spans="3:11">
      <c r="C168" s="143">
        <v>1</v>
      </c>
      <c r="D168" s="60" t="s">
        <v>5</v>
      </c>
      <c r="E168" s="73" t="s">
        <v>6</v>
      </c>
      <c r="F168" s="184">
        <v>6.6699999999999995E-2</v>
      </c>
      <c r="G168" s="65">
        <f>VLOOKUP(D168,upahbahan,3,FALSE)</f>
        <v>100000</v>
      </c>
      <c r="H168" s="125">
        <f t="shared" ref="H168:H171" si="20">F168*G168</f>
        <v>6669.9999999999991</v>
      </c>
      <c r="K168" s="216"/>
    </row>
    <row r="169" spans="3:11">
      <c r="C169" s="143">
        <v>2</v>
      </c>
      <c r="D169" s="60" t="s">
        <v>12</v>
      </c>
      <c r="E169" s="73" t="s">
        <v>6</v>
      </c>
      <c r="F169" s="184">
        <v>6.6699999999999995E-2</v>
      </c>
      <c r="G169" s="65">
        <f>VLOOKUP(D169,upahbahan,3,FALSE)</f>
        <v>145000</v>
      </c>
      <c r="H169" s="125">
        <f t="shared" si="20"/>
        <v>9671.5</v>
      </c>
      <c r="K169" s="216"/>
    </row>
    <row r="170" spans="3:11">
      <c r="C170" s="143">
        <v>3</v>
      </c>
      <c r="D170" s="60" t="s">
        <v>18</v>
      </c>
      <c r="E170" s="73" t="s">
        <v>6</v>
      </c>
      <c r="F170" s="184">
        <v>6.7000000000000002E-3</v>
      </c>
      <c r="G170" s="65">
        <f>VLOOKUP(D170,upahbahan,3,FALSE)</f>
        <v>150000</v>
      </c>
      <c r="H170" s="125">
        <f t="shared" si="20"/>
        <v>1005</v>
      </c>
      <c r="K170" s="216"/>
    </row>
    <row r="171" spans="3:11">
      <c r="C171" s="143">
        <v>4</v>
      </c>
      <c r="D171" s="60" t="s">
        <v>19</v>
      </c>
      <c r="E171" s="73" t="s">
        <v>6</v>
      </c>
      <c r="F171" s="184">
        <v>2.2000000000000001E-3</v>
      </c>
      <c r="G171" s="65">
        <f>VLOOKUP(D171,upahbahan,3,FALSE)</f>
        <v>145000</v>
      </c>
      <c r="H171" s="125">
        <f t="shared" si="20"/>
        <v>319</v>
      </c>
      <c r="K171" s="216"/>
    </row>
    <row r="172" spans="3:11">
      <c r="C172" s="145" t="s">
        <v>1220</v>
      </c>
      <c r="D172" s="81"/>
      <c r="E172" s="81"/>
      <c r="F172" s="190"/>
      <c r="G172" s="232"/>
      <c r="H172" s="125">
        <f>SUM(H168:H171)</f>
        <v>17665.5</v>
      </c>
      <c r="K172" s="216"/>
    </row>
    <row r="173" spans="3:11">
      <c r="C173" s="142" t="s">
        <v>1221</v>
      </c>
      <c r="D173" s="60" t="s">
        <v>1222</v>
      </c>
      <c r="E173" s="74"/>
      <c r="F173" s="74"/>
      <c r="G173" s="74"/>
      <c r="H173" s="147"/>
      <c r="K173" s="216"/>
    </row>
    <row r="174" spans="3:11">
      <c r="C174" s="143">
        <v>1</v>
      </c>
      <c r="D174" s="60" t="s">
        <v>605</v>
      </c>
      <c r="E174" s="73" t="s">
        <v>66</v>
      </c>
      <c r="F174" s="75">
        <v>0.1</v>
      </c>
      <c r="G174" s="65">
        <f>VLOOKUP(D174,upahbahan,3,FALSE)</f>
        <v>26500</v>
      </c>
      <c r="H174" s="125">
        <f t="shared" ref="H174:H176" si="21">F174*G174</f>
        <v>2650</v>
      </c>
      <c r="K174" s="216"/>
    </row>
    <row r="175" spans="3:11">
      <c r="C175" s="143">
        <v>2</v>
      </c>
      <c r="D175" s="60" t="s">
        <v>583</v>
      </c>
      <c r="E175" s="73" t="s">
        <v>66</v>
      </c>
      <c r="F175" s="75">
        <v>0.1</v>
      </c>
      <c r="G175" s="65">
        <f>VLOOKUP(D175,upahbahan,3,FALSE)</f>
        <v>119100</v>
      </c>
      <c r="H175" s="125">
        <f t="shared" si="21"/>
        <v>11910</v>
      </c>
      <c r="K175" s="216"/>
    </row>
    <row r="176" spans="3:11">
      <c r="C176" s="143">
        <v>3</v>
      </c>
      <c r="D176" s="60" t="s">
        <v>589</v>
      </c>
      <c r="E176" s="73" t="s">
        <v>66</v>
      </c>
      <c r="F176" s="75">
        <v>0.26</v>
      </c>
      <c r="G176" s="65">
        <f>VLOOKUP(D176,upahbahan,3,FALSE)</f>
        <v>130500</v>
      </c>
      <c r="H176" s="125">
        <f t="shared" si="21"/>
        <v>33930</v>
      </c>
      <c r="K176" s="216"/>
    </row>
    <row r="177" spans="3:11">
      <c r="C177" s="145" t="s">
        <v>1226</v>
      </c>
      <c r="D177" s="81"/>
      <c r="E177" s="81"/>
      <c r="F177" s="81"/>
      <c r="G177" s="163"/>
      <c r="H177" s="125">
        <f>SUM(H174:H176)</f>
        <v>48490</v>
      </c>
      <c r="K177" s="216"/>
    </row>
    <row r="178" spans="3:11">
      <c r="C178" s="153" t="s">
        <v>1227</v>
      </c>
      <c r="D178" s="60" t="s">
        <v>1228</v>
      </c>
      <c r="E178" s="74"/>
      <c r="F178" s="74"/>
      <c r="G178" s="74"/>
      <c r="H178" s="147"/>
      <c r="K178" s="216"/>
    </row>
    <row r="179" spans="3:11">
      <c r="C179" s="145" t="s">
        <v>1229</v>
      </c>
      <c r="D179" s="81"/>
      <c r="E179" s="81"/>
      <c r="F179" s="81"/>
      <c r="G179" s="163"/>
      <c r="H179" s="154">
        <v>0</v>
      </c>
      <c r="K179" s="216"/>
    </row>
    <row r="180" spans="3:11">
      <c r="C180" s="123" t="s">
        <v>1230</v>
      </c>
      <c r="D180" s="70" t="s">
        <v>1231</v>
      </c>
      <c r="E180" s="71"/>
      <c r="F180" s="71"/>
      <c r="G180" s="72"/>
      <c r="H180" s="125">
        <f>H179+H177+H172</f>
        <v>66155.5</v>
      </c>
      <c r="K180" s="216"/>
    </row>
    <row r="181" spans="3:11">
      <c r="C181" s="123" t="s">
        <v>1232</v>
      </c>
      <c r="D181" s="70" t="s">
        <v>1410</v>
      </c>
      <c r="E181" s="71"/>
      <c r="F181" s="72"/>
      <c r="G181" s="96">
        <f>$M$7</f>
        <v>0.1</v>
      </c>
      <c r="H181" s="125">
        <f>H180*G181</f>
        <v>6615.55</v>
      </c>
      <c r="K181" s="216"/>
    </row>
    <row r="182" spans="3:11" ht="15.75" thickBot="1">
      <c r="C182" s="131" t="s">
        <v>1233</v>
      </c>
      <c r="D182" s="132" t="s">
        <v>1234</v>
      </c>
      <c r="E182" s="133"/>
      <c r="F182" s="133"/>
      <c r="G182" s="156"/>
      <c r="H182" s="135">
        <f>SUM(H180:H181)</f>
        <v>72771.05</v>
      </c>
      <c r="K182" s="216"/>
    </row>
    <row r="183" spans="3:11" ht="15.75" thickTop="1">
      <c r="C183" s="90"/>
      <c r="D183" s="91"/>
      <c r="E183" s="91"/>
      <c r="F183" s="91"/>
      <c r="G183" s="91"/>
      <c r="H183" s="92"/>
      <c r="K183" s="216"/>
    </row>
    <row r="184" spans="3:11" ht="15.75" thickBot="1">
      <c r="C184" s="224" t="s">
        <v>1720</v>
      </c>
      <c r="D184" s="224"/>
      <c r="E184" s="224"/>
      <c r="F184" s="224"/>
      <c r="G184" s="224"/>
      <c r="H184" s="224"/>
      <c r="I184" s="57">
        <f>ROUNDDOWN(H200,-2)</f>
        <v>72600</v>
      </c>
      <c r="K184" s="216"/>
    </row>
    <row r="185" spans="3:11" ht="29.25" thickTop="1">
      <c r="C185" s="120" t="s">
        <v>1207</v>
      </c>
      <c r="D185" s="121" t="s">
        <v>1208</v>
      </c>
      <c r="E185" s="121" t="s">
        <v>1209</v>
      </c>
      <c r="F185" s="121" t="s">
        <v>1210</v>
      </c>
      <c r="G185" s="121" t="s">
        <v>1211</v>
      </c>
      <c r="H185" s="122" t="s">
        <v>1212</v>
      </c>
      <c r="K185" s="216"/>
    </row>
    <row r="186" spans="3:11">
      <c r="C186" s="142" t="s">
        <v>1213</v>
      </c>
      <c r="D186" s="60" t="s">
        <v>1214</v>
      </c>
      <c r="E186" s="74"/>
      <c r="F186" s="74"/>
      <c r="G186" s="74"/>
      <c r="H186" s="147"/>
      <c r="K186" s="216"/>
    </row>
    <row r="187" spans="3:11">
      <c r="C187" s="143">
        <v>1</v>
      </c>
      <c r="D187" s="60" t="s">
        <v>5</v>
      </c>
      <c r="E187" s="73" t="s">
        <v>6</v>
      </c>
      <c r="F187" s="184">
        <v>6.6699999999999995E-2</v>
      </c>
      <c r="G187" s="65">
        <f>VLOOKUP(D187,upahbahan,3,FALSE)</f>
        <v>100000</v>
      </c>
      <c r="H187" s="125">
        <f t="shared" ref="H187:H190" si="22">F187*G187</f>
        <v>6669.9999999999991</v>
      </c>
      <c r="K187" s="216"/>
    </row>
    <row r="188" spans="3:11">
      <c r="C188" s="143">
        <v>2</v>
      </c>
      <c r="D188" s="60" t="s">
        <v>12</v>
      </c>
      <c r="E188" s="73" t="s">
        <v>6</v>
      </c>
      <c r="F188" s="184">
        <v>6.6699999999999995E-2</v>
      </c>
      <c r="G188" s="65">
        <f>VLOOKUP(D188,upahbahan,3,FALSE)</f>
        <v>145000</v>
      </c>
      <c r="H188" s="125">
        <f t="shared" si="22"/>
        <v>9671.5</v>
      </c>
      <c r="K188" s="216"/>
    </row>
    <row r="189" spans="3:11">
      <c r="C189" s="143">
        <v>3</v>
      </c>
      <c r="D189" s="60" t="s">
        <v>18</v>
      </c>
      <c r="E189" s="73" t="s">
        <v>6</v>
      </c>
      <c r="F189" s="184">
        <v>6.7000000000000002E-3</v>
      </c>
      <c r="G189" s="65">
        <f>VLOOKUP(D189,upahbahan,3,FALSE)</f>
        <v>150000</v>
      </c>
      <c r="H189" s="125">
        <f t="shared" si="22"/>
        <v>1005</v>
      </c>
      <c r="K189" s="216"/>
    </row>
    <row r="190" spans="3:11">
      <c r="C190" s="143">
        <v>4</v>
      </c>
      <c r="D190" s="60" t="s">
        <v>19</v>
      </c>
      <c r="E190" s="73" t="s">
        <v>6</v>
      </c>
      <c r="F190" s="184">
        <v>2.2000000000000001E-3</v>
      </c>
      <c r="G190" s="65">
        <f>VLOOKUP(D190,upahbahan,3,FALSE)</f>
        <v>145000</v>
      </c>
      <c r="H190" s="125">
        <f t="shared" si="22"/>
        <v>319</v>
      </c>
      <c r="K190" s="216"/>
    </row>
    <row r="191" spans="3:11">
      <c r="C191" s="145" t="s">
        <v>1220</v>
      </c>
      <c r="D191" s="81"/>
      <c r="E191" s="81"/>
      <c r="F191" s="190"/>
      <c r="G191" s="232"/>
      <c r="H191" s="125">
        <f>SUM(H187:H190)</f>
        <v>17665.5</v>
      </c>
      <c r="K191" s="216"/>
    </row>
    <row r="192" spans="3:11">
      <c r="C192" s="142" t="s">
        <v>1221</v>
      </c>
      <c r="D192" s="60" t="s">
        <v>1222</v>
      </c>
      <c r="E192" s="74"/>
      <c r="F192" s="74"/>
      <c r="G192" s="74"/>
      <c r="H192" s="147"/>
      <c r="K192" s="216"/>
    </row>
    <row r="193" spans="3:11">
      <c r="C193" s="143">
        <v>1</v>
      </c>
      <c r="D193" s="60" t="s">
        <v>582</v>
      </c>
      <c r="E193" s="73" t="s">
        <v>66</v>
      </c>
      <c r="F193" s="75">
        <v>0.1</v>
      </c>
      <c r="G193" s="65">
        <f>VLOOKUP(D193,upahbahan,3,FALSE)</f>
        <v>128500</v>
      </c>
      <c r="H193" s="125">
        <f t="shared" ref="H193:H194" si="23">F193*G193</f>
        <v>12850</v>
      </c>
      <c r="K193" s="216"/>
    </row>
    <row r="194" spans="3:11">
      <c r="C194" s="143">
        <v>2</v>
      </c>
      <c r="D194" s="60" t="s">
        <v>588</v>
      </c>
      <c r="E194" s="73" t="s">
        <v>66</v>
      </c>
      <c r="F194" s="75">
        <v>0.26</v>
      </c>
      <c r="G194" s="65">
        <f>VLOOKUP(D194,upahbahan,3,FALSE)</f>
        <v>136600</v>
      </c>
      <c r="H194" s="125">
        <f t="shared" si="23"/>
        <v>35516</v>
      </c>
      <c r="K194" s="216"/>
    </row>
    <row r="195" spans="3:11">
      <c r="C195" s="145" t="s">
        <v>1226</v>
      </c>
      <c r="D195" s="81"/>
      <c r="E195" s="81"/>
      <c r="F195" s="81"/>
      <c r="G195" s="163"/>
      <c r="H195" s="125">
        <f>SUM(H193:H194)</f>
        <v>48366</v>
      </c>
      <c r="K195" s="216"/>
    </row>
    <row r="196" spans="3:11">
      <c r="C196" s="153" t="s">
        <v>1227</v>
      </c>
      <c r="D196" s="60" t="s">
        <v>1228</v>
      </c>
      <c r="E196" s="74"/>
      <c r="F196" s="74"/>
      <c r="G196" s="74"/>
      <c r="H196" s="147"/>
      <c r="K196" s="216"/>
    </row>
    <row r="197" spans="3:11">
      <c r="C197" s="145" t="s">
        <v>1229</v>
      </c>
      <c r="D197" s="81"/>
      <c r="E197" s="81"/>
      <c r="F197" s="81"/>
      <c r="G197" s="163"/>
      <c r="H197" s="154">
        <v>0</v>
      </c>
      <c r="K197" s="216"/>
    </row>
    <row r="198" spans="3:11">
      <c r="C198" s="123" t="s">
        <v>1230</v>
      </c>
      <c r="D198" s="70" t="s">
        <v>1231</v>
      </c>
      <c r="E198" s="71"/>
      <c r="F198" s="71"/>
      <c r="G198" s="72"/>
      <c r="H198" s="125">
        <f>H197+H195+H191</f>
        <v>66031.5</v>
      </c>
      <c r="K198" s="216"/>
    </row>
    <row r="199" spans="3:11">
      <c r="C199" s="123" t="s">
        <v>1232</v>
      </c>
      <c r="D199" s="70" t="s">
        <v>1410</v>
      </c>
      <c r="E199" s="71"/>
      <c r="F199" s="72"/>
      <c r="G199" s="96">
        <f>$M$7</f>
        <v>0.1</v>
      </c>
      <c r="H199" s="125">
        <f>H198*G199</f>
        <v>6603.1500000000005</v>
      </c>
      <c r="K199" s="216"/>
    </row>
    <row r="200" spans="3:11" ht="15.75" thickBot="1">
      <c r="C200" s="131" t="s">
        <v>1233</v>
      </c>
      <c r="D200" s="132" t="s">
        <v>1234</v>
      </c>
      <c r="E200" s="133"/>
      <c r="F200" s="133"/>
      <c r="G200" s="156"/>
      <c r="H200" s="135">
        <f>SUM(H198:H199)</f>
        <v>72634.649999999994</v>
      </c>
      <c r="K200" s="216"/>
    </row>
    <row r="201" spans="3:11" ht="15.75" thickTop="1">
      <c r="C201" s="90"/>
      <c r="D201" s="91"/>
      <c r="E201" s="91"/>
      <c r="F201" s="91"/>
      <c r="G201" s="91"/>
      <c r="H201" s="200"/>
      <c r="K201" s="216"/>
    </row>
    <row r="202" spans="3:11" ht="15.75" thickBot="1">
      <c r="C202" s="237" t="s">
        <v>1721</v>
      </c>
      <c r="D202" s="224"/>
      <c r="E202" s="226"/>
      <c r="F202" s="226"/>
      <c r="G202" s="226"/>
      <c r="H202" s="226"/>
      <c r="I202" s="57">
        <f>ROUNDDOWN(H218,-2)</f>
        <v>56100</v>
      </c>
      <c r="K202" s="216"/>
    </row>
    <row r="203" spans="3:11" ht="29.25" thickTop="1">
      <c r="C203" s="120" t="s">
        <v>1207</v>
      </c>
      <c r="D203" s="121" t="s">
        <v>1208</v>
      </c>
      <c r="E203" s="121" t="s">
        <v>1209</v>
      </c>
      <c r="F203" s="121" t="s">
        <v>1210</v>
      </c>
      <c r="G203" s="121" t="s">
        <v>1211</v>
      </c>
      <c r="H203" s="122" t="s">
        <v>1212</v>
      </c>
      <c r="K203" s="216"/>
    </row>
    <row r="204" spans="3:11">
      <c r="C204" s="142" t="s">
        <v>1213</v>
      </c>
      <c r="D204" s="60" t="s">
        <v>1214</v>
      </c>
      <c r="E204" s="74"/>
      <c r="F204" s="74"/>
      <c r="G204" s="74"/>
      <c r="H204" s="147"/>
      <c r="K204" s="216"/>
    </row>
    <row r="205" spans="3:11">
      <c r="C205" s="143">
        <v>1</v>
      </c>
      <c r="D205" s="60" t="s">
        <v>5</v>
      </c>
      <c r="E205" s="73" t="s">
        <v>6</v>
      </c>
      <c r="F205" s="94">
        <v>0.05</v>
      </c>
      <c r="G205" s="65">
        <f>VLOOKUP(D205,upahbahan,3,FALSE)</f>
        <v>100000</v>
      </c>
      <c r="H205" s="125">
        <f t="shared" ref="H205:H208" si="24">F205*G205</f>
        <v>5000</v>
      </c>
      <c r="K205" s="216"/>
    </row>
    <row r="206" spans="3:11">
      <c r="C206" s="143">
        <v>2</v>
      </c>
      <c r="D206" s="60" t="s">
        <v>12</v>
      </c>
      <c r="E206" s="73" t="s">
        <v>6</v>
      </c>
      <c r="F206" s="94">
        <v>0.05</v>
      </c>
      <c r="G206" s="65">
        <f>VLOOKUP(D206,upahbahan,3,FALSE)</f>
        <v>145000</v>
      </c>
      <c r="H206" s="125">
        <f t="shared" si="24"/>
        <v>7250</v>
      </c>
      <c r="K206" s="216"/>
    </row>
    <row r="207" spans="3:11">
      <c r="C207" s="143">
        <v>3</v>
      </c>
      <c r="D207" s="60" t="s">
        <v>18</v>
      </c>
      <c r="E207" s="73" t="s">
        <v>6</v>
      </c>
      <c r="F207" s="94">
        <v>5.0000000000000001E-3</v>
      </c>
      <c r="G207" s="65">
        <f>VLOOKUP(D207,upahbahan,3,FALSE)</f>
        <v>150000</v>
      </c>
      <c r="H207" s="125">
        <f t="shared" si="24"/>
        <v>750</v>
      </c>
      <c r="K207" s="216"/>
    </row>
    <row r="208" spans="3:11">
      <c r="C208" s="143">
        <v>4</v>
      </c>
      <c r="D208" s="60" t="s">
        <v>19</v>
      </c>
      <c r="E208" s="73" t="s">
        <v>6</v>
      </c>
      <c r="F208" s="94">
        <v>1.6999999999999999E-3</v>
      </c>
      <c r="G208" s="65">
        <f>VLOOKUP(D208,upahbahan,3,FALSE)</f>
        <v>145000</v>
      </c>
      <c r="H208" s="125">
        <f t="shared" si="24"/>
        <v>246.5</v>
      </c>
      <c r="K208" s="216"/>
    </row>
    <row r="209" spans="3:11">
      <c r="C209" s="145" t="s">
        <v>1220</v>
      </c>
      <c r="D209" s="81"/>
      <c r="E209" s="81"/>
      <c r="F209" s="190"/>
      <c r="G209" s="232"/>
      <c r="H209" s="125">
        <f>SUM(H205:H208)</f>
        <v>13246.5</v>
      </c>
      <c r="K209" s="216"/>
    </row>
    <row r="210" spans="3:11">
      <c r="C210" s="142" t="s">
        <v>1221</v>
      </c>
      <c r="D210" s="60" t="s">
        <v>1222</v>
      </c>
      <c r="E210" s="74"/>
      <c r="F210" s="74"/>
      <c r="G210" s="74"/>
      <c r="H210" s="147"/>
      <c r="K210" s="216"/>
    </row>
    <row r="211" spans="3:11">
      <c r="C211" s="143">
        <v>1</v>
      </c>
      <c r="D211" s="60" t="s">
        <v>583</v>
      </c>
      <c r="E211" s="73" t="s">
        <v>66</v>
      </c>
      <c r="F211" s="75">
        <v>0.12</v>
      </c>
      <c r="G211" s="65">
        <f>VLOOKUP(D211,upahbahan,3,FALSE)</f>
        <v>119100</v>
      </c>
      <c r="H211" s="125">
        <f t="shared" ref="H211:H212" si="25">F211*G211</f>
        <v>14292</v>
      </c>
      <c r="K211" s="216"/>
    </row>
    <row r="212" spans="3:11">
      <c r="C212" s="143">
        <v>2</v>
      </c>
      <c r="D212" s="60" t="s">
        <v>589</v>
      </c>
      <c r="E212" s="73" t="s">
        <v>66</v>
      </c>
      <c r="F212" s="75">
        <v>0.18</v>
      </c>
      <c r="G212" s="65">
        <f>VLOOKUP(D212,upahbahan,3,FALSE)</f>
        <v>130500</v>
      </c>
      <c r="H212" s="125">
        <f t="shared" si="25"/>
        <v>23490</v>
      </c>
      <c r="K212" s="216"/>
    </row>
    <row r="213" spans="3:11">
      <c r="C213" s="145" t="s">
        <v>1226</v>
      </c>
      <c r="D213" s="81"/>
      <c r="E213" s="81"/>
      <c r="F213" s="81"/>
      <c r="G213" s="163"/>
      <c r="H213" s="125">
        <f>SUM(H211:H212)</f>
        <v>37782</v>
      </c>
      <c r="K213" s="216"/>
    </row>
    <row r="214" spans="3:11">
      <c r="C214" s="153" t="s">
        <v>1227</v>
      </c>
      <c r="D214" s="60" t="s">
        <v>1228</v>
      </c>
      <c r="E214" s="74"/>
      <c r="F214" s="74"/>
      <c r="G214" s="74"/>
      <c r="H214" s="147"/>
      <c r="K214" s="216"/>
    </row>
    <row r="215" spans="3:11">
      <c r="C215" s="145" t="s">
        <v>1229</v>
      </c>
      <c r="D215" s="81"/>
      <c r="E215" s="81"/>
      <c r="F215" s="81"/>
      <c r="G215" s="163"/>
      <c r="H215" s="154">
        <v>0</v>
      </c>
      <c r="K215" s="216"/>
    </row>
    <row r="216" spans="3:11">
      <c r="C216" s="123" t="s">
        <v>1230</v>
      </c>
      <c r="D216" s="70" t="s">
        <v>1231</v>
      </c>
      <c r="E216" s="71"/>
      <c r="F216" s="71"/>
      <c r="G216" s="72"/>
      <c r="H216" s="125">
        <f>H215+H213+H209</f>
        <v>51028.5</v>
      </c>
      <c r="K216" s="216"/>
    </row>
    <row r="217" spans="3:11">
      <c r="C217" s="123" t="s">
        <v>1232</v>
      </c>
      <c r="D217" s="70" t="s">
        <v>1410</v>
      </c>
      <c r="E217" s="71"/>
      <c r="F217" s="72"/>
      <c r="G217" s="96">
        <f>$M$7</f>
        <v>0.1</v>
      </c>
      <c r="H217" s="125">
        <f>H216*G217</f>
        <v>5102.8500000000004</v>
      </c>
      <c r="K217" s="216"/>
    </row>
    <row r="218" spans="3:11" ht="15.75" thickBot="1">
      <c r="C218" s="131" t="s">
        <v>1233</v>
      </c>
      <c r="D218" s="132" t="s">
        <v>1234</v>
      </c>
      <c r="E218" s="133"/>
      <c r="F218" s="133"/>
      <c r="G218" s="156"/>
      <c r="H218" s="135">
        <f>SUM(H216:H217)</f>
        <v>56131.35</v>
      </c>
      <c r="K218" s="216"/>
    </row>
    <row r="219" spans="3:11" ht="15.75" thickTop="1">
      <c r="K219" s="216"/>
    </row>
    <row r="220" spans="3:11" ht="15.75" thickBot="1">
      <c r="C220" s="237" t="s">
        <v>1722</v>
      </c>
      <c r="D220" s="224"/>
      <c r="E220" s="225"/>
      <c r="F220" s="225"/>
      <c r="G220" s="225"/>
      <c r="H220" s="225"/>
      <c r="I220" s="57">
        <f>ROUNDDOWN(H236,-2)</f>
        <v>58500</v>
      </c>
      <c r="K220" s="216"/>
    </row>
    <row r="221" spans="3:11" ht="29.25" thickTop="1">
      <c r="C221" s="120" t="s">
        <v>1207</v>
      </c>
      <c r="D221" s="121" t="s">
        <v>1208</v>
      </c>
      <c r="E221" s="121" t="s">
        <v>1209</v>
      </c>
      <c r="F221" s="121" t="s">
        <v>1210</v>
      </c>
      <c r="G221" s="121" t="s">
        <v>1211</v>
      </c>
      <c r="H221" s="122" t="s">
        <v>1212</v>
      </c>
      <c r="K221" s="216"/>
    </row>
    <row r="222" spans="3:11">
      <c r="C222" s="142" t="s">
        <v>1213</v>
      </c>
      <c r="D222" s="60" t="s">
        <v>1214</v>
      </c>
      <c r="E222" s="74"/>
      <c r="F222" s="74"/>
      <c r="G222" s="74"/>
      <c r="H222" s="147"/>
      <c r="K222" s="216"/>
    </row>
    <row r="223" spans="3:11">
      <c r="C223" s="143">
        <v>1</v>
      </c>
      <c r="D223" s="60" t="s">
        <v>5</v>
      </c>
      <c r="E223" s="73" t="s">
        <v>6</v>
      </c>
      <c r="F223" s="94">
        <v>0.05</v>
      </c>
      <c r="G223" s="65">
        <f>VLOOKUP(D223,upahbahan,3,FALSE)</f>
        <v>100000</v>
      </c>
      <c r="H223" s="125">
        <f t="shared" ref="H223:H226" si="26">F223*G223</f>
        <v>5000</v>
      </c>
      <c r="K223" s="216"/>
    </row>
    <row r="224" spans="3:11">
      <c r="C224" s="143">
        <v>2</v>
      </c>
      <c r="D224" s="60" t="s">
        <v>12</v>
      </c>
      <c r="E224" s="73" t="s">
        <v>6</v>
      </c>
      <c r="F224" s="94">
        <v>0.05</v>
      </c>
      <c r="G224" s="65">
        <f>VLOOKUP(D224,upahbahan,3,FALSE)</f>
        <v>145000</v>
      </c>
      <c r="H224" s="125">
        <f t="shared" si="26"/>
        <v>7250</v>
      </c>
      <c r="K224" s="216"/>
    </row>
    <row r="225" spans="3:11">
      <c r="C225" s="143">
        <v>3</v>
      </c>
      <c r="D225" s="60" t="s">
        <v>18</v>
      </c>
      <c r="E225" s="73" t="s">
        <v>6</v>
      </c>
      <c r="F225" s="94">
        <v>5.0000000000000001E-3</v>
      </c>
      <c r="G225" s="65">
        <f>VLOOKUP(D225,upahbahan,3,FALSE)</f>
        <v>150000</v>
      </c>
      <c r="H225" s="125">
        <f t="shared" si="26"/>
        <v>750</v>
      </c>
      <c r="K225" s="216"/>
    </row>
    <row r="226" spans="3:11">
      <c r="C226" s="143">
        <v>4</v>
      </c>
      <c r="D226" s="60" t="s">
        <v>19</v>
      </c>
      <c r="E226" s="73" t="s">
        <v>6</v>
      </c>
      <c r="F226" s="94">
        <v>1.6999999999999999E-3</v>
      </c>
      <c r="G226" s="65">
        <f>VLOOKUP(D226,upahbahan,3,FALSE)</f>
        <v>145000</v>
      </c>
      <c r="H226" s="125">
        <f t="shared" si="26"/>
        <v>246.5</v>
      </c>
      <c r="K226" s="216"/>
    </row>
    <row r="227" spans="3:11">
      <c r="C227" s="145" t="s">
        <v>1220</v>
      </c>
      <c r="D227" s="81"/>
      <c r="E227" s="81"/>
      <c r="F227" s="190"/>
      <c r="G227" s="232"/>
      <c r="H227" s="125">
        <f>SUM(H223:H226)</f>
        <v>13246.5</v>
      </c>
      <c r="K227" s="216"/>
    </row>
    <row r="228" spans="3:11">
      <c r="C228" s="142" t="s">
        <v>1221</v>
      </c>
      <c r="D228" s="60" t="s">
        <v>1222</v>
      </c>
      <c r="E228" s="74"/>
      <c r="F228" s="74"/>
      <c r="G228" s="74"/>
      <c r="H228" s="147"/>
      <c r="K228" s="216"/>
    </row>
    <row r="229" spans="3:11">
      <c r="C229" s="143">
        <v>1</v>
      </c>
      <c r="D229" s="60" t="s">
        <v>582</v>
      </c>
      <c r="E229" s="73" t="s">
        <v>66</v>
      </c>
      <c r="F229" s="75">
        <v>0.12</v>
      </c>
      <c r="G229" s="65">
        <f>VLOOKUP(D229,upahbahan,3,FALSE)</f>
        <v>128500</v>
      </c>
      <c r="H229" s="125">
        <f t="shared" ref="H229:H230" si="27">F229*G229</f>
        <v>15420</v>
      </c>
      <c r="K229" s="216"/>
    </row>
    <row r="230" spans="3:11">
      <c r="C230" s="143">
        <v>2</v>
      </c>
      <c r="D230" s="60" t="s">
        <v>588</v>
      </c>
      <c r="E230" s="73" t="s">
        <v>66</v>
      </c>
      <c r="F230" s="75">
        <v>0.18</v>
      </c>
      <c r="G230" s="65">
        <f>VLOOKUP(D230,upahbahan,3,FALSE)</f>
        <v>136600</v>
      </c>
      <c r="H230" s="125">
        <f t="shared" si="27"/>
        <v>24588</v>
      </c>
      <c r="K230" s="216"/>
    </row>
    <row r="231" spans="3:11">
      <c r="C231" s="145" t="s">
        <v>1226</v>
      </c>
      <c r="D231" s="81"/>
      <c r="E231" s="81"/>
      <c r="F231" s="81"/>
      <c r="G231" s="163"/>
      <c r="H231" s="125">
        <f>SUM(H229:H230)</f>
        <v>40008</v>
      </c>
      <c r="K231" s="216"/>
    </row>
    <row r="232" spans="3:11">
      <c r="C232" s="153" t="s">
        <v>1227</v>
      </c>
      <c r="D232" s="60" t="s">
        <v>1228</v>
      </c>
      <c r="E232" s="74"/>
      <c r="F232" s="74"/>
      <c r="G232" s="74"/>
      <c r="H232" s="147"/>
      <c r="K232" s="216"/>
    </row>
    <row r="233" spans="3:11">
      <c r="C233" s="145" t="s">
        <v>1229</v>
      </c>
      <c r="D233" s="81"/>
      <c r="E233" s="81"/>
      <c r="F233" s="81"/>
      <c r="G233" s="163"/>
      <c r="H233" s="154">
        <v>0</v>
      </c>
      <c r="K233" s="216"/>
    </row>
    <row r="234" spans="3:11">
      <c r="C234" s="123" t="s">
        <v>1230</v>
      </c>
      <c r="D234" s="70" t="s">
        <v>1231</v>
      </c>
      <c r="E234" s="71"/>
      <c r="F234" s="71"/>
      <c r="G234" s="72"/>
      <c r="H234" s="125">
        <f>H233+H231+H227</f>
        <v>53254.5</v>
      </c>
      <c r="K234" s="216"/>
    </row>
    <row r="235" spans="3:11">
      <c r="C235" s="123" t="s">
        <v>1232</v>
      </c>
      <c r="D235" s="70" t="s">
        <v>1410</v>
      </c>
      <c r="E235" s="71"/>
      <c r="F235" s="72"/>
      <c r="G235" s="96">
        <f>$M$7</f>
        <v>0.1</v>
      </c>
      <c r="H235" s="125">
        <f>H234*G235</f>
        <v>5325.4500000000007</v>
      </c>
      <c r="K235" s="216"/>
    </row>
    <row r="236" spans="3:11" ht="15.75" thickBot="1">
      <c r="C236" s="131" t="s">
        <v>1233</v>
      </c>
      <c r="D236" s="132" t="s">
        <v>1234</v>
      </c>
      <c r="E236" s="133"/>
      <c r="F236" s="133"/>
      <c r="G236" s="156"/>
      <c r="H236" s="135">
        <f>SUM(H234:H235)</f>
        <v>58579.95</v>
      </c>
      <c r="K236" s="216"/>
    </row>
    <row r="237" spans="3:11" ht="15.75" thickTop="1">
      <c r="C237" s="58"/>
      <c r="D237" s="82"/>
      <c r="E237" s="82"/>
      <c r="F237" s="82"/>
      <c r="G237" s="82"/>
      <c r="H237" s="83"/>
      <c r="K237" s="216"/>
    </row>
    <row r="238" spans="3:11" ht="15.75" thickBot="1">
      <c r="C238" s="237" t="s">
        <v>1723</v>
      </c>
      <c r="D238" s="224"/>
      <c r="E238" s="225"/>
      <c r="F238" s="225"/>
      <c r="G238" s="225"/>
      <c r="H238" s="225"/>
      <c r="I238" s="57">
        <f>ROUNDDOWN(H255,-2)</f>
        <v>26500</v>
      </c>
      <c r="K238" s="216"/>
    </row>
    <row r="239" spans="3:11" ht="29.25" thickTop="1">
      <c r="C239" s="120" t="s">
        <v>1207</v>
      </c>
      <c r="D239" s="121" t="s">
        <v>1208</v>
      </c>
      <c r="E239" s="121" t="s">
        <v>1209</v>
      </c>
      <c r="F239" s="121" t="s">
        <v>1210</v>
      </c>
      <c r="G239" s="121" t="s">
        <v>1211</v>
      </c>
      <c r="H239" s="122" t="s">
        <v>1212</v>
      </c>
      <c r="K239" s="216"/>
    </row>
    <row r="240" spans="3:11">
      <c r="C240" s="142" t="s">
        <v>1213</v>
      </c>
      <c r="D240" s="60" t="s">
        <v>1214</v>
      </c>
      <c r="E240" s="74"/>
      <c r="F240" s="74"/>
      <c r="G240" s="74"/>
      <c r="H240" s="147"/>
      <c r="K240" s="216"/>
    </row>
    <row r="241" spans="3:11">
      <c r="C241" s="143">
        <v>1</v>
      </c>
      <c r="D241" s="60" t="s">
        <v>5</v>
      </c>
      <c r="E241" s="73" t="s">
        <v>6</v>
      </c>
      <c r="F241" s="203">
        <v>0.15</v>
      </c>
      <c r="G241" s="65">
        <f>VLOOKUP(D241,upahbahan,3,FALSE)</f>
        <v>100000</v>
      </c>
      <c r="H241" s="125">
        <f t="shared" ref="H241:H244" si="28">F241*G241</f>
        <v>15000</v>
      </c>
      <c r="K241" s="216"/>
    </row>
    <row r="242" spans="3:11">
      <c r="C242" s="143">
        <v>2</v>
      </c>
      <c r="D242" s="60" t="s">
        <v>12</v>
      </c>
      <c r="E242" s="73" t="s">
        <v>6</v>
      </c>
      <c r="F242" s="203">
        <v>1E-3</v>
      </c>
      <c r="G242" s="65">
        <f>VLOOKUP(D242,upahbahan,3,FALSE)</f>
        <v>145000</v>
      </c>
      <c r="H242" s="125">
        <f t="shared" si="28"/>
        <v>145</v>
      </c>
      <c r="K242" s="216"/>
    </row>
    <row r="243" spans="3:11">
      <c r="C243" s="143">
        <v>3</v>
      </c>
      <c r="D243" s="60" t="s">
        <v>18</v>
      </c>
      <c r="E243" s="73" t="s">
        <v>6</v>
      </c>
      <c r="F243" s="203">
        <v>1E-4</v>
      </c>
      <c r="G243" s="65">
        <f>VLOOKUP(D243,upahbahan,3,FALSE)</f>
        <v>150000</v>
      </c>
      <c r="H243" s="125">
        <f t="shared" si="28"/>
        <v>15</v>
      </c>
      <c r="K243" s="216"/>
    </row>
    <row r="244" spans="3:11">
      <c r="C244" s="143">
        <v>4</v>
      </c>
      <c r="D244" s="60" t="s">
        <v>19</v>
      </c>
      <c r="E244" s="73" t="s">
        <v>6</v>
      </c>
      <c r="F244" s="203">
        <v>3.3000000000000003E-5</v>
      </c>
      <c r="G244" s="65">
        <f>VLOOKUP(D244,upahbahan,3,FALSE)</f>
        <v>145000</v>
      </c>
      <c r="H244" s="125">
        <f t="shared" si="28"/>
        <v>4.7850000000000001</v>
      </c>
      <c r="K244" s="216"/>
    </row>
    <row r="245" spans="3:11">
      <c r="C245" s="145" t="s">
        <v>1220</v>
      </c>
      <c r="D245" s="81"/>
      <c r="E245" s="81"/>
      <c r="F245" s="190"/>
      <c r="G245" s="232"/>
      <c r="H245" s="125">
        <f>SUM(H241:H244)</f>
        <v>15164.785</v>
      </c>
      <c r="K245" s="216"/>
    </row>
    <row r="246" spans="3:11">
      <c r="C246" s="142" t="s">
        <v>1221</v>
      </c>
      <c r="D246" s="60" t="s">
        <v>1222</v>
      </c>
      <c r="E246" s="74"/>
      <c r="F246" s="74"/>
      <c r="G246" s="74"/>
      <c r="H246" s="147"/>
      <c r="K246" s="216"/>
    </row>
    <row r="247" spans="3:11">
      <c r="C247" s="143">
        <v>1</v>
      </c>
      <c r="D247" s="78" t="s">
        <v>1008</v>
      </c>
      <c r="E247" s="69" t="s">
        <v>66</v>
      </c>
      <c r="F247" s="75">
        <v>0.15</v>
      </c>
      <c r="G247" s="65">
        <f>VLOOKUP(D247,upahbahan,3,FALSE)</f>
        <v>7000</v>
      </c>
      <c r="H247" s="125">
        <f t="shared" ref="H247:H249" si="29">F247*G247</f>
        <v>1050</v>
      </c>
      <c r="K247" s="216"/>
    </row>
    <row r="248" spans="3:11">
      <c r="C248" s="143">
        <v>2</v>
      </c>
      <c r="D248" s="78" t="s">
        <v>977</v>
      </c>
      <c r="E248" s="69" t="s">
        <v>133</v>
      </c>
      <c r="F248" s="75">
        <v>0.1</v>
      </c>
      <c r="G248" s="65">
        <f>VLOOKUP(D248,upahbahan,3,FALSE)</f>
        <v>3900</v>
      </c>
      <c r="H248" s="125">
        <f t="shared" si="29"/>
        <v>390</v>
      </c>
      <c r="K248" s="216"/>
    </row>
    <row r="249" spans="3:11">
      <c r="C249" s="143">
        <v>3</v>
      </c>
      <c r="D249" s="78" t="s">
        <v>972</v>
      </c>
      <c r="E249" s="69" t="s">
        <v>973</v>
      </c>
      <c r="F249" s="75">
        <v>0.25</v>
      </c>
      <c r="G249" s="65">
        <f>VLOOKUP(D249,upahbahan,3,FALSE)</f>
        <v>30000</v>
      </c>
      <c r="H249" s="125">
        <f t="shared" si="29"/>
        <v>7500</v>
      </c>
      <c r="K249" s="216"/>
    </row>
    <row r="250" spans="3:11">
      <c r="C250" s="145" t="s">
        <v>1226</v>
      </c>
      <c r="D250" s="81"/>
      <c r="E250" s="81"/>
      <c r="F250" s="81"/>
      <c r="G250" s="163"/>
      <c r="H250" s="125">
        <f>SUM(H247:H249)</f>
        <v>8940</v>
      </c>
      <c r="K250" s="216"/>
    </row>
    <row r="251" spans="3:11">
      <c r="C251" s="153" t="s">
        <v>1227</v>
      </c>
      <c r="D251" s="60" t="s">
        <v>1228</v>
      </c>
      <c r="E251" s="74"/>
      <c r="F251" s="74"/>
      <c r="G251" s="74"/>
      <c r="H251" s="147"/>
      <c r="K251" s="216"/>
    </row>
    <row r="252" spans="3:11">
      <c r="C252" s="145" t="s">
        <v>1229</v>
      </c>
      <c r="D252" s="81"/>
      <c r="E252" s="81"/>
      <c r="F252" s="81"/>
      <c r="G252" s="163"/>
      <c r="H252" s="154">
        <v>0</v>
      </c>
      <c r="K252" s="216"/>
    </row>
    <row r="253" spans="3:11">
      <c r="C253" s="123" t="s">
        <v>1230</v>
      </c>
      <c r="D253" s="70" t="s">
        <v>1231</v>
      </c>
      <c r="E253" s="71"/>
      <c r="F253" s="71"/>
      <c r="G253" s="72"/>
      <c r="H253" s="125">
        <f>H252+H250+H245</f>
        <v>24104.785</v>
      </c>
      <c r="K253" s="216"/>
    </row>
    <row r="254" spans="3:11">
      <c r="C254" s="123" t="s">
        <v>1232</v>
      </c>
      <c r="D254" s="70" t="s">
        <v>1410</v>
      </c>
      <c r="E254" s="71"/>
      <c r="F254" s="72"/>
      <c r="G254" s="96">
        <f>$M$7</f>
        <v>0.1</v>
      </c>
      <c r="H254" s="125">
        <f>H253*G254</f>
        <v>2410.4785000000002</v>
      </c>
      <c r="K254" s="216"/>
    </row>
    <row r="255" spans="3:11" ht="15.75" thickBot="1">
      <c r="C255" s="131" t="s">
        <v>1233</v>
      </c>
      <c r="D255" s="132" t="s">
        <v>1234</v>
      </c>
      <c r="E255" s="133"/>
      <c r="F255" s="133"/>
      <c r="G255" s="156"/>
      <c r="H255" s="135">
        <f>SUM(H253:H254)</f>
        <v>26515.263500000001</v>
      </c>
      <c r="K255" s="216"/>
    </row>
    <row r="256" spans="3:11" ht="15.75" thickTop="1">
      <c r="C256" s="58"/>
      <c r="D256" s="82"/>
      <c r="E256" s="82"/>
      <c r="F256" s="82"/>
      <c r="G256" s="82"/>
      <c r="H256" s="83"/>
      <c r="K256" s="216"/>
    </row>
    <row r="257" spans="3:11" ht="15.75" thickBot="1">
      <c r="C257" s="237" t="s">
        <v>1724</v>
      </c>
      <c r="D257" s="224"/>
      <c r="E257" s="225"/>
      <c r="F257" s="225"/>
      <c r="G257" s="225"/>
      <c r="H257" s="225"/>
      <c r="I257" s="57">
        <f>ROUNDDOWN(H274,-2)</f>
        <v>16700</v>
      </c>
      <c r="K257" s="216"/>
    </row>
    <row r="258" spans="3:11" ht="29.25" thickTop="1">
      <c r="C258" s="120" t="s">
        <v>1207</v>
      </c>
      <c r="D258" s="121" t="s">
        <v>1208</v>
      </c>
      <c r="E258" s="121" t="s">
        <v>1209</v>
      </c>
      <c r="F258" s="121" t="s">
        <v>1210</v>
      </c>
      <c r="G258" s="121" t="s">
        <v>1211</v>
      </c>
      <c r="H258" s="122" t="s">
        <v>1212</v>
      </c>
      <c r="K258" s="216"/>
    </row>
    <row r="259" spans="3:11">
      <c r="C259" s="142" t="s">
        <v>1213</v>
      </c>
      <c r="D259" s="60" t="s">
        <v>1214</v>
      </c>
      <c r="E259" s="74"/>
      <c r="F259" s="74"/>
      <c r="G259" s="74"/>
      <c r="H259" s="147"/>
      <c r="K259" s="216"/>
    </row>
    <row r="260" spans="3:11">
      <c r="C260" s="143">
        <v>1</v>
      </c>
      <c r="D260" s="60" t="s">
        <v>5</v>
      </c>
      <c r="E260" s="73" t="s">
        <v>6</v>
      </c>
      <c r="F260" s="94">
        <v>0.04</v>
      </c>
      <c r="G260" s="65">
        <f>VLOOKUP(D260,upahbahan,3,FALSE)</f>
        <v>100000</v>
      </c>
      <c r="H260" s="125">
        <f t="shared" ref="H260:H263" si="30">F260*G260</f>
        <v>4000</v>
      </c>
      <c r="K260" s="216"/>
    </row>
    <row r="261" spans="3:11">
      <c r="C261" s="143">
        <v>2</v>
      </c>
      <c r="D261" s="60" t="s">
        <v>12</v>
      </c>
      <c r="E261" s="73" t="s">
        <v>6</v>
      </c>
      <c r="F261" s="94">
        <v>5.0000000000000001E-3</v>
      </c>
      <c r="G261" s="65">
        <f>VLOOKUP(D261,upahbahan,3,FALSE)</f>
        <v>145000</v>
      </c>
      <c r="H261" s="125">
        <f t="shared" si="30"/>
        <v>725</v>
      </c>
      <c r="K261" s="216"/>
    </row>
    <row r="262" spans="3:11">
      <c r="C262" s="143">
        <v>3</v>
      </c>
      <c r="D262" s="60" t="s">
        <v>18</v>
      </c>
      <c r="E262" s="73" t="s">
        <v>6</v>
      </c>
      <c r="F262" s="94">
        <v>5.0000000000000001E-4</v>
      </c>
      <c r="G262" s="65">
        <f>VLOOKUP(D262,upahbahan,3,FALSE)</f>
        <v>150000</v>
      </c>
      <c r="H262" s="125">
        <f t="shared" si="30"/>
        <v>75</v>
      </c>
      <c r="K262" s="216"/>
    </row>
    <row r="263" spans="3:11">
      <c r="C263" s="143">
        <v>4</v>
      </c>
      <c r="D263" s="60" t="s">
        <v>19</v>
      </c>
      <c r="E263" s="73" t="s">
        <v>6</v>
      </c>
      <c r="F263" s="94">
        <v>2.0000000000000001E-4</v>
      </c>
      <c r="G263" s="65">
        <f>VLOOKUP(D263,upahbahan,3,FALSE)</f>
        <v>145000</v>
      </c>
      <c r="H263" s="125">
        <f t="shared" si="30"/>
        <v>29</v>
      </c>
      <c r="K263" s="216"/>
    </row>
    <row r="264" spans="3:11">
      <c r="C264" s="145" t="s">
        <v>1220</v>
      </c>
      <c r="D264" s="81"/>
      <c r="E264" s="81"/>
      <c r="F264" s="190"/>
      <c r="G264" s="232"/>
      <c r="H264" s="125">
        <f>SUM(H260:H263)</f>
        <v>4829</v>
      </c>
      <c r="K264" s="216"/>
    </row>
    <row r="265" spans="3:11">
      <c r="C265" s="142" t="s">
        <v>1221</v>
      </c>
      <c r="D265" s="60" t="s">
        <v>1222</v>
      </c>
      <c r="E265" s="74"/>
      <c r="F265" s="74"/>
      <c r="G265" s="74"/>
      <c r="H265" s="147"/>
      <c r="K265" s="216"/>
    </row>
    <row r="266" spans="3:11">
      <c r="C266" s="143">
        <v>1</v>
      </c>
      <c r="D266" s="78" t="s">
        <v>1008</v>
      </c>
      <c r="E266" s="69" t="s">
        <v>66</v>
      </c>
      <c r="F266" s="75">
        <v>0.3</v>
      </c>
      <c r="G266" s="65">
        <f>VLOOKUP(D266,upahbahan,3,FALSE)</f>
        <v>7000</v>
      </c>
      <c r="H266" s="125">
        <f t="shared" ref="H266:H268" si="31">F266*G266</f>
        <v>2100</v>
      </c>
      <c r="K266" s="216"/>
    </row>
    <row r="267" spans="3:11">
      <c r="C267" s="143">
        <v>2</v>
      </c>
      <c r="D267" s="78" t="s">
        <v>977</v>
      </c>
      <c r="E267" s="69" t="s">
        <v>133</v>
      </c>
      <c r="F267" s="75">
        <v>0.2</v>
      </c>
      <c r="G267" s="65">
        <f>VLOOKUP(D267,upahbahan,3,FALSE)</f>
        <v>3900</v>
      </c>
      <c r="H267" s="125">
        <f t="shared" si="31"/>
        <v>780</v>
      </c>
      <c r="K267" s="216"/>
    </row>
    <row r="268" spans="3:11">
      <c r="C268" s="143">
        <v>3</v>
      </c>
      <c r="D268" s="78" t="s">
        <v>972</v>
      </c>
      <c r="E268" s="69" t="s">
        <v>973</v>
      </c>
      <c r="F268" s="75">
        <v>0.25</v>
      </c>
      <c r="G268" s="65">
        <f>VLOOKUP(D268,upahbahan,3,FALSE)</f>
        <v>30000</v>
      </c>
      <c r="H268" s="125">
        <f t="shared" si="31"/>
        <v>7500</v>
      </c>
      <c r="K268" s="216"/>
    </row>
    <row r="269" spans="3:11">
      <c r="C269" s="145" t="s">
        <v>1226</v>
      </c>
      <c r="D269" s="81"/>
      <c r="E269" s="81"/>
      <c r="F269" s="81"/>
      <c r="G269" s="163"/>
      <c r="H269" s="125">
        <f>SUM(H266:H268)</f>
        <v>10380</v>
      </c>
      <c r="K269" s="216"/>
    </row>
    <row r="270" spans="3:11">
      <c r="C270" s="153" t="s">
        <v>1227</v>
      </c>
      <c r="D270" s="60" t="s">
        <v>1228</v>
      </c>
      <c r="E270" s="74"/>
      <c r="F270" s="74"/>
      <c r="G270" s="74"/>
      <c r="H270" s="147"/>
      <c r="K270" s="216"/>
    </row>
    <row r="271" spans="3:11">
      <c r="C271" s="145" t="s">
        <v>1229</v>
      </c>
      <c r="D271" s="81"/>
      <c r="E271" s="81"/>
      <c r="F271" s="81"/>
      <c r="G271" s="163"/>
      <c r="H271" s="154">
        <v>0</v>
      </c>
      <c r="K271" s="216"/>
    </row>
    <row r="272" spans="3:11">
      <c r="C272" s="123" t="s">
        <v>1230</v>
      </c>
      <c r="D272" s="70" t="s">
        <v>1231</v>
      </c>
      <c r="E272" s="71"/>
      <c r="F272" s="71"/>
      <c r="G272" s="72"/>
      <c r="H272" s="125">
        <f>H271+H269+H264</f>
        <v>15209</v>
      </c>
      <c r="K272" s="216"/>
    </row>
    <row r="273" spans="3:11">
      <c r="C273" s="123" t="s">
        <v>1232</v>
      </c>
      <c r="D273" s="70" t="s">
        <v>1410</v>
      </c>
      <c r="E273" s="71"/>
      <c r="F273" s="72"/>
      <c r="G273" s="96">
        <f>$M$7</f>
        <v>0.1</v>
      </c>
      <c r="H273" s="125">
        <f>H272*G273</f>
        <v>1520.9</v>
      </c>
      <c r="K273" s="216"/>
    </row>
    <row r="274" spans="3:11" ht="15.75" thickBot="1">
      <c r="C274" s="131" t="s">
        <v>1233</v>
      </c>
      <c r="D274" s="132" t="s">
        <v>1234</v>
      </c>
      <c r="E274" s="133"/>
      <c r="F274" s="133"/>
      <c r="G274" s="156"/>
      <c r="H274" s="135">
        <f>SUM(H272:H273)</f>
        <v>16729.900000000001</v>
      </c>
      <c r="K274" s="216"/>
    </row>
    <row r="275" spans="3:11" ht="15.75" thickTop="1">
      <c r="C275" s="58"/>
      <c r="D275" s="82"/>
      <c r="E275" s="82"/>
      <c r="F275" s="82"/>
      <c r="G275" s="82"/>
      <c r="H275" s="83"/>
      <c r="K275" s="216"/>
    </row>
    <row r="276" spans="3:11" ht="15.75" thickBot="1">
      <c r="C276" s="237" t="s">
        <v>1725</v>
      </c>
      <c r="D276" s="224"/>
      <c r="E276" s="225"/>
      <c r="F276" s="225"/>
      <c r="G276" s="225"/>
      <c r="H276" s="225"/>
      <c r="I276" s="57">
        <f>ROUNDDOWN(H292,-2)</f>
        <v>75700</v>
      </c>
      <c r="K276" s="216"/>
    </row>
    <row r="277" spans="3:11" ht="29.25" thickTop="1">
      <c r="C277" s="120" t="s">
        <v>1207</v>
      </c>
      <c r="D277" s="121" t="s">
        <v>1208</v>
      </c>
      <c r="E277" s="121" t="s">
        <v>1209</v>
      </c>
      <c r="F277" s="121" t="s">
        <v>1210</v>
      </c>
      <c r="G277" s="121" t="s">
        <v>1211</v>
      </c>
      <c r="H277" s="122" t="s">
        <v>1212</v>
      </c>
      <c r="K277" s="216"/>
    </row>
    <row r="278" spans="3:11">
      <c r="C278" s="142" t="s">
        <v>1213</v>
      </c>
      <c r="D278" s="60" t="s">
        <v>1214</v>
      </c>
      <c r="E278" s="74"/>
      <c r="F278" s="74"/>
      <c r="G278" s="74"/>
      <c r="H278" s="147"/>
      <c r="K278" s="216"/>
    </row>
    <row r="279" spans="3:11">
      <c r="C279" s="143">
        <v>1</v>
      </c>
      <c r="D279" s="60" t="s">
        <v>5</v>
      </c>
      <c r="E279" s="73" t="s">
        <v>6</v>
      </c>
      <c r="F279" s="94">
        <v>0.2</v>
      </c>
      <c r="G279" s="65">
        <f>VLOOKUP(D279,upahbahan,3,FALSE)</f>
        <v>100000</v>
      </c>
      <c r="H279" s="125">
        <f t="shared" ref="H279:H282" si="32">F279*G279</f>
        <v>20000</v>
      </c>
      <c r="K279" s="216"/>
    </row>
    <row r="280" spans="3:11">
      <c r="C280" s="143">
        <v>2</v>
      </c>
      <c r="D280" s="60" t="s">
        <v>12</v>
      </c>
      <c r="E280" s="73" t="s">
        <v>6</v>
      </c>
      <c r="F280" s="94">
        <v>0.2</v>
      </c>
      <c r="G280" s="65">
        <f>VLOOKUP(D280,upahbahan,3,FALSE)</f>
        <v>145000</v>
      </c>
      <c r="H280" s="125">
        <f t="shared" si="32"/>
        <v>29000</v>
      </c>
      <c r="K280" s="216"/>
    </row>
    <row r="281" spans="3:11">
      <c r="C281" s="143">
        <v>3</v>
      </c>
      <c r="D281" s="60" t="s">
        <v>18</v>
      </c>
      <c r="E281" s="73" t="s">
        <v>6</v>
      </c>
      <c r="F281" s="94">
        <v>0.02</v>
      </c>
      <c r="G281" s="65">
        <f>VLOOKUP(D281,upahbahan,3,FALSE)</f>
        <v>150000</v>
      </c>
      <c r="H281" s="125">
        <f t="shared" si="32"/>
        <v>3000</v>
      </c>
      <c r="K281" s="216"/>
    </row>
    <row r="282" spans="3:11">
      <c r="C282" s="143">
        <v>4</v>
      </c>
      <c r="D282" s="60" t="s">
        <v>19</v>
      </c>
      <c r="E282" s="73" t="s">
        <v>6</v>
      </c>
      <c r="F282" s="94">
        <v>6.7000000000000002E-3</v>
      </c>
      <c r="G282" s="65">
        <f>VLOOKUP(D282,upahbahan,3,FALSE)</f>
        <v>145000</v>
      </c>
      <c r="H282" s="125">
        <f t="shared" si="32"/>
        <v>971.5</v>
      </c>
      <c r="K282" s="216"/>
    </row>
    <row r="283" spans="3:11">
      <c r="C283" s="145" t="s">
        <v>1220</v>
      </c>
      <c r="D283" s="81"/>
      <c r="E283" s="81"/>
      <c r="F283" s="190"/>
      <c r="G283" s="232"/>
      <c r="H283" s="125">
        <f>SUM(H279:H282)</f>
        <v>52971.5</v>
      </c>
      <c r="K283" s="216"/>
    </row>
    <row r="284" spans="3:11">
      <c r="C284" s="142" t="s">
        <v>1221</v>
      </c>
      <c r="D284" s="60" t="s">
        <v>1222</v>
      </c>
      <c r="E284" s="74"/>
      <c r="F284" s="74"/>
      <c r="G284" s="74"/>
      <c r="H284" s="147"/>
      <c r="K284" s="216"/>
    </row>
    <row r="285" spans="3:11">
      <c r="C285" s="143">
        <v>1</v>
      </c>
      <c r="D285" s="78" t="s">
        <v>580</v>
      </c>
      <c r="E285" s="69" t="s">
        <v>66</v>
      </c>
      <c r="F285" s="75">
        <v>0.3</v>
      </c>
      <c r="G285" s="65">
        <f>VLOOKUP(D285,upahbahan,3,FALSE)</f>
        <v>52300</v>
      </c>
      <c r="H285" s="125">
        <f t="shared" ref="H285:H286" si="33">F285*G285</f>
        <v>15690</v>
      </c>
      <c r="K285" s="216"/>
    </row>
    <row r="286" spans="3:11">
      <c r="C286" s="143">
        <v>2</v>
      </c>
      <c r="D286" s="78" t="s">
        <v>602</v>
      </c>
      <c r="E286" s="69" t="s">
        <v>535</v>
      </c>
      <c r="F286" s="75">
        <v>0.01</v>
      </c>
      <c r="G286" s="65">
        <f>VLOOKUP(D286,upahbahan,3,FALSE)</f>
        <v>20000</v>
      </c>
      <c r="H286" s="125">
        <f t="shared" si="33"/>
        <v>200</v>
      </c>
      <c r="K286" s="216"/>
    </row>
    <row r="287" spans="3:11">
      <c r="C287" s="145" t="s">
        <v>1226</v>
      </c>
      <c r="D287" s="81"/>
      <c r="E287" s="81"/>
      <c r="F287" s="81"/>
      <c r="G287" s="163"/>
      <c r="H287" s="125">
        <f>SUM(H285:H286)</f>
        <v>15890</v>
      </c>
      <c r="K287" s="216"/>
    </row>
    <row r="288" spans="3:11">
      <c r="C288" s="153" t="s">
        <v>1227</v>
      </c>
      <c r="D288" s="60" t="s">
        <v>1228</v>
      </c>
      <c r="E288" s="74"/>
      <c r="F288" s="74"/>
      <c r="G288" s="74"/>
      <c r="H288" s="147"/>
      <c r="K288" s="216"/>
    </row>
    <row r="289" spans="3:11">
      <c r="C289" s="145" t="s">
        <v>1229</v>
      </c>
      <c r="D289" s="81"/>
      <c r="E289" s="81"/>
      <c r="F289" s="81"/>
      <c r="G289" s="163"/>
      <c r="H289" s="154">
        <v>0</v>
      </c>
      <c r="K289" s="216"/>
    </row>
    <row r="290" spans="3:11">
      <c r="C290" s="123" t="s">
        <v>1230</v>
      </c>
      <c r="D290" s="70" t="s">
        <v>1231</v>
      </c>
      <c r="E290" s="71"/>
      <c r="F290" s="71"/>
      <c r="G290" s="72"/>
      <c r="H290" s="125">
        <f>H289+H287+H283</f>
        <v>68861.5</v>
      </c>
      <c r="K290" s="216"/>
    </row>
    <row r="291" spans="3:11">
      <c r="C291" s="123" t="s">
        <v>1232</v>
      </c>
      <c r="D291" s="70" t="s">
        <v>1410</v>
      </c>
      <c r="E291" s="71"/>
      <c r="F291" s="72"/>
      <c r="G291" s="96">
        <f>$M$7</f>
        <v>0.1</v>
      </c>
      <c r="H291" s="125">
        <f>H290*G291</f>
        <v>6886.1500000000005</v>
      </c>
      <c r="K291" s="216"/>
    </row>
    <row r="292" spans="3:11" ht="15.75" thickBot="1">
      <c r="C292" s="131" t="s">
        <v>1233</v>
      </c>
      <c r="D292" s="132" t="s">
        <v>1234</v>
      </c>
      <c r="E292" s="133"/>
      <c r="F292" s="133"/>
      <c r="G292" s="156"/>
      <c r="H292" s="135">
        <f>SUM(H290:H291)</f>
        <v>75747.649999999994</v>
      </c>
      <c r="K292" s="216"/>
    </row>
    <row r="293" spans="3:11" ht="15.75" thickTop="1">
      <c r="C293" s="58"/>
      <c r="D293" s="82"/>
      <c r="E293" s="82"/>
      <c r="F293" s="82"/>
      <c r="G293" s="82"/>
      <c r="H293" s="83"/>
      <c r="K293" s="216"/>
    </row>
    <row r="294" spans="3:11" ht="15.75" thickBot="1">
      <c r="C294" s="237" t="s">
        <v>1726</v>
      </c>
      <c r="D294" s="224"/>
      <c r="E294" s="225"/>
      <c r="F294" s="225"/>
      <c r="G294" s="225"/>
      <c r="H294" s="225"/>
      <c r="I294" s="57">
        <f>ROUNDDOWN(H313,-2)</f>
        <v>209800</v>
      </c>
      <c r="K294" s="216"/>
    </row>
    <row r="295" spans="3:11" ht="29.25" thickTop="1">
      <c r="C295" s="120" t="s">
        <v>1207</v>
      </c>
      <c r="D295" s="121" t="s">
        <v>1208</v>
      </c>
      <c r="E295" s="121" t="s">
        <v>1209</v>
      </c>
      <c r="F295" s="121" t="s">
        <v>1210</v>
      </c>
      <c r="G295" s="121" t="s">
        <v>1211</v>
      </c>
      <c r="H295" s="122" t="s">
        <v>1212</v>
      </c>
      <c r="K295" s="216"/>
    </row>
    <row r="296" spans="3:11">
      <c r="C296" s="142" t="s">
        <v>1213</v>
      </c>
      <c r="D296" s="60" t="s">
        <v>1214</v>
      </c>
      <c r="E296" s="74"/>
      <c r="F296" s="74"/>
      <c r="G296" s="74"/>
      <c r="H296" s="147"/>
      <c r="K296" s="216"/>
    </row>
    <row r="297" spans="3:11">
      <c r="C297" s="143">
        <v>1</v>
      </c>
      <c r="D297" s="60" t="s">
        <v>5</v>
      </c>
      <c r="E297" s="73" t="s">
        <v>6</v>
      </c>
      <c r="F297" s="94">
        <v>0.4</v>
      </c>
      <c r="G297" s="65">
        <f>VLOOKUP(D297,upahbahan,3,FALSE)</f>
        <v>100000</v>
      </c>
      <c r="H297" s="125">
        <f t="shared" ref="H297:H300" si="34">F297*G297</f>
        <v>40000</v>
      </c>
      <c r="K297" s="216"/>
    </row>
    <row r="298" spans="3:11">
      <c r="C298" s="143">
        <v>2</v>
      </c>
      <c r="D298" s="60" t="s">
        <v>12</v>
      </c>
      <c r="E298" s="73" t="s">
        <v>6</v>
      </c>
      <c r="F298" s="94">
        <v>0.8</v>
      </c>
      <c r="G298" s="65">
        <f>VLOOKUP(D298,upahbahan,3,FALSE)</f>
        <v>145000</v>
      </c>
      <c r="H298" s="125">
        <f t="shared" si="34"/>
        <v>116000</v>
      </c>
      <c r="K298" s="216"/>
    </row>
    <row r="299" spans="3:11">
      <c r="C299" s="143">
        <v>3</v>
      </c>
      <c r="D299" s="60" t="s">
        <v>18</v>
      </c>
      <c r="E299" s="73" t="s">
        <v>6</v>
      </c>
      <c r="F299" s="94">
        <v>0.08</v>
      </c>
      <c r="G299" s="65">
        <f>VLOOKUP(D299,upahbahan,3,FALSE)</f>
        <v>150000</v>
      </c>
      <c r="H299" s="125">
        <f t="shared" si="34"/>
        <v>12000</v>
      </c>
      <c r="K299" s="216"/>
    </row>
    <row r="300" spans="3:11">
      <c r="C300" s="143">
        <v>4</v>
      </c>
      <c r="D300" s="60" t="s">
        <v>19</v>
      </c>
      <c r="E300" s="73" t="s">
        <v>6</v>
      </c>
      <c r="F300" s="94">
        <v>2.6700000000000002E-2</v>
      </c>
      <c r="G300" s="65">
        <f>VLOOKUP(D300,upahbahan,3,FALSE)</f>
        <v>145000</v>
      </c>
      <c r="H300" s="125">
        <f t="shared" si="34"/>
        <v>3871.5</v>
      </c>
      <c r="K300" s="216"/>
    </row>
    <row r="301" spans="3:11">
      <c r="C301" s="145" t="s">
        <v>1220</v>
      </c>
      <c r="D301" s="81"/>
      <c r="E301" s="81"/>
      <c r="F301" s="190"/>
      <c r="G301" s="232"/>
      <c r="H301" s="125">
        <f>SUM(H297:H300)</f>
        <v>171871.5</v>
      </c>
      <c r="K301" s="216"/>
    </row>
    <row r="302" spans="3:11">
      <c r="C302" s="142" t="s">
        <v>1221</v>
      </c>
      <c r="D302" s="60" t="s">
        <v>1222</v>
      </c>
      <c r="E302" s="74"/>
      <c r="F302" s="74"/>
      <c r="G302" s="74"/>
      <c r="H302" s="147"/>
      <c r="K302" s="216"/>
    </row>
    <row r="303" spans="3:11">
      <c r="C303" s="201" t="s">
        <v>1215</v>
      </c>
      <c r="D303" s="78" t="s">
        <v>580</v>
      </c>
      <c r="E303" s="69" t="s">
        <v>66</v>
      </c>
      <c r="F303" s="75">
        <v>0.11</v>
      </c>
      <c r="G303" s="65">
        <f>VLOOKUP(D303,upahbahan,3,FALSE)</f>
        <v>52300</v>
      </c>
      <c r="H303" s="125">
        <f t="shared" ref="H303:H307" si="35">F303*G303</f>
        <v>5753</v>
      </c>
      <c r="K303" s="216"/>
    </row>
    <row r="304" spans="3:11">
      <c r="C304" s="201" t="s">
        <v>1216</v>
      </c>
      <c r="D304" s="78" t="s">
        <v>579</v>
      </c>
      <c r="E304" s="69" t="s">
        <v>66</v>
      </c>
      <c r="F304" s="75">
        <v>0.17</v>
      </c>
      <c r="G304" s="65">
        <f>VLOOKUP(D304,upahbahan,3,FALSE)</f>
        <v>49700</v>
      </c>
      <c r="H304" s="125">
        <f t="shared" si="35"/>
        <v>8449</v>
      </c>
      <c r="K304" s="216"/>
    </row>
    <row r="305" spans="3:11">
      <c r="C305" s="201" t="s">
        <v>1217</v>
      </c>
      <c r="D305" s="78" t="s">
        <v>586</v>
      </c>
      <c r="E305" s="69" t="s">
        <v>66</v>
      </c>
      <c r="F305" s="75">
        <v>0.08</v>
      </c>
      <c r="G305" s="65">
        <f>VLOOKUP(D305,upahbahan,3,FALSE)</f>
        <v>54700</v>
      </c>
      <c r="H305" s="125">
        <f t="shared" si="35"/>
        <v>4376</v>
      </c>
      <c r="K305" s="216"/>
    </row>
    <row r="306" spans="3:11">
      <c r="C306" s="201" t="s">
        <v>1218</v>
      </c>
      <c r="D306" s="78" t="s">
        <v>596</v>
      </c>
      <c r="E306" s="69" t="s">
        <v>44</v>
      </c>
      <c r="F306" s="75">
        <v>0.01</v>
      </c>
      <c r="G306" s="65">
        <f>VLOOKUP(D306,upahbahan,3,FALSE)</f>
        <v>10400</v>
      </c>
      <c r="H306" s="125">
        <f t="shared" si="35"/>
        <v>104</v>
      </c>
      <c r="K306" s="216"/>
    </row>
    <row r="307" spans="3:11">
      <c r="C307" s="201" t="s">
        <v>1219</v>
      </c>
      <c r="D307" s="78" t="s">
        <v>602</v>
      </c>
      <c r="E307" s="69" t="s">
        <v>535</v>
      </c>
      <c r="F307" s="75">
        <v>0.01</v>
      </c>
      <c r="G307" s="65">
        <f>VLOOKUP(D307,upahbahan,3,FALSE)</f>
        <v>20000</v>
      </c>
      <c r="H307" s="125">
        <f t="shared" si="35"/>
        <v>200</v>
      </c>
      <c r="K307" s="216"/>
    </row>
    <row r="308" spans="3:11">
      <c r="C308" s="145" t="s">
        <v>1226</v>
      </c>
      <c r="D308" s="81"/>
      <c r="E308" s="81"/>
      <c r="F308" s="81"/>
      <c r="G308" s="163"/>
      <c r="H308" s="125">
        <f>SUM(H303:H307)</f>
        <v>18882</v>
      </c>
      <c r="K308" s="216"/>
    </row>
    <row r="309" spans="3:11">
      <c r="C309" s="153" t="s">
        <v>1227</v>
      </c>
      <c r="D309" s="60" t="s">
        <v>1228</v>
      </c>
      <c r="E309" s="74"/>
      <c r="F309" s="74"/>
      <c r="G309" s="74"/>
      <c r="H309" s="147"/>
      <c r="K309" s="216"/>
    </row>
    <row r="310" spans="3:11">
      <c r="C310" s="145" t="s">
        <v>1229</v>
      </c>
      <c r="D310" s="81"/>
      <c r="E310" s="81"/>
      <c r="F310" s="81"/>
      <c r="G310" s="163"/>
      <c r="H310" s="154">
        <v>0</v>
      </c>
      <c r="K310" s="216"/>
    </row>
    <row r="311" spans="3:11">
      <c r="C311" s="123" t="s">
        <v>1230</v>
      </c>
      <c r="D311" s="70" t="s">
        <v>1231</v>
      </c>
      <c r="E311" s="71"/>
      <c r="F311" s="71"/>
      <c r="G311" s="72"/>
      <c r="H311" s="125">
        <f>H310+H308+H301</f>
        <v>190753.5</v>
      </c>
      <c r="K311" s="216"/>
    </row>
    <row r="312" spans="3:11">
      <c r="C312" s="123" t="s">
        <v>1232</v>
      </c>
      <c r="D312" s="70" t="s">
        <v>1410</v>
      </c>
      <c r="E312" s="71"/>
      <c r="F312" s="72"/>
      <c r="G312" s="96">
        <f>$M$7</f>
        <v>0.1</v>
      </c>
      <c r="H312" s="125">
        <f>H311*G312</f>
        <v>19075.350000000002</v>
      </c>
      <c r="K312" s="216"/>
    </row>
    <row r="313" spans="3:11" ht="15.75" thickBot="1">
      <c r="C313" s="131" t="s">
        <v>1233</v>
      </c>
      <c r="D313" s="132" t="s">
        <v>1234</v>
      </c>
      <c r="E313" s="133"/>
      <c r="F313" s="133"/>
      <c r="G313" s="156"/>
      <c r="H313" s="135">
        <f>SUM(H311:H312)</f>
        <v>209828.85</v>
      </c>
      <c r="K313" s="216"/>
    </row>
    <row r="314" spans="3:11" ht="15.75" thickTop="1">
      <c r="C314" s="58"/>
      <c r="D314" s="82"/>
      <c r="E314" s="82"/>
      <c r="F314" s="82"/>
      <c r="G314" s="82"/>
      <c r="H314" s="83"/>
      <c r="K314" s="216"/>
    </row>
    <row r="315" spans="3:11" ht="15.75" thickBot="1">
      <c r="C315" s="237" t="s">
        <v>1727</v>
      </c>
      <c r="D315" s="224"/>
      <c r="E315" s="226"/>
      <c r="F315" s="226"/>
      <c r="G315" s="226"/>
      <c r="H315" s="226"/>
      <c r="I315" s="57">
        <f>ROUNDDOWN(H333,-2)</f>
        <v>43200</v>
      </c>
      <c r="K315" s="216"/>
    </row>
    <row r="316" spans="3:11" ht="29.25" thickTop="1">
      <c r="C316" s="120" t="s">
        <v>1207</v>
      </c>
      <c r="D316" s="121" t="s">
        <v>1208</v>
      </c>
      <c r="E316" s="121" t="s">
        <v>1209</v>
      </c>
      <c r="F316" s="121" t="s">
        <v>1210</v>
      </c>
      <c r="G316" s="121" t="s">
        <v>1211</v>
      </c>
      <c r="H316" s="122" t="s">
        <v>1212</v>
      </c>
      <c r="K316" s="216"/>
    </row>
    <row r="317" spans="3:11">
      <c r="C317" s="142" t="s">
        <v>1213</v>
      </c>
      <c r="D317" s="60" t="s">
        <v>1214</v>
      </c>
      <c r="E317" s="74"/>
      <c r="F317" s="74"/>
      <c r="G317" s="74"/>
      <c r="H317" s="147"/>
      <c r="K317" s="216"/>
    </row>
    <row r="318" spans="3:11">
      <c r="C318" s="143">
        <v>1</v>
      </c>
      <c r="D318" s="60" t="s">
        <v>5</v>
      </c>
      <c r="E318" s="73" t="s">
        <v>6</v>
      </c>
      <c r="F318" s="94">
        <v>0.02</v>
      </c>
      <c r="G318" s="65">
        <f>VLOOKUP(D318,upahbahan,3,FALSE)</f>
        <v>100000</v>
      </c>
      <c r="H318" s="125">
        <f t="shared" ref="H318:H321" si="36">F318*G318</f>
        <v>2000</v>
      </c>
      <c r="K318" s="216"/>
    </row>
    <row r="319" spans="3:11">
      <c r="C319" s="143">
        <v>2</v>
      </c>
      <c r="D319" s="60" t="s">
        <v>12</v>
      </c>
      <c r="E319" s="73" t="s">
        <v>6</v>
      </c>
      <c r="F319" s="94">
        <v>0.2</v>
      </c>
      <c r="G319" s="65">
        <f>VLOOKUP(D319,upahbahan,3,FALSE)</f>
        <v>145000</v>
      </c>
      <c r="H319" s="125">
        <f t="shared" si="36"/>
        <v>29000</v>
      </c>
      <c r="K319" s="216"/>
    </row>
    <row r="320" spans="3:11">
      <c r="C320" s="143">
        <v>3</v>
      </c>
      <c r="D320" s="60" t="s">
        <v>18</v>
      </c>
      <c r="E320" s="73" t="s">
        <v>6</v>
      </c>
      <c r="F320" s="94">
        <v>0.02</v>
      </c>
      <c r="G320" s="65">
        <f>VLOOKUP(D320,upahbahan,3,FALSE)</f>
        <v>150000</v>
      </c>
      <c r="H320" s="125">
        <f t="shared" si="36"/>
        <v>3000</v>
      </c>
      <c r="K320" s="216"/>
    </row>
    <row r="321" spans="3:11">
      <c r="C321" s="143">
        <v>4</v>
      </c>
      <c r="D321" s="60" t="s">
        <v>19</v>
      </c>
      <c r="E321" s="73" t="s">
        <v>6</v>
      </c>
      <c r="F321" s="94">
        <v>6.7000000000000002E-3</v>
      </c>
      <c r="G321" s="65">
        <f>VLOOKUP(D321,upahbahan,3,FALSE)</f>
        <v>145000</v>
      </c>
      <c r="H321" s="125">
        <f t="shared" si="36"/>
        <v>971.5</v>
      </c>
      <c r="K321" s="216"/>
    </row>
    <row r="322" spans="3:11">
      <c r="C322" s="145" t="s">
        <v>1220</v>
      </c>
      <c r="D322" s="81"/>
      <c r="E322" s="81"/>
      <c r="F322" s="190"/>
      <c r="G322" s="232"/>
      <c r="H322" s="125">
        <f>SUM(H318:H321)</f>
        <v>34971.5</v>
      </c>
      <c r="K322" s="216"/>
    </row>
    <row r="323" spans="3:11">
      <c r="C323" s="142" t="s">
        <v>1221</v>
      </c>
      <c r="D323" s="60" t="s">
        <v>1222</v>
      </c>
      <c r="E323" s="74"/>
      <c r="F323" s="74"/>
      <c r="G323" s="74"/>
      <c r="H323" s="147"/>
      <c r="K323" s="216"/>
    </row>
    <row r="324" spans="3:11">
      <c r="C324" s="201" t="s">
        <v>1215</v>
      </c>
      <c r="D324" s="78" t="s">
        <v>598</v>
      </c>
      <c r="E324" s="73" t="s">
        <v>66</v>
      </c>
      <c r="F324" s="75">
        <v>0.1</v>
      </c>
      <c r="G324" s="65">
        <f>VLOOKUP(D324,upahbahan,3,FALSE)</f>
        <v>39700</v>
      </c>
      <c r="H324" s="125">
        <f t="shared" ref="H324:H327" si="37">F324*G324</f>
        <v>3970</v>
      </c>
      <c r="K324" s="216"/>
    </row>
    <row r="325" spans="3:11">
      <c r="C325" s="201" t="s">
        <v>1216</v>
      </c>
      <c r="D325" s="78" t="s">
        <v>596</v>
      </c>
      <c r="E325" s="73" t="s">
        <v>44</v>
      </c>
      <c r="F325" s="75">
        <v>0.01</v>
      </c>
      <c r="G325" s="65">
        <f>VLOOKUP(D325,upahbahan,3,FALSE)</f>
        <v>10400</v>
      </c>
      <c r="H325" s="125">
        <f t="shared" si="37"/>
        <v>104</v>
      </c>
      <c r="K325" s="216"/>
    </row>
    <row r="326" spans="3:11">
      <c r="C326" s="201" t="s">
        <v>1217</v>
      </c>
      <c r="D326" s="78" t="s">
        <v>602</v>
      </c>
      <c r="E326" s="73" t="s">
        <v>535</v>
      </c>
      <c r="F326" s="75">
        <v>0.01</v>
      </c>
      <c r="G326" s="65">
        <f>VLOOKUP(D326,upahbahan,3,FALSE)</f>
        <v>20000</v>
      </c>
      <c r="H326" s="125">
        <f t="shared" si="37"/>
        <v>200</v>
      </c>
      <c r="K326" s="216"/>
    </row>
    <row r="327" spans="3:11">
      <c r="C327" s="201" t="s">
        <v>1218</v>
      </c>
      <c r="D327" s="78" t="s">
        <v>977</v>
      </c>
      <c r="E327" s="69" t="s">
        <v>133</v>
      </c>
      <c r="F327" s="75">
        <v>0.02</v>
      </c>
      <c r="G327" s="65">
        <f>VLOOKUP(D327,upahbahan,3,FALSE)</f>
        <v>3900</v>
      </c>
      <c r="H327" s="125">
        <f t="shared" si="37"/>
        <v>78</v>
      </c>
      <c r="K327" s="216"/>
    </row>
    <row r="328" spans="3:11">
      <c r="C328" s="145" t="s">
        <v>1226</v>
      </c>
      <c r="D328" s="81"/>
      <c r="E328" s="81"/>
      <c r="F328" s="81"/>
      <c r="G328" s="163"/>
      <c r="H328" s="125">
        <f>SUM(H324:H327)</f>
        <v>4352</v>
      </c>
      <c r="K328" s="216"/>
    </row>
    <row r="329" spans="3:11">
      <c r="C329" s="153" t="s">
        <v>1227</v>
      </c>
      <c r="D329" s="60" t="s">
        <v>1228</v>
      </c>
      <c r="E329" s="74"/>
      <c r="F329" s="74"/>
      <c r="G329" s="74"/>
      <c r="H329" s="147"/>
      <c r="K329" s="216"/>
    </row>
    <row r="330" spans="3:11">
      <c r="C330" s="145" t="s">
        <v>1229</v>
      </c>
      <c r="D330" s="81"/>
      <c r="E330" s="81"/>
      <c r="F330" s="81"/>
      <c r="G330" s="163"/>
      <c r="H330" s="154">
        <v>0</v>
      </c>
      <c r="K330" s="216"/>
    </row>
    <row r="331" spans="3:11">
      <c r="C331" s="123" t="s">
        <v>1230</v>
      </c>
      <c r="D331" s="70" t="s">
        <v>1231</v>
      </c>
      <c r="E331" s="71"/>
      <c r="F331" s="71"/>
      <c r="G331" s="72"/>
      <c r="H331" s="125">
        <f>H330+H328+H322</f>
        <v>39323.5</v>
      </c>
      <c r="K331" s="216"/>
    </row>
    <row r="332" spans="3:11">
      <c r="C332" s="123" t="s">
        <v>1232</v>
      </c>
      <c r="D332" s="70" t="s">
        <v>1410</v>
      </c>
      <c r="E332" s="71"/>
      <c r="F332" s="72"/>
      <c r="G332" s="96">
        <f>$M$7</f>
        <v>0.1</v>
      </c>
      <c r="H332" s="125">
        <f>H331*G332</f>
        <v>3932.3500000000004</v>
      </c>
      <c r="K332" s="216"/>
    </row>
    <row r="333" spans="3:11" ht="15.75" thickBot="1">
      <c r="C333" s="131" t="s">
        <v>1233</v>
      </c>
      <c r="D333" s="132" t="s">
        <v>1234</v>
      </c>
      <c r="E333" s="133"/>
      <c r="F333" s="133"/>
      <c r="G333" s="156"/>
      <c r="H333" s="135">
        <f>SUM(H331:H332)</f>
        <v>43255.85</v>
      </c>
      <c r="K333" s="216"/>
    </row>
    <row r="334" spans="3:11" ht="15.75" thickTop="1">
      <c r="C334" s="58"/>
      <c r="D334" s="82"/>
      <c r="E334" s="82"/>
      <c r="F334" s="82"/>
      <c r="G334" s="82"/>
      <c r="H334" s="83"/>
      <c r="K334" s="216"/>
    </row>
    <row r="335" spans="3:11" ht="15.75" thickBot="1">
      <c r="C335" s="237" t="s">
        <v>1728</v>
      </c>
      <c r="D335" s="237"/>
      <c r="E335" s="226"/>
      <c r="F335" s="226"/>
      <c r="G335" s="226"/>
      <c r="H335" s="226"/>
      <c r="I335" s="57">
        <f>ROUNDDOWN(H353,-2)</f>
        <v>78400</v>
      </c>
      <c r="K335" s="216"/>
    </row>
    <row r="336" spans="3:11" ht="29.25" thickTop="1">
      <c r="C336" s="120" t="s">
        <v>1207</v>
      </c>
      <c r="D336" s="121" t="s">
        <v>1208</v>
      </c>
      <c r="E336" s="121" t="s">
        <v>1209</v>
      </c>
      <c r="F336" s="121" t="s">
        <v>1210</v>
      </c>
      <c r="G336" s="121" t="s">
        <v>1211</v>
      </c>
      <c r="H336" s="122" t="s">
        <v>1212</v>
      </c>
      <c r="K336" s="216"/>
    </row>
    <row r="337" spans="3:11">
      <c r="C337" s="142" t="s">
        <v>1213</v>
      </c>
      <c r="D337" s="60" t="s">
        <v>1214</v>
      </c>
      <c r="E337" s="74"/>
      <c r="F337" s="74"/>
      <c r="G337" s="74"/>
      <c r="H337" s="147"/>
      <c r="K337" s="216"/>
    </row>
    <row r="338" spans="3:11">
      <c r="C338" s="143">
        <v>1</v>
      </c>
      <c r="D338" s="60" t="s">
        <v>5</v>
      </c>
      <c r="E338" s="73" t="s">
        <v>6</v>
      </c>
      <c r="F338" s="94">
        <v>0.25</v>
      </c>
      <c r="G338" s="65">
        <f>VLOOKUP(D338,upahbahan,3,FALSE)</f>
        <v>100000</v>
      </c>
      <c r="H338" s="125">
        <f t="shared" ref="H338:H341" si="38">F338*G338</f>
        <v>25000</v>
      </c>
      <c r="K338" s="216"/>
    </row>
    <row r="339" spans="3:11">
      <c r="C339" s="143">
        <v>2</v>
      </c>
      <c r="D339" s="60" t="s">
        <v>12</v>
      </c>
      <c r="E339" s="73" t="s">
        <v>6</v>
      </c>
      <c r="F339" s="94">
        <v>0.22500000000000001</v>
      </c>
      <c r="G339" s="65">
        <f>VLOOKUP(D339,upahbahan,3,FALSE)</f>
        <v>145000</v>
      </c>
      <c r="H339" s="125">
        <f t="shared" si="38"/>
        <v>32625</v>
      </c>
      <c r="K339" s="216"/>
    </row>
    <row r="340" spans="3:11">
      <c r="C340" s="143">
        <v>3</v>
      </c>
      <c r="D340" s="60" t="s">
        <v>18</v>
      </c>
      <c r="E340" s="73" t="s">
        <v>6</v>
      </c>
      <c r="F340" s="94">
        <v>2.2499999999999999E-2</v>
      </c>
      <c r="G340" s="65">
        <f>VLOOKUP(D340,upahbahan,3,FALSE)</f>
        <v>150000</v>
      </c>
      <c r="H340" s="125">
        <f t="shared" si="38"/>
        <v>3375</v>
      </c>
      <c r="K340" s="216"/>
    </row>
    <row r="341" spans="3:11">
      <c r="C341" s="143">
        <v>4</v>
      </c>
      <c r="D341" s="60" t="s">
        <v>19</v>
      </c>
      <c r="E341" s="73" t="s">
        <v>6</v>
      </c>
      <c r="F341" s="94">
        <v>7.4999999999999997E-3</v>
      </c>
      <c r="G341" s="65">
        <f>VLOOKUP(D341,upahbahan,3,FALSE)</f>
        <v>145000</v>
      </c>
      <c r="H341" s="125">
        <f t="shared" si="38"/>
        <v>1087.5</v>
      </c>
      <c r="K341" s="216"/>
    </row>
    <row r="342" spans="3:11">
      <c r="C342" s="145" t="s">
        <v>1220</v>
      </c>
      <c r="D342" s="81"/>
      <c r="E342" s="81"/>
      <c r="F342" s="190"/>
      <c r="G342" s="232"/>
      <c r="H342" s="125">
        <f>SUM(H338:H341)</f>
        <v>62087.5</v>
      </c>
      <c r="K342" s="216"/>
    </row>
    <row r="343" spans="3:11">
      <c r="C343" s="142" t="s">
        <v>1221</v>
      </c>
      <c r="D343" s="60" t="s">
        <v>1222</v>
      </c>
      <c r="E343" s="74"/>
      <c r="F343" s="74"/>
      <c r="G343" s="74"/>
      <c r="H343" s="147"/>
      <c r="K343" s="216"/>
    </row>
    <row r="344" spans="3:11">
      <c r="C344" s="201" t="s">
        <v>1215</v>
      </c>
      <c r="D344" s="78" t="s">
        <v>598</v>
      </c>
      <c r="E344" s="73" t="s">
        <v>66</v>
      </c>
      <c r="F344" s="75">
        <v>0.1</v>
      </c>
      <c r="G344" s="65">
        <f>VLOOKUP(D344,upahbahan,3,FALSE)</f>
        <v>39700</v>
      </c>
      <c r="H344" s="125">
        <f t="shared" ref="H344:H347" si="39">F344*G344</f>
        <v>3970</v>
      </c>
      <c r="K344" s="216"/>
    </row>
    <row r="345" spans="3:11">
      <c r="C345" s="201" t="s">
        <v>1216</v>
      </c>
      <c r="D345" s="78" t="s">
        <v>596</v>
      </c>
      <c r="E345" s="73" t="s">
        <v>44</v>
      </c>
      <c r="F345" s="75">
        <v>0.01</v>
      </c>
      <c r="G345" s="65">
        <f>VLOOKUP(D345,upahbahan,3,FALSE)</f>
        <v>10400</v>
      </c>
      <c r="H345" s="125">
        <f t="shared" si="39"/>
        <v>104</v>
      </c>
      <c r="K345" s="216"/>
    </row>
    <row r="346" spans="3:11">
      <c r="C346" s="201" t="s">
        <v>1217</v>
      </c>
      <c r="D346" s="78" t="s">
        <v>602</v>
      </c>
      <c r="E346" s="73" t="s">
        <v>535</v>
      </c>
      <c r="F346" s="75">
        <v>0.01</v>
      </c>
      <c r="G346" s="65">
        <f>VLOOKUP(D346,upahbahan,3,FALSE)</f>
        <v>20000</v>
      </c>
      <c r="H346" s="125">
        <f t="shared" si="39"/>
        <v>200</v>
      </c>
      <c r="K346" s="216"/>
    </row>
    <row r="347" spans="3:11">
      <c r="C347" s="201" t="s">
        <v>1218</v>
      </c>
      <c r="D347" s="78" t="s">
        <v>136</v>
      </c>
      <c r="E347" s="69" t="s">
        <v>42</v>
      </c>
      <c r="F347" s="75">
        <v>2E-3</v>
      </c>
      <c r="G347" s="65">
        <f>VLOOKUP(D347,upahbahan,3,FALSE)</f>
        <v>2500000</v>
      </c>
      <c r="H347" s="125">
        <f t="shared" si="39"/>
        <v>5000</v>
      </c>
      <c r="K347" s="216"/>
    </row>
    <row r="348" spans="3:11">
      <c r="C348" s="145" t="s">
        <v>1226</v>
      </c>
      <c r="D348" s="81"/>
      <c r="E348" s="81"/>
      <c r="F348" s="81"/>
      <c r="G348" s="163"/>
      <c r="H348" s="125">
        <f>SUM(H344:H347)</f>
        <v>9274</v>
      </c>
      <c r="K348" s="216"/>
    </row>
    <row r="349" spans="3:11">
      <c r="C349" s="153" t="s">
        <v>1227</v>
      </c>
      <c r="D349" s="60" t="s">
        <v>1228</v>
      </c>
      <c r="E349" s="74"/>
      <c r="F349" s="74"/>
      <c r="G349" s="74"/>
      <c r="H349" s="147"/>
      <c r="K349" s="216"/>
    </row>
    <row r="350" spans="3:11">
      <c r="C350" s="145" t="s">
        <v>1229</v>
      </c>
      <c r="D350" s="81"/>
      <c r="E350" s="81"/>
      <c r="F350" s="81"/>
      <c r="G350" s="163"/>
      <c r="H350" s="154">
        <v>0</v>
      </c>
      <c r="K350" s="216"/>
    </row>
    <row r="351" spans="3:11">
      <c r="C351" s="123" t="s">
        <v>1230</v>
      </c>
      <c r="D351" s="70" t="s">
        <v>1231</v>
      </c>
      <c r="E351" s="71"/>
      <c r="F351" s="71"/>
      <c r="G351" s="72"/>
      <c r="H351" s="125">
        <f>H350+H348+H342</f>
        <v>71361.5</v>
      </c>
      <c r="K351" s="216"/>
    </row>
    <row r="352" spans="3:11">
      <c r="C352" s="123" t="s">
        <v>1232</v>
      </c>
      <c r="D352" s="70" t="s">
        <v>1410</v>
      </c>
      <c r="E352" s="71"/>
      <c r="F352" s="72"/>
      <c r="G352" s="96">
        <f>$M$7</f>
        <v>0.1</v>
      </c>
      <c r="H352" s="125">
        <f>H351*G352</f>
        <v>7136.1500000000005</v>
      </c>
      <c r="K352" s="216"/>
    </row>
    <row r="353" spans="3:11" ht="15.75" thickBot="1">
      <c r="C353" s="131" t="s">
        <v>1233</v>
      </c>
      <c r="D353" s="132" t="s">
        <v>1234</v>
      </c>
      <c r="E353" s="133"/>
      <c r="F353" s="133"/>
      <c r="G353" s="156"/>
      <c r="H353" s="135">
        <f>SUM(H351:H352)</f>
        <v>78497.649999999994</v>
      </c>
      <c r="K353" s="216"/>
    </row>
    <row r="354" spans="3:11" ht="15.75" thickTop="1">
      <c r="C354" s="58"/>
      <c r="D354" s="82"/>
      <c r="E354" s="82"/>
      <c r="F354" s="82"/>
      <c r="G354" s="82"/>
      <c r="H354" s="83"/>
      <c r="K354" s="216"/>
    </row>
    <row r="355" spans="3:11" ht="15.75" thickBot="1">
      <c r="C355" s="237" t="s">
        <v>1729</v>
      </c>
      <c r="D355" s="237"/>
      <c r="E355" s="226"/>
      <c r="F355" s="226"/>
      <c r="G355" s="226"/>
      <c r="H355" s="226"/>
      <c r="I355" s="57">
        <f>ROUNDDOWN(H374,-2)</f>
        <v>89100</v>
      </c>
      <c r="K355" s="216"/>
    </row>
    <row r="356" spans="3:11" ht="29.25" thickTop="1">
      <c r="C356" s="120" t="s">
        <v>1207</v>
      </c>
      <c r="D356" s="121" t="s">
        <v>1208</v>
      </c>
      <c r="E356" s="121" t="s">
        <v>1209</v>
      </c>
      <c r="F356" s="121" t="s">
        <v>1210</v>
      </c>
      <c r="G356" s="121" t="s">
        <v>1211</v>
      </c>
      <c r="H356" s="122" t="s">
        <v>1212</v>
      </c>
      <c r="K356" s="216"/>
    </row>
    <row r="357" spans="3:11">
      <c r="C357" s="142" t="s">
        <v>1213</v>
      </c>
      <c r="D357" s="60" t="s">
        <v>1214</v>
      </c>
      <c r="E357" s="74"/>
      <c r="F357" s="74"/>
      <c r="G357" s="74"/>
      <c r="H357" s="147"/>
      <c r="K357" s="216"/>
    </row>
    <row r="358" spans="3:11">
      <c r="C358" s="143">
        <v>1</v>
      </c>
      <c r="D358" s="60" t="s">
        <v>5</v>
      </c>
      <c r="E358" s="73" t="s">
        <v>6</v>
      </c>
      <c r="F358" s="94">
        <v>0.25</v>
      </c>
      <c r="G358" s="65">
        <f>VLOOKUP(D358,upahbahan,3,FALSE)</f>
        <v>100000</v>
      </c>
      <c r="H358" s="125">
        <f t="shared" ref="H358:H361" si="40">F358*G358</f>
        <v>25000</v>
      </c>
      <c r="K358" s="216"/>
    </row>
    <row r="359" spans="3:11">
      <c r="C359" s="143">
        <v>2</v>
      </c>
      <c r="D359" s="60" t="s">
        <v>12</v>
      </c>
      <c r="E359" s="73" t="s">
        <v>6</v>
      </c>
      <c r="F359" s="94">
        <v>0.25</v>
      </c>
      <c r="G359" s="65">
        <f>VLOOKUP(D359,upahbahan,3,FALSE)</f>
        <v>145000</v>
      </c>
      <c r="H359" s="125">
        <f t="shared" si="40"/>
        <v>36250</v>
      </c>
      <c r="K359" s="216"/>
    </row>
    <row r="360" spans="3:11">
      <c r="C360" s="143">
        <v>3</v>
      </c>
      <c r="D360" s="60" t="s">
        <v>18</v>
      </c>
      <c r="E360" s="73" t="s">
        <v>6</v>
      </c>
      <c r="F360" s="94">
        <v>2.5000000000000001E-2</v>
      </c>
      <c r="G360" s="65">
        <f>VLOOKUP(D360,upahbahan,3,FALSE)</f>
        <v>150000</v>
      </c>
      <c r="H360" s="125">
        <f t="shared" si="40"/>
        <v>3750</v>
      </c>
      <c r="K360" s="216"/>
    </row>
    <row r="361" spans="3:11">
      <c r="C361" s="143">
        <v>4</v>
      </c>
      <c r="D361" s="60" t="s">
        <v>19</v>
      </c>
      <c r="E361" s="73" t="s">
        <v>6</v>
      </c>
      <c r="F361" s="94">
        <v>8.3000000000000001E-3</v>
      </c>
      <c r="G361" s="65">
        <f>VLOOKUP(D361,upahbahan,3,FALSE)</f>
        <v>145000</v>
      </c>
      <c r="H361" s="125">
        <f t="shared" si="40"/>
        <v>1203.5</v>
      </c>
      <c r="K361" s="216"/>
    </row>
    <row r="362" spans="3:11">
      <c r="C362" s="145" t="s">
        <v>1220</v>
      </c>
      <c r="D362" s="81"/>
      <c r="E362" s="81"/>
      <c r="F362" s="190"/>
      <c r="G362" s="232"/>
      <c r="H362" s="125">
        <f>SUM(H358:H361)</f>
        <v>66203.5</v>
      </c>
      <c r="K362" s="216"/>
    </row>
    <row r="363" spans="3:11">
      <c r="C363" s="142" t="s">
        <v>1221</v>
      </c>
      <c r="D363" s="60" t="s">
        <v>1222</v>
      </c>
      <c r="E363" s="74"/>
      <c r="F363" s="74"/>
      <c r="G363" s="74"/>
      <c r="H363" s="147"/>
      <c r="K363" s="216"/>
    </row>
    <row r="364" spans="3:11">
      <c r="C364" s="201" t="s">
        <v>1215</v>
      </c>
      <c r="D364" s="78" t="s">
        <v>580</v>
      </c>
      <c r="E364" s="69" t="s">
        <v>66</v>
      </c>
      <c r="F364" s="75">
        <v>0.1</v>
      </c>
      <c r="G364" s="65">
        <f>VLOOKUP(D364,upahbahan,3,FALSE)</f>
        <v>52300</v>
      </c>
      <c r="H364" s="125">
        <f t="shared" ref="H364:H368" si="41">F364*G364</f>
        <v>5230</v>
      </c>
      <c r="K364" s="216"/>
    </row>
    <row r="365" spans="3:11">
      <c r="C365" s="201" t="s">
        <v>1216</v>
      </c>
      <c r="D365" s="78" t="s">
        <v>579</v>
      </c>
      <c r="E365" s="69" t="s">
        <v>66</v>
      </c>
      <c r="F365" s="75">
        <v>0.1</v>
      </c>
      <c r="G365" s="65">
        <f>VLOOKUP(D365,upahbahan,3,FALSE)</f>
        <v>49700</v>
      </c>
      <c r="H365" s="125">
        <f t="shared" si="41"/>
        <v>4970</v>
      </c>
      <c r="K365" s="216"/>
    </row>
    <row r="366" spans="3:11">
      <c r="C366" s="201" t="s">
        <v>1217</v>
      </c>
      <c r="D366" s="78" t="s">
        <v>586</v>
      </c>
      <c r="E366" s="69" t="s">
        <v>66</v>
      </c>
      <c r="F366" s="75">
        <v>0.08</v>
      </c>
      <c r="G366" s="65">
        <f>VLOOKUP(D366,upahbahan,3,FALSE)</f>
        <v>54700</v>
      </c>
      <c r="H366" s="125">
        <f t="shared" si="41"/>
        <v>4376</v>
      </c>
      <c r="K366" s="216"/>
    </row>
    <row r="367" spans="3:11">
      <c r="C367" s="201" t="s">
        <v>1218</v>
      </c>
      <c r="D367" s="78" t="s">
        <v>596</v>
      </c>
      <c r="E367" s="69" t="s">
        <v>44</v>
      </c>
      <c r="F367" s="75">
        <v>0.01</v>
      </c>
      <c r="G367" s="65">
        <f>VLOOKUP(D367,upahbahan,3,FALSE)</f>
        <v>10400</v>
      </c>
      <c r="H367" s="125">
        <f t="shared" si="41"/>
        <v>104</v>
      </c>
      <c r="K367" s="216"/>
    </row>
    <row r="368" spans="3:11">
      <c r="C368" s="201" t="s">
        <v>1219</v>
      </c>
      <c r="D368" s="78" t="s">
        <v>602</v>
      </c>
      <c r="E368" s="69" t="s">
        <v>535</v>
      </c>
      <c r="F368" s="75">
        <v>0.01</v>
      </c>
      <c r="G368" s="65">
        <f>VLOOKUP(D368,upahbahan,3,FALSE)</f>
        <v>20000</v>
      </c>
      <c r="H368" s="125">
        <f t="shared" si="41"/>
        <v>200</v>
      </c>
      <c r="K368" s="216"/>
    </row>
    <row r="369" spans="3:11">
      <c r="C369" s="145" t="s">
        <v>1226</v>
      </c>
      <c r="D369" s="81"/>
      <c r="E369" s="81"/>
      <c r="F369" s="81"/>
      <c r="G369" s="163"/>
      <c r="H369" s="125">
        <f>SUM(H364:H368)</f>
        <v>14880</v>
      </c>
      <c r="K369" s="216"/>
    </row>
    <row r="370" spans="3:11">
      <c r="C370" s="153" t="s">
        <v>1227</v>
      </c>
      <c r="D370" s="60" t="s">
        <v>1228</v>
      </c>
      <c r="E370" s="74"/>
      <c r="F370" s="74"/>
      <c r="G370" s="74"/>
      <c r="H370" s="147"/>
      <c r="K370" s="216"/>
    </row>
    <row r="371" spans="3:11">
      <c r="C371" s="145" t="s">
        <v>1229</v>
      </c>
      <c r="D371" s="81"/>
      <c r="E371" s="81"/>
      <c r="F371" s="81"/>
      <c r="G371" s="163"/>
      <c r="H371" s="154">
        <v>0</v>
      </c>
      <c r="K371" s="216"/>
    </row>
    <row r="372" spans="3:11">
      <c r="C372" s="123" t="s">
        <v>1230</v>
      </c>
      <c r="D372" s="70" t="s">
        <v>1231</v>
      </c>
      <c r="E372" s="71"/>
      <c r="F372" s="71"/>
      <c r="G372" s="72"/>
      <c r="H372" s="125">
        <f>H371+H369+H362</f>
        <v>81083.5</v>
      </c>
      <c r="K372" s="216"/>
    </row>
    <row r="373" spans="3:11">
      <c r="C373" s="123" t="s">
        <v>1232</v>
      </c>
      <c r="D373" s="70" t="s">
        <v>1410</v>
      </c>
      <c r="E373" s="71"/>
      <c r="F373" s="72"/>
      <c r="G373" s="96">
        <f>$M$7</f>
        <v>0.1</v>
      </c>
      <c r="H373" s="125">
        <f>H372*G373</f>
        <v>8108.35</v>
      </c>
      <c r="K373" s="216"/>
    </row>
    <row r="374" spans="3:11" ht="15.75" thickBot="1">
      <c r="C374" s="131" t="s">
        <v>1233</v>
      </c>
      <c r="D374" s="132" t="s">
        <v>1234</v>
      </c>
      <c r="E374" s="133"/>
      <c r="F374" s="133"/>
      <c r="G374" s="156"/>
      <c r="H374" s="135">
        <f>SUM(H372:H373)</f>
        <v>89191.85</v>
      </c>
      <c r="K374" s="216"/>
    </row>
    <row r="375" spans="3:11" ht="15.75" thickTop="1">
      <c r="C375" s="58"/>
      <c r="D375" s="82"/>
      <c r="E375" s="82"/>
      <c r="F375" s="82"/>
      <c r="G375" s="82"/>
      <c r="H375" s="83"/>
      <c r="K375" s="216"/>
    </row>
    <row r="376" spans="3:11" ht="15.75" thickBot="1">
      <c r="C376" s="237" t="s">
        <v>1730</v>
      </c>
      <c r="D376" s="358"/>
      <c r="E376" s="358"/>
      <c r="F376" s="358"/>
      <c r="G376" s="358"/>
      <c r="H376" s="358"/>
      <c r="I376" s="57">
        <f>ROUNDDOWN(H393,-2)</f>
        <v>35800</v>
      </c>
      <c r="K376" s="216"/>
    </row>
    <row r="377" spans="3:11" ht="29.25" thickTop="1">
      <c r="C377" s="120" t="s">
        <v>1207</v>
      </c>
      <c r="D377" s="121" t="s">
        <v>1208</v>
      </c>
      <c r="E377" s="121" t="s">
        <v>1209</v>
      </c>
      <c r="F377" s="121" t="s">
        <v>1210</v>
      </c>
      <c r="G377" s="121" t="s">
        <v>1211</v>
      </c>
      <c r="H377" s="122" t="s">
        <v>1212</v>
      </c>
      <c r="K377" s="216"/>
    </row>
    <row r="378" spans="3:11">
      <c r="C378" s="142" t="s">
        <v>1213</v>
      </c>
      <c r="D378" s="60" t="s">
        <v>1214</v>
      </c>
      <c r="E378" s="74"/>
      <c r="F378" s="74"/>
      <c r="G378" s="74"/>
      <c r="H378" s="147"/>
      <c r="K378" s="216"/>
    </row>
    <row r="379" spans="3:11">
      <c r="C379" s="143">
        <v>1</v>
      </c>
      <c r="D379" s="60" t="s">
        <v>5</v>
      </c>
      <c r="E379" s="73" t="s">
        <v>6</v>
      </c>
      <c r="F379" s="94">
        <v>0.06</v>
      </c>
      <c r="G379" s="65">
        <f>VLOOKUP(D379,upahbahan,3,FALSE)</f>
        <v>100000</v>
      </c>
      <c r="H379" s="125">
        <f t="shared" ref="H379:H382" si="42">F379*G379</f>
        <v>6000</v>
      </c>
      <c r="K379" s="216"/>
    </row>
    <row r="380" spans="3:11">
      <c r="C380" s="143">
        <v>2</v>
      </c>
      <c r="D380" s="60" t="s">
        <v>12</v>
      </c>
      <c r="E380" s="73" t="s">
        <v>6</v>
      </c>
      <c r="F380" s="94">
        <v>0.06</v>
      </c>
      <c r="G380" s="65">
        <f>VLOOKUP(D380,upahbahan,3,FALSE)</f>
        <v>145000</v>
      </c>
      <c r="H380" s="125">
        <f t="shared" si="42"/>
        <v>8700</v>
      </c>
      <c r="K380" s="216"/>
    </row>
    <row r="381" spans="3:11">
      <c r="C381" s="143">
        <v>3</v>
      </c>
      <c r="D381" s="60" t="s">
        <v>18</v>
      </c>
      <c r="E381" s="73" t="s">
        <v>6</v>
      </c>
      <c r="F381" s="94">
        <v>6.0000000000000001E-3</v>
      </c>
      <c r="G381" s="65">
        <f>VLOOKUP(D381,upahbahan,3,FALSE)</f>
        <v>150000</v>
      </c>
      <c r="H381" s="125">
        <f t="shared" si="42"/>
        <v>900</v>
      </c>
      <c r="K381" s="216"/>
    </row>
    <row r="382" spans="3:11">
      <c r="C382" s="143">
        <v>4</v>
      </c>
      <c r="D382" s="60" t="s">
        <v>19</v>
      </c>
      <c r="E382" s="73" t="s">
        <v>6</v>
      </c>
      <c r="F382" s="94">
        <v>2E-3</v>
      </c>
      <c r="G382" s="65">
        <f>VLOOKUP(D382,upahbahan,3,FALSE)</f>
        <v>145000</v>
      </c>
      <c r="H382" s="125">
        <f t="shared" si="42"/>
        <v>290</v>
      </c>
      <c r="K382" s="216"/>
    </row>
    <row r="383" spans="3:11">
      <c r="C383" s="145" t="s">
        <v>1220</v>
      </c>
      <c r="D383" s="81"/>
      <c r="E383" s="81"/>
      <c r="F383" s="190"/>
      <c r="G383" s="232"/>
      <c r="H383" s="125">
        <f>SUM(H379:H382)</f>
        <v>15890</v>
      </c>
      <c r="K383" s="216"/>
    </row>
    <row r="384" spans="3:11">
      <c r="C384" s="142" t="s">
        <v>1221</v>
      </c>
      <c r="D384" s="60" t="s">
        <v>1222</v>
      </c>
      <c r="E384" s="74"/>
      <c r="F384" s="74"/>
      <c r="G384" s="74"/>
      <c r="H384" s="147"/>
      <c r="K384" s="216"/>
    </row>
    <row r="385" spans="3:11">
      <c r="C385" s="201" t="s">
        <v>1215</v>
      </c>
      <c r="D385" s="78" t="s">
        <v>586</v>
      </c>
      <c r="E385" s="69" t="s">
        <v>66</v>
      </c>
      <c r="F385" s="75">
        <v>0.3</v>
      </c>
      <c r="G385" s="65">
        <f>VLOOKUP(D385,upahbahan,3,FALSE)</f>
        <v>54700</v>
      </c>
      <c r="H385" s="125">
        <f t="shared" ref="H385:H387" si="43">F385*G385</f>
        <v>16410</v>
      </c>
      <c r="K385" s="216"/>
    </row>
    <row r="386" spans="3:11">
      <c r="C386" s="201" t="s">
        <v>1216</v>
      </c>
      <c r="D386" s="78" t="s">
        <v>596</v>
      </c>
      <c r="E386" s="69" t="s">
        <v>44</v>
      </c>
      <c r="F386" s="75">
        <v>0.01</v>
      </c>
      <c r="G386" s="65">
        <f>VLOOKUP(D386,upahbahan,3,FALSE)</f>
        <v>10400</v>
      </c>
      <c r="H386" s="125">
        <f t="shared" si="43"/>
        <v>104</v>
      </c>
      <c r="K386" s="216"/>
    </row>
    <row r="387" spans="3:11">
      <c r="C387" s="201" t="s">
        <v>1217</v>
      </c>
      <c r="D387" s="78" t="s">
        <v>602</v>
      </c>
      <c r="E387" s="69" t="s">
        <v>535</v>
      </c>
      <c r="F387" s="75">
        <v>0.01</v>
      </c>
      <c r="G387" s="65">
        <f>VLOOKUP(D387,upahbahan,3,FALSE)</f>
        <v>20000</v>
      </c>
      <c r="H387" s="125">
        <f t="shared" si="43"/>
        <v>200</v>
      </c>
      <c r="K387" s="216"/>
    </row>
    <row r="388" spans="3:11">
      <c r="C388" s="145" t="s">
        <v>1226</v>
      </c>
      <c r="D388" s="81"/>
      <c r="E388" s="81"/>
      <c r="F388" s="81"/>
      <c r="G388" s="163"/>
      <c r="H388" s="125">
        <f>SUM(H385:H387)</f>
        <v>16714</v>
      </c>
      <c r="K388" s="216"/>
    </row>
    <row r="389" spans="3:11">
      <c r="C389" s="153" t="s">
        <v>1227</v>
      </c>
      <c r="D389" s="60" t="s">
        <v>1228</v>
      </c>
      <c r="E389" s="74"/>
      <c r="F389" s="74"/>
      <c r="G389" s="74"/>
      <c r="H389" s="147"/>
      <c r="K389" s="216"/>
    </row>
    <row r="390" spans="3:11">
      <c r="C390" s="145" t="s">
        <v>1229</v>
      </c>
      <c r="D390" s="81"/>
      <c r="E390" s="81"/>
      <c r="F390" s="81"/>
      <c r="G390" s="163"/>
      <c r="H390" s="154">
        <v>0</v>
      </c>
      <c r="K390" s="216"/>
    </row>
    <row r="391" spans="3:11">
      <c r="C391" s="123" t="s">
        <v>1230</v>
      </c>
      <c r="D391" s="70" t="s">
        <v>1231</v>
      </c>
      <c r="E391" s="71"/>
      <c r="F391" s="71"/>
      <c r="G391" s="72"/>
      <c r="H391" s="125">
        <f>H390+H388+H383</f>
        <v>32604</v>
      </c>
      <c r="K391" s="216"/>
    </row>
    <row r="392" spans="3:11">
      <c r="C392" s="123" t="s">
        <v>1232</v>
      </c>
      <c r="D392" s="70" t="s">
        <v>1410</v>
      </c>
      <c r="E392" s="71"/>
      <c r="F392" s="72"/>
      <c r="G392" s="96">
        <f>$M$7</f>
        <v>0.1</v>
      </c>
      <c r="H392" s="125">
        <f>H391*G392</f>
        <v>3260.4</v>
      </c>
      <c r="K392" s="216"/>
    </row>
    <row r="393" spans="3:11" ht="15.75" thickBot="1">
      <c r="C393" s="131" t="s">
        <v>1233</v>
      </c>
      <c r="D393" s="132" t="s">
        <v>1234</v>
      </c>
      <c r="E393" s="133"/>
      <c r="F393" s="133"/>
      <c r="G393" s="156"/>
      <c r="H393" s="135">
        <f>SUM(H391:H392)</f>
        <v>35864.400000000001</v>
      </c>
      <c r="K393" s="216"/>
    </row>
    <row r="394" spans="3:11" ht="15.75" thickTop="1">
      <c r="C394" s="58"/>
      <c r="D394" s="82"/>
      <c r="E394" s="82"/>
      <c r="F394" s="82"/>
      <c r="G394" s="82"/>
      <c r="H394" s="83"/>
      <c r="K394" s="216"/>
    </row>
    <row r="395" spans="3:11" ht="15.75" thickBot="1">
      <c r="C395" s="237" t="s">
        <v>1731</v>
      </c>
      <c r="D395" s="224"/>
      <c r="E395" s="224"/>
      <c r="F395" s="224"/>
      <c r="G395" s="224"/>
      <c r="H395" s="224"/>
      <c r="I395" s="57">
        <f>ROUNDDOWN(H411,-2)</f>
        <v>59700</v>
      </c>
      <c r="K395" s="216"/>
    </row>
    <row r="396" spans="3:11" ht="29.25" thickTop="1">
      <c r="C396" s="120" t="s">
        <v>1207</v>
      </c>
      <c r="D396" s="121" t="s">
        <v>1208</v>
      </c>
      <c r="E396" s="121" t="s">
        <v>1209</v>
      </c>
      <c r="F396" s="121" t="s">
        <v>1210</v>
      </c>
      <c r="G396" s="121" t="s">
        <v>1211</v>
      </c>
      <c r="H396" s="122" t="s">
        <v>1212</v>
      </c>
      <c r="K396" s="216"/>
    </row>
    <row r="397" spans="3:11">
      <c r="C397" s="142" t="s">
        <v>1213</v>
      </c>
      <c r="D397" s="60" t="s">
        <v>1214</v>
      </c>
      <c r="E397" s="74"/>
      <c r="F397" s="74"/>
      <c r="G397" s="74"/>
      <c r="H397" s="147"/>
      <c r="K397" s="216"/>
    </row>
    <row r="398" spans="3:11">
      <c r="C398" s="143">
        <v>1</v>
      </c>
      <c r="D398" s="60" t="s">
        <v>5</v>
      </c>
      <c r="E398" s="73" t="s">
        <v>6</v>
      </c>
      <c r="F398" s="184">
        <v>6.25E-2</v>
      </c>
      <c r="G398" s="65">
        <f>VLOOKUP(D398,upahbahan,3,FALSE)</f>
        <v>100000</v>
      </c>
      <c r="H398" s="125">
        <f t="shared" ref="H398:H401" si="44">F398*G398</f>
        <v>6250</v>
      </c>
      <c r="K398" s="216"/>
    </row>
    <row r="399" spans="3:11">
      <c r="C399" s="143">
        <v>2</v>
      </c>
      <c r="D399" s="60" t="s">
        <v>12</v>
      </c>
      <c r="E399" s="73" t="s">
        <v>6</v>
      </c>
      <c r="F399" s="184">
        <v>6.25E-2</v>
      </c>
      <c r="G399" s="65">
        <f>VLOOKUP(D399,upahbahan,3,FALSE)</f>
        <v>145000</v>
      </c>
      <c r="H399" s="125">
        <f t="shared" si="44"/>
        <v>9062.5</v>
      </c>
      <c r="K399" s="216"/>
    </row>
    <row r="400" spans="3:11">
      <c r="C400" s="143">
        <v>3</v>
      </c>
      <c r="D400" s="60" t="s">
        <v>18</v>
      </c>
      <c r="E400" s="73" t="s">
        <v>6</v>
      </c>
      <c r="F400" s="184">
        <v>6.3E-3</v>
      </c>
      <c r="G400" s="65">
        <f>VLOOKUP(D400,upahbahan,3,FALSE)</f>
        <v>150000</v>
      </c>
      <c r="H400" s="125">
        <f t="shared" si="44"/>
        <v>945</v>
      </c>
      <c r="K400" s="216"/>
    </row>
    <row r="401" spans="3:11">
      <c r="C401" s="143">
        <v>4</v>
      </c>
      <c r="D401" s="60" t="s">
        <v>19</v>
      </c>
      <c r="E401" s="73" t="s">
        <v>6</v>
      </c>
      <c r="F401" s="184">
        <v>2.0999999999999999E-3</v>
      </c>
      <c r="G401" s="65">
        <f>VLOOKUP(D401,upahbahan,3,FALSE)</f>
        <v>145000</v>
      </c>
      <c r="H401" s="125">
        <f t="shared" si="44"/>
        <v>304.5</v>
      </c>
      <c r="K401" s="216"/>
    </row>
    <row r="402" spans="3:11">
      <c r="C402" s="145" t="s">
        <v>1220</v>
      </c>
      <c r="D402" s="81"/>
      <c r="E402" s="81"/>
      <c r="F402" s="190"/>
      <c r="G402" s="232"/>
      <c r="H402" s="125">
        <f>SUM(H398:H401)</f>
        <v>16562</v>
      </c>
      <c r="K402" s="216"/>
    </row>
    <row r="403" spans="3:11">
      <c r="C403" s="142" t="s">
        <v>1221</v>
      </c>
      <c r="D403" s="60" t="s">
        <v>1222</v>
      </c>
      <c r="E403" s="74"/>
      <c r="F403" s="74"/>
      <c r="G403" s="74"/>
      <c r="H403" s="147"/>
      <c r="K403" s="216"/>
    </row>
    <row r="404" spans="3:11">
      <c r="C404" s="143">
        <v>1</v>
      </c>
      <c r="D404" s="60" t="s">
        <v>583</v>
      </c>
      <c r="E404" s="73" t="s">
        <v>66</v>
      </c>
      <c r="F404" s="75">
        <v>0.12</v>
      </c>
      <c r="G404" s="65">
        <f>VLOOKUP(D404,upahbahan,3,FALSE)</f>
        <v>119100</v>
      </c>
      <c r="H404" s="125">
        <f t="shared" ref="H404:H405" si="45">F404*G404</f>
        <v>14292</v>
      </c>
      <c r="K404" s="216"/>
    </row>
    <row r="405" spans="3:11">
      <c r="C405" s="143">
        <v>2</v>
      </c>
      <c r="D405" s="60" t="s">
        <v>589</v>
      </c>
      <c r="E405" s="73" t="s">
        <v>66</v>
      </c>
      <c r="F405" s="75">
        <v>0.18</v>
      </c>
      <c r="G405" s="65">
        <f>VLOOKUP(D405,upahbahan,3,FALSE)</f>
        <v>130500</v>
      </c>
      <c r="H405" s="125">
        <f t="shared" si="45"/>
        <v>23490</v>
      </c>
      <c r="K405" s="216"/>
    </row>
    <row r="406" spans="3:11">
      <c r="C406" s="145" t="s">
        <v>1226</v>
      </c>
      <c r="D406" s="81"/>
      <c r="E406" s="81"/>
      <c r="F406" s="81"/>
      <c r="G406" s="163"/>
      <c r="H406" s="125">
        <f>SUM(H404:H405)</f>
        <v>37782</v>
      </c>
      <c r="K406" s="216"/>
    </row>
    <row r="407" spans="3:11">
      <c r="C407" s="153" t="s">
        <v>1227</v>
      </c>
      <c r="D407" s="60" t="s">
        <v>1228</v>
      </c>
      <c r="E407" s="74"/>
      <c r="F407" s="74"/>
      <c r="G407" s="74"/>
      <c r="H407" s="147"/>
      <c r="K407" s="216"/>
    </row>
    <row r="408" spans="3:11">
      <c r="C408" s="145" t="s">
        <v>1229</v>
      </c>
      <c r="D408" s="81"/>
      <c r="E408" s="81"/>
      <c r="F408" s="81"/>
      <c r="G408" s="163"/>
      <c r="H408" s="154">
        <v>0</v>
      </c>
      <c r="K408" s="216"/>
    </row>
    <row r="409" spans="3:11">
      <c r="C409" s="123" t="s">
        <v>1230</v>
      </c>
      <c r="D409" s="70" t="s">
        <v>1231</v>
      </c>
      <c r="E409" s="71"/>
      <c r="F409" s="71"/>
      <c r="G409" s="72"/>
      <c r="H409" s="125">
        <f>H408+H406+H402</f>
        <v>54344</v>
      </c>
      <c r="K409" s="216"/>
    </row>
    <row r="410" spans="3:11">
      <c r="C410" s="123" t="s">
        <v>1232</v>
      </c>
      <c r="D410" s="70" t="s">
        <v>1410</v>
      </c>
      <c r="E410" s="71"/>
      <c r="F410" s="72"/>
      <c r="G410" s="96">
        <f>$M$7</f>
        <v>0.1</v>
      </c>
      <c r="H410" s="125">
        <f>H409*G410</f>
        <v>5434.4000000000005</v>
      </c>
      <c r="K410" s="216"/>
    </row>
    <row r="411" spans="3:11" ht="15.75" thickBot="1">
      <c r="C411" s="131" t="s">
        <v>1233</v>
      </c>
      <c r="D411" s="132" t="s">
        <v>1234</v>
      </c>
      <c r="E411" s="133"/>
      <c r="F411" s="133"/>
      <c r="G411" s="156"/>
      <c r="H411" s="135">
        <f>SUM(H409:H410)</f>
        <v>59778.400000000001</v>
      </c>
      <c r="K411" s="216"/>
    </row>
    <row r="412" spans="3:11" ht="15.75" thickTop="1">
      <c r="C412" s="58"/>
      <c r="D412" s="82"/>
      <c r="E412" s="82"/>
      <c r="F412" s="82"/>
      <c r="G412" s="82"/>
      <c r="H412" s="83"/>
      <c r="K412" s="216"/>
    </row>
    <row r="413" spans="3:11" ht="15.75" thickBot="1">
      <c r="C413" s="237" t="s">
        <v>1732</v>
      </c>
      <c r="D413" s="237"/>
      <c r="E413" s="224"/>
      <c r="F413" s="224"/>
      <c r="G413" s="224"/>
      <c r="H413" s="224"/>
      <c r="I413" s="57">
        <f>ROUNDDOWN(H428,-2)</f>
        <v>91200</v>
      </c>
      <c r="K413" s="216"/>
    </row>
    <row r="414" spans="3:11" ht="29.25" thickTop="1">
      <c r="C414" s="120" t="s">
        <v>1207</v>
      </c>
      <c r="D414" s="121" t="s">
        <v>1208</v>
      </c>
      <c r="E414" s="121" t="s">
        <v>1209</v>
      </c>
      <c r="F414" s="121" t="s">
        <v>1210</v>
      </c>
      <c r="G414" s="121" t="s">
        <v>1211</v>
      </c>
      <c r="H414" s="122" t="s">
        <v>1212</v>
      </c>
      <c r="K414" s="216"/>
    </row>
    <row r="415" spans="3:11">
      <c r="C415" s="142" t="s">
        <v>1213</v>
      </c>
      <c r="D415" s="60" t="s">
        <v>1214</v>
      </c>
      <c r="E415" s="74"/>
      <c r="F415" s="74"/>
      <c r="G415" s="74"/>
      <c r="H415" s="147"/>
      <c r="K415" s="216"/>
    </row>
    <row r="416" spans="3:11">
      <c r="C416" s="143">
        <v>1</v>
      </c>
      <c r="D416" s="60" t="s">
        <v>5</v>
      </c>
      <c r="E416" s="73" t="s">
        <v>6</v>
      </c>
      <c r="F416" s="94">
        <v>0.2</v>
      </c>
      <c r="G416" s="65">
        <f>VLOOKUP(D416,upahbahan,3,FALSE)</f>
        <v>100000</v>
      </c>
      <c r="H416" s="125">
        <f t="shared" ref="H416:H419" si="46">F416*G416</f>
        <v>20000</v>
      </c>
      <c r="K416" s="216"/>
    </row>
    <row r="417" spans="3:11">
      <c r="C417" s="143">
        <v>2</v>
      </c>
      <c r="D417" s="60" t="s">
        <v>12</v>
      </c>
      <c r="E417" s="73" t="s">
        <v>6</v>
      </c>
      <c r="F417" s="94">
        <v>0.2</v>
      </c>
      <c r="G417" s="65">
        <f>VLOOKUP(D417,upahbahan,3,FALSE)</f>
        <v>145000</v>
      </c>
      <c r="H417" s="125">
        <f t="shared" si="46"/>
        <v>29000</v>
      </c>
      <c r="K417" s="216"/>
    </row>
    <row r="418" spans="3:11">
      <c r="C418" s="143">
        <v>3</v>
      </c>
      <c r="D418" s="60" t="s">
        <v>18</v>
      </c>
      <c r="E418" s="73" t="s">
        <v>6</v>
      </c>
      <c r="F418" s="94">
        <v>0.02</v>
      </c>
      <c r="G418" s="65">
        <f>VLOOKUP(D418,upahbahan,3,FALSE)</f>
        <v>150000</v>
      </c>
      <c r="H418" s="125">
        <f t="shared" si="46"/>
        <v>3000</v>
      </c>
      <c r="K418" s="216"/>
    </row>
    <row r="419" spans="3:11">
      <c r="C419" s="143">
        <v>4</v>
      </c>
      <c r="D419" s="60" t="s">
        <v>19</v>
      </c>
      <c r="E419" s="73" t="s">
        <v>6</v>
      </c>
      <c r="F419" s="94">
        <v>6.7000000000000002E-3</v>
      </c>
      <c r="G419" s="65">
        <f>VLOOKUP(D419,upahbahan,3,FALSE)</f>
        <v>145000</v>
      </c>
      <c r="H419" s="125">
        <f t="shared" si="46"/>
        <v>971.5</v>
      </c>
      <c r="K419" s="216"/>
    </row>
    <row r="420" spans="3:11">
      <c r="C420" s="145" t="s">
        <v>1220</v>
      </c>
      <c r="D420" s="81"/>
      <c r="E420" s="81"/>
      <c r="F420" s="190"/>
      <c r="G420" s="232"/>
      <c r="H420" s="125">
        <f>SUM(H416:H419)</f>
        <v>52971.5</v>
      </c>
      <c r="K420" s="216"/>
    </row>
    <row r="421" spans="3:11">
      <c r="C421" s="142" t="s">
        <v>1221</v>
      </c>
      <c r="D421" s="60" t="s">
        <v>1222</v>
      </c>
      <c r="E421" s="74"/>
      <c r="F421" s="74"/>
      <c r="G421" s="74"/>
      <c r="H421" s="147"/>
      <c r="K421" s="216"/>
    </row>
    <row r="422" spans="3:11">
      <c r="C422" s="143">
        <v>1</v>
      </c>
      <c r="D422" s="60" t="s">
        <v>584</v>
      </c>
      <c r="E422" s="73" t="s">
        <v>66</v>
      </c>
      <c r="F422" s="75">
        <v>1</v>
      </c>
      <c r="G422" s="65">
        <f>VLOOKUP(D422,upahbahan,3,FALSE)</f>
        <v>30000</v>
      </c>
      <c r="H422" s="125">
        <f t="shared" ref="H422" si="47">F422*G422</f>
        <v>30000</v>
      </c>
      <c r="K422" s="216"/>
    </row>
    <row r="423" spans="3:11">
      <c r="C423" s="145" t="s">
        <v>1226</v>
      </c>
      <c r="D423" s="81"/>
      <c r="E423" s="81"/>
      <c r="F423" s="81"/>
      <c r="G423" s="163"/>
      <c r="H423" s="125">
        <f>SUM(H422:H422)</f>
        <v>30000</v>
      </c>
      <c r="K423" s="216"/>
    </row>
    <row r="424" spans="3:11">
      <c r="C424" s="153" t="s">
        <v>1227</v>
      </c>
      <c r="D424" s="60" t="s">
        <v>1228</v>
      </c>
      <c r="E424" s="74"/>
      <c r="F424" s="74"/>
      <c r="G424" s="74"/>
      <c r="H424" s="147"/>
      <c r="K424" s="216"/>
    </row>
    <row r="425" spans="3:11">
      <c r="C425" s="145" t="s">
        <v>1229</v>
      </c>
      <c r="D425" s="81"/>
      <c r="E425" s="81"/>
      <c r="F425" s="81"/>
      <c r="G425" s="163"/>
      <c r="H425" s="154">
        <v>0</v>
      </c>
      <c r="K425" s="216"/>
    </row>
    <row r="426" spans="3:11">
      <c r="C426" s="123" t="s">
        <v>1230</v>
      </c>
      <c r="D426" s="70" t="s">
        <v>1231</v>
      </c>
      <c r="E426" s="71"/>
      <c r="F426" s="71"/>
      <c r="G426" s="72"/>
      <c r="H426" s="125">
        <f>H425+H423+H420</f>
        <v>82971.5</v>
      </c>
      <c r="K426" s="216"/>
    </row>
    <row r="427" spans="3:11">
      <c r="C427" s="123" t="s">
        <v>1232</v>
      </c>
      <c r="D427" s="70" t="s">
        <v>1410</v>
      </c>
      <c r="E427" s="71"/>
      <c r="F427" s="72"/>
      <c r="G427" s="96">
        <f>$M$7</f>
        <v>0.1</v>
      </c>
      <c r="H427" s="125">
        <f>H426*G427</f>
        <v>8297.15</v>
      </c>
      <c r="K427" s="216"/>
    </row>
    <row r="428" spans="3:11" ht="15.75" thickBot="1">
      <c r="C428" s="131" t="s">
        <v>1233</v>
      </c>
      <c r="D428" s="132" t="s">
        <v>1234</v>
      </c>
      <c r="E428" s="133"/>
      <c r="F428" s="133"/>
      <c r="G428" s="156"/>
      <c r="H428" s="135">
        <f>SUM(H426:H427)</f>
        <v>91268.65</v>
      </c>
      <c r="K428" s="216"/>
    </row>
    <row r="429" spans="3:11" ht="15.75" thickTop="1">
      <c r="C429" s="58"/>
      <c r="D429" s="82"/>
      <c r="E429" s="82"/>
      <c r="F429" s="82"/>
      <c r="G429" s="82"/>
      <c r="H429" s="83"/>
      <c r="K429" s="216"/>
    </row>
    <row r="430" spans="3:11" ht="15.75" thickBot="1">
      <c r="C430" s="237" t="s">
        <v>1733</v>
      </c>
      <c r="D430" s="237"/>
      <c r="E430" s="224"/>
      <c r="F430" s="224"/>
      <c r="G430" s="224"/>
      <c r="H430" s="224"/>
      <c r="I430" s="57">
        <f>ROUNDDOWN(H450,-2)</f>
        <v>300700</v>
      </c>
      <c r="K430" s="216"/>
    </row>
    <row r="431" spans="3:11" ht="29.25" thickTop="1">
      <c r="C431" s="120" t="s">
        <v>1207</v>
      </c>
      <c r="D431" s="121" t="s">
        <v>1208</v>
      </c>
      <c r="E431" s="121" t="s">
        <v>1209</v>
      </c>
      <c r="F431" s="121" t="s">
        <v>1210</v>
      </c>
      <c r="G431" s="121" t="s">
        <v>1211</v>
      </c>
      <c r="H431" s="122" t="s">
        <v>1212</v>
      </c>
      <c r="K431" s="216"/>
    </row>
    <row r="432" spans="3:11">
      <c r="C432" s="142" t="s">
        <v>1213</v>
      </c>
      <c r="D432" s="60" t="s">
        <v>1214</v>
      </c>
      <c r="E432" s="74"/>
      <c r="F432" s="74"/>
      <c r="G432" s="74"/>
      <c r="H432" s="147"/>
      <c r="K432" s="216"/>
    </row>
    <row r="433" spans="3:11">
      <c r="C433" s="143">
        <v>1</v>
      </c>
      <c r="D433" s="60" t="s">
        <v>5</v>
      </c>
      <c r="E433" s="73" t="s">
        <v>6</v>
      </c>
      <c r="F433" s="75">
        <v>0.2</v>
      </c>
      <c r="G433" s="65">
        <f>VLOOKUP(D433,upahbahan,3,FALSE)</f>
        <v>100000</v>
      </c>
      <c r="H433" s="125">
        <f t="shared" ref="H433:H436" si="48">F433*G433</f>
        <v>20000</v>
      </c>
      <c r="K433" s="216"/>
    </row>
    <row r="434" spans="3:11">
      <c r="C434" s="143">
        <v>2</v>
      </c>
      <c r="D434" s="60" t="s">
        <v>12</v>
      </c>
      <c r="E434" s="73" t="s">
        <v>6</v>
      </c>
      <c r="F434" s="75">
        <v>1.2</v>
      </c>
      <c r="G434" s="65">
        <f>VLOOKUP(D434,upahbahan,3,FALSE)</f>
        <v>145000</v>
      </c>
      <c r="H434" s="125">
        <f t="shared" si="48"/>
        <v>174000</v>
      </c>
      <c r="K434" s="216"/>
    </row>
    <row r="435" spans="3:11">
      <c r="C435" s="143">
        <v>3</v>
      </c>
      <c r="D435" s="60" t="s">
        <v>18</v>
      </c>
      <c r="E435" s="73" t="s">
        <v>6</v>
      </c>
      <c r="F435" s="75">
        <v>0.12</v>
      </c>
      <c r="G435" s="65">
        <f>VLOOKUP(D435,upahbahan,3,FALSE)</f>
        <v>150000</v>
      </c>
      <c r="H435" s="125">
        <f t="shared" si="48"/>
        <v>18000</v>
      </c>
      <c r="K435" s="216"/>
    </row>
    <row r="436" spans="3:11">
      <c r="C436" s="143">
        <v>4</v>
      </c>
      <c r="D436" s="60" t="s">
        <v>19</v>
      </c>
      <c r="E436" s="73" t="s">
        <v>6</v>
      </c>
      <c r="F436" s="75">
        <v>0.04</v>
      </c>
      <c r="G436" s="65">
        <f>VLOOKUP(D436,upahbahan,3,FALSE)</f>
        <v>145000</v>
      </c>
      <c r="H436" s="125">
        <f t="shared" si="48"/>
        <v>5800</v>
      </c>
      <c r="K436" s="216"/>
    </row>
    <row r="437" spans="3:11">
      <c r="C437" s="145" t="s">
        <v>1220</v>
      </c>
      <c r="D437" s="81"/>
      <c r="E437" s="81"/>
      <c r="F437" s="190"/>
      <c r="G437" s="232"/>
      <c r="H437" s="125">
        <f>SUM(H433:H436)</f>
        <v>217800</v>
      </c>
      <c r="K437" s="216"/>
    </row>
    <row r="438" spans="3:11">
      <c r="C438" s="142" t="s">
        <v>1221</v>
      </c>
      <c r="D438" s="60" t="s">
        <v>1222</v>
      </c>
      <c r="E438" s="74"/>
      <c r="F438" s="74"/>
      <c r="G438" s="74"/>
      <c r="H438" s="147"/>
      <c r="K438" s="216"/>
    </row>
    <row r="439" spans="3:11">
      <c r="C439" s="201" t="s">
        <v>1215</v>
      </c>
      <c r="D439" s="60" t="s">
        <v>608</v>
      </c>
      <c r="E439" s="73" t="s">
        <v>66</v>
      </c>
      <c r="F439" s="75">
        <v>0.15</v>
      </c>
      <c r="G439" s="65">
        <f t="shared" ref="G439:G444" si="49">VLOOKUP(D439,upahbahan,3,FALSE)</f>
        <v>53000</v>
      </c>
      <c r="H439" s="125">
        <f t="shared" ref="H439:H444" si="50">F439*G439</f>
        <v>7950</v>
      </c>
      <c r="K439" s="216"/>
    </row>
    <row r="440" spans="3:11">
      <c r="C440" s="201" t="s">
        <v>1216</v>
      </c>
      <c r="D440" s="60" t="s">
        <v>609</v>
      </c>
      <c r="E440" s="73" t="s">
        <v>66</v>
      </c>
      <c r="F440" s="75">
        <v>0.15</v>
      </c>
      <c r="G440" s="65">
        <f t="shared" si="49"/>
        <v>87000</v>
      </c>
      <c r="H440" s="125">
        <f t="shared" si="50"/>
        <v>13050</v>
      </c>
      <c r="K440" s="216"/>
    </row>
    <row r="441" spans="3:11">
      <c r="C441" s="201" t="s">
        <v>1217</v>
      </c>
      <c r="D441" s="60" t="s">
        <v>606</v>
      </c>
      <c r="E441" s="73" t="s">
        <v>66</v>
      </c>
      <c r="F441" s="75">
        <v>0.15</v>
      </c>
      <c r="G441" s="65">
        <f t="shared" si="49"/>
        <v>90000</v>
      </c>
      <c r="H441" s="125">
        <f t="shared" si="50"/>
        <v>13500</v>
      </c>
      <c r="K441" s="216"/>
    </row>
    <row r="442" spans="3:11">
      <c r="C442" s="201" t="s">
        <v>1218</v>
      </c>
      <c r="D442" s="60" t="s">
        <v>597</v>
      </c>
      <c r="E442" s="73" t="s">
        <v>66</v>
      </c>
      <c r="F442" s="75">
        <v>0.24</v>
      </c>
      <c r="G442" s="65">
        <f t="shared" si="49"/>
        <v>60000</v>
      </c>
      <c r="H442" s="125">
        <f t="shared" si="50"/>
        <v>14400</v>
      </c>
    </row>
    <row r="443" spans="3:11">
      <c r="C443" s="201" t="s">
        <v>1219</v>
      </c>
      <c r="D443" s="60" t="s">
        <v>777</v>
      </c>
      <c r="E443" s="73" t="s">
        <v>535</v>
      </c>
      <c r="F443" s="75">
        <v>0.2</v>
      </c>
      <c r="G443" s="65">
        <f t="shared" si="49"/>
        <v>21800</v>
      </c>
      <c r="H443" s="125">
        <f t="shared" si="50"/>
        <v>4360</v>
      </c>
    </row>
    <row r="444" spans="3:11">
      <c r="C444" s="201" t="s">
        <v>1223</v>
      </c>
      <c r="D444" s="78" t="s">
        <v>977</v>
      </c>
      <c r="E444" s="69" t="s">
        <v>133</v>
      </c>
      <c r="F444" s="356">
        <v>0.6</v>
      </c>
      <c r="G444" s="65">
        <f t="shared" si="49"/>
        <v>3900</v>
      </c>
      <c r="H444" s="125">
        <f t="shared" si="50"/>
        <v>2340</v>
      </c>
    </row>
    <row r="445" spans="3:11">
      <c r="C445" s="145" t="s">
        <v>1226</v>
      </c>
      <c r="D445" s="81"/>
      <c r="E445" s="81"/>
      <c r="F445" s="81"/>
      <c r="G445" s="163"/>
      <c r="H445" s="125">
        <f>SUM(H439:H444)</f>
        <v>55600</v>
      </c>
    </row>
    <row r="446" spans="3:11">
      <c r="C446" s="153" t="s">
        <v>1227</v>
      </c>
      <c r="D446" s="60" t="s">
        <v>1228</v>
      </c>
      <c r="E446" s="74"/>
      <c r="F446" s="74"/>
      <c r="G446" s="74"/>
      <c r="H446" s="147"/>
    </row>
    <row r="447" spans="3:11">
      <c r="C447" s="145" t="s">
        <v>1229</v>
      </c>
      <c r="D447" s="81"/>
      <c r="E447" s="81"/>
      <c r="F447" s="81"/>
      <c r="G447" s="163"/>
      <c r="H447" s="154">
        <v>0</v>
      </c>
    </row>
    <row r="448" spans="3:11">
      <c r="C448" s="123" t="s">
        <v>1230</v>
      </c>
      <c r="D448" s="70" t="s">
        <v>1231</v>
      </c>
      <c r="E448" s="71"/>
      <c r="F448" s="71"/>
      <c r="G448" s="72"/>
      <c r="H448" s="125">
        <f>H447+H445+H437</f>
        <v>273400</v>
      </c>
    </row>
    <row r="449" spans="3:8">
      <c r="C449" s="123" t="s">
        <v>1232</v>
      </c>
      <c r="D449" s="70" t="s">
        <v>1410</v>
      </c>
      <c r="E449" s="71"/>
      <c r="F449" s="72"/>
      <c r="G449" s="96">
        <f>$M$7</f>
        <v>0.1</v>
      </c>
      <c r="H449" s="125">
        <f>H448*G449</f>
        <v>27340</v>
      </c>
    </row>
    <row r="450" spans="3:8" ht="15.75" thickBot="1">
      <c r="C450" s="131" t="s">
        <v>1233</v>
      </c>
      <c r="D450" s="132" t="s">
        <v>1234</v>
      </c>
      <c r="E450" s="133"/>
      <c r="F450" s="133"/>
      <c r="G450" s="156"/>
      <c r="H450" s="135">
        <f>SUM(H448:H449)</f>
        <v>300740</v>
      </c>
    </row>
    <row r="451" spans="3:8" ht="15.75" thickTop="1"/>
  </sheetData>
  <mergeCells count="3">
    <mergeCell ref="C49:H49"/>
    <mergeCell ref="C72:H72"/>
    <mergeCell ref="C165:H16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15D2-E213-46B5-8F55-04A6A14C8160}">
  <dimension ref="C3:M61"/>
  <sheetViews>
    <sheetView workbookViewId="0">
      <selection activeCell="C3" sqref="C3:I68"/>
    </sheetView>
    <sheetView workbookViewId="1"/>
  </sheetViews>
  <sheetFormatPr defaultColWidth="8.85546875" defaultRowHeight="14.25"/>
  <cols>
    <col min="1" max="2" width="4.42578125" style="56" customWidth="1"/>
    <col min="3" max="3" width="5.140625" style="336" customWidth="1"/>
    <col min="4" max="4" width="37" style="63" customWidth="1"/>
    <col min="5" max="5" width="6.7109375" style="63" customWidth="1"/>
    <col min="6" max="6" width="10.7109375" style="63" customWidth="1"/>
    <col min="7" max="7" width="14.42578125" style="63" customWidth="1"/>
    <col min="8" max="8" width="16.42578125" style="63" customWidth="1"/>
    <col min="9" max="9" width="17" style="63" customWidth="1"/>
    <col min="10" max="16384" width="8.85546875" style="56"/>
  </cols>
  <sheetData>
    <row r="3" spans="3:13" ht="15">
      <c r="C3" s="170" t="str">
        <f>'[1]Daftar HSP'!A460</f>
        <v>R</v>
      </c>
      <c r="D3" s="180" t="str">
        <f>'[1]Daftar HSP'!B460</f>
        <v>PEKERJAAN SIGNAGE</v>
      </c>
      <c r="E3" s="54"/>
      <c r="F3" s="54"/>
      <c r="G3" s="54"/>
      <c r="H3" s="54"/>
    </row>
    <row r="4" spans="3:13" ht="15.75" thickBot="1">
      <c r="C4" s="224" t="s">
        <v>1734</v>
      </c>
      <c r="D4" s="346"/>
      <c r="E4" s="346"/>
      <c r="F4" s="346"/>
      <c r="G4" s="346"/>
      <c r="H4" s="346"/>
      <c r="I4" s="57">
        <f>ROUNDDOWN(H24,-2)</f>
        <v>2900500</v>
      </c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</row>
    <row r="6" spans="3:13">
      <c r="C6" s="334" t="s">
        <v>1213</v>
      </c>
      <c r="D6" s="60" t="s">
        <v>1214</v>
      </c>
      <c r="E6" s="74"/>
      <c r="F6" s="74"/>
      <c r="G6" s="74"/>
      <c r="H6" s="147"/>
      <c r="J6" s="160" t="s">
        <v>1265</v>
      </c>
    </row>
    <row r="7" spans="3:13">
      <c r="C7" s="361" t="s">
        <v>1215</v>
      </c>
      <c r="D7" s="60" t="s">
        <v>5</v>
      </c>
      <c r="E7" s="73" t="s">
        <v>6</v>
      </c>
      <c r="F7" s="75">
        <v>2.11</v>
      </c>
      <c r="G7" s="65">
        <f>VLOOKUP(D7,upahbahan,3,FALSE)</f>
        <v>100000</v>
      </c>
      <c r="H7" s="125">
        <f t="shared" ref="H7:H11" si="0">F7*G7</f>
        <v>211000</v>
      </c>
      <c r="J7" s="160" t="s">
        <v>1266</v>
      </c>
      <c r="M7" s="66">
        <v>0.1</v>
      </c>
    </row>
    <row r="8" spans="3:13">
      <c r="C8" s="361" t="s">
        <v>1216</v>
      </c>
      <c r="D8" s="60" t="s">
        <v>9</v>
      </c>
      <c r="E8" s="73" t="s">
        <v>6</v>
      </c>
      <c r="F8" s="75">
        <v>4</v>
      </c>
      <c r="G8" s="65">
        <f>VLOOKUP(D8,upahbahan,3,FALSE)</f>
        <v>145000</v>
      </c>
      <c r="H8" s="125">
        <f t="shared" si="0"/>
        <v>580000</v>
      </c>
    </row>
    <row r="9" spans="3:13">
      <c r="C9" s="361" t="s">
        <v>1217</v>
      </c>
      <c r="D9" s="60" t="s">
        <v>11</v>
      </c>
      <c r="E9" s="73" t="s">
        <v>6</v>
      </c>
      <c r="F9" s="75">
        <v>1</v>
      </c>
      <c r="G9" s="65">
        <f>VLOOKUP(D9,upahbahan,3,FALSE)</f>
        <v>145000</v>
      </c>
      <c r="H9" s="125">
        <f t="shared" si="0"/>
        <v>145000</v>
      </c>
    </row>
    <row r="10" spans="3:13">
      <c r="C10" s="361" t="s">
        <v>1218</v>
      </c>
      <c r="D10" s="60" t="s">
        <v>18</v>
      </c>
      <c r="E10" s="73" t="s">
        <v>6</v>
      </c>
      <c r="F10" s="75">
        <v>0.1</v>
      </c>
      <c r="G10" s="65">
        <f>VLOOKUP(D10,upahbahan,3,FALSE)</f>
        <v>150000</v>
      </c>
      <c r="H10" s="125">
        <f t="shared" si="0"/>
        <v>15000</v>
      </c>
    </row>
    <row r="11" spans="3:13">
      <c r="C11" s="361" t="s">
        <v>1219</v>
      </c>
      <c r="D11" s="60" t="s">
        <v>19</v>
      </c>
      <c r="E11" s="73" t="s">
        <v>6</v>
      </c>
      <c r="F11" s="75">
        <v>3.3000000000000002E-2</v>
      </c>
      <c r="G11" s="65">
        <f>VLOOKUP(D11,upahbahan,3,FALSE)</f>
        <v>145000</v>
      </c>
      <c r="H11" s="125">
        <f t="shared" si="0"/>
        <v>4785</v>
      </c>
    </row>
    <row r="12" spans="3:13">
      <c r="C12" s="145" t="s">
        <v>1220</v>
      </c>
      <c r="D12" s="81"/>
      <c r="E12" s="81"/>
      <c r="F12" s="220"/>
      <c r="G12" s="221"/>
      <c r="H12" s="125">
        <f>SUM(H7:H11)</f>
        <v>955785</v>
      </c>
      <c r="I12" s="223"/>
    </row>
    <row r="13" spans="3:13">
      <c r="C13" s="347" t="s">
        <v>1221</v>
      </c>
      <c r="D13" s="337" t="s">
        <v>1222</v>
      </c>
      <c r="E13" s="74"/>
      <c r="G13" s="74"/>
      <c r="H13" s="348"/>
    </row>
    <row r="14" spans="3:13">
      <c r="C14" s="349" t="s">
        <v>1215</v>
      </c>
      <c r="D14" s="337" t="s">
        <v>816</v>
      </c>
      <c r="E14" s="171" t="s">
        <v>66</v>
      </c>
      <c r="F14" s="64">
        <v>43.71</v>
      </c>
      <c r="G14" s="65">
        <f>VLOOKUP(D14,upahbahan,3,FALSE)</f>
        <v>34500</v>
      </c>
      <c r="H14" s="125">
        <f t="shared" ref="H14:H17" si="1">F14*G14</f>
        <v>1507995</v>
      </c>
    </row>
    <row r="15" spans="3:13">
      <c r="C15" s="349" t="s">
        <v>1216</v>
      </c>
      <c r="D15" s="337" t="s">
        <v>258</v>
      </c>
      <c r="E15" s="171" t="s">
        <v>66</v>
      </c>
      <c r="F15" s="340">
        <v>4.4999999999999998E-2</v>
      </c>
      <c r="G15" s="65">
        <f>VLOOKUP(D15,upahbahan,3,FALSE)</f>
        <v>45550</v>
      </c>
      <c r="H15" s="125">
        <f t="shared" si="1"/>
        <v>2049.75</v>
      </c>
    </row>
    <row r="16" spans="3:13">
      <c r="C16" s="349" t="s">
        <v>1217</v>
      </c>
      <c r="D16" s="337" t="s">
        <v>586</v>
      </c>
      <c r="E16" s="171" t="s">
        <v>66</v>
      </c>
      <c r="F16" s="340">
        <v>0.8</v>
      </c>
      <c r="G16" s="65">
        <f>VLOOKUP(D16,upahbahan,3,FALSE)</f>
        <v>54700</v>
      </c>
      <c r="H16" s="125">
        <f t="shared" si="1"/>
        <v>43760</v>
      </c>
    </row>
    <row r="17" spans="3:9">
      <c r="C17" s="349" t="s">
        <v>1218</v>
      </c>
      <c r="D17" s="337" t="s">
        <v>243</v>
      </c>
      <c r="E17" s="171" t="s">
        <v>44</v>
      </c>
      <c r="F17" s="340">
        <v>6</v>
      </c>
      <c r="G17" s="65">
        <f>VLOOKUP(D17,upahbahan,3,FALSE)</f>
        <v>4550</v>
      </c>
      <c r="H17" s="125">
        <f t="shared" si="1"/>
        <v>27300</v>
      </c>
    </row>
    <row r="18" spans="3:9">
      <c r="C18" s="145" t="s">
        <v>1226</v>
      </c>
      <c r="D18" s="81"/>
      <c r="E18" s="81"/>
      <c r="F18" s="81"/>
      <c r="G18" s="163"/>
      <c r="H18" s="125">
        <f>SUM(H14:H17)</f>
        <v>1581104.75</v>
      </c>
    </row>
    <row r="19" spans="3:9">
      <c r="C19" s="153" t="s">
        <v>1227</v>
      </c>
      <c r="D19" s="60" t="s">
        <v>1228</v>
      </c>
      <c r="E19" s="74"/>
      <c r="F19" s="74"/>
      <c r="G19" s="74"/>
      <c r="H19" s="147"/>
    </row>
    <row r="20" spans="3:9">
      <c r="C20" s="153">
        <v>1</v>
      </c>
      <c r="D20" s="60" t="s">
        <v>1735</v>
      </c>
      <c r="E20" s="359" t="s">
        <v>1091</v>
      </c>
      <c r="F20" s="360">
        <v>1</v>
      </c>
      <c r="G20" s="65">
        <v>100000</v>
      </c>
      <c r="H20" s="125">
        <f t="shared" ref="H20" si="2">F20*G20</f>
        <v>100000</v>
      </c>
    </row>
    <row r="21" spans="3:9">
      <c r="C21" s="145" t="s">
        <v>1229</v>
      </c>
      <c r="D21" s="81"/>
      <c r="E21" s="81"/>
      <c r="F21" s="81"/>
      <c r="G21" s="163"/>
      <c r="H21" s="125">
        <f>SUM(H20)</f>
        <v>100000</v>
      </c>
    </row>
    <row r="22" spans="3:9">
      <c r="C22" s="123" t="s">
        <v>1230</v>
      </c>
      <c r="D22" s="70" t="s">
        <v>1231</v>
      </c>
      <c r="E22" s="71"/>
      <c r="F22" s="71"/>
      <c r="G22" s="72"/>
      <c r="H22" s="125">
        <f>H21+H18+H12</f>
        <v>2636889.75</v>
      </c>
    </row>
    <row r="23" spans="3:9">
      <c r="C23" s="123" t="s">
        <v>1232</v>
      </c>
      <c r="D23" s="70" t="s">
        <v>1410</v>
      </c>
      <c r="E23" s="71"/>
      <c r="F23" s="72"/>
      <c r="G23" s="96">
        <f>$M$7</f>
        <v>0.1</v>
      </c>
      <c r="H23" s="125">
        <f>H22*G23</f>
        <v>263688.97500000003</v>
      </c>
    </row>
    <row r="24" spans="3:9" ht="15.75" thickBot="1">
      <c r="C24" s="131" t="s">
        <v>1233</v>
      </c>
      <c r="D24" s="132" t="s">
        <v>1234</v>
      </c>
      <c r="E24" s="133"/>
      <c r="F24" s="133"/>
      <c r="G24" s="156"/>
      <c r="H24" s="135">
        <f>SUM(H22:H23)</f>
        <v>2900578.7250000001</v>
      </c>
    </row>
    <row r="25" spans="3:9" ht="15.75" thickTop="1">
      <c r="C25" s="339"/>
      <c r="D25" s="91"/>
      <c r="E25" s="91"/>
      <c r="F25" s="91"/>
      <c r="G25" s="91"/>
      <c r="H25" s="92"/>
    </row>
    <row r="26" spans="3:9" ht="15.75" thickBot="1">
      <c r="C26" s="224" t="s">
        <v>1736</v>
      </c>
      <c r="D26" s="346"/>
      <c r="E26" s="346"/>
      <c r="F26" s="346"/>
      <c r="G26" s="346"/>
      <c r="H26" s="346"/>
      <c r="I26" s="57">
        <f>ROUNDDOWN(H43,-2)</f>
        <v>169000</v>
      </c>
    </row>
    <row r="27" spans="3:9" ht="29.25" thickTop="1">
      <c r="C27" s="120" t="s">
        <v>1207</v>
      </c>
      <c r="D27" s="121" t="s">
        <v>1208</v>
      </c>
      <c r="E27" s="121" t="s">
        <v>1209</v>
      </c>
      <c r="F27" s="121" t="s">
        <v>1210</v>
      </c>
      <c r="G27" s="121" t="s">
        <v>1211</v>
      </c>
      <c r="H27" s="122" t="s">
        <v>1212</v>
      </c>
    </row>
    <row r="28" spans="3:9">
      <c r="C28" s="334" t="s">
        <v>1213</v>
      </c>
      <c r="D28" s="60" t="s">
        <v>1214</v>
      </c>
      <c r="E28" s="74"/>
      <c r="F28" s="74"/>
      <c r="G28" s="74"/>
      <c r="H28" s="147"/>
    </row>
    <row r="29" spans="3:9">
      <c r="C29" s="361" t="s">
        <v>1215</v>
      </c>
      <c r="D29" s="60" t="s">
        <v>5</v>
      </c>
      <c r="E29" s="73" t="s">
        <v>6</v>
      </c>
      <c r="F29" s="94">
        <v>3.5999999999999997E-2</v>
      </c>
      <c r="G29" s="65">
        <f>VLOOKUP(D29,upahbahan,3,FALSE)</f>
        <v>100000</v>
      </c>
      <c r="H29" s="125">
        <f t="shared" ref="H29:H32" si="3">F29*G29</f>
        <v>3599.9999999999995</v>
      </c>
    </row>
    <row r="30" spans="3:9">
      <c r="C30" s="361" t="s">
        <v>1216</v>
      </c>
      <c r="D30" s="60" t="s">
        <v>9</v>
      </c>
      <c r="E30" s="73" t="s">
        <v>6</v>
      </c>
      <c r="F30" s="94">
        <v>3.5999999999999997E-2</v>
      </c>
      <c r="G30" s="65">
        <f>VLOOKUP(D30,upahbahan,3,FALSE)</f>
        <v>145000</v>
      </c>
      <c r="H30" s="125">
        <f t="shared" si="3"/>
        <v>5220</v>
      </c>
    </row>
    <row r="31" spans="3:9">
      <c r="C31" s="361" t="s">
        <v>1217</v>
      </c>
      <c r="D31" s="60" t="s">
        <v>18</v>
      </c>
      <c r="E31" s="73" t="s">
        <v>6</v>
      </c>
      <c r="F31" s="94">
        <v>3.5999999999999999E-3</v>
      </c>
      <c r="G31" s="65">
        <f>VLOOKUP(D31,upahbahan,3,FALSE)</f>
        <v>150000</v>
      </c>
      <c r="H31" s="125">
        <f t="shared" si="3"/>
        <v>540</v>
      </c>
    </row>
    <row r="32" spans="3:9">
      <c r="C32" s="361" t="s">
        <v>1218</v>
      </c>
      <c r="D32" s="60" t="s">
        <v>19</v>
      </c>
      <c r="E32" s="73" t="s">
        <v>6</v>
      </c>
      <c r="F32" s="94">
        <v>1.1999999999999999E-3</v>
      </c>
      <c r="G32" s="65">
        <f>VLOOKUP(D32,upahbahan,3,FALSE)</f>
        <v>145000</v>
      </c>
      <c r="H32" s="125">
        <f t="shared" si="3"/>
        <v>173.99999999999997</v>
      </c>
    </row>
    <row r="33" spans="3:9">
      <c r="C33" s="145" t="s">
        <v>1220</v>
      </c>
      <c r="D33" s="81"/>
      <c r="E33" s="81"/>
      <c r="F33" s="220"/>
      <c r="G33" s="221"/>
      <c r="H33" s="125">
        <f>SUM(H29:H32)</f>
        <v>9534</v>
      </c>
      <c r="I33" s="223"/>
    </row>
    <row r="34" spans="3:9">
      <c r="C34" s="347" t="s">
        <v>1221</v>
      </c>
      <c r="D34" s="337" t="s">
        <v>1222</v>
      </c>
      <c r="E34" s="74"/>
      <c r="G34" s="74"/>
      <c r="H34" s="348"/>
    </row>
    <row r="35" spans="3:9">
      <c r="C35" s="349" t="s">
        <v>1215</v>
      </c>
      <c r="D35" s="337" t="s">
        <v>971</v>
      </c>
      <c r="E35" s="171" t="s">
        <v>63</v>
      </c>
      <c r="F35" s="64">
        <v>0.09</v>
      </c>
      <c r="G35" s="65">
        <f>VLOOKUP(D35,upahbahan,3,FALSE)</f>
        <v>179000</v>
      </c>
      <c r="H35" s="125">
        <f t="shared" ref="H35:H37" si="4">F35*G35</f>
        <v>16110</v>
      </c>
    </row>
    <row r="36" spans="3:9">
      <c r="C36" s="349" t="s">
        <v>1216</v>
      </c>
      <c r="D36" s="337" t="s">
        <v>1028</v>
      </c>
      <c r="E36" s="171" t="s">
        <v>44</v>
      </c>
      <c r="F36" s="340">
        <v>4</v>
      </c>
      <c r="G36" s="65">
        <f>VLOOKUP(D36,upahbahan,3,FALSE)</f>
        <v>7000</v>
      </c>
      <c r="H36" s="125">
        <f t="shared" si="4"/>
        <v>28000</v>
      </c>
    </row>
    <row r="37" spans="3:9">
      <c r="C37" s="349" t="s">
        <v>1217</v>
      </c>
      <c r="D37" s="337" t="s">
        <v>992</v>
      </c>
      <c r="E37" s="171" t="s">
        <v>63</v>
      </c>
      <c r="F37" s="340">
        <v>1</v>
      </c>
      <c r="G37" s="65">
        <f>VLOOKUP(D37,upahbahan,3,FALSE)</f>
        <v>100000</v>
      </c>
      <c r="H37" s="125">
        <f t="shared" si="4"/>
        <v>100000</v>
      </c>
    </row>
    <row r="38" spans="3:9">
      <c r="C38" s="145" t="s">
        <v>1226</v>
      </c>
      <c r="D38" s="81"/>
      <c r="E38" s="81"/>
      <c r="F38" s="81"/>
      <c r="G38" s="163"/>
      <c r="H38" s="125">
        <f>SUM(H35:H37)</f>
        <v>144110</v>
      </c>
    </row>
    <row r="39" spans="3:9">
      <c r="C39" s="153" t="s">
        <v>1227</v>
      </c>
      <c r="D39" s="60" t="s">
        <v>1228</v>
      </c>
      <c r="E39" s="74"/>
      <c r="F39" s="74"/>
      <c r="G39" s="74"/>
      <c r="H39" s="147"/>
    </row>
    <row r="40" spans="3:9">
      <c r="C40" s="145" t="s">
        <v>1229</v>
      </c>
      <c r="D40" s="81"/>
      <c r="E40" s="81"/>
      <c r="F40" s="81"/>
      <c r="G40" s="163"/>
      <c r="H40" s="154">
        <v>0</v>
      </c>
    </row>
    <row r="41" spans="3:9">
      <c r="C41" s="123" t="s">
        <v>1230</v>
      </c>
      <c r="D41" s="70" t="s">
        <v>1231</v>
      </c>
      <c r="E41" s="71"/>
      <c r="F41" s="71"/>
      <c r="G41" s="72"/>
      <c r="H41" s="125">
        <f>H40+H38+H33</f>
        <v>153644</v>
      </c>
    </row>
    <row r="42" spans="3:9">
      <c r="C42" s="123" t="s">
        <v>1232</v>
      </c>
      <c r="D42" s="70" t="s">
        <v>1410</v>
      </c>
      <c r="E42" s="71"/>
      <c r="F42" s="72"/>
      <c r="G42" s="96">
        <f>$M$7</f>
        <v>0.1</v>
      </c>
      <c r="H42" s="125">
        <f>H41*G42</f>
        <v>15364.400000000001</v>
      </c>
    </row>
    <row r="43" spans="3:9" ht="15.75" thickBot="1">
      <c r="C43" s="131" t="s">
        <v>1233</v>
      </c>
      <c r="D43" s="132" t="s">
        <v>1234</v>
      </c>
      <c r="E43" s="133"/>
      <c r="F43" s="133"/>
      <c r="G43" s="156"/>
      <c r="H43" s="135">
        <f>SUM(H41:H42)</f>
        <v>169008.4</v>
      </c>
    </row>
    <row r="44" spans="3:9" ht="15.75" thickTop="1">
      <c r="C44" s="339"/>
      <c r="D44" s="91"/>
      <c r="E44" s="91"/>
      <c r="F44" s="91"/>
      <c r="G44" s="91"/>
      <c r="H44" s="92"/>
    </row>
    <row r="45" spans="3:9" ht="15.75" thickBot="1">
      <c r="C45" s="224" t="s">
        <v>1737</v>
      </c>
      <c r="D45" s="346"/>
      <c r="E45" s="346"/>
      <c r="F45" s="346"/>
      <c r="G45" s="346"/>
      <c r="H45" s="346"/>
      <c r="I45" s="57">
        <f>ROUNDDOWN(H60,-2)</f>
        <v>123100</v>
      </c>
    </row>
    <row r="46" spans="3:9" ht="29.25" thickTop="1">
      <c r="C46" s="120" t="s">
        <v>1207</v>
      </c>
      <c r="D46" s="121" t="s">
        <v>1208</v>
      </c>
      <c r="E46" s="121" t="s">
        <v>1209</v>
      </c>
      <c r="F46" s="121" t="s">
        <v>1210</v>
      </c>
      <c r="G46" s="121" t="s">
        <v>1211</v>
      </c>
      <c r="H46" s="122" t="s">
        <v>1212</v>
      </c>
    </row>
    <row r="47" spans="3:9">
      <c r="C47" s="334" t="s">
        <v>1213</v>
      </c>
      <c r="D47" s="60" t="s">
        <v>1214</v>
      </c>
      <c r="E47" s="74"/>
      <c r="F47" s="74"/>
      <c r="G47" s="74"/>
      <c r="H47" s="147"/>
    </row>
    <row r="48" spans="3:9">
      <c r="C48" s="361" t="s">
        <v>1215</v>
      </c>
      <c r="D48" s="60" t="s">
        <v>5</v>
      </c>
      <c r="E48" s="73" t="s">
        <v>6</v>
      </c>
      <c r="F48" s="94">
        <v>0.09</v>
      </c>
      <c r="G48" s="65">
        <f>VLOOKUP(D48,upahbahan,3,FALSE)</f>
        <v>100000</v>
      </c>
      <c r="H48" s="125">
        <f t="shared" ref="H48:H51" si="5">F48*G48</f>
        <v>9000</v>
      </c>
    </row>
    <row r="49" spans="3:9">
      <c r="C49" s="361" t="s">
        <v>1216</v>
      </c>
      <c r="D49" s="60" t="s">
        <v>9</v>
      </c>
      <c r="E49" s="73" t="s">
        <v>6</v>
      </c>
      <c r="F49" s="94">
        <v>1.7999999999999999E-2</v>
      </c>
      <c r="G49" s="65">
        <f>VLOOKUP(D49,upahbahan,3,FALSE)</f>
        <v>145000</v>
      </c>
      <c r="H49" s="125">
        <f t="shared" si="5"/>
        <v>2610</v>
      </c>
    </row>
    <row r="50" spans="3:9">
      <c r="C50" s="361" t="s">
        <v>1217</v>
      </c>
      <c r="D50" s="60" t="s">
        <v>18</v>
      </c>
      <c r="E50" s="73" t="s">
        <v>6</v>
      </c>
      <c r="F50" s="94">
        <v>1.8E-3</v>
      </c>
      <c r="G50" s="65">
        <f>VLOOKUP(D50,upahbahan,3,FALSE)</f>
        <v>150000</v>
      </c>
      <c r="H50" s="125">
        <f t="shared" si="5"/>
        <v>270</v>
      </c>
    </row>
    <row r="51" spans="3:9">
      <c r="C51" s="361" t="s">
        <v>1218</v>
      </c>
      <c r="D51" s="60" t="s">
        <v>19</v>
      </c>
      <c r="E51" s="73" t="s">
        <v>6</v>
      </c>
      <c r="F51" s="94">
        <v>5.9999999999999995E-4</v>
      </c>
      <c r="G51" s="65">
        <f>VLOOKUP(D51,upahbahan,3,FALSE)</f>
        <v>145000</v>
      </c>
      <c r="H51" s="125">
        <f t="shared" si="5"/>
        <v>86.999999999999986</v>
      </c>
    </row>
    <row r="52" spans="3:9">
      <c r="C52" s="145" t="s">
        <v>1220</v>
      </c>
      <c r="D52" s="81"/>
      <c r="E52" s="81"/>
      <c r="F52" s="220"/>
      <c r="G52" s="221"/>
      <c r="H52" s="125">
        <f>SUM(H48:H51)</f>
        <v>11967</v>
      </c>
      <c r="I52" s="223"/>
    </row>
    <row r="53" spans="3:9">
      <c r="C53" s="347" t="s">
        <v>1221</v>
      </c>
      <c r="D53" s="337" t="s">
        <v>1222</v>
      </c>
      <c r="E53" s="74"/>
      <c r="G53" s="74"/>
      <c r="H53" s="348"/>
    </row>
    <row r="54" spans="3:9">
      <c r="C54" s="349">
        <v>1</v>
      </c>
      <c r="D54" s="337" t="s">
        <v>992</v>
      </c>
      <c r="E54" s="171" t="s">
        <v>63</v>
      </c>
      <c r="F54" s="340">
        <v>1</v>
      </c>
      <c r="G54" s="65">
        <f>VLOOKUP(D54,upahbahan,3,FALSE)</f>
        <v>100000</v>
      </c>
      <c r="H54" s="125">
        <f t="shared" ref="H54" si="6">F54*G54</f>
        <v>100000</v>
      </c>
    </row>
    <row r="55" spans="3:9">
      <c r="C55" s="145" t="s">
        <v>1226</v>
      </c>
      <c r="D55" s="81"/>
      <c r="E55" s="81"/>
      <c r="F55" s="81"/>
      <c r="G55" s="163"/>
      <c r="H55" s="125">
        <f>SUM(H54:H54)</f>
        <v>100000</v>
      </c>
    </row>
    <row r="56" spans="3:9">
      <c r="C56" s="153" t="s">
        <v>1227</v>
      </c>
      <c r="D56" s="60" t="s">
        <v>1228</v>
      </c>
      <c r="E56" s="74"/>
      <c r="F56" s="74"/>
      <c r="G56" s="74"/>
      <c r="H56" s="147"/>
    </row>
    <row r="57" spans="3:9">
      <c r="C57" s="145" t="s">
        <v>1229</v>
      </c>
      <c r="D57" s="81"/>
      <c r="E57" s="81"/>
      <c r="F57" s="81"/>
      <c r="G57" s="163"/>
      <c r="H57" s="154">
        <v>0</v>
      </c>
    </row>
    <row r="58" spans="3:9">
      <c r="C58" s="123" t="s">
        <v>1230</v>
      </c>
      <c r="D58" s="70" t="s">
        <v>1231</v>
      </c>
      <c r="E58" s="71"/>
      <c r="F58" s="71"/>
      <c r="G58" s="72"/>
      <c r="H58" s="125">
        <f>H57+H55+H52</f>
        <v>111967</v>
      </c>
    </row>
    <row r="59" spans="3:9">
      <c r="C59" s="123" t="s">
        <v>1232</v>
      </c>
      <c r="D59" s="70" t="s">
        <v>1410</v>
      </c>
      <c r="E59" s="71"/>
      <c r="F59" s="72"/>
      <c r="G59" s="96">
        <f>$M$7</f>
        <v>0.1</v>
      </c>
      <c r="H59" s="125">
        <f>H58*G59</f>
        <v>11196.7</v>
      </c>
    </row>
    <row r="60" spans="3:9" ht="15.75" thickBot="1">
      <c r="C60" s="131" t="s">
        <v>1233</v>
      </c>
      <c r="D60" s="132" t="s">
        <v>1234</v>
      </c>
      <c r="E60" s="133"/>
      <c r="F60" s="133"/>
      <c r="G60" s="156"/>
      <c r="H60" s="135">
        <f>SUM(H58:H59)</f>
        <v>123163.7</v>
      </c>
    </row>
    <row r="61" spans="3:9" ht="15.75" thickTop="1">
      <c r="C61" s="339"/>
      <c r="D61" s="91"/>
      <c r="E61" s="91"/>
      <c r="F61" s="91"/>
      <c r="G61" s="91"/>
      <c r="H61" s="92"/>
    </row>
  </sheetData>
  <dataValidations count="1">
    <dataValidation type="list" allowBlank="1" showInputMessage="1" showErrorMessage="1" sqref="D7:D11 D48:D51 D29:D32" xr:uid="{7EB51330-A3C2-4DE5-ABD5-63C4015DAAB9}">
      <formula1>TENAGA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E87E-59E4-44F5-A9A3-A367C3676EB2}">
  <dimension ref="C1:M423"/>
  <sheetViews>
    <sheetView zoomScale="90" zoomScaleNormal="90" workbookViewId="0">
      <selection activeCell="C3" sqref="C3:I426"/>
    </sheetView>
    <sheetView workbookViewId="1"/>
  </sheetViews>
  <sheetFormatPr defaultColWidth="8.85546875" defaultRowHeight="15"/>
  <cols>
    <col min="1" max="2" width="3.7109375" style="56" customWidth="1"/>
    <col min="3" max="3" width="6" style="63" customWidth="1"/>
    <col min="4" max="4" width="36.7109375" style="63" customWidth="1"/>
    <col min="5" max="5" width="7.42578125" style="63" customWidth="1"/>
    <col min="6" max="6" width="10.7109375" style="63" customWidth="1"/>
    <col min="7" max="7" width="14.28515625" style="63" customWidth="1"/>
    <col min="8" max="8" width="16.42578125" style="63" customWidth="1"/>
    <col min="9" max="9" width="17.7109375" style="55" customWidth="1"/>
    <col min="10" max="11" width="12.28515625" style="56" customWidth="1"/>
    <col min="12" max="16384" width="8.85546875" style="56"/>
  </cols>
  <sheetData>
    <row r="1" spans="3:13" ht="10.9" customHeight="1"/>
    <row r="2" spans="3:13" ht="10.9" customHeight="1"/>
    <row r="3" spans="3:13">
      <c r="C3" s="228" t="str">
        <f>'[1]Daftar HSP'!A464</f>
        <v>S</v>
      </c>
      <c r="D3" s="229" t="str">
        <f>'[1]Daftar HSP'!B464</f>
        <v>PEKERJAAN SANITAIR</v>
      </c>
      <c r="E3" s="229"/>
      <c r="F3" s="229"/>
      <c r="G3" s="229"/>
      <c r="H3" s="229"/>
    </row>
    <row r="4" spans="3:13" ht="15.75" thickBot="1">
      <c r="C4" s="224" t="s">
        <v>1738</v>
      </c>
      <c r="D4" s="225"/>
      <c r="E4" s="225"/>
      <c r="F4" s="225"/>
      <c r="G4" s="225"/>
      <c r="H4" s="225"/>
      <c r="I4" s="57">
        <f>ROUNDDOWN(H20,-2)</f>
        <v>2009900</v>
      </c>
      <c r="K4" s="216"/>
    </row>
    <row r="5" spans="3:13" ht="29.25" thickTop="1">
      <c r="C5" s="120" t="s">
        <v>1207</v>
      </c>
      <c r="D5" s="121" t="s">
        <v>1208</v>
      </c>
      <c r="E5" s="121" t="s">
        <v>1209</v>
      </c>
      <c r="F5" s="121" t="s">
        <v>1210</v>
      </c>
      <c r="G5" s="121" t="s">
        <v>1211</v>
      </c>
      <c r="H5" s="122" t="s">
        <v>1212</v>
      </c>
    </row>
    <row r="6" spans="3:13">
      <c r="C6" s="142" t="s">
        <v>1213</v>
      </c>
      <c r="D6" s="60" t="s">
        <v>1214</v>
      </c>
      <c r="E6" s="74"/>
      <c r="F6" s="74"/>
      <c r="G6" s="74"/>
      <c r="H6" s="147"/>
      <c r="J6" s="160" t="s">
        <v>1265</v>
      </c>
    </row>
    <row r="7" spans="3:13">
      <c r="C7" s="143">
        <v>1</v>
      </c>
      <c r="D7" s="60" t="s">
        <v>5</v>
      </c>
      <c r="E7" s="73" t="s">
        <v>6</v>
      </c>
      <c r="F7" s="75">
        <v>0.5</v>
      </c>
      <c r="G7" s="65">
        <f>VLOOKUP(D7,upahbahan,3,FALSE)</f>
        <v>100000</v>
      </c>
      <c r="H7" s="125">
        <f t="shared" ref="H7:H10" si="0">F7*G7</f>
        <v>50000</v>
      </c>
      <c r="J7" s="160" t="s">
        <v>1266</v>
      </c>
      <c r="M7" s="66">
        <v>0.1</v>
      </c>
    </row>
    <row r="8" spans="3:13">
      <c r="C8" s="143">
        <v>2</v>
      </c>
      <c r="D8" s="60" t="s">
        <v>7</v>
      </c>
      <c r="E8" s="73" t="s">
        <v>6</v>
      </c>
      <c r="F8" s="75">
        <v>1.2</v>
      </c>
      <c r="G8" s="65">
        <f>VLOOKUP(D8,upahbahan,3,FALSE)</f>
        <v>145000</v>
      </c>
      <c r="H8" s="125">
        <f t="shared" si="0"/>
        <v>174000</v>
      </c>
    </row>
    <row r="9" spans="3:13">
      <c r="C9" s="143">
        <v>3</v>
      </c>
      <c r="D9" s="60" t="s">
        <v>18</v>
      </c>
      <c r="E9" s="73" t="s">
        <v>6</v>
      </c>
      <c r="F9" s="75">
        <v>0.12</v>
      </c>
      <c r="G9" s="65">
        <f>VLOOKUP(D9,upahbahan,3,FALSE)</f>
        <v>150000</v>
      </c>
      <c r="H9" s="125">
        <f t="shared" si="0"/>
        <v>18000</v>
      </c>
    </row>
    <row r="10" spans="3:13">
      <c r="C10" s="143">
        <v>4</v>
      </c>
      <c r="D10" s="60" t="s">
        <v>19</v>
      </c>
      <c r="E10" s="73" t="s">
        <v>6</v>
      </c>
      <c r="F10" s="75">
        <v>0.04</v>
      </c>
      <c r="G10" s="65">
        <f>VLOOKUP(D10,upahbahan,3,FALSE)</f>
        <v>145000</v>
      </c>
      <c r="H10" s="125">
        <f t="shared" si="0"/>
        <v>5800</v>
      </c>
    </row>
    <row r="11" spans="3:13">
      <c r="C11" s="145" t="s">
        <v>1220</v>
      </c>
      <c r="D11" s="81"/>
      <c r="E11" s="81"/>
      <c r="F11" s="220"/>
      <c r="G11" s="221"/>
      <c r="H11" s="125">
        <f>SUM(H7:H10)</f>
        <v>247800</v>
      </c>
      <c r="I11" s="222"/>
    </row>
    <row r="12" spans="3:13">
      <c r="C12" s="142" t="s">
        <v>1221</v>
      </c>
      <c r="D12" s="60" t="s">
        <v>1222</v>
      </c>
      <c r="E12" s="74"/>
      <c r="F12" s="74"/>
      <c r="G12" s="74"/>
      <c r="H12" s="147"/>
    </row>
    <row r="13" spans="3:13">
      <c r="C13" s="143">
        <v>1</v>
      </c>
      <c r="D13" s="60" t="s">
        <v>694</v>
      </c>
      <c r="E13" s="73" t="s">
        <v>44</v>
      </c>
      <c r="F13" s="230">
        <v>1</v>
      </c>
      <c r="G13" s="65">
        <f>VLOOKUP(D13,upahbahan,3,FALSE)</f>
        <v>1490000</v>
      </c>
      <c r="H13" s="125">
        <f t="shared" ref="H13" si="1">F13*G13</f>
        <v>1490000</v>
      </c>
    </row>
    <row r="14" spans="3:13">
      <c r="C14" s="143">
        <v>2</v>
      </c>
      <c r="D14" s="78" t="s">
        <v>687</v>
      </c>
      <c r="E14" s="73" t="s">
        <v>44</v>
      </c>
      <c r="F14" s="364">
        <v>1</v>
      </c>
      <c r="G14" s="65">
        <f>VLOOKUP(D14,upahbahan,3,FALSE)</f>
        <v>55000</v>
      </c>
      <c r="H14" s="125">
        <f>H13*6%</f>
        <v>89400</v>
      </c>
    </row>
    <row r="15" spans="3:13">
      <c r="C15" s="145" t="s">
        <v>1226</v>
      </c>
      <c r="D15" s="81"/>
      <c r="E15" s="81"/>
      <c r="F15" s="81"/>
      <c r="G15" s="163"/>
      <c r="H15" s="125">
        <f>SUM(H13:H14)</f>
        <v>1579400</v>
      </c>
    </row>
    <row r="16" spans="3:13">
      <c r="C16" s="153" t="s">
        <v>1227</v>
      </c>
      <c r="D16" s="60" t="s">
        <v>1228</v>
      </c>
      <c r="E16" s="74"/>
      <c r="F16" s="74"/>
      <c r="G16" s="74"/>
      <c r="H16" s="147"/>
    </row>
    <row r="17" spans="3:11">
      <c r="C17" s="145" t="s">
        <v>1229</v>
      </c>
      <c r="D17" s="81"/>
      <c r="E17" s="81"/>
      <c r="F17" s="81"/>
      <c r="G17" s="163"/>
      <c r="H17" s="154">
        <v>0</v>
      </c>
    </row>
    <row r="18" spans="3:11">
      <c r="C18" s="123" t="s">
        <v>1230</v>
      </c>
      <c r="D18" s="70" t="s">
        <v>1231</v>
      </c>
      <c r="E18" s="71"/>
      <c r="F18" s="71"/>
      <c r="G18" s="72"/>
      <c r="H18" s="125">
        <f>H17+H15+H11</f>
        <v>1827200</v>
      </c>
    </row>
    <row r="19" spans="3:11">
      <c r="C19" s="123" t="s">
        <v>1232</v>
      </c>
      <c r="D19" s="70" t="s">
        <v>1410</v>
      </c>
      <c r="E19" s="71"/>
      <c r="F19" s="72"/>
      <c r="G19" s="96">
        <f>$M$7</f>
        <v>0.1</v>
      </c>
      <c r="H19" s="125">
        <f>H18*G19</f>
        <v>182720</v>
      </c>
    </row>
    <row r="20" spans="3:11" ht="15.75" thickBot="1">
      <c r="C20" s="131" t="s">
        <v>1233</v>
      </c>
      <c r="D20" s="132" t="s">
        <v>1234</v>
      </c>
      <c r="E20" s="133"/>
      <c r="F20" s="133"/>
      <c r="G20" s="156"/>
      <c r="H20" s="135">
        <f>SUM(H18:H19)</f>
        <v>2009920</v>
      </c>
    </row>
    <row r="21" spans="3:11" ht="15.75" thickTop="1">
      <c r="C21" s="90"/>
      <c r="D21" s="91"/>
      <c r="E21" s="91"/>
      <c r="F21" s="91"/>
      <c r="G21" s="91"/>
      <c r="H21" s="92"/>
    </row>
    <row r="22" spans="3:11" ht="15.75" thickBot="1">
      <c r="C22" s="224" t="s">
        <v>1739</v>
      </c>
      <c r="D22" s="226"/>
      <c r="E22" s="226"/>
      <c r="F22" s="226"/>
      <c r="G22" s="226"/>
      <c r="H22" s="226"/>
      <c r="I22" s="57">
        <f>ROUNDDOWN(H38,-2)</f>
        <v>425800</v>
      </c>
      <c r="K22" s="216"/>
    </row>
    <row r="23" spans="3:11" ht="29.25" thickTop="1">
      <c r="C23" s="120" t="s">
        <v>1207</v>
      </c>
      <c r="D23" s="121" t="s">
        <v>1208</v>
      </c>
      <c r="E23" s="121" t="s">
        <v>1209</v>
      </c>
      <c r="F23" s="121" t="s">
        <v>1210</v>
      </c>
      <c r="G23" s="121" t="s">
        <v>1211</v>
      </c>
      <c r="H23" s="122" t="s">
        <v>1212</v>
      </c>
      <c r="K23" s="216"/>
    </row>
    <row r="24" spans="3:11">
      <c r="C24" s="142" t="s">
        <v>1213</v>
      </c>
      <c r="D24" s="60" t="s">
        <v>1214</v>
      </c>
      <c r="E24" s="74"/>
      <c r="F24" s="74"/>
      <c r="G24" s="74"/>
      <c r="H24" s="147"/>
      <c r="K24" s="216"/>
    </row>
    <row r="25" spans="3:11">
      <c r="C25" s="143">
        <v>1</v>
      </c>
      <c r="D25" s="60" t="s">
        <v>5</v>
      </c>
      <c r="E25" s="73" t="s">
        <v>6</v>
      </c>
      <c r="F25" s="94">
        <v>0.5</v>
      </c>
      <c r="G25" s="65">
        <f>VLOOKUP(D25,upahbahan,3,FALSE)</f>
        <v>100000</v>
      </c>
      <c r="H25" s="125">
        <f t="shared" ref="H25:H28" si="2">F25*G25</f>
        <v>50000</v>
      </c>
      <c r="K25" s="216"/>
    </row>
    <row r="26" spans="3:11">
      <c r="C26" s="143">
        <v>2</v>
      </c>
      <c r="D26" s="60" t="s">
        <v>7</v>
      </c>
      <c r="E26" s="73" t="s">
        <v>6</v>
      </c>
      <c r="F26" s="94">
        <v>0.5</v>
      </c>
      <c r="G26" s="65">
        <f>VLOOKUP(D26,upahbahan,3,FALSE)</f>
        <v>145000</v>
      </c>
      <c r="H26" s="125">
        <f t="shared" si="2"/>
        <v>72500</v>
      </c>
      <c r="K26" s="216"/>
    </row>
    <row r="27" spans="3:11">
      <c r="C27" s="143">
        <v>3</v>
      </c>
      <c r="D27" s="60" t="s">
        <v>18</v>
      </c>
      <c r="E27" s="73" t="s">
        <v>6</v>
      </c>
      <c r="F27" s="94">
        <v>0.05</v>
      </c>
      <c r="G27" s="65">
        <f>VLOOKUP(D27,upahbahan,3,FALSE)</f>
        <v>150000</v>
      </c>
      <c r="H27" s="125">
        <f t="shared" si="2"/>
        <v>7500</v>
      </c>
      <c r="K27" s="216"/>
    </row>
    <row r="28" spans="3:11">
      <c r="C28" s="143">
        <v>4</v>
      </c>
      <c r="D28" s="60" t="s">
        <v>19</v>
      </c>
      <c r="E28" s="73" t="s">
        <v>6</v>
      </c>
      <c r="F28" s="94">
        <v>1.67E-2</v>
      </c>
      <c r="G28" s="65">
        <f>VLOOKUP(D28,upahbahan,3,FALSE)</f>
        <v>145000</v>
      </c>
      <c r="H28" s="125">
        <f t="shared" si="2"/>
        <v>2421.5</v>
      </c>
      <c r="K28" s="216"/>
    </row>
    <row r="29" spans="3:11">
      <c r="C29" s="145" t="s">
        <v>1220</v>
      </c>
      <c r="D29" s="81"/>
      <c r="E29" s="81"/>
      <c r="F29" s="220"/>
      <c r="G29" s="221"/>
      <c r="H29" s="125">
        <f>SUM(H25:H28)</f>
        <v>132421.5</v>
      </c>
      <c r="I29" s="222"/>
      <c r="K29" s="216"/>
    </row>
    <row r="30" spans="3:11">
      <c r="C30" s="142" t="s">
        <v>1221</v>
      </c>
      <c r="D30" s="60" t="s">
        <v>1222</v>
      </c>
      <c r="E30" s="74"/>
      <c r="F30" s="74"/>
      <c r="G30" s="74"/>
      <c r="H30" s="147"/>
      <c r="K30" s="216"/>
    </row>
    <row r="31" spans="3:11">
      <c r="C31" s="143">
        <v>1</v>
      </c>
      <c r="D31" s="60" t="s">
        <v>695</v>
      </c>
      <c r="E31" s="73" t="s">
        <v>44</v>
      </c>
      <c r="F31" s="75">
        <v>1</v>
      </c>
      <c r="G31" s="65">
        <f>VLOOKUP(D31,upahbahan,3,FALSE)</f>
        <v>250000</v>
      </c>
      <c r="H31" s="125">
        <f t="shared" ref="H31:H32" si="3">F31*G31</f>
        <v>250000</v>
      </c>
      <c r="K31" s="216"/>
    </row>
    <row r="32" spans="3:11">
      <c r="C32" s="143">
        <v>2</v>
      </c>
      <c r="D32" s="365" t="s">
        <v>1740</v>
      </c>
      <c r="E32" s="73" t="s">
        <v>63</v>
      </c>
      <c r="F32" s="75">
        <v>3.5999999999999997E-2</v>
      </c>
      <c r="G32" s="326">
        <f>'[1]Pek. Pasangan Dinding'!G134</f>
        <v>130878</v>
      </c>
      <c r="H32" s="125">
        <f t="shared" si="3"/>
        <v>4711.6079999999993</v>
      </c>
      <c r="K32" s="216"/>
    </row>
    <row r="33" spans="3:11">
      <c r="C33" s="145" t="s">
        <v>1226</v>
      </c>
      <c r="D33" s="81"/>
      <c r="E33" s="81"/>
      <c r="F33" s="81"/>
      <c r="G33" s="163"/>
      <c r="H33" s="125">
        <f>SUM(H31:H32)</f>
        <v>254711.60800000001</v>
      </c>
      <c r="K33" s="216"/>
    </row>
    <row r="34" spans="3:11">
      <c r="C34" s="153" t="s">
        <v>1227</v>
      </c>
      <c r="D34" s="60" t="s">
        <v>1228</v>
      </c>
      <c r="E34" s="74"/>
      <c r="F34" s="74"/>
      <c r="G34" s="74"/>
      <c r="H34" s="147"/>
      <c r="K34" s="216"/>
    </row>
    <row r="35" spans="3:11">
      <c r="C35" s="145" t="s">
        <v>1229</v>
      </c>
      <c r="D35" s="81"/>
      <c r="E35" s="81"/>
      <c r="F35" s="81"/>
      <c r="G35" s="163"/>
      <c r="H35" s="154">
        <v>0</v>
      </c>
      <c r="K35" s="216"/>
    </row>
    <row r="36" spans="3:11">
      <c r="C36" s="123" t="s">
        <v>1230</v>
      </c>
      <c r="D36" s="70" t="s">
        <v>1231</v>
      </c>
      <c r="E36" s="71"/>
      <c r="F36" s="71"/>
      <c r="G36" s="72"/>
      <c r="H36" s="125">
        <f>H35+H33+H29</f>
        <v>387133.10800000001</v>
      </c>
      <c r="K36" s="216"/>
    </row>
    <row r="37" spans="3:11">
      <c r="C37" s="123" t="s">
        <v>1232</v>
      </c>
      <c r="D37" s="70" t="s">
        <v>1410</v>
      </c>
      <c r="E37" s="71"/>
      <c r="F37" s="72"/>
      <c r="G37" s="96">
        <f>$M$7</f>
        <v>0.1</v>
      </c>
      <c r="H37" s="125">
        <f>H36*G37</f>
        <v>38713.310799999999</v>
      </c>
      <c r="K37" s="216"/>
    </row>
    <row r="38" spans="3:11" ht="15.75" thickBot="1">
      <c r="C38" s="131" t="s">
        <v>1233</v>
      </c>
      <c r="D38" s="132" t="s">
        <v>1234</v>
      </c>
      <c r="E38" s="133"/>
      <c r="F38" s="133"/>
      <c r="G38" s="156"/>
      <c r="H38" s="135">
        <f>SUM(H36:H37)</f>
        <v>425846.41879999998</v>
      </c>
      <c r="K38" s="216"/>
    </row>
    <row r="39" spans="3:11" ht="15.75" thickTop="1">
      <c r="C39" s="90"/>
      <c r="D39" s="91"/>
      <c r="E39" s="91"/>
      <c r="F39" s="91"/>
      <c r="G39" s="91"/>
      <c r="H39" s="92"/>
      <c r="K39" s="216"/>
    </row>
    <row r="40" spans="3:11" ht="15.75" thickBot="1">
      <c r="C40" s="224" t="s">
        <v>1741</v>
      </c>
      <c r="D40" s="226"/>
      <c r="E40" s="226"/>
      <c r="F40" s="226"/>
      <c r="G40" s="226"/>
      <c r="H40" s="226"/>
      <c r="I40" s="57">
        <f>ROUNDDOWN(H56,-2)</f>
        <v>1445600</v>
      </c>
      <c r="K40" s="216"/>
    </row>
    <row r="41" spans="3:11" ht="29.25" thickTop="1">
      <c r="C41" s="120" t="s">
        <v>1207</v>
      </c>
      <c r="D41" s="121" t="s">
        <v>1208</v>
      </c>
      <c r="E41" s="121" t="s">
        <v>1209</v>
      </c>
      <c r="F41" s="121" t="s">
        <v>1210</v>
      </c>
      <c r="G41" s="121" t="s">
        <v>1211</v>
      </c>
      <c r="H41" s="122" t="s">
        <v>1212</v>
      </c>
      <c r="K41" s="216"/>
    </row>
    <row r="42" spans="3:11">
      <c r="C42" s="142" t="s">
        <v>1213</v>
      </c>
      <c r="D42" s="60" t="s">
        <v>1214</v>
      </c>
      <c r="E42" s="74"/>
      <c r="F42" s="74"/>
      <c r="G42" s="74"/>
      <c r="H42" s="147"/>
      <c r="K42" s="216"/>
    </row>
    <row r="43" spans="3:11">
      <c r="C43" s="143">
        <v>1</v>
      </c>
      <c r="D43" s="60" t="s">
        <v>5</v>
      </c>
      <c r="E43" s="73" t="s">
        <v>6</v>
      </c>
      <c r="F43" s="94">
        <v>0.1</v>
      </c>
      <c r="G43" s="65">
        <f>VLOOKUP(D43,upahbahan,3,FALSE)</f>
        <v>100000</v>
      </c>
      <c r="H43" s="125">
        <f t="shared" ref="H43:H46" si="4">F43*G43</f>
        <v>10000</v>
      </c>
      <c r="K43" s="216"/>
    </row>
    <row r="44" spans="3:11">
      <c r="C44" s="143">
        <v>2</v>
      </c>
      <c r="D44" s="60" t="s">
        <v>7</v>
      </c>
      <c r="E44" s="73" t="s">
        <v>6</v>
      </c>
      <c r="F44" s="94">
        <v>0.05</v>
      </c>
      <c r="G44" s="65">
        <f>VLOOKUP(D44,upahbahan,3,FALSE)</f>
        <v>145000</v>
      </c>
      <c r="H44" s="125">
        <f t="shared" si="4"/>
        <v>7250</v>
      </c>
      <c r="K44" s="216"/>
    </row>
    <row r="45" spans="3:11">
      <c r="C45" s="143">
        <v>3</v>
      </c>
      <c r="D45" s="60" t="s">
        <v>18</v>
      </c>
      <c r="E45" s="73" t="s">
        <v>6</v>
      </c>
      <c r="F45" s="94">
        <v>5.0000000000000001E-3</v>
      </c>
      <c r="G45" s="65">
        <f>VLOOKUP(D45,upahbahan,3,FALSE)</f>
        <v>150000</v>
      </c>
      <c r="H45" s="125">
        <f t="shared" si="4"/>
        <v>750</v>
      </c>
      <c r="K45" s="216"/>
    </row>
    <row r="46" spans="3:11">
      <c r="C46" s="143">
        <v>4</v>
      </c>
      <c r="D46" s="60" t="s">
        <v>19</v>
      </c>
      <c r="E46" s="73" t="s">
        <v>6</v>
      </c>
      <c r="F46" s="94">
        <v>1.6999999999999999E-3</v>
      </c>
      <c r="G46" s="65">
        <f>VLOOKUP(D46,upahbahan,3,FALSE)</f>
        <v>145000</v>
      </c>
      <c r="H46" s="125">
        <f t="shared" si="4"/>
        <v>246.5</v>
      </c>
      <c r="K46" s="216"/>
    </row>
    <row r="47" spans="3:11">
      <c r="C47" s="145" t="s">
        <v>1220</v>
      </c>
      <c r="D47" s="81"/>
      <c r="E47" s="81"/>
      <c r="F47" s="220"/>
      <c r="G47" s="221"/>
      <c r="H47" s="125">
        <f>SUM(H43:H46)</f>
        <v>18246.5</v>
      </c>
      <c r="I47" s="222"/>
      <c r="K47" s="216"/>
    </row>
    <row r="48" spans="3:11">
      <c r="C48" s="142" t="s">
        <v>1221</v>
      </c>
      <c r="D48" s="60" t="s">
        <v>1222</v>
      </c>
      <c r="E48" s="74"/>
      <c r="F48" s="74"/>
      <c r="G48" s="74"/>
      <c r="H48" s="147"/>
      <c r="K48" s="216"/>
    </row>
    <row r="49" spans="3:11">
      <c r="C49" s="143">
        <v>1</v>
      </c>
      <c r="D49" s="60" t="s">
        <v>728</v>
      </c>
      <c r="E49" s="73" t="s">
        <v>63</v>
      </c>
      <c r="F49" s="75">
        <v>1.05</v>
      </c>
      <c r="G49" s="65">
        <f>VLOOKUP(D49,upahbahan,3,FALSE)</f>
        <v>1200000</v>
      </c>
      <c r="H49" s="125">
        <f t="shared" ref="H49:H50" si="5">F49*G49</f>
        <v>1260000</v>
      </c>
      <c r="K49" s="216"/>
    </row>
    <row r="50" spans="3:11">
      <c r="C50" s="143">
        <v>2</v>
      </c>
      <c r="D50" s="366" t="s">
        <v>705</v>
      </c>
      <c r="E50" s="73" t="s">
        <v>639</v>
      </c>
      <c r="F50" s="75">
        <v>3.5999999999999997E-2</v>
      </c>
      <c r="G50" s="65">
        <f>VLOOKUP(D50,upahbahan,3,FALSE)</f>
        <v>1000000</v>
      </c>
      <c r="H50" s="125">
        <f t="shared" si="5"/>
        <v>36000</v>
      </c>
      <c r="K50" s="216"/>
    </row>
    <row r="51" spans="3:11">
      <c r="C51" s="145" t="s">
        <v>1226</v>
      </c>
      <c r="D51" s="81"/>
      <c r="E51" s="81"/>
      <c r="F51" s="81"/>
      <c r="G51" s="163"/>
      <c r="H51" s="125">
        <f>SUM(H49:H50)</f>
        <v>1296000</v>
      </c>
      <c r="K51" s="216"/>
    </row>
    <row r="52" spans="3:11">
      <c r="C52" s="153" t="s">
        <v>1227</v>
      </c>
      <c r="D52" s="60" t="s">
        <v>1228</v>
      </c>
      <c r="E52" s="74"/>
      <c r="F52" s="74"/>
      <c r="G52" s="74"/>
      <c r="H52" s="147"/>
      <c r="K52" s="216"/>
    </row>
    <row r="53" spans="3:11">
      <c r="C53" s="145" t="s">
        <v>1229</v>
      </c>
      <c r="D53" s="81"/>
      <c r="E53" s="81"/>
      <c r="F53" s="81"/>
      <c r="G53" s="163"/>
      <c r="H53" s="154">
        <v>0</v>
      </c>
      <c r="K53" s="216"/>
    </row>
    <row r="54" spans="3:11">
      <c r="C54" s="123" t="s">
        <v>1230</v>
      </c>
      <c r="D54" s="70" t="s">
        <v>1231</v>
      </c>
      <c r="E54" s="71"/>
      <c r="F54" s="71"/>
      <c r="G54" s="72"/>
      <c r="H54" s="125">
        <f>H53+H51+H47</f>
        <v>1314246.5</v>
      </c>
      <c r="K54" s="216"/>
    </row>
    <row r="55" spans="3:11">
      <c r="C55" s="123" t="s">
        <v>1232</v>
      </c>
      <c r="D55" s="70" t="s">
        <v>1410</v>
      </c>
      <c r="E55" s="71"/>
      <c r="F55" s="72"/>
      <c r="G55" s="96">
        <f>$M$7</f>
        <v>0.1</v>
      </c>
      <c r="H55" s="125">
        <f>H54*G55</f>
        <v>131424.65</v>
      </c>
      <c r="K55" s="216"/>
    </row>
    <row r="56" spans="3:11" ht="15.75" thickBot="1">
      <c r="C56" s="131" t="s">
        <v>1233</v>
      </c>
      <c r="D56" s="132" t="s">
        <v>1234</v>
      </c>
      <c r="E56" s="133"/>
      <c r="F56" s="133"/>
      <c r="G56" s="156"/>
      <c r="H56" s="135">
        <f>SUM(H54:H55)</f>
        <v>1445671.15</v>
      </c>
      <c r="K56" s="216"/>
    </row>
    <row r="57" spans="3:11" ht="15.75" thickTop="1">
      <c r="C57" s="90"/>
      <c r="D57" s="91"/>
      <c r="E57" s="91"/>
      <c r="F57" s="91"/>
      <c r="G57" s="91"/>
      <c r="H57" s="92"/>
      <c r="K57" s="216"/>
    </row>
    <row r="58" spans="3:11" ht="15.75" thickBot="1">
      <c r="C58" s="224" t="s">
        <v>1742</v>
      </c>
      <c r="D58" s="226"/>
      <c r="E58" s="226"/>
      <c r="F58" s="226"/>
      <c r="G58" s="226"/>
      <c r="H58" s="226"/>
      <c r="I58" s="57">
        <f>ROUNDDOWN(H75,-2)</f>
        <v>805300</v>
      </c>
      <c r="K58" s="216"/>
    </row>
    <row r="59" spans="3:11" ht="29.25" thickTop="1">
      <c r="C59" s="120" t="s">
        <v>1207</v>
      </c>
      <c r="D59" s="121" t="s">
        <v>1208</v>
      </c>
      <c r="E59" s="121" t="s">
        <v>1209</v>
      </c>
      <c r="F59" s="121" t="s">
        <v>1210</v>
      </c>
      <c r="G59" s="121" t="s">
        <v>1211</v>
      </c>
      <c r="H59" s="122" t="s">
        <v>1212</v>
      </c>
      <c r="K59" s="216"/>
    </row>
    <row r="60" spans="3:11">
      <c r="C60" s="142" t="s">
        <v>1213</v>
      </c>
      <c r="D60" s="60" t="s">
        <v>1214</v>
      </c>
      <c r="E60" s="74"/>
      <c r="F60" s="74"/>
      <c r="G60" s="74"/>
      <c r="H60" s="147"/>
      <c r="K60" s="216"/>
    </row>
    <row r="61" spans="3:11">
      <c r="C61" s="143">
        <v>1</v>
      </c>
      <c r="D61" s="60" t="s">
        <v>5</v>
      </c>
      <c r="E61" s="73" t="s">
        <v>6</v>
      </c>
      <c r="F61" s="94">
        <v>1</v>
      </c>
      <c r="G61" s="65">
        <f>VLOOKUP(D61,upahbahan,3,FALSE)</f>
        <v>100000</v>
      </c>
      <c r="H61" s="125">
        <f t="shared" ref="H61:H64" si="6">F61*G61</f>
        <v>100000</v>
      </c>
      <c r="K61" s="216"/>
    </row>
    <row r="62" spans="3:11">
      <c r="C62" s="143">
        <v>2</v>
      </c>
      <c r="D62" s="60" t="s">
        <v>7</v>
      </c>
      <c r="E62" s="73" t="s">
        <v>6</v>
      </c>
      <c r="F62" s="94">
        <v>1</v>
      </c>
      <c r="G62" s="65">
        <f>VLOOKUP(D62,upahbahan,3,FALSE)</f>
        <v>145000</v>
      </c>
      <c r="H62" s="125">
        <f t="shared" si="6"/>
        <v>145000</v>
      </c>
      <c r="K62" s="216"/>
    </row>
    <row r="63" spans="3:11">
      <c r="C63" s="143">
        <v>3</v>
      </c>
      <c r="D63" s="60" t="s">
        <v>18</v>
      </c>
      <c r="E63" s="73" t="s">
        <v>6</v>
      </c>
      <c r="F63" s="94">
        <v>0.1</v>
      </c>
      <c r="G63" s="65">
        <f>VLOOKUP(D63,upahbahan,3,FALSE)</f>
        <v>150000</v>
      </c>
      <c r="H63" s="125">
        <f t="shared" si="6"/>
        <v>15000</v>
      </c>
      <c r="K63" s="216"/>
    </row>
    <row r="64" spans="3:11">
      <c r="C64" s="143">
        <v>4</v>
      </c>
      <c r="D64" s="60" t="s">
        <v>19</v>
      </c>
      <c r="E64" s="73" t="s">
        <v>6</v>
      </c>
      <c r="F64" s="94">
        <v>3.3300000000000003E-2</v>
      </c>
      <c r="G64" s="65">
        <f>VLOOKUP(D64,upahbahan,3,FALSE)</f>
        <v>145000</v>
      </c>
      <c r="H64" s="125">
        <f t="shared" si="6"/>
        <v>4828.5000000000009</v>
      </c>
      <c r="K64" s="216"/>
    </row>
    <row r="65" spans="3:11">
      <c r="C65" s="145" t="s">
        <v>1220</v>
      </c>
      <c r="D65" s="81"/>
      <c r="E65" s="81"/>
      <c r="F65" s="220"/>
      <c r="G65" s="221"/>
      <c r="H65" s="125">
        <f>SUM(H61:H64)</f>
        <v>264828.5</v>
      </c>
      <c r="I65" s="222"/>
      <c r="K65" s="216"/>
    </row>
    <row r="66" spans="3:11">
      <c r="C66" s="142" t="s">
        <v>1221</v>
      </c>
      <c r="D66" s="60" t="s">
        <v>1222</v>
      </c>
      <c r="E66" s="74"/>
      <c r="F66" s="74"/>
      <c r="G66" s="74"/>
      <c r="H66" s="147"/>
      <c r="K66" s="216"/>
    </row>
    <row r="67" spans="3:11">
      <c r="C67" s="143">
        <v>1</v>
      </c>
      <c r="D67" s="60" t="s">
        <v>756</v>
      </c>
      <c r="E67" s="73" t="s">
        <v>44</v>
      </c>
      <c r="F67" s="230">
        <v>1</v>
      </c>
      <c r="G67" s="65">
        <f>VLOOKUP(D67,upahbahan,3,FALSE)</f>
        <v>456800</v>
      </c>
      <c r="H67" s="125">
        <f t="shared" ref="H67:H69" si="7">F67*G67</f>
        <v>456800</v>
      </c>
      <c r="K67" s="216"/>
    </row>
    <row r="68" spans="3:11">
      <c r="C68" s="143">
        <v>2</v>
      </c>
      <c r="D68" s="60" t="s">
        <v>568</v>
      </c>
      <c r="E68" s="73" t="s">
        <v>66</v>
      </c>
      <c r="F68" s="230">
        <v>6</v>
      </c>
      <c r="G68" s="65">
        <f>VLOOKUP(D68,upahbahan,3,FALSE)</f>
        <v>1300</v>
      </c>
      <c r="H68" s="125">
        <f t="shared" si="7"/>
        <v>7800</v>
      </c>
      <c r="K68" s="216"/>
    </row>
    <row r="69" spans="3:11">
      <c r="C69" s="143">
        <v>3</v>
      </c>
      <c r="D69" s="78" t="s">
        <v>86</v>
      </c>
      <c r="E69" s="73" t="s">
        <v>42</v>
      </c>
      <c r="F69" s="230">
        <v>0.01</v>
      </c>
      <c r="G69" s="65">
        <f>VLOOKUP(D69,upahbahan,3,FALSE)</f>
        <v>275000</v>
      </c>
      <c r="H69" s="125">
        <f t="shared" si="7"/>
        <v>2750</v>
      </c>
      <c r="K69" s="216"/>
    </row>
    <row r="70" spans="3:11">
      <c r="C70" s="145" t="s">
        <v>1226</v>
      </c>
      <c r="D70" s="81"/>
      <c r="E70" s="81"/>
      <c r="F70" s="81"/>
      <c r="G70" s="163"/>
      <c r="H70" s="125">
        <f>SUM(H67:H69)</f>
        <v>467350</v>
      </c>
      <c r="K70" s="216"/>
    </row>
    <row r="71" spans="3:11">
      <c r="C71" s="153" t="s">
        <v>1227</v>
      </c>
      <c r="D71" s="60" t="s">
        <v>1228</v>
      </c>
      <c r="E71" s="74"/>
      <c r="F71" s="74"/>
      <c r="G71" s="74"/>
      <c r="H71" s="147"/>
      <c r="K71" s="216"/>
    </row>
    <row r="72" spans="3:11">
      <c r="C72" s="145" t="s">
        <v>1229</v>
      </c>
      <c r="D72" s="81"/>
      <c r="E72" s="81"/>
      <c r="F72" s="81"/>
      <c r="G72" s="163"/>
      <c r="H72" s="154">
        <v>0</v>
      </c>
      <c r="K72" s="216"/>
    </row>
    <row r="73" spans="3:11">
      <c r="C73" s="123" t="s">
        <v>1230</v>
      </c>
      <c r="D73" s="70" t="s">
        <v>1231</v>
      </c>
      <c r="E73" s="71"/>
      <c r="F73" s="71"/>
      <c r="G73" s="72"/>
      <c r="H73" s="125">
        <f>H72+H70+H65</f>
        <v>732178.5</v>
      </c>
      <c r="K73" s="216"/>
    </row>
    <row r="74" spans="3:11">
      <c r="C74" s="123" t="s">
        <v>1232</v>
      </c>
      <c r="D74" s="70" t="s">
        <v>1410</v>
      </c>
      <c r="E74" s="71"/>
      <c r="F74" s="72"/>
      <c r="G74" s="96">
        <f>$M$7</f>
        <v>0.1</v>
      </c>
      <c r="H74" s="125">
        <f>H73*G74</f>
        <v>73217.850000000006</v>
      </c>
      <c r="K74" s="216"/>
    </row>
    <row r="75" spans="3:11" ht="15.75" thickBot="1">
      <c r="C75" s="131" t="s">
        <v>1233</v>
      </c>
      <c r="D75" s="132" t="s">
        <v>1234</v>
      </c>
      <c r="E75" s="133"/>
      <c r="F75" s="133"/>
      <c r="G75" s="156"/>
      <c r="H75" s="135">
        <f>SUM(H73:H74)</f>
        <v>805396.35</v>
      </c>
      <c r="K75" s="216"/>
    </row>
    <row r="76" spans="3:11" ht="15.75" thickTop="1">
      <c r="C76" s="90"/>
      <c r="D76" s="91"/>
      <c r="E76" s="91"/>
      <c r="F76" s="91"/>
      <c r="G76" s="91"/>
      <c r="H76" s="92"/>
      <c r="K76" s="216"/>
    </row>
    <row r="77" spans="3:11" ht="15.75" thickBot="1">
      <c r="C77" s="224" t="s">
        <v>1743</v>
      </c>
      <c r="D77" s="226"/>
      <c r="E77" s="226"/>
      <c r="F77" s="226"/>
      <c r="G77" s="226"/>
      <c r="H77" s="226"/>
      <c r="I77" s="57">
        <f>ROUNDDOWN(H93,-2)</f>
        <v>1006400</v>
      </c>
      <c r="K77" s="216"/>
    </row>
    <row r="78" spans="3:11" ht="29.25" thickTop="1">
      <c r="C78" s="120" t="s">
        <v>1207</v>
      </c>
      <c r="D78" s="121" t="s">
        <v>1208</v>
      </c>
      <c r="E78" s="121" t="s">
        <v>1209</v>
      </c>
      <c r="F78" s="121" t="s">
        <v>1210</v>
      </c>
      <c r="G78" s="121" t="s">
        <v>1211</v>
      </c>
      <c r="H78" s="122" t="s">
        <v>1212</v>
      </c>
      <c r="K78" s="216"/>
    </row>
    <row r="79" spans="3:11">
      <c r="C79" s="142" t="s">
        <v>1213</v>
      </c>
      <c r="D79" s="60" t="s">
        <v>1214</v>
      </c>
      <c r="E79" s="74"/>
      <c r="F79" s="74"/>
      <c r="G79" s="74"/>
      <c r="H79" s="147"/>
      <c r="K79" s="216"/>
    </row>
    <row r="80" spans="3:11">
      <c r="C80" s="143">
        <v>1</v>
      </c>
      <c r="D80" s="60" t="s">
        <v>5</v>
      </c>
      <c r="E80" s="73" t="s">
        <v>6</v>
      </c>
      <c r="F80" s="94">
        <v>0.5</v>
      </c>
      <c r="G80" s="65">
        <f>VLOOKUP(D80,upahbahan,3,FALSE)</f>
        <v>100000</v>
      </c>
      <c r="H80" s="125">
        <f t="shared" ref="H80:H83" si="8">F80*G80</f>
        <v>50000</v>
      </c>
      <c r="K80" s="216"/>
    </row>
    <row r="81" spans="3:11">
      <c r="C81" s="143">
        <v>2</v>
      </c>
      <c r="D81" s="60" t="s">
        <v>7</v>
      </c>
      <c r="E81" s="73" t="s">
        <v>6</v>
      </c>
      <c r="F81" s="94">
        <v>1</v>
      </c>
      <c r="G81" s="65">
        <f>VLOOKUP(D81,upahbahan,3,FALSE)</f>
        <v>145000</v>
      </c>
      <c r="H81" s="125">
        <f t="shared" si="8"/>
        <v>145000</v>
      </c>
      <c r="K81" s="216"/>
    </row>
    <row r="82" spans="3:11">
      <c r="C82" s="143">
        <v>3</v>
      </c>
      <c r="D82" s="60" t="s">
        <v>18</v>
      </c>
      <c r="E82" s="73" t="s">
        <v>6</v>
      </c>
      <c r="F82" s="94">
        <v>0.1</v>
      </c>
      <c r="G82" s="65">
        <f>VLOOKUP(D82,upahbahan,3,FALSE)</f>
        <v>150000</v>
      </c>
      <c r="H82" s="125">
        <f t="shared" si="8"/>
        <v>15000</v>
      </c>
      <c r="K82" s="216"/>
    </row>
    <row r="83" spans="3:11">
      <c r="C83" s="143">
        <v>4</v>
      </c>
      <c r="D83" s="60" t="s">
        <v>19</v>
      </c>
      <c r="E83" s="73" t="s">
        <v>6</v>
      </c>
      <c r="F83" s="94">
        <v>3.3300000000000003E-2</v>
      </c>
      <c r="G83" s="65">
        <f>VLOOKUP(D83,upahbahan,3,FALSE)</f>
        <v>145000</v>
      </c>
      <c r="H83" s="125">
        <f t="shared" si="8"/>
        <v>4828.5000000000009</v>
      </c>
      <c r="K83" s="216"/>
    </row>
    <row r="84" spans="3:11">
      <c r="C84" s="145" t="s">
        <v>1220</v>
      </c>
      <c r="D84" s="81"/>
      <c r="E84" s="81"/>
      <c r="F84" s="220"/>
      <c r="G84" s="221"/>
      <c r="H84" s="125">
        <f>SUM(H80:H83)</f>
        <v>214828.5</v>
      </c>
      <c r="I84" s="222"/>
      <c r="K84" s="216"/>
    </row>
    <row r="85" spans="3:11">
      <c r="C85" s="142" t="s">
        <v>1221</v>
      </c>
      <c r="D85" s="60" t="s">
        <v>1222</v>
      </c>
      <c r="E85" s="74"/>
      <c r="F85" s="74"/>
      <c r="G85" s="74"/>
      <c r="H85" s="147"/>
      <c r="K85" s="216"/>
    </row>
    <row r="86" spans="3:11">
      <c r="C86" s="143">
        <v>1</v>
      </c>
      <c r="D86" s="60" t="s">
        <v>704</v>
      </c>
      <c r="E86" s="73" t="s">
        <v>44</v>
      </c>
      <c r="F86" s="75">
        <v>1</v>
      </c>
      <c r="G86" s="65">
        <f>VLOOKUP(D86,upahbahan,3,FALSE)</f>
        <v>700000</v>
      </c>
      <c r="H86" s="125">
        <f t="shared" ref="H86:H87" si="9">F86*G86</f>
        <v>700000</v>
      </c>
      <c r="K86" s="216"/>
    </row>
    <row r="87" spans="3:11">
      <c r="C87" s="143">
        <v>2</v>
      </c>
      <c r="D87" s="60" t="s">
        <v>1060</v>
      </c>
      <c r="E87" s="73" t="s">
        <v>44</v>
      </c>
      <c r="F87" s="75">
        <v>2.5000000000000001E-2</v>
      </c>
      <c r="G87" s="65">
        <f>VLOOKUP(D87,upahbahan,3,FALSE)</f>
        <v>5700</v>
      </c>
      <c r="H87" s="125">
        <f t="shared" si="9"/>
        <v>142.5</v>
      </c>
      <c r="K87" s="216"/>
    </row>
    <row r="88" spans="3:11">
      <c r="C88" s="145" t="s">
        <v>1226</v>
      </c>
      <c r="D88" s="81"/>
      <c r="E88" s="81"/>
      <c r="F88" s="81"/>
      <c r="G88" s="163"/>
      <c r="H88" s="125">
        <f>SUM(H86:H87)</f>
        <v>700142.5</v>
      </c>
      <c r="K88" s="216"/>
    </row>
    <row r="89" spans="3:11">
      <c r="C89" s="153" t="s">
        <v>1227</v>
      </c>
      <c r="D89" s="60" t="s">
        <v>1228</v>
      </c>
      <c r="E89" s="74"/>
      <c r="F89" s="74"/>
      <c r="G89" s="74"/>
      <c r="H89" s="147"/>
      <c r="K89" s="216"/>
    </row>
    <row r="90" spans="3:11">
      <c r="C90" s="145" t="s">
        <v>1229</v>
      </c>
      <c r="D90" s="81"/>
      <c r="E90" s="81"/>
      <c r="F90" s="81"/>
      <c r="G90" s="163"/>
      <c r="H90" s="154">
        <v>0</v>
      </c>
      <c r="K90" s="216"/>
    </row>
    <row r="91" spans="3:11">
      <c r="C91" s="123" t="s">
        <v>1230</v>
      </c>
      <c r="D91" s="70" t="s">
        <v>1231</v>
      </c>
      <c r="E91" s="71"/>
      <c r="F91" s="71"/>
      <c r="G91" s="72"/>
      <c r="H91" s="125">
        <f>H90+H88+H84</f>
        <v>914971</v>
      </c>
      <c r="K91" s="216"/>
    </row>
    <row r="92" spans="3:11">
      <c r="C92" s="123" t="s">
        <v>1232</v>
      </c>
      <c r="D92" s="70" t="s">
        <v>1410</v>
      </c>
      <c r="E92" s="71"/>
      <c r="F92" s="72"/>
      <c r="G92" s="96">
        <f>$M$7</f>
        <v>0.1</v>
      </c>
      <c r="H92" s="125">
        <f>H91*G92</f>
        <v>91497.1</v>
      </c>
      <c r="K92" s="216"/>
    </row>
    <row r="93" spans="3:11" ht="15.75" thickBot="1">
      <c r="C93" s="131" t="s">
        <v>1233</v>
      </c>
      <c r="D93" s="132" t="s">
        <v>1234</v>
      </c>
      <c r="E93" s="133"/>
      <c r="F93" s="133"/>
      <c r="G93" s="156"/>
      <c r="H93" s="135">
        <f>SUM(H91:H92)</f>
        <v>1006468.1</v>
      </c>
      <c r="K93" s="216"/>
    </row>
    <row r="94" spans="3:11" ht="15.75" thickTop="1">
      <c r="C94" s="90"/>
      <c r="D94" s="91"/>
      <c r="E94" s="91"/>
      <c r="F94" s="91"/>
      <c r="G94" s="91"/>
      <c r="H94" s="92"/>
      <c r="K94" s="216"/>
    </row>
    <row r="95" spans="3:11" ht="15.75" thickBot="1">
      <c r="C95" s="224" t="s">
        <v>1744</v>
      </c>
      <c r="D95" s="319"/>
      <c r="E95" s="319"/>
      <c r="F95" s="319"/>
      <c r="G95" s="319"/>
      <c r="H95" s="319"/>
      <c r="I95" s="57">
        <f>ROUNDDOWN(H112,-2)</f>
        <v>641400</v>
      </c>
      <c r="K95" s="216"/>
    </row>
    <row r="96" spans="3:11" ht="29.25" thickTop="1">
      <c r="C96" s="120" t="s">
        <v>1207</v>
      </c>
      <c r="D96" s="121" t="s">
        <v>1208</v>
      </c>
      <c r="E96" s="121" t="s">
        <v>1209</v>
      </c>
      <c r="F96" s="121" t="s">
        <v>1210</v>
      </c>
      <c r="G96" s="121" t="s">
        <v>1211</v>
      </c>
      <c r="H96" s="122" t="s">
        <v>1212</v>
      </c>
      <c r="K96" s="216"/>
    </row>
    <row r="97" spans="3:11">
      <c r="C97" s="142" t="s">
        <v>1213</v>
      </c>
      <c r="D97" s="60" t="s">
        <v>1214</v>
      </c>
      <c r="E97" s="74"/>
      <c r="F97" s="74"/>
      <c r="G97" s="74"/>
      <c r="H97" s="147"/>
      <c r="K97" s="216"/>
    </row>
    <row r="98" spans="3:11">
      <c r="C98" s="143">
        <v>1</v>
      </c>
      <c r="D98" s="60" t="s">
        <v>5</v>
      </c>
      <c r="E98" s="73" t="s">
        <v>6</v>
      </c>
      <c r="F98" s="94">
        <v>1</v>
      </c>
      <c r="G98" s="65">
        <f>VLOOKUP(D98,upahbahan,3,FALSE)</f>
        <v>100000</v>
      </c>
      <c r="H98" s="125">
        <f t="shared" ref="H98:H101" si="10">F98*G98</f>
        <v>100000</v>
      </c>
      <c r="K98" s="216"/>
    </row>
    <row r="99" spans="3:11">
      <c r="C99" s="143">
        <v>2</v>
      </c>
      <c r="D99" s="60" t="s">
        <v>7</v>
      </c>
      <c r="E99" s="73" t="s">
        <v>6</v>
      </c>
      <c r="F99" s="94">
        <v>0.5</v>
      </c>
      <c r="G99" s="65">
        <f>VLOOKUP(D99,upahbahan,3,FALSE)</f>
        <v>145000</v>
      </c>
      <c r="H99" s="125">
        <f t="shared" si="10"/>
        <v>72500</v>
      </c>
      <c r="K99" s="216"/>
    </row>
    <row r="100" spans="3:11">
      <c r="C100" s="143">
        <v>3</v>
      </c>
      <c r="D100" s="60" t="s">
        <v>18</v>
      </c>
      <c r="E100" s="73" t="s">
        <v>6</v>
      </c>
      <c r="F100" s="94">
        <v>0.05</v>
      </c>
      <c r="G100" s="65">
        <f>VLOOKUP(D100,upahbahan,3,FALSE)</f>
        <v>150000</v>
      </c>
      <c r="H100" s="125">
        <f t="shared" si="10"/>
        <v>7500</v>
      </c>
      <c r="K100" s="216"/>
    </row>
    <row r="101" spans="3:11">
      <c r="C101" s="143">
        <v>4</v>
      </c>
      <c r="D101" s="60" t="s">
        <v>19</v>
      </c>
      <c r="E101" s="73" t="s">
        <v>6</v>
      </c>
      <c r="F101" s="94">
        <v>1.67E-2</v>
      </c>
      <c r="G101" s="65">
        <f>VLOOKUP(D101,upahbahan,3,FALSE)</f>
        <v>145000</v>
      </c>
      <c r="H101" s="125">
        <f t="shared" si="10"/>
        <v>2421.5</v>
      </c>
      <c r="K101" s="216"/>
    </row>
    <row r="102" spans="3:11">
      <c r="C102" s="145" t="s">
        <v>1220</v>
      </c>
      <c r="D102" s="81"/>
      <c r="E102" s="81"/>
      <c r="F102" s="220"/>
      <c r="G102" s="221"/>
      <c r="H102" s="125">
        <f>SUM(H98:H101)</f>
        <v>182421.5</v>
      </c>
      <c r="I102" s="222"/>
      <c r="K102" s="216"/>
    </row>
    <row r="103" spans="3:11">
      <c r="C103" s="142" t="s">
        <v>1221</v>
      </c>
      <c r="D103" s="60" t="s">
        <v>1222</v>
      </c>
      <c r="E103" s="74"/>
      <c r="F103" s="74"/>
      <c r="G103" s="74"/>
      <c r="H103" s="147"/>
      <c r="K103" s="216"/>
    </row>
    <row r="104" spans="3:11">
      <c r="C104" s="143">
        <v>1</v>
      </c>
      <c r="D104" s="60" t="s">
        <v>757</v>
      </c>
      <c r="E104" s="73" t="s">
        <v>44</v>
      </c>
      <c r="F104" s="230">
        <v>1.2</v>
      </c>
      <c r="G104" s="65">
        <f>VLOOKUP(D104,upahbahan,3,FALSE)</f>
        <v>325100</v>
      </c>
      <c r="H104" s="125">
        <f t="shared" ref="H104:H106" si="11">F104*G104</f>
        <v>390120</v>
      </c>
      <c r="K104" s="216"/>
    </row>
    <row r="105" spans="3:11">
      <c r="C105" s="143">
        <v>2</v>
      </c>
      <c r="D105" s="60" t="s">
        <v>568</v>
      </c>
      <c r="E105" s="73" t="s">
        <v>66</v>
      </c>
      <c r="F105" s="230">
        <v>6</v>
      </c>
      <c r="G105" s="65">
        <f>VLOOKUP(D105,upahbahan,3,FALSE)</f>
        <v>1300</v>
      </c>
      <c r="H105" s="125">
        <f t="shared" si="11"/>
        <v>7800</v>
      </c>
      <c r="K105" s="216"/>
    </row>
    <row r="106" spans="3:11">
      <c r="C106" s="143">
        <v>3</v>
      </c>
      <c r="D106" s="78" t="s">
        <v>86</v>
      </c>
      <c r="E106" s="73" t="s">
        <v>42</v>
      </c>
      <c r="F106" s="230">
        <v>0.01</v>
      </c>
      <c r="G106" s="65">
        <f>VLOOKUP(D106,upahbahan,3,FALSE)</f>
        <v>275000</v>
      </c>
      <c r="H106" s="125">
        <f t="shared" si="11"/>
        <v>2750</v>
      </c>
      <c r="K106" s="216"/>
    </row>
    <row r="107" spans="3:11">
      <c r="C107" s="145" t="s">
        <v>1226</v>
      </c>
      <c r="D107" s="81"/>
      <c r="E107" s="81"/>
      <c r="F107" s="81"/>
      <c r="G107" s="163"/>
      <c r="H107" s="125">
        <f>SUM(H104:H106)</f>
        <v>400670</v>
      </c>
      <c r="K107" s="216"/>
    </row>
    <row r="108" spans="3:11">
      <c r="C108" s="153" t="s">
        <v>1227</v>
      </c>
      <c r="D108" s="60" t="s">
        <v>1228</v>
      </c>
      <c r="E108" s="74"/>
      <c r="F108" s="74"/>
      <c r="G108" s="74"/>
      <c r="H108" s="147"/>
      <c r="K108" s="216"/>
    </row>
    <row r="109" spans="3:11">
      <c r="C109" s="145" t="s">
        <v>1229</v>
      </c>
      <c r="D109" s="81"/>
      <c r="E109" s="81"/>
      <c r="F109" s="81"/>
      <c r="G109" s="163"/>
      <c r="H109" s="154">
        <v>0</v>
      </c>
      <c r="K109" s="216"/>
    </row>
    <row r="110" spans="3:11">
      <c r="C110" s="123" t="s">
        <v>1230</v>
      </c>
      <c r="D110" s="70" t="s">
        <v>1231</v>
      </c>
      <c r="E110" s="71"/>
      <c r="F110" s="71"/>
      <c r="G110" s="72"/>
      <c r="H110" s="125">
        <f>H109+H107+H102</f>
        <v>583091.5</v>
      </c>
      <c r="K110" s="216"/>
    </row>
    <row r="111" spans="3:11">
      <c r="C111" s="123" t="s">
        <v>1232</v>
      </c>
      <c r="D111" s="70" t="s">
        <v>1410</v>
      </c>
      <c r="E111" s="71"/>
      <c r="F111" s="72"/>
      <c r="G111" s="96">
        <f>$M$7</f>
        <v>0.1</v>
      </c>
      <c r="H111" s="125">
        <f>H110*G111</f>
        <v>58309.15</v>
      </c>
      <c r="K111" s="216"/>
    </row>
    <row r="112" spans="3:11" ht="15.75" thickBot="1">
      <c r="C112" s="131" t="s">
        <v>1233</v>
      </c>
      <c r="D112" s="132" t="s">
        <v>1234</v>
      </c>
      <c r="E112" s="133"/>
      <c r="F112" s="133"/>
      <c r="G112" s="156"/>
      <c r="H112" s="135">
        <f>SUM(H110:H111)</f>
        <v>641400.65</v>
      </c>
      <c r="K112" s="216"/>
    </row>
    <row r="113" spans="3:11" ht="15.75" thickTop="1">
      <c r="C113" s="90"/>
      <c r="D113" s="91"/>
      <c r="E113" s="91"/>
      <c r="F113" s="91"/>
      <c r="G113" s="91"/>
      <c r="H113" s="92"/>
      <c r="K113" s="216"/>
    </row>
    <row r="114" spans="3:11" ht="18" thickBot="1">
      <c r="C114" s="224" t="s">
        <v>1790</v>
      </c>
      <c r="D114" s="319"/>
      <c r="E114" s="319"/>
      <c r="F114" s="319"/>
      <c r="G114" s="319"/>
      <c r="H114" s="319"/>
      <c r="I114" s="57">
        <f>ROUNDDOWN(H130,-2)</f>
        <v>1701400</v>
      </c>
      <c r="K114" s="216"/>
    </row>
    <row r="115" spans="3:11" ht="29.25" thickTop="1">
      <c r="C115" s="120" t="s">
        <v>1207</v>
      </c>
      <c r="D115" s="121" t="s">
        <v>1208</v>
      </c>
      <c r="E115" s="121" t="s">
        <v>1209</v>
      </c>
      <c r="F115" s="121" t="s">
        <v>1210</v>
      </c>
      <c r="G115" s="121" t="s">
        <v>1211</v>
      </c>
      <c r="H115" s="122" t="s">
        <v>1212</v>
      </c>
      <c r="K115" s="216"/>
    </row>
    <row r="116" spans="3:11">
      <c r="C116" s="142" t="s">
        <v>1213</v>
      </c>
      <c r="D116" s="60" t="s">
        <v>1214</v>
      </c>
      <c r="E116" s="74"/>
      <c r="F116" s="74"/>
      <c r="G116" s="74"/>
      <c r="H116" s="147"/>
      <c r="K116" s="216"/>
    </row>
    <row r="117" spans="3:11">
      <c r="C117" s="143">
        <v>1</v>
      </c>
      <c r="D117" s="60" t="s">
        <v>5</v>
      </c>
      <c r="E117" s="73" t="s">
        <v>6</v>
      </c>
      <c r="F117" s="75">
        <v>3</v>
      </c>
      <c r="G117" s="65">
        <f>VLOOKUP(D117,upahbahan,3,FALSE)</f>
        <v>100000</v>
      </c>
      <c r="H117" s="125">
        <f t="shared" ref="H117:H120" si="12">F117*G117</f>
        <v>300000</v>
      </c>
      <c r="K117" s="216"/>
    </row>
    <row r="118" spans="3:11">
      <c r="C118" s="143">
        <v>2</v>
      </c>
      <c r="D118" s="60" t="s">
        <v>7</v>
      </c>
      <c r="E118" s="73" t="s">
        <v>6</v>
      </c>
      <c r="F118" s="75">
        <v>4.5</v>
      </c>
      <c r="G118" s="65">
        <f>VLOOKUP(D118,upahbahan,3,FALSE)</f>
        <v>145000</v>
      </c>
      <c r="H118" s="125">
        <f t="shared" si="12"/>
        <v>652500</v>
      </c>
      <c r="K118" s="216"/>
    </row>
    <row r="119" spans="3:11">
      <c r="C119" s="143">
        <v>3</v>
      </c>
      <c r="D119" s="60" t="s">
        <v>18</v>
      </c>
      <c r="E119" s="73" t="s">
        <v>6</v>
      </c>
      <c r="F119" s="75">
        <v>0.45</v>
      </c>
      <c r="G119" s="65">
        <f>VLOOKUP(D119,upahbahan,3,FALSE)</f>
        <v>150000</v>
      </c>
      <c r="H119" s="125">
        <f t="shared" si="12"/>
        <v>67500</v>
      </c>
      <c r="K119" s="216"/>
    </row>
    <row r="120" spans="3:11">
      <c r="C120" s="143">
        <v>4</v>
      </c>
      <c r="D120" s="60" t="s">
        <v>19</v>
      </c>
      <c r="E120" s="73" t="s">
        <v>6</v>
      </c>
      <c r="F120" s="75">
        <v>0.15</v>
      </c>
      <c r="G120" s="65">
        <f>VLOOKUP(D120,upahbahan,3,FALSE)</f>
        <v>145000</v>
      </c>
      <c r="H120" s="125">
        <f t="shared" si="12"/>
        <v>21750</v>
      </c>
      <c r="K120" s="216"/>
    </row>
    <row r="121" spans="3:11">
      <c r="C121" s="145" t="s">
        <v>1220</v>
      </c>
      <c r="D121" s="81"/>
      <c r="E121" s="81"/>
      <c r="F121" s="220"/>
      <c r="G121" s="221"/>
      <c r="H121" s="125">
        <f>SUM(H117:H120)</f>
        <v>1041750</v>
      </c>
      <c r="I121" s="222"/>
      <c r="K121" s="216"/>
    </row>
    <row r="122" spans="3:11">
      <c r="C122" s="142" t="s">
        <v>1221</v>
      </c>
      <c r="D122" s="60" t="s">
        <v>1222</v>
      </c>
      <c r="E122" s="74"/>
      <c r="F122" s="74"/>
      <c r="G122" s="74"/>
      <c r="H122" s="147"/>
      <c r="K122" s="216"/>
    </row>
    <row r="123" spans="3:11">
      <c r="C123" s="143">
        <v>1</v>
      </c>
      <c r="D123" s="60" t="s">
        <v>682</v>
      </c>
      <c r="E123" s="73" t="s">
        <v>44</v>
      </c>
      <c r="F123" s="230">
        <v>1</v>
      </c>
      <c r="G123" s="65">
        <f>VLOOKUP(D123,upahbahan,3,FALSE)</f>
        <v>450000</v>
      </c>
      <c r="H123" s="125">
        <f t="shared" ref="H123:H124" si="13">F123*G123</f>
        <v>450000</v>
      </c>
      <c r="K123" s="216"/>
    </row>
    <row r="124" spans="3:11">
      <c r="C124" s="143">
        <v>2</v>
      </c>
      <c r="D124" s="60" t="s">
        <v>687</v>
      </c>
      <c r="E124" s="73" t="s">
        <v>44</v>
      </c>
      <c r="F124" s="230">
        <v>1</v>
      </c>
      <c r="G124" s="65">
        <f>VLOOKUP(D124,upahbahan,3,FALSE)</f>
        <v>55000</v>
      </c>
      <c r="H124" s="125">
        <f t="shared" si="13"/>
        <v>55000</v>
      </c>
      <c r="K124" s="216"/>
    </row>
    <row r="125" spans="3:11">
      <c r="C125" s="145" t="s">
        <v>1226</v>
      </c>
      <c r="D125" s="81"/>
      <c r="E125" s="81"/>
      <c r="F125" s="81"/>
      <c r="G125" s="163"/>
      <c r="H125" s="125">
        <f>SUM(H123:H124)</f>
        <v>505000</v>
      </c>
      <c r="K125" s="216"/>
    </row>
    <row r="126" spans="3:11">
      <c r="C126" s="153" t="s">
        <v>1227</v>
      </c>
      <c r="D126" s="60" t="s">
        <v>1228</v>
      </c>
      <c r="E126" s="74"/>
      <c r="F126" s="74"/>
      <c r="G126" s="74"/>
      <c r="H126" s="147"/>
      <c r="K126" s="216"/>
    </row>
    <row r="127" spans="3:11">
      <c r="C127" s="145" t="s">
        <v>1229</v>
      </c>
      <c r="D127" s="81"/>
      <c r="E127" s="81"/>
      <c r="F127" s="81"/>
      <c r="G127" s="163"/>
      <c r="H127" s="154">
        <v>0</v>
      </c>
      <c r="K127" s="216"/>
    </row>
    <row r="128" spans="3:11">
      <c r="C128" s="123" t="s">
        <v>1230</v>
      </c>
      <c r="D128" s="70" t="s">
        <v>1231</v>
      </c>
      <c r="E128" s="71"/>
      <c r="F128" s="71"/>
      <c r="G128" s="72"/>
      <c r="H128" s="125">
        <f>H127+H125+H121</f>
        <v>1546750</v>
      </c>
      <c r="K128" s="216"/>
    </row>
    <row r="129" spans="3:11">
      <c r="C129" s="123" t="s">
        <v>1232</v>
      </c>
      <c r="D129" s="70" t="s">
        <v>1410</v>
      </c>
      <c r="E129" s="71"/>
      <c r="F129" s="72"/>
      <c r="G129" s="96">
        <f>$M$7</f>
        <v>0.1</v>
      </c>
      <c r="H129" s="125">
        <f>H128*G129</f>
        <v>154675</v>
      </c>
      <c r="K129" s="216"/>
    </row>
    <row r="130" spans="3:11" ht="15.75" thickBot="1">
      <c r="C130" s="131" t="s">
        <v>1233</v>
      </c>
      <c r="D130" s="132" t="s">
        <v>1234</v>
      </c>
      <c r="E130" s="133"/>
      <c r="F130" s="133"/>
      <c r="G130" s="156"/>
      <c r="H130" s="135">
        <f>SUM(H128:H129)</f>
        <v>1701425</v>
      </c>
      <c r="K130" s="216"/>
    </row>
    <row r="131" spans="3:11" ht="15.75" thickTop="1">
      <c r="C131" s="90"/>
      <c r="D131" s="91"/>
      <c r="E131" s="91"/>
      <c r="F131" s="91"/>
      <c r="G131" s="91"/>
      <c r="H131" s="92"/>
      <c r="K131" s="216"/>
    </row>
    <row r="132" spans="3:11" ht="18" thickBot="1">
      <c r="C132" s="224" t="s">
        <v>1791</v>
      </c>
      <c r="D132" s="319"/>
      <c r="E132" s="319"/>
      <c r="F132" s="319"/>
      <c r="G132" s="319"/>
      <c r="H132" s="319"/>
      <c r="I132" s="57">
        <f>ROUNDDOWN(H150,-2)</f>
        <v>1977800</v>
      </c>
      <c r="K132" s="216"/>
    </row>
    <row r="133" spans="3:11" ht="29.25" thickTop="1">
      <c r="C133" s="120" t="s">
        <v>1207</v>
      </c>
      <c r="D133" s="121" t="s">
        <v>1208</v>
      </c>
      <c r="E133" s="121" t="s">
        <v>1209</v>
      </c>
      <c r="F133" s="121" t="s">
        <v>1210</v>
      </c>
      <c r="G133" s="121" t="s">
        <v>1211</v>
      </c>
      <c r="H133" s="122" t="s">
        <v>1212</v>
      </c>
      <c r="K133" s="216"/>
    </row>
    <row r="134" spans="3:11">
      <c r="C134" s="142" t="s">
        <v>1213</v>
      </c>
      <c r="D134" s="60" t="s">
        <v>1214</v>
      </c>
      <c r="E134" s="74"/>
      <c r="F134" s="74"/>
      <c r="G134" s="74"/>
      <c r="H134" s="147"/>
      <c r="K134" s="216"/>
    </row>
    <row r="135" spans="3:11">
      <c r="C135" s="143">
        <v>1</v>
      </c>
      <c r="D135" s="60" t="s">
        <v>5</v>
      </c>
      <c r="E135" s="73" t="s">
        <v>6</v>
      </c>
      <c r="F135" s="75">
        <v>6</v>
      </c>
      <c r="G135" s="65">
        <f>VLOOKUP(D135,upahbahan,3,FALSE)</f>
        <v>100000</v>
      </c>
      <c r="H135" s="125">
        <f t="shared" ref="H135:H138" si="14">F135*G135</f>
        <v>600000</v>
      </c>
      <c r="K135" s="216"/>
    </row>
    <row r="136" spans="3:11">
      <c r="C136" s="143">
        <v>2</v>
      </c>
      <c r="D136" s="60" t="s">
        <v>7</v>
      </c>
      <c r="E136" s="73" t="s">
        <v>6</v>
      </c>
      <c r="F136" s="75">
        <v>3</v>
      </c>
      <c r="G136" s="65">
        <f>VLOOKUP(D136,upahbahan,3,FALSE)</f>
        <v>145000</v>
      </c>
      <c r="H136" s="125">
        <f t="shared" si="14"/>
        <v>435000</v>
      </c>
      <c r="K136" s="216"/>
    </row>
    <row r="137" spans="3:11">
      <c r="C137" s="143">
        <v>3</v>
      </c>
      <c r="D137" s="60" t="s">
        <v>18</v>
      </c>
      <c r="E137" s="73" t="s">
        <v>6</v>
      </c>
      <c r="F137" s="75">
        <v>0.3</v>
      </c>
      <c r="G137" s="65">
        <f>VLOOKUP(D137,upahbahan,3,FALSE)</f>
        <v>150000</v>
      </c>
      <c r="H137" s="125">
        <f t="shared" si="14"/>
        <v>45000</v>
      </c>
      <c r="K137" s="216"/>
    </row>
    <row r="138" spans="3:11">
      <c r="C138" s="143">
        <v>4</v>
      </c>
      <c r="D138" s="60" t="s">
        <v>19</v>
      </c>
      <c r="E138" s="73" t="s">
        <v>6</v>
      </c>
      <c r="F138" s="75">
        <v>0.1</v>
      </c>
      <c r="G138" s="65">
        <f>VLOOKUP(D138,upahbahan,3,FALSE)</f>
        <v>145000</v>
      </c>
      <c r="H138" s="125">
        <f t="shared" si="14"/>
        <v>14500</v>
      </c>
      <c r="K138" s="216"/>
    </row>
    <row r="139" spans="3:11">
      <c r="C139" s="145" t="s">
        <v>1220</v>
      </c>
      <c r="D139" s="81"/>
      <c r="E139" s="81"/>
      <c r="F139" s="220"/>
      <c r="G139" s="221"/>
      <c r="H139" s="125">
        <f>SUM(H135:H138)</f>
        <v>1094500</v>
      </c>
      <c r="I139" s="222"/>
      <c r="K139" s="216"/>
    </row>
    <row r="140" spans="3:11">
      <c r="C140" s="142" t="s">
        <v>1221</v>
      </c>
      <c r="D140" s="60" t="s">
        <v>1222</v>
      </c>
      <c r="E140" s="74"/>
      <c r="F140" s="74"/>
      <c r="G140" s="74"/>
      <c r="H140" s="147"/>
      <c r="K140" s="216"/>
    </row>
    <row r="141" spans="3:11">
      <c r="C141" s="201" t="s">
        <v>1215</v>
      </c>
      <c r="D141" s="60" t="s">
        <v>43</v>
      </c>
      <c r="E141" s="73" t="s">
        <v>44</v>
      </c>
      <c r="F141" s="230">
        <v>150</v>
      </c>
      <c r="G141" s="65">
        <f>VLOOKUP(D141,upahbahan,3,FALSE)</f>
        <v>700</v>
      </c>
      <c r="H141" s="125">
        <f t="shared" ref="H141:H144" si="15">F141*G141</f>
        <v>105000</v>
      </c>
      <c r="K141" s="216"/>
    </row>
    <row r="142" spans="3:11">
      <c r="C142" s="201" t="s">
        <v>1216</v>
      </c>
      <c r="D142" s="60" t="s">
        <v>568</v>
      </c>
      <c r="E142" s="73" t="s">
        <v>66</v>
      </c>
      <c r="F142" s="230">
        <v>120</v>
      </c>
      <c r="G142" s="65">
        <f>VLOOKUP(D142,upahbahan,3,FALSE)</f>
        <v>1300</v>
      </c>
      <c r="H142" s="125">
        <f t="shared" si="15"/>
        <v>156000</v>
      </c>
      <c r="K142" s="216"/>
    </row>
    <row r="143" spans="3:11">
      <c r="C143" s="201" t="s">
        <v>1217</v>
      </c>
      <c r="D143" s="78" t="s">
        <v>86</v>
      </c>
      <c r="E143" s="73" t="s">
        <v>42</v>
      </c>
      <c r="F143" s="230">
        <v>0.3</v>
      </c>
      <c r="G143" s="65">
        <f>VLOOKUP(D143,upahbahan,3,FALSE)</f>
        <v>275000</v>
      </c>
      <c r="H143" s="125">
        <f t="shared" si="15"/>
        <v>82500</v>
      </c>
      <c r="K143" s="216"/>
    </row>
    <row r="144" spans="3:11">
      <c r="C144" s="201" t="s">
        <v>1218</v>
      </c>
      <c r="D144" s="60" t="s">
        <v>501</v>
      </c>
      <c r="E144" s="73" t="s">
        <v>44</v>
      </c>
      <c r="F144" s="230">
        <v>360</v>
      </c>
      <c r="G144" s="65">
        <f>VLOOKUP(D144,upahbahan,3,FALSE)</f>
        <v>1000</v>
      </c>
      <c r="H144" s="125">
        <f t="shared" si="15"/>
        <v>360000</v>
      </c>
      <c r="K144" s="216"/>
    </row>
    <row r="145" spans="3:11">
      <c r="C145" s="145" t="s">
        <v>1226</v>
      </c>
      <c r="D145" s="81"/>
      <c r="E145" s="81"/>
      <c r="F145" s="81"/>
      <c r="G145" s="163"/>
      <c r="H145" s="125">
        <f>SUM(H141:H144)</f>
        <v>703500</v>
      </c>
      <c r="K145" s="216"/>
    </row>
    <row r="146" spans="3:11">
      <c r="C146" s="153" t="s">
        <v>1227</v>
      </c>
      <c r="D146" s="60" t="s">
        <v>1228</v>
      </c>
      <c r="E146" s="74"/>
      <c r="F146" s="74"/>
      <c r="G146" s="74"/>
      <c r="H146" s="147"/>
      <c r="K146" s="216"/>
    </row>
    <row r="147" spans="3:11">
      <c r="C147" s="145" t="s">
        <v>1229</v>
      </c>
      <c r="D147" s="81"/>
      <c r="E147" s="81"/>
      <c r="F147" s="81"/>
      <c r="G147" s="163"/>
      <c r="H147" s="154">
        <v>0</v>
      </c>
      <c r="K147" s="216"/>
    </row>
    <row r="148" spans="3:11">
      <c r="C148" s="123" t="s">
        <v>1230</v>
      </c>
      <c r="D148" s="70" t="s">
        <v>1231</v>
      </c>
      <c r="E148" s="71"/>
      <c r="F148" s="71"/>
      <c r="G148" s="72"/>
      <c r="H148" s="125">
        <f>H147+H145+H139</f>
        <v>1798000</v>
      </c>
      <c r="K148" s="216"/>
    </row>
    <row r="149" spans="3:11">
      <c r="C149" s="123" t="s">
        <v>1232</v>
      </c>
      <c r="D149" s="70" t="s">
        <v>1410</v>
      </c>
      <c r="E149" s="71"/>
      <c r="F149" s="72"/>
      <c r="G149" s="96">
        <f>$M$7</f>
        <v>0.1</v>
      </c>
      <c r="H149" s="125">
        <f>H148*G149</f>
        <v>179800</v>
      </c>
      <c r="K149" s="216"/>
    </row>
    <row r="150" spans="3:11" ht="15.75" thickBot="1">
      <c r="C150" s="131" t="s">
        <v>1233</v>
      </c>
      <c r="D150" s="132" t="s">
        <v>1234</v>
      </c>
      <c r="E150" s="133"/>
      <c r="F150" s="133"/>
      <c r="G150" s="156"/>
      <c r="H150" s="135">
        <f>SUM(H148:H149)</f>
        <v>1977800</v>
      </c>
      <c r="K150" s="216"/>
    </row>
    <row r="151" spans="3:11" ht="15.75" thickTop="1">
      <c r="C151" s="90"/>
      <c r="D151" s="91"/>
      <c r="E151" s="91"/>
      <c r="F151" s="91"/>
      <c r="G151" s="91"/>
      <c r="H151" s="92"/>
      <c r="K151" s="216"/>
    </row>
    <row r="152" spans="3:11" ht="18" thickBot="1">
      <c r="C152" s="224" t="s">
        <v>1792</v>
      </c>
      <c r="D152" s="226"/>
      <c r="E152" s="226"/>
      <c r="F152" s="226"/>
      <c r="G152" s="226"/>
      <c r="H152" s="226"/>
      <c r="I152" s="57">
        <f>ROUNDDOWN(H169,-2)</f>
        <v>593100</v>
      </c>
      <c r="K152" s="216"/>
    </row>
    <row r="153" spans="3:11" ht="29.25" thickTop="1">
      <c r="C153" s="120" t="s">
        <v>1207</v>
      </c>
      <c r="D153" s="121" t="s">
        <v>1208</v>
      </c>
      <c r="E153" s="121" t="s">
        <v>1209</v>
      </c>
      <c r="F153" s="121" t="s">
        <v>1210</v>
      </c>
      <c r="G153" s="121" t="s">
        <v>1211</v>
      </c>
      <c r="H153" s="122" t="s">
        <v>1212</v>
      </c>
      <c r="K153" s="216"/>
    </row>
    <row r="154" spans="3:11">
      <c r="C154" s="142" t="s">
        <v>1213</v>
      </c>
      <c r="D154" s="60" t="s">
        <v>1214</v>
      </c>
      <c r="E154" s="74"/>
      <c r="F154" s="74"/>
      <c r="G154" s="74"/>
      <c r="H154" s="147"/>
      <c r="K154" s="216"/>
    </row>
    <row r="155" spans="3:11">
      <c r="C155" s="143">
        <v>1</v>
      </c>
      <c r="D155" s="60" t="s">
        <v>5</v>
      </c>
      <c r="E155" s="73" t="s">
        <v>6</v>
      </c>
      <c r="F155" s="94">
        <v>0.28570000000000001</v>
      </c>
      <c r="G155" s="65">
        <f>VLOOKUP(D155,upahbahan,3,FALSE)</f>
        <v>100000</v>
      </c>
      <c r="H155" s="125">
        <f t="shared" ref="H155:H158" si="16">F155*G155</f>
        <v>28570</v>
      </c>
      <c r="K155" s="216"/>
    </row>
    <row r="156" spans="3:11">
      <c r="C156" s="143">
        <v>2</v>
      </c>
      <c r="D156" s="60" t="s">
        <v>7</v>
      </c>
      <c r="E156" s="73" t="s">
        <v>6</v>
      </c>
      <c r="F156" s="94">
        <v>0.1429</v>
      </c>
      <c r="G156" s="65">
        <f>VLOOKUP(D156,upahbahan,3,FALSE)</f>
        <v>145000</v>
      </c>
      <c r="H156" s="125">
        <f t="shared" si="16"/>
        <v>20720.5</v>
      </c>
      <c r="K156" s="216"/>
    </row>
    <row r="157" spans="3:11">
      <c r="C157" s="143">
        <v>3</v>
      </c>
      <c r="D157" s="60" t="s">
        <v>18</v>
      </c>
      <c r="E157" s="73" t="s">
        <v>6</v>
      </c>
      <c r="F157" s="94">
        <v>0.05</v>
      </c>
      <c r="G157" s="65">
        <f>VLOOKUP(D157,upahbahan,3,FALSE)</f>
        <v>150000</v>
      </c>
      <c r="H157" s="125">
        <f t="shared" si="16"/>
        <v>7500</v>
      </c>
      <c r="K157" s="216"/>
    </row>
    <row r="158" spans="3:11">
      <c r="C158" s="143">
        <v>4</v>
      </c>
      <c r="D158" s="60" t="s">
        <v>19</v>
      </c>
      <c r="E158" s="73" t="s">
        <v>6</v>
      </c>
      <c r="F158" s="94">
        <v>0.9</v>
      </c>
      <c r="G158" s="65">
        <f>VLOOKUP(D158,upahbahan,3,FALSE)</f>
        <v>145000</v>
      </c>
      <c r="H158" s="125">
        <f t="shared" si="16"/>
        <v>130500</v>
      </c>
      <c r="K158" s="216"/>
    </row>
    <row r="159" spans="3:11">
      <c r="C159" s="145" t="s">
        <v>1220</v>
      </c>
      <c r="D159" s="81"/>
      <c r="E159" s="81"/>
      <c r="F159" s="220"/>
      <c r="G159" s="221"/>
      <c r="H159" s="125">
        <f>SUM(H155:H158)</f>
        <v>187290.5</v>
      </c>
      <c r="I159" s="222"/>
      <c r="K159" s="216"/>
    </row>
    <row r="160" spans="3:11">
      <c r="C160" s="142" t="s">
        <v>1221</v>
      </c>
      <c r="D160" s="60" t="s">
        <v>1222</v>
      </c>
      <c r="E160" s="74"/>
      <c r="F160" s="74"/>
      <c r="G160" s="74"/>
      <c r="H160" s="147"/>
      <c r="K160" s="216"/>
    </row>
    <row r="161" spans="3:11">
      <c r="C161" s="201" t="s">
        <v>1215</v>
      </c>
      <c r="D161" s="78" t="s">
        <v>681</v>
      </c>
      <c r="E161" s="73" t="s">
        <v>44</v>
      </c>
      <c r="F161" s="75">
        <v>1</v>
      </c>
      <c r="G161" s="65">
        <f>VLOOKUP(D161,upahbahan,3,FALSE)</f>
        <v>328400</v>
      </c>
      <c r="H161" s="125">
        <f t="shared" ref="H161:H163" si="17">F161*G161</f>
        <v>328400</v>
      </c>
      <c r="K161" s="216"/>
    </row>
    <row r="162" spans="3:11">
      <c r="C162" s="201" t="s">
        <v>1216</v>
      </c>
      <c r="D162" s="60" t="s">
        <v>1795</v>
      </c>
      <c r="E162" s="73" t="s">
        <v>114</v>
      </c>
      <c r="F162" s="75">
        <v>2</v>
      </c>
      <c r="G162" s="65">
        <f>VLOOKUP(D162,upahbahan,3,FALSE)</f>
        <v>8750</v>
      </c>
      <c r="H162" s="125">
        <f t="shared" si="17"/>
        <v>17500</v>
      </c>
      <c r="K162" s="216"/>
    </row>
    <row r="163" spans="3:11">
      <c r="C163" s="201" t="s">
        <v>1217</v>
      </c>
      <c r="D163" s="60" t="s">
        <v>742</v>
      </c>
      <c r="E163" s="73" t="s">
        <v>44</v>
      </c>
      <c r="F163" s="75">
        <v>1</v>
      </c>
      <c r="G163" s="65">
        <f>VLOOKUP(D163,upahbahan,3,FALSE)</f>
        <v>6000</v>
      </c>
      <c r="H163" s="125">
        <f t="shared" si="17"/>
        <v>6000</v>
      </c>
      <c r="K163" s="216"/>
    </row>
    <row r="164" spans="3:11">
      <c r="C164" s="145" t="s">
        <v>1226</v>
      </c>
      <c r="D164" s="81"/>
      <c r="E164" s="81"/>
      <c r="F164" s="81"/>
      <c r="G164" s="163"/>
      <c r="H164" s="125">
        <f>SUM(H161:H163)</f>
        <v>351900</v>
      </c>
      <c r="K164" s="216"/>
    </row>
    <row r="165" spans="3:11">
      <c r="C165" s="153" t="s">
        <v>1227</v>
      </c>
      <c r="D165" s="60" t="s">
        <v>1228</v>
      </c>
      <c r="E165" s="74"/>
      <c r="F165" s="74"/>
      <c r="G165" s="74"/>
      <c r="H165" s="147"/>
      <c r="K165" s="216"/>
    </row>
    <row r="166" spans="3:11">
      <c r="C166" s="145" t="s">
        <v>1229</v>
      </c>
      <c r="D166" s="81"/>
      <c r="E166" s="81"/>
      <c r="F166" s="81"/>
      <c r="G166" s="163"/>
      <c r="H166" s="154">
        <v>0</v>
      </c>
      <c r="K166" s="216"/>
    </row>
    <row r="167" spans="3:11">
      <c r="C167" s="123" t="s">
        <v>1230</v>
      </c>
      <c r="D167" s="70" t="s">
        <v>1231</v>
      </c>
      <c r="E167" s="71"/>
      <c r="F167" s="71"/>
      <c r="G167" s="72"/>
      <c r="H167" s="125">
        <f>H166+H164+H159</f>
        <v>539190.5</v>
      </c>
      <c r="K167" s="216"/>
    </row>
    <row r="168" spans="3:11">
      <c r="C168" s="123" t="s">
        <v>1232</v>
      </c>
      <c r="D168" s="70" t="s">
        <v>1410</v>
      </c>
      <c r="E168" s="71"/>
      <c r="F168" s="72"/>
      <c r="G168" s="96">
        <f>$M$7</f>
        <v>0.1</v>
      </c>
      <c r="H168" s="125">
        <f>H167*G168</f>
        <v>53919.05</v>
      </c>
      <c r="K168" s="216"/>
    </row>
    <row r="169" spans="3:11" ht="15.75" thickBot="1">
      <c r="C169" s="131" t="s">
        <v>1233</v>
      </c>
      <c r="D169" s="132" t="s">
        <v>1234</v>
      </c>
      <c r="E169" s="133"/>
      <c r="F169" s="133"/>
      <c r="G169" s="156"/>
      <c r="H169" s="135">
        <f>SUM(H167:H168)</f>
        <v>593109.55000000005</v>
      </c>
      <c r="K169" s="216"/>
    </row>
    <row r="170" spans="3:11" ht="15.75" thickTop="1">
      <c r="C170" s="90"/>
      <c r="D170" s="91"/>
      <c r="E170" s="91"/>
      <c r="F170" s="91"/>
      <c r="G170" s="91"/>
      <c r="H170" s="200"/>
      <c r="K170" s="216"/>
    </row>
    <row r="171" spans="3:11" ht="18" thickBot="1">
      <c r="C171" s="224" t="s">
        <v>1793</v>
      </c>
      <c r="D171" s="226"/>
      <c r="E171" s="226"/>
      <c r="F171" s="226"/>
      <c r="G171" s="226"/>
      <c r="H171" s="226"/>
      <c r="I171" s="57">
        <f>ROUNDDOWN(H188,-2)</f>
        <v>671900</v>
      </c>
      <c r="K171" s="216"/>
    </row>
    <row r="172" spans="3:11" ht="29.25" thickTop="1">
      <c r="C172" s="120" t="s">
        <v>1207</v>
      </c>
      <c r="D172" s="121" t="s">
        <v>1208</v>
      </c>
      <c r="E172" s="121" t="s">
        <v>1209</v>
      </c>
      <c r="F172" s="121" t="s">
        <v>1210</v>
      </c>
      <c r="G172" s="121" t="s">
        <v>1211</v>
      </c>
      <c r="H172" s="122" t="s">
        <v>1212</v>
      </c>
      <c r="K172" s="216"/>
    </row>
    <row r="173" spans="3:11">
      <c r="C173" s="142" t="s">
        <v>1213</v>
      </c>
      <c r="D173" s="60" t="s">
        <v>1214</v>
      </c>
      <c r="E173" s="74"/>
      <c r="F173" s="74"/>
      <c r="G173" s="74"/>
      <c r="H173" s="147"/>
      <c r="K173" s="216"/>
    </row>
    <row r="174" spans="3:11">
      <c r="C174" s="143">
        <v>1</v>
      </c>
      <c r="D174" s="60" t="s">
        <v>5</v>
      </c>
      <c r="E174" s="73" t="s">
        <v>6</v>
      </c>
      <c r="F174" s="75">
        <v>0.28599999999999998</v>
      </c>
      <c r="G174" s="65">
        <f>VLOOKUP(D174,upahbahan,3,FALSE)</f>
        <v>100000</v>
      </c>
      <c r="H174" s="125">
        <f t="shared" ref="H174:H177" si="18">F174*G174</f>
        <v>28599.999999999996</v>
      </c>
      <c r="K174" s="216"/>
    </row>
    <row r="175" spans="3:11">
      <c r="C175" s="143">
        <v>2</v>
      </c>
      <c r="D175" s="60" t="s">
        <v>7</v>
      </c>
      <c r="E175" s="73" t="s">
        <v>6</v>
      </c>
      <c r="F175" s="75">
        <v>0.14299999999999999</v>
      </c>
      <c r="G175" s="65">
        <f>VLOOKUP(D175,upahbahan,3,FALSE)</f>
        <v>145000</v>
      </c>
      <c r="H175" s="125">
        <f t="shared" si="18"/>
        <v>20735</v>
      </c>
      <c r="K175" s="216"/>
    </row>
    <row r="176" spans="3:11">
      <c r="C176" s="143">
        <v>3</v>
      </c>
      <c r="D176" s="60" t="s">
        <v>18</v>
      </c>
      <c r="E176" s="73" t="s">
        <v>6</v>
      </c>
      <c r="F176" s="75">
        <v>0.05</v>
      </c>
      <c r="G176" s="65">
        <f>VLOOKUP(D176,upahbahan,3,FALSE)</f>
        <v>150000</v>
      </c>
      <c r="H176" s="125">
        <f t="shared" si="18"/>
        <v>7500</v>
      </c>
      <c r="K176" s="216"/>
    </row>
    <row r="177" spans="3:11">
      <c r="C177" s="143">
        <v>4</v>
      </c>
      <c r="D177" s="60" t="s">
        <v>19</v>
      </c>
      <c r="E177" s="73" t="s">
        <v>6</v>
      </c>
      <c r="F177" s="75">
        <v>0.9</v>
      </c>
      <c r="G177" s="65">
        <f>VLOOKUP(D177,upahbahan,3,FALSE)</f>
        <v>145000</v>
      </c>
      <c r="H177" s="125">
        <f t="shared" si="18"/>
        <v>130500</v>
      </c>
      <c r="K177" s="216"/>
    </row>
    <row r="178" spans="3:11">
      <c r="C178" s="145" t="s">
        <v>1220</v>
      </c>
      <c r="D178" s="81"/>
      <c r="E178" s="81"/>
      <c r="F178" s="220"/>
      <c r="G178" s="221"/>
      <c r="H178" s="125">
        <f>SUM(H174:H177)</f>
        <v>187335</v>
      </c>
      <c r="I178" s="222"/>
      <c r="K178" s="216"/>
    </row>
    <row r="179" spans="3:11">
      <c r="C179" s="142" t="s">
        <v>1221</v>
      </c>
      <c r="D179" s="60" t="s">
        <v>1222</v>
      </c>
      <c r="E179" s="74"/>
      <c r="F179" s="74"/>
      <c r="G179" s="74"/>
      <c r="H179" s="147"/>
      <c r="K179" s="216"/>
    </row>
    <row r="180" spans="3:11">
      <c r="C180" s="201" t="s">
        <v>1215</v>
      </c>
      <c r="D180" s="78" t="s">
        <v>680</v>
      </c>
      <c r="E180" s="73" t="s">
        <v>44</v>
      </c>
      <c r="F180" s="75">
        <v>1</v>
      </c>
      <c r="G180" s="65">
        <f>VLOOKUP(D180,upahbahan,3,FALSE)</f>
        <v>400000</v>
      </c>
      <c r="H180" s="125">
        <f t="shared" ref="H180:H182" si="19">F180*G180</f>
        <v>400000</v>
      </c>
      <c r="K180" s="216"/>
    </row>
    <row r="181" spans="3:11">
      <c r="C181" s="201" t="s">
        <v>1216</v>
      </c>
      <c r="D181" s="60" t="s">
        <v>1795</v>
      </c>
      <c r="E181" s="73" t="s">
        <v>114</v>
      </c>
      <c r="F181" s="75">
        <v>2</v>
      </c>
      <c r="G181" s="65">
        <f>VLOOKUP(D181,upahbahan,3,FALSE)</f>
        <v>8750</v>
      </c>
      <c r="H181" s="125">
        <f t="shared" si="19"/>
        <v>17500</v>
      </c>
      <c r="K181" s="216"/>
    </row>
    <row r="182" spans="3:11">
      <c r="C182" s="201" t="s">
        <v>1217</v>
      </c>
      <c r="D182" s="60" t="s">
        <v>742</v>
      </c>
      <c r="E182" s="73" t="s">
        <v>44</v>
      </c>
      <c r="F182" s="75">
        <v>1</v>
      </c>
      <c r="G182" s="65">
        <f>VLOOKUP(D182,upahbahan,3,FALSE)</f>
        <v>6000</v>
      </c>
      <c r="H182" s="125">
        <f t="shared" si="19"/>
        <v>6000</v>
      </c>
      <c r="K182" s="216"/>
    </row>
    <row r="183" spans="3:11">
      <c r="C183" s="145" t="s">
        <v>1226</v>
      </c>
      <c r="D183" s="81"/>
      <c r="E183" s="81"/>
      <c r="F183" s="81"/>
      <c r="G183" s="163"/>
      <c r="H183" s="125">
        <f>SUM(H180:H182)</f>
        <v>423500</v>
      </c>
      <c r="K183" s="216"/>
    </row>
    <row r="184" spans="3:11">
      <c r="C184" s="153" t="s">
        <v>1227</v>
      </c>
      <c r="D184" s="60" t="s">
        <v>1228</v>
      </c>
      <c r="E184" s="74"/>
      <c r="F184" s="74"/>
      <c r="G184" s="74"/>
      <c r="H184" s="147"/>
      <c r="K184" s="216"/>
    </row>
    <row r="185" spans="3:11">
      <c r="C185" s="145" t="s">
        <v>1229</v>
      </c>
      <c r="D185" s="81"/>
      <c r="E185" s="81"/>
      <c r="F185" s="81"/>
      <c r="G185" s="163"/>
      <c r="H185" s="154">
        <v>0</v>
      </c>
      <c r="K185" s="216"/>
    </row>
    <row r="186" spans="3:11">
      <c r="C186" s="123" t="s">
        <v>1230</v>
      </c>
      <c r="D186" s="70" t="s">
        <v>1231</v>
      </c>
      <c r="E186" s="71"/>
      <c r="F186" s="71"/>
      <c r="G186" s="72"/>
      <c r="H186" s="125">
        <f>H185+H183+H178</f>
        <v>610835</v>
      </c>
      <c r="K186" s="216"/>
    </row>
    <row r="187" spans="3:11">
      <c r="C187" s="123" t="s">
        <v>1232</v>
      </c>
      <c r="D187" s="70" t="s">
        <v>1410</v>
      </c>
      <c r="E187" s="71"/>
      <c r="F187" s="72"/>
      <c r="G187" s="96">
        <f>$M$7</f>
        <v>0.1</v>
      </c>
      <c r="H187" s="125">
        <f>H186*G187</f>
        <v>61083.5</v>
      </c>
      <c r="K187" s="216"/>
    </row>
    <row r="188" spans="3:11" ht="15.75" thickBot="1">
      <c r="C188" s="131" t="s">
        <v>1233</v>
      </c>
      <c r="D188" s="132" t="s">
        <v>1234</v>
      </c>
      <c r="E188" s="133"/>
      <c r="F188" s="133"/>
      <c r="G188" s="156"/>
      <c r="H188" s="135">
        <f>SUM(H186:H187)</f>
        <v>671918.5</v>
      </c>
      <c r="K188" s="216"/>
    </row>
    <row r="189" spans="3:11" ht="15.75" thickTop="1">
      <c r="C189" s="90"/>
      <c r="D189" s="91"/>
      <c r="E189" s="91"/>
      <c r="F189" s="91"/>
      <c r="G189" s="91"/>
      <c r="H189" s="200"/>
      <c r="K189" s="216"/>
    </row>
    <row r="190" spans="3:11" ht="18" thickBot="1">
      <c r="C190" s="239" t="s">
        <v>1794</v>
      </c>
      <c r="D190" s="226"/>
      <c r="E190" s="226"/>
      <c r="F190" s="226"/>
      <c r="G190" s="226"/>
      <c r="H190" s="226"/>
      <c r="I190" s="57">
        <f>ROUNDDOWN(H210,-2)</f>
        <v>7871600</v>
      </c>
      <c r="K190" s="216"/>
    </row>
    <row r="191" spans="3:11" ht="29.25" thickTop="1">
      <c r="C191" s="120" t="s">
        <v>1207</v>
      </c>
      <c r="D191" s="121" t="s">
        <v>1208</v>
      </c>
      <c r="E191" s="121" t="s">
        <v>1209</v>
      </c>
      <c r="F191" s="121" t="s">
        <v>1210</v>
      </c>
      <c r="G191" s="121" t="s">
        <v>1211</v>
      </c>
      <c r="H191" s="122" t="s">
        <v>1212</v>
      </c>
      <c r="K191" s="216"/>
    </row>
    <row r="192" spans="3:11">
      <c r="C192" s="142" t="s">
        <v>1213</v>
      </c>
      <c r="D192" s="60" t="s">
        <v>1214</v>
      </c>
      <c r="E192" s="74"/>
      <c r="F192" s="74"/>
      <c r="G192" s="74"/>
      <c r="H192" s="147"/>
      <c r="K192" s="216"/>
    </row>
    <row r="193" spans="3:11">
      <c r="C193" s="143">
        <v>1</v>
      </c>
      <c r="D193" s="60" t="s">
        <v>5</v>
      </c>
      <c r="E193" s="73" t="s">
        <v>6</v>
      </c>
      <c r="F193" s="75">
        <v>3.5</v>
      </c>
      <c r="G193" s="65">
        <f>VLOOKUP(D193,upahbahan,3,FALSE)</f>
        <v>100000</v>
      </c>
      <c r="H193" s="125">
        <f t="shared" ref="H193:H196" si="20">F193*G193</f>
        <v>350000</v>
      </c>
      <c r="K193" s="216"/>
    </row>
    <row r="194" spans="3:11">
      <c r="C194" s="143">
        <v>2</v>
      </c>
      <c r="D194" s="60" t="s">
        <v>7</v>
      </c>
      <c r="E194" s="73" t="s">
        <v>6</v>
      </c>
      <c r="F194" s="75">
        <v>4.5</v>
      </c>
      <c r="G194" s="65">
        <f>VLOOKUP(D194,upahbahan,3,FALSE)</f>
        <v>145000</v>
      </c>
      <c r="H194" s="125">
        <f t="shared" si="20"/>
        <v>652500</v>
      </c>
      <c r="K194" s="216"/>
    </row>
    <row r="195" spans="3:11">
      <c r="C195" s="143">
        <v>3</v>
      </c>
      <c r="D195" s="60" t="s">
        <v>18</v>
      </c>
      <c r="E195" s="73" t="s">
        <v>6</v>
      </c>
      <c r="F195" s="75">
        <v>0.45</v>
      </c>
      <c r="G195" s="65">
        <f>VLOOKUP(D195,upahbahan,3,FALSE)</f>
        <v>150000</v>
      </c>
      <c r="H195" s="125">
        <f t="shared" si="20"/>
        <v>67500</v>
      </c>
      <c r="K195" s="216"/>
    </row>
    <row r="196" spans="3:11">
      <c r="C196" s="143">
        <v>4</v>
      </c>
      <c r="D196" s="60" t="s">
        <v>19</v>
      </c>
      <c r="E196" s="73" t="s">
        <v>6</v>
      </c>
      <c r="F196" s="75">
        <v>0.15</v>
      </c>
      <c r="G196" s="65">
        <f>VLOOKUP(D196,upahbahan,3,FALSE)</f>
        <v>145000</v>
      </c>
      <c r="H196" s="125">
        <f t="shared" si="20"/>
        <v>21750</v>
      </c>
      <c r="K196" s="216"/>
    </row>
    <row r="197" spans="3:11">
      <c r="C197" s="145" t="s">
        <v>1220</v>
      </c>
      <c r="D197" s="81"/>
      <c r="E197" s="81"/>
      <c r="F197" s="220"/>
      <c r="G197" s="221"/>
      <c r="H197" s="125">
        <f>SUM(H193:H196)</f>
        <v>1091750</v>
      </c>
      <c r="I197" s="222"/>
      <c r="K197" s="216"/>
    </row>
    <row r="198" spans="3:11">
      <c r="C198" s="142" t="s">
        <v>1221</v>
      </c>
      <c r="D198" s="60" t="s">
        <v>1222</v>
      </c>
      <c r="E198" s="74"/>
      <c r="F198" s="74"/>
      <c r="G198" s="74"/>
      <c r="H198" s="147"/>
      <c r="K198" s="216"/>
    </row>
    <row r="199" spans="3:11">
      <c r="C199" s="201" t="s">
        <v>1215</v>
      </c>
      <c r="D199" s="78" t="s">
        <v>1745</v>
      </c>
      <c r="E199" s="73" t="s">
        <v>42</v>
      </c>
      <c r="F199" s="75">
        <v>0.9</v>
      </c>
      <c r="G199" s="65">
        <f>'[1]Daftar HSP'!D120</f>
        <v>1239751.7407407407</v>
      </c>
      <c r="H199" s="125">
        <f t="shared" ref="H199:H204" si="21">F199*G199</f>
        <v>1115776.5666666667</v>
      </c>
      <c r="K199" s="216"/>
    </row>
    <row r="200" spans="3:11">
      <c r="C200" s="201" t="s">
        <v>1216</v>
      </c>
      <c r="D200" s="60" t="s">
        <v>236</v>
      </c>
      <c r="E200" s="73" t="s">
        <v>66</v>
      </c>
      <c r="F200" s="75">
        <v>180</v>
      </c>
      <c r="G200" s="65">
        <f>VLOOKUP(D200,upahbahan,3,FALSE)</f>
        <v>14250</v>
      </c>
      <c r="H200" s="125">
        <f t="shared" si="21"/>
        <v>2565000</v>
      </c>
      <c r="K200" s="216"/>
    </row>
    <row r="201" spans="3:11">
      <c r="C201" s="201" t="s">
        <v>1217</v>
      </c>
      <c r="D201" s="60" t="s">
        <v>1796</v>
      </c>
      <c r="E201" s="73" t="s">
        <v>63</v>
      </c>
      <c r="F201" s="75">
        <v>8</v>
      </c>
      <c r="G201" s="65">
        <f>VLOOKUP(D201,upahbahan,3,FALSE)</f>
        <v>160000</v>
      </c>
      <c r="H201" s="125">
        <f t="shared" si="21"/>
        <v>1280000</v>
      </c>
      <c r="K201" s="216"/>
    </row>
    <row r="202" spans="3:11">
      <c r="C202" s="201" t="s">
        <v>1218</v>
      </c>
      <c r="D202" s="60" t="s">
        <v>503</v>
      </c>
      <c r="E202" s="73" t="s">
        <v>44</v>
      </c>
      <c r="F202" s="75">
        <v>270</v>
      </c>
      <c r="G202" s="65">
        <f>VLOOKUP(D202,upahbahan,3,FALSE)</f>
        <v>4000</v>
      </c>
      <c r="H202" s="125">
        <f t="shared" si="21"/>
        <v>1080000</v>
      </c>
      <c r="K202" s="216"/>
    </row>
    <row r="203" spans="3:11">
      <c r="C203" s="201" t="s">
        <v>1219</v>
      </c>
      <c r="D203" s="60" t="s">
        <v>1795</v>
      </c>
      <c r="E203" s="73" t="s">
        <v>114</v>
      </c>
      <c r="F203" s="75">
        <v>2</v>
      </c>
      <c r="G203" s="65">
        <f>VLOOKUP(D203,upahbahan,3,FALSE)</f>
        <v>8750</v>
      </c>
      <c r="H203" s="125">
        <f t="shared" si="21"/>
        <v>17500</v>
      </c>
      <c r="K203" s="216"/>
    </row>
    <row r="204" spans="3:11">
      <c r="C204" s="201" t="s">
        <v>1223</v>
      </c>
      <c r="D204" s="60" t="s">
        <v>742</v>
      </c>
      <c r="E204" s="73" t="s">
        <v>44</v>
      </c>
      <c r="F204" s="75">
        <v>1</v>
      </c>
      <c r="G204" s="65">
        <f>VLOOKUP(D204,upahbahan,3,FALSE)</f>
        <v>6000</v>
      </c>
      <c r="H204" s="125">
        <f t="shared" si="21"/>
        <v>6000</v>
      </c>
      <c r="K204" s="216"/>
    </row>
    <row r="205" spans="3:11">
      <c r="C205" s="145" t="s">
        <v>1226</v>
      </c>
      <c r="D205" s="81"/>
      <c r="E205" s="81"/>
      <c r="F205" s="81"/>
      <c r="G205" s="163"/>
      <c r="H205" s="125">
        <f>SUM(H199:H204)</f>
        <v>6064276.5666666664</v>
      </c>
      <c r="K205" s="216"/>
    </row>
    <row r="206" spans="3:11">
      <c r="C206" s="153" t="s">
        <v>1227</v>
      </c>
      <c r="D206" s="60" t="s">
        <v>1228</v>
      </c>
      <c r="E206" s="74"/>
      <c r="F206" s="74"/>
      <c r="G206" s="74"/>
      <c r="H206" s="147"/>
      <c r="K206" s="216"/>
    </row>
    <row r="207" spans="3:11">
      <c r="C207" s="145" t="s">
        <v>1229</v>
      </c>
      <c r="D207" s="81"/>
      <c r="E207" s="81"/>
      <c r="F207" s="81"/>
      <c r="G207" s="163"/>
      <c r="H207" s="154">
        <v>0</v>
      </c>
      <c r="K207" s="216"/>
    </row>
    <row r="208" spans="3:11">
      <c r="C208" s="123" t="s">
        <v>1230</v>
      </c>
      <c r="D208" s="70" t="s">
        <v>1231</v>
      </c>
      <c r="E208" s="71"/>
      <c r="F208" s="71"/>
      <c r="G208" s="72"/>
      <c r="H208" s="125">
        <f>H207+H205+H197</f>
        <v>7156026.5666666664</v>
      </c>
      <c r="K208" s="216"/>
    </row>
    <row r="209" spans="3:11">
      <c r="C209" s="123" t="s">
        <v>1232</v>
      </c>
      <c r="D209" s="70" t="s">
        <v>1410</v>
      </c>
      <c r="E209" s="71"/>
      <c r="F209" s="72"/>
      <c r="G209" s="96">
        <f>$M$7</f>
        <v>0.1</v>
      </c>
      <c r="H209" s="125">
        <f>H208*G209</f>
        <v>715602.65666666673</v>
      </c>
      <c r="K209" s="216"/>
    </row>
    <row r="210" spans="3:11" ht="15.75" thickBot="1">
      <c r="C210" s="131" t="s">
        <v>1233</v>
      </c>
      <c r="D210" s="132" t="s">
        <v>1234</v>
      </c>
      <c r="E210" s="133"/>
      <c r="F210" s="133"/>
      <c r="G210" s="156"/>
      <c r="H210" s="135">
        <f>SUM(H208:H209)</f>
        <v>7871629.2233333327</v>
      </c>
      <c r="K210" s="216"/>
    </row>
    <row r="211" spans="3:11" ht="15.75" thickTop="1">
      <c r="C211" s="90"/>
      <c r="D211" s="91"/>
      <c r="E211" s="91"/>
      <c r="F211" s="91"/>
      <c r="G211" s="91"/>
      <c r="H211" s="200"/>
      <c r="K211" s="216"/>
    </row>
    <row r="212" spans="3:11" ht="15.75" thickBot="1">
      <c r="C212" s="239" t="s">
        <v>1746</v>
      </c>
      <c r="D212" s="226"/>
      <c r="E212" s="226"/>
      <c r="F212" s="226"/>
      <c r="G212" s="226"/>
      <c r="H212" s="226"/>
      <c r="I212" s="57">
        <f>ROUNDDOWN(H229,-2)</f>
        <v>2959100</v>
      </c>
      <c r="K212" s="216"/>
    </row>
    <row r="213" spans="3:11" ht="29.25" thickTop="1">
      <c r="C213" s="120" t="s">
        <v>1207</v>
      </c>
      <c r="D213" s="121" t="s">
        <v>1208</v>
      </c>
      <c r="E213" s="121" t="s">
        <v>1209</v>
      </c>
      <c r="F213" s="121" t="s">
        <v>1210</v>
      </c>
      <c r="G213" s="121" t="s">
        <v>1211</v>
      </c>
      <c r="H213" s="122" t="s">
        <v>1212</v>
      </c>
      <c r="K213" s="216"/>
    </row>
    <row r="214" spans="3:11">
      <c r="C214" s="142" t="s">
        <v>1213</v>
      </c>
      <c r="D214" s="60" t="s">
        <v>1214</v>
      </c>
      <c r="E214" s="74"/>
      <c r="F214" s="74"/>
      <c r="G214" s="74"/>
      <c r="H214" s="147"/>
      <c r="K214" s="216"/>
    </row>
    <row r="215" spans="3:11">
      <c r="C215" s="143">
        <v>1</v>
      </c>
      <c r="D215" s="60" t="s">
        <v>5</v>
      </c>
      <c r="E215" s="73" t="s">
        <v>6</v>
      </c>
      <c r="F215" s="75">
        <v>7.4999999999999997E-2</v>
      </c>
      <c r="G215" s="65">
        <f>VLOOKUP(D215,upahbahan,3,FALSE)</f>
        <v>100000</v>
      </c>
      <c r="H215" s="125">
        <f t="shared" ref="H215:H218" si="22">F215*G215</f>
        <v>7500</v>
      </c>
      <c r="K215" s="216"/>
    </row>
    <row r="216" spans="3:11">
      <c r="C216" s="143">
        <v>2</v>
      </c>
      <c r="D216" s="60" t="s">
        <v>7</v>
      </c>
      <c r="E216" s="73" t="s">
        <v>6</v>
      </c>
      <c r="F216" s="75">
        <v>0.75</v>
      </c>
      <c r="G216" s="65">
        <f>VLOOKUP(D216,upahbahan,3,FALSE)</f>
        <v>145000</v>
      </c>
      <c r="H216" s="125">
        <f t="shared" si="22"/>
        <v>108750</v>
      </c>
      <c r="K216" s="216"/>
    </row>
    <row r="217" spans="3:11">
      <c r="C217" s="143">
        <v>3</v>
      </c>
      <c r="D217" s="60" t="s">
        <v>18</v>
      </c>
      <c r="E217" s="73" t="s">
        <v>6</v>
      </c>
      <c r="F217" s="75">
        <v>7.4999999999999997E-2</v>
      </c>
      <c r="G217" s="65">
        <f>VLOOKUP(D217,upahbahan,3,FALSE)</f>
        <v>150000</v>
      </c>
      <c r="H217" s="125">
        <f t="shared" si="22"/>
        <v>11250</v>
      </c>
      <c r="K217" s="216"/>
    </row>
    <row r="218" spans="3:11">
      <c r="C218" s="143">
        <v>4</v>
      </c>
      <c r="D218" s="60" t="s">
        <v>19</v>
      </c>
      <c r="E218" s="73" t="s">
        <v>6</v>
      </c>
      <c r="F218" s="75">
        <v>2.5000000000000001E-2</v>
      </c>
      <c r="G218" s="65">
        <f>VLOOKUP(D218,upahbahan,3,FALSE)</f>
        <v>145000</v>
      </c>
      <c r="H218" s="125">
        <f t="shared" si="22"/>
        <v>3625</v>
      </c>
      <c r="K218" s="216"/>
    </row>
    <row r="219" spans="3:11">
      <c r="C219" s="145" t="s">
        <v>1220</v>
      </c>
      <c r="D219" s="81"/>
      <c r="E219" s="81"/>
      <c r="F219" s="220"/>
      <c r="G219" s="221"/>
      <c r="H219" s="125">
        <f>SUM(H215:H218)</f>
        <v>131125</v>
      </c>
      <c r="I219" s="222"/>
      <c r="K219" s="216"/>
    </row>
    <row r="220" spans="3:11">
      <c r="C220" s="142" t="s">
        <v>1221</v>
      </c>
      <c r="D220" s="60" t="s">
        <v>1222</v>
      </c>
      <c r="E220" s="74"/>
      <c r="F220" s="74"/>
      <c r="G220" s="74"/>
      <c r="H220" s="147"/>
      <c r="K220" s="216"/>
    </row>
    <row r="221" spans="3:11">
      <c r="C221" s="201" t="s">
        <v>1215</v>
      </c>
      <c r="D221" s="78" t="s">
        <v>683</v>
      </c>
      <c r="E221" s="73" t="s">
        <v>139</v>
      </c>
      <c r="F221" s="75">
        <v>1</v>
      </c>
      <c r="G221" s="65">
        <f>VLOOKUP(D221,upahbahan,3,FALSE)</f>
        <v>2500000</v>
      </c>
      <c r="H221" s="125">
        <f t="shared" ref="H221:H223" si="23">F221*G221</f>
        <v>2500000</v>
      </c>
      <c r="K221" s="216"/>
    </row>
    <row r="222" spans="3:11">
      <c r="C222" s="201" t="s">
        <v>1216</v>
      </c>
      <c r="D222" s="60" t="s">
        <v>687</v>
      </c>
      <c r="E222" s="73" t="s">
        <v>114</v>
      </c>
      <c r="F222" s="75">
        <v>1</v>
      </c>
      <c r="G222" s="65">
        <f>VLOOKUP(D222,upahbahan,3,FALSE)</f>
        <v>55000</v>
      </c>
      <c r="H222" s="125">
        <f t="shared" si="23"/>
        <v>55000</v>
      </c>
      <c r="K222" s="216"/>
    </row>
    <row r="223" spans="3:11">
      <c r="C223" s="201" t="s">
        <v>1217</v>
      </c>
      <c r="D223" s="60" t="s">
        <v>741</v>
      </c>
      <c r="E223" s="73" t="s">
        <v>44</v>
      </c>
      <c r="F223" s="75">
        <v>1</v>
      </c>
      <c r="G223" s="65">
        <f>VLOOKUP(D223,upahbahan,3,FALSE)</f>
        <v>4000</v>
      </c>
      <c r="H223" s="125">
        <f t="shared" si="23"/>
        <v>4000</v>
      </c>
      <c r="K223" s="216"/>
    </row>
    <row r="224" spans="3:11">
      <c r="C224" s="145" t="s">
        <v>1226</v>
      </c>
      <c r="D224" s="81"/>
      <c r="E224" s="81"/>
      <c r="F224" s="81"/>
      <c r="G224" s="163"/>
      <c r="H224" s="125">
        <f>SUM(H221:H223)</f>
        <v>2559000</v>
      </c>
      <c r="K224" s="216"/>
    </row>
    <row r="225" spans="3:11">
      <c r="C225" s="153" t="s">
        <v>1227</v>
      </c>
      <c r="D225" s="60" t="s">
        <v>1228</v>
      </c>
      <c r="E225" s="74"/>
      <c r="F225" s="74"/>
      <c r="G225" s="74"/>
      <c r="H225" s="147"/>
      <c r="K225" s="216"/>
    </row>
    <row r="226" spans="3:11">
      <c r="C226" s="145" t="s">
        <v>1229</v>
      </c>
      <c r="D226" s="81"/>
      <c r="E226" s="81"/>
      <c r="F226" s="81"/>
      <c r="G226" s="163"/>
      <c r="H226" s="154">
        <v>0</v>
      </c>
      <c r="K226" s="216"/>
    </row>
    <row r="227" spans="3:11">
      <c r="C227" s="123" t="s">
        <v>1230</v>
      </c>
      <c r="D227" s="70" t="s">
        <v>1231</v>
      </c>
      <c r="E227" s="71"/>
      <c r="F227" s="71"/>
      <c r="G227" s="72"/>
      <c r="H227" s="125">
        <f>H226+H224+H219</f>
        <v>2690125</v>
      </c>
      <c r="K227" s="216"/>
    </row>
    <row r="228" spans="3:11">
      <c r="C228" s="123" t="s">
        <v>1232</v>
      </c>
      <c r="D228" s="70" t="s">
        <v>1410</v>
      </c>
      <c r="E228" s="71"/>
      <c r="F228" s="72"/>
      <c r="G228" s="96">
        <f>$M$7</f>
        <v>0.1</v>
      </c>
      <c r="H228" s="125">
        <f>H227*G228</f>
        <v>269012.5</v>
      </c>
      <c r="K228" s="216"/>
    </row>
    <row r="229" spans="3:11" ht="15.75" thickBot="1">
      <c r="C229" s="131" t="s">
        <v>1233</v>
      </c>
      <c r="D229" s="132" t="s">
        <v>1234</v>
      </c>
      <c r="E229" s="133"/>
      <c r="F229" s="133"/>
      <c r="G229" s="156"/>
      <c r="H229" s="135">
        <f>SUM(H227:H228)</f>
        <v>2959137.5</v>
      </c>
      <c r="K229" s="216"/>
    </row>
    <row r="230" spans="3:11" ht="15.75" thickTop="1">
      <c r="C230" s="90"/>
      <c r="D230" s="91"/>
      <c r="E230" s="91"/>
      <c r="F230" s="91"/>
      <c r="G230" s="91"/>
      <c r="H230" s="200"/>
      <c r="K230" s="216"/>
    </row>
    <row r="231" spans="3:11" ht="15.75" thickBot="1">
      <c r="C231" s="224" t="s">
        <v>1747</v>
      </c>
      <c r="D231" s="225"/>
      <c r="E231" s="225"/>
      <c r="F231" s="225"/>
      <c r="G231" s="225"/>
      <c r="H231" s="225"/>
      <c r="I231" s="57">
        <f>ROUNDDOWN(H247,-2)</f>
        <v>665400</v>
      </c>
      <c r="K231" s="216"/>
    </row>
    <row r="232" spans="3:11" ht="29.25" thickTop="1">
      <c r="C232" s="120" t="s">
        <v>1207</v>
      </c>
      <c r="D232" s="121" t="s">
        <v>1208</v>
      </c>
      <c r="E232" s="121" t="s">
        <v>1209</v>
      </c>
      <c r="F232" s="121" t="s">
        <v>1210</v>
      </c>
      <c r="G232" s="121" t="s">
        <v>1211</v>
      </c>
      <c r="H232" s="122" t="s">
        <v>1212</v>
      </c>
      <c r="K232" s="216"/>
    </row>
    <row r="233" spans="3:11">
      <c r="C233" s="142" t="s">
        <v>1213</v>
      </c>
      <c r="D233" s="60" t="s">
        <v>1214</v>
      </c>
      <c r="E233" s="74"/>
      <c r="F233" s="74"/>
      <c r="G233" s="74"/>
      <c r="H233" s="147"/>
      <c r="K233" s="216"/>
    </row>
    <row r="234" spans="3:11">
      <c r="C234" s="143">
        <v>1</v>
      </c>
      <c r="D234" s="60" t="s">
        <v>5</v>
      </c>
      <c r="E234" s="73" t="s">
        <v>6</v>
      </c>
      <c r="F234" s="75">
        <v>0.03</v>
      </c>
      <c r="G234" s="65">
        <f>VLOOKUP(D234,upahbahan,3,FALSE)</f>
        <v>100000</v>
      </c>
      <c r="H234" s="125">
        <f t="shared" ref="H234:H237" si="24">F234*G234</f>
        <v>3000</v>
      </c>
      <c r="K234" s="216"/>
    </row>
    <row r="235" spans="3:11">
      <c r="C235" s="143">
        <v>2</v>
      </c>
      <c r="D235" s="60" t="s">
        <v>7</v>
      </c>
      <c r="E235" s="73" t="s">
        <v>6</v>
      </c>
      <c r="F235" s="75">
        <v>0.3</v>
      </c>
      <c r="G235" s="65">
        <f>VLOOKUP(D235,upahbahan,3,FALSE)</f>
        <v>145000</v>
      </c>
      <c r="H235" s="125">
        <f t="shared" si="24"/>
        <v>43500</v>
      </c>
      <c r="K235" s="216"/>
    </row>
    <row r="236" spans="3:11">
      <c r="C236" s="143">
        <v>3</v>
      </c>
      <c r="D236" s="60" t="s">
        <v>18</v>
      </c>
      <c r="E236" s="73" t="s">
        <v>6</v>
      </c>
      <c r="F236" s="75">
        <v>0.03</v>
      </c>
      <c r="G236" s="65">
        <f>VLOOKUP(D236,upahbahan,3,FALSE)</f>
        <v>150000</v>
      </c>
      <c r="H236" s="125">
        <f t="shared" si="24"/>
        <v>4500</v>
      </c>
      <c r="K236" s="216"/>
    </row>
    <row r="237" spans="3:11">
      <c r="C237" s="143">
        <v>4</v>
      </c>
      <c r="D237" s="60" t="s">
        <v>19</v>
      </c>
      <c r="E237" s="73" t="s">
        <v>6</v>
      </c>
      <c r="F237" s="75">
        <v>0.01</v>
      </c>
      <c r="G237" s="65">
        <f>VLOOKUP(D237,upahbahan,3,FALSE)</f>
        <v>145000</v>
      </c>
      <c r="H237" s="125">
        <f t="shared" si="24"/>
        <v>1450</v>
      </c>
      <c r="K237" s="216"/>
    </row>
    <row r="238" spans="3:11">
      <c r="C238" s="145" t="s">
        <v>1220</v>
      </c>
      <c r="D238" s="81"/>
      <c r="E238" s="81"/>
      <c r="F238" s="220"/>
      <c r="G238" s="221"/>
      <c r="H238" s="125">
        <f>SUM(H234:H237)</f>
        <v>52450</v>
      </c>
      <c r="I238" s="222"/>
      <c r="K238" s="216"/>
    </row>
    <row r="239" spans="3:11">
      <c r="C239" s="142" t="s">
        <v>1221</v>
      </c>
      <c r="D239" s="60" t="s">
        <v>1222</v>
      </c>
      <c r="E239" s="74"/>
      <c r="F239" s="74"/>
      <c r="G239" s="65"/>
      <c r="H239" s="147"/>
      <c r="K239" s="216"/>
    </row>
    <row r="240" spans="3:11">
      <c r="C240" s="143">
        <v>1</v>
      </c>
      <c r="D240" s="60" t="s">
        <v>678</v>
      </c>
      <c r="E240" s="73" t="s">
        <v>44</v>
      </c>
      <c r="F240" s="230">
        <v>1</v>
      </c>
      <c r="G240" s="65">
        <f>VLOOKUP(D240,upahbahan,3,FALSE)</f>
        <v>230600</v>
      </c>
      <c r="H240" s="125">
        <f t="shared" ref="H240:H241" si="25">F240*G240</f>
        <v>230600</v>
      </c>
      <c r="K240" s="216"/>
    </row>
    <row r="241" spans="3:11">
      <c r="C241" s="143">
        <v>2</v>
      </c>
      <c r="D241" s="60" t="s">
        <v>758</v>
      </c>
      <c r="E241" s="73" t="s">
        <v>639</v>
      </c>
      <c r="F241" s="230">
        <v>1</v>
      </c>
      <c r="G241" s="65">
        <f>VLOOKUP(D241,upahbahan,3,FALSE)</f>
        <v>321900</v>
      </c>
      <c r="H241" s="125">
        <f t="shared" si="25"/>
        <v>321900</v>
      </c>
      <c r="K241" s="216"/>
    </row>
    <row r="242" spans="3:11">
      <c r="C242" s="145" t="s">
        <v>1226</v>
      </c>
      <c r="D242" s="81"/>
      <c r="E242" s="81"/>
      <c r="F242" s="81"/>
      <c r="G242" s="163"/>
      <c r="H242" s="125">
        <f>SUM(H240:H241)</f>
        <v>552500</v>
      </c>
      <c r="K242" s="216"/>
    </row>
    <row r="243" spans="3:11">
      <c r="C243" s="153" t="s">
        <v>1227</v>
      </c>
      <c r="D243" s="60" t="s">
        <v>1228</v>
      </c>
      <c r="E243" s="74"/>
      <c r="F243" s="74"/>
      <c r="G243" s="74"/>
      <c r="H243" s="147"/>
      <c r="K243" s="216"/>
    </row>
    <row r="244" spans="3:11">
      <c r="C244" s="145" t="s">
        <v>1229</v>
      </c>
      <c r="D244" s="81"/>
      <c r="E244" s="81"/>
      <c r="F244" s="81"/>
      <c r="G244" s="163"/>
      <c r="H244" s="154">
        <v>0</v>
      </c>
      <c r="K244" s="216"/>
    </row>
    <row r="245" spans="3:11">
      <c r="C245" s="123" t="s">
        <v>1230</v>
      </c>
      <c r="D245" s="70" t="s">
        <v>1231</v>
      </c>
      <c r="E245" s="71"/>
      <c r="F245" s="71"/>
      <c r="G245" s="72"/>
      <c r="H245" s="125">
        <f>H244+H242+H238</f>
        <v>604950</v>
      </c>
      <c r="K245" s="216"/>
    </row>
    <row r="246" spans="3:11">
      <c r="C246" s="123" t="s">
        <v>1232</v>
      </c>
      <c r="D246" s="70" t="s">
        <v>1410</v>
      </c>
      <c r="E246" s="71"/>
      <c r="F246" s="72"/>
      <c r="G246" s="96">
        <f>$M$7</f>
        <v>0.1</v>
      </c>
      <c r="H246" s="125">
        <f>H245*G246</f>
        <v>60495</v>
      </c>
      <c r="K246" s="216"/>
    </row>
    <row r="247" spans="3:11" ht="15.75" thickBot="1">
      <c r="C247" s="131" t="s">
        <v>1233</v>
      </c>
      <c r="D247" s="132" t="s">
        <v>1234</v>
      </c>
      <c r="E247" s="133"/>
      <c r="F247" s="133"/>
      <c r="G247" s="156"/>
      <c r="H247" s="135">
        <f>SUM(H245:H246)</f>
        <v>665445</v>
      </c>
      <c r="K247" s="216"/>
    </row>
    <row r="248" spans="3:11" ht="15.75" thickTop="1">
      <c r="C248" s="90"/>
      <c r="D248" s="91"/>
      <c r="E248" s="91"/>
      <c r="F248" s="91"/>
      <c r="G248" s="91"/>
      <c r="H248" s="92"/>
      <c r="K248" s="216"/>
    </row>
    <row r="249" spans="3:11" ht="15.75" thickBot="1">
      <c r="C249" s="224" t="s">
        <v>1748</v>
      </c>
      <c r="D249" s="225"/>
      <c r="E249" s="225"/>
      <c r="F249" s="225"/>
      <c r="G249" s="225"/>
      <c r="H249" s="225"/>
      <c r="I249" s="57">
        <f>ROUNDDOWN(H267,-2)</f>
        <v>1153900</v>
      </c>
      <c r="K249" s="216"/>
    </row>
    <row r="250" spans="3:11" ht="29.25" thickTop="1">
      <c r="C250" s="120" t="s">
        <v>1207</v>
      </c>
      <c r="D250" s="121" t="s">
        <v>1208</v>
      </c>
      <c r="E250" s="121" t="s">
        <v>1209</v>
      </c>
      <c r="F250" s="121" t="s">
        <v>1210</v>
      </c>
      <c r="G250" s="121" t="s">
        <v>1211</v>
      </c>
      <c r="H250" s="122" t="s">
        <v>1212</v>
      </c>
      <c r="K250" s="216"/>
    </row>
    <row r="251" spans="3:11">
      <c r="C251" s="142" t="s">
        <v>1213</v>
      </c>
      <c r="D251" s="60" t="s">
        <v>1214</v>
      </c>
      <c r="E251" s="74"/>
      <c r="F251" s="74"/>
      <c r="G251" s="74"/>
      <c r="H251" s="147"/>
      <c r="K251" s="216"/>
    </row>
    <row r="252" spans="3:11">
      <c r="C252" s="143">
        <v>1</v>
      </c>
      <c r="D252" s="60" t="s">
        <v>5</v>
      </c>
      <c r="E252" s="73" t="s">
        <v>6</v>
      </c>
      <c r="F252" s="94">
        <v>0.05</v>
      </c>
      <c r="G252" s="65">
        <f>VLOOKUP(D252,upahbahan,3,FALSE)</f>
        <v>100000</v>
      </c>
      <c r="H252" s="125">
        <f t="shared" ref="H252:H255" si="26">F252*G252</f>
        <v>5000</v>
      </c>
      <c r="K252" s="216"/>
    </row>
    <row r="253" spans="3:11">
      <c r="C253" s="143">
        <v>2</v>
      </c>
      <c r="D253" s="60" t="s">
        <v>7</v>
      </c>
      <c r="E253" s="73" t="s">
        <v>6</v>
      </c>
      <c r="F253" s="94">
        <v>0.5</v>
      </c>
      <c r="G253" s="65">
        <f>VLOOKUP(D253,upahbahan,3,FALSE)</f>
        <v>145000</v>
      </c>
      <c r="H253" s="125">
        <f t="shared" si="26"/>
        <v>72500</v>
      </c>
      <c r="K253" s="216"/>
    </row>
    <row r="254" spans="3:11">
      <c r="C254" s="143">
        <v>3</v>
      </c>
      <c r="D254" s="60" t="s">
        <v>18</v>
      </c>
      <c r="E254" s="73" t="s">
        <v>6</v>
      </c>
      <c r="F254" s="94">
        <v>0.05</v>
      </c>
      <c r="G254" s="65">
        <f>VLOOKUP(D254,upahbahan,3,FALSE)</f>
        <v>150000</v>
      </c>
      <c r="H254" s="125">
        <f t="shared" si="26"/>
        <v>7500</v>
      </c>
      <c r="K254" s="216"/>
    </row>
    <row r="255" spans="3:11">
      <c r="C255" s="143">
        <v>4</v>
      </c>
      <c r="D255" s="60" t="s">
        <v>19</v>
      </c>
      <c r="E255" s="73" t="s">
        <v>6</v>
      </c>
      <c r="F255" s="94">
        <v>1.67E-2</v>
      </c>
      <c r="G255" s="65">
        <f>VLOOKUP(D255,upahbahan,3,FALSE)</f>
        <v>145000</v>
      </c>
      <c r="H255" s="125">
        <f t="shared" si="26"/>
        <v>2421.5</v>
      </c>
      <c r="K255" s="216"/>
    </row>
    <row r="256" spans="3:11">
      <c r="C256" s="145" t="s">
        <v>1220</v>
      </c>
      <c r="D256" s="81"/>
      <c r="E256" s="81"/>
      <c r="F256" s="220"/>
      <c r="G256" s="221"/>
      <c r="H256" s="125">
        <f>SUM(H252:H255)</f>
        <v>87421.5</v>
      </c>
      <c r="I256" s="222"/>
      <c r="K256" s="216"/>
    </row>
    <row r="257" spans="3:11">
      <c r="C257" s="142" t="s">
        <v>1221</v>
      </c>
      <c r="D257" s="60" t="s">
        <v>1222</v>
      </c>
      <c r="E257" s="74"/>
      <c r="F257" s="74"/>
      <c r="G257" s="74"/>
      <c r="H257" s="147"/>
      <c r="K257" s="216"/>
    </row>
    <row r="258" spans="3:11">
      <c r="C258" s="201" t="s">
        <v>1215</v>
      </c>
      <c r="D258" s="60" t="s">
        <v>679</v>
      </c>
      <c r="E258" s="73" t="s">
        <v>44</v>
      </c>
      <c r="F258" s="230">
        <v>1</v>
      </c>
      <c r="G258" s="65">
        <f>VLOOKUP(D258,upahbahan,3,FALSE)</f>
        <v>600000</v>
      </c>
      <c r="H258" s="125">
        <f t="shared" ref="H258:H261" si="27">F258*G258</f>
        <v>600000</v>
      </c>
      <c r="K258" s="216"/>
    </row>
    <row r="259" spans="3:11">
      <c r="C259" s="201" t="s">
        <v>1216</v>
      </c>
      <c r="D259" s="60" t="s">
        <v>758</v>
      </c>
      <c r="E259" s="73" t="s">
        <v>639</v>
      </c>
      <c r="F259" s="230">
        <v>1</v>
      </c>
      <c r="G259" s="65">
        <f>VLOOKUP(D259,upahbahan,3,FALSE)</f>
        <v>321900</v>
      </c>
      <c r="H259" s="125">
        <f t="shared" si="27"/>
        <v>321900</v>
      </c>
      <c r="K259" s="216"/>
    </row>
    <row r="260" spans="3:11">
      <c r="C260" s="201" t="s">
        <v>1217</v>
      </c>
      <c r="D260" s="60" t="s">
        <v>568</v>
      </c>
      <c r="E260" s="73" t="s">
        <v>66</v>
      </c>
      <c r="F260" s="230">
        <v>20</v>
      </c>
      <c r="G260" s="65">
        <f>VLOOKUP(D260,upahbahan,3,FALSE)</f>
        <v>1300</v>
      </c>
      <c r="H260" s="125">
        <f t="shared" si="27"/>
        <v>26000</v>
      </c>
      <c r="K260" s="216"/>
    </row>
    <row r="261" spans="3:11">
      <c r="C261" s="201" t="s">
        <v>1218</v>
      </c>
      <c r="D261" s="78" t="s">
        <v>86</v>
      </c>
      <c r="E261" s="73" t="s">
        <v>42</v>
      </c>
      <c r="F261" s="230">
        <v>0.05</v>
      </c>
      <c r="G261" s="65">
        <f>VLOOKUP(D261,upahbahan,3,FALSE)</f>
        <v>275000</v>
      </c>
      <c r="H261" s="125">
        <f t="shared" si="27"/>
        <v>13750</v>
      </c>
      <c r="K261" s="216"/>
    </row>
    <row r="262" spans="3:11">
      <c r="C262" s="145" t="s">
        <v>1226</v>
      </c>
      <c r="D262" s="81"/>
      <c r="E262" s="81"/>
      <c r="F262" s="81"/>
      <c r="G262" s="163"/>
      <c r="H262" s="125">
        <f>SUM(H258:H261)</f>
        <v>961650</v>
      </c>
      <c r="K262" s="216"/>
    </row>
    <row r="263" spans="3:11">
      <c r="C263" s="153" t="s">
        <v>1227</v>
      </c>
      <c r="D263" s="60" t="s">
        <v>1228</v>
      </c>
      <c r="E263" s="74"/>
      <c r="F263" s="74"/>
      <c r="G263" s="74"/>
      <c r="H263" s="147"/>
      <c r="K263" s="216"/>
    </row>
    <row r="264" spans="3:11">
      <c r="C264" s="145" t="s">
        <v>1229</v>
      </c>
      <c r="D264" s="81"/>
      <c r="E264" s="81"/>
      <c r="F264" s="81"/>
      <c r="G264" s="163"/>
      <c r="H264" s="154">
        <v>0</v>
      </c>
      <c r="K264" s="216"/>
    </row>
    <row r="265" spans="3:11">
      <c r="C265" s="123" t="s">
        <v>1230</v>
      </c>
      <c r="D265" s="70" t="s">
        <v>1231</v>
      </c>
      <c r="E265" s="71"/>
      <c r="F265" s="71"/>
      <c r="G265" s="72"/>
      <c r="H265" s="125">
        <f>H264+H262+H256</f>
        <v>1049071.5</v>
      </c>
      <c r="K265" s="216"/>
    </row>
    <row r="266" spans="3:11">
      <c r="C266" s="123" t="s">
        <v>1232</v>
      </c>
      <c r="D266" s="70" t="s">
        <v>1410</v>
      </c>
      <c r="E266" s="71"/>
      <c r="F266" s="72"/>
      <c r="G266" s="96">
        <f>$M$7</f>
        <v>0.1</v>
      </c>
      <c r="H266" s="125">
        <f>H265*G266</f>
        <v>104907.15000000001</v>
      </c>
      <c r="K266" s="216"/>
    </row>
    <row r="267" spans="3:11" ht="15.75" thickBot="1">
      <c r="C267" s="131" t="s">
        <v>1233</v>
      </c>
      <c r="D267" s="132" t="s">
        <v>1234</v>
      </c>
      <c r="E267" s="133"/>
      <c r="F267" s="133"/>
      <c r="G267" s="156"/>
      <c r="H267" s="135">
        <f>SUM(H265:H266)</f>
        <v>1153978.6499999999</v>
      </c>
      <c r="K267" s="216"/>
    </row>
    <row r="268" spans="3:11" ht="15.75" thickTop="1">
      <c r="C268" s="90"/>
      <c r="D268" s="91"/>
      <c r="E268" s="91"/>
      <c r="F268" s="91"/>
      <c r="G268" s="91"/>
      <c r="H268" s="92"/>
      <c r="K268" s="216"/>
    </row>
    <row r="269" spans="3:11" ht="15.75" thickBot="1">
      <c r="C269" s="224" t="s">
        <v>1749</v>
      </c>
      <c r="D269" s="226"/>
      <c r="E269" s="226"/>
      <c r="F269" s="226"/>
      <c r="G269" s="226"/>
      <c r="H269" s="226"/>
      <c r="I269" s="57">
        <f>ROUNDDOWN(H284,-2)</f>
        <v>68300</v>
      </c>
      <c r="K269" s="216"/>
    </row>
    <row r="270" spans="3:11" ht="29.25" thickTop="1">
      <c r="C270" s="120" t="s">
        <v>1207</v>
      </c>
      <c r="D270" s="121" t="s">
        <v>1208</v>
      </c>
      <c r="E270" s="121" t="s">
        <v>1209</v>
      </c>
      <c r="F270" s="121" t="s">
        <v>1210</v>
      </c>
      <c r="G270" s="121" t="s">
        <v>1211</v>
      </c>
      <c r="H270" s="122" t="s">
        <v>1212</v>
      </c>
      <c r="K270" s="216"/>
    </row>
    <row r="271" spans="3:11">
      <c r="C271" s="142" t="s">
        <v>1213</v>
      </c>
      <c r="D271" s="60" t="s">
        <v>1214</v>
      </c>
      <c r="E271" s="74"/>
      <c r="F271" s="74"/>
      <c r="G271" s="74"/>
      <c r="H271" s="147"/>
      <c r="K271" s="216"/>
    </row>
    <row r="272" spans="3:11">
      <c r="C272" s="143">
        <v>1</v>
      </c>
      <c r="D272" s="60" t="s">
        <v>5</v>
      </c>
      <c r="E272" s="73" t="s">
        <v>6</v>
      </c>
      <c r="F272" s="94">
        <v>0.01</v>
      </c>
      <c r="G272" s="65">
        <f>VLOOKUP(D272,upahbahan,3,FALSE)</f>
        <v>100000</v>
      </c>
      <c r="H272" s="125">
        <f t="shared" ref="H272:H275" si="28">F272*G272</f>
        <v>1000</v>
      </c>
      <c r="K272" s="216"/>
    </row>
    <row r="273" spans="3:11">
      <c r="C273" s="143">
        <v>2</v>
      </c>
      <c r="D273" s="60" t="s">
        <v>7</v>
      </c>
      <c r="E273" s="73" t="s">
        <v>6</v>
      </c>
      <c r="F273" s="94">
        <v>0.1</v>
      </c>
      <c r="G273" s="65">
        <f>VLOOKUP(D273,upahbahan,3,FALSE)</f>
        <v>145000</v>
      </c>
      <c r="H273" s="125">
        <f t="shared" si="28"/>
        <v>14500</v>
      </c>
      <c r="K273" s="216"/>
    </row>
    <row r="274" spans="3:11">
      <c r="C274" s="143">
        <v>3</v>
      </c>
      <c r="D274" s="60" t="s">
        <v>18</v>
      </c>
      <c r="E274" s="73" t="s">
        <v>6</v>
      </c>
      <c r="F274" s="94">
        <v>0.01</v>
      </c>
      <c r="G274" s="65">
        <f>VLOOKUP(D274,upahbahan,3,FALSE)</f>
        <v>150000</v>
      </c>
      <c r="H274" s="125">
        <f t="shared" si="28"/>
        <v>1500</v>
      </c>
      <c r="K274" s="216"/>
    </row>
    <row r="275" spans="3:11">
      <c r="C275" s="143">
        <v>4</v>
      </c>
      <c r="D275" s="60" t="s">
        <v>19</v>
      </c>
      <c r="E275" s="73" t="s">
        <v>6</v>
      </c>
      <c r="F275" s="94">
        <v>3.3E-3</v>
      </c>
      <c r="G275" s="65">
        <f>VLOOKUP(D275,upahbahan,3,FALSE)</f>
        <v>145000</v>
      </c>
      <c r="H275" s="125">
        <f t="shared" si="28"/>
        <v>478.5</v>
      </c>
      <c r="K275" s="216"/>
    </row>
    <row r="276" spans="3:11">
      <c r="C276" s="145" t="s">
        <v>1220</v>
      </c>
      <c r="D276" s="81"/>
      <c r="E276" s="81"/>
      <c r="F276" s="220"/>
      <c r="G276" s="221"/>
      <c r="H276" s="125">
        <f>SUM(H272:H275)</f>
        <v>17478.5</v>
      </c>
      <c r="I276" s="222"/>
      <c r="K276" s="216"/>
    </row>
    <row r="277" spans="3:11">
      <c r="C277" s="142" t="s">
        <v>1221</v>
      </c>
      <c r="D277" s="60" t="s">
        <v>1222</v>
      </c>
      <c r="E277" s="74"/>
      <c r="F277" s="74"/>
      <c r="G277" s="74"/>
      <c r="H277" s="147"/>
      <c r="K277" s="216"/>
    </row>
    <row r="278" spans="3:11">
      <c r="C278" s="143">
        <v>1</v>
      </c>
      <c r="D278" s="60" t="s">
        <v>688</v>
      </c>
      <c r="E278" s="73" t="s">
        <v>44</v>
      </c>
      <c r="F278" s="230">
        <v>1</v>
      </c>
      <c r="G278" s="65">
        <f>VLOOKUP(D278,upahbahan,3,FALSE)</f>
        <v>44700</v>
      </c>
      <c r="H278" s="125">
        <f t="shared" ref="H278" si="29">F278*G278</f>
        <v>44700</v>
      </c>
      <c r="K278" s="216"/>
    </row>
    <row r="279" spans="3:11">
      <c r="C279" s="145" t="s">
        <v>1226</v>
      </c>
      <c r="D279" s="81"/>
      <c r="E279" s="81"/>
      <c r="F279" s="81"/>
      <c r="G279" s="163"/>
      <c r="H279" s="125">
        <f>SUM(H278)</f>
        <v>44700</v>
      </c>
      <c r="K279" s="216"/>
    </row>
    <row r="280" spans="3:11">
      <c r="C280" s="153" t="s">
        <v>1227</v>
      </c>
      <c r="D280" s="60" t="s">
        <v>1228</v>
      </c>
      <c r="E280" s="74"/>
      <c r="F280" s="74"/>
      <c r="G280" s="74"/>
      <c r="H280" s="147"/>
      <c r="K280" s="216"/>
    </row>
    <row r="281" spans="3:11">
      <c r="C281" s="145" t="s">
        <v>1229</v>
      </c>
      <c r="D281" s="81"/>
      <c r="E281" s="81"/>
      <c r="F281" s="81"/>
      <c r="G281" s="163"/>
      <c r="H281" s="154">
        <v>0</v>
      </c>
      <c r="K281" s="216"/>
    </row>
    <row r="282" spans="3:11">
      <c r="C282" s="123" t="s">
        <v>1230</v>
      </c>
      <c r="D282" s="70" t="s">
        <v>1231</v>
      </c>
      <c r="E282" s="71"/>
      <c r="F282" s="71"/>
      <c r="G282" s="72"/>
      <c r="H282" s="125">
        <f>H281+H279+H276</f>
        <v>62178.5</v>
      </c>
      <c r="K282" s="216"/>
    </row>
    <row r="283" spans="3:11">
      <c r="C283" s="123" t="s">
        <v>1232</v>
      </c>
      <c r="D283" s="70" t="s">
        <v>1410</v>
      </c>
      <c r="E283" s="71"/>
      <c r="F283" s="72"/>
      <c r="G283" s="96">
        <f>$M$7</f>
        <v>0.1</v>
      </c>
      <c r="H283" s="125">
        <f>H282*G283</f>
        <v>6217.85</v>
      </c>
      <c r="K283" s="216"/>
    </row>
    <row r="284" spans="3:11" ht="15.75" thickBot="1">
      <c r="C284" s="131" t="s">
        <v>1233</v>
      </c>
      <c r="D284" s="132" t="s">
        <v>1234</v>
      </c>
      <c r="E284" s="133"/>
      <c r="F284" s="133"/>
      <c r="G284" s="156"/>
      <c r="H284" s="135">
        <f>SUM(H282:H283)</f>
        <v>68396.350000000006</v>
      </c>
      <c r="K284" s="216"/>
    </row>
    <row r="285" spans="3:11" ht="15.75" thickTop="1">
      <c r="C285" s="90"/>
      <c r="D285" s="91"/>
      <c r="E285" s="91"/>
      <c r="F285" s="91"/>
      <c r="G285" s="91"/>
      <c r="H285" s="92"/>
      <c r="K285" s="216"/>
    </row>
    <row r="286" spans="3:11" ht="15.75" thickBot="1">
      <c r="C286" s="224" t="s">
        <v>1750</v>
      </c>
      <c r="D286" s="226"/>
      <c r="E286" s="226"/>
      <c r="F286" s="226"/>
      <c r="G286" s="226"/>
      <c r="H286" s="226"/>
      <c r="I286" s="57">
        <f>ROUNDDOWN(H302,-2)</f>
        <v>118000</v>
      </c>
      <c r="K286" s="216"/>
    </row>
    <row r="287" spans="3:11" ht="29.25" thickTop="1">
      <c r="C287" s="120" t="s">
        <v>1207</v>
      </c>
      <c r="D287" s="121" t="s">
        <v>1208</v>
      </c>
      <c r="E287" s="121" t="s">
        <v>1209</v>
      </c>
      <c r="F287" s="121" t="s">
        <v>1210</v>
      </c>
      <c r="G287" s="121" t="s">
        <v>1211</v>
      </c>
      <c r="H287" s="122" t="s">
        <v>1212</v>
      </c>
      <c r="K287" s="216"/>
    </row>
    <row r="288" spans="3:11">
      <c r="C288" s="142" t="s">
        <v>1213</v>
      </c>
      <c r="D288" s="60" t="s">
        <v>1214</v>
      </c>
      <c r="E288" s="74"/>
      <c r="F288" s="74"/>
      <c r="G288" s="74"/>
      <c r="H288" s="147"/>
      <c r="K288" s="216"/>
    </row>
    <row r="289" spans="3:11">
      <c r="C289" s="143">
        <v>1</v>
      </c>
      <c r="D289" s="60" t="s">
        <v>5</v>
      </c>
      <c r="E289" s="305" t="s">
        <v>6</v>
      </c>
      <c r="F289" s="94">
        <v>0.01</v>
      </c>
      <c r="G289" s="65">
        <f>VLOOKUP(D289,upahbahan,3,FALSE)</f>
        <v>100000</v>
      </c>
      <c r="H289" s="125">
        <f t="shared" ref="H289:H292" si="30">F289*G289</f>
        <v>1000</v>
      </c>
      <c r="K289" s="216"/>
    </row>
    <row r="290" spans="3:11">
      <c r="C290" s="143">
        <v>2</v>
      </c>
      <c r="D290" s="60" t="s">
        <v>7</v>
      </c>
      <c r="E290" s="305" t="s">
        <v>6</v>
      </c>
      <c r="F290" s="94">
        <v>0.4</v>
      </c>
      <c r="G290" s="65">
        <f>VLOOKUP(D290,upahbahan,3,FALSE)</f>
        <v>145000</v>
      </c>
      <c r="H290" s="125">
        <f t="shared" si="30"/>
        <v>58000</v>
      </c>
      <c r="K290" s="216"/>
    </row>
    <row r="291" spans="3:11">
      <c r="C291" s="143">
        <v>3</v>
      </c>
      <c r="D291" s="60" t="s">
        <v>18</v>
      </c>
      <c r="E291" s="305" t="s">
        <v>6</v>
      </c>
      <c r="F291" s="94">
        <v>0.04</v>
      </c>
      <c r="G291" s="65">
        <f>VLOOKUP(D291,upahbahan,3,FALSE)</f>
        <v>150000</v>
      </c>
      <c r="H291" s="125">
        <f t="shared" si="30"/>
        <v>6000</v>
      </c>
      <c r="K291" s="216"/>
    </row>
    <row r="292" spans="3:11">
      <c r="C292" s="143">
        <v>4</v>
      </c>
      <c r="D292" s="60" t="s">
        <v>19</v>
      </c>
      <c r="E292" s="305" t="s">
        <v>6</v>
      </c>
      <c r="F292" s="94">
        <v>3.3E-3</v>
      </c>
      <c r="G292" s="65">
        <f>VLOOKUP(D292,upahbahan,3,FALSE)</f>
        <v>145000</v>
      </c>
      <c r="H292" s="125">
        <f t="shared" si="30"/>
        <v>478.5</v>
      </c>
      <c r="K292" s="216"/>
    </row>
    <row r="293" spans="3:11">
      <c r="C293" s="145" t="s">
        <v>1220</v>
      </c>
      <c r="D293" s="81"/>
      <c r="E293" s="81"/>
      <c r="F293" s="220"/>
      <c r="G293" s="221"/>
      <c r="H293" s="125">
        <f>SUM(H289:H292)</f>
        <v>65478.5</v>
      </c>
      <c r="I293" s="222"/>
      <c r="K293" s="216"/>
    </row>
    <row r="294" spans="3:11">
      <c r="C294" s="142" t="s">
        <v>1221</v>
      </c>
      <c r="D294" s="60" t="s">
        <v>1222</v>
      </c>
      <c r="E294" s="74"/>
      <c r="F294" s="74"/>
      <c r="G294" s="74"/>
      <c r="H294" s="147"/>
      <c r="K294" s="216"/>
    </row>
    <row r="295" spans="3:11">
      <c r="C295" s="143">
        <v>1</v>
      </c>
      <c r="D295" s="60" t="s">
        <v>703</v>
      </c>
      <c r="E295" s="367" t="s">
        <v>44</v>
      </c>
      <c r="F295" s="75">
        <v>1</v>
      </c>
      <c r="G295" s="65">
        <f>VLOOKUP(D295,upahbahan,3,FALSE)</f>
        <v>41700</v>
      </c>
      <c r="H295" s="125">
        <f t="shared" ref="H295:H296" si="31">F295*G295</f>
        <v>41700</v>
      </c>
      <c r="K295" s="216"/>
    </row>
    <row r="296" spans="3:11">
      <c r="C296" s="143">
        <v>2</v>
      </c>
      <c r="D296" s="60" t="s">
        <v>1060</v>
      </c>
      <c r="E296" s="367" t="s">
        <v>44</v>
      </c>
      <c r="F296" s="75">
        <v>2.5000000000000001E-2</v>
      </c>
      <c r="G296" s="65">
        <f>VLOOKUP(D296,upahbahan,3,FALSE)</f>
        <v>5700</v>
      </c>
      <c r="H296" s="125">
        <f t="shared" si="31"/>
        <v>142.5</v>
      </c>
      <c r="K296" s="216"/>
    </row>
    <row r="297" spans="3:11">
      <c r="C297" s="145" t="s">
        <v>1226</v>
      </c>
      <c r="D297" s="81"/>
      <c r="E297" s="81"/>
      <c r="F297" s="81"/>
      <c r="G297" s="163"/>
      <c r="H297" s="125">
        <f>SUM(H295:H296)</f>
        <v>41842.5</v>
      </c>
      <c r="K297" s="216"/>
    </row>
    <row r="298" spans="3:11">
      <c r="C298" s="153" t="s">
        <v>1227</v>
      </c>
      <c r="D298" s="60" t="s">
        <v>1228</v>
      </c>
      <c r="E298" s="74"/>
      <c r="F298" s="74"/>
      <c r="G298" s="74"/>
      <c r="H298" s="147"/>
      <c r="K298" s="216"/>
    </row>
    <row r="299" spans="3:11">
      <c r="C299" s="145" t="s">
        <v>1229</v>
      </c>
      <c r="D299" s="81"/>
      <c r="E299" s="81"/>
      <c r="F299" s="81"/>
      <c r="G299" s="163"/>
      <c r="H299" s="154">
        <v>0</v>
      </c>
      <c r="K299" s="216"/>
    </row>
    <row r="300" spans="3:11">
      <c r="C300" s="123" t="s">
        <v>1230</v>
      </c>
      <c r="D300" s="70" t="s">
        <v>1231</v>
      </c>
      <c r="E300" s="71"/>
      <c r="F300" s="71"/>
      <c r="G300" s="72"/>
      <c r="H300" s="125">
        <f>H299+H297+H293</f>
        <v>107321</v>
      </c>
      <c r="K300" s="216"/>
    </row>
    <row r="301" spans="3:11">
      <c r="C301" s="123" t="s">
        <v>1232</v>
      </c>
      <c r="D301" s="70" t="s">
        <v>1410</v>
      </c>
      <c r="E301" s="71"/>
      <c r="F301" s="72"/>
      <c r="G301" s="96">
        <f>$M$7</f>
        <v>0.1</v>
      </c>
      <c r="H301" s="125">
        <f>H300*G301</f>
        <v>10732.1</v>
      </c>
      <c r="K301" s="216"/>
    </row>
    <row r="302" spans="3:11" ht="15.75" thickBot="1">
      <c r="C302" s="131" t="s">
        <v>1233</v>
      </c>
      <c r="D302" s="132" t="s">
        <v>1234</v>
      </c>
      <c r="E302" s="133"/>
      <c r="F302" s="133"/>
      <c r="G302" s="156"/>
      <c r="H302" s="135">
        <f>SUM(H300:H301)</f>
        <v>118053.1</v>
      </c>
      <c r="K302" s="216"/>
    </row>
    <row r="303" spans="3:11" ht="15.75" thickTop="1">
      <c r="C303" s="90"/>
      <c r="D303" s="91"/>
      <c r="E303" s="91"/>
      <c r="F303" s="91"/>
      <c r="G303" s="91"/>
      <c r="H303" s="92"/>
      <c r="K303" s="216"/>
    </row>
    <row r="304" spans="3:11" ht="15.75" thickBot="1">
      <c r="C304" s="224" t="s">
        <v>1751</v>
      </c>
      <c r="D304" s="226"/>
      <c r="E304" s="226"/>
      <c r="F304" s="226"/>
      <c r="G304" s="226"/>
      <c r="H304" s="226"/>
      <c r="I304" s="57">
        <f>ROUNDDOWN(H320,-2)</f>
        <v>182100</v>
      </c>
      <c r="K304" s="216"/>
    </row>
    <row r="305" spans="3:11" ht="29.25" thickTop="1">
      <c r="C305" s="120" t="s">
        <v>1207</v>
      </c>
      <c r="D305" s="121" t="s">
        <v>1208</v>
      </c>
      <c r="E305" s="121" t="s">
        <v>1209</v>
      </c>
      <c r="F305" s="121" t="s">
        <v>1210</v>
      </c>
      <c r="G305" s="121" t="s">
        <v>1211</v>
      </c>
      <c r="H305" s="122" t="s">
        <v>1212</v>
      </c>
      <c r="K305" s="216"/>
    </row>
    <row r="306" spans="3:11">
      <c r="C306" s="142" t="s">
        <v>1213</v>
      </c>
      <c r="D306" s="60" t="s">
        <v>1214</v>
      </c>
      <c r="E306" s="74"/>
      <c r="F306" s="74"/>
      <c r="G306" s="74"/>
      <c r="H306" s="147"/>
      <c r="K306" s="216"/>
    </row>
    <row r="307" spans="3:11">
      <c r="C307" s="143">
        <v>1</v>
      </c>
      <c r="D307" s="60" t="s">
        <v>5</v>
      </c>
      <c r="E307" s="305" t="s">
        <v>6</v>
      </c>
      <c r="F307" s="94">
        <v>0.01</v>
      </c>
      <c r="G307" s="65">
        <f>VLOOKUP(D307,upahbahan,3,FALSE)</f>
        <v>100000</v>
      </c>
      <c r="H307" s="125">
        <f t="shared" ref="H307:H310" si="32">F307*G307</f>
        <v>1000</v>
      </c>
      <c r="K307" s="216"/>
    </row>
    <row r="308" spans="3:11">
      <c r="C308" s="143">
        <v>2</v>
      </c>
      <c r="D308" s="60" t="s">
        <v>7</v>
      </c>
      <c r="E308" s="305" t="s">
        <v>6</v>
      </c>
      <c r="F308" s="94">
        <v>0.4</v>
      </c>
      <c r="G308" s="65">
        <f>VLOOKUP(D308,upahbahan,3,FALSE)</f>
        <v>145000</v>
      </c>
      <c r="H308" s="125">
        <f t="shared" si="32"/>
        <v>58000</v>
      </c>
      <c r="K308" s="216"/>
    </row>
    <row r="309" spans="3:11">
      <c r="C309" s="143">
        <v>3</v>
      </c>
      <c r="D309" s="60" t="s">
        <v>18</v>
      </c>
      <c r="E309" s="305" t="s">
        <v>6</v>
      </c>
      <c r="F309" s="94">
        <v>0.04</v>
      </c>
      <c r="G309" s="65">
        <f>VLOOKUP(D309,upahbahan,3,FALSE)</f>
        <v>150000</v>
      </c>
      <c r="H309" s="125">
        <f t="shared" si="32"/>
        <v>6000</v>
      </c>
      <c r="K309" s="216"/>
    </row>
    <row r="310" spans="3:11">
      <c r="C310" s="143">
        <v>4</v>
      </c>
      <c r="D310" s="60" t="s">
        <v>19</v>
      </c>
      <c r="E310" s="305" t="s">
        <v>6</v>
      </c>
      <c r="F310" s="94">
        <v>3.3E-3</v>
      </c>
      <c r="G310" s="65">
        <f>VLOOKUP(D310,upahbahan,3,FALSE)</f>
        <v>145000</v>
      </c>
      <c r="H310" s="125">
        <f t="shared" si="32"/>
        <v>478.5</v>
      </c>
      <c r="K310" s="216"/>
    </row>
    <row r="311" spans="3:11">
      <c r="C311" s="145" t="s">
        <v>1220</v>
      </c>
      <c r="D311" s="81"/>
      <c r="E311" s="81"/>
      <c r="F311" s="220"/>
      <c r="G311" s="221"/>
      <c r="H311" s="125">
        <f>SUM(H307:H310)</f>
        <v>65478.5</v>
      </c>
      <c r="I311" s="222"/>
      <c r="K311" s="216"/>
    </row>
    <row r="312" spans="3:11">
      <c r="C312" s="142" t="s">
        <v>1221</v>
      </c>
      <c r="D312" s="60" t="s">
        <v>1222</v>
      </c>
      <c r="E312" s="74"/>
      <c r="F312" s="74"/>
      <c r="G312" s="74"/>
      <c r="H312" s="147"/>
      <c r="K312" s="216"/>
    </row>
    <row r="313" spans="3:11">
      <c r="C313" s="143">
        <v>1</v>
      </c>
      <c r="D313" s="60" t="s">
        <v>693</v>
      </c>
      <c r="E313" s="367" t="s">
        <v>44</v>
      </c>
      <c r="F313" s="75">
        <v>1</v>
      </c>
      <c r="G313" s="65">
        <f>VLOOKUP(D313,upahbahan,3,FALSE)</f>
        <v>100000</v>
      </c>
      <c r="H313" s="125">
        <f t="shared" ref="H313:H314" si="33">F313*G313</f>
        <v>100000</v>
      </c>
      <c r="K313" s="216"/>
    </row>
    <row r="314" spans="3:11">
      <c r="C314" s="143">
        <v>2</v>
      </c>
      <c r="D314" s="60" t="s">
        <v>1060</v>
      </c>
      <c r="E314" s="367" t="s">
        <v>44</v>
      </c>
      <c r="F314" s="75">
        <v>2.5000000000000001E-2</v>
      </c>
      <c r="G314" s="65">
        <f>VLOOKUP(D314,upahbahan,3,FALSE)</f>
        <v>5700</v>
      </c>
      <c r="H314" s="125">
        <f t="shared" si="33"/>
        <v>142.5</v>
      </c>
      <c r="K314" s="216"/>
    </row>
    <row r="315" spans="3:11">
      <c r="C315" s="145" t="s">
        <v>1226</v>
      </c>
      <c r="D315" s="81"/>
      <c r="E315" s="81"/>
      <c r="F315" s="81"/>
      <c r="G315" s="163"/>
      <c r="H315" s="125">
        <f>SUM(H313:H314)</f>
        <v>100142.5</v>
      </c>
      <c r="K315" s="216"/>
    </row>
    <row r="316" spans="3:11">
      <c r="C316" s="153" t="s">
        <v>1227</v>
      </c>
      <c r="D316" s="60" t="s">
        <v>1228</v>
      </c>
      <c r="E316" s="74"/>
      <c r="F316" s="74"/>
      <c r="G316" s="74"/>
      <c r="H316" s="147"/>
      <c r="K316" s="216"/>
    </row>
    <row r="317" spans="3:11">
      <c r="C317" s="145" t="s">
        <v>1229</v>
      </c>
      <c r="D317" s="81"/>
      <c r="E317" s="81"/>
      <c r="F317" s="81"/>
      <c r="G317" s="163"/>
      <c r="H317" s="154">
        <v>0</v>
      </c>
      <c r="K317" s="216"/>
    </row>
    <row r="318" spans="3:11">
      <c r="C318" s="123" t="s">
        <v>1230</v>
      </c>
      <c r="D318" s="70" t="s">
        <v>1231</v>
      </c>
      <c r="E318" s="71"/>
      <c r="F318" s="71"/>
      <c r="G318" s="72"/>
      <c r="H318" s="125">
        <f>H317+H315+H311</f>
        <v>165621</v>
      </c>
      <c r="K318" s="216"/>
    </row>
    <row r="319" spans="3:11">
      <c r="C319" s="123" t="s">
        <v>1232</v>
      </c>
      <c r="D319" s="70" t="s">
        <v>1410</v>
      </c>
      <c r="E319" s="71"/>
      <c r="F319" s="72"/>
      <c r="G319" s="96">
        <f>$M$7</f>
        <v>0.1</v>
      </c>
      <c r="H319" s="125">
        <f>H318*G319</f>
        <v>16562.100000000002</v>
      </c>
      <c r="K319" s="216"/>
    </row>
    <row r="320" spans="3:11" ht="15.75" thickBot="1">
      <c r="C320" s="131" t="s">
        <v>1233</v>
      </c>
      <c r="D320" s="132" t="s">
        <v>1234</v>
      </c>
      <c r="E320" s="133"/>
      <c r="F320" s="133"/>
      <c r="G320" s="156"/>
      <c r="H320" s="135">
        <f>SUM(H318:H319)</f>
        <v>182183.1</v>
      </c>
      <c r="K320" s="216"/>
    </row>
    <row r="321" spans="3:11" ht="15.75" thickTop="1">
      <c r="C321" s="90"/>
      <c r="D321" s="91"/>
      <c r="E321" s="91"/>
      <c r="F321" s="91"/>
      <c r="G321" s="91"/>
      <c r="H321" s="92"/>
      <c r="K321" s="216"/>
    </row>
    <row r="322" spans="3:11" ht="15.75" thickBot="1">
      <c r="C322" s="224" t="s">
        <v>1752</v>
      </c>
      <c r="D322" s="226"/>
      <c r="E322" s="226"/>
      <c r="F322" s="226"/>
      <c r="G322" s="226"/>
      <c r="H322" s="226"/>
      <c r="I322" s="57">
        <f>ROUNDDOWN(H337,-2)</f>
        <v>96200</v>
      </c>
      <c r="K322" s="216"/>
    </row>
    <row r="323" spans="3:11" ht="29.25" thickTop="1">
      <c r="C323" s="120" t="s">
        <v>1207</v>
      </c>
      <c r="D323" s="121" t="s">
        <v>1208</v>
      </c>
      <c r="E323" s="121" t="s">
        <v>1209</v>
      </c>
      <c r="F323" s="121" t="s">
        <v>1210</v>
      </c>
      <c r="G323" s="121" t="s">
        <v>1211</v>
      </c>
      <c r="H323" s="122" t="s">
        <v>1212</v>
      </c>
      <c r="K323" s="216"/>
    </row>
    <row r="324" spans="3:11">
      <c r="C324" s="142" t="s">
        <v>1213</v>
      </c>
      <c r="D324" s="60" t="s">
        <v>1214</v>
      </c>
      <c r="E324" s="74"/>
      <c r="F324" s="74"/>
      <c r="G324" s="74"/>
      <c r="H324" s="147"/>
      <c r="K324" s="216"/>
    </row>
    <row r="325" spans="3:11">
      <c r="C325" s="143">
        <v>1</v>
      </c>
      <c r="D325" s="60" t="s">
        <v>5</v>
      </c>
      <c r="E325" s="305" t="s">
        <v>6</v>
      </c>
      <c r="F325" s="94">
        <v>0.01</v>
      </c>
      <c r="G325" s="65">
        <f>VLOOKUP(D325,upahbahan,3,FALSE)</f>
        <v>100000</v>
      </c>
      <c r="H325" s="125">
        <f t="shared" ref="H325:H328" si="34">F325*G325</f>
        <v>1000</v>
      </c>
      <c r="K325" s="216"/>
    </row>
    <row r="326" spans="3:11">
      <c r="C326" s="143">
        <v>2</v>
      </c>
      <c r="D326" s="60" t="s">
        <v>7</v>
      </c>
      <c r="E326" s="305" t="s">
        <v>6</v>
      </c>
      <c r="F326" s="94">
        <v>0.1</v>
      </c>
      <c r="G326" s="65">
        <f>VLOOKUP(D326,upahbahan,3,FALSE)</f>
        <v>145000</v>
      </c>
      <c r="H326" s="125">
        <f t="shared" si="34"/>
        <v>14500</v>
      </c>
      <c r="K326" s="216"/>
    </row>
    <row r="327" spans="3:11">
      <c r="C327" s="143">
        <v>3</v>
      </c>
      <c r="D327" s="60" t="s">
        <v>18</v>
      </c>
      <c r="E327" s="305" t="s">
        <v>6</v>
      </c>
      <c r="F327" s="94">
        <v>0.01</v>
      </c>
      <c r="G327" s="65">
        <f>VLOOKUP(D327,upahbahan,3,FALSE)</f>
        <v>150000</v>
      </c>
      <c r="H327" s="125">
        <f t="shared" si="34"/>
        <v>1500</v>
      </c>
      <c r="K327" s="216"/>
    </row>
    <row r="328" spans="3:11">
      <c r="C328" s="143">
        <v>4</v>
      </c>
      <c r="D328" s="60" t="s">
        <v>19</v>
      </c>
      <c r="E328" s="305" t="s">
        <v>6</v>
      </c>
      <c r="F328" s="94">
        <v>3.3E-3</v>
      </c>
      <c r="G328" s="65">
        <f>VLOOKUP(D328,upahbahan,3,FALSE)</f>
        <v>145000</v>
      </c>
      <c r="H328" s="125">
        <f t="shared" si="34"/>
        <v>478.5</v>
      </c>
      <c r="K328" s="216"/>
    </row>
    <row r="329" spans="3:11">
      <c r="C329" s="145" t="s">
        <v>1220</v>
      </c>
      <c r="D329" s="81"/>
      <c r="E329" s="81"/>
      <c r="F329" s="220"/>
      <c r="G329" s="221"/>
      <c r="H329" s="125">
        <f>SUM(H325:H328)</f>
        <v>17478.5</v>
      </c>
      <c r="I329" s="222"/>
      <c r="K329" s="216"/>
    </row>
    <row r="330" spans="3:11">
      <c r="C330" s="142" t="s">
        <v>1221</v>
      </c>
      <c r="D330" s="60" t="s">
        <v>1222</v>
      </c>
      <c r="E330" s="74"/>
      <c r="F330" s="74"/>
      <c r="G330" s="74"/>
      <c r="H330" s="147"/>
      <c r="K330" s="216"/>
    </row>
    <row r="331" spans="3:11">
      <c r="C331" s="143">
        <v>1</v>
      </c>
      <c r="D331" s="60" t="s">
        <v>719</v>
      </c>
      <c r="E331" s="367" t="s">
        <v>44</v>
      </c>
      <c r="F331" s="75">
        <v>1</v>
      </c>
      <c r="G331" s="65">
        <f>VLOOKUP(D331,upahbahan,3,FALSE)</f>
        <v>70000</v>
      </c>
      <c r="H331" s="125">
        <f t="shared" ref="H331" si="35">F331*G331</f>
        <v>70000</v>
      </c>
      <c r="K331" s="216"/>
    </row>
    <row r="332" spans="3:11">
      <c r="C332" s="145" t="s">
        <v>1226</v>
      </c>
      <c r="D332" s="81"/>
      <c r="E332" s="81"/>
      <c r="F332" s="81"/>
      <c r="G332" s="163"/>
      <c r="H332" s="125">
        <f>SUM(H331:H331)</f>
        <v>70000</v>
      </c>
      <c r="K332" s="216"/>
    </row>
    <row r="333" spans="3:11">
      <c r="C333" s="153" t="s">
        <v>1227</v>
      </c>
      <c r="D333" s="60" t="s">
        <v>1228</v>
      </c>
      <c r="E333" s="74"/>
      <c r="F333" s="74"/>
      <c r="G333" s="74"/>
      <c r="H333" s="147"/>
      <c r="K333" s="216"/>
    </row>
    <row r="334" spans="3:11">
      <c r="C334" s="145" t="s">
        <v>1229</v>
      </c>
      <c r="D334" s="81"/>
      <c r="E334" s="81"/>
      <c r="F334" s="81"/>
      <c r="G334" s="163"/>
      <c r="H334" s="154">
        <v>0</v>
      </c>
      <c r="K334" s="216"/>
    </row>
    <row r="335" spans="3:11">
      <c r="C335" s="123" t="s">
        <v>1230</v>
      </c>
      <c r="D335" s="70" t="s">
        <v>1231</v>
      </c>
      <c r="E335" s="71"/>
      <c r="F335" s="71"/>
      <c r="G335" s="72"/>
      <c r="H335" s="125">
        <f>H334+H332+H329</f>
        <v>87478.5</v>
      </c>
      <c r="K335" s="216"/>
    </row>
    <row r="336" spans="3:11">
      <c r="C336" s="123" t="s">
        <v>1232</v>
      </c>
      <c r="D336" s="70" t="s">
        <v>1410</v>
      </c>
      <c r="E336" s="71"/>
      <c r="F336" s="72"/>
      <c r="G336" s="96">
        <f>$M$7</f>
        <v>0.1</v>
      </c>
      <c r="H336" s="125">
        <f>H335*G336</f>
        <v>8747.85</v>
      </c>
      <c r="K336" s="216"/>
    </row>
    <row r="337" spans="3:11" ht="15.75" thickBot="1">
      <c r="C337" s="131" t="s">
        <v>1233</v>
      </c>
      <c r="D337" s="132" t="s">
        <v>1234</v>
      </c>
      <c r="E337" s="133"/>
      <c r="F337" s="133"/>
      <c r="G337" s="156"/>
      <c r="H337" s="135">
        <f>SUM(H335:H336)</f>
        <v>96226.35</v>
      </c>
      <c r="K337" s="216"/>
    </row>
    <row r="338" spans="3:11" ht="15.75" thickTop="1">
      <c r="C338" s="90"/>
      <c r="D338" s="91"/>
      <c r="E338" s="91"/>
      <c r="F338" s="91"/>
      <c r="G338" s="91"/>
      <c r="H338" s="92"/>
      <c r="K338" s="216"/>
    </row>
    <row r="339" spans="3:11" ht="15.75" thickBot="1">
      <c r="C339" s="224" t="s">
        <v>1753</v>
      </c>
      <c r="D339" s="226"/>
      <c r="E339" s="226"/>
      <c r="F339" s="226"/>
      <c r="G339" s="226"/>
      <c r="H339" s="226"/>
      <c r="I339" s="57">
        <f>ROUNDDOWN(H354,-2)</f>
        <v>184200</v>
      </c>
      <c r="K339" s="216"/>
    </row>
    <row r="340" spans="3:11" ht="29.25" thickTop="1">
      <c r="C340" s="120" t="s">
        <v>1207</v>
      </c>
      <c r="D340" s="121" t="s">
        <v>1208</v>
      </c>
      <c r="E340" s="121" t="s">
        <v>1209</v>
      </c>
      <c r="F340" s="121" t="s">
        <v>1210</v>
      </c>
      <c r="G340" s="121" t="s">
        <v>1211</v>
      </c>
      <c r="H340" s="122" t="s">
        <v>1212</v>
      </c>
      <c r="K340" s="216"/>
    </row>
    <row r="341" spans="3:11">
      <c r="C341" s="142" t="s">
        <v>1213</v>
      </c>
      <c r="D341" s="60" t="s">
        <v>1214</v>
      </c>
      <c r="E341" s="74"/>
      <c r="F341" s="74"/>
      <c r="G341" s="74"/>
      <c r="H341" s="147"/>
      <c r="K341" s="216"/>
    </row>
    <row r="342" spans="3:11">
      <c r="C342" s="143">
        <v>1</v>
      </c>
      <c r="D342" s="60" t="s">
        <v>5</v>
      </c>
      <c r="E342" s="305" t="s">
        <v>6</v>
      </c>
      <c r="F342" s="94">
        <v>0.01</v>
      </c>
      <c r="G342" s="65">
        <f>VLOOKUP(D342,upahbahan,3,FALSE)</f>
        <v>100000</v>
      </c>
      <c r="H342" s="125">
        <f t="shared" ref="H342:H345" si="36">F342*G342</f>
        <v>1000</v>
      </c>
      <c r="K342" s="216"/>
    </row>
    <row r="343" spans="3:11">
      <c r="C343" s="143">
        <v>2</v>
      </c>
      <c r="D343" s="60" t="s">
        <v>7</v>
      </c>
      <c r="E343" s="305" t="s">
        <v>6</v>
      </c>
      <c r="F343" s="94">
        <v>0.1</v>
      </c>
      <c r="G343" s="65">
        <f>VLOOKUP(D343,upahbahan,3,FALSE)</f>
        <v>145000</v>
      </c>
      <c r="H343" s="125">
        <f t="shared" si="36"/>
        <v>14500</v>
      </c>
      <c r="K343" s="216"/>
    </row>
    <row r="344" spans="3:11">
      <c r="C344" s="143">
        <v>3</v>
      </c>
      <c r="D344" s="60" t="s">
        <v>18</v>
      </c>
      <c r="E344" s="305" t="s">
        <v>6</v>
      </c>
      <c r="F344" s="94">
        <v>0.01</v>
      </c>
      <c r="G344" s="65">
        <f>VLOOKUP(D344,upahbahan,3,FALSE)</f>
        <v>150000</v>
      </c>
      <c r="H344" s="125">
        <f t="shared" si="36"/>
        <v>1500</v>
      </c>
      <c r="K344" s="216"/>
    </row>
    <row r="345" spans="3:11">
      <c r="C345" s="143">
        <v>4</v>
      </c>
      <c r="D345" s="60" t="s">
        <v>19</v>
      </c>
      <c r="E345" s="305" t="s">
        <v>6</v>
      </c>
      <c r="F345" s="94">
        <v>3.3E-3</v>
      </c>
      <c r="G345" s="65">
        <f>VLOOKUP(D345,upahbahan,3,FALSE)</f>
        <v>145000</v>
      </c>
      <c r="H345" s="125">
        <f t="shared" si="36"/>
        <v>478.5</v>
      </c>
      <c r="K345" s="216"/>
    </row>
    <row r="346" spans="3:11">
      <c r="C346" s="145" t="s">
        <v>1220</v>
      </c>
      <c r="D346" s="81"/>
      <c r="E346" s="81"/>
      <c r="F346" s="220"/>
      <c r="G346" s="221"/>
      <c r="H346" s="125">
        <f>SUM(H342:H345)</f>
        <v>17478.5</v>
      </c>
      <c r="I346" s="222"/>
      <c r="K346" s="216"/>
    </row>
    <row r="347" spans="3:11">
      <c r="C347" s="142" t="s">
        <v>1221</v>
      </c>
      <c r="D347" s="60" t="s">
        <v>1222</v>
      </c>
      <c r="E347" s="74"/>
      <c r="F347" s="74"/>
      <c r="G347" s="74"/>
      <c r="H347" s="147"/>
      <c r="K347" s="216"/>
    </row>
    <row r="348" spans="3:11">
      <c r="C348" s="143">
        <v>1</v>
      </c>
      <c r="D348" s="60" t="s">
        <v>755</v>
      </c>
      <c r="E348" s="367" t="s">
        <v>44</v>
      </c>
      <c r="F348" s="75">
        <v>1</v>
      </c>
      <c r="G348" s="65">
        <f>VLOOKUP(D348,upahbahan,3,FALSE)</f>
        <v>150000</v>
      </c>
      <c r="H348" s="125">
        <f t="shared" ref="H348" si="37">F348*G348</f>
        <v>150000</v>
      </c>
      <c r="K348" s="216"/>
    </row>
    <row r="349" spans="3:11">
      <c r="C349" s="145" t="s">
        <v>1226</v>
      </c>
      <c r="D349" s="81"/>
      <c r="E349" s="81"/>
      <c r="F349" s="81"/>
      <c r="G349" s="163"/>
      <c r="H349" s="125">
        <f>SUM(H348:H348)</f>
        <v>150000</v>
      </c>
      <c r="K349" s="216"/>
    </row>
    <row r="350" spans="3:11">
      <c r="C350" s="153" t="s">
        <v>1227</v>
      </c>
      <c r="D350" s="60" t="s">
        <v>1228</v>
      </c>
      <c r="E350" s="74"/>
      <c r="F350" s="74"/>
      <c r="G350" s="74"/>
      <c r="H350" s="147"/>
      <c r="K350" s="216"/>
    </row>
    <row r="351" spans="3:11">
      <c r="C351" s="145" t="s">
        <v>1229</v>
      </c>
      <c r="D351" s="81"/>
      <c r="E351" s="81"/>
      <c r="F351" s="81"/>
      <c r="G351" s="163"/>
      <c r="H351" s="154">
        <v>0</v>
      </c>
      <c r="K351" s="216"/>
    </row>
    <row r="352" spans="3:11">
      <c r="C352" s="123" t="s">
        <v>1230</v>
      </c>
      <c r="D352" s="70" t="s">
        <v>1231</v>
      </c>
      <c r="E352" s="71"/>
      <c r="F352" s="71"/>
      <c r="G352" s="72"/>
      <c r="H352" s="125">
        <f>H351+H349+H346</f>
        <v>167478.5</v>
      </c>
      <c r="K352" s="216"/>
    </row>
    <row r="353" spans="3:11">
      <c r="C353" s="123" t="s">
        <v>1232</v>
      </c>
      <c r="D353" s="70" t="s">
        <v>1410</v>
      </c>
      <c r="E353" s="71"/>
      <c r="F353" s="72"/>
      <c r="G353" s="96">
        <f>$M$7</f>
        <v>0.1</v>
      </c>
      <c r="H353" s="125">
        <f>H352*G353</f>
        <v>16747.850000000002</v>
      </c>
      <c r="K353" s="216"/>
    </row>
    <row r="354" spans="3:11" ht="15.75" thickBot="1">
      <c r="C354" s="131" t="s">
        <v>1233</v>
      </c>
      <c r="D354" s="132" t="s">
        <v>1234</v>
      </c>
      <c r="E354" s="133"/>
      <c r="F354" s="133"/>
      <c r="G354" s="156"/>
      <c r="H354" s="135">
        <f>SUM(H352:H353)</f>
        <v>184226.35</v>
      </c>
      <c r="K354" s="216"/>
    </row>
    <row r="355" spans="3:11" ht="15.75" thickTop="1">
      <c r="C355" s="90"/>
      <c r="D355" s="91"/>
      <c r="E355" s="91"/>
      <c r="F355" s="91"/>
      <c r="G355" s="91"/>
      <c r="H355" s="92"/>
      <c r="K355" s="216"/>
    </row>
    <row r="356" spans="3:11" ht="15.75" thickBot="1">
      <c r="C356" s="224" t="s">
        <v>1754</v>
      </c>
      <c r="D356" s="226"/>
      <c r="E356" s="226"/>
      <c r="F356" s="226"/>
      <c r="G356" s="226"/>
      <c r="H356" s="226"/>
      <c r="I356" s="57">
        <f>ROUNDDOWN(H371,-2)</f>
        <v>151200</v>
      </c>
      <c r="K356" s="216"/>
    </row>
    <row r="357" spans="3:11" ht="29.25" thickTop="1">
      <c r="C357" s="120" t="s">
        <v>1207</v>
      </c>
      <c r="D357" s="121" t="s">
        <v>1208</v>
      </c>
      <c r="E357" s="121" t="s">
        <v>1209</v>
      </c>
      <c r="F357" s="121" t="s">
        <v>1210</v>
      </c>
      <c r="G357" s="121" t="s">
        <v>1211</v>
      </c>
      <c r="H357" s="122" t="s">
        <v>1212</v>
      </c>
      <c r="K357" s="216"/>
    </row>
    <row r="358" spans="3:11">
      <c r="C358" s="142" t="s">
        <v>1213</v>
      </c>
      <c r="D358" s="60" t="s">
        <v>1214</v>
      </c>
      <c r="E358" s="74"/>
      <c r="F358" s="74"/>
      <c r="G358" s="74"/>
      <c r="H358" s="147"/>
      <c r="K358" s="216"/>
    </row>
    <row r="359" spans="3:11">
      <c r="C359" s="143">
        <v>1</v>
      </c>
      <c r="D359" s="60" t="s">
        <v>5</v>
      </c>
      <c r="E359" s="305" t="s">
        <v>6</v>
      </c>
      <c r="F359" s="94">
        <v>0.01</v>
      </c>
      <c r="G359" s="65">
        <f>VLOOKUP(D359,upahbahan,3,FALSE)</f>
        <v>100000</v>
      </c>
      <c r="H359" s="125">
        <f t="shared" ref="H359:H362" si="38">F359*G359</f>
        <v>1000</v>
      </c>
      <c r="K359" s="216"/>
    </row>
    <row r="360" spans="3:11">
      <c r="C360" s="143">
        <v>2</v>
      </c>
      <c r="D360" s="60" t="s">
        <v>7</v>
      </c>
      <c r="E360" s="305" t="s">
        <v>6</v>
      </c>
      <c r="F360" s="94">
        <v>0.1</v>
      </c>
      <c r="G360" s="65">
        <f>VLOOKUP(D360,upahbahan,3,FALSE)</f>
        <v>145000</v>
      </c>
      <c r="H360" s="125">
        <f t="shared" si="38"/>
        <v>14500</v>
      </c>
      <c r="K360" s="216"/>
    </row>
    <row r="361" spans="3:11">
      <c r="C361" s="143">
        <v>3</v>
      </c>
      <c r="D361" s="60" t="s">
        <v>18</v>
      </c>
      <c r="E361" s="305" t="s">
        <v>6</v>
      </c>
      <c r="F361" s="94">
        <v>0.01</v>
      </c>
      <c r="G361" s="65">
        <f>VLOOKUP(D361,upahbahan,3,FALSE)</f>
        <v>150000</v>
      </c>
      <c r="H361" s="125">
        <f t="shared" si="38"/>
        <v>1500</v>
      </c>
      <c r="K361" s="216"/>
    </row>
    <row r="362" spans="3:11">
      <c r="C362" s="143">
        <v>4</v>
      </c>
      <c r="D362" s="60" t="s">
        <v>19</v>
      </c>
      <c r="E362" s="305" t="s">
        <v>6</v>
      </c>
      <c r="F362" s="94">
        <v>3.3E-3</v>
      </c>
      <c r="G362" s="65">
        <f>VLOOKUP(D362,upahbahan,3,FALSE)</f>
        <v>145000</v>
      </c>
      <c r="H362" s="125">
        <f t="shared" si="38"/>
        <v>478.5</v>
      </c>
      <c r="K362" s="216"/>
    </row>
    <row r="363" spans="3:11">
      <c r="C363" s="145" t="s">
        <v>1220</v>
      </c>
      <c r="D363" s="81"/>
      <c r="E363" s="81"/>
      <c r="F363" s="220"/>
      <c r="G363" s="221"/>
      <c r="H363" s="125">
        <f>SUM(H359:H362)</f>
        <v>17478.5</v>
      </c>
      <c r="I363" s="222"/>
      <c r="K363" s="216"/>
    </row>
    <row r="364" spans="3:11">
      <c r="C364" s="142" t="s">
        <v>1221</v>
      </c>
      <c r="D364" s="60" t="s">
        <v>1222</v>
      </c>
      <c r="E364" s="74"/>
      <c r="F364" s="74"/>
      <c r="G364" s="74"/>
      <c r="H364" s="147"/>
      <c r="K364" s="216"/>
    </row>
    <row r="365" spans="3:11">
      <c r="C365" s="143">
        <v>1</v>
      </c>
      <c r="D365" s="60" t="s">
        <v>689</v>
      </c>
      <c r="E365" s="367" t="s">
        <v>44</v>
      </c>
      <c r="F365" s="75">
        <v>1</v>
      </c>
      <c r="G365" s="65">
        <f>VLOOKUP(D365,upahbahan,3,FALSE)</f>
        <v>120000</v>
      </c>
      <c r="H365" s="125">
        <f t="shared" ref="H365" si="39">F365*G365</f>
        <v>120000</v>
      </c>
      <c r="K365" s="216"/>
    </row>
    <row r="366" spans="3:11">
      <c r="C366" s="145" t="s">
        <v>1226</v>
      </c>
      <c r="D366" s="81"/>
      <c r="E366" s="81"/>
      <c r="F366" s="81"/>
      <c r="G366" s="163"/>
      <c r="H366" s="125">
        <f>SUM(H365:H365)</f>
        <v>120000</v>
      </c>
      <c r="K366" s="216"/>
    </row>
    <row r="367" spans="3:11">
      <c r="C367" s="153" t="s">
        <v>1227</v>
      </c>
      <c r="D367" s="60" t="s">
        <v>1228</v>
      </c>
      <c r="E367" s="74"/>
      <c r="F367" s="74"/>
      <c r="G367" s="74"/>
      <c r="H367" s="147"/>
      <c r="K367" s="216"/>
    </row>
    <row r="368" spans="3:11">
      <c r="C368" s="145" t="s">
        <v>1229</v>
      </c>
      <c r="D368" s="81"/>
      <c r="E368" s="81"/>
      <c r="F368" s="81"/>
      <c r="G368" s="163"/>
      <c r="H368" s="154">
        <v>0</v>
      </c>
      <c r="K368" s="216"/>
    </row>
    <row r="369" spans="3:11">
      <c r="C369" s="123" t="s">
        <v>1230</v>
      </c>
      <c r="D369" s="70" t="s">
        <v>1231</v>
      </c>
      <c r="E369" s="71"/>
      <c r="F369" s="71"/>
      <c r="G369" s="72"/>
      <c r="H369" s="125">
        <f>H368+H366+H363</f>
        <v>137478.5</v>
      </c>
      <c r="K369" s="216"/>
    </row>
    <row r="370" spans="3:11">
      <c r="C370" s="123" t="s">
        <v>1232</v>
      </c>
      <c r="D370" s="70" t="s">
        <v>1410</v>
      </c>
      <c r="E370" s="71"/>
      <c r="F370" s="72"/>
      <c r="G370" s="96">
        <f>$M$7</f>
        <v>0.1</v>
      </c>
      <c r="H370" s="125">
        <f>H369*G370</f>
        <v>13747.85</v>
      </c>
      <c r="K370" s="216"/>
    </row>
    <row r="371" spans="3:11" ht="15.75" thickBot="1">
      <c r="C371" s="131" t="s">
        <v>1233</v>
      </c>
      <c r="D371" s="132" t="s">
        <v>1234</v>
      </c>
      <c r="E371" s="133"/>
      <c r="F371" s="133"/>
      <c r="G371" s="156"/>
      <c r="H371" s="135">
        <f>SUM(H369:H370)</f>
        <v>151226.35</v>
      </c>
      <c r="K371" s="216"/>
    </row>
    <row r="372" spans="3:11" ht="15.75" thickTop="1">
      <c r="C372" s="90"/>
      <c r="D372" s="91"/>
      <c r="E372" s="91"/>
      <c r="F372" s="91"/>
      <c r="G372" s="91"/>
      <c r="H372" s="92"/>
      <c r="K372" s="216"/>
    </row>
    <row r="373" spans="3:11" ht="15.75" thickBot="1">
      <c r="C373" s="224" t="s">
        <v>1755</v>
      </c>
      <c r="D373" s="226"/>
      <c r="E373" s="226"/>
      <c r="F373" s="226"/>
      <c r="G373" s="226"/>
      <c r="H373" s="226"/>
      <c r="I373" s="57">
        <f>ROUNDDOWN(H388,-2)</f>
        <v>125600</v>
      </c>
      <c r="K373" s="216"/>
    </row>
    <row r="374" spans="3:11" ht="29.25" thickTop="1">
      <c r="C374" s="120" t="s">
        <v>1207</v>
      </c>
      <c r="D374" s="121" t="s">
        <v>1208</v>
      </c>
      <c r="E374" s="121" t="s">
        <v>1209</v>
      </c>
      <c r="F374" s="121" t="s">
        <v>1210</v>
      </c>
      <c r="G374" s="121" t="s">
        <v>1211</v>
      </c>
      <c r="H374" s="122" t="s">
        <v>1212</v>
      </c>
      <c r="K374" s="216"/>
    </row>
    <row r="375" spans="3:11">
      <c r="C375" s="142" t="s">
        <v>1213</v>
      </c>
      <c r="D375" s="60" t="s">
        <v>1214</v>
      </c>
      <c r="E375" s="74"/>
      <c r="F375" s="74"/>
      <c r="G375" s="74"/>
      <c r="H375" s="147"/>
      <c r="K375" s="216"/>
    </row>
    <row r="376" spans="3:11">
      <c r="C376" s="143">
        <v>1</v>
      </c>
      <c r="D376" s="60" t="s">
        <v>5</v>
      </c>
      <c r="E376" s="305" t="s">
        <v>6</v>
      </c>
      <c r="F376" s="94">
        <v>0.16700000000000001</v>
      </c>
      <c r="G376" s="65">
        <f>VLOOKUP(D376,upahbahan,3,FALSE)</f>
        <v>100000</v>
      </c>
      <c r="H376" s="125">
        <f t="shared" ref="H376:H379" si="40">F376*G376</f>
        <v>16700</v>
      </c>
      <c r="K376" s="216"/>
    </row>
    <row r="377" spans="3:11">
      <c r="C377" s="143">
        <v>2</v>
      </c>
      <c r="D377" s="60" t="s">
        <v>7</v>
      </c>
      <c r="E377" s="305" t="s">
        <v>6</v>
      </c>
      <c r="F377" s="94">
        <v>0.16700000000000001</v>
      </c>
      <c r="G377" s="65">
        <f>VLOOKUP(D377,upahbahan,3,FALSE)</f>
        <v>145000</v>
      </c>
      <c r="H377" s="125">
        <f t="shared" si="40"/>
        <v>24215</v>
      </c>
      <c r="K377" s="216"/>
    </row>
    <row r="378" spans="3:11">
      <c r="C378" s="143">
        <v>3</v>
      </c>
      <c r="D378" s="60" t="s">
        <v>18</v>
      </c>
      <c r="E378" s="305" t="s">
        <v>6</v>
      </c>
      <c r="F378" s="94">
        <v>1.67E-2</v>
      </c>
      <c r="G378" s="65">
        <f>VLOOKUP(D378,upahbahan,3,FALSE)</f>
        <v>150000</v>
      </c>
      <c r="H378" s="125">
        <f t="shared" si="40"/>
        <v>2505</v>
      </c>
      <c r="K378" s="216"/>
    </row>
    <row r="379" spans="3:11">
      <c r="C379" s="143">
        <v>4</v>
      </c>
      <c r="D379" s="60" t="s">
        <v>19</v>
      </c>
      <c r="E379" s="305" t="s">
        <v>6</v>
      </c>
      <c r="F379" s="94">
        <v>5.5999999999999999E-3</v>
      </c>
      <c r="G379" s="65">
        <f>VLOOKUP(D379,upahbahan,3,FALSE)</f>
        <v>145000</v>
      </c>
      <c r="H379" s="125">
        <f t="shared" si="40"/>
        <v>812</v>
      </c>
      <c r="K379" s="216"/>
    </row>
    <row r="380" spans="3:11">
      <c r="C380" s="145" t="s">
        <v>1220</v>
      </c>
      <c r="D380" s="81"/>
      <c r="E380" s="81"/>
      <c r="F380" s="220"/>
      <c r="G380" s="221"/>
      <c r="H380" s="125">
        <f>SUM(H376:H379)</f>
        <v>44232</v>
      </c>
      <c r="I380" s="222"/>
      <c r="K380" s="216"/>
    </row>
    <row r="381" spans="3:11">
      <c r="C381" s="142" t="s">
        <v>1221</v>
      </c>
      <c r="D381" s="60" t="s">
        <v>1222</v>
      </c>
      <c r="E381" s="74"/>
      <c r="F381" s="74"/>
      <c r="G381" s="74"/>
      <c r="H381" s="147"/>
      <c r="K381" s="216"/>
    </row>
    <row r="382" spans="3:11">
      <c r="C382" s="143">
        <v>1</v>
      </c>
      <c r="D382" s="60" t="s">
        <v>686</v>
      </c>
      <c r="E382" s="367" t="s">
        <v>44</v>
      </c>
      <c r="F382" s="75">
        <v>1</v>
      </c>
      <c r="G382" s="65">
        <f>VLOOKUP(D382,upahbahan,3,FALSE)</f>
        <v>70000</v>
      </c>
      <c r="H382" s="125">
        <f t="shared" ref="H382" si="41">F382*G382</f>
        <v>70000</v>
      </c>
      <c r="K382" s="216"/>
    </row>
    <row r="383" spans="3:11">
      <c r="C383" s="145" t="s">
        <v>1226</v>
      </c>
      <c r="D383" s="81"/>
      <c r="E383" s="81"/>
      <c r="F383" s="81"/>
      <c r="G383" s="163"/>
      <c r="H383" s="125">
        <f>SUM(H382:H382)</f>
        <v>70000</v>
      </c>
      <c r="K383" s="216"/>
    </row>
    <row r="384" spans="3:11">
      <c r="C384" s="153" t="s">
        <v>1227</v>
      </c>
      <c r="D384" s="60" t="s">
        <v>1228</v>
      </c>
      <c r="E384" s="74"/>
      <c r="F384" s="74"/>
      <c r="G384" s="74"/>
      <c r="H384" s="147"/>
      <c r="K384" s="216"/>
    </row>
    <row r="385" spans="3:11">
      <c r="C385" s="145" t="s">
        <v>1229</v>
      </c>
      <c r="D385" s="81"/>
      <c r="E385" s="81"/>
      <c r="F385" s="81"/>
      <c r="G385" s="163"/>
      <c r="H385" s="154">
        <v>0</v>
      </c>
      <c r="K385" s="216"/>
    </row>
    <row r="386" spans="3:11">
      <c r="C386" s="123" t="s">
        <v>1230</v>
      </c>
      <c r="D386" s="70" t="s">
        <v>1231</v>
      </c>
      <c r="E386" s="71"/>
      <c r="F386" s="71"/>
      <c r="G386" s="72"/>
      <c r="H386" s="125">
        <f>H385+H383+H380</f>
        <v>114232</v>
      </c>
      <c r="K386" s="216"/>
    </row>
    <row r="387" spans="3:11">
      <c r="C387" s="123" t="s">
        <v>1232</v>
      </c>
      <c r="D387" s="70" t="s">
        <v>1410</v>
      </c>
      <c r="E387" s="71"/>
      <c r="F387" s="72"/>
      <c r="G387" s="96">
        <f>$M$7</f>
        <v>0.1</v>
      </c>
      <c r="H387" s="125">
        <f>H386*G387</f>
        <v>11423.2</v>
      </c>
      <c r="K387" s="216"/>
    </row>
    <row r="388" spans="3:11" ht="15.75" thickBot="1">
      <c r="C388" s="131" t="s">
        <v>1233</v>
      </c>
      <c r="D388" s="132" t="s">
        <v>1234</v>
      </c>
      <c r="E388" s="133"/>
      <c r="F388" s="133"/>
      <c r="G388" s="156"/>
      <c r="H388" s="135">
        <f>SUM(H386:H387)</f>
        <v>125655.2</v>
      </c>
      <c r="K388" s="216"/>
    </row>
    <row r="389" spans="3:11" ht="15.75" thickTop="1">
      <c r="C389" s="90"/>
      <c r="D389" s="91"/>
      <c r="E389" s="91"/>
      <c r="F389" s="91"/>
      <c r="G389" s="91"/>
      <c r="H389" s="92"/>
      <c r="K389" s="216"/>
    </row>
    <row r="390" spans="3:11" ht="15.75" thickBot="1">
      <c r="C390" s="224" t="s">
        <v>1756</v>
      </c>
      <c r="D390" s="226"/>
      <c r="E390" s="226"/>
      <c r="F390" s="226"/>
      <c r="G390" s="226"/>
      <c r="H390" s="226"/>
      <c r="I390" s="57">
        <f>ROUNDDOWN(H405,-2)</f>
        <v>184200</v>
      </c>
      <c r="K390" s="216"/>
    </row>
    <row r="391" spans="3:11" ht="29.25" thickTop="1">
      <c r="C391" s="120" t="s">
        <v>1207</v>
      </c>
      <c r="D391" s="121" t="s">
        <v>1208</v>
      </c>
      <c r="E391" s="121" t="s">
        <v>1209</v>
      </c>
      <c r="F391" s="121" t="s">
        <v>1210</v>
      </c>
      <c r="G391" s="121" t="s">
        <v>1211</v>
      </c>
      <c r="H391" s="122" t="s">
        <v>1212</v>
      </c>
      <c r="K391" s="216"/>
    </row>
    <row r="392" spans="3:11">
      <c r="C392" s="142" t="s">
        <v>1213</v>
      </c>
      <c r="D392" s="60" t="s">
        <v>1214</v>
      </c>
      <c r="E392" s="74"/>
      <c r="F392" s="74"/>
      <c r="G392" s="74"/>
      <c r="H392" s="147"/>
      <c r="K392" s="216"/>
    </row>
    <row r="393" spans="3:11">
      <c r="C393" s="143">
        <v>1</v>
      </c>
      <c r="D393" s="60" t="s">
        <v>5</v>
      </c>
      <c r="E393" s="305" t="s">
        <v>6</v>
      </c>
      <c r="F393" s="94">
        <v>0.01</v>
      </c>
      <c r="G393" s="65">
        <f>VLOOKUP(D393,upahbahan,3,FALSE)</f>
        <v>100000</v>
      </c>
      <c r="H393" s="125">
        <f t="shared" ref="H393:H396" si="42">F393*G393</f>
        <v>1000</v>
      </c>
      <c r="K393" s="216"/>
    </row>
    <row r="394" spans="3:11">
      <c r="C394" s="143">
        <v>2</v>
      </c>
      <c r="D394" s="60" t="s">
        <v>7</v>
      </c>
      <c r="E394" s="305" t="s">
        <v>6</v>
      </c>
      <c r="F394" s="94">
        <v>0.1</v>
      </c>
      <c r="G394" s="65">
        <f>VLOOKUP(D394,upahbahan,3,FALSE)</f>
        <v>145000</v>
      </c>
      <c r="H394" s="125">
        <f t="shared" si="42"/>
        <v>14500</v>
      </c>
      <c r="K394" s="216"/>
    </row>
    <row r="395" spans="3:11">
      <c r="C395" s="143">
        <v>3</v>
      </c>
      <c r="D395" s="60" t="s">
        <v>18</v>
      </c>
      <c r="E395" s="305" t="s">
        <v>6</v>
      </c>
      <c r="F395" s="94">
        <v>0.01</v>
      </c>
      <c r="G395" s="65">
        <f>VLOOKUP(D395,upahbahan,3,FALSE)</f>
        <v>150000</v>
      </c>
      <c r="H395" s="125">
        <f t="shared" si="42"/>
        <v>1500</v>
      </c>
      <c r="K395" s="216"/>
    </row>
    <row r="396" spans="3:11">
      <c r="C396" s="143">
        <v>4</v>
      </c>
      <c r="D396" s="60" t="s">
        <v>19</v>
      </c>
      <c r="E396" s="305" t="s">
        <v>6</v>
      </c>
      <c r="F396" s="94">
        <v>3.3E-3</v>
      </c>
      <c r="G396" s="65">
        <f>VLOOKUP(D396,upahbahan,3,FALSE)</f>
        <v>145000</v>
      </c>
      <c r="H396" s="125">
        <f t="shared" si="42"/>
        <v>478.5</v>
      </c>
      <c r="K396" s="216"/>
    </row>
    <row r="397" spans="3:11">
      <c r="C397" s="145" t="s">
        <v>1220</v>
      </c>
      <c r="D397" s="81"/>
      <c r="E397" s="81"/>
      <c r="F397" s="220"/>
      <c r="G397" s="221"/>
      <c r="H397" s="125">
        <f>SUM(H393:H396)</f>
        <v>17478.5</v>
      </c>
      <c r="I397" s="222"/>
      <c r="K397" s="216"/>
    </row>
    <row r="398" spans="3:11">
      <c r="C398" s="142" t="s">
        <v>1221</v>
      </c>
      <c r="D398" s="60" t="s">
        <v>1222</v>
      </c>
      <c r="E398" s="74"/>
      <c r="F398" s="74"/>
      <c r="G398" s="74"/>
      <c r="H398" s="147"/>
      <c r="K398" s="216"/>
    </row>
    <row r="399" spans="3:11">
      <c r="C399" s="143">
        <v>1</v>
      </c>
      <c r="D399" s="60" t="s">
        <v>740</v>
      </c>
      <c r="E399" s="367" t="s">
        <v>44</v>
      </c>
      <c r="F399" s="75">
        <v>1</v>
      </c>
      <c r="G399" s="65">
        <f>VLOOKUP(D399,upahbahan,3,FALSE)</f>
        <v>150000</v>
      </c>
      <c r="H399" s="125">
        <f t="shared" ref="H399" si="43">F399*G399</f>
        <v>150000</v>
      </c>
      <c r="K399" s="216"/>
    </row>
    <row r="400" spans="3:11">
      <c r="C400" s="145" t="s">
        <v>1226</v>
      </c>
      <c r="D400" s="81"/>
      <c r="E400" s="81"/>
      <c r="F400" s="81"/>
      <c r="G400" s="163"/>
      <c r="H400" s="125">
        <f>SUM(H399:H399)</f>
        <v>150000</v>
      </c>
      <c r="K400" s="216"/>
    </row>
    <row r="401" spans="3:11">
      <c r="C401" s="153" t="s">
        <v>1227</v>
      </c>
      <c r="D401" s="60" t="s">
        <v>1228</v>
      </c>
      <c r="E401" s="74"/>
      <c r="F401" s="74"/>
      <c r="G401" s="74"/>
      <c r="H401" s="147"/>
      <c r="K401" s="216"/>
    </row>
    <row r="402" spans="3:11">
      <c r="C402" s="145" t="s">
        <v>1229</v>
      </c>
      <c r="D402" s="81"/>
      <c r="E402" s="81"/>
      <c r="F402" s="81"/>
      <c r="G402" s="163"/>
      <c r="H402" s="154">
        <v>0</v>
      </c>
      <c r="K402" s="216"/>
    </row>
    <row r="403" spans="3:11">
      <c r="C403" s="123" t="s">
        <v>1230</v>
      </c>
      <c r="D403" s="70" t="s">
        <v>1231</v>
      </c>
      <c r="E403" s="71"/>
      <c r="F403" s="71"/>
      <c r="G403" s="72"/>
      <c r="H403" s="125">
        <f>H402+H400+H397</f>
        <v>167478.5</v>
      </c>
      <c r="K403" s="216"/>
    </row>
    <row r="404" spans="3:11">
      <c r="C404" s="123" t="s">
        <v>1232</v>
      </c>
      <c r="D404" s="70" t="s">
        <v>1410</v>
      </c>
      <c r="E404" s="71"/>
      <c r="F404" s="72"/>
      <c r="G404" s="96">
        <f>$M$7</f>
        <v>0.1</v>
      </c>
      <c r="H404" s="125">
        <f>H403*G404</f>
        <v>16747.850000000002</v>
      </c>
      <c r="K404" s="216"/>
    </row>
    <row r="405" spans="3:11" ht="15.75" thickBot="1">
      <c r="C405" s="131" t="s">
        <v>1233</v>
      </c>
      <c r="D405" s="132" t="s">
        <v>1234</v>
      </c>
      <c r="E405" s="133"/>
      <c r="F405" s="133"/>
      <c r="G405" s="156"/>
      <c r="H405" s="135">
        <f>SUM(H403:H404)</f>
        <v>184226.35</v>
      </c>
      <c r="K405" s="216"/>
    </row>
    <row r="406" spans="3:11" ht="15.75" thickTop="1">
      <c r="C406" s="58"/>
      <c r="D406" s="82"/>
      <c r="E406" s="82"/>
      <c r="F406" s="82"/>
      <c r="G406" s="82"/>
      <c r="H406" s="83"/>
      <c r="K406" s="216"/>
    </row>
    <row r="407" spans="3:11" ht="15.75" thickBot="1">
      <c r="C407" s="224" t="s">
        <v>1757</v>
      </c>
      <c r="D407" s="226"/>
      <c r="E407" s="226"/>
      <c r="F407" s="226"/>
      <c r="G407" s="226"/>
      <c r="H407" s="226"/>
      <c r="I407" s="57">
        <f>ROUNDDOWN(H422,-2)</f>
        <v>184200</v>
      </c>
      <c r="K407" s="216"/>
    </row>
    <row r="408" spans="3:11" ht="29.25" thickTop="1">
      <c r="C408" s="120" t="s">
        <v>1207</v>
      </c>
      <c r="D408" s="121" t="s">
        <v>1208</v>
      </c>
      <c r="E408" s="121" t="s">
        <v>1209</v>
      </c>
      <c r="F408" s="121" t="s">
        <v>1210</v>
      </c>
      <c r="G408" s="121" t="s">
        <v>1211</v>
      </c>
      <c r="H408" s="122" t="s">
        <v>1212</v>
      </c>
      <c r="K408" s="216"/>
    </row>
    <row r="409" spans="3:11">
      <c r="C409" s="142" t="s">
        <v>1213</v>
      </c>
      <c r="D409" s="60" t="s">
        <v>1214</v>
      </c>
      <c r="E409" s="74"/>
      <c r="F409" s="74"/>
      <c r="G409" s="74"/>
      <c r="H409" s="147"/>
      <c r="K409" s="216"/>
    </row>
    <row r="410" spans="3:11">
      <c r="C410" s="143">
        <v>1</v>
      </c>
      <c r="D410" s="60" t="s">
        <v>5</v>
      </c>
      <c r="E410" s="305" t="s">
        <v>6</v>
      </c>
      <c r="F410" s="94">
        <v>0.01</v>
      </c>
      <c r="G410" s="65">
        <f>VLOOKUP(D410,upahbahan,3,FALSE)</f>
        <v>100000</v>
      </c>
      <c r="H410" s="125">
        <f t="shared" ref="H410:H413" si="44">F410*G410</f>
        <v>1000</v>
      </c>
      <c r="K410" s="216"/>
    </row>
    <row r="411" spans="3:11">
      <c r="C411" s="143">
        <v>2</v>
      </c>
      <c r="D411" s="60" t="s">
        <v>7</v>
      </c>
      <c r="E411" s="305" t="s">
        <v>6</v>
      </c>
      <c r="F411" s="94">
        <v>0.1</v>
      </c>
      <c r="G411" s="65">
        <f>VLOOKUP(D411,upahbahan,3,FALSE)</f>
        <v>145000</v>
      </c>
      <c r="H411" s="125">
        <f t="shared" si="44"/>
        <v>14500</v>
      </c>
      <c r="K411" s="216"/>
    </row>
    <row r="412" spans="3:11">
      <c r="C412" s="143">
        <v>3</v>
      </c>
      <c r="D412" s="60" t="s">
        <v>18</v>
      </c>
      <c r="E412" s="305" t="s">
        <v>6</v>
      </c>
      <c r="F412" s="94">
        <v>0.01</v>
      </c>
      <c r="G412" s="65">
        <f>VLOOKUP(D412,upahbahan,3,FALSE)</f>
        <v>150000</v>
      </c>
      <c r="H412" s="125">
        <f t="shared" si="44"/>
        <v>1500</v>
      </c>
      <c r="K412" s="216"/>
    </row>
    <row r="413" spans="3:11">
      <c r="C413" s="143">
        <v>4</v>
      </c>
      <c r="D413" s="60" t="s">
        <v>19</v>
      </c>
      <c r="E413" s="305" t="s">
        <v>6</v>
      </c>
      <c r="F413" s="94">
        <v>3.3E-3</v>
      </c>
      <c r="G413" s="65">
        <f>VLOOKUP(D413,upahbahan,3,FALSE)</f>
        <v>145000</v>
      </c>
      <c r="H413" s="125">
        <f t="shared" si="44"/>
        <v>478.5</v>
      </c>
      <c r="K413" s="216"/>
    </row>
    <row r="414" spans="3:11">
      <c r="C414" s="145" t="s">
        <v>1220</v>
      </c>
      <c r="D414" s="81"/>
      <c r="E414" s="81"/>
      <c r="F414" s="220"/>
      <c r="G414" s="221"/>
      <c r="H414" s="125">
        <f>SUM(H410:H413)</f>
        <v>17478.5</v>
      </c>
      <c r="I414" s="222"/>
      <c r="K414" s="216"/>
    </row>
    <row r="415" spans="3:11">
      <c r="C415" s="142" t="s">
        <v>1221</v>
      </c>
      <c r="D415" s="60" t="s">
        <v>1222</v>
      </c>
      <c r="E415" s="74"/>
      <c r="F415" s="74"/>
      <c r="G415" s="74"/>
      <c r="H415" s="147"/>
      <c r="K415" s="216"/>
    </row>
    <row r="416" spans="3:11">
      <c r="C416" s="143">
        <v>1</v>
      </c>
      <c r="D416" s="60" t="s">
        <v>754</v>
      </c>
      <c r="E416" s="367" t="s">
        <v>44</v>
      </c>
      <c r="F416" s="75">
        <v>1</v>
      </c>
      <c r="G416" s="65">
        <f>VLOOKUP(D416,upahbahan,3,FALSE)</f>
        <v>150000</v>
      </c>
      <c r="H416" s="125">
        <f t="shared" ref="H416" si="45">F416*G416</f>
        <v>150000</v>
      </c>
    </row>
    <row r="417" spans="3:8">
      <c r="C417" s="145" t="s">
        <v>1226</v>
      </c>
      <c r="D417" s="81"/>
      <c r="E417" s="81"/>
      <c r="F417" s="81"/>
      <c r="G417" s="163"/>
      <c r="H417" s="125">
        <f>SUM(H416:H416)</f>
        <v>150000</v>
      </c>
    </row>
    <row r="418" spans="3:8">
      <c r="C418" s="153" t="s">
        <v>1227</v>
      </c>
      <c r="D418" s="60" t="s">
        <v>1228</v>
      </c>
      <c r="E418" s="74"/>
      <c r="F418" s="74"/>
      <c r="G418" s="74"/>
      <c r="H418" s="147"/>
    </row>
    <row r="419" spans="3:8">
      <c r="C419" s="145" t="s">
        <v>1229</v>
      </c>
      <c r="D419" s="81"/>
      <c r="E419" s="81"/>
      <c r="F419" s="81"/>
      <c r="G419" s="163"/>
      <c r="H419" s="154">
        <v>0</v>
      </c>
    </row>
    <row r="420" spans="3:8">
      <c r="C420" s="123" t="s">
        <v>1230</v>
      </c>
      <c r="D420" s="70" t="s">
        <v>1231</v>
      </c>
      <c r="E420" s="71"/>
      <c r="F420" s="71"/>
      <c r="G420" s="72"/>
      <c r="H420" s="125">
        <f>H419+H417+H414</f>
        <v>167478.5</v>
      </c>
    </row>
    <row r="421" spans="3:8">
      <c r="C421" s="123" t="s">
        <v>1232</v>
      </c>
      <c r="D421" s="70" t="s">
        <v>1410</v>
      </c>
      <c r="E421" s="71"/>
      <c r="F421" s="72"/>
      <c r="G421" s="96">
        <f>$M$7</f>
        <v>0.1</v>
      </c>
      <c r="H421" s="125">
        <f>H420*G421</f>
        <v>16747.850000000002</v>
      </c>
    </row>
    <row r="422" spans="3:8" ht="15.75" thickBot="1">
      <c r="C422" s="131" t="s">
        <v>1233</v>
      </c>
      <c r="D422" s="132" t="s">
        <v>1234</v>
      </c>
      <c r="E422" s="133"/>
      <c r="F422" s="133"/>
      <c r="G422" s="156"/>
      <c r="H422" s="135">
        <f>SUM(H420:H421)</f>
        <v>184226.35</v>
      </c>
    </row>
    <row r="423" spans="3:8" ht="15.75" thickTop="1">
      <c r="C423" s="58"/>
      <c r="D423" s="82"/>
      <c r="E423" s="82"/>
      <c r="F423" s="82"/>
      <c r="G423" s="82"/>
      <c r="H423" s="83"/>
    </row>
  </sheetData>
  <dataValidations count="1">
    <dataValidation type="list" allowBlank="1" showInputMessage="1" showErrorMessage="1" sqref="D7:D10 D43:D46 D25:D28" xr:uid="{F6D31402-4CB2-4DFF-A10C-D528E4A53A51}">
      <formula1>TENAGA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2174-AC2F-4746-898A-4CAFB97ED42A}">
  <dimension ref="C3:M546"/>
  <sheetViews>
    <sheetView zoomScaleNormal="100" workbookViewId="0">
      <selection activeCell="C3" sqref="C3:I554"/>
    </sheetView>
    <sheetView workbookViewId="1"/>
  </sheetViews>
  <sheetFormatPr defaultColWidth="8.85546875" defaultRowHeight="15"/>
  <cols>
    <col min="1" max="2" width="5" style="56" customWidth="1"/>
    <col min="3" max="3" width="6" style="63" customWidth="1"/>
    <col min="4" max="4" width="36.7109375" style="63" customWidth="1"/>
    <col min="5" max="5" width="7.42578125" style="63" customWidth="1"/>
    <col min="6" max="6" width="10.7109375" style="63" customWidth="1"/>
    <col min="7" max="7" width="15.7109375" style="63" customWidth="1"/>
    <col min="8" max="8" width="17.42578125" style="63" customWidth="1"/>
    <col min="9" max="9" width="17.7109375" style="55" customWidth="1"/>
    <col min="10" max="10" width="14.28515625" style="56" customWidth="1"/>
    <col min="11" max="16384" width="8.85546875" style="56"/>
  </cols>
  <sheetData>
    <row r="3" spans="3:13">
      <c r="C3" s="320" t="str">
        <f>'[1]Daftar HSP'!A488</f>
        <v>T</v>
      </c>
      <c r="D3" s="321" t="str">
        <f>'[1]Daftar HSP'!B488</f>
        <v>PEKERJAAN SISTEM AIR MINUM</v>
      </c>
      <c r="E3" s="229"/>
      <c r="F3" s="229"/>
      <c r="G3" s="229"/>
      <c r="H3" s="229"/>
    </row>
    <row r="4" spans="3:13">
      <c r="C4" s="316" t="s">
        <v>1758</v>
      </c>
      <c r="D4" s="310"/>
      <c r="E4" s="310"/>
      <c r="F4" s="310"/>
      <c r="G4" s="310"/>
      <c r="H4" s="310"/>
      <c r="I4" s="57">
        <f>ROUNDDOWN(H19,-2)</f>
        <v>7299700</v>
      </c>
      <c r="K4" s="216"/>
    </row>
    <row r="5" spans="3:13" ht="28.5">
      <c r="C5" s="303" t="s">
        <v>1207</v>
      </c>
      <c r="D5" s="303" t="s">
        <v>1208</v>
      </c>
      <c r="E5" s="303" t="s">
        <v>1209</v>
      </c>
      <c r="F5" s="303" t="s">
        <v>1210</v>
      </c>
      <c r="G5" s="303" t="s">
        <v>1211</v>
      </c>
      <c r="H5" s="303" t="s">
        <v>1212</v>
      </c>
    </row>
    <row r="6" spans="3:13">
      <c r="C6" s="73" t="s">
        <v>1213</v>
      </c>
      <c r="D6" s="60" t="s">
        <v>1214</v>
      </c>
      <c r="E6" s="74"/>
      <c r="F6" s="74"/>
      <c r="G6" s="74"/>
      <c r="H6" s="74"/>
      <c r="J6" s="160" t="s">
        <v>1265</v>
      </c>
    </row>
    <row r="7" spans="3:13">
      <c r="C7" s="304">
        <v>1</v>
      </c>
      <c r="D7" s="60" t="s">
        <v>5</v>
      </c>
      <c r="E7" s="305" t="s">
        <v>6</v>
      </c>
      <c r="F7" s="75">
        <v>0.41699999999999998</v>
      </c>
      <c r="G7" s="65">
        <f>VLOOKUP(D7,upahbahan,3,FALSE)</f>
        <v>100000</v>
      </c>
      <c r="H7" s="65">
        <f t="shared" ref="H7:H10" si="0">F7*G7</f>
        <v>41700</v>
      </c>
      <c r="J7" s="160" t="s">
        <v>1266</v>
      </c>
      <c r="M7" s="66">
        <v>0.1</v>
      </c>
    </row>
    <row r="8" spans="3:13">
      <c r="C8" s="304">
        <v>2</v>
      </c>
      <c r="D8" s="60" t="s">
        <v>7</v>
      </c>
      <c r="E8" s="305" t="s">
        <v>6</v>
      </c>
      <c r="F8" s="75">
        <v>0.69599999999999995</v>
      </c>
      <c r="G8" s="65">
        <f>VLOOKUP(D8,upahbahan,3,FALSE)</f>
        <v>145000</v>
      </c>
      <c r="H8" s="65">
        <f t="shared" si="0"/>
        <v>100920</v>
      </c>
    </row>
    <row r="9" spans="3:13">
      <c r="C9" s="304">
        <v>3</v>
      </c>
      <c r="D9" s="60" t="s">
        <v>18</v>
      </c>
      <c r="E9" s="305" t="s">
        <v>6</v>
      </c>
      <c r="F9" s="75">
        <v>7.0000000000000007E-2</v>
      </c>
      <c r="G9" s="65">
        <f>VLOOKUP(D9,upahbahan,3,FALSE)</f>
        <v>150000</v>
      </c>
      <c r="H9" s="65">
        <f t="shared" si="0"/>
        <v>10500.000000000002</v>
      </c>
    </row>
    <row r="10" spans="3:13">
      <c r="C10" s="304">
        <v>4</v>
      </c>
      <c r="D10" s="60" t="s">
        <v>19</v>
      </c>
      <c r="E10" s="305" t="s">
        <v>6</v>
      </c>
      <c r="F10" s="75">
        <v>2.1000000000000001E-2</v>
      </c>
      <c r="G10" s="65">
        <f>VLOOKUP(D10,upahbahan,3,FALSE)</f>
        <v>145000</v>
      </c>
      <c r="H10" s="65">
        <f t="shared" si="0"/>
        <v>3045</v>
      </c>
    </row>
    <row r="11" spans="3:13">
      <c r="C11" s="84" t="s">
        <v>1220</v>
      </c>
      <c r="D11" s="81"/>
      <c r="E11" s="81"/>
      <c r="F11" s="220"/>
      <c r="G11" s="221"/>
      <c r="H11" s="65">
        <f>SUM(H7:H10)</f>
        <v>156165</v>
      </c>
      <c r="I11" s="222"/>
    </row>
    <row r="12" spans="3:13">
      <c r="C12" s="73" t="s">
        <v>1221</v>
      </c>
      <c r="D12" s="60" t="s">
        <v>1222</v>
      </c>
      <c r="E12" s="74"/>
      <c r="F12" s="74"/>
      <c r="G12" s="74"/>
      <c r="H12" s="74"/>
    </row>
    <row r="13" spans="3:13">
      <c r="C13" s="304">
        <v>1</v>
      </c>
      <c r="D13" s="78" t="s">
        <v>721</v>
      </c>
      <c r="E13" s="69" t="s">
        <v>139</v>
      </c>
      <c r="F13" s="75">
        <v>1.08</v>
      </c>
      <c r="G13" s="65">
        <f>VLOOKUP(D13,upahbahan,3,FALSE)</f>
        <v>6000000</v>
      </c>
      <c r="H13" s="65">
        <f t="shared" ref="H13" si="1">F13*G13</f>
        <v>6480000</v>
      </c>
    </row>
    <row r="14" spans="3:13">
      <c r="C14" s="84" t="s">
        <v>1226</v>
      </c>
      <c r="D14" s="81"/>
      <c r="E14" s="81"/>
      <c r="F14" s="81"/>
      <c r="G14" s="163"/>
      <c r="H14" s="65">
        <f>SUM(H13:H13)</f>
        <v>6480000</v>
      </c>
    </row>
    <row r="15" spans="3:13">
      <c r="C15" s="73" t="s">
        <v>1227</v>
      </c>
      <c r="D15" s="60" t="s">
        <v>1228</v>
      </c>
      <c r="E15" s="74"/>
      <c r="F15" s="74"/>
      <c r="G15" s="74"/>
      <c r="H15" s="74"/>
    </row>
    <row r="16" spans="3:13">
      <c r="C16" s="84" t="s">
        <v>1229</v>
      </c>
      <c r="D16" s="81"/>
      <c r="E16" s="81"/>
      <c r="F16" s="81"/>
      <c r="G16" s="163"/>
      <c r="H16" s="306">
        <v>0</v>
      </c>
    </row>
    <row r="17" spans="3:11">
      <c r="C17" s="59" t="s">
        <v>1230</v>
      </c>
      <c r="D17" s="70" t="s">
        <v>1231</v>
      </c>
      <c r="E17" s="71"/>
      <c r="F17" s="71"/>
      <c r="G17" s="72"/>
      <c r="H17" s="307">
        <f>H16+H14+H11</f>
        <v>6636165</v>
      </c>
      <c r="I17" s="322"/>
    </row>
    <row r="18" spans="3:11">
      <c r="C18" s="123" t="s">
        <v>1232</v>
      </c>
      <c r="D18" s="70" t="s">
        <v>1410</v>
      </c>
      <c r="E18" s="71"/>
      <c r="F18" s="72"/>
      <c r="G18" s="96">
        <f>$M$7</f>
        <v>0.1</v>
      </c>
      <c r="H18" s="125">
        <f>H17*G18</f>
        <v>663616.5</v>
      </c>
      <c r="I18" s="322"/>
    </row>
    <row r="19" spans="3:11">
      <c r="C19" s="59" t="s">
        <v>1233</v>
      </c>
      <c r="D19" s="70" t="s">
        <v>1234</v>
      </c>
      <c r="E19" s="71"/>
      <c r="F19" s="71"/>
      <c r="G19" s="72"/>
      <c r="H19" s="308">
        <f>SUM(H17:H18)</f>
        <v>7299781.5</v>
      </c>
      <c r="I19" s="322"/>
    </row>
    <row r="20" spans="3:11">
      <c r="C20" s="90"/>
      <c r="D20" s="91"/>
      <c r="E20" s="91"/>
      <c r="F20" s="91"/>
      <c r="G20" s="91"/>
      <c r="H20" s="309"/>
    </row>
    <row r="21" spans="3:11">
      <c r="C21" s="316" t="s">
        <v>1759</v>
      </c>
      <c r="D21" s="310"/>
      <c r="E21" s="310"/>
      <c r="F21" s="310"/>
      <c r="G21" s="310"/>
      <c r="H21" s="310"/>
      <c r="I21" s="57">
        <f>ROUNDDOWN(H36,-2)</f>
        <v>14786000</v>
      </c>
      <c r="K21" s="216"/>
    </row>
    <row r="22" spans="3:11" ht="28.5">
      <c r="C22" s="303" t="s">
        <v>1207</v>
      </c>
      <c r="D22" s="303" t="s">
        <v>1208</v>
      </c>
      <c r="E22" s="303" t="s">
        <v>1209</v>
      </c>
      <c r="F22" s="303" t="s">
        <v>1210</v>
      </c>
      <c r="G22" s="303" t="s">
        <v>1211</v>
      </c>
      <c r="H22" s="303" t="s">
        <v>1212</v>
      </c>
      <c r="K22" s="216"/>
    </row>
    <row r="23" spans="3:11">
      <c r="C23" s="73" t="s">
        <v>1213</v>
      </c>
      <c r="D23" s="60" t="s">
        <v>1214</v>
      </c>
      <c r="E23" s="74"/>
      <c r="F23" s="74"/>
      <c r="G23" s="74"/>
      <c r="H23" s="74"/>
      <c r="K23" s="216"/>
    </row>
    <row r="24" spans="3:11">
      <c r="C24" s="304">
        <v>1</v>
      </c>
      <c r="D24" s="60" t="s">
        <v>5</v>
      </c>
      <c r="E24" s="305" t="s">
        <v>6</v>
      </c>
      <c r="F24" s="184">
        <v>0.64600000000000002</v>
      </c>
      <c r="G24" s="65">
        <f>VLOOKUP(D24,upahbahan,3,FALSE)</f>
        <v>100000</v>
      </c>
      <c r="H24" s="65">
        <f t="shared" ref="H24:H27" si="2">F24*G24</f>
        <v>64600</v>
      </c>
      <c r="K24" s="216"/>
    </row>
    <row r="25" spans="3:11">
      <c r="C25" s="304">
        <v>2</v>
      </c>
      <c r="D25" s="60" t="str">
        <f>D8</f>
        <v>Tukang batu</v>
      </c>
      <c r="E25" s="305" t="s">
        <v>6</v>
      </c>
      <c r="F25" s="184">
        <v>1.079</v>
      </c>
      <c r="G25" s="65">
        <f>VLOOKUP(D25,upahbahan,3,FALSE)</f>
        <v>145000</v>
      </c>
      <c r="H25" s="65">
        <f t="shared" si="2"/>
        <v>156455</v>
      </c>
      <c r="K25" s="216"/>
    </row>
    <row r="26" spans="3:11">
      <c r="C26" s="304">
        <v>3</v>
      </c>
      <c r="D26" s="60" t="s">
        <v>18</v>
      </c>
      <c r="E26" s="305" t="s">
        <v>6</v>
      </c>
      <c r="F26" s="184">
        <v>0.108</v>
      </c>
      <c r="G26" s="65">
        <f>VLOOKUP(D26,upahbahan,3,FALSE)</f>
        <v>150000</v>
      </c>
      <c r="H26" s="65">
        <f t="shared" si="2"/>
        <v>16200</v>
      </c>
      <c r="K26" s="216"/>
    </row>
    <row r="27" spans="3:11">
      <c r="C27" s="304">
        <v>4</v>
      </c>
      <c r="D27" s="60" t="s">
        <v>19</v>
      </c>
      <c r="E27" s="305" t="s">
        <v>6</v>
      </c>
      <c r="F27" s="184">
        <v>3.2000000000000001E-2</v>
      </c>
      <c r="G27" s="65">
        <f>VLOOKUP(D27,upahbahan,3,FALSE)</f>
        <v>145000</v>
      </c>
      <c r="H27" s="65">
        <f t="shared" si="2"/>
        <v>4640</v>
      </c>
      <c r="K27" s="216"/>
    </row>
    <row r="28" spans="3:11">
      <c r="C28" s="84" t="s">
        <v>1220</v>
      </c>
      <c r="D28" s="81"/>
      <c r="E28" s="81"/>
      <c r="F28" s="220"/>
      <c r="G28" s="221"/>
      <c r="H28" s="65">
        <f>SUM(H24:H27)</f>
        <v>241895</v>
      </c>
      <c r="I28" s="222"/>
      <c r="K28" s="216"/>
    </row>
    <row r="29" spans="3:11">
      <c r="C29" s="73" t="s">
        <v>1221</v>
      </c>
      <c r="D29" s="60" t="s">
        <v>1222</v>
      </c>
      <c r="E29" s="74"/>
      <c r="F29" s="74"/>
      <c r="G29" s="74"/>
      <c r="H29" s="74"/>
      <c r="K29" s="216"/>
    </row>
    <row r="30" spans="3:11">
      <c r="C30" s="304">
        <v>1</v>
      </c>
      <c r="D30" s="78" t="s">
        <v>722</v>
      </c>
      <c r="E30" s="69" t="s">
        <v>139</v>
      </c>
      <c r="F30" s="75">
        <v>1.1000000000000001</v>
      </c>
      <c r="G30" s="65">
        <f>VLOOKUP(D30,upahbahan,3,FALSE)</f>
        <v>12000000</v>
      </c>
      <c r="H30" s="65">
        <f t="shared" ref="H30" si="3">F30*G30</f>
        <v>13200000.000000002</v>
      </c>
      <c r="K30" s="216"/>
    </row>
    <row r="31" spans="3:11">
      <c r="C31" s="84" t="s">
        <v>1226</v>
      </c>
      <c r="D31" s="81"/>
      <c r="E31" s="81"/>
      <c r="F31" s="81"/>
      <c r="G31" s="163"/>
      <c r="H31" s="65">
        <f>SUM(H30:H30)</f>
        <v>13200000.000000002</v>
      </c>
      <c r="K31" s="216"/>
    </row>
    <row r="32" spans="3:11">
      <c r="C32" s="73" t="s">
        <v>1227</v>
      </c>
      <c r="D32" s="60" t="s">
        <v>1228</v>
      </c>
      <c r="E32" s="74"/>
      <c r="F32" s="74"/>
      <c r="G32" s="74"/>
      <c r="H32" s="74"/>
      <c r="K32" s="216"/>
    </row>
    <row r="33" spans="3:11">
      <c r="C33" s="84" t="s">
        <v>1229</v>
      </c>
      <c r="D33" s="81"/>
      <c r="E33" s="81"/>
      <c r="F33" s="81"/>
      <c r="G33" s="163"/>
      <c r="H33" s="306">
        <v>0</v>
      </c>
      <c r="K33" s="216"/>
    </row>
    <row r="34" spans="3:11">
      <c r="C34" s="59" t="s">
        <v>1230</v>
      </c>
      <c r="D34" s="70" t="s">
        <v>1231</v>
      </c>
      <c r="E34" s="71"/>
      <c r="F34" s="71"/>
      <c r="G34" s="72"/>
      <c r="H34" s="307">
        <f>H33+H31+H28</f>
        <v>13441895.000000002</v>
      </c>
      <c r="I34" s="322"/>
      <c r="K34" s="216"/>
    </row>
    <row r="35" spans="3:11">
      <c r="C35" s="59" t="s">
        <v>1232</v>
      </c>
      <c r="D35" s="70" t="s">
        <v>1540</v>
      </c>
      <c r="E35" s="71"/>
      <c r="F35" s="72"/>
      <c r="G35" s="62" t="s">
        <v>1541</v>
      </c>
      <c r="H35" s="307">
        <f>H34*10%</f>
        <v>1344189.5000000002</v>
      </c>
      <c r="I35" s="322"/>
      <c r="K35" s="216"/>
    </row>
    <row r="36" spans="3:11">
      <c r="C36" s="59" t="s">
        <v>1233</v>
      </c>
      <c r="D36" s="70" t="s">
        <v>1234</v>
      </c>
      <c r="E36" s="71"/>
      <c r="F36" s="71"/>
      <c r="G36" s="72"/>
      <c r="H36" s="308">
        <f>SUM(H34:H35)</f>
        <v>14786084.500000002</v>
      </c>
      <c r="I36" s="322"/>
      <c r="K36" s="216"/>
    </row>
    <row r="37" spans="3:11">
      <c r="C37" s="90"/>
      <c r="D37" s="91"/>
      <c r="E37" s="91"/>
      <c r="F37" s="91"/>
      <c r="G37" s="91"/>
      <c r="H37" s="309"/>
      <c r="K37" s="216"/>
    </row>
    <row r="38" spans="3:11">
      <c r="C38" s="316" t="s">
        <v>1760</v>
      </c>
      <c r="D38" s="310"/>
      <c r="E38" s="310"/>
      <c r="F38" s="310"/>
      <c r="G38" s="310"/>
      <c r="H38" s="310"/>
      <c r="I38" s="57">
        <f>ROUNDDOWN(H53,-2)</f>
        <v>44669700</v>
      </c>
      <c r="K38" s="216"/>
    </row>
    <row r="39" spans="3:11" ht="28.5">
      <c r="C39" s="303" t="s">
        <v>1207</v>
      </c>
      <c r="D39" s="303" t="s">
        <v>1208</v>
      </c>
      <c r="E39" s="303" t="s">
        <v>1209</v>
      </c>
      <c r="F39" s="303" t="s">
        <v>1210</v>
      </c>
      <c r="G39" s="303" t="s">
        <v>1211</v>
      </c>
      <c r="H39" s="303" t="s">
        <v>1212</v>
      </c>
      <c r="K39" s="216"/>
    </row>
    <row r="40" spans="3:11">
      <c r="C40" s="73" t="s">
        <v>1213</v>
      </c>
      <c r="D40" s="60" t="s">
        <v>1214</v>
      </c>
      <c r="E40" s="74"/>
      <c r="F40" s="74"/>
      <c r="G40" s="74"/>
      <c r="H40" s="74"/>
      <c r="K40" s="216"/>
    </row>
    <row r="41" spans="3:11">
      <c r="C41" s="304">
        <v>1</v>
      </c>
      <c r="D41" s="60" t="s">
        <v>5</v>
      </c>
      <c r="E41" s="333" t="s">
        <v>6</v>
      </c>
      <c r="F41" s="184">
        <v>0.77100000000000002</v>
      </c>
      <c r="G41" s="65">
        <f>VLOOKUP(D41,upahbahan,3,FALSE)</f>
        <v>100000</v>
      </c>
      <c r="H41" s="65">
        <f t="shared" ref="H41:H44" si="4">F41*G41</f>
        <v>77100</v>
      </c>
      <c r="K41" s="216"/>
    </row>
    <row r="42" spans="3:11">
      <c r="C42" s="304">
        <v>2</v>
      </c>
      <c r="D42" s="60" t="str">
        <f>D25</f>
        <v>Tukang batu</v>
      </c>
      <c r="E42" s="333" t="s">
        <v>6</v>
      </c>
      <c r="F42" s="184">
        <v>1.288</v>
      </c>
      <c r="G42" s="65">
        <f>VLOOKUP(D42,upahbahan,3,FALSE)</f>
        <v>145000</v>
      </c>
      <c r="H42" s="65">
        <f t="shared" si="4"/>
        <v>186760</v>
      </c>
      <c r="K42" s="216"/>
    </row>
    <row r="43" spans="3:11">
      <c r="C43" s="304">
        <v>3</v>
      </c>
      <c r="D43" s="60" t="s">
        <v>18</v>
      </c>
      <c r="E43" s="333" t="s">
        <v>6</v>
      </c>
      <c r="F43" s="184">
        <v>0.129</v>
      </c>
      <c r="G43" s="65">
        <f>VLOOKUP(D43,upahbahan,3,FALSE)</f>
        <v>150000</v>
      </c>
      <c r="H43" s="65">
        <f t="shared" si="4"/>
        <v>19350</v>
      </c>
      <c r="K43" s="216"/>
    </row>
    <row r="44" spans="3:11">
      <c r="C44" s="304">
        <v>4</v>
      </c>
      <c r="D44" s="60" t="s">
        <v>19</v>
      </c>
      <c r="E44" s="333" t="s">
        <v>6</v>
      </c>
      <c r="F44" s="184">
        <v>3.9E-2</v>
      </c>
      <c r="G44" s="65">
        <f>VLOOKUP(D44,upahbahan,3,FALSE)</f>
        <v>145000</v>
      </c>
      <c r="H44" s="65">
        <f t="shared" si="4"/>
        <v>5655</v>
      </c>
      <c r="K44" s="216"/>
    </row>
    <row r="45" spans="3:11">
      <c r="C45" s="84" t="s">
        <v>1220</v>
      </c>
      <c r="D45" s="81"/>
      <c r="E45" s="81"/>
      <c r="F45" s="220"/>
      <c r="G45" s="221"/>
      <c r="H45" s="65">
        <f>SUM(H41:H44)</f>
        <v>288865</v>
      </c>
      <c r="I45" s="222"/>
      <c r="K45" s="216"/>
    </row>
    <row r="46" spans="3:11">
      <c r="C46" s="73" t="s">
        <v>1221</v>
      </c>
      <c r="D46" s="60" t="s">
        <v>1222</v>
      </c>
      <c r="E46" s="79"/>
      <c r="F46" s="74"/>
      <c r="G46" s="74"/>
      <c r="H46" s="74"/>
      <c r="K46" s="216"/>
    </row>
    <row r="47" spans="3:11">
      <c r="C47" s="304">
        <v>1</v>
      </c>
      <c r="D47" s="78" t="s">
        <v>720</v>
      </c>
      <c r="E47" s="362" t="s">
        <v>139</v>
      </c>
      <c r="F47" s="75">
        <v>1.1200000000000001</v>
      </c>
      <c r="G47" s="65">
        <f>VLOOKUP(D47,upahbahan,3,FALSE)</f>
        <v>36000000</v>
      </c>
      <c r="H47" s="65">
        <f t="shared" ref="H47" si="5">F47*G47</f>
        <v>40320000.000000007</v>
      </c>
      <c r="K47" s="216"/>
    </row>
    <row r="48" spans="3:11">
      <c r="C48" s="84" t="s">
        <v>1226</v>
      </c>
      <c r="D48" s="81"/>
      <c r="E48" s="81"/>
      <c r="F48" s="81"/>
      <c r="G48" s="163"/>
      <c r="H48" s="65">
        <f>SUM(H47:H47)</f>
        <v>40320000.000000007</v>
      </c>
      <c r="K48" s="216"/>
    </row>
    <row r="49" spans="3:11">
      <c r="C49" s="73" t="s">
        <v>1227</v>
      </c>
      <c r="D49" s="60" t="s">
        <v>1228</v>
      </c>
      <c r="E49" s="74"/>
      <c r="F49" s="74"/>
      <c r="G49" s="74"/>
      <c r="H49" s="74"/>
      <c r="K49" s="216"/>
    </row>
    <row r="50" spans="3:11">
      <c r="C50" s="84" t="s">
        <v>1229</v>
      </c>
      <c r="D50" s="81"/>
      <c r="E50" s="81"/>
      <c r="F50" s="81"/>
      <c r="G50" s="163"/>
      <c r="H50" s="306">
        <v>0</v>
      </c>
      <c r="K50" s="216"/>
    </row>
    <row r="51" spans="3:11">
      <c r="C51" s="59" t="s">
        <v>1230</v>
      </c>
      <c r="D51" s="70" t="s">
        <v>1231</v>
      </c>
      <c r="E51" s="71"/>
      <c r="F51" s="71"/>
      <c r="G51" s="72"/>
      <c r="H51" s="307">
        <f>H50+H48+H45</f>
        <v>40608865.000000007</v>
      </c>
      <c r="I51" s="322"/>
      <c r="K51" s="216"/>
    </row>
    <row r="52" spans="3:11">
      <c r="C52" s="59" t="s">
        <v>1232</v>
      </c>
      <c r="D52" s="70" t="s">
        <v>1540</v>
      </c>
      <c r="E52" s="71"/>
      <c r="F52" s="72"/>
      <c r="G52" s="62" t="s">
        <v>1541</v>
      </c>
      <c r="H52" s="307">
        <f>H51*10%</f>
        <v>4060886.5000000009</v>
      </c>
      <c r="I52" s="322"/>
      <c r="K52" s="216"/>
    </row>
    <row r="53" spans="3:11">
      <c r="C53" s="59" t="s">
        <v>1233</v>
      </c>
      <c r="D53" s="70" t="s">
        <v>1234</v>
      </c>
      <c r="E53" s="71"/>
      <c r="F53" s="71"/>
      <c r="G53" s="72"/>
      <c r="H53" s="308">
        <f>SUM(H51:H52)</f>
        <v>44669751.500000007</v>
      </c>
      <c r="I53" s="322"/>
      <c r="K53" s="216"/>
    </row>
    <row r="54" spans="3:11">
      <c r="K54" s="216"/>
    </row>
    <row r="55" spans="3:11">
      <c r="C55" s="316" t="s">
        <v>1761</v>
      </c>
      <c r="D55" s="318"/>
      <c r="E55" s="318"/>
      <c r="F55" s="318"/>
      <c r="G55" s="318"/>
      <c r="H55" s="318"/>
      <c r="I55" s="57">
        <f>ROUNDDOWN(H70,-2)</f>
        <v>8267700</v>
      </c>
      <c r="K55" s="216"/>
    </row>
    <row r="56" spans="3:11" ht="28.5">
      <c r="C56" s="303" t="s">
        <v>1207</v>
      </c>
      <c r="D56" s="303" t="s">
        <v>1208</v>
      </c>
      <c r="E56" s="303" t="s">
        <v>1209</v>
      </c>
      <c r="F56" s="303" t="s">
        <v>1210</v>
      </c>
      <c r="G56" s="303" t="s">
        <v>1211</v>
      </c>
      <c r="H56" s="303" t="s">
        <v>1212</v>
      </c>
      <c r="K56" s="216"/>
    </row>
    <row r="57" spans="3:11">
      <c r="C57" s="305" t="s">
        <v>1213</v>
      </c>
      <c r="D57" s="60" t="s">
        <v>1214</v>
      </c>
      <c r="E57" s="74"/>
      <c r="F57" s="74"/>
      <c r="G57" s="74"/>
      <c r="H57" s="74"/>
      <c r="K57" s="216"/>
    </row>
    <row r="58" spans="3:11">
      <c r="C58" s="363">
        <v>1</v>
      </c>
      <c r="D58" s="60" t="s">
        <v>5</v>
      </c>
      <c r="E58" s="73" t="s">
        <v>6</v>
      </c>
      <c r="F58" s="75">
        <v>0.41699999999999998</v>
      </c>
      <c r="G58" s="65">
        <f>VLOOKUP(D58,upahbahan,3,FALSE)</f>
        <v>100000</v>
      </c>
      <c r="H58" s="65">
        <f t="shared" ref="H58:H61" si="6">F58*G58</f>
        <v>41700</v>
      </c>
      <c r="K58" s="216"/>
    </row>
    <row r="59" spans="3:11">
      <c r="C59" s="363">
        <v>2</v>
      </c>
      <c r="D59" s="60" t="str">
        <f>D42</f>
        <v>Tukang batu</v>
      </c>
      <c r="E59" s="73" t="s">
        <v>6</v>
      </c>
      <c r="F59" s="75">
        <v>0.69599999999999995</v>
      </c>
      <c r="G59" s="65">
        <f>VLOOKUP(D59,upahbahan,3,FALSE)</f>
        <v>145000</v>
      </c>
      <c r="H59" s="65">
        <f t="shared" si="6"/>
        <v>100920</v>
      </c>
      <c r="K59" s="216"/>
    </row>
    <row r="60" spans="3:11">
      <c r="C60" s="363">
        <v>3</v>
      </c>
      <c r="D60" s="60" t="s">
        <v>18</v>
      </c>
      <c r="E60" s="73" t="s">
        <v>6</v>
      </c>
      <c r="F60" s="75">
        <v>7.0000000000000007E-2</v>
      </c>
      <c r="G60" s="65">
        <f>VLOOKUP(D60,upahbahan,3,FALSE)</f>
        <v>150000</v>
      </c>
      <c r="H60" s="65">
        <f t="shared" si="6"/>
        <v>10500.000000000002</v>
      </c>
      <c r="K60" s="216"/>
    </row>
    <row r="61" spans="3:11">
      <c r="C61" s="363">
        <v>4</v>
      </c>
      <c r="D61" s="60" t="s">
        <v>19</v>
      </c>
      <c r="E61" s="73" t="s">
        <v>6</v>
      </c>
      <c r="F61" s="75">
        <v>2.1000000000000001E-2</v>
      </c>
      <c r="G61" s="65">
        <f>VLOOKUP(D61,upahbahan,3,FALSE)</f>
        <v>145000</v>
      </c>
      <c r="H61" s="65">
        <f t="shared" si="6"/>
        <v>3045</v>
      </c>
      <c r="K61" s="216"/>
    </row>
    <row r="62" spans="3:11">
      <c r="C62" s="84" t="s">
        <v>1220</v>
      </c>
      <c r="D62" s="81"/>
      <c r="E62" s="81"/>
      <c r="F62" s="220"/>
      <c r="G62" s="221"/>
      <c r="H62" s="65">
        <f>SUM(H58:H61)</f>
        <v>156165</v>
      </c>
      <c r="I62" s="222"/>
      <c r="K62" s="216"/>
    </row>
    <row r="63" spans="3:11">
      <c r="C63" s="73" t="s">
        <v>1221</v>
      </c>
      <c r="D63" s="60" t="s">
        <v>1222</v>
      </c>
      <c r="E63" s="74"/>
      <c r="F63" s="74"/>
      <c r="G63" s="74"/>
      <c r="H63" s="74"/>
      <c r="K63" s="216"/>
    </row>
    <row r="64" spans="3:11">
      <c r="C64" s="304">
        <v>1</v>
      </c>
      <c r="D64" s="60" t="s">
        <v>724</v>
      </c>
      <c r="E64" s="73" t="s">
        <v>139</v>
      </c>
      <c r="F64" s="75">
        <v>1.1499999999999999</v>
      </c>
      <c r="G64" s="65">
        <f>VLOOKUP(D64,upahbahan,3,FALSE)</f>
        <v>6400000</v>
      </c>
      <c r="H64" s="65">
        <f t="shared" ref="H64" si="7">F64*G64</f>
        <v>7359999.9999999991</v>
      </c>
      <c r="K64" s="216"/>
    </row>
    <row r="65" spans="3:11">
      <c r="C65" s="84" t="s">
        <v>1226</v>
      </c>
      <c r="D65" s="81"/>
      <c r="E65" s="81"/>
      <c r="F65" s="81"/>
      <c r="G65" s="163"/>
      <c r="H65" s="65">
        <f>SUM(H64:H64)</f>
        <v>7359999.9999999991</v>
      </c>
      <c r="K65" s="216"/>
    </row>
    <row r="66" spans="3:11">
      <c r="C66" s="73" t="s">
        <v>1227</v>
      </c>
      <c r="D66" s="60" t="s">
        <v>1228</v>
      </c>
      <c r="E66" s="74"/>
      <c r="F66" s="74"/>
      <c r="G66" s="74"/>
      <c r="H66" s="74"/>
      <c r="K66" s="216"/>
    </row>
    <row r="67" spans="3:11">
      <c r="C67" s="84" t="s">
        <v>1229</v>
      </c>
      <c r="D67" s="81"/>
      <c r="E67" s="81"/>
      <c r="F67" s="81"/>
      <c r="G67" s="163"/>
      <c r="H67" s="306">
        <v>0</v>
      </c>
      <c r="K67" s="216"/>
    </row>
    <row r="68" spans="3:11">
      <c r="C68" s="59" t="s">
        <v>1230</v>
      </c>
      <c r="D68" s="70" t="s">
        <v>1231</v>
      </c>
      <c r="E68" s="71"/>
      <c r="F68" s="71"/>
      <c r="G68" s="72"/>
      <c r="H68" s="307">
        <f>H67+H65+H62</f>
        <v>7516164.9999999991</v>
      </c>
      <c r="I68" s="322"/>
      <c r="K68" s="216"/>
    </row>
    <row r="69" spans="3:11">
      <c r="C69" s="59" t="s">
        <v>1232</v>
      </c>
      <c r="D69" s="70" t="s">
        <v>1540</v>
      </c>
      <c r="E69" s="71"/>
      <c r="F69" s="72"/>
      <c r="G69" s="62" t="s">
        <v>1541</v>
      </c>
      <c r="H69" s="307">
        <f>H68*10%</f>
        <v>751616.5</v>
      </c>
      <c r="I69" s="322"/>
      <c r="K69" s="216"/>
    </row>
    <row r="70" spans="3:11">
      <c r="C70" s="59" t="s">
        <v>1233</v>
      </c>
      <c r="D70" s="70" t="s">
        <v>1234</v>
      </c>
      <c r="E70" s="71"/>
      <c r="F70" s="71"/>
      <c r="G70" s="72"/>
      <c r="H70" s="308">
        <f>SUM(H68:H69)</f>
        <v>8267781.4999999991</v>
      </c>
      <c r="I70" s="322"/>
      <c r="K70" s="216"/>
    </row>
    <row r="71" spans="3:11">
      <c r="C71" s="90"/>
      <c r="D71" s="91"/>
      <c r="E71" s="91"/>
      <c r="F71" s="91"/>
      <c r="G71" s="91"/>
      <c r="H71" s="309"/>
      <c r="K71" s="216"/>
    </row>
    <row r="72" spans="3:11">
      <c r="C72" s="316" t="s">
        <v>1762</v>
      </c>
      <c r="D72" s="318"/>
      <c r="E72" s="318"/>
      <c r="F72" s="318"/>
      <c r="G72" s="318"/>
      <c r="H72" s="318"/>
      <c r="I72" s="57">
        <f>ROUNDDOWN(H87,-2)</f>
        <v>19241000</v>
      </c>
      <c r="K72" s="216"/>
    </row>
    <row r="73" spans="3:11" ht="28.5">
      <c r="C73" s="303" t="s">
        <v>1207</v>
      </c>
      <c r="D73" s="303" t="s">
        <v>1208</v>
      </c>
      <c r="E73" s="303" t="s">
        <v>1209</v>
      </c>
      <c r="F73" s="303" t="s">
        <v>1210</v>
      </c>
      <c r="G73" s="303" t="s">
        <v>1211</v>
      </c>
      <c r="H73" s="303" t="s">
        <v>1212</v>
      </c>
      <c r="K73" s="216"/>
    </row>
    <row r="74" spans="3:11">
      <c r="C74" s="305" t="s">
        <v>1213</v>
      </c>
      <c r="D74" s="60" t="s">
        <v>1214</v>
      </c>
      <c r="E74" s="74"/>
      <c r="F74" s="74"/>
      <c r="G74" s="74"/>
      <c r="H74" s="74"/>
      <c r="K74" s="216"/>
    </row>
    <row r="75" spans="3:11">
      <c r="C75" s="363">
        <v>1</v>
      </c>
      <c r="D75" s="60" t="s">
        <v>5</v>
      </c>
      <c r="E75" s="73" t="s">
        <v>6</v>
      </c>
      <c r="F75" s="184">
        <v>0.64600000000000002</v>
      </c>
      <c r="G75" s="65">
        <f>VLOOKUP(D75,upahbahan,3,FALSE)</f>
        <v>100000</v>
      </c>
      <c r="H75" s="65">
        <f t="shared" ref="H75:H78" si="8">F75*G75</f>
        <v>64600</v>
      </c>
      <c r="K75" s="216"/>
    </row>
    <row r="76" spans="3:11">
      <c r="C76" s="363">
        <v>2</v>
      </c>
      <c r="D76" s="60" t="str">
        <f>D59</f>
        <v>Tukang batu</v>
      </c>
      <c r="E76" s="73" t="s">
        <v>6</v>
      </c>
      <c r="F76" s="184">
        <v>1.079</v>
      </c>
      <c r="G76" s="65">
        <f>VLOOKUP(D76,upahbahan,3,FALSE)</f>
        <v>145000</v>
      </c>
      <c r="H76" s="65">
        <f t="shared" si="8"/>
        <v>156455</v>
      </c>
      <c r="K76" s="216"/>
    </row>
    <row r="77" spans="3:11">
      <c r="C77" s="363">
        <v>3</v>
      </c>
      <c r="D77" s="60" t="s">
        <v>18</v>
      </c>
      <c r="E77" s="73" t="s">
        <v>6</v>
      </c>
      <c r="F77" s="184">
        <v>0.108</v>
      </c>
      <c r="G77" s="65">
        <f>VLOOKUP(D77,upahbahan,3,FALSE)</f>
        <v>150000</v>
      </c>
      <c r="H77" s="65">
        <f t="shared" si="8"/>
        <v>16200</v>
      </c>
      <c r="K77" s="216"/>
    </row>
    <row r="78" spans="3:11">
      <c r="C78" s="363">
        <v>4</v>
      </c>
      <c r="D78" s="60" t="s">
        <v>19</v>
      </c>
      <c r="E78" s="73" t="s">
        <v>6</v>
      </c>
      <c r="F78" s="184">
        <v>3.2000000000000001E-2</v>
      </c>
      <c r="G78" s="65">
        <f>VLOOKUP(D78,upahbahan,3,FALSE)</f>
        <v>145000</v>
      </c>
      <c r="H78" s="65">
        <f t="shared" si="8"/>
        <v>4640</v>
      </c>
      <c r="K78" s="216"/>
    </row>
    <row r="79" spans="3:11">
      <c r="C79" s="84" t="s">
        <v>1220</v>
      </c>
      <c r="D79" s="81"/>
      <c r="E79" s="81"/>
      <c r="F79" s="220"/>
      <c r="G79" s="221"/>
      <c r="H79" s="65">
        <f>SUM(H75:H78)</f>
        <v>241895</v>
      </c>
      <c r="I79" s="222"/>
      <c r="K79" s="216"/>
    </row>
    <row r="80" spans="3:11">
      <c r="C80" s="73" t="s">
        <v>1221</v>
      </c>
      <c r="D80" s="60" t="s">
        <v>1222</v>
      </c>
      <c r="E80" s="74"/>
      <c r="F80" s="74"/>
      <c r="G80" s="74"/>
      <c r="H80" s="74"/>
      <c r="K80" s="216"/>
    </row>
    <row r="81" spans="3:11">
      <c r="C81" s="304">
        <v>1</v>
      </c>
      <c r="D81" s="60" t="s">
        <v>725</v>
      </c>
      <c r="E81" s="73" t="s">
        <v>139</v>
      </c>
      <c r="F81" s="75">
        <f>F64</f>
        <v>1.1499999999999999</v>
      </c>
      <c r="G81" s="65">
        <f>VLOOKUP(D81,upahbahan,3,FALSE)</f>
        <v>15000000</v>
      </c>
      <c r="H81" s="65">
        <f t="shared" ref="H81" si="9">F81*G81</f>
        <v>17250000</v>
      </c>
      <c r="K81" s="216"/>
    </row>
    <row r="82" spans="3:11">
      <c r="C82" s="84" t="s">
        <v>1226</v>
      </c>
      <c r="D82" s="81"/>
      <c r="E82" s="81"/>
      <c r="F82" s="81"/>
      <c r="G82" s="163"/>
      <c r="H82" s="65">
        <f>SUM(H81:H81)</f>
        <v>17250000</v>
      </c>
      <c r="K82" s="216"/>
    </row>
    <row r="83" spans="3:11">
      <c r="C83" s="73" t="s">
        <v>1227</v>
      </c>
      <c r="D83" s="60" t="s">
        <v>1228</v>
      </c>
      <c r="E83" s="74"/>
      <c r="F83" s="74"/>
      <c r="G83" s="74"/>
      <c r="H83" s="74"/>
      <c r="K83" s="216"/>
    </row>
    <row r="84" spans="3:11">
      <c r="C84" s="84" t="s">
        <v>1229</v>
      </c>
      <c r="D84" s="81"/>
      <c r="E84" s="81"/>
      <c r="F84" s="81"/>
      <c r="G84" s="163"/>
      <c r="H84" s="306">
        <v>0</v>
      </c>
      <c r="K84" s="216"/>
    </row>
    <row r="85" spans="3:11">
      <c r="C85" s="59" t="s">
        <v>1230</v>
      </c>
      <c r="D85" s="70" t="s">
        <v>1231</v>
      </c>
      <c r="E85" s="71"/>
      <c r="F85" s="71"/>
      <c r="G85" s="72"/>
      <c r="H85" s="307">
        <f>H84+H82+H79</f>
        <v>17491895</v>
      </c>
      <c r="I85" s="322"/>
      <c r="K85" s="216"/>
    </row>
    <row r="86" spans="3:11">
      <c r="C86" s="59" t="s">
        <v>1232</v>
      </c>
      <c r="D86" s="70" t="s">
        <v>1540</v>
      </c>
      <c r="E86" s="71"/>
      <c r="F86" s="72"/>
      <c r="G86" s="62" t="s">
        <v>1541</v>
      </c>
      <c r="H86" s="307">
        <f>H85*10%</f>
        <v>1749189.5</v>
      </c>
      <c r="I86" s="322"/>
      <c r="K86" s="216"/>
    </row>
    <row r="87" spans="3:11">
      <c r="C87" s="59" t="s">
        <v>1233</v>
      </c>
      <c r="D87" s="70" t="s">
        <v>1234</v>
      </c>
      <c r="E87" s="71"/>
      <c r="F87" s="71"/>
      <c r="G87" s="72"/>
      <c r="H87" s="308">
        <f>SUM(H85:H86)</f>
        <v>19241084.5</v>
      </c>
      <c r="I87" s="322"/>
      <c r="K87" s="216"/>
    </row>
    <row r="88" spans="3:11">
      <c r="C88" s="58"/>
      <c r="D88" s="82"/>
      <c r="E88" s="82"/>
      <c r="F88" s="82"/>
      <c r="G88" s="82"/>
      <c r="H88" s="83"/>
      <c r="K88" s="216"/>
    </row>
    <row r="89" spans="3:11">
      <c r="C89" s="316" t="s">
        <v>1763</v>
      </c>
      <c r="D89" s="318"/>
      <c r="E89" s="318"/>
      <c r="F89" s="318"/>
      <c r="G89" s="318"/>
      <c r="H89" s="318"/>
      <c r="I89" s="57">
        <f>ROUNDDOWN(H104,-2)</f>
        <v>61037700</v>
      </c>
      <c r="K89" s="216"/>
    </row>
    <row r="90" spans="3:11" ht="28.5">
      <c r="C90" s="303" t="s">
        <v>1207</v>
      </c>
      <c r="D90" s="303" t="s">
        <v>1208</v>
      </c>
      <c r="E90" s="303" t="s">
        <v>1209</v>
      </c>
      <c r="F90" s="303" t="s">
        <v>1210</v>
      </c>
      <c r="G90" s="303" t="s">
        <v>1211</v>
      </c>
      <c r="H90" s="303" t="s">
        <v>1212</v>
      </c>
      <c r="K90" s="216"/>
    </row>
    <row r="91" spans="3:11">
      <c r="C91" s="305" t="s">
        <v>1213</v>
      </c>
      <c r="D91" s="60" t="s">
        <v>1214</v>
      </c>
      <c r="E91" s="171"/>
      <c r="F91" s="74"/>
      <c r="G91" s="74"/>
      <c r="H91" s="74"/>
      <c r="K91" s="216"/>
    </row>
    <row r="92" spans="3:11">
      <c r="C92" s="363">
        <v>1</v>
      </c>
      <c r="D92" s="60" t="s">
        <v>5</v>
      </c>
      <c r="E92" s="73" t="s">
        <v>6</v>
      </c>
      <c r="F92" s="184">
        <v>0.77100000000000002</v>
      </c>
      <c r="G92" s="65">
        <f>VLOOKUP(D92,upahbahan,3,FALSE)</f>
        <v>100000</v>
      </c>
      <c r="H92" s="65">
        <f t="shared" ref="H92:H95" si="10">F92*G92</f>
        <v>77100</v>
      </c>
      <c r="K92" s="216"/>
    </row>
    <row r="93" spans="3:11">
      <c r="C93" s="363">
        <v>2</v>
      </c>
      <c r="D93" s="60" t="str">
        <f>D76</f>
        <v>Tukang batu</v>
      </c>
      <c r="E93" s="73" t="s">
        <v>6</v>
      </c>
      <c r="F93" s="184">
        <v>1.288</v>
      </c>
      <c r="G93" s="65">
        <f>VLOOKUP(D93,upahbahan,3,FALSE)</f>
        <v>145000</v>
      </c>
      <c r="H93" s="65">
        <f t="shared" si="10"/>
        <v>186760</v>
      </c>
      <c r="K93" s="216"/>
    </row>
    <row r="94" spans="3:11">
      <c r="C94" s="363">
        <v>3</v>
      </c>
      <c r="D94" s="60" t="s">
        <v>18</v>
      </c>
      <c r="E94" s="73" t="s">
        <v>6</v>
      </c>
      <c r="F94" s="184">
        <v>0.129</v>
      </c>
      <c r="G94" s="65">
        <f>VLOOKUP(D94,upahbahan,3,FALSE)</f>
        <v>150000</v>
      </c>
      <c r="H94" s="65">
        <f t="shared" si="10"/>
        <v>19350</v>
      </c>
      <c r="K94" s="216"/>
    </row>
    <row r="95" spans="3:11">
      <c r="C95" s="363">
        <v>4</v>
      </c>
      <c r="D95" s="60" t="s">
        <v>19</v>
      </c>
      <c r="E95" s="73" t="s">
        <v>6</v>
      </c>
      <c r="F95" s="184">
        <v>3.9E-2</v>
      </c>
      <c r="G95" s="65">
        <f>VLOOKUP(D95,upahbahan,3,FALSE)</f>
        <v>145000</v>
      </c>
      <c r="H95" s="65">
        <f t="shared" si="10"/>
        <v>5655</v>
      </c>
      <c r="K95" s="216"/>
    </row>
    <row r="96" spans="3:11">
      <c r="C96" s="84" t="s">
        <v>1220</v>
      </c>
      <c r="D96" s="81"/>
      <c r="E96" s="81"/>
      <c r="F96" s="220"/>
      <c r="G96" s="221"/>
      <c r="H96" s="65">
        <f>SUM(H92:H95)</f>
        <v>288865</v>
      </c>
      <c r="I96" s="222"/>
      <c r="K96" s="216"/>
    </row>
    <row r="97" spans="3:11">
      <c r="C97" s="73" t="s">
        <v>1221</v>
      </c>
      <c r="D97" s="60" t="s">
        <v>1222</v>
      </c>
      <c r="E97" s="74"/>
      <c r="F97" s="74"/>
      <c r="G97" s="74"/>
      <c r="H97" s="74"/>
      <c r="K97" s="216"/>
    </row>
    <row r="98" spans="3:11">
      <c r="C98" s="304">
        <v>1</v>
      </c>
      <c r="D98" s="60" t="s">
        <v>723</v>
      </c>
      <c r="E98" s="73" t="s">
        <v>139</v>
      </c>
      <c r="F98" s="75">
        <f>F81</f>
        <v>1.1499999999999999</v>
      </c>
      <c r="G98" s="65">
        <f>VLOOKUP(D98,upahbahan,3,FALSE)</f>
        <v>48000000</v>
      </c>
      <c r="H98" s="65">
        <f t="shared" ref="H98" si="11">F98*G98</f>
        <v>55199999.999999993</v>
      </c>
      <c r="K98" s="216"/>
    </row>
    <row r="99" spans="3:11">
      <c r="C99" s="84" t="s">
        <v>1226</v>
      </c>
      <c r="D99" s="81"/>
      <c r="E99" s="81"/>
      <c r="F99" s="81"/>
      <c r="G99" s="163"/>
      <c r="H99" s="65">
        <f>SUM(H98:H98)</f>
        <v>55199999.999999993</v>
      </c>
      <c r="K99" s="216"/>
    </row>
    <row r="100" spans="3:11">
      <c r="C100" s="73" t="s">
        <v>1227</v>
      </c>
      <c r="D100" s="60" t="s">
        <v>1228</v>
      </c>
      <c r="E100" s="74"/>
      <c r="F100" s="74"/>
      <c r="G100" s="74"/>
      <c r="H100" s="74"/>
      <c r="K100" s="216"/>
    </row>
    <row r="101" spans="3:11">
      <c r="C101" s="84" t="s">
        <v>1229</v>
      </c>
      <c r="D101" s="81"/>
      <c r="E101" s="81"/>
      <c r="F101" s="81"/>
      <c r="G101" s="163"/>
      <c r="H101" s="306">
        <v>0</v>
      </c>
      <c r="K101" s="216"/>
    </row>
    <row r="102" spans="3:11">
      <c r="C102" s="59" t="s">
        <v>1230</v>
      </c>
      <c r="D102" s="70" t="s">
        <v>1231</v>
      </c>
      <c r="E102" s="71"/>
      <c r="F102" s="71"/>
      <c r="G102" s="72"/>
      <c r="H102" s="307">
        <f>H101+H99+H96</f>
        <v>55488864.999999993</v>
      </c>
      <c r="I102" s="322"/>
      <c r="K102" s="216"/>
    </row>
    <row r="103" spans="3:11">
      <c r="C103" s="59" t="s">
        <v>1232</v>
      </c>
      <c r="D103" s="70" t="s">
        <v>1540</v>
      </c>
      <c r="E103" s="71"/>
      <c r="F103" s="72"/>
      <c r="G103" s="62" t="s">
        <v>1541</v>
      </c>
      <c r="H103" s="307">
        <f>H102*10%</f>
        <v>5548886.5</v>
      </c>
      <c r="I103" s="322"/>
      <c r="K103" s="216"/>
    </row>
    <row r="104" spans="3:11">
      <c r="C104" s="59" t="s">
        <v>1233</v>
      </c>
      <c r="D104" s="70" t="s">
        <v>1234</v>
      </c>
      <c r="E104" s="71"/>
      <c r="F104" s="71"/>
      <c r="G104" s="72"/>
      <c r="H104" s="308">
        <f>SUM(H102:H103)</f>
        <v>61037751.499999993</v>
      </c>
      <c r="I104" s="322"/>
      <c r="K104" s="216"/>
    </row>
    <row r="105" spans="3:11">
      <c r="C105" s="58"/>
      <c r="D105" s="82"/>
      <c r="E105" s="82"/>
      <c r="F105" s="82"/>
      <c r="G105" s="82"/>
      <c r="H105" s="83"/>
      <c r="K105" s="216"/>
    </row>
    <row r="106" spans="3:11">
      <c r="C106" s="316" t="s">
        <v>1764</v>
      </c>
      <c r="D106" s="318"/>
      <c r="E106" s="318"/>
      <c r="F106" s="318"/>
      <c r="G106" s="318"/>
      <c r="H106" s="318"/>
      <c r="I106" s="57">
        <f>ROUNDDOWN(H121,-2)</f>
        <v>1287100</v>
      </c>
      <c r="K106" s="216"/>
    </row>
    <row r="107" spans="3:11" ht="28.5">
      <c r="C107" s="303" t="s">
        <v>1207</v>
      </c>
      <c r="D107" s="303" t="s">
        <v>1208</v>
      </c>
      <c r="E107" s="303" t="s">
        <v>1209</v>
      </c>
      <c r="F107" s="303" t="s">
        <v>1210</v>
      </c>
      <c r="G107" s="303" t="s">
        <v>1211</v>
      </c>
      <c r="H107" s="303" t="s">
        <v>1212</v>
      </c>
      <c r="K107" s="216"/>
    </row>
    <row r="108" spans="3:11">
      <c r="C108" s="305" t="s">
        <v>1213</v>
      </c>
      <c r="D108" s="60" t="s">
        <v>1214</v>
      </c>
      <c r="E108" s="171"/>
      <c r="F108" s="74"/>
      <c r="G108" s="74"/>
      <c r="H108" s="74"/>
      <c r="K108" s="216"/>
    </row>
    <row r="109" spans="3:11">
      <c r="C109" s="363">
        <v>1</v>
      </c>
      <c r="D109" s="60" t="s">
        <v>5</v>
      </c>
      <c r="E109" s="73" t="s">
        <v>6</v>
      </c>
      <c r="F109" s="184">
        <v>0.129</v>
      </c>
      <c r="G109" s="65">
        <f>VLOOKUP(D109,upahbahan,3,FALSE)</f>
        <v>100000</v>
      </c>
      <c r="H109" s="65">
        <f t="shared" ref="H109:H112" si="12">F109*G109</f>
        <v>12900</v>
      </c>
      <c r="K109" s="216"/>
    </row>
    <row r="110" spans="3:11">
      <c r="C110" s="363">
        <v>2</v>
      </c>
      <c r="D110" s="60" t="str">
        <f>D93</f>
        <v>Tukang batu</v>
      </c>
      <c r="E110" s="73" t="s">
        <v>6</v>
      </c>
      <c r="F110" s="184">
        <v>0.215</v>
      </c>
      <c r="G110" s="65">
        <f>VLOOKUP(D110,upahbahan,3,FALSE)</f>
        <v>145000</v>
      </c>
      <c r="H110" s="65">
        <f t="shared" si="12"/>
        <v>31175</v>
      </c>
      <c r="K110" s="216"/>
    </row>
    <row r="111" spans="3:11">
      <c r="C111" s="363">
        <v>3</v>
      </c>
      <c r="D111" s="60" t="s">
        <v>18</v>
      </c>
      <c r="E111" s="73" t="s">
        <v>6</v>
      </c>
      <c r="F111" s="184">
        <v>2.1000000000000001E-2</v>
      </c>
      <c r="G111" s="65">
        <f>VLOOKUP(D111,upahbahan,3,FALSE)</f>
        <v>150000</v>
      </c>
      <c r="H111" s="65">
        <f t="shared" si="12"/>
        <v>3150</v>
      </c>
      <c r="K111" s="216"/>
    </row>
    <row r="112" spans="3:11">
      <c r="C112" s="363">
        <v>4</v>
      </c>
      <c r="D112" s="60" t="s">
        <v>19</v>
      </c>
      <c r="E112" s="73" t="s">
        <v>6</v>
      </c>
      <c r="F112" s="184">
        <v>6.0000000000000001E-3</v>
      </c>
      <c r="G112" s="65">
        <f>VLOOKUP(D112,upahbahan,3,FALSE)</f>
        <v>145000</v>
      </c>
      <c r="H112" s="65">
        <f t="shared" si="12"/>
        <v>870</v>
      </c>
      <c r="K112" s="216"/>
    </row>
    <row r="113" spans="3:11">
      <c r="C113" s="84" t="s">
        <v>1220</v>
      </c>
      <c r="D113" s="81"/>
      <c r="E113" s="81"/>
      <c r="F113" s="220"/>
      <c r="G113" s="221"/>
      <c r="H113" s="65">
        <f>SUM(H109:H112)</f>
        <v>48095</v>
      </c>
      <c r="I113" s="222"/>
      <c r="K113" s="216"/>
    </row>
    <row r="114" spans="3:11">
      <c r="C114" s="73" t="s">
        <v>1221</v>
      </c>
      <c r="D114" s="60" t="s">
        <v>1222</v>
      </c>
      <c r="E114" s="74"/>
      <c r="F114" s="74"/>
      <c r="G114" s="74"/>
      <c r="H114" s="74"/>
      <c r="K114" s="216"/>
    </row>
    <row r="115" spans="3:11">
      <c r="C115" s="304">
        <v>1</v>
      </c>
      <c r="D115" s="60" t="s">
        <v>744</v>
      </c>
      <c r="E115" s="73" t="s">
        <v>139</v>
      </c>
      <c r="F115" s="75">
        <v>1.02</v>
      </c>
      <c r="G115" s="65">
        <f>VLOOKUP(D115,upahbahan,3,FALSE)</f>
        <v>1100000</v>
      </c>
      <c r="H115" s="65">
        <f t="shared" ref="H115" si="13">F115*G115</f>
        <v>1122000</v>
      </c>
      <c r="K115" s="216"/>
    </row>
    <row r="116" spans="3:11">
      <c r="C116" s="84" t="s">
        <v>1226</v>
      </c>
      <c r="D116" s="81"/>
      <c r="E116" s="81"/>
      <c r="F116" s="81"/>
      <c r="G116" s="163"/>
      <c r="H116" s="65">
        <f>SUM(H115:H115)</f>
        <v>1122000</v>
      </c>
      <c r="K116" s="216"/>
    </row>
    <row r="117" spans="3:11">
      <c r="C117" s="73" t="s">
        <v>1227</v>
      </c>
      <c r="D117" s="60" t="s">
        <v>1228</v>
      </c>
      <c r="E117" s="74"/>
      <c r="F117" s="74"/>
      <c r="G117" s="74"/>
      <c r="H117" s="74"/>
      <c r="K117" s="216"/>
    </row>
    <row r="118" spans="3:11">
      <c r="C118" s="84" t="s">
        <v>1229</v>
      </c>
      <c r="D118" s="81"/>
      <c r="E118" s="81"/>
      <c r="F118" s="81"/>
      <c r="G118" s="163"/>
      <c r="H118" s="306">
        <v>0</v>
      </c>
      <c r="K118" s="216"/>
    </row>
    <row r="119" spans="3:11">
      <c r="C119" s="59" t="s">
        <v>1230</v>
      </c>
      <c r="D119" s="70" t="s">
        <v>1231</v>
      </c>
      <c r="E119" s="71"/>
      <c r="F119" s="71"/>
      <c r="G119" s="72"/>
      <c r="H119" s="307">
        <f>H118+H116+H113</f>
        <v>1170095</v>
      </c>
      <c r="I119" s="322"/>
      <c r="K119" s="216"/>
    </row>
    <row r="120" spans="3:11">
      <c r="C120" s="59" t="s">
        <v>1232</v>
      </c>
      <c r="D120" s="70" t="s">
        <v>1540</v>
      </c>
      <c r="E120" s="71"/>
      <c r="F120" s="72"/>
      <c r="G120" s="62" t="s">
        <v>1541</v>
      </c>
      <c r="H120" s="307">
        <f>H119*10%</f>
        <v>117009.5</v>
      </c>
      <c r="I120" s="322"/>
      <c r="K120" s="216"/>
    </row>
    <row r="121" spans="3:11">
      <c r="C121" s="59" t="s">
        <v>1233</v>
      </c>
      <c r="D121" s="70" t="s">
        <v>1234</v>
      </c>
      <c r="E121" s="71"/>
      <c r="F121" s="71"/>
      <c r="G121" s="72"/>
      <c r="H121" s="308">
        <f>SUM(H119:H120)</f>
        <v>1287104.5</v>
      </c>
      <c r="I121" s="322"/>
      <c r="K121" s="216"/>
    </row>
    <row r="122" spans="3:11">
      <c r="C122" s="58"/>
      <c r="D122" s="82"/>
      <c r="E122" s="82"/>
      <c r="F122" s="82"/>
      <c r="G122" s="82"/>
      <c r="H122" s="83"/>
      <c r="K122" s="216"/>
    </row>
    <row r="123" spans="3:11">
      <c r="C123" s="316" t="s">
        <v>1765</v>
      </c>
      <c r="D123" s="318"/>
      <c r="E123" s="318"/>
      <c r="F123" s="318"/>
      <c r="G123" s="318"/>
      <c r="H123" s="318"/>
      <c r="I123" s="57">
        <f>ROUNDDOWN(H138,-2)</f>
        <v>2135200</v>
      </c>
      <c r="K123" s="216"/>
    </row>
    <row r="124" spans="3:11" ht="28.5">
      <c r="C124" s="303" t="s">
        <v>1207</v>
      </c>
      <c r="D124" s="303" t="s">
        <v>1208</v>
      </c>
      <c r="E124" s="303" t="s">
        <v>1209</v>
      </c>
      <c r="F124" s="303" t="s">
        <v>1210</v>
      </c>
      <c r="G124" s="303" t="s">
        <v>1211</v>
      </c>
      <c r="H124" s="303" t="s">
        <v>1212</v>
      </c>
      <c r="K124" s="216"/>
    </row>
    <row r="125" spans="3:11">
      <c r="C125" s="305" t="s">
        <v>1213</v>
      </c>
      <c r="D125" s="60" t="s">
        <v>1214</v>
      </c>
      <c r="E125" s="171"/>
      <c r="F125" s="74"/>
      <c r="G125" s="74"/>
      <c r="H125" s="74"/>
      <c r="K125" s="216"/>
    </row>
    <row r="126" spans="3:11">
      <c r="C126" s="363">
        <v>1</v>
      </c>
      <c r="D126" s="60" t="s">
        <v>5</v>
      </c>
      <c r="E126" s="73" t="s">
        <v>6</v>
      </c>
      <c r="F126" s="75">
        <v>0.41699999999999998</v>
      </c>
      <c r="G126" s="65">
        <f>VLOOKUP(D126,upahbahan,3,FALSE)</f>
        <v>100000</v>
      </c>
      <c r="H126" s="65">
        <f t="shared" ref="H126:H129" si="14">F126*G126</f>
        <v>41700</v>
      </c>
      <c r="K126" s="216"/>
    </row>
    <row r="127" spans="3:11">
      <c r="C127" s="363">
        <v>2</v>
      </c>
      <c r="D127" s="60" t="str">
        <f>D110</f>
        <v>Tukang batu</v>
      </c>
      <c r="E127" s="73" t="s">
        <v>6</v>
      </c>
      <c r="F127" s="75">
        <v>0.69599999999999995</v>
      </c>
      <c r="G127" s="65">
        <f>VLOOKUP(D127,upahbahan,3,FALSE)</f>
        <v>145000</v>
      </c>
      <c r="H127" s="65">
        <f t="shared" si="14"/>
        <v>100920</v>
      </c>
      <c r="K127" s="216"/>
    </row>
    <row r="128" spans="3:11">
      <c r="C128" s="363">
        <v>3</v>
      </c>
      <c r="D128" s="60" t="s">
        <v>18</v>
      </c>
      <c r="E128" s="73" t="s">
        <v>6</v>
      </c>
      <c r="F128" s="75">
        <v>7.0000000000000007E-2</v>
      </c>
      <c r="G128" s="65">
        <f>VLOOKUP(D128,upahbahan,3,FALSE)</f>
        <v>150000</v>
      </c>
      <c r="H128" s="65">
        <f t="shared" si="14"/>
        <v>10500.000000000002</v>
      </c>
      <c r="K128" s="216"/>
    </row>
    <row r="129" spans="3:11">
      <c r="C129" s="363">
        <v>4</v>
      </c>
      <c r="D129" s="60" t="s">
        <v>19</v>
      </c>
      <c r="E129" s="73" t="s">
        <v>6</v>
      </c>
      <c r="F129" s="75">
        <v>2.1000000000000001E-2</v>
      </c>
      <c r="G129" s="65">
        <f>VLOOKUP(D129,upahbahan,3,FALSE)</f>
        <v>145000</v>
      </c>
      <c r="H129" s="65">
        <f t="shared" si="14"/>
        <v>3045</v>
      </c>
      <c r="K129" s="216"/>
    </row>
    <row r="130" spans="3:11">
      <c r="C130" s="84" t="s">
        <v>1220</v>
      </c>
      <c r="D130" s="81"/>
      <c r="E130" s="81"/>
      <c r="F130" s="220"/>
      <c r="G130" s="221"/>
      <c r="H130" s="65">
        <f>SUM(H126:H129)</f>
        <v>156165</v>
      </c>
      <c r="I130" s="222"/>
      <c r="K130" s="216"/>
    </row>
    <row r="131" spans="3:11">
      <c r="C131" s="73" t="s">
        <v>1221</v>
      </c>
      <c r="D131" s="60" t="s">
        <v>1222</v>
      </c>
      <c r="E131" s="74"/>
      <c r="F131" s="74"/>
      <c r="G131" s="74"/>
      <c r="H131" s="74"/>
      <c r="K131" s="216"/>
    </row>
    <row r="132" spans="3:11">
      <c r="C132" s="304">
        <v>1</v>
      </c>
      <c r="D132" s="60" t="s">
        <v>745</v>
      </c>
      <c r="E132" s="73" t="s">
        <v>139</v>
      </c>
      <c r="F132" s="75">
        <v>1.05</v>
      </c>
      <c r="G132" s="65">
        <f>VLOOKUP(D132,upahbahan,3,FALSE)</f>
        <v>1700000</v>
      </c>
      <c r="H132" s="65">
        <f t="shared" ref="H132" si="15">F132*G132</f>
        <v>1785000</v>
      </c>
      <c r="K132" s="216"/>
    </row>
    <row r="133" spans="3:11">
      <c r="C133" s="84" t="s">
        <v>1226</v>
      </c>
      <c r="D133" s="81"/>
      <c r="E133" s="81"/>
      <c r="F133" s="81"/>
      <c r="G133" s="163"/>
      <c r="H133" s="65">
        <f>SUM(H132:H132)</f>
        <v>1785000</v>
      </c>
      <c r="K133" s="216"/>
    </row>
    <row r="134" spans="3:11">
      <c r="C134" s="73" t="s">
        <v>1227</v>
      </c>
      <c r="D134" s="60" t="s">
        <v>1228</v>
      </c>
      <c r="E134" s="74"/>
      <c r="F134" s="74"/>
      <c r="G134" s="74"/>
      <c r="H134" s="74"/>
      <c r="K134" s="216"/>
    </row>
    <row r="135" spans="3:11">
      <c r="C135" s="84" t="s">
        <v>1229</v>
      </c>
      <c r="D135" s="81"/>
      <c r="E135" s="81"/>
      <c r="F135" s="81"/>
      <c r="G135" s="163"/>
      <c r="H135" s="306">
        <v>0</v>
      </c>
      <c r="K135" s="216"/>
    </row>
    <row r="136" spans="3:11">
      <c r="C136" s="59" t="s">
        <v>1230</v>
      </c>
      <c r="D136" s="70" t="s">
        <v>1231</v>
      </c>
      <c r="E136" s="71"/>
      <c r="F136" s="71"/>
      <c r="G136" s="72"/>
      <c r="H136" s="307">
        <f>H135+H133+H130</f>
        <v>1941165</v>
      </c>
      <c r="I136" s="322"/>
      <c r="K136" s="216"/>
    </row>
    <row r="137" spans="3:11">
      <c r="C137" s="59" t="s">
        <v>1232</v>
      </c>
      <c r="D137" s="70" t="s">
        <v>1540</v>
      </c>
      <c r="E137" s="71"/>
      <c r="F137" s="72"/>
      <c r="G137" s="62" t="s">
        <v>1541</v>
      </c>
      <c r="H137" s="307">
        <f>H136*10%</f>
        <v>194116.5</v>
      </c>
      <c r="I137" s="322"/>
      <c r="K137" s="216"/>
    </row>
    <row r="138" spans="3:11">
      <c r="C138" s="59" t="s">
        <v>1233</v>
      </c>
      <c r="D138" s="70" t="s">
        <v>1234</v>
      </c>
      <c r="E138" s="71"/>
      <c r="F138" s="71"/>
      <c r="G138" s="72"/>
      <c r="H138" s="308">
        <f>SUM(H136:H137)</f>
        <v>2135281.5</v>
      </c>
      <c r="I138" s="322"/>
      <c r="K138" s="216"/>
    </row>
    <row r="139" spans="3:11">
      <c r="C139" s="58"/>
      <c r="D139" s="82"/>
      <c r="E139" s="82"/>
      <c r="F139" s="82"/>
      <c r="G139" s="82"/>
      <c r="H139" s="83"/>
      <c r="K139" s="216"/>
    </row>
    <row r="140" spans="3:11">
      <c r="C140" s="316" t="s">
        <v>1766</v>
      </c>
      <c r="D140" s="318"/>
      <c r="E140" s="318"/>
      <c r="F140" s="318"/>
      <c r="G140" s="318"/>
      <c r="H140" s="318"/>
      <c r="I140" s="57">
        <f>ROUNDDOWN(H155,-2)</f>
        <v>4098700</v>
      </c>
      <c r="K140" s="216"/>
    </row>
    <row r="141" spans="3:11" ht="28.5">
      <c r="C141" s="303" t="s">
        <v>1207</v>
      </c>
      <c r="D141" s="303" t="s">
        <v>1208</v>
      </c>
      <c r="E141" s="303" t="s">
        <v>1209</v>
      </c>
      <c r="F141" s="303" t="s">
        <v>1210</v>
      </c>
      <c r="G141" s="303" t="s">
        <v>1211</v>
      </c>
      <c r="H141" s="303" t="s">
        <v>1212</v>
      </c>
      <c r="K141" s="216"/>
    </row>
    <row r="142" spans="3:11">
      <c r="C142" s="305" t="s">
        <v>1213</v>
      </c>
      <c r="D142" s="60" t="s">
        <v>1214</v>
      </c>
      <c r="E142" s="171"/>
      <c r="F142" s="74"/>
      <c r="G142" s="74"/>
      <c r="H142" s="74"/>
      <c r="K142" s="216"/>
    </row>
    <row r="143" spans="3:11">
      <c r="C143" s="363">
        <v>1</v>
      </c>
      <c r="D143" s="60" t="s">
        <v>5</v>
      </c>
      <c r="E143" s="73" t="s">
        <v>6</v>
      </c>
      <c r="F143" s="75">
        <v>0.41699999999999998</v>
      </c>
      <c r="G143" s="65">
        <f>VLOOKUP(D143,upahbahan,3,FALSE)</f>
        <v>100000</v>
      </c>
      <c r="H143" s="65">
        <f t="shared" ref="H143:H146" si="16">F143*G143</f>
        <v>41700</v>
      </c>
      <c r="K143" s="216"/>
    </row>
    <row r="144" spans="3:11">
      <c r="C144" s="363">
        <v>2</v>
      </c>
      <c r="D144" s="60" t="str">
        <f>D127</f>
        <v>Tukang batu</v>
      </c>
      <c r="E144" s="73" t="s">
        <v>6</v>
      </c>
      <c r="F144" s="75">
        <v>0.69599999999999995</v>
      </c>
      <c r="G144" s="65">
        <f>VLOOKUP(D144,upahbahan,3,FALSE)</f>
        <v>145000</v>
      </c>
      <c r="H144" s="65">
        <f t="shared" si="16"/>
        <v>100920</v>
      </c>
      <c r="K144" s="216"/>
    </row>
    <row r="145" spans="3:11">
      <c r="C145" s="363">
        <v>3</v>
      </c>
      <c r="D145" s="60" t="s">
        <v>18</v>
      </c>
      <c r="E145" s="73" t="s">
        <v>6</v>
      </c>
      <c r="F145" s="75">
        <v>7.0000000000000007E-2</v>
      </c>
      <c r="G145" s="65">
        <f>VLOOKUP(D145,upahbahan,3,FALSE)</f>
        <v>150000</v>
      </c>
      <c r="H145" s="65">
        <f t="shared" si="16"/>
        <v>10500.000000000002</v>
      </c>
      <c r="K145" s="216"/>
    </row>
    <row r="146" spans="3:11">
      <c r="C146" s="363">
        <v>4</v>
      </c>
      <c r="D146" s="60" t="s">
        <v>19</v>
      </c>
      <c r="E146" s="73" t="s">
        <v>6</v>
      </c>
      <c r="F146" s="75">
        <v>2.1000000000000001E-2</v>
      </c>
      <c r="G146" s="65">
        <f>VLOOKUP(D146,upahbahan,3,FALSE)</f>
        <v>145000</v>
      </c>
      <c r="H146" s="65">
        <f t="shared" si="16"/>
        <v>3045</v>
      </c>
      <c r="K146" s="216"/>
    </row>
    <row r="147" spans="3:11">
      <c r="C147" s="84" t="s">
        <v>1220</v>
      </c>
      <c r="D147" s="81"/>
      <c r="E147" s="81"/>
      <c r="F147" s="220"/>
      <c r="G147" s="221"/>
      <c r="H147" s="65">
        <f>SUM(H143:H146)</f>
        <v>156165</v>
      </c>
      <c r="I147" s="222"/>
      <c r="K147" s="216"/>
    </row>
    <row r="148" spans="3:11">
      <c r="C148" s="73" t="s">
        <v>1221</v>
      </c>
      <c r="D148" s="60" t="s">
        <v>1222</v>
      </c>
      <c r="E148" s="74"/>
      <c r="F148" s="74"/>
      <c r="G148" s="74"/>
      <c r="H148" s="74"/>
      <c r="K148" s="216"/>
    </row>
    <row r="149" spans="3:11">
      <c r="C149" s="304">
        <v>1</v>
      </c>
      <c r="D149" s="60" t="s">
        <v>746</v>
      </c>
      <c r="E149" s="73" t="s">
        <v>139</v>
      </c>
      <c r="F149" s="75">
        <f>F132</f>
        <v>1.05</v>
      </c>
      <c r="G149" s="65">
        <f>VLOOKUP(D149,upahbahan,3,FALSE)</f>
        <v>3400000</v>
      </c>
      <c r="H149" s="65">
        <f t="shared" ref="H149" si="17">F149*G149</f>
        <v>3570000</v>
      </c>
      <c r="K149" s="216"/>
    </row>
    <row r="150" spans="3:11">
      <c r="C150" s="84" t="s">
        <v>1226</v>
      </c>
      <c r="D150" s="81"/>
      <c r="E150" s="81"/>
      <c r="F150" s="81"/>
      <c r="G150" s="163"/>
      <c r="H150" s="65">
        <f>SUM(H149:H149)</f>
        <v>3570000</v>
      </c>
      <c r="K150" s="216"/>
    </row>
    <row r="151" spans="3:11">
      <c r="C151" s="73" t="s">
        <v>1227</v>
      </c>
      <c r="D151" s="60" t="s">
        <v>1228</v>
      </c>
      <c r="E151" s="74"/>
      <c r="F151" s="74"/>
      <c r="G151" s="74"/>
      <c r="H151" s="74"/>
      <c r="K151" s="216"/>
    </row>
    <row r="152" spans="3:11">
      <c r="C152" s="84" t="s">
        <v>1229</v>
      </c>
      <c r="D152" s="81"/>
      <c r="E152" s="81"/>
      <c r="F152" s="81"/>
      <c r="G152" s="163"/>
      <c r="H152" s="306">
        <v>0</v>
      </c>
      <c r="K152" s="216"/>
    </row>
    <row r="153" spans="3:11">
      <c r="C153" s="59" t="s">
        <v>1230</v>
      </c>
      <c r="D153" s="70" t="s">
        <v>1231</v>
      </c>
      <c r="E153" s="71"/>
      <c r="F153" s="71"/>
      <c r="G153" s="72"/>
      <c r="H153" s="307">
        <f>H152+H150+H147</f>
        <v>3726165</v>
      </c>
      <c r="I153" s="322"/>
      <c r="K153" s="216"/>
    </row>
    <row r="154" spans="3:11">
      <c r="C154" s="59" t="s">
        <v>1232</v>
      </c>
      <c r="D154" s="70" t="s">
        <v>1540</v>
      </c>
      <c r="E154" s="71"/>
      <c r="F154" s="72"/>
      <c r="G154" s="62" t="s">
        <v>1541</v>
      </c>
      <c r="H154" s="307">
        <f>H153*10%</f>
        <v>372616.5</v>
      </c>
      <c r="I154" s="322"/>
      <c r="K154" s="216"/>
    </row>
    <row r="155" spans="3:11">
      <c r="C155" s="59" t="s">
        <v>1233</v>
      </c>
      <c r="D155" s="70" t="s">
        <v>1234</v>
      </c>
      <c r="E155" s="71"/>
      <c r="F155" s="71"/>
      <c r="G155" s="72"/>
      <c r="H155" s="308">
        <f>SUM(H153:H154)</f>
        <v>4098781.5</v>
      </c>
      <c r="I155" s="322"/>
      <c r="K155" s="216"/>
    </row>
    <row r="156" spans="3:11">
      <c r="C156" s="58"/>
      <c r="D156" s="82"/>
      <c r="E156" s="82"/>
      <c r="F156" s="82"/>
      <c r="G156" s="82"/>
      <c r="H156" s="83"/>
      <c r="K156" s="216"/>
    </row>
    <row r="157" spans="3:11">
      <c r="C157" s="316" t="s">
        <v>1767</v>
      </c>
      <c r="D157" s="318"/>
      <c r="E157" s="318"/>
      <c r="F157" s="318"/>
      <c r="G157" s="318"/>
      <c r="H157" s="318"/>
      <c r="I157" s="57">
        <f>ROUNDDOWN(H172,-2)</f>
        <v>5579000</v>
      </c>
      <c r="K157" s="216"/>
    </row>
    <row r="158" spans="3:11" ht="28.5">
      <c r="C158" s="303" t="s">
        <v>1207</v>
      </c>
      <c r="D158" s="303" t="s">
        <v>1208</v>
      </c>
      <c r="E158" s="303" t="s">
        <v>1209</v>
      </c>
      <c r="F158" s="303" t="s">
        <v>1210</v>
      </c>
      <c r="G158" s="303" t="s">
        <v>1211</v>
      </c>
      <c r="H158" s="303" t="s">
        <v>1212</v>
      </c>
      <c r="K158" s="216"/>
    </row>
    <row r="159" spans="3:11">
      <c r="C159" s="305" t="s">
        <v>1213</v>
      </c>
      <c r="D159" s="60" t="s">
        <v>1214</v>
      </c>
      <c r="E159" s="171"/>
      <c r="F159" s="74"/>
      <c r="G159" s="74"/>
      <c r="H159" s="74"/>
      <c r="K159" s="216"/>
    </row>
    <row r="160" spans="3:11">
      <c r="C160" s="363">
        <v>1</v>
      </c>
      <c r="D160" s="60" t="s">
        <v>5</v>
      </c>
      <c r="E160" s="73" t="s">
        <v>6</v>
      </c>
      <c r="F160" s="184">
        <v>0.64600000000000002</v>
      </c>
      <c r="G160" s="65">
        <f>VLOOKUP(D160,upahbahan,3,FALSE)</f>
        <v>100000</v>
      </c>
      <c r="H160" s="65">
        <f t="shared" ref="H160:H163" si="18">F160*G160</f>
        <v>64600</v>
      </c>
      <c r="K160" s="216"/>
    </row>
    <row r="161" spans="3:11">
      <c r="C161" s="363">
        <v>2</v>
      </c>
      <c r="D161" s="60" t="str">
        <f>D144</f>
        <v>Tukang batu</v>
      </c>
      <c r="E161" s="73" t="s">
        <v>6</v>
      </c>
      <c r="F161" s="184">
        <v>1.079</v>
      </c>
      <c r="G161" s="65">
        <f>VLOOKUP(D161,upahbahan,3,FALSE)</f>
        <v>145000</v>
      </c>
      <c r="H161" s="65">
        <f t="shared" si="18"/>
        <v>156455</v>
      </c>
      <c r="K161" s="216"/>
    </row>
    <row r="162" spans="3:11">
      <c r="C162" s="363">
        <v>3</v>
      </c>
      <c r="D162" s="60" t="s">
        <v>18</v>
      </c>
      <c r="E162" s="73" t="s">
        <v>6</v>
      </c>
      <c r="F162" s="184">
        <v>0.108</v>
      </c>
      <c r="G162" s="65">
        <f>VLOOKUP(D162,upahbahan,3,FALSE)</f>
        <v>150000</v>
      </c>
      <c r="H162" s="65">
        <f t="shared" si="18"/>
        <v>16200</v>
      </c>
      <c r="K162" s="216"/>
    </row>
    <row r="163" spans="3:11">
      <c r="C163" s="363">
        <v>4</v>
      </c>
      <c r="D163" s="60" t="s">
        <v>19</v>
      </c>
      <c r="E163" s="73" t="s">
        <v>6</v>
      </c>
      <c r="F163" s="184">
        <v>3.2000000000000001E-2</v>
      </c>
      <c r="G163" s="65">
        <f>VLOOKUP(D163,upahbahan,3,FALSE)</f>
        <v>145000</v>
      </c>
      <c r="H163" s="65">
        <f t="shared" si="18"/>
        <v>4640</v>
      </c>
      <c r="K163" s="216"/>
    </row>
    <row r="164" spans="3:11">
      <c r="C164" s="84" t="s">
        <v>1220</v>
      </c>
      <c r="D164" s="81"/>
      <c r="E164" s="81"/>
      <c r="F164" s="220"/>
      <c r="G164" s="221"/>
      <c r="H164" s="65">
        <f>SUM(H160:H163)</f>
        <v>241895</v>
      </c>
      <c r="I164" s="222"/>
      <c r="K164" s="216"/>
    </row>
    <row r="165" spans="3:11">
      <c r="C165" s="73" t="s">
        <v>1221</v>
      </c>
      <c r="D165" s="60" t="s">
        <v>1222</v>
      </c>
      <c r="E165" s="74"/>
      <c r="F165" s="74"/>
      <c r="G165" s="74"/>
      <c r="H165" s="74"/>
      <c r="K165" s="216"/>
    </row>
    <row r="166" spans="3:11">
      <c r="C166" s="304">
        <v>1</v>
      </c>
      <c r="D166" s="60" t="s">
        <v>747</v>
      </c>
      <c r="E166" s="73" t="s">
        <v>139</v>
      </c>
      <c r="F166" s="75">
        <f>F149</f>
        <v>1.05</v>
      </c>
      <c r="G166" s="65">
        <f>VLOOKUP(D166,upahbahan,3,FALSE)</f>
        <v>4600000</v>
      </c>
      <c r="H166" s="65">
        <f t="shared" ref="H166" si="19">F166*G166</f>
        <v>4830000</v>
      </c>
      <c r="K166" s="216"/>
    </row>
    <row r="167" spans="3:11">
      <c r="C167" s="84" t="s">
        <v>1226</v>
      </c>
      <c r="D167" s="81"/>
      <c r="E167" s="81"/>
      <c r="F167" s="81"/>
      <c r="G167" s="163"/>
      <c r="H167" s="65">
        <f>SUM(H166:H166)</f>
        <v>4830000</v>
      </c>
      <c r="K167" s="216"/>
    </row>
    <row r="168" spans="3:11">
      <c r="C168" s="73" t="s">
        <v>1227</v>
      </c>
      <c r="D168" s="60" t="s">
        <v>1228</v>
      </c>
      <c r="E168" s="74"/>
      <c r="F168" s="74"/>
      <c r="G168" s="74"/>
      <c r="H168" s="74"/>
      <c r="K168" s="216"/>
    </row>
    <row r="169" spans="3:11">
      <c r="C169" s="84" t="s">
        <v>1229</v>
      </c>
      <c r="D169" s="81"/>
      <c r="E169" s="81"/>
      <c r="F169" s="81"/>
      <c r="G169" s="163"/>
      <c r="H169" s="306">
        <v>0</v>
      </c>
      <c r="K169" s="216"/>
    </row>
    <row r="170" spans="3:11">
      <c r="C170" s="59" t="s">
        <v>1230</v>
      </c>
      <c r="D170" s="70" t="s">
        <v>1231</v>
      </c>
      <c r="E170" s="71"/>
      <c r="F170" s="71"/>
      <c r="G170" s="72"/>
      <c r="H170" s="307">
        <f>H169+H167+H164</f>
        <v>5071895</v>
      </c>
      <c r="I170" s="322"/>
      <c r="K170" s="216"/>
    </row>
    <row r="171" spans="3:11">
      <c r="C171" s="59" t="s">
        <v>1232</v>
      </c>
      <c r="D171" s="70" t="s">
        <v>1540</v>
      </c>
      <c r="E171" s="71"/>
      <c r="F171" s="72"/>
      <c r="G171" s="62" t="s">
        <v>1541</v>
      </c>
      <c r="H171" s="307">
        <f>H170*10%</f>
        <v>507189.5</v>
      </c>
      <c r="I171" s="322"/>
      <c r="K171" s="216"/>
    </row>
    <row r="172" spans="3:11">
      <c r="C172" s="59" t="s">
        <v>1233</v>
      </c>
      <c r="D172" s="70" t="s">
        <v>1234</v>
      </c>
      <c r="E172" s="71"/>
      <c r="F172" s="71"/>
      <c r="G172" s="72"/>
      <c r="H172" s="308">
        <f>SUM(H170:H171)</f>
        <v>5579084.5</v>
      </c>
      <c r="I172" s="322"/>
      <c r="K172" s="216"/>
    </row>
    <row r="173" spans="3:11">
      <c r="C173" s="58"/>
      <c r="D173" s="82"/>
      <c r="E173" s="82"/>
      <c r="F173" s="82"/>
      <c r="G173" s="82"/>
      <c r="H173" s="83"/>
      <c r="K173" s="216"/>
    </row>
    <row r="174" spans="3:11">
      <c r="C174" s="316" t="s">
        <v>1768</v>
      </c>
      <c r="D174" s="318"/>
      <c r="E174" s="318"/>
      <c r="F174" s="318"/>
      <c r="G174" s="318"/>
      <c r="H174" s="318"/>
      <c r="I174" s="57">
        <f>ROUNDDOWN(H189,-2)</f>
        <v>6376500</v>
      </c>
      <c r="K174" s="216"/>
    </row>
    <row r="175" spans="3:11" ht="28.5">
      <c r="C175" s="303" t="s">
        <v>1207</v>
      </c>
      <c r="D175" s="303" t="s">
        <v>1208</v>
      </c>
      <c r="E175" s="303" t="s">
        <v>1209</v>
      </c>
      <c r="F175" s="303" t="s">
        <v>1210</v>
      </c>
      <c r="G175" s="303" t="s">
        <v>1211</v>
      </c>
      <c r="H175" s="303" t="s">
        <v>1212</v>
      </c>
      <c r="K175" s="216"/>
    </row>
    <row r="176" spans="3:11">
      <c r="C176" s="305" t="s">
        <v>1213</v>
      </c>
      <c r="D176" s="60" t="s">
        <v>1214</v>
      </c>
      <c r="E176" s="171"/>
      <c r="F176" s="74"/>
      <c r="G176" s="74"/>
      <c r="H176" s="74"/>
      <c r="K176" s="216"/>
    </row>
    <row r="177" spans="3:11">
      <c r="C177" s="363">
        <v>1</v>
      </c>
      <c r="D177" s="60" t="s">
        <v>5</v>
      </c>
      <c r="E177" s="73" t="s">
        <v>6</v>
      </c>
      <c r="F177" s="184">
        <v>0.64600000000000002</v>
      </c>
      <c r="G177" s="65">
        <f>VLOOKUP(D177,upahbahan,3,FALSE)</f>
        <v>100000</v>
      </c>
      <c r="H177" s="65">
        <f t="shared" ref="H177:H180" si="20">F177*G177</f>
        <v>64600</v>
      </c>
      <c r="K177" s="216"/>
    </row>
    <row r="178" spans="3:11">
      <c r="C178" s="363">
        <v>2</v>
      </c>
      <c r="D178" s="60" t="str">
        <f>D161</f>
        <v>Tukang batu</v>
      </c>
      <c r="E178" s="73" t="s">
        <v>6</v>
      </c>
      <c r="F178" s="184">
        <v>1.079</v>
      </c>
      <c r="G178" s="65">
        <f>VLOOKUP(D178,upahbahan,3,FALSE)</f>
        <v>145000</v>
      </c>
      <c r="H178" s="65">
        <f t="shared" si="20"/>
        <v>156455</v>
      </c>
      <c r="K178" s="216"/>
    </row>
    <row r="179" spans="3:11">
      <c r="C179" s="363">
        <v>3</v>
      </c>
      <c r="D179" s="60" t="s">
        <v>18</v>
      </c>
      <c r="E179" s="73" t="s">
        <v>6</v>
      </c>
      <c r="F179" s="184">
        <v>0.108</v>
      </c>
      <c r="G179" s="65">
        <f>VLOOKUP(D179,upahbahan,3,FALSE)</f>
        <v>150000</v>
      </c>
      <c r="H179" s="65">
        <f t="shared" si="20"/>
        <v>16200</v>
      </c>
      <c r="K179" s="216"/>
    </row>
    <row r="180" spans="3:11">
      <c r="C180" s="363">
        <v>4</v>
      </c>
      <c r="D180" s="60" t="s">
        <v>19</v>
      </c>
      <c r="E180" s="73" t="s">
        <v>6</v>
      </c>
      <c r="F180" s="184">
        <v>3.2000000000000001E-2</v>
      </c>
      <c r="G180" s="65">
        <f>VLOOKUP(D180,upahbahan,3,FALSE)</f>
        <v>145000</v>
      </c>
      <c r="H180" s="65">
        <f t="shared" si="20"/>
        <v>4640</v>
      </c>
      <c r="K180" s="216"/>
    </row>
    <row r="181" spans="3:11">
      <c r="C181" s="84" t="s">
        <v>1220</v>
      </c>
      <c r="D181" s="81"/>
      <c r="E181" s="81"/>
      <c r="F181" s="220"/>
      <c r="G181" s="221"/>
      <c r="H181" s="65">
        <f>SUM(H177:H180)</f>
        <v>241895</v>
      </c>
      <c r="I181" s="222"/>
      <c r="K181" s="216"/>
    </row>
    <row r="182" spans="3:11">
      <c r="C182" s="73" t="s">
        <v>1221</v>
      </c>
      <c r="D182" s="60" t="s">
        <v>1222</v>
      </c>
      <c r="E182" s="74"/>
      <c r="F182" s="74"/>
      <c r="G182" s="74"/>
      <c r="H182" s="74"/>
      <c r="K182" s="216"/>
    </row>
    <row r="183" spans="3:11">
      <c r="C183" s="304">
        <v>1</v>
      </c>
      <c r="D183" s="60" t="s">
        <v>748</v>
      </c>
      <c r="E183" s="73" t="s">
        <v>139</v>
      </c>
      <c r="F183" s="75">
        <v>1.01</v>
      </c>
      <c r="G183" s="65">
        <f>VLOOKUP(D183,upahbahan,3,FALSE)</f>
        <v>5500000</v>
      </c>
      <c r="H183" s="65">
        <f t="shared" ref="H183" si="21">F183*G183</f>
        <v>5555000</v>
      </c>
      <c r="K183" s="216"/>
    </row>
    <row r="184" spans="3:11">
      <c r="C184" s="84" t="s">
        <v>1226</v>
      </c>
      <c r="D184" s="81"/>
      <c r="E184" s="81"/>
      <c r="F184" s="81"/>
      <c r="G184" s="163"/>
      <c r="H184" s="65">
        <f>SUM(H183:H183)</f>
        <v>5555000</v>
      </c>
      <c r="K184" s="216"/>
    </row>
    <row r="185" spans="3:11">
      <c r="C185" s="73" t="s">
        <v>1227</v>
      </c>
      <c r="D185" s="60" t="s">
        <v>1228</v>
      </c>
      <c r="E185" s="74"/>
      <c r="F185" s="74"/>
      <c r="G185" s="74"/>
      <c r="H185" s="74"/>
      <c r="K185" s="216"/>
    </row>
    <row r="186" spans="3:11">
      <c r="C186" s="84" t="s">
        <v>1229</v>
      </c>
      <c r="D186" s="81"/>
      <c r="E186" s="81"/>
      <c r="F186" s="81"/>
      <c r="G186" s="163"/>
      <c r="H186" s="306">
        <v>0</v>
      </c>
      <c r="K186" s="216"/>
    </row>
    <row r="187" spans="3:11">
      <c r="C187" s="59" t="s">
        <v>1230</v>
      </c>
      <c r="D187" s="70" t="s">
        <v>1231</v>
      </c>
      <c r="E187" s="71"/>
      <c r="F187" s="71"/>
      <c r="G187" s="72"/>
      <c r="H187" s="307">
        <f>H186+H184+H181</f>
        <v>5796895</v>
      </c>
      <c r="I187" s="322"/>
      <c r="K187" s="216"/>
    </row>
    <row r="188" spans="3:11">
      <c r="C188" s="59" t="s">
        <v>1232</v>
      </c>
      <c r="D188" s="70" t="s">
        <v>1540</v>
      </c>
      <c r="E188" s="71"/>
      <c r="F188" s="72"/>
      <c r="G188" s="62" t="s">
        <v>1541</v>
      </c>
      <c r="H188" s="307">
        <f>H187*10%</f>
        <v>579689.5</v>
      </c>
      <c r="I188" s="322"/>
      <c r="K188" s="216"/>
    </row>
    <row r="189" spans="3:11">
      <c r="C189" s="59" t="s">
        <v>1233</v>
      </c>
      <c r="D189" s="70" t="s">
        <v>1234</v>
      </c>
      <c r="E189" s="71"/>
      <c r="F189" s="71"/>
      <c r="G189" s="72"/>
      <c r="H189" s="308">
        <f>SUM(H187:H188)</f>
        <v>6376584.5</v>
      </c>
      <c r="I189" s="322"/>
      <c r="K189" s="216"/>
    </row>
    <row r="190" spans="3:11">
      <c r="C190" s="58"/>
      <c r="D190" s="82"/>
      <c r="E190" s="82"/>
      <c r="F190" s="82"/>
      <c r="G190" s="82"/>
      <c r="H190" s="83"/>
      <c r="K190" s="216"/>
    </row>
    <row r="191" spans="3:11">
      <c r="C191" s="316" t="s">
        <v>1769</v>
      </c>
      <c r="D191" s="318"/>
      <c r="E191" s="318"/>
      <c r="F191" s="318"/>
      <c r="G191" s="318"/>
      <c r="H191" s="318"/>
      <c r="I191" s="57">
        <f>ROUNDDOWN(H206,-2)</f>
        <v>7931900</v>
      </c>
      <c r="K191" s="216"/>
    </row>
    <row r="192" spans="3:11" ht="28.5">
      <c r="C192" s="303" t="s">
        <v>1207</v>
      </c>
      <c r="D192" s="303" t="s">
        <v>1208</v>
      </c>
      <c r="E192" s="303" t="s">
        <v>1209</v>
      </c>
      <c r="F192" s="303" t="s">
        <v>1210</v>
      </c>
      <c r="G192" s="303" t="s">
        <v>1211</v>
      </c>
      <c r="H192" s="303" t="s">
        <v>1212</v>
      </c>
      <c r="K192" s="216"/>
    </row>
    <row r="193" spans="3:11">
      <c r="C193" s="305" t="s">
        <v>1213</v>
      </c>
      <c r="D193" s="60" t="s">
        <v>1214</v>
      </c>
      <c r="E193" s="171"/>
      <c r="F193" s="74"/>
      <c r="G193" s="74"/>
      <c r="H193" s="74"/>
      <c r="K193" s="216"/>
    </row>
    <row r="194" spans="3:11">
      <c r="C194" s="363">
        <v>1</v>
      </c>
      <c r="D194" s="60" t="s">
        <v>5</v>
      </c>
      <c r="E194" s="73" t="s">
        <v>6</v>
      </c>
      <c r="F194" s="184">
        <v>0.64600000000000002</v>
      </c>
      <c r="G194" s="65">
        <f>VLOOKUP(D194,upahbahan,3,FALSE)</f>
        <v>100000</v>
      </c>
      <c r="H194" s="65">
        <f t="shared" ref="H194:H197" si="22">F194*G194</f>
        <v>64600</v>
      </c>
      <c r="K194" s="216"/>
    </row>
    <row r="195" spans="3:11">
      <c r="C195" s="363">
        <v>2</v>
      </c>
      <c r="D195" s="60" t="str">
        <f>D178</f>
        <v>Tukang batu</v>
      </c>
      <c r="E195" s="73" t="s">
        <v>6</v>
      </c>
      <c r="F195" s="184">
        <v>1.079</v>
      </c>
      <c r="G195" s="65">
        <f>VLOOKUP(D195,upahbahan,3,FALSE)</f>
        <v>145000</v>
      </c>
      <c r="H195" s="65">
        <f t="shared" si="22"/>
        <v>156455</v>
      </c>
      <c r="K195" s="216"/>
    </row>
    <row r="196" spans="3:11">
      <c r="C196" s="363">
        <v>3</v>
      </c>
      <c r="D196" s="60" t="s">
        <v>18</v>
      </c>
      <c r="E196" s="73" t="s">
        <v>6</v>
      </c>
      <c r="F196" s="184">
        <v>0.108</v>
      </c>
      <c r="G196" s="65">
        <f>VLOOKUP(D196,upahbahan,3,FALSE)</f>
        <v>150000</v>
      </c>
      <c r="H196" s="65">
        <f t="shared" si="22"/>
        <v>16200</v>
      </c>
      <c r="K196" s="216"/>
    </row>
    <row r="197" spans="3:11">
      <c r="C197" s="363">
        <v>4</v>
      </c>
      <c r="D197" s="60" t="s">
        <v>19</v>
      </c>
      <c r="E197" s="73" t="s">
        <v>6</v>
      </c>
      <c r="F197" s="184">
        <v>3.2000000000000001E-2</v>
      </c>
      <c r="G197" s="65">
        <f>VLOOKUP(D197,upahbahan,3,FALSE)</f>
        <v>145000</v>
      </c>
      <c r="H197" s="65">
        <f t="shared" si="22"/>
        <v>4640</v>
      </c>
      <c r="K197" s="216"/>
    </row>
    <row r="198" spans="3:11">
      <c r="C198" s="84" t="s">
        <v>1220</v>
      </c>
      <c r="D198" s="81"/>
      <c r="E198" s="81"/>
      <c r="F198" s="220"/>
      <c r="G198" s="221"/>
      <c r="H198" s="65">
        <f>SUM(H194:H197)</f>
        <v>241895</v>
      </c>
      <c r="I198" s="222"/>
      <c r="K198" s="216"/>
    </row>
    <row r="199" spans="3:11">
      <c r="C199" s="73" t="s">
        <v>1221</v>
      </c>
      <c r="D199" s="60" t="s">
        <v>1222</v>
      </c>
      <c r="E199" s="74"/>
      <c r="F199" s="74"/>
      <c r="G199" s="74"/>
      <c r="H199" s="74"/>
      <c r="K199" s="216"/>
    </row>
    <row r="200" spans="3:11">
      <c r="C200" s="304">
        <v>1</v>
      </c>
      <c r="D200" s="60" t="s">
        <v>749</v>
      </c>
      <c r="E200" s="73" t="s">
        <v>139</v>
      </c>
      <c r="F200" s="75">
        <v>1.01</v>
      </c>
      <c r="G200" s="65">
        <f>VLOOKUP(D200,upahbahan,3,FALSE)</f>
        <v>6900000</v>
      </c>
      <c r="H200" s="65">
        <f t="shared" ref="H200" si="23">F200*G200</f>
        <v>6969000</v>
      </c>
      <c r="K200" s="216"/>
    </row>
    <row r="201" spans="3:11">
      <c r="C201" s="84" t="s">
        <v>1226</v>
      </c>
      <c r="D201" s="81"/>
      <c r="E201" s="81"/>
      <c r="F201" s="81"/>
      <c r="G201" s="163"/>
      <c r="H201" s="65">
        <f>SUM(H200:H200)</f>
        <v>6969000</v>
      </c>
      <c r="K201" s="216"/>
    </row>
    <row r="202" spans="3:11">
      <c r="C202" s="73" t="s">
        <v>1227</v>
      </c>
      <c r="D202" s="60" t="s">
        <v>1228</v>
      </c>
      <c r="E202" s="74"/>
      <c r="F202" s="74"/>
      <c r="G202" s="74"/>
      <c r="H202" s="74"/>
      <c r="K202" s="216"/>
    </row>
    <row r="203" spans="3:11">
      <c r="C203" s="84" t="s">
        <v>1229</v>
      </c>
      <c r="D203" s="81"/>
      <c r="E203" s="81"/>
      <c r="F203" s="81"/>
      <c r="G203" s="163"/>
      <c r="H203" s="306">
        <v>0</v>
      </c>
      <c r="K203" s="216"/>
    </row>
    <row r="204" spans="3:11">
      <c r="C204" s="59" t="s">
        <v>1230</v>
      </c>
      <c r="D204" s="70" t="s">
        <v>1231</v>
      </c>
      <c r="E204" s="71"/>
      <c r="F204" s="71"/>
      <c r="G204" s="72"/>
      <c r="H204" s="307">
        <f>H203+H201+H198</f>
        <v>7210895</v>
      </c>
      <c r="I204" s="322"/>
      <c r="K204" s="216"/>
    </row>
    <row r="205" spans="3:11">
      <c r="C205" s="59" t="s">
        <v>1232</v>
      </c>
      <c r="D205" s="70" t="s">
        <v>1540</v>
      </c>
      <c r="E205" s="71"/>
      <c r="F205" s="72"/>
      <c r="G205" s="62" t="s">
        <v>1541</v>
      </c>
      <c r="H205" s="307">
        <f>H204*10%</f>
        <v>721089.5</v>
      </c>
      <c r="I205" s="322"/>
      <c r="K205" s="216"/>
    </row>
    <row r="206" spans="3:11">
      <c r="C206" s="59" t="s">
        <v>1233</v>
      </c>
      <c r="D206" s="70" t="s">
        <v>1234</v>
      </c>
      <c r="E206" s="71"/>
      <c r="F206" s="71"/>
      <c r="G206" s="72"/>
      <c r="H206" s="308">
        <f>SUM(H204:H205)</f>
        <v>7931984.5</v>
      </c>
      <c r="I206" s="322"/>
      <c r="K206" s="216"/>
    </row>
    <row r="207" spans="3:11">
      <c r="C207" s="58"/>
      <c r="D207" s="82"/>
      <c r="E207" s="82"/>
      <c r="F207" s="82"/>
      <c r="G207" s="82"/>
      <c r="H207" s="83"/>
      <c r="K207" s="216"/>
    </row>
    <row r="208" spans="3:11">
      <c r="C208" s="316" t="s">
        <v>1770</v>
      </c>
      <c r="D208" s="318"/>
      <c r="E208" s="318"/>
      <c r="F208" s="318"/>
      <c r="G208" s="318"/>
      <c r="H208" s="318"/>
      <c r="I208" s="57">
        <f>ROUNDDOWN(H223,-2)</f>
        <v>8154100</v>
      </c>
      <c r="K208" s="216"/>
    </row>
    <row r="209" spans="3:11" ht="28.5">
      <c r="C209" s="303" t="s">
        <v>1207</v>
      </c>
      <c r="D209" s="303" t="s">
        <v>1208</v>
      </c>
      <c r="E209" s="303" t="s">
        <v>1209</v>
      </c>
      <c r="F209" s="303" t="s">
        <v>1210</v>
      </c>
      <c r="G209" s="303" t="s">
        <v>1211</v>
      </c>
      <c r="H209" s="303" t="s">
        <v>1212</v>
      </c>
      <c r="K209" s="216"/>
    </row>
    <row r="210" spans="3:11">
      <c r="C210" s="305" t="s">
        <v>1213</v>
      </c>
      <c r="D210" s="60" t="s">
        <v>1214</v>
      </c>
      <c r="E210" s="171"/>
      <c r="F210" s="74"/>
      <c r="G210" s="74"/>
      <c r="H210" s="74"/>
      <c r="K210" s="216"/>
    </row>
    <row r="211" spans="3:11">
      <c r="C211" s="363">
        <v>1</v>
      </c>
      <c r="D211" s="60" t="s">
        <v>5</v>
      </c>
      <c r="E211" s="73" t="s">
        <v>6</v>
      </c>
      <c r="F211" s="184">
        <v>0.64600000000000002</v>
      </c>
      <c r="G211" s="65">
        <f>VLOOKUP(D211,upahbahan,3,FALSE)</f>
        <v>100000</v>
      </c>
      <c r="H211" s="65">
        <f t="shared" ref="H211:H214" si="24">F211*G211</f>
        <v>64600</v>
      </c>
      <c r="K211" s="216"/>
    </row>
    <row r="212" spans="3:11">
      <c r="C212" s="363">
        <v>2</v>
      </c>
      <c r="D212" s="60" t="str">
        <f>D195</f>
        <v>Tukang batu</v>
      </c>
      <c r="E212" s="73" t="s">
        <v>6</v>
      </c>
      <c r="F212" s="184">
        <v>1.079</v>
      </c>
      <c r="G212" s="65">
        <f>VLOOKUP(D212,upahbahan,3,FALSE)</f>
        <v>145000</v>
      </c>
      <c r="H212" s="65">
        <f t="shared" si="24"/>
        <v>156455</v>
      </c>
      <c r="K212" s="216"/>
    </row>
    <row r="213" spans="3:11">
      <c r="C213" s="363">
        <v>3</v>
      </c>
      <c r="D213" s="60" t="s">
        <v>18</v>
      </c>
      <c r="E213" s="73" t="s">
        <v>6</v>
      </c>
      <c r="F213" s="184">
        <v>0.108</v>
      </c>
      <c r="G213" s="65">
        <f>VLOOKUP(D213,upahbahan,3,FALSE)</f>
        <v>150000</v>
      </c>
      <c r="H213" s="65">
        <f t="shared" si="24"/>
        <v>16200</v>
      </c>
      <c r="K213" s="216"/>
    </row>
    <row r="214" spans="3:11">
      <c r="C214" s="363">
        <v>4</v>
      </c>
      <c r="D214" s="60" t="s">
        <v>19</v>
      </c>
      <c r="E214" s="73" t="s">
        <v>6</v>
      </c>
      <c r="F214" s="184">
        <v>3.2000000000000001E-2</v>
      </c>
      <c r="G214" s="65">
        <f>VLOOKUP(D214,upahbahan,3,FALSE)</f>
        <v>145000</v>
      </c>
      <c r="H214" s="65">
        <f t="shared" si="24"/>
        <v>4640</v>
      </c>
      <c r="K214" s="216"/>
    </row>
    <row r="215" spans="3:11">
      <c r="C215" s="84" t="s">
        <v>1220</v>
      </c>
      <c r="D215" s="81"/>
      <c r="E215" s="81"/>
      <c r="F215" s="220"/>
      <c r="G215" s="221"/>
      <c r="H215" s="65">
        <f>SUM(H211:H214)</f>
        <v>241895</v>
      </c>
      <c r="I215" s="222"/>
      <c r="K215" s="216"/>
    </row>
    <row r="216" spans="3:11">
      <c r="C216" s="73" t="s">
        <v>1221</v>
      </c>
      <c r="D216" s="60" t="s">
        <v>1222</v>
      </c>
      <c r="E216" s="74"/>
      <c r="F216" s="74"/>
      <c r="G216" s="74"/>
      <c r="H216" s="74"/>
      <c r="K216" s="216"/>
    </row>
    <row r="217" spans="3:11">
      <c r="C217" s="304">
        <v>1</v>
      </c>
      <c r="D217" s="60" t="s">
        <v>750</v>
      </c>
      <c r="E217" s="73" t="s">
        <v>139</v>
      </c>
      <c r="F217" s="75">
        <f>F200</f>
        <v>1.01</v>
      </c>
      <c r="G217" s="65">
        <f>VLOOKUP(D217,upahbahan,3,FALSE)</f>
        <v>7100000</v>
      </c>
      <c r="H217" s="65">
        <f t="shared" ref="H217" si="25">F217*G217</f>
        <v>7171000</v>
      </c>
      <c r="K217" s="216"/>
    </row>
    <row r="218" spans="3:11">
      <c r="C218" s="84" t="s">
        <v>1226</v>
      </c>
      <c r="D218" s="81"/>
      <c r="E218" s="81"/>
      <c r="F218" s="81"/>
      <c r="G218" s="163"/>
      <c r="H218" s="65">
        <f>SUM(H217:H217)</f>
        <v>7171000</v>
      </c>
      <c r="K218" s="216"/>
    </row>
    <row r="219" spans="3:11">
      <c r="C219" s="73" t="s">
        <v>1227</v>
      </c>
      <c r="D219" s="60" t="s">
        <v>1228</v>
      </c>
      <c r="E219" s="74"/>
      <c r="F219" s="74"/>
      <c r="G219" s="74"/>
      <c r="H219" s="74"/>
      <c r="K219" s="216"/>
    </row>
    <row r="220" spans="3:11">
      <c r="C220" s="84" t="s">
        <v>1229</v>
      </c>
      <c r="D220" s="81"/>
      <c r="E220" s="81"/>
      <c r="F220" s="81"/>
      <c r="G220" s="163"/>
      <c r="H220" s="306">
        <v>0</v>
      </c>
      <c r="K220" s="216"/>
    </row>
    <row r="221" spans="3:11">
      <c r="C221" s="59" t="s">
        <v>1230</v>
      </c>
      <c r="D221" s="70" t="s">
        <v>1231</v>
      </c>
      <c r="E221" s="71"/>
      <c r="F221" s="71"/>
      <c r="G221" s="72"/>
      <c r="H221" s="307">
        <f>H220+H218+H215</f>
        <v>7412895</v>
      </c>
      <c r="I221" s="322"/>
      <c r="K221" s="216"/>
    </row>
    <row r="222" spans="3:11">
      <c r="C222" s="59" t="s">
        <v>1232</v>
      </c>
      <c r="D222" s="70" t="s">
        <v>1540</v>
      </c>
      <c r="E222" s="71"/>
      <c r="F222" s="72"/>
      <c r="G222" s="62" t="s">
        <v>1541</v>
      </c>
      <c r="H222" s="307">
        <f>H221*10%</f>
        <v>741289.5</v>
      </c>
      <c r="I222" s="322"/>
      <c r="K222" s="216"/>
    </row>
    <row r="223" spans="3:11">
      <c r="C223" s="59" t="s">
        <v>1233</v>
      </c>
      <c r="D223" s="70" t="s">
        <v>1234</v>
      </c>
      <c r="E223" s="71"/>
      <c r="F223" s="71"/>
      <c r="G223" s="72"/>
      <c r="H223" s="308">
        <f>SUM(H221:H222)</f>
        <v>8154184.5</v>
      </c>
      <c r="I223" s="322"/>
      <c r="K223" s="216"/>
    </row>
    <row r="224" spans="3:11">
      <c r="C224" s="58"/>
      <c r="D224" s="82"/>
      <c r="E224" s="82"/>
      <c r="F224" s="82"/>
      <c r="G224" s="82"/>
      <c r="H224" s="83"/>
      <c r="K224" s="216"/>
    </row>
    <row r="225" spans="3:11">
      <c r="C225" s="316" t="s">
        <v>1771</v>
      </c>
      <c r="D225" s="318"/>
      <c r="E225" s="318"/>
      <c r="F225" s="318"/>
      <c r="G225" s="318"/>
      <c r="H225" s="318"/>
      <c r="I225" s="57">
        <f>ROUNDDOWN(H240,-2)</f>
        <v>9035000</v>
      </c>
      <c r="K225" s="216"/>
    </row>
    <row r="226" spans="3:11" ht="28.5">
      <c r="C226" s="303" t="s">
        <v>1207</v>
      </c>
      <c r="D226" s="303" t="s">
        <v>1208</v>
      </c>
      <c r="E226" s="303" t="s">
        <v>1209</v>
      </c>
      <c r="F226" s="303" t="s">
        <v>1210</v>
      </c>
      <c r="G226" s="303" t="s">
        <v>1211</v>
      </c>
      <c r="H226" s="303" t="s">
        <v>1212</v>
      </c>
      <c r="K226" s="216"/>
    </row>
    <row r="227" spans="3:11">
      <c r="C227" s="305" t="s">
        <v>1213</v>
      </c>
      <c r="D227" s="60" t="s">
        <v>1214</v>
      </c>
      <c r="E227" s="171"/>
      <c r="F227" s="74"/>
      <c r="G227" s="74"/>
      <c r="H227" s="74"/>
      <c r="K227" s="216"/>
    </row>
    <row r="228" spans="3:11">
      <c r="C228" s="363">
        <v>1</v>
      </c>
      <c r="D228" s="60" t="s">
        <v>5</v>
      </c>
      <c r="E228" s="73" t="s">
        <v>6</v>
      </c>
      <c r="F228" s="184">
        <v>0.76200000000000001</v>
      </c>
      <c r="G228" s="65">
        <f>VLOOKUP(D228,upahbahan,3,FALSE)</f>
        <v>100000</v>
      </c>
      <c r="H228" s="65">
        <f t="shared" ref="H228:H231" si="26">F228*G228</f>
        <v>76200</v>
      </c>
      <c r="K228" s="216"/>
    </row>
    <row r="229" spans="3:11">
      <c r="C229" s="363">
        <v>2</v>
      </c>
      <c r="D229" s="60" t="str">
        <f>D212</f>
        <v>Tukang batu</v>
      </c>
      <c r="E229" s="73" t="s">
        <v>6</v>
      </c>
      <c r="F229" s="184">
        <v>1.272</v>
      </c>
      <c r="G229" s="65">
        <f>VLOOKUP(D229,upahbahan,3,FALSE)</f>
        <v>145000</v>
      </c>
      <c r="H229" s="65">
        <f t="shared" si="26"/>
        <v>184440</v>
      </c>
      <c r="K229" s="216"/>
    </row>
    <row r="230" spans="3:11">
      <c r="C230" s="363">
        <v>3</v>
      </c>
      <c r="D230" s="60" t="s">
        <v>18</v>
      </c>
      <c r="E230" s="73" t="s">
        <v>6</v>
      </c>
      <c r="F230" s="184">
        <v>0.127</v>
      </c>
      <c r="G230" s="65">
        <f>VLOOKUP(D230,upahbahan,3,FALSE)</f>
        <v>150000</v>
      </c>
      <c r="H230" s="65">
        <f t="shared" si="26"/>
        <v>19050</v>
      </c>
      <c r="K230" s="216"/>
    </row>
    <row r="231" spans="3:11">
      <c r="C231" s="363">
        <v>4</v>
      </c>
      <c r="D231" s="60" t="s">
        <v>19</v>
      </c>
      <c r="E231" s="73" t="s">
        <v>6</v>
      </c>
      <c r="F231" s="184">
        <v>3.7999999999999999E-2</v>
      </c>
      <c r="G231" s="65">
        <f>VLOOKUP(D231,upahbahan,3,FALSE)</f>
        <v>145000</v>
      </c>
      <c r="H231" s="65">
        <f t="shared" si="26"/>
        <v>5510</v>
      </c>
      <c r="K231" s="216"/>
    </row>
    <row r="232" spans="3:11">
      <c r="C232" s="84" t="s">
        <v>1220</v>
      </c>
      <c r="D232" s="81"/>
      <c r="E232" s="81"/>
      <c r="F232" s="220"/>
      <c r="G232" s="221"/>
      <c r="H232" s="65">
        <f>SUM(H228:H231)</f>
        <v>285200</v>
      </c>
      <c r="I232" s="222"/>
      <c r="K232" s="216"/>
    </row>
    <row r="233" spans="3:11">
      <c r="C233" s="73" t="s">
        <v>1221</v>
      </c>
      <c r="D233" s="60" t="s">
        <v>1222</v>
      </c>
      <c r="E233" s="74"/>
      <c r="F233" s="74"/>
      <c r="G233" s="74"/>
      <c r="H233" s="74"/>
      <c r="K233" s="216"/>
    </row>
    <row r="234" spans="3:11">
      <c r="C234" s="304">
        <v>1</v>
      </c>
      <c r="D234" s="60" t="s">
        <v>751</v>
      </c>
      <c r="E234" s="73" t="s">
        <v>139</v>
      </c>
      <c r="F234" s="75">
        <f>F217</f>
        <v>1.01</v>
      </c>
      <c r="G234" s="65">
        <f>VLOOKUP(D234,upahbahan,3,FALSE)</f>
        <v>7850000</v>
      </c>
      <c r="H234" s="65">
        <f t="shared" ref="H234" si="27">F234*G234</f>
        <v>7928500</v>
      </c>
      <c r="K234" s="216"/>
    </row>
    <row r="235" spans="3:11">
      <c r="C235" s="84" t="s">
        <v>1226</v>
      </c>
      <c r="D235" s="81"/>
      <c r="E235" s="81"/>
      <c r="F235" s="81"/>
      <c r="G235" s="163"/>
      <c r="H235" s="65">
        <f>SUM(H234:H234)</f>
        <v>7928500</v>
      </c>
      <c r="K235" s="216"/>
    </row>
    <row r="236" spans="3:11">
      <c r="C236" s="73" t="s">
        <v>1227</v>
      </c>
      <c r="D236" s="60" t="s">
        <v>1228</v>
      </c>
      <c r="E236" s="74"/>
      <c r="F236" s="74"/>
      <c r="G236" s="74"/>
      <c r="H236" s="74"/>
      <c r="K236" s="216"/>
    </row>
    <row r="237" spans="3:11">
      <c r="C237" s="84" t="s">
        <v>1229</v>
      </c>
      <c r="D237" s="81"/>
      <c r="E237" s="81"/>
      <c r="F237" s="81"/>
      <c r="G237" s="163"/>
      <c r="H237" s="306">
        <v>0</v>
      </c>
      <c r="K237" s="216"/>
    </row>
    <row r="238" spans="3:11">
      <c r="C238" s="59" t="s">
        <v>1230</v>
      </c>
      <c r="D238" s="70" t="s">
        <v>1231</v>
      </c>
      <c r="E238" s="71"/>
      <c r="F238" s="71"/>
      <c r="G238" s="72"/>
      <c r="H238" s="307">
        <f>H237+H235+H232</f>
        <v>8213700</v>
      </c>
      <c r="I238" s="322"/>
      <c r="K238" s="216"/>
    </row>
    <row r="239" spans="3:11">
      <c r="C239" s="59" t="s">
        <v>1232</v>
      </c>
      <c r="D239" s="70" t="s">
        <v>1540</v>
      </c>
      <c r="E239" s="71"/>
      <c r="F239" s="72"/>
      <c r="G239" s="62" t="s">
        <v>1541</v>
      </c>
      <c r="H239" s="307">
        <f>H238*10%</f>
        <v>821370</v>
      </c>
      <c r="I239" s="322"/>
      <c r="K239" s="216"/>
    </row>
    <row r="240" spans="3:11">
      <c r="C240" s="59" t="s">
        <v>1233</v>
      </c>
      <c r="D240" s="70" t="s">
        <v>1234</v>
      </c>
      <c r="E240" s="71"/>
      <c r="F240" s="71"/>
      <c r="G240" s="72"/>
      <c r="H240" s="308">
        <f>SUM(H238:H239)</f>
        <v>9035070</v>
      </c>
      <c r="I240" s="322"/>
      <c r="K240" s="216"/>
    </row>
    <row r="241" spans="3:11">
      <c r="C241" s="58"/>
      <c r="D241" s="82"/>
      <c r="E241" s="82"/>
      <c r="F241" s="82"/>
      <c r="G241" s="82"/>
      <c r="H241" s="83"/>
      <c r="K241" s="216"/>
    </row>
    <row r="242" spans="3:11">
      <c r="C242" s="316" t="s">
        <v>1772</v>
      </c>
      <c r="D242" s="318"/>
      <c r="E242" s="318"/>
      <c r="F242" s="318"/>
      <c r="G242" s="318"/>
      <c r="H242" s="318"/>
      <c r="I242" s="57">
        <f>ROUNDDOWN(H257,-2)</f>
        <v>1427800</v>
      </c>
      <c r="K242" s="216"/>
    </row>
    <row r="243" spans="3:11" ht="28.5">
      <c r="C243" s="303" t="s">
        <v>1207</v>
      </c>
      <c r="D243" s="303" t="s">
        <v>1208</v>
      </c>
      <c r="E243" s="303" t="s">
        <v>1209</v>
      </c>
      <c r="F243" s="303" t="s">
        <v>1210</v>
      </c>
      <c r="G243" s="303" t="s">
        <v>1211</v>
      </c>
      <c r="H243" s="303" t="s">
        <v>1212</v>
      </c>
      <c r="K243" s="216"/>
    </row>
    <row r="244" spans="3:11">
      <c r="C244" s="305" t="s">
        <v>1213</v>
      </c>
      <c r="D244" s="60" t="s">
        <v>1214</v>
      </c>
      <c r="E244" s="171"/>
      <c r="F244" s="74"/>
      <c r="G244" s="74"/>
      <c r="H244" s="74"/>
      <c r="K244" s="216"/>
    </row>
    <row r="245" spans="3:11">
      <c r="C245" s="363">
        <v>1</v>
      </c>
      <c r="D245" s="60" t="s">
        <v>5</v>
      </c>
      <c r="E245" s="73" t="s">
        <v>6</v>
      </c>
      <c r="F245" s="184">
        <v>0.72899999999999998</v>
      </c>
      <c r="G245" s="65">
        <f>VLOOKUP(D245,upahbahan,3,FALSE)</f>
        <v>100000</v>
      </c>
      <c r="H245" s="65">
        <f t="shared" ref="H245:H248" si="28">F245*G245</f>
        <v>72900</v>
      </c>
      <c r="K245" s="216"/>
    </row>
    <row r="246" spans="3:11">
      <c r="C246" s="363">
        <v>2</v>
      </c>
      <c r="D246" s="60" t="s">
        <v>10</v>
      </c>
      <c r="E246" s="73" t="s">
        <v>6</v>
      </c>
      <c r="F246" s="184">
        <v>1.2170000000000001</v>
      </c>
      <c r="G246" s="65">
        <f>VLOOKUP(D246,upahbahan,3,FALSE)</f>
        <v>145000</v>
      </c>
      <c r="H246" s="65">
        <f t="shared" si="28"/>
        <v>176465</v>
      </c>
      <c r="K246" s="216"/>
    </row>
    <row r="247" spans="3:11">
      <c r="C247" s="363">
        <v>3</v>
      </c>
      <c r="D247" s="60" t="s">
        <v>18</v>
      </c>
      <c r="E247" s="73" t="s">
        <v>6</v>
      </c>
      <c r="F247" s="184">
        <v>0.122</v>
      </c>
      <c r="G247" s="65">
        <f>VLOOKUP(D247,upahbahan,3,FALSE)</f>
        <v>150000</v>
      </c>
      <c r="H247" s="65">
        <f t="shared" si="28"/>
        <v>18300</v>
      </c>
      <c r="K247" s="216"/>
    </row>
    <row r="248" spans="3:11">
      <c r="C248" s="363">
        <v>4</v>
      </c>
      <c r="D248" s="60" t="s">
        <v>19</v>
      </c>
      <c r="E248" s="73" t="s">
        <v>6</v>
      </c>
      <c r="F248" s="184">
        <v>3.6999999999999998E-2</v>
      </c>
      <c r="G248" s="65">
        <f>VLOOKUP(D248,upahbahan,3,FALSE)</f>
        <v>145000</v>
      </c>
      <c r="H248" s="65">
        <f t="shared" si="28"/>
        <v>5365</v>
      </c>
      <c r="K248" s="216"/>
    </row>
    <row r="249" spans="3:11">
      <c r="C249" s="84" t="s">
        <v>1220</v>
      </c>
      <c r="D249" s="81"/>
      <c r="E249" s="81"/>
      <c r="F249" s="220"/>
      <c r="G249" s="221"/>
      <c r="H249" s="65">
        <f>SUM(H245:H248)</f>
        <v>273030</v>
      </c>
      <c r="I249" s="222"/>
      <c r="K249" s="216"/>
    </row>
    <row r="250" spans="3:11">
      <c r="C250" s="73" t="s">
        <v>1221</v>
      </c>
      <c r="D250" s="60" t="s">
        <v>1222</v>
      </c>
      <c r="E250" s="74"/>
      <c r="F250" s="74"/>
      <c r="G250" s="74"/>
      <c r="H250" s="74"/>
      <c r="K250" s="216"/>
    </row>
    <row r="251" spans="3:11" ht="28.5">
      <c r="C251" s="304">
        <v>1</v>
      </c>
      <c r="D251" s="60" t="s">
        <v>713</v>
      </c>
      <c r="E251" s="73" t="s">
        <v>139</v>
      </c>
      <c r="F251" s="75">
        <v>1.0249999999999999</v>
      </c>
      <c r="G251" s="65">
        <f>VLOOKUP(D251,upahbahan,3,FALSE)</f>
        <v>1000000</v>
      </c>
      <c r="H251" s="65">
        <f t="shared" ref="H251" si="29">F251*G251</f>
        <v>1024999.9999999999</v>
      </c>
      <c r="K251" s="216"/>
    </row>
    <row r="252" spans="3:11">
      <c r="C252" s="84" t="s">
        <v>1226</v>
      </c>
      <c r="D252" s="81"/>
      <c r="E252" s="81"/>
      <c r="F252" s="81"/>
      <c r="G252" s="163"/>
      <c r="H252" s="65">
        <f>SUM(H251:H251)</f>
        <v>1024999.9999999999</v>
      </c>
      <c r="K252" s="216"/>
    </row>
    <row r="253" spans="3:11">
      <c r="C253" s="73" t="s">
        <v>1227</v>
      </c>
      <c r="D253" s="60" t="s">
        <v>1228</v>
      </c>
      <c r="E253" s="74"/>
      <c r="F253" s="74"/>
      <c r="G253" s="74"/>
      <c r="H253" s="74"/>
      <c r="K253" s="216"/>
    </row>
    <row r="254" spans="3:11">
      <c r="C254" s="84" t="s">
        <v>1229</v>
      </c>
      <c r="D254" s="81"/>
      <c r="E254" s="81"/>
      <c r="F254" s="81"/>
      <c r="G254" s="163"/>
      <c r="H254" s="306">
        <v>0</v>
      </c>
      <c r="K254" s="216"/>
    </row>
    <row r="255" spans="3:11">
      <c r="C255" s="59" t="s">
        <v>1230</v>
      </c>
      <c r="D255" s="70" t="s">
        <v>1231</v>
      </c>
      <c r="E255" s="71"/>
      <c r="F255" s="71"/>
      <c r="G255" s="72"/>
      <c r="H255" s="307">
        <f>H254+H252+H249</f>
        <v>1298030</v>
      </c>
      <c r="I255" s="322"/>
      <c r="K255" s="216"/>
    </row>
    <row r="256" spans="3:11">
      <c r="C256" s="59" t="s">
        <v>1232</v>
      </c>
      <c r="D256" s="70" t="s">
        <v>1540</v>
      </c>
      <c r="E256" s="71"/>
      <c r="F256" s="72"/>
      <c r="G256" s="62" t="s">
        <v>1541</v>
      </c>
      <c r="H256" s="307">
        <f>H255*10%</f>
        <v>129803</v>
      </c>
      <c r="I256" s="322"/>
      <c r="K256" s="216"/>
    </row>
    <row r="257" spans="3:11">
      <c r="C257" s="59" t="s">
        <v>1233</v>
      </c>
      <c r="D257" s="70" t="s">
        <v>1234</v>
      </c>
      <c r="E257" s="71"/>
      <c r="F257" s="71"/>
      <c r="G257" s="72"/>
      <c r="H257" s="308">
        <f>SUM(H255:H256)</f>
        <v>1427833</v>
      </c>
      <c r="I257" s="322"/>
      <c r="K257" s="216"/>
    </row>
    <row r="258" spans="3:11">
      <c r="C258" s="58"/>
      <c r="D258" s="82"/>
      <c r="E258" s="82"/>
      <c r="F258" s="82"/>
      <c r="G258" s="82"/>
      <c r="H258" s="83"/>
      <c r="K258" s="216"/>
    </row>
    <row r="259" spans="3:11">
      <c r="C259" s="316" t="s">
        <v>1773</v>
      </c>
      <c r="D259" s="318"/>
      <c r="E259" s="318"/>
      <c r="F259" s="318"/>
      <c r="G259" s="318"/>
      <c r="H259" s="318"/>
      <c r="I259" s="57">
        <f>ROUNDDOWN(H274,-2)</f>
        <v>3520400</v>
      </c>
      <c r="K259" s="216"/>
    </row>
    <row r="260" spans="3:11" ht="28.5">
      <c r="C260" s="303" t="s">
        <v>1207</v>
      </c>
      <c r="D260" s="303" t="s">
        <v>1208</v>
      </c>
      <c r="E260" s="303" t="s">
        <v>1209</v>
      </c>
      <c r="F260" s="303" t="s">
        <v>1210</v>
      </c>
      <c r="G260" s="303" t="s">
        <v>1211</v>
      </c>
      <c r="H260" s="303" t="s">
        <v>1212</v>
      </c>
      <c r="K260" s="216"/>
    </row>
    <row r="261" spans="3:11">
      <c r="C261" s="305" t="s">
        <v>1213</v>
      </c>
      <c r="D261" s="60" t="s">
        <v>1214</v>
      </c>
      <c r="E261" s="171"/>
      <c r="F261" s="74"/>
      <c r="G261" s="74"/>
      <c r="H261" s="74"/>
      <c r="K261" s="216"/>
    </row>
    <row r="262" spans="3:11">
      <c r="C262" s="363">
        <v>1</v>
      </c>
      <c r="D262" s="60" t="s">
        <v>5</v>
      </c>
      <c r="E262" s="73" t="s">
        <v>6</v>
      </c>
      <c r="F262" s="75">
        <v>0.41699999999999998</v>
      </c>
      <c r="G262" s="65">
        <f>VLOOKUP(D262,upahbahan,3,FALSE)</f>
        <v>100000</v>
      </c>
      <c r="H262" s="65">
        <f t="shared" ref="H262:H265" si="30">F262*G262</f>
        <v>41700</v>
      </c>
      <c r="K262" s="216"/>
    </row>
    <row r="263" spans="3:11">
      <c r="C263" s="363">
        <v>2</v>
      </c>
      <c r="D263" s="60" t="s">
        <v>10</v>
      </c>
      <c r="E263" s="73" t="s">
        <v>6</v>
      </c>
      <c r="F263" s="75">
        <v>0.69599999999999995</v>
      </c>
      <c r="G263" s="65">
        <f>VLOOKUP(D263,upahbahan,3,FALSE)</f>
        <v>145000</v>
      </c>
      <c r="H263" s="65">
        <f t="shared" si="30"/>
        <v>100920</v>
      </c>
      <c r="K263" s="216"/>
    </row>
    <row r="264" spans="3:11">
      <c r="C264" s="363">
        <v>3</v>
      </c>
      <c r="D264" s="60" t="s">
        <v>18</v>
      </c>
      <c r="E264" s="73" t="s">
        <v>6</v>
      </c>
      <c r="F264" s="75">
        <v>7.0000000000000007E-2</v>
      </c>
      <c r="G264" s="65">
        <f>VLOOKUP(D264,upahbahan,3,FALSE)</f>
        <v>150000</v>
      </c>
      <c r="H264" s="65">
        <f t="shared" si="30"/>
        <v>10500.000000000002</v>
      </c>
      <c r="K264" s="216"/>
    </row>
    <row r="265" spans="3:11">
      <c r="C265" s="363">
        <v>4</v>
      </c>
      <c r="D265" s="60" t="s">
        <v>19</v>
      </c>
      <c r="E265" s="73" t="s">
        <v>6</v>
      </c>
      <c r="F265" s="75">
        <v>2.1000000000000001E-2</v>
      </c>
      <c r="G265" s="65">
        <f>VLOOKUP(D265,upahbahan,3,FALSE)</f>
        <v>145000</v>
      </c>
      <c r="H265" s="65">
        <f t="shared" si="30"/>
        <v>3045</v>
      </c>
      <c r="K265" s="216"/>
    </row>
    <row r="266" spans="3:11">
      <c r="C266" s="84" t="s">
        <v>1220</v>
      </c>
      <c r="D266" s="81"/>
      <c r="E266" s="81"/>
      <c r="F266" s="220"/>
      <c r="G266" s="221"/>
      <c r="H266" s="65">
        <f>SUM(H262:H265)</f>
        <v>156165</v>
      </c>
      <c r="I266" s="222"/>
      <c r="K266" s="216"/>
    </row>
    <row r="267" spans="3:11">
      <c r="C267" s="73" t="s">
        <v>1221</v>
      </c>
      <c r="D267" s="60" t="s">
        <v>1222</v>
      </c>
      <c r="E267" s="74"/>
      <c r="F267" s="74"/>
      <c r="G267" s="74"/>
      <c r="H267" s="74"/>
      <c r="K267" s="216"/>
    </row>
    <row r="268" spans="3:11" ht="28.5">
      <c r="C268" s="304">
        <v>1</v>
      </c>
      <c r="D268" s="60" t="s">
        <v>707</v>
      </c>
      <c r="E268" s="73" t="s">
        <v>139</v>
      </c>
      <c r="F268" s="75">
        <f>F251</f>
        <v>1.0249999999999999</v>
      </c>
      <c r="G268" s="65">
        <f>VLOOKUP(D268,upahbahan,3,FALSE)</f>
        <v>2970000</v>
      </c>
      <c r="H268" s="65">
        <f t="shared" ref="H268" si="31">F268*G268</f>
        <v>3044249.9999999995</v>
      </c>
      <c r="K268" s="216"/>
    </row>
    <row r="269" spans="3:11">
      <c r="C269" s="84" t="s">
        <v>1226</v>
      </c>
      <c r="D269" s="81"/>
      <c r="E269" s="81"/>
      <c r="F269" s="81"/>
      <c r="G269" s="163"/>
      <c r="H269" s="65">
        <f>SUM(H268:H268)</f>
        <v>3044249.9999999995</v>
      </c>
      <c r="K269" s="216"/>
    </row>
    <row r="270" spans="3:11">
      <c r="C270" s="73" t="s">
        <v>1227</v>
      </c>
      <c r="D270" s="60" t="s">
        <v>1228</v>
      </c>
      <c r="E270" s="74"/>
      <c r="F270" s="74"/>
      <c r="G270" s="74"/>
      <c r="H270" s="74"/>
      <c r="K270" s="216"/>
    </row>
    <row r="271" spans="3:11">
      <c r="C271" s="84" t="s">
        <v>1229</v>
      </c>
      <c r="D271" s="81"/>
      <c r="E271" s="81"/>
      <c r="F271" s="81"/>
      <c r="G271" s="163"/>
      <c r="H271" s="306">
        <v>0</v>
      </c>
      <c r="K271" s="216"/>
    </row>
    <row r="272" spans="3:11">
      <c r="C272" s="59" t="s">
        <v>1230</v>
      </c>
      <c r="D272" s="70" t="s">
        <v>1231</v>
      </c>
      <c r="E272" s="71"/>
      <c r="F272" s="71"/>
      <c r="G272" s="72"/>
      <c r="H272" s="307">
        <f>H271+H269+H266</f>
        <v>3200414.9999999995</v>
      </c>
      <c r="I272" s="322"/>
      <c r="K272" s="216"/>
    </row>
    <row r="273" spans="3:11">
      <c r="C273" s="59" t="s">
        <v>1232</v>
      </c>
      <c r="D273" s="70" t="s">
        <v>1540</v>
      </c>
      <c r="E273" s="71"/>
      <c r="F273" s="72"/>
      <c r="G273" s="62" t="s">
        <v>1541</v>
      </c>
      <c r="H273" s="307">
        <f>H272*10%</f>
        <v>320041.5</v>
      </c>
      <c r="I273" s="322"/>
      <c r="K273" s="216"/>
    </row>
    <row r="274" spans="3:11">
      <c r="C274" s="59" t="s">
        <v>1233</v>
      </c>
      <c r="D274" s="70" t="s">
        <v>1234</v>
      </c>
      <c r="E274" s="71"/>
      <c r="F274" s="71"/>
      <c r="G274" s="72"/>
      <c r="H274" s="308">
        <f>SUM(H272:H273)</f>
        <v>3520456.4999999995</v>
      </c>
      <c r="I274" s="322"/>
      <c r="K274" s="216"/>
    </row>
    <row r="275" spans="3:11">
      <c r="C275" s="58"/>
      <c r="D275" s="82"/>
      <c r="E275" s="82"/>
      <c r="F275" s="82"/>
      <c r="G275" s="82"/>
      <c r="H275" s="83"/>
      <c r="K275" s="216"/>
    </row>
    <row r="276" spans="3:11">
      <c r="C276" s="316" t="s">
        <v>1774</v>
      </c>
      <c r="D276" s="318"/>
      <c r="E276" s="318"/>
      <c r="F276" s="318"/>
      <c r="G276" s="318"/>
      <c r="H276" s="318"/>
      <c r="I276" s="57">
        <f>ROUNDDOWN(H291,-2)</f>
        <v>1524700</v>
      </c>
      <c r="K276" s="216"/>
    </row>
    <row r="277" spans="3:11" ht="28.5">
      <c r="C277" s="303" t="s">
        <v>1207</v>
      </c>
      <c r="D277" s="303" t="s">
        <v>1208</v>
      </c>
      <c r="E277" s="303" t="s">
        <v>1209</v>
      </c>
      <c r="F277" s="303" t="s">
        <v>1210</v>
      </c>
      <c r="G277" s="303" t="s">
        <v>1211</v>
      </c>
      <c r="H277" s="303" t="s">
        <v>1212</v>
      </c>
      <c r="K277" s="216"/>
    </row>
    <row r="278" spans="3:11">
      <c r="C278" s="305" t="s">
        <v>1213</v>
      </c>
      <c r="D278" s="60" t="s">
        <v>1214</v>
      </c>
      <c r="E278" s="171"/>
      <c r="F278" s="74"/>
      <c r="G278" s="74"/>
      <c r="H278" s="74"/>
      <c r="K278" s="216"/>
    </row>
    <row r="279" spans="3:11">
      <c r="C279" s="363">
        <v>1</v>
      </c>
      <c r="D279" s="60" t="s">
        <v>5</v>
      </c>
      <c r="E279" s="73" t="s">
        <v>6</v>
      </c>
      <c r="F279" s="75">
        <v>0.41699999999999998</v>
      </c>
      <c r="G279" s="65">
        <f>VLOOKUP(D279,upahbahan,3,FALSE)</f>
        <v>100000</v>
      </c>
      <c r="H279" s="65">
        <f t="shared" ref="H279:H282" si="32">F279*G279</f>
        <v>41700</v>
      </c>
      <c r="K279" s="216"/>
    </row>
    <row r="280" spans="3:11">
      <c r="C280" s="363">
        <v>2</v>
      </c>
      <c r="D280" s="60" t="str">
        <f>D263</f>
        <v>Tukang pipa</v>
      </c>
      <c r="E280" s="73" t="s">
        <v>6</v>
      </c>
      <c r="F280" s="75">
        <v>0.69599999999999995</v>
      </c>
      <c r="G280" s="65">
        <f>VLOOKUP(D280,upahbahan,3,FALSE)</f>
        <v>145000</v>
      </c>
      <c r="H280" s="65">
        <f t="shared" si="32"/>
        <v>100920</v>
      </c>
      <c r="K280" s="216"/>
    </row>
    <row r="281" spans="3:11">
      <c r="C281" s="363">
        <v>3</v>
      </c>
      <c r="D281" s="60" t="s">
        <v>18</v>
      </c>
      <c r="E281" s="73" t="s">
        <v>6</v>
      </c>
      <c r="F281" s="75">
        <v>7.0000000000000007E-2</v>
      </c>
      <c r="G281" s="65">
        <f>VLOOKUP(D281,upahbahan,3,FALSE)</f>
        <v>150000</v>
      </c>
      <c r="H281" s="65">
        <f t="shared" si="32"/>
        <v>10500.000000000002</v>
      </c>
      <c r="K281" s="216"/>
    </row>
    <row r="282" spans="3:11">
      <c r="C282" s="363">
        <v>4</v>
      </c>
      <c r="D282" s="60" t="s">
        <v>19</v>
      </c>
      <c r="E282" s="73" t="s">
        <v>6</v>
      </c>
      <c r="F282" s="75">
        <v>2.1000000000000001E-2</v>
      </c>
      <c r="G282" s="65">
        <f>VLOOKUP(D282,upahbahan,3,FALSE)</f>
        <v>145000</v>
      </c>
      <c r="H282" s="65">
        <f t="shared" si="32"/>
        <v>3045</v>
      </c>
      <c r="K282" s="216"/>
    </row>
    <row r="283" spans="3:11">
      <c r="C283" s="84" t="s">
        <v>1220</v>
      </c>
      <c r="D283" s="81"/>
      <c r="E283" s="81"/>
      <c r="F283" s="220"/>
      <c r="G283" s="221"/>
      <c r="H283" s="65">
        <f>SUM(H279:H282)</f>
        <v>156165</v>
      </c>
      <c r="I283" s="222"/>
      <c r="K283" s="216"/>
    </row>
    <row r="284" spans="3:11">
      <c r="C284" s="73" t="s">
        <v>1221</v>
      </c>
      <c r="D284" s="60" t="s">
        <v>1222</v>
      </c>
      <c r="E284" s="74"/>
      <c r="F284" s="74"/>
      <c r="G284" s="74"/>
      <c r="H284" s="74"/>
      <c r="K284" s="216"/>
    </row>
    <row r="285" spans="3:11" ht="28.5">
      <c r="C285" s="304">
        <v>1</v>
      </c>
      <c r="D285" s="60" t="s">
        <v>706</v>
      </c>
      <c r="E285" s="73" t="s">
        <v>139</v>
      </c>
      <c r="F285" s="75">
        <f>F268</f>
        <v>1.0249999999999999</v>
      </c>
      <c r="G285" s="65">
        <f>VLOOKUP(D285,upahbahan,3,FALSE)</f>
        <v>1200000</v>
      </c>
      <c r="H285" s="65">
        <f t="shared" ref="H285" si="33">F285*G285</f>
        <v>1230000</v>
      </c>
      <c r="K285" s="216"/>
    </row>
    <row r="286" spans="3:11">
      <c r="C286" s="84" t="s">
        <v>1226</v>
      </c>
      <c r="D286" s="81"/>
      <c r="E286" s="81"/>
      <c r="F286" s="81"/>
      <c r="G286" s="163"/>
      <c r="H286" s="65">
        <f>SUM(H285:H285)</f>
        <v>1230000</v>
      </c>
      <c r="K286" s="216"/>
    </row>
    <row r="287" spans="3:11">
      <c r="C287" s="73" t="s">
        <v>1227</v>
      </c>
      <c r="D287" s="60" t="s">
        <v>1228</v>
      </c>
      <c r="E287" s="74"/>
      <c r="F287" s="74"/>
      <c r="G287" s="74"/>
      <c r="H287" s="74"/>
      <c r="K287" s="216"/>
    </row>
    <row r="288" spans="3:11">
      <c r="C288" s="84" t="s">
        <v>1229</v>
      </c>
      <c r="D288" s="81"/>
      <c r="E288" s="81"/>
      <c r="F288" s="81"/>
      <c r="G288" s="163"/>
      <c r="H288" s="306">
        <v>0</v>
      </c>
      <c r="K288" s="216"/>
    </row>
    <row r="289" spans="3:11">
      <c r="C289" s="59" t="s">
        <v>1230</v>
      </c>
      <c r="D289" s="70" t="s">
        <v>1231</v>
      </c>
      <c r="E289" s="71"/>
      <c r="F289" s="71"/>
      <c r="G289" s="72"/>
      <c r="H289" s="307">
        <f>H288+H286+H283</f>
        <v>1386165</v>
      </c>
      <c r="I289" s="322"/>
      <c r="K289" s="216"/>
    </row>
    <row r="290" spans="3:11">
      <c r="C290" s="59" t="s">
        <v>1232</v>
      </c>
      <c r="D290" s="70" t="s">
        <v>1540</v>
      </c>
      <c r="E290" s="71"/>
      <c r="F290" s="72"/>
      <c r="G290" s="62" t="s">
        <v>1541</v>
      </c>
      <c r="H290" s="307">
        <f>H289*10%</f>
        <v>138616.5</v>
      </c>
      <c r="I290" s="322"/>
      <c r="K290" s="216"/>
    </row>
    <row r="291" spans="3:11">
      <c r="C291" s="59" t="s">
        <v>1233</v>
      </c>
      <c r="D291" s="70" t="s">
        <v>1234</v>
      </c>
      <c r="E291" s="71"/>
      <c r="F291" s="71"/>
      <c r="G291" s="72"/>
      <c r="H291" s="308">
        <f>SUM(H289:H290)</f>
        <v>1524781.5</v>
      </c>
      <c r="I291" s="322"/>
      <c r="K291" s="216"/>
    </row>
    <row r="292" spans="3:11">
      <c r="C292" s="58"/>
      <c r="D292" s="82"/>
      <c r="E292" s="82"/>
      <c r="F292" s="82"/>
      <c r="G292" s="82"/>
      <c r="H292" s="83"/>
      <c r="K292" s="216"/>
    </row>
    <row r="293" spans="3:11">
      <c r="C293" s="316" t="s">
        <v>1775</v>
      </c>
      <c r="D293" s="318"/>
      <c r="E293" s="318"/>
      <c r="F293" s="318"/>
      <c r="G293" s="318"/>
      <c r="H293" s="318"/>
      <c r="I293" s="57">
        <f>ROUNDDOWN(H308,-2)</f>
        <v>1403100</v>
      </c>
      <c r="K293" s="216"/>
    </row>
    <row r="294" spans="3:11" ht="28.5">
      <c r="C294" s="303" t="s">
        <v>1207</v>
      </c>
      <c r="D294" s="303" t="s">
        <v>1208</v>
      </c>
      <c r="E294" s="303" t="s">
        <v>1209</v>
      </c>
      <c r="F294" s="303" t="s">
        <v>1210</v>
      </c>
      <c r="G294" s="303" t="s">
        <v>1211</v>
      </c>
      <c r="H294" s="303" t="s">
        <v>1212</v>
      </c>
      <c r="K294" s="216"/>
    </row>
    <row r="295" spans="3:11">
      <c r="C295" s="305" t="s">
        <v>1213</v>
      </c>
      <c r="D295" s="60" t="s">
        <v>1214</v>
      </c>
      <c r="E295" s="74"/>
      <c r="F295" s="74"/>
      <c r="G295" s="74"/>
      <c r="H295" s="74"/>
      <c r="K295" s="216"/>
    </row>
    <row r="296" spans="3:11">
      <c r="C296" s="363">
        <v>1</v>
      </c>
      <c r="D296" s="60" t="s">
        <v>5</v>
      </c>
      <c r="E296" s="305" t="s">
        <v>6</v>
      </c>
      <c r="F296" s="184">
        <v>0.76300000000000001</v>
      </c>
      <c r="G296" s="65">
        <f>VLOOKUP(D296,upahbahan,3,FALSE)</f>
        <v>100000</v>
      </c>
      <c r="H296" s="65">
        <f t="shared" ref="H296:H299" si="34">F296*G296</f>
        <v>76300</v>
      </c>
      <c r="K296" s="216"/>
    </row>
    <row r="297" spans="3:11">
      <c r="C297" s="363">
        <v>2</v>
      </c>
      <c r="D297" s="60" t="str">
        <f>D280</f>
        <v>Tukang pipa</v>
      </c>
      <c r="E297" s="305" t="s">
        <v>6</v>
      </c>
      <c r="F297" s="184">
        <v>1.274</v>
      </c>
      <c r="G297" s="65">
        <f>VLOOKUP(D297,upahbahan,3,FALSE)</f>
        <v>145000</v>
      </c>
      <c r="H297" s="65">
        <f t="shared" si="34"/>
        <v>184730</v>
      </c>
      <c r="K297" s="216"/>
    </row>
    <row r="298" spans="3:11">
      <c r="C298" s="363">
        <v>3</v>
      </c>
      <c r="D298" s="60" t="s">
        <v>18</v>
      </c>
      <c r="E298" s="305" t="s">
        <v>6</v>
      </c>
      <c r="F298" s="184">
        <v>0.127</v>
      </c>
      <c r="G298" s="65">
        <f>VLOOKUP(D298,upahbahan,3,FALSE)</f>
        <v>150000</v>
      </c>
      <c r="H298" s="65">
        <f t="shared" si="34"/>
        <v>19050</v>
      </c>
      <c r="K298" s="216"/>
    </row>
    <row r="299" spans="3:11">
      <c r="C299" s="363">
        <v>4</v>
      </c>
      <c r="D299" s="60" t="s">
        <v>19</v>
      </c>
      <c r="E299" s="305" t="s">
        <v>6</v>
      </c>
      <c r="F299" s="184">
        <v>3.7999999999999999E-2</v>
      </c>
      <c r="G299" s="65">
        <f>VLOOKUP(D299,upahbahan,3,FALSE)</f>
        <v>145000</v>
      </c>
      <c r="H299" s="65">
        <f t="shared" si="34"/>
        <v>5510</v>
      </c>
      <c r="K299" s="216"/>
    </row>
    <row r="300" spans="3:11">
      <c r="C300" s="84" t="s">
        <v>1220</v>
      </c>
      <c r="D300" s="81"/>
      <c r="E300" s="81"/>
      <c r="F300" s="220"/>
      <c r="G300" s="221"/>
      <c r="H300" s="65">
        <f>SUM(H296:H299)</f>
        <v>285590</v>
      </c>
      <c r="I300" s="222"/>
      <c r="K300" s="216"/>
    </row>
    <row r="301" spans="3:11">
      <c r="C301" s="305" t="s">
        <v>1221</v>
      </c>
      <c r="D301" s="60" t="s">
        <v>1222</v>
      </c>
      <c r="E301" s="74"/>
      <c r="F301" s="74"/>
      <c r="G301" s="74"/>
      <c r="H301" s="74"/>
      <c r="K301" s="216"/>
    </row>
    <row r="302" spans="3:11">
      <c r="C302" s="363">
        <v>1</v>
      </c>
      <c r="D302" s="60" t="s">
        <v>709</v>
      </c>
      <c r="E302" s="69" t="s">
        <v>139</v>
      </c>
      <c r="F302" s="230">
        <v>1.1000000000000001</v>
      </c>
      <c r="G302" s="65">
        <f>VLOOKUP(D302,upahbahan,3,FALSE)</f>
        <v>900000</v>
      </c>
      <c r="H302" s="65">
        <f t="shared" ref="H302" si="35">F302*G302</f>
        <v>990000.00000000012</v>
      </c>
      <c r="K302" s="216"/>
    </row>
    <row r="303" spans="3:11">
      <c r="C303" s="84" t="s">
        <v>1226</v>
      </c>
      <c r="D303" s="81"/>
      <c r="E303" s="81"/>
      <c r="F303" s="81"/>
      <c r="G303" s="163"/>
      <c r="H303" s="65">
        <f>SUM(H302:H302)</f>
        <v>990000.00000000012</v>
      </c>
      <c r="K303" s="216"/>
    </row>
    <row r="304" spans="3:11">
      <c r="C304" s="73" t="s">
        <v>1227</v>
      </c>
      <c r="D304" s="60" t="s">
        <v>1228</v>
      </c>
      <c r="E304" s="74"/>
      <c r="F304" s="74"/>
      <c r="G304" s="74"/>
      <c r="H304" s="74"/>
      <c r="K304" s="216"/>
    </row>
    <row r="305" spans="3:11">
      <c r="C305" s="84" t="s">
        <v>1229</v>
      </c>
      <c r="D305" s="81"/>
      <c r="E305" s="81"/>
      <c r="F305" s="81"/>
      <c r="G305" s="163"/>
      <c r="H305" s="306">
        <v>0</v>
      </c>
      <c r="K305" s="216"/>
    </row>
    <row r="306" spans="3:11">
      <c r="C306" s="59" t="s">
        <v>1230</v>
      </c>
      <c r="D306" s="70" t="s">
        <v>1231</v>
      </c>
      <c r="E306" s="71"/>
      <c r="F306" s="71"/>
      <c r="G306" s="72"/>
      <c r="H306" s="307">
        <f>H305+H303+H300</f>
        <v>1275590</v>
      </c>
      <c r="I306" s="322"/>
      <c r="K306" s="216"/>
    </row>
    <row r="307" spans="3:11">
      <c r="C307" s="59" t="s">
        <v>1232</v>
      </c>
      <c r="D307" s="70" t="s">
        <v>1540</v>
      </c>
      <c r="E307" s="71"/>
      <c r="F307" s="72"/>
      <c r="G307" s="62" t="s">
        <v>1541</v>
      </c>
      <c r="H307" s="307">
        <f>H306*10%</f>
        <v>127559</v>
      </c>
      <c r="I307" s="322"/>
      <c r="K307" s="216"/>
    </row>
    <row r="308" spans="3:11">
      <c r="C308" s="59" t="s">
        <v>1233</v>
      </c>
      <c r="D308" s="70" t="s">
        <v>1234</v>
      </c>
      <c r="E308" s="71"/>
      <c r="F308" s="71"/>
      <c r="G308" s="72"/>
      <c r="H308" s="308">
        <f>SUM(H306:H307)</f>
        <v>1403149</v>
      </c>
      <c r="I308" s="322"/>
      <c r="K308" s="216"/>
    </row>
    <row r="309" spans="3:11">
      <c r="C309" s="90"/>
      <c r="D309" s="91"/>
      <c r="E309" s="91"/>
      <c r="F309" s="91"/>
      <c r="G309" s="91"/>
      <c r="H309" s="309"/>
      <c r="K309" s="216"/>
    </row>
    <row r="310" spans="3:11">
      <c r="C310" s="316" t="s">
        <v>1776</v>
      </c>
      <c r="D310" s="318"/>
      <c r="E310" s="318"/>
      <c r="F310" s="318"/>
      <c r="G310" s="318"/>
      <c r="H310" s="318"/>
      <c r="I310" s="57">
        <f>ROUNDDOWN(H325,-2)</f>
        <v>1766100</v>
      </c>
      <c r="K310" s="216"/>
    </row>
    <row r="311" spans="3:11" ht="28.5">
      <c r="C311" s="303" t="s">
        <v>1207</v>
      </c>
      <c r="D311" s="303" t="s">
        <v>1208</v>
      </c>
      <c r="E311" s="303" t="s">
        <v>1209</v>
      </c>
      <c r="F311" s="303" t="s">
        <v>1210</v>
      </c>
      <c r="G311" s="303" t="s">
        <v>1211</v>
      </c>
      <c r="H311" s="303" t="s">
        <v>1212</v>
      </c>
      <c r="K311" s="216"/>
    </row>
    <row r="312" spans="3:11">
      <c r="C312" s="73" t="s">
        <v>1213</v>
      </c>
      <c r="D312" s="60" t="s">
        <v>1214</v>
      </c>
      <c r="E312" s="74"/>
      <c r="F312" s="74"/>
      <c r="G312" s="74"/>
      <c r="H312" s="74"/>
      <c r="K312" s="216"/>
    </row>
    <row r="313" spans="3:11">
      <c r="C313" s="304">
        <v>1</v>
      </c>
      <c r="D313" s="60" t="s">
        <v>5</v>
      </c>
      <c r="E313" s="305" t="s">
        <v>6</v>
      </c>
      <c r="F313" s="184">
        <v>0.76300000000000001</v>
      </c>
      <c r="G313" s="65">
        <f>VLOOKUP(D313,upahbahan,3,FALSE)</f>
        <v>100000</v>
      </c>
      <c r="H313" s="65">
        <f t="shared" ref="H313:H316" si="36">F313*G313</f>
        <v>76300</v>
      </c>
      <c r="K313" s="216"/>
    </row>
    <row r="314" spans="3:11">
      <c r="C314" s="304">
        <v>2</v>
      </c>
      <c r="D314" s="60" t="str">
        <f>D297</f>
        <v>Tukang pipa</v>
      </c>
      <c r="E314" s="305" t="s">
        <v>6</v>
      </c>
      <c r="F314" s="184">
        <v>1.274</v>
      </c>
      <c r="G314" s="65">
        <f>VLOOKUP(D314,upahbahan,3,FALSE)</f>
        <v>145000</v>
      </c>
      <c r="H314" s="65">
        <f t="shared" si="36"/>
        <v>184730</v>
      </c>
      <c r="K314" s="216"/>
    </row>
    <row r="315" spans="3:11">
      <c r="C315" s="304">
        <v>3</v>
      </c>
      <c r="D315" s="60" t="s">
        <v>18</v>
      </c>
      <c r="E315" s="305" t="s">
        <v>6</v>
      </c>
      <c r="F315" s="184">
        <v>0.127</v>
      </c>
      <c r="G315" s="65">
        <f>VLOOKUP(D315,upahbahan,3,FALSE)</f>
        <v>150000</v>
      </c>
      <c r="H315" s="65">
        <f t="shared" si="36"/>
        <v>19050</v>
      </c>
      <c r="K315" s="216"/>
    </row>
    <row r="316" spans="3:11">
      <c r="C316" s="304">
        <v>4</v>
      </c>
      <c r="D316" s="60" t="s">
        <v>19</v>
      </c>
      <c r="E316" s="305" t="s">
        <v>6</v>
      </c>
      <c r="F316" s="184">
        <v>3.7999999999999999E-2</v>
      </c>
      <c r="G316" s="65">
        <f>VLOOKUP(D316,upahbahan,3,FALSE)</f>
        <v>145000</v>
      </c>
      <c r="H316" s="65">
        <f t="shared" si="36"/>
        <v>5510</v>
      </c>
      <c r="K316" s="216"/>
    </row>
    <row r="317" spans="3:11">
      <c r="C317" s="84" t="s">
        <v>1220</v>
      </c>
      <c r="D317" s="81"/>
      <c r="E317" s="81"/>
      <c r="F317" s="220"/>
      <c r="G317" s="221"/>
      <c r="H317" s="65">
        <f>SUM(H313:H316)</f>
        <v>285590</v>
      </c>
      <c r="I317" s="222"/>
      <c r="K317" s="216"/>
    </row>
    <row r="318" spans="3:11">
      <c r="C318" s="73" t="s">
        <v>1221</v>
      </c>
      <c r="D318" s="60" t="s">
        <v>1222</v>
      </c>
      <c r="E318" s="74"/>
      <c r="F318" s="74"/>
      <c r="G318" s="74"/>
      <c r="H318" s="74"/>
      <c r="K318" s="216"/>
    </row>
    <row r="319" spans="3:11">
      <c r="C319" s="304">
        <v>1</v>
      </c>
      <c r="D319" s="60" t="s">
        <v>710</v>
      </c>
      <c r="E319" s="69" t="s">
        <v>139</v>
      </c>
      <c r="F319" s="230">
        <f>F302</f>
        <v>1.1000000000000001</v>
      </c>
      <c r="G319" s="65">
        <f>VLOOKUP(D319,upahbahan,3,FALSE)</f>
        <v>1200000</v>
      </c>
      <c r="H319" s="65">
        <f t="shared" ref="H319" si="37">F319*G319</f>
        <v>1320000</v>
      </c>
      <c r="K319" s="216"/>
    </row>
    <row r="320" spans="3:11">
      <c r="C320" s="84" t="s">
        <v>1226</v>
      </c>
      <c r="D320" s="81"/>
      <c r="E320" s="81"/>
      <c r="F320" s="81"/>
      <c r="G320" s="163"/>
      <c r="H320" s="65">
        <f>SUM(H319:H319)</f>
        <v>1320000</v>
      </c>
      <c r="K320" s="216"/>
    </row>
    <row r="321" spans="3:11">
      <c r="C321" s="73" t="s">
        <v>1227</v>
      </c>
      <c r="D321" s="60" t="s">
        <v>1228</v>
      </c>
      <c r="E321" s="74"/>
      <c r="F321" s="74"/>
      <c r="G321" s="74"/>
      <c r="H321" s="74"/>
      <c r="K321" s="216"/>
    </row>
    <row r="322" spans="3:11">
      <c r="C322" s="84" t="s">
        <v>1229</v>
      </c>
      <c r="D322" s="81"/>
      <c r="E322" s="81"/>
      <c r="F322" s="81"/>
      <c r="G322" s="163"/>
      <c r="H322" s="306">
        <v>0</v>
      </c>
      <c r="K322" s="216"/>
    </row>
    <row r="323" spans="3:11">
      <c r="C323" s="59" t="s">
        <v>1230</v>
      </c>
      <c r="D323" s="70" t="s">
        <v>1231</v>
      </c>
      <c r="E323" s="71"/>
      <c r="F323" s="71"/>
      <c r="G323" s="72"/>
      <c r="H323" s="307">
        <f>H322+H320+H317</f>
        <v>1605590</v>
      </c>
      <c r="I323" s="322"/>
      <c r="K323" s="216"/>
    </row>
    <row r="324" spans="3:11">
      <c r="C324" s="59" t="s">
        <v>1232</v>
      </c>
      <c r="D324" s="70" t="s">
        <v>1540</v>
      </c>
      <c r="E324" s="71"/>
      <c r="F324" s="72"/>
      <c r="G324" s="62" t="s">
        <v>1541</v>
      </c>
      <c r="H324" s="307">
        <f>H323*10%</f>
        <v>160559</v>
      </c>
      <c r="I324" s="322"/>
      <c r="K324" s="216"/>
    </row>
    <row r="325" spans="3:11">
      <c r="C325" s="59" t="s">
        <v>1233</v>
      </c>
      <c r="D325" s="70" t="s">
        <v>1234</v>
      </c>
      <c r="E325" s="71"/>
      <c r="F325" s="71"/>
      <c r="G325" s="72"/>
      <c r="H325" s="308">
        <f>SUM(H323:H324)</f>
        <v>1766149</v>
      </c>
      <c r="I325" s="322"/>
      <c r="K325" s="216"/>
    </row>
    <row r="326" spans="3:11">
      <c r="C326" s="58"/>
      <c r="D326" s="82"/>
      <c r="E326" s="82"/>
      <c r="F326" s="82"/>
      <c r="G326" s="82"/>
      <c r="H326" s="83"/>
      <c r="K326" s="216"/>
    </row>
    <row r="327" spans="3:11">
      <c r="C327" s="316" t="s">
        <v>1777</v>
      </c>
      <c r="D327" s="318"/>
      <c r="E327" s="318"/>
      <c r="F327" s="318"/>
      <c r="G327" s="318"/>
      <c r="H327" s="318"/>
      <c r="I327" s="57">
        <f>ROUNDDOWN(H342,-2)</f>
        <v>2734100</v>
      </c>
      <c r="K327" s="216"/>
    </row>
    <row r="328" spans="3:11" ht="28.5">
      <c r="C328" s="303" t="s">
        <v>1207</v>
      </c>
      <c r="D328" s="303" t="s">
        <v>1208</v>
      </c>
      <c r="E328" s="303" t="s">
        <v>1209</v>
      </c>
      <c r="F328" s="303" t="s">
        <v>1210</v>
      </c>
      <c r="G328" s="303" t="s">
        <v>1211</v>
      </c>
      <c r="H328" s="303" t="s">
        <v>1212</v>
      </c>
      <c r="K328" s="216"/>
    </row>
    <row r="329" spans="3:11">
      <c r="C329" s="305" t="s">
        <v>1213</v>
      </c>
      <c r="D329" s="60" t="s">
        <v>1214</v>
      </c>
      <c r="E329" s="74"/>
      <c r="F329" s="74"/>
      <c r="G329" s="74"/>
      <c r="H329" s="74"/>
      <c r="K329" s="216"/>
    </row>
    <row r="330" spans="3:11">
      <c r="C330" s="363">
        <v>1</v>
      </c>
      <c r="D330" s="60" t="s">
        <v>5</v>
      </c>
      <c r="E330" s="305" t="s">
        <v>6</v>
      </c>
      <c r="F330" s="184">
        <v>0.76300000000000001</v>
      </c>
      <c r="G330" s="65">
        <f>VLOOKUP(D330,upahbahan,3,FALSE)</f>
        <v>100000</v>
      </c>
      <c r="H330" s="65">
        <f t="shared" ref="H330:H333" si="38">F330*G330</f>
        <v>76300</v>
      </c>
      <c r="K330" s="216"/>
    </row>
    <row r="331" spans="3:11">
      <c r="C331" s="363">
        <v>2</v>
      </c>
      <c r="D331" s="60" t="str">
        <f>D314</f>
        <v>Tukang pipa</v>
      </c>
      <c r="E331" s="305" t="s">
        <v>6</v>
      </c>
      <c r="F331" s="184">
        <v>1.274</v>
      </c>
      <c r="G331" s="65">
        <f>VLOOKUP(D331,upahbahan,3,FALSE)</f>
        <v>145000</v>
      </c>
      <c r="H331" s="65">
        <f t="shared" si="38"/>
        <v>184730</v>
      </c>
      <c r="K331" s="216"/>
    </row>
    <row r="332" spans="3:11">
      <c r="C332" s="363">
        <v>3</v>
      </c>
      <c r="D332" s="60" t="s">
        <v>18</v>
      </c>
      <c r="E332" s="305" t="s">
        <v>6</v>
      </c>
      <c r="F332" s="184">
        <v>0.127</v>
      </c>
      <c r="G332" s="65">
        <f>VLOOKUP(D332,upahbahan,3,FALSE)</f>
        <v>150000</v>
      </c>
      <c r="H332" s="65">
        <f t="shared" si="38"/>
        <v>19050</v>
      </c>
      <c r="K332" s="216"/>
    </row>
    <row r="333" spans="3:11">
      <c r="C333" s="363">
        <v>4</v>
      </c>
      <c r="D333" s="60" t="s">
        <v>19</v>
      </c>
      <c r="E333" s="305" t="s">
        <v>6</v>
      </c>
      <c r="F333" s="184">
        <v>3.7999999999999999E-2</v>
      </c>
      <c r="G333" s="65">
        <f>VLOOKUP(D333,upahbahan,3,FALSE)</f>
        <v>145000</v>
      </c>
      <c r="H333" s="65">
        <f t="shared" si="38"/>
        <v>5510</v>
      </c>
      <c r="K333" s="216"/>
    </row>
    <row r="334" spans="3:11">
      <c r="C334" s="84" t="s">
        <v>1220</v>
      </c>
      <c r="D334" s="81"/>
      <c r="E334" s="81"/>
      <c r="F334" s="220"/>
      <c r="G334" s="221"/>
      <c r="H334" s="65">
        <f>SUM(H330:H333)</f>
        <v>285590</v>
      </c>
      <c r="I334" s="222"/>
      <c r="K334" s="216"/>
    </row>
    <row r="335" spans="3:11">
      <c r="C335" s="305" t="s">
        <v>1221</v>
      </c>
      <c r="D335" s="60" t="s">
        <v>1222</v>
      </c>
      <c r="E335" s="74"/>
      <c r="F335" s="74"/>
      <c r="G335" s="74"/>
      <c r="H335" s="74"/>
      <c r="K335" s="216"/>
    </row>
    <row r="336" spans="3:11">
      <c r="C336" s="363">
        <v>1</v>
      </c>
      <c r="D336" s="60" t="s">
        <v>708</v>
      </c>
      <c r="E336" s="69" t="s">
        <v>139</v>
      </c>
      <c r="F336" s="230">
        <f>F319</f>
        <v>1.1000000000000001</v>
      </c>
      <c r="G336" s="65">
        <f>VLOOKUP(D336,upahbahan,3,FALSE)</f>
        <v>2000000</v>
      </c>
      <c r="H336" s="65">
        <f t="shared" ref="H336" si="39">F336*G336</f>
        <v>2200000</v>
      </c>
      <c r="K336" s="216"/>
    </row>
    <row r="337" spans="3:11">
      <c r="C337" s="84" t="s">
        <v>1226</v>
      </c>
      <c r="D337" s="81"/>
      <c r="E337" s="81"/>
      <c r="F337" s="81"/>
      <c r="G337" s="163"/>
      <c r="H337" s="65">
        <f>SUM(H336:H336)</f>
        <v>2200000</v>
      </c>
      <c r="K337" s="216"/>
    </row>
    <row r="338" spans="3:11">
      <c r="C338" s="73" t="s">
        <v>1227</v>
      </c>
      <c r="D338" s="60" t="s">
        <v>1228</v>
      </c>
      <c r="E338" s="74"/>
      <c r="F338" s="74"/>
      <c r="G338" s="74"/>
      <c r="H338" s="74"/>
      <c r="K338" s="216"/>
    </row>
    <row r="339" spans="3:11">
      <c r="C339" s="84" t="s">
        <v>1229</v>
      </c>
      <c r="D339" s="81"/>
      <c r="E339" s="81"/>
      <c r="F339" s="81"/>
      <c r="G339" s="163"/>
      <c r="H339" s="306">
        <v>0</v>
      </c>
      <c r="K339" s="216"/>
    </row>
    <row r="340" spans="3:11">
      <c r="C340" s="59" t="s">
        <v>1230</v>
      </c>
      <c r="D340" s="70" t="s">
        <v>1231</v>
      </c>
      <c r="E340" s="71"/>
      <c r="F340" s="71"/>
      <c r="G340" s="72"/>
      <c r="H340" s="307">
        <f>H339+H337+H334</f>
        <v>2485590</v>
      </c>
      <c r="I340" s="322"/>
      <c r="K340" s="216"/>
    </row>
    <row r="341" spans="3:11">
      <c r="C341" s="59" t="s">
        <v>1232</v>
      </c>
      <c r="D341" s="70" t="s">
        <v>1540</v>
      </c>
      <c r="E341" s="71"/>
      <c r="F341" s="72"/>
      <c r="G341" s="62" t="s">
        <v>1541</v>
      </c>
      <c r="H341" s="307">
        <f>H340*10%</f>
        <v>248559</v>
      </c>
      <c r="I341" s="322"/>
      <c r="K341" s="216"/>
    </row>
    <row r="342" spans="3:11">
      <c r="C342" s="59" t="s">
        <v>1233</v>
      </c>
      <c r="D342" s="70" t="s">
        <v>1234</v>
      </c>
      <c r="E342" s="71"/>
      <c r="F342" s="71"/>
      <c r="G342" s="72"/>
      <c r="H342" s="308">
        <f>SUM(H340:H341)</f>
        <v>2734149</v>
      </c>
      <c r="I342" s="322"/>
      <c r="K342" s="216"/>
    </row>
    <row r="343" spans="3:11">
      <c r="C343" s="58"/>
      <c r="D343" s="82"/>
      <c r="E343" s="82"/>
      <c r="F343" s="82"/>
      <c r="G343" s="82"/>
      <c r="H343" s="83"/>
      <c r="K343" s="216"/>
    </row>
    <row r="344" spans="3:11">
      <c r="C344" s="316" t="s">
        <v>1778</v>
      </c>
      <c r="D344" s="318"/>
      <c r="E344" s="318"/>
      <c r="F344" s="318"/>
      <c r="G344" s="318"/>
      <c r="H344" s="318"/>
      <c r="I344" s="57">
        <f>ROUNDDOWN(H359,-2)</f>
        <v>1412300</v>
      </c>
      <c r="K344" s="216"/>
    </row>
    <row r="345" spans="3:11" ht="28.5">
      <c r="C345" s="303" t="s">
        <v>1207</v>
      </c>
      <c r="D345" s="303" t="s">
        <v>1208</v>
      </c>
      <c r="E345" s="303" t="s">
        <v>1209</v>
      </c>
      <c r="F345" s="303" t="s">
        <v>1210</v>
      </c>
      <c r="G345" s="303" t="s">
        <v>1211</v>
      </c>
      <c r="H345" s="303" t="s">
        <v>1212</v>
      </c>
      <c r="K345" s="216"/>
    </row>
    <row r="346" spans="3:11">
      <c r="C346" s="305" t="s">
        <v>1213</v>
      </c>
      <c r="D346" s="60" t="s">
        <v>1214</v>
      </c>
      <c r="E346" s="74"/>
      <c r="F346" s="74"/>
      <c r="G346" s="74"/>
      <c r="H346" s="74"/>
      <c r="K346" s="216"/>
    </row>
    <row r="347" spans="3:11">
      <c r="C347" s="363">
        <v>1</v>
      </c>
      <c r="D347" s="60" t="s">
        <v>5</v>
      </c>
      <c r="E347" s="305" t="s">
        <v>6</v>
      </c>
      <c r="F347" s="184">
        <v>0.625</v>
      </c>
      <c r="G347" s="65">
        <f>VLOOKUP(D347,upahbahan,3,FALSE)</f>
        <v>100000</v>
      </c>
      <c r="H347" s="65">
        <f t="shared" ref="H347:H350" si="40">F347*G347</f>
        <v>62500</v>
      </c>
      <c r="K347" s="216"/>
    </row>
    <row r="348" spans="3:11">
      <c r="C348" s="363">
        <v>2</v>
      </c>
      <c r="D348" s="60" t="str">
        <f>D331</f>
        <v>Tukang pipa</v>
      </c>
      <c r="E348" s="305" t="s">
        <v>6</v>
      </c>
      <c r="F348" s="184">
        <v>1.044</v>
      </c>
      <c r="G348" s="65">
        <f>VLOOKUP(D348,upahbahan,3,FALSE)</f>
        <v>145000</v>
      </c>
      <c r="H348" s="65">
        <f t="shared" si="40"/>
        <v>151380</v>
      </c>
      <c r="K348" s="216"/>
    </row>
    <row r="349" spans="3:11">
      <c r="C349" s="363">
        <v>3</v>
      </c>
      <c r="D349" s="60" t="s">
        <v>18</v>
      </c>
      <c r="E349" s="305" t="s">
        <v>6</v>
      </c>
      <c r="F349" s="184">
        <v>0.104</v>
      </c>
      <c r="G349" s="65">
        <f>VLOOKUP(D349,upahbahan,3,FALSE)</f>
        <v>150000</v>
      </c>
      <c r="H349" s="65">
        <f t="shared" si="40"/>
        <v>15600</v>
      </c>
      <c r="K349" s="216"/>
    </row>
    <row r="350" spans="3:11">
      <c r="C350" s="363">
        <v>4</v>
      </c>
      <c r="D350" s="60" t="s">
        <v>19</v>
      </c>
      <c r="E350" s="305" t="s">
        <v>6</v>
      </c>
      <c r="F350" s="184">
        <v>3.1E-2</v>
      </c>
      <c r="G350" s="65">
        <f>VLOOKUP(D350,upahbahan,3,FALSE)</f>
        <v>145000</v>
      </c>
      <c r="H350" s="65">
        <f t="shared" si="40"/>
        <v>4495</v>
      </c>
      <c r="K350" s="216"/>
    </row>
    <row r="351" spans="3:11">
      <c r="C351" s="84" t="s">
        <v>1220</v>
      </c>
      <c r="D351" s="81"/>
      <c r="E351" s="81"/>
      <c r="F351" s="220"/>
      <c r="G351" s="221"/>
      <c r="H351" s="65">
        <f>SUM(H347:H350)</f>
        <v>233975</v>
      </c>
      <c r="I351" s="222"/>
      <c r="K351" s="216"/>
    </row>
    <row r="352" spans="3:11">
      <c r="C352" s="305" t="s">
        <v>1221</v>
      </c>
      <c r="D352" s="60" t="s">
        <v>1222</v>
      </c>
      <c r="E352" s="74"/>
      <c r="F352" s="74"/>
      <c r="G352" s="74"/>
      <c r="H352" s="74"/>
      <c r="K352" s="216"/>
    </row>
    <row r="353" spans="3:11">
      <c r="C353" s="363">
        <v>1</v>
      </c>
      <c r="D353" s="60" t="s">
        <v>712</v>
      </c>
      <c r="E353" s="69" t="s">
        <v>139</v>
      </c>
      <c r="F353" s="230">
        <v>1.05</v>
      </c>
      <c r="G353" s="65">
        <f>VLOOKUP(D353,upahbahan,3,FALSE)</f>
        <v>1000000</v>
      </c>
      <c r="H353" s="65">
        <f t="shared" ref="H353" si="41">F353*G353</f>
        <v>1050000</v>
      </c>
      <c r="K353" s="216"/>
    </row>
    <row r="354" spans="3:11">
      <c r="C354" s="84" t="s">
        <v>1226</v>
      </c>
      <c r="D354" s="81"/>
      <c r="E354" s="81"/>
      <c r="F354" s="81"/>
      <c r="G354" s="163"/>
      <c r="H354" s="65">
        <f>SUM(H353:H353)</f>
        <v>1050000</v>
      </c>
      <c r="K354" s="216"/>
    </row>
    <row r="355" spans="3:11">
      <c r="C355" s="73" t="s">
        <v>1227</v>
      </c>
      <c r="D355" s="60" t="s">
        <v>1228</v>
      </c>
      <c r="E355" s="74"/>
      <c r="F355" s="74"/>
      <c r="G355" s="74"/>
      <c r="H355" s="74"/>
      <c r="K355" s="216"/>
    </row>
    <row r="356" spans="3:11">
      <c r="C356" s="84" t="s">
        <v>1229</v>
      </c>
      <c r="D356" s="81"/>
      <c r="E356" s="81"/>
      <c r="F356" s="81"/>
      <c r="G356" s="163"/>
      <c r="H356" s="306">
        <v>0</v>
      </c>
      <c r="K356" s="216"/>
    </row>
    <row r="357" spans="3:11">
      <c r="C357" s="59" t="s">
        <v>1230</v>
      </c>
      <c r="D357" s="70" t="s">
        <v>1231</v>
      </c>
      <c r="E357" s="71"/>
      <c r="F357" s="71"/>
      <c r="G357" s="72"/>
      <c r="H357" s="307">
        <f>H356+H354+H351</f>
        <v>1283975</v>
      </c>
      <c r="I357" s="322"/>
      <c r="K357" s="216"/>
    </row>
    <row r="358" spans="3:11">
      <c r="C358" s="59" t="s">
        <v>1232</v>
      </c>
      <c r="D358" s="70" t="s">
        <v>1540</v>
      </c>
      <c r="E358" s="71"/>
      <c r="F358" s="72"/>
      <c r="G358" s="62" t="s">
        <v>1541</v>
      </c>
      <c r="H358" s="307">
        <f>H357*10%</f>
        <v>128397.5</v>
      </c>
      <c r="I358" s="322"/>
      <c r="K358" s="216"/>
    </row>
    <row r="359" spans="3:11">
      <c r="C359" s="59" t="s">
        <v>1233</v>
      </c>
      <c r="D359" s="70" t="s">
        <v>1234</v>
      </c>
      <c r="E359" s="71"/>
      <c r="F359" s="71"/>
      <c r="G359" s="72"/>
      <c r="H359" s="308">
        <f>SUM(H357:H358)</f>
        <v>1412372.5</v>
      </c>
      <c r="I359" s="322"/>
      <c r="K359" s="216"/>
    </row>
    <row r="360" spans="3:11">
      <c r="C360" s="58"/>
      <c r="D360" s="82"/>
      <c r="E360" s="82"/>
      <c r="F360" s="82"/>
      <c r="G360" s="82"/>
      <c r="H360" s="83"/>
      <c r="K360" s="216"/>
    </row>
    <row r="361" spans="3:11">
      <c r="C361" s="316" t="s">
        <v>1779</v>
      </c>
      <c r="D361" s="318"/>
      <c r="E361" s="318"/>
      <c r="F361" s="318"/>
      <c r="G361" s="318"/>
      <c r="H361" s="318"/>
      <c r="I361" s="57">
        <f>ROUNDDOWN(H376,-2)</f>
        <v>4342900</v>
      </c>
      <c r="K361" s="216"/>
    </row>
    <row r="362" spans="3:11" ht="28.5">
      <c r="C362" s="303" t="s">
        <v>1207</v>
      </c>
      <c r="D362" s="303" t="s">
        <v>1208</v>
      </c>
      <c r="E362" s="303" t="s">
        <v>1209</v>
      </c>
      <c r="F362" s="303" t="s">
        <v>1210</v>
      </c>
      <c r="G362" s="303" t="s">
        <v>1211</v>
      </c>
      <c r="H362" s="303" t="s">
        <v>1212</v>
      </c>
      <c r="K362" s="216"/>
    </row>
    <row r="363" spans="3:11">
      <c r="C363" s="305" t="s">
        <v>1213</v>
      </c>
      <c r="D363" s="60" t="s">
        <v>1214</v>
      </c>
      <c r="E363" s="74"/>
      <c r="F363" s="74"/>
      <c r="G363" s="74"/>
      <c r="H363" s="74"/>
      <c r="K363" s="216"/>
    </row>
    <row r="364" spans="3:11">
      <c r="C364" s="363">
        <v>1</v>
      </c>
      <c r="D364" s="60" t="s">
        <v>5</v>
      </c>
      <c r="E364" s="305" t="s">
        <v>6</v>
      </c>
      <c r="F364" s="184">
        <v>0.72899999999999998</v>
      </c>
      <c r="G364" s="65">
        <f>VLOOKUP(D364,upahbahan,3,FALSE)</f>
        <v>100000</v>
      </c>
      <c r="H364" s="65">
        <f t="shared" ref="H364:H367" si="42">F364*G364</f>
        <v>72900</v>
      </c>
      <c r="K364" s="216"/>
    </row>
    <row r="365" spans="3:11">
      <c r="C365" s="363">
        <v>2</v>
      </c>
      <c r="D365" s="60" t="str">
        <f>D348</f>
        <v>Tukang pipa</v>
      </c>
      <c r="E365" s="305" t="s">
        <v>6</v>
      </c>
      <c r="F365" s="184">
        <v>1.218</v>
      </c>
      <c r="G365" s="65">
        <f>VLOOKUP(D365,upahbahan,3,FALSE)</f>
        <v>145000</v>
      </c>
      <c r="H365" s="65">
        <f t="shared" si="42"/>
        <v>176610</v>
      </c>
      <c r="K365" s="216"/>
    </row>
    <row r="366" spans="3:11">
      <c r="C366" s="363">
        <v>3</v>
      </c>
      <c r="D366" s="60" t="s">
        <v>18</v>
      </c>
      <c r="E366" s="305" t="s">
        <v>6</v>
      </c>
      <c r="F366" s="184">
        <v>0.122</v>
      </c>
      <c r="G366" s="65">
        <f>VLOOKUP(D366,upahbahan,3,FALSE)</f>
        <v>150000</v>
      </c>
      <c r="H366" s="65">
        <f t="shared" si="42"/>
        <v>18300</v>
      </c>
      <c r="K366" s="216"/>
    </row>
    <row r="367" spans="3:11">
      <c r="C367" s="363">
        <v>4</v>
      </c>
      <c r="D367" s="60" t="s">
        <v>19</v>
      </c>
      <c r="E367" s="305" t="s">
        <v>6</v>
      </c>
      <c r="F367" s="184">
        <v>3.6999999999999998E-2</v>
      </c>
      <c r="G367" s="65">
        <f>VLOOKUP(D367,upahbahan,3,FALSE)</f>
        <v>145000</v>
      </c>
      <c r="H367" s="65">
        <f t="shared" si="42"/>
        <v>5365</v>
      </c>
      <c r="K367" s="216"/>
    </row>
    <row r="368" spans="3:11">
      <c r="C368" s="84" t="s">
        <v>1220</v>
      </c>
      <c r="D368" s="81"/>
      <c r="E368" s="81"/>
      <c r="F368" s="220"/>
      <c r="G368" s="221"/>
      <c r="H368" s="65">
        <f>SUM(H364:H367)</f>
        <v>273175</v>
      </c>
      <c r="I368" s="222"/>
      <c r="K368" s="216"/>
    </row>
    <row r="369" spans="3:11">
      <c r="C369" s="305" t="s">
        <v>1221</v>
      </c>
      <c r="D369" s="60" t="s">
        <v>1222</v>
      </c>
      <c r="E369" s="74"/>
      <c r="F369" s="74"/>
      <c r="G369" s="74"/>
      <c r="H369" s="74"/>
      <c r="K369" s="216"/>
    </row>
    <row r="370" spans="3:11">
      <c r="C370" s="363">
        <v>1</v>
      </c>
      <c r="D370" s="60" t="s">
        <v>711</v>
      </c>
      <c r="E370" s="69" t="s">
        <v>139</v>
      </c>
      <c r="F370" s="230">
        <f>F353</f>
        <v>1.05</v>
      </c>
      <c r="G370" s="65">
        <f>VLOOKUP(D370,upahbahan,3,FALSE)</f>
        <v>3500000</v>
      </c>
      <c r="H370" s="65">
        <f t="shared" ref="H370" si="43">F370*G370</f>
        <v>3675000</v>
      </c>
      <c r="K370" s="216"/>
    </row>
    <row r="371" spans="3:11">
      <c r="C371" s="84" t="s">
        <v>1226</v>
      </c>
      <c r="D371" s="81"/>
      <c r="E371" s="81"/>
      <c r="F371" s="81"/>
      <c r="G371" s="163"/>
      <c r="H371" s="65">
        <f>SUM(H370:H370)</f>
        <v>3675000</v>
      </c>
      <c r="K371" s="216"/>
    </row>
    <row r="372" spans="3:11">
      <c r="C372" s="73" t="s">
        <v>1227</v>
      </c>
      <c r="D372" s="60" t="s">
        <v>1228</v>
      </c>
      <c r="E372" s="74"/>
      <c r="F372" s="74"/>
      <c r="G372" s="74"/>
      <c r="H372" s="74"/>
      <c r="K372" s="216"/>
    </row>
    <row r="373" spans="3:11">
      <c r="C373" s="84" t="s">
        <v>1229</v>
      </c>
      <c r="D373" s="81"/>
      <c r="E373" s="81"/>
      <c r="F373" s="81"/>
      <c r="G373" s="163"/>
      <c r="H373" s="306">
        <v>0</v>
      </c>
      <c r="K373" s="216"/>
    </row>
    <row r="374" spans="3:11">
      <c r="C374" s="59" t="s">
        <v>1230</v>
      </c>
      <c r="D374" s="70" t="s">
        <v>1231</v>
      </c>
      <c r="E374" s="71"/>
      <c r="F374" s="71"/>
      <c r="G374" s="72"/>
      <c r="H374" s="307">
        <f>H373+H371+H368</f>
        <v>3948175</v>
      </c>
      <c r="I374" s="322"/>
      <c r="K374" s="216"/>
    </row>
    <row r="375" spans="3:11">
      <c r="C375" s="59" t="s">
        <v>1232</v>
      </c>
      <c r="D375" s="70" t="s">
        <v>1540</v>
      </c>
      <c r="E375" s="71"/>
      <c r="F375" s="72"/>
      <c r="G375" s="62" t="s">
        <v>1541</v>
      </c>
      <c r="H375" s="307">
        <f>H374*10%</f>
        <v>394817.5</v>
      </c>
      <c r="I375" s="322"/>
      <c r="K375" s="216"/>
    </row>
    <row r="376" spans="3:11">
      <c r="C376" s="59" t="s">
        <v>1233</v>
      </c>
      <c r="D376" s="70" t="s">
        <v>1234</v>
      </c>
      <c r="E376" s="71"/>
      <c r="F376" s="71"/>
      <c r="G376" s="72"/>
      <c r="H376" s="308">
        <f>SUM(H374:H375)</f>
        <v>4342992.5</v>
      </c>
      <c r="I376" s="322"/>
      <c r="K376" s="216"/>
    </row>
    <row r="377" spans="3:11">
      <c r="C377" s="58"/>
      <c r="D377" s="82"/>
      <c r="E377" s="82"/>
      <c r="F377" s="82"/>
      <c r="G377" s="82"/>
      <c r="H377" s="83"/>
      <c r="K377" s="216"/>
    </row>
    <row r="378" spans="3:11">
      <c r="C378" s="316" t="s">
        <v>1780</v>
      </c>
      <c r="D378" s="318"/>
      <c r="E378" s="318"/>
      <c r="F378" s="318"/>
      <c r="G378" s="318"/>
      <c r="H378" s="318"/>
      <c r="I378" s="57">
        <f>ROUNDDOWN(H393,-2)</f>
        <v>3273400</v>
      </c>
      <c r="K378" s="216"/>
    </row>
    <row r="379" spans="3:11" ht="28.5">
      <c r="C379" s="303" t="s">
        <v>1207</v>
      </c>
      <c r="D379" s="303" t="s">
        <v>1208</v>
      </c>
      <c r="E379" s="303" t="s">
        <v>1209</v>
      </c>
      <c r="F379" s="303" t="s">
        <v>1210</v>
      </c>
      <c r="G379" s="303" t="s">
        <v>1211</v>
      </c>
      <c r="H379" s="303" t="s">
        <v>1212</v>
      </c>
      <c r="K379" s="216"/>
    </row>
    <row r="380" spans="3:11">
      <c r="C380" s="305" t="s">
        <v>1213</v>
      </c>
      <c r="D380" s="60" t="s">
        <v>1214</v>
      </c>
      <c r="E380" s="74"/>
      <c r="F380" s="74"/>
      <c r="G380" s="74"/>
      <c r="H380" s="74"/>
      <c r="K380" s="216"/>
    </row>
    <row r="381" spans="3:11">
      <c r="C381" s="363">
        <v>1</v>
      </c>
      <c r="D381" s="60" t="s">
        <v>5</v>
      </c>
      <c r="E381" s="305" t="s">
        <v>6</v>
      </c>
      <c r="F381" s="184">
        <v>1.1040000000000001</v>
      </c>
      <c r="G381" s="65">
        <f>VLOOKUP(D381,upahbahan,3,FALSE)</f>
        <v>100000</v>
      </c>
      <c r="H381" s="65">
        <f t="shared" ref="H381:H384" si="44">F381*G381</f>
        <v>110400.00000000001</v>
      </c>
      <c r="K381" s="216"/>
    </row>
    <row r="382" spans="3:11">
      <c r="C382" s="363">
        <v>2</v>
      </c>
      <c r="D382" s="60" t="str">
        <f>D365</f>
        <v>Tukang pipa</v>
      </c>
      <c r="E382" s="305" t="s">
        <v>6</v>
      </c>
      <c r="F382" s="184">
        <v>1.8440000000000001</v>
      </c>
      <c r="G382" s="65">
        <f>VLOOKUP(D382,upahbahan,3,FALSE)</f>
        <v>145000</v>
      </c>
      <c r="H382" s="65">
        <f t="shared" si="44"/>
        <v>267380</v>
      </c>
      <c r="K382" s="216"/>
    </row>
    <row r="383" spans="3:11">
      <c r="C383" s="363">
        <v>3</v>
      </c>
      <c r="D383" s="60" t="s">
        <v>18</v>
      </c>
      <c r="E383" s="305" t="s">
        <v>6</v>
      </c>
      <c r="F383" s="184">
        <v>0.184</v>
      </c>
      <c r="G383" s="65">
        <f>VLOOKUP(D383,upahbahan,3,FALSE)</f>
        <v>150000</v>
      </c>
      <c r="H383" s="65">
        <f t="shared" si="44"/>
        <v>27600</v>
      </c>
      <c r="K383" s="216"/>
    </row>
    <row r="384" spans="3:11">
      <c r="C384" s="363">
        <v>4</v>
      </c>
      <c r="D384" s="60" t="s">
        <v>19</v>
      </c>
      <c r="E384" s="305" t="s">
        <v>6</v>
      </c>
      <c r="F384" s="184">
        <v>5.5E-2</v>
      </c>
      <c r="G384" s="65">
        <f>VLOOKUP(D384,upahbahan,3,FALSE)</f>
        <v>145000</v>
      </c>
      <c r="H384" s="65">
        <f t="shared" si="44"/>
        <v>7975</v>
      </c>
      <c r="K384" s="216"/>
    </row>
    <row r="385" spans="3:11">
      <c r="C385" s="84" t="s">
        <v>1220</v>
      </c>
      <c r="D385" s="81"/>
      <c r="E385" s="81"/>
      <c r="F385" s="220"/>
      <c r="G385" s="221"/>
      <c r="H385" s="65">
        <f>SUM(H381:H384)</f>
        <v>413355</v>
      </c>
      <c r="I385" s="222"/>
      <c r="K385" s="216"/>
    </row>
    <row r="386" spans="3:11">
      <c r="C386" s="305" t="s">
        <v>1221</v>
      </c>
      <c r="D386" s="60" t="s">
        <v>1222</v>
      </c>
      <c r="E386" s="74"/>
      <c r="F386" s="74"/>
      <c r="G386" s="74"/>
      <c r="H386" s="74"/>
      <c r="K386" s="216"/>
    </row>
    <row r="387" spans="3:11">
      <c r="C387" s="363">
        <v>1</v>
      </c>
      <c r="D387" s="60" t="s">
        <v>726</v>
      </c>
      <c r="E387" s="69" t="s">
        <v>139</v>
      </c>
      <c r="F387" s="75">
        <v>1.0249999999999999</v>
      </c>
      <c r="G387" s="65">
        <f>VLOOKUP(D387,upahbahan,3,FALSE)</f>
        <v>2500000</v>
      </c>
      <c r="H387" s="65">
        <f t="shared" ref="H387" si="45">F387*G387</f>
        <v>2562500</v>
      </c>
      <c r="K387" s="216"/>
    </row>
    <row r="388" spans="3:11">
      <c r="C388" s="84" t="s">
        <v>1226</v>
      </c>
      <c r="D388" s="81"/>
      <c r="E388" s="81"/>
      <c r="F388" s="81"/>
      <c r="G388" s="163"/>
      <c r="H388" s="65">
        <f>SUM(H387:H387)</f>
        <v>2562500</v>
      </c>
      <c r="K388" s="216"/>
    </row>
    <row r="389" spans="3:11">
      <c r="C389" s="73" t="s">
        <v>1227</v>
      </c>
      <c r="D389" s="60" t="s">
        <v>1228</v>
      </c>
      <c r="E389" s="74"/>
      <c r="F389" s="74"/>
      <c r="G389" s="74"/>
      <c r="H389" s="74"/>
      <c r="K389" s="216"/>
    </row>
    <row r="390" spans="3:11">
      <c r="C390" s="84" t="s">
        <v>1229</v>
      </c>
      <c r="D390" s="81"/>
      <c r="E390" s="81"/>
      <c r="F390" s="81"/>
      <c r="G390" s="163"/>
      <c r="H390" s="306">
        <v>0</v>
      </c>
      <c r="K390" s="216"/>
    </row>
    <row r="391" spans="3:11">
      <c r="C391" s="59" t="s">
        <v>1230</v>
      </c>
      <c r="D391" s="70" t="s">
        <v>1231</v>
      </c>
      <c r="E391" s="71"/>
      <c r="F391" s="71"/>
      <c r="G391" s="72"/>
      <c r="H391" s="307">
        <f>H390+H388+H385</f>
        <v>2975855</v>
      </c>
      <c r="I391" s="322"/>
      <c r="K391" s="216"/>
    </row>
    <row r="392" spans="3:11">
      <c r="C392" s="59" t="s">
        <v>1232</v>
      </c>
      <c r="D392" s="70" t="s">
        <v>1540</v>
      </c>
      <c r="E392" s="71"/>
      <c r="F392" s="72"/>
      <c r="G392" s="62" t="s">
        <v>1541</v>
      </c>
      <c r="H392" s="307">
        <f>H391*10%</f>
        <v>297585.5</v>
      </c>
      <c r="I392" s="322"/>
      <c r="K392" s="216"/>
    </row>
    <row r="393" spans="3:11">
      <c r="C393" s="59" t="s">
        <v>1233</v>
      </c>
      <c r="D393" s="70" t="s">
        <v>1234</v>
      </c>
      <c r="E393" s="71"/>
      <c r="F393" s="71"/>
      <c r="G393" s="72"/>
      <c r="H393" s="308">
        <f>SUM(H391:H392)</f>
        <v>3273440.5</v>
      </c>
      <c r="I393" s="322"/>
      <c r="K393" s="216"/>
    </row>
    <row r="394" spans="3:11">
      <c r="C394" s="58"/>
      <c r="D394" s="82"/>
      <c r="E394" s="82"/>
      <c r="F394" s="82"/>
      <c r="G394" s="82"/>
      <c r="H394" s="83"/>
      <c r="K394" s="216"/>
    </row>
    <row r="395" spans="3:11">
      <c r="C395" s="316" t="s">
        <v>1781</v>
      </c>
      <c r="D395" s="318"/>
      <c r="E395" s="318"/>
      <c r="F395" s="318"/>
      <c r="G395" s="318"/>
      <c r="H395" s="318"/>
      <c r="I395" s="57">
        <f>ROUNDDOWN(H410,-2)</f>
        <v>7861000</v>
      </c>
      <c r="K395" s="216"/>
    </row>
    <row r="396" spans="3:11" ht="28.5">
      <c r="C396" s="303" t="s">
        <v>1207</v>
      </c>
      <c r="D396" s="303" t="s">
        <v>1208</v>
      </c>
      <c r="E396" s="303" t="s">
        <v>1209</v>
      </c>
      <c r="F396" s="303" t="s">
        <v>1210</v>
      </c>
      <c r="G396" s="303" t="s">
        <v>1211</v>
      </c>
      <c r="H396" s="303" t="s">
        <v>1212</v>
      </c>
      <c r="I396" s="57"/>
      <c r="K396" s="216"/>
    </row>
    <row r="397" spans="3:11">
      <c r="C397" s="305" t="s">
        <v>1213</v>
      </c>
      <c r="D397" s="60" t="s">
        <v>1214</v>
      </c>
      <c r="E397" s="74"/>
      <c r="F397" s="74"/>
      <c r="G397" s="74"/>
      <c r="H397" s="74"/>
      <c r="K397" s="216"/>
    </row>
    <row r="398" spans="3:11">
      <c r="C398" s="363">
        <v>1</v>
      </c>
      <c r="D398" s="60" t="s">
        <v>5</v>
      </c>
      <c r="E398" s="305" t="s">
        <v>6</v>
      </c>
      <c r="F398" s="184">
        <v>5.625</v>
      </c>
      <c r="G398" s="65">
        <f>VLOOKUP(D398,upahbahan,3,FALSE)</f>
        <v>100000</v>
      </c>
      <c r="H398" s="65">
        <f t="shared" ref="H398:H401" si="46">F398*G398</f>
        <v>562500</v>
      </c>
      <c r="K398" s="216"/>
    </row>
    <row r="399" spans="3:11">
      <c r="C399" s="363">
        <v>2</v>
      </c>
      <c r="D399" s="60" t="str">
        <f>D382</f>
        <v>Tukang pipa</v>
      </c>
      <c r="E399" s="305" t="s">
        <v>6</v>
      </c>
      <c r="F399" s="184">
        <v>9.3940000000000001</v>
      </c>
      <c r="G399" s="65">
        <f>VLOOKUP(D399,upahbahan,3,FALSE)</f>
        <v>145000</v>
      </c>
      <c r="H399" s="65">
        <f t="shared" si="46"/>
        <v>1362130</v>
      </c>
      <c r="K399" s="216"/>
    </row>
    <row r="400" spans="3:11">
      <c r="C400" s="363">
        <v>3</v>
      </c>
      <c r="D400" s="60" t="s">
        <v>18</v>
      </c>
      <c r="E400" s="305" t="s">
        <v>6</v>
      </c>
      <c r="F400" s="184">
        <v>0.93899999999999995</v>
      </c>
      <c r="G400" s="65">
        <f>VLOOKUP(D400,upahbahan,3,FALSE)</f>
        <v>150000</v>
      </c>
      <c r="H400" s="65">
        <f t="shared" si="46"/>
        <v>140850</v>
      </c>
      <c r="K400" s="216"/>
    </row>
    <row r="401" spans="3:11">
      <c r="C401" s="363">
        <v>4</v>
      </c>
      <c r="D401" s="60" t="s">
        <v>19</v>
      </c>
      <c r="E401" s="305" t="s">
        <v>6</v>
      </c>
      <c r="F401" s="184">
        <v>0.28199999999999997</v>
      </c>
      <c r="G401" s="65">
        <f>VLOOKUP(D401,upahbahan,3,FALSE)</f>
        <v>145000</v>
      </c>
      <c r="H401" s="65">
        <f t="shared" si="46"/>
        <v>40889.999999999993</v>
      </c>
      <c r="K401" s="216"/>
    </row>
    <row r="402" spans="3:11">
      <c r="C402" s="84" t="s">
        <v>1220</v>
      </c>
      <c r="D402" s="81"/>
      <c r="E402" s="81"/>
      <c r="F402" s="220"/>
      <c r="G402" s="221"/>
      <c r="H402" s="65">
        <f>SUM(H398:H401)</f>
        <v>2106370</v>
      </c>
      <c r="I402" s="222"/>
      <c r="K402" s="216"/>
    </row>
    <row r="403" spans="3:11">
      <c r="C403" s="305" t="s">
        <v>1221</v>
      </c>
      <c r="D403" s="60" t="s">
        <v>1222</v>
      </c>
      <c r="E403" s="74"/>
      <c r="F403" s="74"/>
      <c r="G403" s="74"/>
      <c r="H403" s="74"/>
      <c r="K403" s="216"/>
    </row>
    <row r="404" spans="3:11">
      <c r="C404" s="363">
        <v>1</v>
      </c>
      <c r="D404" s="60" t="s">
        <v>727</v>
      </c>
      <c r="E404" s="69" t="s">
        <v>139</v>
      </c>
      <c r="F404" s="75">
        <v>1.05</v>
      </c>
      <c r="G404" s="65">
        <f>VLOOKUP(D404,upahbahan,3,FALSE)</f>
        <v>4800000</v>
      </c>
      <c r="H404" s="65">
        <f t="shared" ref="H404" si="47">F404*G404</f>
        <v>5040000</v>
      </c>
      <c r="K404" s="216"/>
    </row>
    <row r="405" spans="3:11">
      <c r="C405" s="84" t="s">
        <v>1226</v>
      </c>
      <c r="D405" s="81"/>
      <c r="E405" s="81"/>
      <c r="F405" s="81"/>
      <c r="G405" s="163"/>
      <c r="H405" s="65">
        <f>SUM(H404:H404)</f>
        <v>5040000</v>
      </c>
      <c r="K405" s="216"/>
    </row>
    <row r="406" spans="3:11">
      <c r="C406" s="73" t="s">
        <v>1227</v>
      </c>
      <c r="D406" s="60" t="s">
        <v>1228</v>
      </c>
      <c r="E406" s="74"/>
      <c r="F406" s="74"/>
      <c r="G406" s="74"/>
      <c r="H406" s="74"/>
      <c r="K406" s="216"/>
    </row>
    <row r="407" spans="3:11">
      <c r="C407" s="84" t="s">
        <v>1229</v>
      </c>
      <c r="D407" s="81"/>
      <c r="E407" s="81"/>
      <c r="F407" s="81"/>
      <c r="G407" s="163"/>
      <c r="H407" s="306">
        <v>0</v>
      </c>
      <c r="K407" s="216"/>
    </row>
    <row r="408" spans="3:11">
      <c r="C408" s="59" t="s">
        <v>1230</v>
      </c>
      <c r="D408" s="70" t="s">
        <v>1231</v>
      </c>
      <c r="E408" s="71"/>
      <c r="F408" s="71"/>
      <c r="G408" s="72"/>
      <c r="H408" s="307">
        <f>H407+H405+H402</f>
        <v>7146370</v>
      </c>
      <c r="I408" s="322"/>
      <c r="K408" s="216"/>
    </row>
    <row r="409" spans="3:11">
      <c r="C409" s="59" t="s">
        <v>1232</v>
      </c>
      <c r="D409" s="70" t="s">
        <v>1540</v>
      </c>
      <c r="E409" s="71"/>
      <c r="F409" s="72"/>
      <c r="G409" s="62" t="s">
        <v>1541</v>
      </c>
      <c r="H409" s="307">
        <f>H408*10%</f>
        <v>714637</v>
      </c>
      <c r="I409" s="322"/>
      <c r="K409" s="216"/>
    </row>
    <row r="410" spans="3:11">
      <c r="C410" s="59" t="s">
        <v>1233</v>
      </c>
      <c r="D410" s="70" t="s">
        <v>1234</v>
      </c>
      <c r="E410" s="71"/>
      <c r="F410" s="71"/>
      <c r="G410" s="72"/>
      <c r="H410" s="308">
        <f>SUM(H408:H409)</f>
        <v>7861007</v>
      </c>
      <c r="I410" s="322"/>
      <c r="K410" s="216"/>
    </row>
    <row r="411" spans="3:11">
      <c r="C411" s="58"/>
      <c r="D411" s="82"/>
      <c r="E411" s="82"/>
      <c r="F411" s="82"/>
      <c r="G411" s="82"/>
      <c r="H411" s="83"/>
      <c r="K411" s="216"/>
    </row>
    <row r="412" spans="3:11">
      <c r="C412" s="316" t="s">
        <v>1782</v>
      </c>
      <c r="D412" s="318"/>
      <c r="E412" s="318"/>
      <c r="F412" s="318"/>
      <c r="G412" s="318"/>
      <c r="H412" s="318"/>
      <c r="I412" s="57">
        <f>ROUNDDOWN(H427,-2)</f>
        <v>1187500</v>
      </c>
      <c r="K412" s="216"/>
    </row>
    <row r="413" spans="3:11" ht="28.5">
      <c r="C413" s="303" t="s">
        <v>1207</v>
      </c>
      <c r="D413" s="303" t="s">
        <v>1208</v>
      </c>
      <c r="E413" s="303" t="s">
        <v>1209</v>
      </c>
      <c r="F413" s="303" t="s">
        <v>1210</v>
      </c>
      <c r="G413" s="303" t="s">
        <v>1211</v>
      </c>
      <c r="H413" s="303" t="s">
        <v>1212</v>
      </c>
      <c r="K413" s="216"/>
    </row>
    <row r="414" spans="3:11">
      <c r="C414" s="305" t="s">
        <v>1213</v>
      </c>
      <c r="D414" s="60" t="s">
        <v>1214</v>
      </c>
      <c r="E414" s="74"/>
      <c r="F414" s="74"/>
      <c r="G414" s="74"/>
      <c r="H414" s="74"/>
      <c r="K414" s="216"/>
    </row>
    <row r="415" spans="3:11">
      <c r="C415" s="363">
        <v>1</v>
      </c>
      <c r="D415" s="60" t="s">
        <v>5</v>
      </c>
      <c r="E415" s="305" t="s">
        <v>6</v>
      </c>
      <c r="F415" s="184">
        <v>1.1040000000000001</v>
      </c>
      <c r="G415" s="65">
        <f>VLOOKUP(D415,upahbahan,3,FALSE)</f>
        <v>100000</v>
      </c>
      <c r="H415" s="65">
        <f t="shared" ref="H415:H418" si="48">F415*G415</f>
        <v>110400.00000000001</v>
      </c>
      <c r="K415" s="216"/>
    </row>
    <row r="416" spans="3:11">
      <c r="C416" s="363">
        <v>2</v>
      </c>
      <c r="D416" s="60" t="str">
        <f>D399</f>
        <v>Tukang pipa</v>
      </c>
      <c r="E416" s="305" t="s">
        <v>6</v>
      </c>
      <c r="F416" s="184">
        <v>1.8440000000000001</v>
      </c>
      <c r="G416" s="65">
        <f>VLOOKUP(D416,upahbahan,3,FALSE)</f>
        <v>145000</v>
      </c>
      <c r="H416" s="65">
        <f t="shared" si="48"/>
        <v>267380</v>
      </c>
      <c r="K416" s="216"/>
    </row>
    <row r="417" spans="3:11">
      <c r="C417" s="363">
        <v>3</v>
      </c>
      <c r="D417" s="60" t="s">
        <v>18</v>
      </c>
      <c r="E417" s="305" t="s">
        <v>6</v>
      </c>
      <c r="F417" s="184">
        <v>0.184</v>
      </c>
      <c r="G417" s="65">
        <f>VLOOKUP(D417,upahbahan,3,FALSE)</f>
        <v>150000</v>
      </c>
      <c r="H417" s="65">
        <f t="shared" si="48"/>
        <v>27600</v>
      </c>
      <c r="K417" s="216"/>
    </row>
    <row r="418" spans="3:11">
      <c r="C418" s="363">
        <v>4</v>
      </c>
      <c r="D418" s="60" t="s">
        <v>19</v>
      </c>
      <c r="E418" s="305" t="s">
        <v>6</v>
      </c>
      <c r="F418" s="184">
        <v>5.5E-2</v>
      </c>
      <c r="G418" s="65">
        <f>VLOOKUP(D418,upahbahan,3,FALSE)</f>
        <v>145000</v>
      </c>
      <c r="H418" s="65">
        <f t="shared" si="48"/>
        <v>7975</v>
      </c>
      <c r="K418" s="216"/>
    </row>
    <row r="419" spans="3:11">
      <c r="C419" s="84" t="s">
        <v>1220</v>
      </c>
      <c r="D419" s="81"/>
      <c r="E419" s="81"/>
      <c r="F419" s="220"/>
      <c r="G419" s="221"/>
      <c r="H419" s="65">
        <f>SUM(H415:H418)</f>
        <v>413355</v>
      </c>
      <c r="I419" s="222"/>
      <c r="K419" s="216"/>
    </row>
    <row r="420" spans="3:11">
      <c r="C420" s="305" t="s">
        <v>1221</v>
      </c>
      <c r="D420" s="60" t="s">
        <v>1222</v>
      </c>
      <c r="E420" s="74"/>
      <c r="F420" s="74"/>
      <c r="G420" s="74"/>
      <c r="H420" s="74"/>
      <c r="K420" s="216"/>
    </row>
    <row r="421" spans="3:11">
      <c r="C421" s="363">
        <v>1</v>
      </c>
      <c r="D421" s="60" t="s">
        <v>684</v>
      </c>
      <c r="E421" s="69" t="s">
        <v>139</v>
      </c>
      <c r="F421" s="75">
        <v>1.0249999999999999</v>
      </c>
      <c r="G421" s="65">
        <f>VLOOKUP(D421,upahbahan,3,FALSE)</f>
        <v>650000</v>
      </c>
      <c r="H421" s="65">
        <f t="shared" ref="H421" si="49">F421*G421</f>
        <v>666250</v>
      </c>
      <c r="K421" s="216"/>
    </row>
    <row r="422" spans="3:11">
      <c r="C422" s="84" t="s">
        <v>1226</v>
      </c>
      <c r="D422" s="81"/>
      <c r="E422" s="81"/>
      <c r="F422" s="81"/>
      <c r="G422" s="163"/>
      <c r="H422" s="65">
        <f>SUM(H421:H421)</f>
        <v>666250</v>
      </c>
      <c r="K422" s="216"/>
    </row>
    <row r="423" spans="3:11">
      <c r="C423" s="73" t="s">
        <v>1227</v>
      </c>
      <c r="D423" s="60" t="s">
        <v>1228</v>
      </c>
      <c r="E423" s="74"/>
      <c r="F423" s="74"/>
      <c r="G423" s="74"/>
      <c r="H423" s="74"/>
      <c r="K423" s="216"/>
    </row>
    <row r="424" spans="3:11">
      <c r="C424" s="84" t="s">
        <v>1229</v>
      </c>
      <c r="D424" s="81"/>
      <c r="E424" s="81"/>
      <c r="F424" s="81"/>
      <c r="G424" s="163"/>
      <c r="H424" s="306">
        <v>0</v>
      </c>
      <c r="K424" s="216"/>
    </row>
    <row r="425" spans="3:11">
      <c r="C425" s="59" t="s">
        <v>1230</v>
      </c>
      <c r="D425" s="70" t="s">
        <v>1231</v>
      </c>
      <c r="E425" s="71"/>
      <c r="F425" s="71"/>
      <c r="G425" s="72"/>
      <c r="H425" s="307">
        <f>H424+H422+H419</f>
        <v>1079605</v>
      </c>
      <c r="I425" s="322"/>
      <c r="K425" s="216"/>
    </row>
    <row r="426" spans="3:11">
      <c r="C426" s="59" t="s">
        <v>1232</v>
      </c>
      <c r="D426" s="70" t="s">
        <v>1540</v>
      </c>
      <c r="E426" s="71"/>
      <c r="F426" s="72"/>
      <c r="G426" s="62" t="s">
        <v>1541</v>
      </c>
      <c r="H426" s="307">
        <f>H425*10%</f>
        <v>107960.5</v>
      </c>
      <c r="I426" s="322"/>
      <c r="K426" s="216"/>
    </row>
    <row r="427" spans="3:11">
      <c r="C427" s="59" t="s">
        <v>1233</v>
      </c>
      <c r="D427" s="70" t="s">
        <v>1234</v>
      </c>
      <c r="E427" s="71"/>
      <c r="F427" s="71"/>
      <c r="G427" s="72"/>
      <c r="H427" s="308">
        <f>SUM(H425:H426)</f>
        <v>1187565.5</v>
      </c>
      <c r="I427" s="322"/>
      <c r="K427" s="216"/>
    </row>
    <row r="428" spans="3:11">
      <c r="C428" s="58"/>
      <c r="D428" s="82"/>
      <c r="E428" s="82"/>
      <c r="F428" s="82"/>
      <c r="G428" s="82"/>
      <c r="H428" s="83"/>
      <c r="K428" s="216"/>
    </row>
    <row r="429" spans="3:11">
      <c r="C429" s="316" t="s">
        <v>1783</v>
      </c>
      <c r="D429" s="318"/>
      <c r="E429" s="318"/>
      <c r="F429" s="318"/>
      <c r="G429" s="318"/>
      <c r="H429" s="318"/>
      <c r="I429" s="57">
        <f>ROUNDDOWN(H444,-2)</f>
        <v>5699500</v>
      </c>
      <c r="K429" s="216"/>
    </row>
    <row r="430" spans="3:11" ht="28.5">
      <c r="C430" s="303" t="s">
        <v>1207</v>
      </c>
      <c r="D430" s="303" t="s">
        <v>1208</v>
      </c>
      <c r="E430" s="303" t="s">
        <v>1209</v>
      </c>
      <c r="F430" s="303" t="s">
        <v>1210</v>
      </c>
      <c r="G430" s="303" t="s">
        <v>1211</v>
      </c>
      <c r="H430" s="303" t="s">
        <v>1212</v>
      </c>
      <c r="K430" s="216"/>
    </row>
    <row r="431" spans="3:11">
      <c r="C431" s="305" t="s">
        <v>1213</v>
      </c>
      <c r="D431" s="60" t="s">
        <v>1214</v>
      </c>
      <c r="E431" s="74"/>
      <c r="F431" s="74"/>
      <c r="G431" s="74"/>
      <c r="H431" s="74"/>
      <c r="K431" s="216"/>
    </row>
    <row r="432" spans="3:11">
      <c r="C432" s="363">
        <v>1</v>
      </c>
      <c r="D432" s="60" t="s">
        <v>5</v>
      </c>
      <c r="E432" s="305" t="s">
        <v>6</v>
      </c>
      <c r="F432" s="184">
        <v>5.625</v>
      </c>
      <c r="G432" s="65">
        <f>VLOOKUP(D432,upahbahan,3,FALSE)</f>
        <v>100000</v>
      </c>
      <c r="H432" s="65">
        <f t="shared" ref="H432:H435" si="50">F432*G432</f>
        <v>562500</v>
      </c>
      <c r="K432" s="216"/>
    </row>
    <row r="433" spans="3:11">
      <c r="C433" s="363">
        <v>2</v>
      </c>
      <c r="D433" s="60" t="str">
        <f>D416</f>
        <v>Tukang pipa</v>
      </c>
      <c r="E433" s="305" t="s">
        <v>6</v>
      </c>
      <c r="F433" s="184">
        <v>9.3940000000000001</v>
      </c>
      <c r="G433" s="65">
        <f>VLOOKUP(D433,upahbahan,3,FALSE)</f>
        <v>145000</v>
      </c>
      <c r="H433" s="65">
        <f t="shared" si="50"/>
        <v>1362130</v>
      </c>
      <c r="K433" s="216"/>
    </row>
    <row r="434" spans="3:11">
      <c r="C434" s="363">
        <v>3</v>
      </c>
      <c r="D434" s="60" t="s">
        <v>18</v>
      </c>
      <c r="E434" s="305" t="s">
        <v>6</v>
      </c>
      <c r="F434" s="184">
        <v>0.93899999999999995</v>
      </c>
      <c r="G434" s="65">
        <f>VLOOKUP(D434,upahbahan,3,FALSE)</f>
        <v>150000</v>
      </c>
      <c r="H434" s="65">
        <f t="shared" si="50"/>
        <v>140850</v>
      </c>
      <c r="K434" s="216"/>
    </row>
    <row r="435" spans="3:11">
      <c r="C435" s="363">
        <v>4</v>
      </c>
      <c r="D435" s="60" t="s">
        <v>19</v>
      </c>
      <c r="E435" s="305" t="s">
        <v>6</v>
      </c>
      <c r="F435" s="184">
        <v>0.28199999999999997</v>
      </c>
      <c r="G435" s="65">
        <f>VLOOKUP(D435,upahbahan,3,FALSE)</f>
        <v>145000</v>
      </c>
      <c r="H435" s="65">
        <f t="shared" si="50"/>
        <v>40889.999999999993</v>
      </c>
      <c r="K435" s="216"/>
    </row>
    <row r="436" spans="3:11">
      <c r="C436" s="84" t="s">
        <v>1220</v>
      </c>
      <c r="D436" s="81"/>
      <c r="E436" s="81"/>
      <c r="F436" s="220"/>
      <c r="G436" s="221"/>
      <c r="H436" s="65">
        <f>SUM(H432:H435)</f>
        <v>2106370</v>
      </c>
      <c r="I436" s="222"/>
      <c r="K436" s="216"/>
    </row>
    <row r="437" spans="3:11">
      <c r="C437" s="305" t="s">
        <v>1221</v>
      </c>
      <c r="D437" s="60" t="s">
        <v>1222</v>
      </c>
      <c r="E437" s="74"/>
      <c r="F437" s="74"/>
      <c r="G437" s="74"/>
      <c r="H437" s="74"/>
      <c r="K437" s="216"/>
    </row>
    <row r="438" spans="3:11">
      <c r="C438" s="363">
        <v>1</v>
      </c>
      <c r="D438" s="60" t="s">
        <v>685</v>
      </c>
      <c r="E438" s="69" t="s">
        <v>139</v>
      </c>
      <c r="F438" s="75">
        <f>F421</f>
        <v>1.0249999999999999</v>
      </c>
      <c r="G438" s="65">
        <f>VLOOKUP(D438,upahbahan,3,FALSE)</f>
        <v>3000000</v>
      </c>
      <c r="H438" s="65">
        <f t="shared" ref="H438" si="51">F438*G438</f>
        <v>3074999.9999999995</v>
      </c>
      <c r="K438" s="216"/>
    </row>
    <row r="439" spans="3:11">
      <c r="C439" s="84" t="s">
        <v>1226</v>
      </c>
      <c r="D439" s="81"/>
      <c r="E439" s="81"/>
      <c r="F439" s="81"/>
      <c r="G439" s="163"/>
      <c r="H439" s="65">
        <f>SUM(H438:H438)</f>
        <v>3074999.9999999995</v>
      </c>
      <c r="K439" s="216"/>
    </row>
    <row r="440" spans="3:11">
      <c r="C440" s="73" t="s">
        <v>1227</v>
      </c>
      <c r="D440" s="60" t="s">
        <v>1228</v>
      </c>
      <c r="E440" s="74"/>
      <c r="F440" s="74"/>
      <c r="G440" s="74"/>
      <c r="H440" s="74"/>
      <c r="K440" s="216"/>
    </row>
    <row r="441" spans="3:11">
      <c r="C441" s="84" t="s">
        <v>1229</v>
      </c>
      <c r="D441" s="81"/>
      <c r="E441" s="81"/>
      <c r="F441" s="81"/>
      <c r="G441" s="163"/>
      <c r="H441" s="306">
        <v>0</v>
      </c>
      <c r="K441" s="216"/>
    </row>
    <row r="442" spans="3:11">
      <c r="C442" s="59" t="s">
        <v>1230</v>
      </c>
      <c r="D442" s="70" t="s">
        <v>1231</v>
      </c>
      <c r="E442" s="71"/>
      <c r="F442" s="71"/>
      <c r="G442" s="72"/>
      <c r="H442" s="307">
        <f>H441+H439+H436</f>
        <v>5181370</v>
      </c>
      <c r="I442" s="322"/>
      <c r="K442" s="216"/>
    </row>
    <row r="443" spans="3:11">
      <c r="C443" s="59" t="s">
        <v>1232</v>
      </c>
      <c r="D443" s="70" t="s">
        <v>1540</v>
      </c>
      <c r="E443" s="71"/>
      <c r="F443" s="72"/>
      <c r="G443" s="62" t="s">
        <v>1541</v>
      </c>
      <c r="H443" s="307">
        <f>H442*10%</f>
        <v>518137</v>
      </c>
      <c r="I443" s="322"/>
      <c r="K443" s="216"/>
    </row>
    <row r="444" spans="3:11">
      <c r="C444" s="59" t="s">
        <v>1233</v>
      </c>
      <c r="D444" s="70" t="s">
        <v>1234</v>
      </c>
      <c r="E444" s="71"/>
      <c r="F444" s="71"/>
      <c r="G444" s="72"/>
      <c r="H444" s="308">
        <f>SUM(H442:H443)</f>
        <v>5699507</v>
      </c>
      <c r="I444" s="322"/>
      <c r="K444" s="216"/>
    </row>
    <row r="445" spans="3:11">
      <c r="C445" s="58"/>
      <c r="D445" s="82"/>
      <c r="E445" s="82"/>
      <c r="F445" s="82"/>
      <c r="G445" s="82"/>
      <c r="H445" s="83"/>
      <c r="K445" s="216"/>
    </row>
    <row r="446" spans="3:11">
      <c r="C446" s="316" t="s">
        <v>1784</v>
      </c>
      <c r="D446" s="318"/>
      <c r="E446" s="318"/>
      <c r="F446" s="318"/>
      <c r="G446" s="318"/>
      <c r="H446" s="318"/>
      <c r="I446" s="57">
        <f>ROUNDDOWN(H461,-2)</f>
        <v>1018400</v>
      </c>
      <c r="K446" s="216"/>
    </row>
    <row r="447" spans="3:11" ht="28.5">
      <c r="C447" s="303" t="s">
        <v>1207</v>
      </c>
      <c r="D447" s="303" t="s">
        <v>1208</v>
      </c>
      <c r="E447" s="303" t="s">
        <v>1209</v>
      </c>
      <c r="F447" s="303" t="s">
        <v>1210</v>
      </c>
      <c r="G447" s="303" t="s">
        <v>1211</v>
      </c>
      <c r="H447" s="303" t="s">
        <v>1212</v>
      </c>
      <c r="K447" s="216"/>
    </row>
    <row r="448" spans="3:11">
      <c r="C448" s="305" t="s">
        <v>1213</v>
      </c>
      <c r="D448" s="60" t="s">
        <v>1214</v>
      </c>
      <c r="E448" s="74"/>
      <c r="F448" s="74"/>
      <c r="G448" s="74"/>
      <c r="H448" s="74"/>
      <c r="K448" s="216"/>
    </row>
    <row r="449" spans="3:11">
      <c r="C449" s="363">
        <v>1</v>
      </c>
      <c r="D449" s="60" t="s">
        <v>5</v>
      </c>
      <c r="E449" s="305" t="s">
        <v>6</v>
      </c>
      <c r="F449" s="184">
        <v>1.1040000000000001</v>
      </c>
      <c r="G449" s="65">
        <f>VLOOKUP(D449,upahbahan,3,FALSE)</f>
        <v>100000</v>
      </c>
      <c r="H449" s="65">
        <f t="shared" ref="H449:H452" si="52">F449*G449</f>
        <v>110400.00000000001</v>
      </c>
      <c r="K449" s="216"/>
    </row>
    <row r="450" spans="3:11">
      <c r="C450" s="363">
        <v>2</v>
      </c>
      <c r="D450" s="60" t="str">
        <f>D433</f>
        <v>Tukang pipa</v>
      </c>
      <c r="E450" s="305" t="s">
        <v>6</v>
      </c>
      <c r="F450" s="184">
        <v>1.8440000000000001</v>
      </c>
      <c r="G450" s="65">
        <f>VLOOKUP(D450,upahbahan,3,FALSE)</f>
        <v>145000</v>
      </c>
      <c r="H450" s="65">
        <f t="shared" si="52"/>
        <v>267380</v>
      </c>
      <c r="K450" s="216"/>
    </row>
    <row r="451" spans="3:11">
      <c r="C451" s="363">
        <v>3</v>
      </c>
      <c r="D451" s="60" t="s">
        <v>18</v>
      </c>
      <c r="E451" s="305" t="s">
        <v>6</v>
      </c>
      <c r="F451" s="184">
        <v>0.184</v>
      </c>
      <c r="G451" s="65">
        <f>VLOOKUP(D451,upahbahan,3,FALSE)</f>
        <v>150000</v>
      </c>
      <c r="H451" s="65">
        <f t="shared" si="52"/>
        <v>27600</v>
      </c>
      <c r="K451" s="216"/>
    </row>
    <row r="452" spans="3:11">
      <c r="C452" s="363">
        <v>4</v>
      </c>
      <c r="D452" s="60" t="s">
        <v>19</v>
      </c>
      <c r="E452" s="305" t="s">
        <v>6</v>
      </c>
      <c r="F452" s="184">
        <v>5.5E-2</v>
      </c>
      <c r="G452" s="65">
        <f>VLOOKUP(D452,upahbahan,3,FALSE)</f>
        <v>145000</v>
      </c>
      <c r="H452" s="65">
        <f t="shared" si="52"/>
        <v>7975</v>
      </c>
      <c r="K452" s="216"/>
    </row>
    <row r="453" spans="3:11">
      <c r="C453" s="84" t="s">
        <v>1220</v>
      </c>
      <c r="D453" s="81"/>
      <c r="E453" s="81"/>
      <c r="F453" s="220"/>
      <c r="G453" s="221"/>
      <c r="H453" s="65">
        <f>SUM(H449:H452)</f>
        <v>413355</v>
      </c>
      <c r="I453" s="222"/>
      <c r="K453" s="216"/>
    </row>
    <row r="454" spans="3:11">
      <c r="C454" s="305" t="s">
        <v>1221</v>
      </c>
      <c r="D454" s="60" t="s">
        <v>1222</v>
      </c>
      <c r="E454" s="74"/>
      <c r="F454" s="74"/>
      <c r="G454" s="74"/>
      <c r="H454" s="74"/>
      <c r="K454" s="216"/>
    </row>
    <row r="455" spans="3:11">
      <c r="C455" s="363">
        <v>1</v>
      </c>
      <c r="D455" s="60" t="s">
        <v>739</v>
      </c>
      <c r="E455" s="69" t="s">
        <v>139</v>
      </c>
      <c r="F455" s="75">
        <f>F438</f>
        <v>1.0249999999999999</v>
      </c>
      <c r="G455" s="65">
        <f>VLOOKUP(D455,upahbahan,3,FALSE)</f>
        <v>500000</v>
      </c>
      <c r="H455" s="65">
        <f t="shared" ref="H455" si="53">F455*G455</f>
        <v>512499.99999999994</v>
      </c>
      <c r="K455" s="216"/>
    </row>
    <row r="456" spans="3:11">
      <c r="C456" s="84" t="s">
        <v>1226</v>
      </c>
      <c r="D456" s="81"/>
      <c r="E456" s="81"/>
      <c r="F456" s="81"/>
      <c r="G456" s="163"/>
      <c r="H456" s="65">
        <f>SUM(H455:H455)</f>
        <v>512499.99999999994</v>
      </c>
      <c r="K456" s="216"/>
    </row>
    <row r="457" spans="3:11">
      <c r="C457" s="73" t="s">
        <v>1227</v>
      </c>
      <c r="D457" s="60" t="s">
        <v>1228</v>
      </c>
      <c r="E457" s="74"/>
      <c r="F457" s="74"/>
      <c r="G457" s="74"/>
      <c r="H457" s="74"/>
      <c r="K457" s="216"/>
    </row>
    <row r="458" spans="3:11">
      <c r="C458" s="84" t="s">
        <v>1229</v>
      </c>
      <c r="D458" s="81"/>
      <c r="E458" s="81"/>
      <c r="F458" s="81"/>
      <c r="G458" s="163"/>
      <c r="H458" s="306">
        <v>0</v>
      </c>
      <c r="K458" s="216"/>
    </row>
    <row r="459" spans="3:11">
      <c r="C459" s="59" t="s">
        <v>1230</v>
      </c>
      <c r="D459" s="70" t="s">
        <v>1231</v>
      </c>
      <c r="E459" s="71"/>
      <c r="F459" s="71"/>
      <c r="G459" s="72"/>
      <c r="H459" s="307">
        <f>H458+H456+H453</f>
        <v>925855</v>
      </c>
      <c r="I459" s="322"/>
      <c r="K459" s="216"/>
    </row>
    <row r="460" spans="3:11">
      <c r="C460" s="59" t="s">
        <v>1232</v>
      </c>
      <c r="D460" s="70" t="s">
        <v>1540</v>
      </c>
      <c r="E460" s="71"/>
      <c r="F460" s="72"/>
      <c r="G460" s="62" t="s">
        <v>1541</v>
      </c>
      <c r="H460" s="307">
        <f>H459*10%</f>
        <v>92585.5</v>
      </c>
      <c r="I460" s="322"/>
      <c r="K460" s="216"/>
    </row>
    <row r="461" spans="3:11">
      <c r="C461" s="59" t="s">
        <v>1233</v>
      </c>
      <c r="D461" s="70" t="s">
        <v>1234</v>
      </c>
      <c r="E461" s="71"/>
      <c r="F461" s="71"/>
      <c r="G461" s="72"/>
      <c r="H461" s="308">
        <f>SUM(H459:H460)</f>
        <v>1018440.5</v>
      </c>
      <c r="I461" s="322"/>
      <c r="K461" s="216"/>
    </row>
    <row r="462" spans="3:11">
      <c r="C462" s="58"/>
      <c r="D462" s="82"/>
      <c r="E462" s="82"/>
      <c r="F462" s="82"/>
      <c r="G462" s="82"/>
      <c r="H462" s="83"/>
      <c r="K462" s="216"/>
    </row>
    <row r="463" spans="3:11">
      <c r="C463" s="316" t="s">
        <v>1785</v>
      </c>
      <c r="D463" s="318"/>
      <c r="E463" s="318"/>
      <c r="F463" s="318"/>
      <c r="G463" s="318"/>
      <c r="H463" s="318"/>
      <c r="I463" s="57">
        <f>ROUNDDOWN(H478,-2)</f>
        <v>1723100</v>
      </c>
      <c r="K463" s="216"/>
    </row>
    <row r="464" spans="3:11" ht="28.5">
      <c r="C464" s="303" t="s">
        <v>1207</v>
      </c>
      <c r="D464" s="303" t="s">
        <v>1208</v>
      </c>
      <c r="E464" s="303" t="s">
        <v>1209</v>
      </c>
      <c r="F464" s="303" t="s">
        <v>1210</v>
      </c>
      <c r="G464" s="303" t="s">
        <v>1211</v>
      </c>
      <c r="H464" s="303" t="s">
        <v>1212</v>
      </c>
      <c r="K464" s="216"/>
    </row>
    <row r="465" spans="3:11">
      <c r="C465" s="305" t="s">
        <v>1213</v>
      </c>
      <c r="D465" s="60" t="s">
        <v>1214</v>
      </c>
      <c r="E465" s="74"/>
      <c r="F465" s="74"/>
      <c r="G465" s="74"/>
      <c r="H465" s="74"/>
      <c r="K465" s="216"/>
    </row>
    <row r="466" spans="3:11">
      <c r="C466" s="363">
        <v>1</v>
      </c>
      <c r="D466" s="60" t="s">
        <v>5</v>
      </c>
      <c r="E466" s="305" t="s">
        <v>6</v>
      </c>
      <c r="F466" s="184">
        <v>0.625</v>
      </c>
      <c r="G466" s="65">
        <f>VLOOKUP(D466,upahbahan,3,FALSE)</f>
        <v>100000</v>
      </c>
      <c r="H466" s="65">
        <f t="shared" ref="H466:H469" si="54">F466*G466</f>
        <v>62500</v>
      </c>
      <c r="K466" s="216"/>
    </row>
    <row r="467" spans="3:11">
      <c r="C467" s="363">
        <v>2</v>
      </c>
      <c r="D467" s="60" t="str">
        <f>D450</f>
        <v>Tukang pipa</v>
      </c>
      <c r="E467" s="305" t="s">
        <v>6</v>
      </c>
      <c r="F467" s="184">
        <v>1.044</v>
      </c>
      <c r="G467" s="65">
        <f>VLOOKUP(D467,upahbahan,3,FALSE)</f>
        <v>145000</v>
      </c>
      <c r="H467" s="65">
        <f t="shared" si="54"/>
        <v>151380</v>
      </c>
      <c r="K467" s="216"/>
    </row>
    <row r="468" spans="3:11">
      <c r="C468" s="363">
        <v>3</v>
      </c>
      <c r="D468" s="60" t="s">
        <v>18</v>
      </c>
      <c r="E468" s="305" t="s">
        <v>6</v>
      </c>
      <c r="F468" s="184">
        <v>0.104</v>
      </c>
      <c r="G468" s="65">
        <f>VLOOKUP(D468,upahbahan,3,FALSE)</f>
        <v>150000</v>
      </c>
      <c r="H468" s="65">
        <f t="shared" si="54"/>
        <v>15600</v>
      </c>
      <c r="K468" s="216"/>
    </row>
    <row r="469" spans="3:11">
      <c r="C469" s="363">
        <v>4</v>
      </c>
      <c r="D469" s="60" t="s">
        <v>19</v>
      </c>
      <c r="E469" s="305" t="s">
        <v>6</v>
      </c>
      <c r="F469" s="184">
        <v>3.1E-2</v>
      </c>
      <c r="G469" s="65">
        <f>VLOOKUP(D469,upahbahan,3,FALSE)</f>
        <v>145000</v>
      </c>
      <c r="H469" s="65">
        <f t="shared" si="54"/>
        <v>4495</v>
      </c>
      <c r="K469" s="216"/>
    </row>
    <row r="470" spans="3:11">
      <c r="C470" s="84" t="s">
        <v>1220</v>
      </c>
      <c r="D470" s="81"/>
      <c r="E470" s="81"/>
      <c r="F470" s="220"/>
      <c r="G470" s="221"/>
      <c r="H470" s="65">
        <f>SUM(H466:H469)</f>
        <v>233975</v>
      </c>
      <c r="I470" s="222"/>
      <c r="K470" s="216"/>
    </row>
    <row r="471" spans="3:11">
      <c r="C471" s="305" t="s">
        <v>1221</v>
      </c>
      <c r="D471" s="60" t="s">
        <v>1222</v>
      </c>
      <c r="E471" s="74"/>
      <c r="F471" s="74"/>
      <c r="G471" s="74"/>
      <c r="H471" s="74"/>
      <c r="K471" s="216"/>
    </row>
    <row r="472" spans="3:11">
      <c r="C472" s="363">
        <v>1</v>
      </c>
      <c r="D472" s="60" t="s">
        <v>717</v>
      </c>
      <c r="E472" s="69" t="s">
        <v>139</v>
      </c>
      <c r="F472" s="75">
        <f>F455</f>
        <v>1.0249999999999999</v>
      </c>
      <c r="G472" s="65">
        <f>VLOOKUP(D472,upahbahan,3,FALSE)</f>
        <v>1300000</v>
      </c>
      <c r="H472" s="65">
        <f t="shared" ref="H472" si="55">F472*G472</f>
        <v>1332500</v>
      </c>
      <c r="K472" s="216"/>
    </row>
    <row r="473" spans="3:11">
      <c r="C473" s="84" t="s">
        <v>1226</v>
      </c>
      <c r="D473" s="81"/>
      <c r="E473" s="81"/>
      <c r="F473" s="81"/>
      <c r="G473" s="163"/>
      <c r="H473" s="65">
        <f>SUM(H472:H472)</f>
        <v>1332500</v>
      </c>
      <c r="K473" s="216"/>
    </row>
    <row r="474" spans="3:11">
      <c r="C474" s="73" t="s">
        <v>1227</v>
      </c>
      <c r="D474" s="60" t="s">
        <v>1228</v>
      </c>
      <c r="E474" s="74"/>
      <c r="F474" s="74"/>
      <c r="G474" s="74"/>
      <c r="H474" s="74"/>
      <c r="K474" s="216"/>
    </row>
    <row r="475" spans="3:11">
      <c r="C475" s="84" t="s">
        <v>1229</v>
      </c>
      <c r="D475" s="81"/>
      <c r="E475" s="81"/>
      <c r="F475" s="81"/>
      <c r="G475" s="163"/>
      <c r="H475" s="306">
        <v>0</v>
      </c>
      <c r="K475" s="216"/>
    </row>
    <row r="476" spans="3:11">
      <c r="C476" s="59" t="s">
        <v>1230</v>
      </c>
      <c r="D476" s="70" t="s">
        <v>1231</v>
      </c>
      <c r="E476" s="71"/>
      <c r="F476" s="71"/>
      <c r="G476" s="72"/>
      <c r="H476" s="307">
        <f>H475+H473+H470</f>
        <v>1566475</v>
      </c>
      <c r="I476" s="322"/>
      <c r="K476" s="216"/>
    </row>
    <row r="477" spans="3:11">
      <c r="C477" s="59" t="s">
        <v>1232</v>
      </c>
      <c r="D477" s="70" t="s">
        <v>1540</v>
      </c>
      <c r="E477" s="71"/>
      <c r="F477" s="72"/>
      <c r="G477" s="62" t="s">
        <v>1541</v>
      </c>
      <c r="H477" s="307">
        <f>H476*10%</f>
        <v>156647.5</v>
      </c>
      <c r="I477" s="322"/>
      <c r="K477" s="216"/>
    </row>
    <row r="478" spans="3:11">
      <c r="C478" s="59" t="s">
        <v>1233</v>
      </c>
      <c r="D478" s="70" t="s">
        <v>1234</v>
      </c>
      <c r="E478" s="71"/>
      <c r="F478" s="71"/>
      <c r="G478" s="72"/>
      <c r="H478" s="308">
        <f>SUM(H476:H477)</f>
        <v>1723122.5</v>
      </c>
      <c r="I478" s="322"/>
      <c r="K478" s="216"/>
    </row>
    <row r="479" spans="3:11">
      <c r="C479" s="58"/>
      <c r="D479" s="82"/>
      <c r="E479" s="82"/>
      <c r="F479" s="82"/>
      <c r="G479" s="82"/>
      <c r="H479" s="83"/>
      <c r="K479" s="216"/>
    </row>
    <row r="480" spans="3:11">
      <c r="C480" s="316" t="s">
        <v>1786</v>
      </c>
      <c r="D480" s="318"/>
      <c r="E480" s="318"/>
      <c r="F480" s="318"/>
      <c r="G480" s="318"/>
      <c r="H480" s="318"/>
      <c r="I480" s="57">
        <f>ROUNDDOWN(H495,-2)</f>
        <v>2619600</v>
      </c>
      <c r="K480" s="216"/>
    </row>
    <row r="481" spans="3:11" ht="28.5">
      <c r="C481" s="303" t="s">
        <v>1207</v>
      </c>
      <c r="D481" s="303" t="s">
        <v>1208</v>
      </c>
      <c r="E481" s="303" t="s">
        <v>1209</v>
      </c>
      <c r="F481" s="303" t="s">
        <v>1210</v>
      </c>
      <c r="G481" s="303" t="s">
        <v>1211</v>
      </c>
      <c r="H481" s="303" t="s">
        <v>1212</v>
      </c>
      <c r="K481" s="216"/>
    </row>
    <row r="482" spans="3:11">
      <c r="C482" s="305" t="s">
        <v>1213</v>
      </c>
      <c r="D482" s="60" t="s">
        <v>1214</v>
      </c>
      <c r="E482" s="74"/>
      <c r="F482" s="74"/>
      <c r="G482" s="74"/>
      <c r="H482" s="74"/>
      <c r="K482" s="216"/>
    </row>
    <row r="483" spans="3:11">
      <c r="C483" s="363">
        <v>1</v>
      </c>
      <c r="D483" s="60" t="s">
        <v>5</v>
      </c>
      <c r="E483" s="73" t="s">
        <v>6</v>
      </c>
      <c r="F483" s="184">
        <v>0.66700000000000004</v>
      </c>
      <c r="G483" s="65">
        <f>VLOOKUP(D483,upahbahan,3,FALSE)</f>
        <v>100000</v>
      </c>
      <c r="H483" s="65">
        <f t="shared" ref="H483:H486" si="56">F483*G483</f>
        <v>66700</v>
      </c>
      <c r="K483" s="216"/>
    </row>
    <row r="484" spans="3:11">
      <c r="C484" s="363">
        <v>2</v>
      </c>
      <c r="D484" s="60" t="str">
        <f>D467</f>
        <v>Tukang pipa</v>
      </c>
      <c r="E484" s="73" t="s">
        <v>6</v>
      </c>
      <c r="F484" s="184">
        <v>1.113</v>
      </c>
      <c r="G484" s="65">
        <f>VLOOKUP(D484,upahbahan,3,FALSE)</f>
        <v>145000</v>
      </c>
      <c r="H484" s="65">
        <f t="shared" si="56"/>
        <v>161385</v>
      </c>
      <c r="K484" s="216"/>
    </row>
    <row r="485" spans="3:11">
      <c r="C485" s="363">
        <v>3</v>
      </c>
      <c r="D485" s="60" t="s">
        <v>18</v>
      </c>
      <c r="E485" s="73" t="s">
        <v>6</v>
      </c>
      <c r="F485" s="184">
        <v>0.111</v>
      </c>
      <c r="G485" s="65">
        <f>VLOOKUP(D485,upahbahan,3,FALSE)</f>
        <v>150000</v>
      </c>
      <c r="H485" s="65">
        <f t="shared" si="56"/>
        <v>16650</v>
      </c>
      <c r="K485" s="216"/>
    </row>
    <row r="486" spans="3:11">
      <c r="C486" s="363">
        <v>4</v>
      </c>
      <c r="D486" s="60" t="s">
        <v>19</v>
      </c>
      <c r="E486" s="73" t="s">
        <v>6</v>
      </c>
      <c r="F486" s="184">
        <v>3.3000000000000002E-2</v>
      </c>
      <c r="G486" s="65">
        <f>VLOOKUP(D486,upahbahan,3,FALSE)</f>
        <v>145000</v>
      </c>
      <c r="H486" s="65">
        <f t="shared" si="56"/>
        <v>4785</v>
      </c>
      <c r="K486" s="216"/>
    </row>
    <row r="487" spans="3:11">
      <c r="C487" s="84" t="s">
        <v>1220</v>
      </c>
      <c r="D487" s="81"/>
      <c r="E487" s="81"/>
      <c r="F487" s="220"/>
      <c r="G487" s="221"/>
      <c r="H487" s="65">
        <f>SUM(H483:H486)</f>
        <v>249520</v>
      </c>
      <c r="I487" s="222"/>
      <c r="K487" s="216"/>
    </row>
    <row r="488" spans="3:11">
      <c r="C488" s="305" t="s">
        <v>1221</v>
      </c>
      <c r="D488" s="60" t="s">
        <v>1222</v>
      </c>
      <c r="E488" s="74"/>
      <c r="F488" s="74"/>
      <c r="G488" s="74"/>
      <c r="H488" s="74"/>
      <c r="K488" s="216"/>
    </row>
    <row r="489" spans="3:11">
      <c r="C489" s="363">
        <v>1</v>
      </c>
      <c r="D489" s="60" t="s">
        <v>718</v>
      </c>
      <c r="E489" s="69" t="s">
        <v>139</v>
      </c>
      <c r="F489" s="75">
        <f>F472</f>
        <v>1.0249999999999999</v>
      </c>
      <c r="G489" s="65">
        <f>VLOOKUP(D489,upahbahan,3,FALSE)</f>
        <v>2080000</v>
      </c>
      <c r="H489" s="65">
        <f t="shared" ref="H489" si="57">F489*G489</f>
        <v>2132000</v>
      </c>
      <c r="K489" s="216"/>
    </row>
    <row r="490" spans="3:11">
      <c r="C490" s="84" t="s">
        <v>1226</v>
      </c>
      <c r="D490" s="81"/>
      <c r="E490" s="81"/>
      <c r="F490" s="81"/>
      <c r="G490" s="163"/>
      <c r="H490" s="65">
        <f>SUM(H489:H489)</f>
        <v>2132000</v>
      </c>
      <c r="K490" s="216"/>
    </row>
    <row r="491" spans="3:11">
      <c r="C491" s="73" t="s">
        <v>1227</v>
      </c>
      <c r="D491" s="60" t="s">
        <v>1228</v>
      </c>
      <c r="E491" s="74"/>
      <c r="F491" s="74"/>
      <c r="G491" s="74"/>
      <c r="H491" s="74"/>
      <c r="K491" s="216"/>
    </row>
    <row r="492" spans="3:11">
      <c r="C492" s="84" t="s">
        <v>1229</v>
      </c>
      <c r="D492" s="81"/>
      <c r="E492" s="81"/>
      <c r="F492" s="81"/>
      <c r="G492" s="163"/>
      <c r="H492" s="306">
        <v>0</v>
      </c>
      <c r="K492" s="216"/>
    </row>
    <row r="493" spans="3:11">
      <c r="C493" s="59" t="s">
        <v>1230</v>
      </c>
      <c r="D493" s="70" t="s">
        <v>1231</v>
      </c>
      <c r="E493" s="71"/>
      <c r="F493" s="71"/>
      <c r="G493" s="72"/>
      <c r="H493" s="307">
        <f>H492+H490+H487</f>
        <v>2381520</v>
      </c>
      <c r="I493" s="322"/>
      <c r="K493" s="216"/>
    </row>
    <row r="494" spans="3:11">
      <c r="C494" s="59" t="s">
        <v>1232</v>
      </c>
      <c r="D494" s="70" t="s">
        <v>1540</v>
      </c>
      <c r="E494" s="71"/>
      <c r="F494" s="72"/>
      <c r="G494" s="62" t="s">
        <v>1541</v>
      </c>
      <c r="H494" s="307">
        <f>H493*10%</f>
        <v>238152</v>
      </c>
      <c r="I494" s="322"/>
      <c r="K494" s="216"/>
    </row>
    <row r="495" spans="3:11">
      <c r="C495" s="59" t="s">
        <v>1233</v>
      </c>
      <c r="D495" s="70" t="s">
        <v>1234</v>
      </c>
      <c r="E495" s="71"/>
      <c r="F495" s="71"/>
      <c r="G495" s="72"/>
      <c r="H495" s="308">
        <f>SUM(H493:H494)</f>
        <v>2619672</v>
      </c>
      <c r="I495" s="322"/>
      <c r="K495" s="216"/>
    </row>
    <row r="496" spans="3:11">
      <c r="C496" s="58"/>
      <c r="D496" s="82"/>
      <c r="E496" s="82"/>
      <c r="F496" s="82"/>
      <c r="G496" s="82"/>
      <c r="H496" s="83"/>
      <c r="K496" s="216"/>
    </row>
    <row r="497" spans="3:11">
      <c r="C497" s="316" t="s">
        <v>1787</v>
      </c>
      <c r="D497" s="318"/>
      <c r="E497" s="318"/>
      <c r="F497" s="318"/>
      <c r="G497" s="318"/>
      <c r="H497" s="318"/>
      <c r="I497" s="57">
        <f>ROUNDDOWN(H512,-2)</f>
        <v>3513800</v>
      </c>
      <c r="K497" s="216"/>
    </row>
    <row r="498" spans="3:11" ht="28.5">
      <c r="C498" s="303" t="s">
        <v>1207</v>
      </c>
      <c r="D498" s="303" t="s">
        <v>1208</v>
      </c>
      <c r="E498" s="303" t="s">
        <v>1209</v>
      </c>
      <c r="F498" s="303" t="s">
        <v>1210</v>
      </c>
      <c r="G498" s="303" t="s">
        <v>1211</v>
      </c>
      <c r="H498" s="303" t="s">
        <v>1212</v>
      </c>
      <c r="K498" s="216"/>
    </row>
    <row r="499" spans="3:11">
      <c r="C499" s="305" t="s">
        <v>1213</v>
      </c>
      <c r="D499" s="60" t="s">
        <v>1214</v>
      </c>
      <c r="E499" s="74"/>
      <c r="F499" s="74"/>
      <c r="G499" s="74"/>
      <c r="H499" s="74"/>
      <c r="K499" s="216"/>
    </row>
    <row r="500" spans="3:11">
      <c r="C500" s="363">
        <v>1</v>
      </c>
      <c r="D500" s="60" t="s">
        <v>5</v>
      </c>
      <c r="E500" s="73" t="s">
        <v>6</v>
      </c>
      <c r="F500" s="184">
        <v>0.72899999999999998</v>
      </c>
      <c r="G500" s="65">
        <f>VLOOKUP(D500,upahbahan,3,FALSE)</f>
        <v>100000</v>
      </c>
      <c r="H500" s="65">
        <f t="shared" ref="H500:H503" si="58">F500*G500</f>
        <v>72900</v>
      </c>
      <c r="K500" s="216"/>
    </row>
    <row r="501" spans="3:11">
      <c r="C501" s="363">
        <v>2</v>
      </c>
      <c r="D501" s="60" t="str">
        <f>D484</f>
        <v>Tukang pipa</v>
      </c>
      <c r="E501" s="73" t="s">
        <v>6</v>
      </c>
      <c r="F501" s="184">
        <v>1.218</v>
      </c>
      <c r="G501" s="65">
        <f>VLOOKUP(D501,upahbahan,3,FALSE)</f>
        <v>145000</v>
      </c>
      <c r="H501" s="65">
        <f t="shared" si="58"/>
        <v>176610</v>
      </c>
      <c r="K501" s="216"/>
    </row>
    <row r="502" spans="3:11">
      <c r="C502" s="363">
        <v>3</v>
      </c>
      <c r="D502" s="60" t="s">
        <v>18</v>
      </c>
      <c r="E502" s="73" t="s">
        <v>6</v>
      </c>
      <c r="F502" s="184">
        <v>0.122</v>
      </c>
      <c r="G502" s="65">
        <f>VLOOKUP(D502,upahbahan,3,FALSE)</f>
        <v>150000</v>
      </c>
      <c r="H502" s="65">
        <f t="shared" si="58"/>
        <v>18300</v>
      </c>
      <c r="K502" s="216"/>
    </row>
    <row r="503" spans="3:11">
      <c r="C503" s="363">
        <v>4</v>
      </c>
      <c r="D503" s="60" t="s">
        <v>19</v>
      </c>
      <c r="E503" s="73" t="s">
        <v>6</v>
      </c>
      <c r="F503" s="184">
        <v>3.6999999999999998E-2</v>
      </c>
      <c r="G503" s="65">
        <f>VLOOKUP(D503,upahbahan,3,FALSE)</f>
        <v>145000</v>
      </c>
      <c r="H503" s="65">
        <f t="shared" si="58"/>
        <v>5365</v>
      </c>
      <c r="K503" s="216"/>
    </row>
    <row r="504" spans="3:11">
      <c r="C504" s="84" t="s">
        <v>1220</v>
      </c>
      <c r="D504" s="81"/>
      <c r="E504" s="81"/>
      <c r="F504" s="220"/>
      <c r="G504" s="221"/>
      <c r="H504" s="65">
        <f>SUM(H500:H503)</f>
        <v>273175</v>
      </c>
      <c r="I504" s="222"/>
      <c r="K504" s="216"/>
    </row>
    <row r="505" spans="3:11">
      <c r="C505" s="305" t="s">
        <v>1221</v>
      </c>
      <c r="D505" s="60" t="s">
        <v>1222</v>
      </c>
      <c r="E505" s="74"/>
      <c r="F505" s="74"/>
      <c r="G505" s="74"/>
      <c r="H505" s="74"/>
      <c r="K505" s="216"/>
    </row>
    <row r="506" spans="3:11">
      <c r="C506" s="363">
        <v>1</v>
      </c>
      <c r="D506" s="60" t="s">
        <v>715</v>
      </c>
      <c r="E506" s="69" t="s">
        <v>139</v>
      </c>
      <c r="F506" s="75">
        <f>F489</f>
        <v>1.0249999999999999</v>
      </c>
      <c r="G506" s="65">
        <f>VLOOKUP(D506,upahbahan,3,FALSE)</f>
        <v>2850000</v>
      </c>
      <c r="H506" s="65">
        <f t="shared" ref="H506" si="59">F506*G506</f>
        <v>2921249.9999999995</v>
      </c>
      <c r="K506" s="216"/>
    </row>
    <row r="507" spans="3:11">
      <c r="C507" s="84" t="s">
        <v>1226</v>
      </c>
      <c r="D507" s="81"/>
      <c r="E507" s="81"/>
      <c r="F507" s="81"/>
      <c r="G507" s="163"/>
      <c r="H507" s="65">
        <f>SUM(H506:H506)</f>
        <v>2921249.9999999995</v>
      </c>
      <c r="K507" s="216"/>
    </row>
    <row r="508" spans="3:11">
      <c r="C508" s="73" t="s">
        <v>1227</v>
      </c>
      <c r="D508" s="60" t="s">
        <v>1228</v>
      </c>
      <c r="E508" s="74"/>
      <c r="F508" s="74"/>
      <c r="G508" s="74"/>
      <c r="H508" s="74"/>
      <c r="K508" s="216"/>
    </row>
    <row r="509" spans="3:11">
      <c r="C509" s="84" t="s">
        <v>1229</v>
      </c>
      <c r="D509" s="81"/>
      <c r="E509" s="81"/>
      <c r="F509" s="81"/>
      <c r="G509" s="163"/>
      <c r="H509" s="306">
        <v>0</v>
      </c>
      <c r="K509" s="216"/>
    </row>
    <row r="510" spans="3:11">
      <c r="C510" s="59" t="s">
        <v>1230</v>
      </c>
      <c r="D510" s="70" t="s">
        <v>1231</v>
      </c>
      <c r="E510" s="71"/>
      <c r="F510" s="71"/>
      <c r="G510" s="72"/>
      <c r="H510" s="307">
        <f>H509+H507+H504</f>
        <v>3194424.9999999995</v>
      </c>
      <c r="I510" s="322"/>
      <c r="K510" s="216"/>
    </row>
    <row r="511" spans="3:11">
      <c r="C511" s="59" t="s">
        <v>1232</v>
      </c>
      <c r="D511" s="70" t="s">
        <v>1540</v>
      </c>
      <c r="E511" s="71"/>
      <c r="F511" s="72"/>
      <c r="G511" s="62" t="s">
        <v>1541</v>
      </c>
      <c r="H511" s="307">
        <f>H510*10%</f>
        <v>319442.5</v>
      </c>
      <c r="I511" s="322"/>
      <c r="K511" s="216"/>
    </row>
    <row r="512" spans="3:11">
      <c r="C512" s="59" t="s">
        <v>1233</v>
      </c>
      <c r="D512" s="70" t="s">
        <v>1234</v>
      </c>
      <c r="E512" s="71"/>
      <c r="F512" s="71"/>
      <c r="G512" s="72"/>
      <c r="H512" s="308">
        <f>SUM(H510:H511)</f>
        <v>3513867.4999999995</v>
      </c>
      <c r="I512" s="322"/>
      <c r="K512" s="216"/>
    </row>
    <row r="513" spans="3:11">
      <c r="K513" s="216"/>
    </row>
    <row r="514" spans="3:11">
      <c r="C514" s="316" t="s">
        <v>1788</v>
      </c>
      <c r="D514" s="318"/>
      <c r="E514" s="318"/>
      <c r="F514" s="318"/>
      <c r="G514" s="318"/>
      <c r="H514" s="318"/>
      <c r="I514" s="57">
        <f>ROUNDDOWN(H529,-2)</f>
        <v>4853200</v>
      </c>
      <c r="K514" s="216"/>
    </row>
    <row r="515" spans="3:11" ht="28.5">
      <c r="C515" s="303" t="s">
        <v>1207</v>
      </c>
      <c r="D515" s="303" t="s">
        <v>1208</v>
      </c>
      <c r="E515" s="303" t="s">
        <v>1209</v>
      </c>
      <c r="F515" s="303" t="s">
        <v>1210</v>
      </c>
      <c r="G515" s="303" t="s">
        <v>1211</v>
      </c>
      <c r="H515" s="303" t="s">
        <v>1212</v>
      </c>
      <c r="K515" s="216"/>
    </row>
    <row r="516" spans="3:11">
      <c r="C516" s="305" t="s">
        <v>1213</v>
      </c>
      <c r="D516" s="60" t="s">
        <v>1214</v>
      </c>
      <c r="E516" s="74"/>
      <c r="F516" s="74"/>
      <c r="G516" s="74"/>
      <c r="H516" s="74"/>
      <c r="K516" s="216"/>
    </row>
    <row r="517" spans="3:11">
      <c r="C517" s="363">
        <v>1</v>
      </c>
      <c r="D517" s="60" t="s">
        <v>5</v>
      </c>
      <c r="E517" s="73" t="s">
        <v>6</v>
      </c>
      <c r="F517" s="184">
        <v>0.83299999999999996</v>
      </c>
      <c r="G517" s="65">
        <f>VLOOKUP(D517,upahbahan,3,FALSE)</f>
        <v>100000</v>
      </c>
      <c r="H517" s="65">
        <f t="shared" ref="H517:H520" si="60">F517*G517</f>
        <v>83300</v>
      </c>
      <c r="K517" s="216"/>
    </row>
    <row r="518" spans="3:11">
      <c r="C518" s="363">
        <v>2</v>
      </c>
      <c r="D518" s="60" t="str">
        <f>D501</f>
        <v>Tukang pipa</v>
      </c>
      <c r="E518" s="73" t="s">
        <v>6</v>
      </c>
      <c r="F518" s="184">
        <v>1.3919999999999999</v>
      </c>
      <c r="G518" s="65">
        <f>VLOOKUP(D518,upahbahan,3,FALSE)</f>
        <v>145000</v>
      </c>
      <c r="H518" s="65">
        <f t="shared" si="60"/>
        <v>201840</v>
      </c>
      <c r="K518" s="216"/>
    </row>
    <row r="519" spans="3:11">
      <c r="C519" s="363">
        <v>3</v>
      </c>
      <c r="D519" s="60" t="s">
        <v>18</v>
      </c>
      <c r="E519" s="73" t="s">
        <v>6</v>
      </c>
      <c r="F519" s="184">
        <v>0.13900000000000001</v>
      </c>
      <c r="G519" s="65">
        <f>VLOOKUP(D519,upahbahan,3,FALSE)</f>
        <v>150000</v>
      </c>
      <c r="H519" s="65">
        <f t="shared" si="60"/>
        <v>20850.000000000004</v>
      </c>
      <c r="K519" s="216"/>
    </row>
    <row r="520" spans="3:11">
      <c r="C520" s="363">
        <v>4</v>
      </c>
      <c r="D520" s="60" t="s">
        <v>19</v>
      </c>
      <c r="E520" s="73" t="s">
        <v>6</v>
      </c>
      <c r="F520" s="184">
        <v>4.2000000000000003E-2</v>
      </c>
      <c r="G520" s="65">
        <f>VLOOKUP(D520,upahbahan,3,FALSE)</f>
        <v>145000</v>
      </c>
      <c r="H520" s="65">
        <f t="shared" si="60"/>
        <v>6090</v>
      </c>
      <c r="K520" s="216"/>
    </row>
    <row r="521" spans="3:11">
      <c r="C521" s="84" t="s">
        <v>1220</v>
      </c>
      <c r="D521" s="81"/>
      <c r="E521" s="81"/>
      <c r="F521" s="220"/>
      <c r="G521" s="221"/>
      <c r="H521" s="65">
        <f>SUM(H517:H520)</f>
        <v>312080</v>
      </c>
      <c r="I521" s="222"/>
      <c r="K521" s="216"/>
    </row>
    <row r="522" spans="3:11">
      <c r="C522" s="305" t="s">
        <v>1221</v>
      </c>
      <c r="D522" s="60" t="s">
        <v>1222</v>
      </c>
      <c r="E522" s="74"/>
      <c r="F522" s="74"/>
      <c r="G522" s="74"/>
      <c r="H522" s="74"/>
      <c r="K522" s="216"/>
    </row>
    <row r="523" spans="3:11">
      <c r="C523" s="363">
        <v>1</v>
      </c>
      <c r="D523" s="60" t="s">
        <v>716</v>
      </c>
      <c r="E523" s="69" t="s">
        <v>139</v>
      </c>
      <c r="F523" s="75">
        <f>F506</f>
        <v>1.0249999999999999</v>
      </c>
      <c r="G523" s="65">
        <f>VLOOKUP(D523,upahbahan,3,FALSE)</f>
        <v>4000000</v>
      </c>
      <c r="H523" s="65">
        <f t="shared" ref="H523" si="61">F523*G523</f>
        <v>4099999.9999999995</v>
      </c>
      <c r="K523" s="216"/>
    </row>
    <row r="524" spans="3:11">
      <c r="C524" s="84" t="s">
        <v>1226</v>
      </c>
      <c r="D524" s="81"/>
      <c r="E524" s="81"/>
      <c r="F524" s="81"/>
      <c r="G524" s="163"/>
      <c r="H524" s="65">
        <f>SUM(H523:H523)</f>
        <v>4099999.9999999995</v>
      </c>
      <c r="K524" s="216"/>
    </row>
    <row r="525" spans="3:11">
      <c r="C525" s="73" t="s">
        <v>1227</v>
      </c>
      <c r="D525" s="60" t="s">
        <v>1228</v>
      </c>
      <c r="E525" s="74"/>
      <c r="F525" s="74"/>
      <c r="G525" s="74"/>
      <c r="H525" s="74"/>
      <c r="K525" s="216"/>
    </row>
    <row r="526" spans="3:11">
      <c r="C526" s="84" t="s">
        <v>1229</v>
      </c>
      <c r="D526" s="81"/>
      <c r="E526" s="81"/>
      <c r="F526" s="81"/>
      <c r="G526" s="163"/>
      <c r="H526" s="306">
        <v>0</v>
      </c>
      <c r="K526" s="216"/>
    </row>
    <row r="527" spans="3:11">
      <c r="C527" s="59" t="s">
        <v>1230</v>
      </c>
      <c r="D527" s="70" t="s">
        <v>1231</v>
      </c>
      <c r="E527" s="71"/>
      <c r="F527" s="71"/>
      <c r="G527" s="72"/>
      <c r="H527" s="307">
        <f>H526+H524+H521</f>
        <v>4412080</v>
      </c>
      <c r="I527" s="322"/>
      <c r="K527" s="216"/>
    </row>
    <row r="528" spans="3:11">
      <c r="C528" s="59" t="s">
        <v>1232</v>
      </c>
      <c r="D528" s="70" t="s">
        <v>1540</v>
      </c>
      <c r="E528" s="71"/>
      <c r="F528" s="72"/>
      <c r="G528" s="62" t="s">
        <v>1541</v>
      </c>
      <c r="H528" s="307">
        <f>H527*10%</f>
        <v>441208</v>
      </c>
      <c r="I528" s="322"/>
      <c r="K528" s="216"/>
    </row>
    <row r="529" spans="3:11">
      <c r="C529" s="59" t="s">
        <v>1233</v>
      </c>
      <c r="D529" s="70" t="s">
        <v>1234</v>
      </c>
      <c r="E529" s="71"/>
      <c r="F529" s="71"/>
      <c r="G529" s="72"/>
      <c r="H529" s="308">
        <f>SUM(H527:H528)</f>
        <v>4853288</v>
      </c>
      <c r="I529" s="322"/>
      <c r="K529" s="216"/>
    </row>
    <row r="530" spans="3:11">
      <c r="K530" s="216"/>
    </row>
    <row r="531" spans="3:11">
      <c r="C531" s="316" t="s">
        <v>1789</v>
      </c>
      <c r="D531" s="318"/>
      <c r="E531" s="318"/>
      <c r="F531" s="318"/>
      <c r="G531" s="318"/>
      <c r="H531" s="318"/>
      <c r="I531" s="57">
        <f>ROUNDDOWN(H546,-2)</f>
        <v>19467900</v>
      </c>
      <c r="K531" s="216"/>
    </row>
    <row r="532" spans="3:11" ht="28.5">
      <c r="C532" s="303" t="s">
        <v>1207</v>
      </c>
      <c r="D532" s="303" t="s">
        <v>1208</v>
      </c>
      <c r="E532" s="303" t="s">
        <v>1209</v>
      </c>
      <c r="F532" s="303" t="s">
        <v>1210</v>
      </c>
      <c r="G532" s="303" t="s">
        <v>1211</v>
      </c>
      <c r="H532" s="303" t="s">
        <v>1212</v>
      </c>
      <c r="K532" s="216"/>
    </row>
    <row r="533" spans="3:11">
      <c r="C533" s="305" t="s">
        <v>1213</v>
      </c>
      <c r="D533" s="60" t="s">
        <v>1214</v>
      </c>
      <c r="E533" s="74"/>
      <c r="F533" s="74"/>
      <c r="G533" s="74"/>
      <c r="H533" s="74"/>
      <c r="K533" s="216"/>
    </row>
    <row r="534" spans="3:11">
      <c r="C534" s="363">
        <v>1</v>
      </c>
      <c r="D534" s="60" t="s">
        <v>5</v>
      </c>
      <c r="E534" s="73" t="s">
        <v>6</v>
      </c>
      <c r="F534" s="184">
        <v>0.72899999999999998</v>
      </c>
      <c r="G534" s="65">
        <f>VLOOKUP(D534,upahbahan,3,FALSE)</f>
        <v>100000</v>
      </c>
      <c r="H534" s="65">
        <f t="shared" ref="H534:H537" si="62">F534*G534</f>
        <v>72900</v>
      </c>
      <c r="K534" s="216"/>
    </row>
    <row r="535" spans="3:11">
      <c r="C535" s="363">
        <v>2</v>
      </c>
      <c r="D535" s="60" t="str">
        <f>D518</f>
        <v>Tukang pipa</v>
      </c>
      <c r="E535" s="73" t="s">
        <v>6</v>
      </c>
      <c r="F535" s="184">
        <v>1.218</v>
      </c>
      <c r="G535" s="65">
        <f>VLOOKUP(D535,upahbahan,3,FALSE)</f>
        <v>145000</v>
      </c>
      <c r="H535" s="65">
        <f t="shared" si="62"/>
        <v>176610</v>
      </c>
      <c r="K535" s="216"/>
    </row>
    <row r="536" spans="3:11">
      <c r="C536" s="363">
        <v>3</v>
      </c>
      <c r="D536" s="60" t="s">
        <v>18</v>
      </c>
      <c r="E536" s="73" t="s">
        <v>6</v>
      </c>
      <c r="F536" s="184">
        <v>0.122</v>
      </c>
      <c r="G536" s="65">
        <f>VLOOKUP(D536,upahbahan,3,FALSE)</f>
        <v>150000</v>
      </c>
      <c r="H536" s="65">
        <f t="shared" si="62"/>
        <v>18300</v>
      </c>
    </row>
    <row r="537" spans="3:11">
      <c r="C537" s="363">
        <v>4</v>
      </c>
      <c r="D537" s="60" t="s">
        <v>19</v>
      </c>
      <c r="E537" s="73" t="s">
        <v>6</v>
      </c>
      <c r="F537" s="184">
        <v>3.6999999999999998E-2</v>
      </c>
      <c r="G537" s="65">
        <f>VLOOKUP(D537,upahbahan,3,FALSE)</f>
        <v>145000</v>
      </c>
      <c r="H537" s="65">
        <f t="shared" si="62"/>
        <v>5365</v>
      </c>
    </row>
    <row r="538" spans="3:11">
      <c r="C538" s="84" t="s">
        <v>1220</v>
      </c>
      <c r="D538" s="81"/>
      <c r="E538" s="81"/>
      <c r="F538" s="220"/>
      <c r="G538" s="221"/>
      <c r="H538" s="65">
        <f>SUM(H534:H537)</f>
        <v>273175</v>
      </c>
      <c r="I538" s="222"/>
    </row>
    <row r="539" spans="3:11">
      <c r="C539" s="305" t="s">
        <v>1221</v>
      </c>
      <c r="D539" s="60" t="s">
        <v>1222</v>
      </c>
      <c r="E539" s="74"/>
      <c r="F539" s="74"/>
      <c r="G539" s="74"/>
      <c r="H539" s="74"/>
    </row>
    <row r="540" spans="3:11">
      <c r="C540" s="363">
        <v>1</v>
      </c>
      <c r="D540" s="60" t="s">
        <v>714</v>
      </c>
      <c r="E540" s="69" t="s">
        <v>139</v>
      </c>
      <c r="F540" s="75">
        <f>F523</f>
        <v>1.0249999999999999</v>
      </c>
      <c r="G540" s="65">
        <f>VLOOKUP(D540,upahbahan,3,FALSE)</f>
        <v>17000000</v>
      </c>
      <c r="H540" s="65">
        <f t="shared" ref="H540" si="63">F540*G540</f>
        <v>17425000</v>
      </c>
    </row>
    <row r="541" spans="3:11">
      <c r="C541" s="84" t="s">
        <v>1226</v>
      </c>
      <c r="D541" s="81"/>
      <c r="E541" s="81"/>
      <c r="F541" s="81"/>
      <c r="G541" s="163"/>
      <c r="H541" s="65">
        <f>SUM(H540:H540)</f>
        <v>17425000</v>
      </c>
    </row>
    <row r="542" spans="3:11">
      <c r="C542" s="73" t="s">
        <v>1227</v>
      </c>
      <c r="D542" s="60" t="s">
        <v>1228</v>
      </c>
      <c r="E542" s="74"/>
      <c r="F542" s="74"/>
      <c r="G542" s="74"/>
      <c r="H542" s="74"/>
    </row>
    <row r="543" spans="3:11">
      <c r="C543" s="84" t="s">
        <v>1229</v>
      </c>
      <c r="D543" s="81"/>
      <c r="E543" s="81"/>
      <c r="F543" s="81"/>
      <c r="G543" s="163"/>
      <c r="H543" s="306">
        <v>0</v>
      </c>
    </row>
    <row r="544" spans="3:11">
      <c r="C544" s="59" t="s">
        <v>1230</v>
      </c>
      <c r="D544" s="70" t="s">
        <v>1231</v>
      </c>
      <c r="E544" s="71"/>
      <c r="F544" s="71"/>
      <c r="G544" s="72"/>
      <c r="H544" s="307">
        <f>H543+H541+H538</f>
        <v>17698175</v>
      </c>
      <c r="I544" s="322"/>
    </row>
    <row r="545" spans="3:9">
      <c r="C545" s="59" t="s">
        <v>1232</v>
      </c>
      <c r="D545" s="70" t="s">
        <v>1540</v>
      </c>
      <c r="E545" s="71"/>
      <c r="F545" s="72"/>
      <c r="G545" s="62" t="s">
        <v>1541</v>
      </c>
      <c r="H545" s="307">
        <f>H544*10%</f>
        <v>1769817.5</v>
      </c>
      <c r="I545" s="322"/>
    </row>
    <row r="546" spans="3:9">
      <c r="C546" s="59" t="s">
        <v>1233</v>
      </c>
      <c r="D546" s="70" t="s">
        <v>1234</v>
      </c>
      <c r="E546" s="71"/>
      <c r="F546" s="71"/>
      <c r="G546" s="72"/>
      <c r="H546" s="308">
        <f>SUM(H544:H545)</f>
        <v>19467992.5</v>
      </c>
      <c r="I546" s="322"/>
    </row>
  </sheetData>
  <dataValidations count="1">
    <dataValidation type="list" allowBlank="1" showInputMessage="1" showErrorMessage="1" sqref="D7:D10 D262:D265 D245:D248" xr:uid="{07A4E49E-F39B-4F22-AEC3-5768B9A0CB5A}">
      <formula1>TENAGA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F80-2496-43BD-9A72-B417509616DF}">
  <dimension ref="C1:M156"/>
  <sheetViews>
    <sheetView zoomScaleNormal="100" workbookViewId="0">
      <selection activeCell="C3" sqref="C3:I168"/>
    </sheetView>
    <sheetView workbookViewId="1"/>
  </sheetViews>
  <sheetFormatPr defaultColWidth="8.85546875" defaultRowHeight="15"/>
  <cols>
    <col min="1" max="2" width="4.42578125" style="56" customWidth="1"/>
    <col min="3" max="3" width="6" style="63" customWidth="1"/>
    <col min="4" max="4" width="36.7109375" style="63" customWidth="1"/>
    <col min="5" max="5" width="7.42578125" style="63" customWidth="1"/>
    <col min="6" max="6" width="10.7109375" style="63" customWidth="1"/>
    <col min="7" max="7" width="15.7109375" style="63" customWidth="1"/>
    <col min="8" max="8" width="19.140625" style="63" customWidth="1"/>
    <col min="9" max="9" width="19.140625" style="55" customWidth="1"/>
    <col min="10" max="11" width="8.85546875" style="56"/>
    <col min="12" max="12" width="10.5703125" style="56" customWidth="1"/>
    <col min="13" max="16384" width="8.85546875" style="56"/>
  </cols>
  <sheetData>
    <row r="1" spans="3:13" ht="11.45" customHeight="1"/>
    <row r="2" spans="3:13" ht="11.45" customHeight="1"/>
    <row r="3" spans="3:13">
      <c r="C3" s="320" t="str">
        <f>'[1]Daftar HSP'!A521</f>
        <v>U</v>
      </c>
      <c r="D3" s="321" t="str">
        <f>'[1]Daftar HSP'!B521</f>
        <v>PEKERJAAN SISTEM AIR LIMBAH</v>
      </c>
      <c r="E3" s="229"/>
      <c r="F3" s="229"/>
      <c r="G3" s="229"/>
      <c r="H3" s="229"/>
    </row>
    <row r="4" spans="3:13">
      <c r="C4" s="316" t="s">
        <v>1797</v>
      </c>
      <c r="D4" s="310"/>
      <c r="E4" s="310"/>
      <c r="F4" s="310"/>
      <c r="G4" s="310"/>
      <c r="H4" s="310"/>
      <c r="I4" s="57">
        <f>ROUNDDOWN(H19,-2)</f>
        <v>32720200</v>
      </c>
    </row>
    <row r="5" spans="3:13" ht="28.5">
      <c r="C5" s="303" t="s">
        <v>1207</v>
      </c>
      <c r="D5" s="303" t="s">
        <v>1208</v>
      </c>
      <c r="E5" s="303" t="s">
        <v>1209</v>
      </c>
      <c r="F5" s="303" t="s">
        <v>1210</v>
      </c>
      <c r="G5" s="303" t="s">
        <v>1211</v>
      </c>
      <c r="H5" s="303" t="s">
        <v>1212</v>
      </c>
    </row>
    <row r="6" spans="3:13">
      <c r="C6" s="73" t="s">
        <v>1213</v>
      </c>
      <c r="D6" s="60" t="s">
        <v>1214</v>
      </c>
      <c r="E6" s="74"/>
      <c r="F6" s="74"/>
      <c r="G6" s="74"/>
      <c r="H6" s="74"/>
      <c r="J6" s="160" t="s">
        <v>1265</v>
      </c>
    </row>
    <row r="7" spans="3:13">
      <c r="C7" s="304">
        <v>1</v>
      </c>
      <c r="D7" s="60" t="s">
        <v>5</v>
      </c>
      <c r="E7" s="73" t="s">
        <v>6</v>
      </c>
      <c r="F7" s="75">
        <v>1.3240000000000001</v>
      </c>
      <c r="G7" s="65">
        <f>VLOOKUP(D7,upahbahan,3,FALSE)</f>
        <v>100000</v>
      </c>
      <c r="H7" s="65">
        <f t="shared" ref="H7:H10" si="0">F7*G7</f>
        <v>132400</v>
      </c>
      <c r="J7" s="160" t="s">
        <v>1266</v>
      </c>
      <c r="M7" s="66">
        <v>0.1</v>
      </c>
    </row>
    <row r="8" spans="3:13">
      <c r="C8" s="304">
        <v>2</v>
      </c>
      <c r="D8" s="60" t="s">
        <v>7</v>
      </c>
      <c r="E8" s="73" t="s">
        <v>6</v>
      </c>
      <c r="F8" s="75">
        <v>2.2109999999999999</v>
      </c>
      <c r="G8" s="65">
        <f>VLOOKUP(D8,upahbahan,3,FALSE)</f>
        <v>145000</v>
      </c>
      <c r="H8" s="65">
        <f t="shared" si="0"/>
        <v>320595</v>
      </c>
    </row>
    <row r="9" spans="3:13">
      <c r="C9" s="304">
        <v>3</v>
      </c>
      <c r="D9" s="60" t="s">
        <v>18</v>
      </c>
      <c r="E9" s="73" t="s">
        <v>6</v>
      </c>
      <c r="F9" s="75">
        <v>0.221</v>
      </c>
      <c r="G9" s="65">
        <f>VLOOKUP(D9,upahbahan,3,FALSE)</f>
        <v>150000</v>
      </c>
      <c r="H9" s="65">
        <f t="shared" si="0"/>
        <v>33150</v>
      </c>
    </row>
    <row r="10" spans="3:13">
      <c r="C10" s="304">
        <v>4</v>
      </c>
      <c r="D10" s="60" t="s">
        <v>19</v>
      </c>
      <c r="E10" s="73" t="s">
        <v>6</v>
      </c>
      <c r="F10" s="75">
        <v>6.6000000000000003E-2</v>
      </c>
      <c r="G10" s="65">
        <f>VLOOKUP(D10,upahbahan,3,FALSE)</f>
        <v>145000</v>
      </c>
      <c r="H10" s="65">
        <f t="shared" si="0"/>
        <v>9570</v>
      </c>
    </row>
    <row r="11" spans="3:13">
      <c r="C11" s="84" t="s">
        <v>1220</v>
      </c>
      <c r="D11" s="81"/>
      <c r="E11" s="81"/>
      <c r="F11" s="220"/>
      <c r="G11" s="221"/>
      <c r="H11" s="65">
        <f>SUM(H7:H10)</f>
        <v>495715</v>
      </c>
      <c r="I11" s="222"/>
    </row>
    <row r="12" spans="3:13">
      <c r="C12" s="73" t="s">
        <v>1221</v>
      </c>
      <c r="D12" s="60" t="s">
        <v>1222</v>
      </c>
      <c r="E12" s="74"/>
      <c r="F12" s="74"/>
      <c r="G12" s="74"/>
      <c r="H12" s="74"/>
    </row>
    <row r="13" spans="3:13" ht="28.5">
      <c r="C13" s="304">
        <v>1</v>
      </c>
      <c r="D13" s="60" t="s">
        <v>735</v>
      </c>
      <c r="E13" s="69" t="s">
        <v>139</v>
      </c>
      <c r="F13" s="75">
        <v>1.5</v>
      </c>
      <c r="G13" s="65">
        <f>VLOOKUP(D13,upahbahan,3,FALSE)</f>
        <v>19500000</v>
      </c>
      <c r="H13" s="65">
        <f t="shared" ref="H13" si="1">F13*G13</f>
        <v>29250000</v>
      </c>
    </row>
    <row r="14" spans="3:13">
      <c r="C14" s="84" t="s">
        <v>1226</v>
      </c>
      <c r="D14" s="81"/>
      <c r="E14" s="81"/>
      <c r="F14" s="81"/>
      <c r="G14" s="163"/>
      <c r="H14" s="65">
        <f>SUM(H13:H13)</f>
        <v>29250000</v>
      </c>
    </row>
    <row r="15" spans="3:13">
      <c r="C15" s="73" t="s">
        <v>1227</v>
      </c>
      <c r="D15" s="60" t="s">
        <v>1228</v>
      </c>
      <c r="E15" s="74"/>
      <c r="F15" s="74"/>
      <c r="G15" s="74"/>
      <c r="H15" s="74"/>
    </row>
    <row r="16" spans="3:13">
      <c r="C16" s="84" t="s">
        <v>1229</v>
      </c>
      <c r="D16" s="81"/>
      <c r="E16" s="81"/>
      <c r="F16" s="81"/>
      <c r="G16" s="163"/>
      <c r="H16" s="306">
        <v>0</v>
      </c>
    </row>
    <row r="17" spans="3:9">
      <c r="C17" s="59" t="s">
        <v>1230</v>
      </c>
      <c r="D17" s="70" t="s">
        <v>1231</v>
      </c>
      <c r="E17" s="71"/>
      <c r="F17" s="71"/>
      <c r="G17" s="72"/>
      <c r="H17" s="307">
        <f>H16+H14+H11</f>
        <v>29745715</v>
      </c>
      <c r="I17" s="322"/>
    </row>
    <row r="18" spans="3:9">
      <c r="C18" s="59" t="s">
        <v>1232</v>
      </c>
      <c r="D18" s="70" t="s">
        <v>1410</v>
      </c>
      <c r="E18" s="71"/>
      <c r="F18" s="72"/>
      <c r="G18" s="96">
        <f>$M$7</f>
        <v>0.1</v>
      </c>
      <c r="H18" s="65">
        <f>H17*G18</f>
        <v>2974571.5</v>
      </c>
    </row>
    <row r="19" spans="3:9">
      <c r="C19" s="59" t="s">
        <v>1233</v>
      </c>
      <c r="D19" s="70" t="s">
        <v>1234</v>
      </c>
      <c r="E19" s="71"/>
      <c r="F19" s="71"/>
      <c r="G19" s="72"/>
      <c r="H19" s="308">
        <f>SUM(H17:H18)</f>
        <v>32720286.5</v>
      </c>
      <c r="I19" s="322"/>
    </row>
    <row r="20" spans="3:9" ht="16.149999999999999" customHeight="1">
      <c r="C20" s="90"/>
      <c r="D20" s="526" t="s">
        <v>1806</v>
      </c>
      <c r="E20" s="526"/>
      <c r="F20" s="526"/>
      <c r="G20" s="526"/>
      <c r="H20" s="526"/>
    </row>
    <row r="21" spans="3:9">
      <c r="C21" s="90"/>
      <c r="D21" s="91"/>
      <c r="E21" s="91"/>
      <c r="F21" s="91"/>
      <c r="G21" s="91"/>
      <c r="H21" s="92"/>
    </row>
    <row r="22" spans="3:9">
      <c r="C22" s="316" t="s">
        <v>1798</v>
      </c>
      <c r="D22" s="310"/>
      <c r="E22" s="310"/>
      <c r="F22" s="310"/>
      <c r="G22" s="310"/>
      <c r="H22" s="310"/>
      <c r="I22" s="57">
        <f>ROUNDDOWN(H37,-2)</f>
        <v>55811100</v>
      </c>
    </row>
    <row r="23" spans="3:9" ht="28.5">
      <c r="C23" s="303" t="s">
        <v>1207</v>
      </c>
      <c r="D23" s="303" t="s">
        <v>1208</v>
      </c>
      <c r="E23" s="303" t="s">
        <v>1209</v>
      </c>
      <c r="F23" s="303" t="s">
        <v>1210</v>
      </c>
      <c r="G23" s="303" t="s">
        <v>1211</v>
      </c>
      <c r="H23" s="303" t="s">
        <v>1212</v>
      </c>
    </row>
    <row r="24" spans="3:9">
      <c r="C24" s="73" t="s">
        <v>1213</v>
      </c>
      <c r="D24" s="60" t="s">
        <v>1214</v>
      </c>
      <c r="E24" s="74"/>
      <c r="F24" s="74"/>
      <c r="G24" s="74"/>
      <c r="H24" s="74"/>
    </row>
    <row r="25" spans="3:9">
      <c r="C25" s="304">
        <v>1</v>
      </c>
      <c r="D25" s="60" t="s">
        <v>5</v>
      </c>
      <c r="E25" s="305" t="s">
        <v>6</v>
      </c>
      <c r="F25" s="184">
        <v>3.3039999999999998</v>
      </c>
      <c r="G25" s="65">
        <f>VLOOKUP(D25,upahbahan,3,FALSE)</f>
        <v>100000</v>
      </c>
      <c r="H25" s="65">
        <f t="shared" ref="H25:H28" si="2">F25*G25</f>
        <v>330400</v>
      </c>
    </row>
    <row r="26" spans="3:9">
      <c r="C26" s="304">
        <v>2</v>
      </c>
      <c r="D26" s="60" t="str">
        <f>D8</f>
        <v>Tukang batu</v>
      </c>
      <c r="E26" s="305" t="s">
        <v>6</v>
      </c>
      <c r="F26" s="184">
        <v>5.5179999999999998</v>
      </c>
      <c r="G26" s="65">
        <f>VLOOKUP(D26,upahbahan,3,FALSE)</f>
        <v>145000</v>
      </c>
      <c r="H26" s="65">
        <f t="shared" si="2"/>
        <v>800110</v>
      </c>
    </row>
    <row r="27" spans="3:9">
      <c r="C27" s="304">
        <v>3</v>
      </c>
      <c r="D27" s="60" t="s">
        <v>18</v>
      </c>
      <c r="E27" s="305" t="s">
        <v>6</v>
      </c>
      <c r="F27" s="184">
        <v>0.55200000000000005</v>
      </c>
      <c r="G27" s="65">
        <f>VLOOKUP(D27,upahbahan,3,FALSE)</f>
        <v>150000</v>
      </c>
      <c r="H27" s="65">
        <f t="shared" si="2"/>
        <v>82800</v>
      </c>
    </row>
    <row r="28" spans="3:9">
      <c r="C28" s="304">
        <v>4</v>
      </c>
      <c r="D28" s="60" t="s">
        <v>19</v>
      </c>
      <c r="E28" s="305" t="s">
        <v>6</v>
      </c>
      <c r="F28" s="184">
        <v>0.16600000000000001</v>
      </c>
      <c r="G28" s="65">
        <f>VLOOKUP(D28,upahbahan,3,FALSE)</f>
        <v>145000</v>
      </c>
      <c r="H28" s="65">
        <f t="shared" si="2"/>
        <v>24070</v>
      </c>
    </row>
    <row r="29" spans="3:9">
      <c r="C29" s="84" t="s">
        <v>1220</v>
      </c>
      <c r="D29" s="81"/>
      <c r="E29" s="81"/>
      <c r="F29" s="220"/>
      <c r="G29" s="221"/>
      <c r="H29" s="65">
        <f>SUM(H25:H28)</f>
        <v>1237380</v>
      </c>
      <c r="I29" s="222"/>
    </row>
    <row r="30" spans="3:9">
      <c r="C30" s="73" t="s">
        <v>1221</v>
      </c>
      <c r="D30" s="60" t="s">
        <v>1222</v>
      </c>
      <c r="E30" s="74"/>
      <c r="F30" s="74"/>
      <c r="G30" s="74"/>
      <c r="H30" s="74"/>
    </row>
    <row r="31" spans="3:9" ht="28.5">
      <c r="C31" s="304">
        <v>1</v>
      </c>
      <c r="D31" s="60" t="s">
        <v>737</v>
      </c>
      <c r="E31" s="69" t="s">
        <v>139</v>
      </c>
      <c r="F31" s="75">
        <f>F13</f>
        <v>1.5</v>
      </c>
      <c r="G31" s="65">
        <f>VLOOKUP(D31,upahbahan,3,FALSE)</f>
        <v>33000000</v>
      </c>
      <c r="H31" s="65">
        <f t="shared" ref="H31" si="3">F31*G31</f>
        <v>49500000</v>
      </c>
    </row>
    <row r="32" spans="3:9">
      <c r="C32" s="84" t="s">
        <v>1226</v>
      </c>
      <c r="D32" s="81"/>
      <c r="E32" s="81"/>
      <c r="F32" s="81"/>
      <c r="G32" s="163"/>
      <c r="H32" s="65">
        <f>SUM(H31:H31)</f>
        <v>49500000</v>
      </c>
    </row>
    <row r="33" spans="3:9">
      <c r="C33" s="73" t="s">
        <v>1227</v>
      </c>
      <c r="D33" s="60" t="s">
        <v>1228</v>
      </c>
      <c r="E33" s="74"/>
      <c r="F33" s="74"/>
      <c r="G33" s="74"/>
      <c r="H33" s="74"/>
    </row>
    <row r="34" spans="3:9">
      <c r="C34" s="84" t="s">
        <v>1229</v>
      </c>
      <c r="D34" s="81"/>
      <c r="E34" s="81"/>
      <c r="F34" s="81"/>
      <c r="G34" s="163"/>
      <c r="H34" s="306">
        <v>0</v>
      </c>
    </row>
    <row r="35" spans="3:9">
      <c r="C35" s="59" t="s">
        <v>1230</v>
      </c>
      <c r="D35" s="70" t="s">
        <v>1231</v>
      </c>
      <c r="E35" s="71"/>
      <c r="F35" s="71"/>
      <c r="G35" s="72"/>
      <c r="H35" s="307">
        <f>H34+H32+H29</f>
        <v>50737380</v>
      </c>
      <c r="I35" s="322"/>
    </row>
    <row r="36" spans="3:9">
      <c r="C36" s="59" t="s">
        <v>1232</v>
      </c>
      <c r="D36" s="70" t="s">
        <v>1410</v>
      </c>
      <c r="E36" s="71"/>
      <c r="F36" s="72"/>
      <c r="G36" s="96">
        <f>$M$7</f>
        <v>0.1</v>
      </c>
      <c r="H36" s="65">
        <f>H35*G36</f>
        <v>5073738</v>
      </c>
      <c r="I36" s="322"/>
    </row>
    <row r="37" spans="3:9">
      <c r="C37" s="59" t="s">
        <v>1233</v>
      </c>
      <c r="D37" s="70" t="s">
        <v>1234</v>
      </c>
      <c r="E37" s="71"/>
      <c r="F37" s="71"/>
      <c r="G37" s="72"/>
      <c r="H37" s="308">
        <f>SUM(H35:H36)</f>
        <v>55811118</v>
      </c>
      <c r="I37" s="322"/>
    </row>
    <row r="38" spans="3:9">
      <c r="C38" s="90"/>
      <c r="D38" s="91"/>
      <c r="E38" s="91"/>
      <c r="F38" s="91"/>
      <c r="G38" s="91"/>
      <c r="H38" s="309"/>
    </row>
    <row r="39" spans="3:9">
      <c r="C39" s="316" t="s">
        <v>1799</v>
      </c>
      <c r="D39" s="310"/>
      <c r="E39" s="310"/>
      <c r="F39" s="310"/>
      <c r="G39" s="310"/>
      <c r="H39" s="310"/>
      <c r="I39" s="57">
        <f>ROUNDDOWN(H54,-2)</f>
        <v>90526000</v>
      </c>
    </row>
    <row r="40" spans="3:9" ht="28.5">
      <c r="C40" s="303" t="s">
        <v>1207</v>
      </c>
      <c r="D40" s="303" t="s">
        <v>1208</v>
      </c>
      <c r="E40" s="303" t="s">
        <v>1209</v>
      </c>
      <c r="F40" s="303" t="s">
        <v>1210</v>
      </c>
      <c r="G40" s="303" t="s">
        <v>1211</v>
      </c>
      <c r="H40" s="303" t="s">
        <v>1212</v>
      </c>
    </row>
    <row r="41" spans="3:9">
      <c r="C41" s="73" t="s">
        <v>1213</v>
      </c>
      <c r="D41" s="60" t="s">
        <v>1214</v>
      </c>
      <c r="E41" s="74"/>
      <c r="F41" s="74"/>
      <c r="G41" s="74"/>
      <c r="H41" s="74"/>
    </row>
    <row r="42" spans="3:9">
      <c r="C42" s="304">
        <v>1</v>
      </c>
      <c r="D42" s="60" t="s">
        <v>5</v>
      </c>
      <c r="E42" s="333" t="s">
        <v>6</v>
      </c>
      <c r="F42" s="184">
        <v>6.6669999999999998</v>
      </c>
      <c r="G42" s="65">
        <f>VLOOKUP(D42,upahbahan,3,FALSE)</f>
        <v>100000</v>
      </c>
      <c r="H42" s="65">
        <f t="shared" ref="H42:H45" si="4">F42*G42</f>
        <v>666700</v>
      </c>
    </row>
    <row r="43" spans="3:9">
      <c r="C43" s="304">
        <v>2</v>
      </c>
      <c r="D43" s="60" t="str">
        <f>D26</f>
        <v>Tukang batu</v>
      </c>
      <c r="E43" s="333" t="s">
        <v>6</v>
      </c>
      <c r="F43" s="184">
        <v>11.132999999999999</v>
      </c>
      <c r="G43" s="65">
        <f>VLOOKUP(D43,upahbahan,3,FALSE)</f>
        <v>145000</v>
      </c>
      <c r="H43" s="65">
        <f t="shared" si="4"/>
        <v>1614284.9999999998</v>
      </c>
    </row>
    <row r="44" spans="3:9">
      <c r="C44" s="304">
        <v>3</v>
      </c>
      <c r="D44" s="60" t="s">
        <v>18</v>
      </c>
      <c r="E44" s="333" t="s">
        <v>6</v>
      </c>
      <c r="F44" s="184">
        <v>1.113</v>
      </c>
      <c r="G44" s="65">
        <f>VLOOKUP(D44,upahbahan,3,FALSE)</f>
        <v>150000</v>
      </c>
      <c r="H44" s="65">
        <f t="shared" si="4"/>
        <v>166950</v>
      </c>
    </row>
    <row r="45" spans="3:9">
      <c r="C45" s="304">
        <v>4</v>
      </c>
      <c r="D45" s="60" t="s">
        <v>19</v>
      </c>
      <c r="E45" s="333" t="s">
        <v>6</v>
      </c>
      <c r="F45" s="184">
        <v>0.33400000000000002</v>
      </c>
      <c r="G45" s="65">
        <f>VLOOKUP(D45,upahbahan,3,FALSE)</f>
        <v>145000</v>
      </c>
      <c r="H45" s="65">
        <f t="shared" si="4"/>
        <v>48430</v>
      </c>
    </row>
    <row r="46" spans="3:9">
      <c r="C46" s="84" t="s">
        <v>1220</v>
      </c>
      <c r="D46" s="81"/>
      <c r="E46" s="81"/>
      <c r="F46" s="220"/>
      <c r="G46" s="221"/>
      <c r="H46" s="65">
        <f>SUM(H42:H45)</f>
        <v>2496365</v>
      </c>
      <c r="I46" s="222"/>
    </row>
    <row r="47" spans="3:9">
      <c r="C47" s="73" t="s">
        <v>1221</v>
      </c>
      <c r="D47" s="60" t="s">
        <v>1222</v>
      </c>
      <c r="E47" s="79"/>
      <c r="F47" s="74"/>
      <c r="G47" s="74"/>
      <c r="H47" s="74"/>
    </row>
    <row r="48" spans="3:9" ht="28.5">
      <c r="C48" s="304">
        <v>1</v>
      </c>
      <c r="D48" s="60" t="s">
        <v>734</v>
      </c>
      <c r="E48" s="362" t="s">
        <v>139</v>
      </c>
      <c r="F48" s="75">
        <f>F31</f>
        <v>1.5</v>
      </c>
      <c r="G48" s="65">
        <f>VLOOKUP(D48,upahbahan,3,FALSE)</f>
        <v>53200000</v>
      </c>
      <c r="H48" s="65">
        <f t="shared" ref="H48" si="5">F48*G48</f>
        <v>79800000</v>
      </c>
    </row>
    <row r="49" spans="3:9">
      <c r="C49" s="84" t="s">
        <v>1226</v>
      </c>
      <c r="D49" s="81"/>
      <c r="E49" s="81"/>
      <c r="F49" s="81"/>
      <c r="G49" s="163"/>
      <c r="H49" s="65">
        <f>SUM(H48:H48)</f>
        <v>79800000</v>
      </c>
    </row>
    <row r="50" spans="3:9">
      <c r="C50" s="73" t="s">
        <v>1227</v>
      </c>
      <c r="D50" s="60" t="s">
        <v>1228</v>
      </c>
      <c r="E50" s="74"/>
      <c r="F50" s="74"/>
      <c r="G50" s="74"/>
      <c r="H50" s="74"/>
    </row>
    <row r="51" spans="3:9">
      <c r="C51" s="84" t="s">
        <v>1229</v>
      </c>
      <c r="D51" s="81"/>
      <c r="E51" s="81"/>
      <c r="F51" s="81"/>
      <c r="G51" s="163"/>
      <c r="H51" s="306">
        <v>0</v>
      </c>
    </row>
    <row r="52" spans="3:9">
      <c r="C52" s="59" t="s">
        <v>1230</v>
      </c>
      <c r="D52" s="70" t="s">
        <v>1231</v>
      </c>
      <c r="E52" s="71"/>
      <c r="F52" s="71"/>
      <c r="G52" s="72"/>
      <c r="H52" s="307">
        <f>H51+H49+H46</f>
        <v>82296365</v>
      </c>
      <c r="I52" s="322"/>
    </row>
    <row r="53" spans="3:9">
      <c r="C53" s="59" t="s">
        <v>1232</v>
      </c>
      <c r="D53" s="70" t="s">
        <v>1410</v>
      </c>
      <c r="E53" s="71"/>
      <c r="F53" s="72"/>
      <c r="G53" s="96">
        <f>$M$7</f>
        <v>0.1</v>
      </c>
      <c r="H53" s="65">
        <f>H52*G53</f>
        <v>8229636.5</v>
      </c>
      <c r="I53" s="322"/>
    </row>
    <row r="54" spans="3:9">
      <c r="C54" s="59" t="s">
        <v>1233</v>
      </c>
      <c r="D54" s="70" t="s">
        <v>1234</v>
      </c>
      <c r="E54" s="71"/>
      <c r="F54" s="71"/>
      <c r="G54" s="72"/>
      <c r="H54" s="308">
        <f>SUM(H52:H53)</f>
        <v>90526001.5</v>
      </c>
      <c r="I54" s="322"/>
    </row>
    <row r="56" spans="3:9">
      <c r="C56" s="316" t="s">
        <v>1800</v>
      </c>
      <c r="D56" s="318"/>
      <c r="E56" s="318"/>
      <c r="F56" s="318"/>
      <c r="G56" s="318"/>
      <c r="H56" s="318"/>
      <c r="I56" s="57">
        <f>ROUNDDOWN(H71,-2)</f>
        <v>173195400</v>
      </c>
    </row>
    <row r="57" spans="3:9" ht="28.5">
      <c r="C57" s="303" t="s">
        <v>1207</v>
      </c>
      <c r="D57" s="303" t="s">
        <v>1208</v>
      </c>
      <c r="E57" s="303" t="s">
        <v>1209</v>
      </c>
      <c r="F57" s="303" t="s">
        <v>1210</v>
      </c>
      <c r="G57" s="303" t="s">
        <v>1211</v>
      </c>
      <c r="H57" s="303" t="s">
        <v>1212</v>
      </c>
    </row>
    <row r="58" spans="3:9">
      <c r="C58" s="305" t="s">
        <v>1213</v>
      </c>
      <c r="D58" s="60" t="s">
        <v>1214</v>
      </c>
      <c r="E58" s="74"/>
      <c r="F58" s="74"/>
      <c r="G58" s="74"/>
      <c r="H58" s="74"/>
    </row>
    <row r="59" spans="3:9">
      <c r="C59" s="363">
        <v>1</v>
      </c>
      <c r="D59" s="60" t="s">
        <v>5</v>
      </c>
      <c r="E59" s="73" t="s">
        <v>6</v>
      </c>
      <c r="F59" s="75">
        <v>19.896000000000001</v>
      </c>
      <c r="G59" s="65">
        <f>VLOOKUP(D59,upahbahan,3,FALSE)</f>
        <v>100000</v>
      </c>
      <c r="H59" s="65">
        <f t="shared" ref="H59:H62" si="6">F59*G59</f>
        <v>1989600</v>
      </c>
    </row>
    <row r="60" spans="3:9">
      <c r="C60" s="363">
        <v>2</v>
      </c>
      <c r="D60" s="60" t="str">
        <f>D43</f>
        <v>Tukang batu</v>
      </c>
      <c r="E60" s="73" t="s">
        <v>6</v>
      </c>
      <c r="F60" s="75">
        <v>33.225999999999999</v>
      </c>
      <c r="G60" s="65">
        <f>VLOOKUP(D60,upahbahan,3,FALSE)</f>
        <v>145000</v>
      </c>
      <c r="H60" s="65">
        <f t="shared" si="6"/>
        <v>4817770</v>
      </c>
    </row>
    <row r="61" spans="3:9">
      <c r="C61" s="363">
        <v>3</v>
      </c>
      <c r="D61" s="60" t="s">
        <v>18</v>
      </c>
      <c r="E61" s="73" t="s">
        <v>6</v>
      </c>
      <c r="F61" s="75">
        <v>3.323</v>
      </c>
      <c r="G61" s="65">
        <f>VLOOKUP(D61,upahbahan,3,FALSE)</f>
        <v>150000</v>
      </c>
      <c r="H61" s="65">
        <f t="shared" si="6"/>
        <v>498450</v>
      </c>
    </row>
    <row r="62" spans="3:9">
      <c r="C62" s="363">
        <v>4</v>
      </c>
      <c r="D62" s="60" t="s">
        <v>19</v>
      </c>
      <c r="E62" s="73" t="s">
        <v>6</v>
      </c>
      <c r="F62" s="75">
        <v>0.997</v>
      </c>
      <c r="G62" s="65">
        <f>VLOOKUP(D62,upahbahan,3,FALSE)</f>
        <v>145000</v>
      </c>
      <c r="H62" s="65">
        <f t="shared" si="6"/>
        <v>144565</v>
      </c>
    </row>
    <row r="63" spans="3:9">
      <c r="C63" s="84" t="s">
        <v>1220</v>
      </c>
      <c r="D63" s="81"/>
      <c r="E63" s="81"/>
      <c r="F63" s="220"/>
      <c r="G63" s="221"/>
      <c r="H63" s="65">
        <f>SUM(H59:H62)</f>
        <v>7450385</v>
      </c>
      <c r="I63" s="222"/>
    </row>
    <row r="64" spans="3:9">
      <c r="C64" s="73" t="s">
        <v>1221</v>
      </c>
      <c r="D64" s="60" t="s">
        <v>1222</v>
      </c>
      <c r="E64" s="74"/>
      <c r="F64" s="74"/>
      <c r="G64" s="74"/>
      <c r="H64" s="74"/>
    </row>
    <row r="65" spans="3:9" ht="28.5">
      <c r="C65" s="304">
        <v>1</v>
      </c>
      <c r="D65" s="60" t="s">
        <v>736</v>
      </c>
      <c r="E65" s="73" t="s">
        <v>139</v>
      </c>
      <c r="F65" s="75">
        <f>F48</f>
        <v>1.5</v>
      </c>
      <c r="G65" s="65">
        <f>VLOOKUP(D65,upahbahan,3,FALSE)</f>
        <v>100000000</v>
      </c>
      <c r="H65" s="65">
        <f t="shared" ref="H65" si="7">F65*G65</f>
        <v>150000000</v>
      </c>
    </row>
    <row r="66" spans="3:9">
      <c r="C66" s="84" t="s">
        <v>1226</v>
      </c>
      <c r="D66" s="81"/>
      <c r="E66" s="81"/>
      <c r="F66" s="81"/>
      <c r="G66" s="163"/>
      <c r="H66" s="65">
        <f>SUM(H65:H65)</f>
        <v>150000000</v>
      </c>
    </row>
    <row r="67" spans="3:9">
      <c r="C67" s="73" t="s">
        <v>1227</v>
      </c>
      <c r="D67" s="60" t="s">
        <v>1228</v>
      </c>
      <c r="E67" s="74"/>
      <c r="F67" s="74"/>
      <c r="G67" s="74"/>
      <c r="H67" s="74"/>
    </row>
    <row r="68" spans="3:9">
      <c r="C68" s="84" t="s">
        <v>1229</v>
      </c>
      <c r="D68" s="81"/>
      <c r="E68" s="81"/>
      <c r="F68" s="81"/>
      <c r="G68" s="163"/>
      <c r="H68" s="306">
        <v>0</v>
      </c>
    </row>
    <row r="69" spans="3:9">
      <c r="C69" s="59" t="s">
        <v>1230</v>
      </c>
      <c r="D69" s="70" t="s">
        <v>1231</v>
      </c>
      <c r="E69" s="71"/>
      <c r="F69" s="71"/>
      <c r="G69" s="72"/>
      <c r="H69" s="307">
        <f>H68+H66+H63</f>
        <v>157450385</v>
      </c>
      <c r="I69" s="322"/>
    </row>
    <row r="70" spans="3:9">
      <c r="C70" s="59" t="s">
        <v>1232</v>
      </c>
      <c r="D70" s="70" t="s">
        <v>1410</v>
      </c>
      <c r="E70" s="71"/>
      <c r="F70" s="72"/>
      <c r="G70" s="96">
        <f>$M$7</f>
        <v>0.1</v>
      </c>
      <c r="H70" s="65">
        <f>H69*G70</f>
        <v>15745038.5</v>
      </c>
      <c r="I70" s="322"/>
    </row>
    <row r="71" spans="3:9">
      <c r="C71" s="59" t="s">
        <v>1233</v>
      </c>
      <c r="D71" s="70" t="s">
        <v>1234</v>
      </c>
      <c r="E71" s="71"/>
      <c r="F71" s="71"/>
      <c r="G71" s="72"/>
      <c r="H71" s="308">
        <f>SUM(H69:H70)</f>
        <v>173195423.5</v>
      </c>
      <c r="I71" s="322"/>
    </row>
    <row r="72" spans="3:9">
      <c r="C72" s="90"/>
      <c r="D72" s="91"/>
      <c r="E72" s="91"/>
      <c r="F72" s="91"/>
      <c r="G72" s="91"/>
      <c r="H72" s="309"/>
    </row>
    <row r="73" spans="3:9">
      <c r="C73" s="316" t="s">
        <v>1801</v>
      </c>
      <c r="D73" s="318"/>
      <c r="E73" s="318"/>
      <c r="F73" s="318"/>
      <c r="G73" s="318"/>
      <c r="H73" s="318"/>
      <c r="I73" s="57">
        <f>ROUNDDOWN(H88,-2)</f>
        <v>113439600</v>
      </c>
    </row>
    <row r="74" spans="3:9" ht="28.5">
      <c r="C74" s="303" t="s">
        <v>1207</v>
      </c>
      <c r="D74" s="303" t="s">
        <v>1208</v>
      </c>
      <c r="E74" s="303" t="s">
        <v>1209</v>
      </c>
      <c r="F74" s="303" t="s">
        <v>1210</v>
      </c>
      <c r="G74" s="303" t="s">
        <v>1211</v>
      </c>
      <c r="H74" s="303" t="s">
        <v>1212</v>
      </c>
    </row>
    <row r="75" spans="3:9">
      <c r="C75" s="305" t="s">
        <v>1213</v>
      </c>
      <c r="D75" s="60" t="s">
        <v>1214</v>
      </c>
      <c r="E75" s="74"/>
      <c r="F75" s="74"/>
      <c r="G75" s="74"/>
      <c r="H75" s="74"/>
    </row>
    <row r="76" spans="3:9">
      <c r="C76" s="363">
        <v>1</v>
      </c>
      <c r="D76" s="60" t="s">
        <v>5</v>
      </c>
      <c r="E76" s="73" t="s">
        <v>6</v>
      </c>
      <c r="F76" s="184">
        <v>28.646000000000001</v>
      </c>
      <c r="G76" s="65">
        <f>VLOOKUP(D76,upahbahan,3,FALSE)</f>
        <v>100000</v>
      </c>
      <c r="H76" s="65">
        <f t="shared" ref="H76:H79" si="8">F76*G76</f>
        <v>2864600</v>
      </c>
    </row>
    <row r="77" spans="3:9">
      <c r="C77" s="363">
        <v>2</v>
      </c>
      <c r="D77" s="60" t="str">
        <f>D60</f>
        <v>Tukang batu</v>
      </c>
      <c r="E77" s="73" t="s">
        <v>6</v>
      </c>
      <c r="F77" s="184">
        <v>47.838999999999999</v>
      </c>
      <c r="G77" s="65">
        <f>VLOOKUP(D77,upahbahan,3,FALSE)</f>
        <v>145000</v>
      </c>
      <c r="H77" s="65">
        <f t="shared" si="8"/>
        <v>6936655</v>
      </c>
    </row>
    <row r="78" spans="3:9">
      <c r="C78" s="363">
        <v>3</v>
      </c>
      <c r="D78" s="60" t="s">
        <v>18</v>
      </c>
      <c r="E78" s="73" t="s">
        <v>6</v>
      </c>
      <c r="F78" s="184">
        <v>4.7839999999999998</v>
      </c>
      <c r="G78" s="65">
        <f>VLOOKUP(D78,upahbahan,3,FALSE)</f>
        <v>150000</v>
      </c>
      <c r="H78" s="65">
        <f t="shared" si="8"/>
        <v>717600</v>
      </c>
    </row>
    <row r="79" spans="3:9">
      <c r="C79" s="363">
        <v>4</v>
      </c>
      <c r="D79" s="60" t="s">
        <v>19</v>
      </c>
      <c r="E79" s="73" t="s">
        <v>6</v>
      </c>
      <c r="F79" s="184">
        <v>1.4350000000000001</v>
      </c>
      <c r="G79" s="65">
        <f>VLOOKUP(D79,upahbahan,3,FALSE)</f>
        <v>145000</v>
      </c>
      <c r="H79" s="65">
        <f t="shared" si="8"/>
        <v>208075</v>
      </c>
    </row>
    <row r="80" spans="3:9">
      <c r="C80" s="84" t="s">
        <v>1220</v>
      </c>
      <c r="D80" s="81"/>
      <c r="E80" s="81"/>
      <c r="F80" s="220"/>
      <c r="G80" s="221"/>
      <c r="H80" s="65">
        <f>SUM(H76:H79)</f>
        <v>10726930</v>
      </c>
      <c r="I80" s="222"/>
    </row>
    <row r="81" spans="3:9">
      <c r="C81" s="73" t="s">
        <v>1221</v>
      </c>
      <c r="D81" s="60" t="s">
        <v>1222</v>
      </c>
      <c r="E81" s="74"/>
      <c r="F81" s="74"/>
      <c r="G81" s="74"/>
      <c r="H81" s="74"/>
    </row>
    <row r="82" spans="3:9" ht="28.5">
      <c r="C82" s="304">
        <v>1</v>
      </c>
      <c r="D82" s="60" t="s">
        <v>738</v>
      </c>
      <c r="E82" s="73" t="s">
        <v>139</v>
      </c>
      <c r="F82" s="75">
        <v>1.1000000000000001</v>
      </c>
      <c r="G82" s="65">
        <f>VLOOKUP(D82,upahbahan,3,FALSE)</f>
        <v>84000000</v>
      </c>
      <c r="H82" s="65">
        <f t="shared" ref="H82" si="9">F82*G82</f>
        <v>92400000.000000015</v>
      </c>
    </row>
    <row r="83" spans="3:9">
      <c r="C83" s="84" t="s">
        <v>1226</v>
      </c>
      <c r="D83" s="81"/>
      <c r="E83" s="81"/>
      <c r="F83" s="81"/>
      <c r="G83" s="163"/>
      <c r="H83" s="65">
        <f>SUM(H82:H82)</f>
        <v>92400000.000000015</v>
      </c>
    </row>
    <row r="84" spans="3:9">
      <c r="C84" s="73" t="s">
        <v>1227</v>
      </c>
      <c r="D84" s="60" t="s">
        <v>1228</v>
      </c>
      <c r="E84" s="74"/>
      <c r="F84" s="74"/>
      <c r="G84" s="74"/>
      <c r="H84" s="74"/>
    </row>
    <row r="85" spans="3:9">
      <c r="C85" s="84" t="s">
        <v>1229</v>
      </c>
      <c r="D85" s="81"/>
      <c r="E85" s="81"/>
      <c r="F85" s="81"/>
      <c r="G85" s="163"/>
      <c r="H85" s="306">
        <v>0</v>
      </c>
    </row>
    <row r="86" spans="3:9">
      <c r="C86" s="59" t="s">
        <v>1230</v>
      </c>
      <c r="D86" s="70" t="s">
        <v>1231</v>
      </c>
      <c r="E86" s="71"/>
      <c r="F86" s="71"/>
      <c r="G86" s="72"/>
      <c r="H86" s="307">
        <f>H85+H83+H80</f>
        <v>103126930.00000001</v>
      </c>
      <c r="I86" s="322"/>
    </row>
    <row r="87" spans="3:9">
      <c r="C87" s="59" t="s">
        <v>1232</v>
      </c>
      <c r="D87" s="70" t="s">
        <v>1410</v>
      </c>
      <c r="E87" s="71"/>
      <c r="F87" s="72"/>
      <c r="G87" s="96">
        <f>$M$7</f>
        <v>0.1</v>
      </c>
      <c r="H87" s="65">
        <f>H86*G87</f>
        <v>10312693.000000002</v>
      </c>
      <c r="I87" s="322"/>
    </row>
    <row r="88" spans="3:9">
      <c r="C88" s="59" t="s">
        <v>1233</v>
      </c>
      <c r="D88" s="70" t="s">
        <v>1234</v>
      </c>
      <c r="E88" s="71"/>
      <c r="F88" s="71"/>
      <c r="G88" s="72"/>
      <c r="H88" s="308">
        <f>SUM(H86:H87)</f>
        <v>113439623.00000001</v>
      </c>
      <c r="I88" s="322"/>
    </row>
    <row r="89" spans="3:9">
      <c r="C89" s="58"/>
      <c r="D89" s="82"/>
      <c r="E89" s="82"/>
      <c r="F89" s="82"/>
      <c r="G89" s="82"/>
      <c r="H89" s="83"/>
    </row>
    <row r="90" spans="3:9">
      <c r="C90" s="316" t="s">
        <v>1802</v>
      </c>
      <c r="D90" s="318"/>
      <c r="E90" s="318"/>
      <c r="F90" s="318"/>
      <c r="G90" s="318"/>
      <c r="H90" s="318"/>
      <c r="I90" s="57">
        <f>ROUNDDOWN(H105,-2)</f>
        <v>9765800</v>
      </c>
    </row>
    <row r="91" spans="3:9" ht="28.5">
      <c r="C91" s="303" t="s">
        <v>1207</v>
      </c>
      <c r="D91" s="303" t="s">
        <v>1208</v>
      </c>
      <c r="E91" s="303" t="s">
        <v>1209</v>
      </c>
      <c r="F91" s="303" t="s">
        <v>1210</v>
      </c>
      <c r="G91" s="303" t="s">
        <v>1211</v>
      </c>
      <c r="H91" s="303" t="s">
        <v>1212</v>
      </c>
    </row>
    <row r="92" spans="3:9">
      <c r="C92" s="305" t="s">
        <v>1213</v>
      </c>
      <c r="D92" s="60" t="s">
        <v>1214</v>
      </c>
      <c r="E92" s="74"/>
      <c r="F92" s="74"/>
      <c r="G92" s="74"/>
      <c r="H92" s="74"/>
    </row>
    <row r="93" spans="3:9">
      <c r="C93" s="363">
        <v>1</v>
      </c>
      <c r="D93" s="60" t="s">
        <v>5</v>
      </c>
      <c r="E93" s="73" t="s">
        <v>6</v>
      </c>
      <c r="F93" s="184">
        <v>0.442</v>
      </c>
      <c r="G93" s="65">
        <f>VLOOKUP(D93,upahbahan,3,FALSE)</f>
        <v>100000</v>
      </c>
      <c r="H93" s="65">
        <f t="shared" ref="H93:H96" si="10">F93*G93</f>
        <v>44200</v>
      </c>
    </row>
    <row r="94" spans="3:9">
      <c r="C94" s="363">
        <v>2</v>
      </c>
      <c r="D94" s="60" t="str">
        <f>D77</f>
        <v>Tukang batu</v>
      </c>
      <c r="E94" s="73" t="s">
        <v>6</v>
      </c>
      <c r="F94" s="184">
        <v>0.73799999999999999</v>
      </c>
      <c r="G94" s="65">
        <f>VLOOKUP(D94,upahbahan,3,FALSE)</f>
        <v>145000</v>
      </c>
      <c r="H94" s="65">
        <f t="shared" si="10"/>
        <v>107010</v>
      </c>
    </row>
    <row r="95" spans="3:9">
      <c r="C95" s="363">
        <v>3</v>
      </c>
      <c r="D95" s="60" t="s">
        <v>18</v>
      </c>
      <c r="E95" s="73" t="s">
        <v>6</v>
      </c>
      <c r="F95" s="184">
        <v>7.3999999999999996E-2</v>
      </c>
      <c r="G95" s="65">
        <f>VLOOKUP(D95,upahbahan,3,FALSE)</f>
        <v>150000</v>
      </c>
      <c r="H95" s="65">
        <f t="shared" si="10"/>
        <v>11100</v>
      </c>
    </row>
    <row r="96" spans="3:9">
      <c r="C96" s="363">
        <v>4</v>
      </c>
      <c r="D96" s="60" t="s">
        <v>19</v>
      </c>
      <c r="E96" s="73" t="s">
        <v>6</v>
      </c>
      <c r="F96" s="184">
        <v>2.1999999999999999E-2</v>
      </c>
      <c r="G96" s="65">
        <f>VLOOKUP(D96,upahbahan,3,FALSE)</f>
        <v>145000</v>
      </c>
      <c r="H96" s="65">
        <f t="shared" si="10"/>
        <v>3190</v>
      </c>
    </row>
    <row r="97" spans="3:9">
      <c r="C97" s="84" t="s">
        <v>1220</v>
      </c>
      <c r="D97" s="81"/>
      <c r="E97" s="81"/>
      <c r="F97" s="220"/>
      <c r="G97" s="221"/>
      <c r="H97" s="65">
        <f>SUM(H93:H96)</f>
        <v>165500</v>
      </c>
      <c r="I97" s="222"/>
    </row>
    <row r="98" spans="3:9">
      <c r="C98" s="73" t="s">
        <v>1221</v>
      </c>
      <c r="D98" s="60" t="s">
        <v>1222</v>
      </c>
      <c r="E98" s="74"/>
      <c r="F98" s="74"/>
      <c r="G98" s="74"/>
      <c r="H98" s="74"/>
    </row>
    <row r="99" spans="3:9" ht="28.5">
      <c r="C99" s="304">
        <v>1</v>
      </c>
      <c r="D99" s="60" t="s">
        <v>743</v>
      </c>
      <c r="E99" s="73" t="s">
        <v>139</v>
      </c>
      <c r="F99" s="75">
        <v>1.0249999999999999</v>
      </c>
      <c r="G99" s="65">
        <f>VLOOKUP(D99,upahbahan,3,FALSE)</f>
        <v>8500000</v>
      </c>
      <c r="H99" s="65">
        <f t="shared" ref="H99" si="11">F99*G99</f>
        <v>8712500</v>
      </c>
    </row>
    <row r="100" spans="3:9">
      <c r="C100" s="84" t="s">
        <v>1226</v>
      </c>
      <c r="D100" s="81"/>
      <c r="E100" s="81"/>
      <c r="F100" s="81"/>
      <c r="G100" s="163"/>
      <c r="H100" s="65">
        <f>SUM(H99:H99)</f>
        <v>8712500</v>
      </c>
    </row>
    <row r="101" spans="3:9">
      <c r="C101" s="73" t="s">
        <v>1227</v>
      </c>
      <c r="D101" s="60" t="s">
        <v>1228</v>
      </c>
      <c r="E101" s="74"/>
      <c r="F101" s="74"/>
      <c r="G101" s="74"/>
      <c r="H101" s="74"/>
    </row>
    <row r="102" spans="3:9">
      <c r="C102" s="84" t="s">
        <v>1229</v>
      </c>
      <c r="D102" s="81"/>
      <c r="E102" s="81"/>
      <c r="F102" s="81"/>
      <c r="G102" s="163"/>
      <c r="H102" s="306">
        <v>0</v>
      </c>
    </row>
    <row r="103" spans="3:9">
      <c r="C103" s="59" t="s">
        <v>1230</v>
      </c>
      <c r="D103" s="70" t="s">
        <v>1231</v>
      </c>
      <c r="E103" s="71"/>
      <c r="F103" s="71"/>
      <c r="G103" s="72"/>
      <c r="H103" s="307">
        <f>H102+H100+H97</f>
        <v>8878000</v>
      </c>
      <c r="I103" s="322"/>
    </row>
    <row r="104" spans="3:9">
      <c r="C104" s="59" t="s">
        <v>1232</v>
      </c>
      <c r="D104" s="70" t="s">
        <v>1410</v>
      </c>
      <c r="E104" s="71"/>
      <c r="F104" s="72"/>
      <c r="G104" s="96">
        <f>$M$7</f>
        <v>0.1</v>
      </c>
      <c r="H104" s="65">
        <f>H103*G104</f>
        <v>887800</v>
      </c>
      <c r="I104" s="322"/>
    </row>
    <row r="105" spans="3:9">
      <c r="C105" s="59" t="s">
        <v>1233</v>
      </c>
      <c r="D105" s="70" t="s">
        <v>1234</v>
      </c>
      <c r="E105" s="71"/>
      <c r="F105" s="71"/>
      <c r="G105" s="72"/>
      <c r="H105" s="308">
        <f>SUM(H103:H104)</f>
        <v>9765800</v>
      </c>
      <c r="I105" s="322"/>
    </row>
    <row r="107" spans="3:9">
      <c r="C107" s="316" t="s">
        <v>1803</v>
      </c>
      <c r="D107" s="318"/>
      <c r="E107" s="318"/>
      <c r="F107" s="318"/>
      <c r="G107" s="318"/>
      <c r="H107" s="318"/>
      <c r="I107" s="57">
        <f>ROUNDDOWN(H122,-2)</f>
        <v>1230600</v>
      </c>
    </row>
    <row r="108" spans="3:9" ht="28.5">
      <c r="C108" s="303" t="s">
        <v>1207</v>
      </c>
      <c r="D108" s="303" t="s">
        <v>1208</v>
      </c>
      <c r="E108" s="303" t="s">
        <v>1209</v>
      </c>
      <c r="F108" s="303" t="s">
        <v>1210</v>
      </c>
      <c r="G108" s="303" t="s">
        <v>1211</v>
      </c>
      <c r="H108" s="303" t="s">
        <v>1212</v>
      </c>
    </row>
    <row r="109" spans="3:9">
      <c r="C109" s="305" t="s">
        <v>1213</v>
      </c>
      <c r="D109" s="60" t="s">
        <v>1214</v>
      </c>
      <c r="E109" s="74"/>
      <c r="F109" s="74"/>
      <c r="G109" s="74"/>
      <c r="H109" s="74"/>
    </row>
    <row r="110" spans="3:9">
      <c r="C110" s="363">
        <v>1</v>
      </c>
      <c r="D110" s="60" t="s">
        <v>5</v>
      </c>
      <c r="E110" s="73" t="s">
        <v>6</v>
      </c>
      <c r="F110" s="75">
        <v>0.25</v>
      </c>
      <c r="G110" s="65">
        <f>VLOOKUP(D110,upahbahan,3,FALSE)</f>
        <v>100000</v>
      </c>
      <c r="H110" s="65">
        <f t="shared" ref="H110:H113" si="12">F110*G110</f>
        <v>25000</v>
      </c>
    </row>
    <row r="111" spans="3:9">
      <c r="C111" s="363">
        <v>2</v>
      </c>
      <c r="D111" s="60" t="str">
        <f>D94</f>
        <v>Tukang batu</v>
      </c>
      <c r="E111" s="73" t="s">
        <v>6</v>
      </c>
      <c r="F111" s="75">
        <v>0.41799999999999998</v>
      </c>
      <c r="G111" s="65">
        <f>VLOOKUP(D111,upahbahan,3,FALSE)</f>
        <v>145000</v>
      </c>
      <c r="H111" s="65">
        <f t="shared" si="12"/>
        <v>60610</v>
      </c>
    </row>
    <row r="112" spans="3:9">
      <c r="C112" s="363">
        <v>3</v>
      </c>
      <c r="D112" s="60" t="s">
        <v>18</v>
      </c>
      <c r="E112" s="73" t="s">
        <v>6</v>
      </c>
      <c r="F112" s="75">
        <v>4.2000000000000003E-2</v>
      </c>
      <c r="G112" s="65">
        <f>VLOOKUP(D112,upahbahan,3,FALSE)</f>
        <v>150000</v>
      </c>
      <c r="H112" s="65">
        <f t="shared" si="12"/>
        <v>6300</v>
      </c>
    </row>
    <row r="113" spans="3:9">
      <c r="C113" s="363">
        <v>4</v>
      </c>
      <c r="D113" s="60" t="s">
        <v>19</v>
      </c>
      <c r="E113" s="73" t="s">
        <v>6</v>
      </c>
      <c r="F113" s="75">
        <v>1.2999999999999999E-2</v>
      </c>
      <c r="G113" s="65">
        <f>VLOOKUP(D113,upahbahan,3,FALSE)</f>
        <v>145000</v>
      </c>
      <c r="H113" s="65">
        <f t="shared" si="12"/>
        <v>1885</v>
      </c>
    </row>
    <row r="114" spans="3:9">
      <c r="C114" s="84" t="s">
        <v>1220</v>
      </c>
      <c r="D114" s="81"/>
      <c r="E114" s="81"/>
      <c r="F114" s="220"/>
      <c r="G114" s="221"/>
      <c r="H114" s="65">
        <f>SUM(H110:H113)</f>
        <v>93795</v>
      </c>
      <c r="I114" s="222"/>
    </row>
    <row r="115" spans="3:9">
      <c r="C115" s="73" t="s">
        <v>1221</v>
      </c>
      <c r="D115" s="60" t="s">
        <v>1222</v>
      </c>
      <c r="E115" s="74"/>
      <c r="F115" s="74"/>
      <c r="G115" s="74"/>
      <c r="H115" s="74"/>
    </row>
    <row r="116" spans="3:9" ht="28.5">
      <c r="C116" s="304">
        <v>1</v>
      </c>
      <c r="D116" s="60" t="s">
        <v>691</v>
      </c>
      <c r="E116" s="73" t="s">
        <v>139</v>
      </c>
      <c r="F116" s="75">
        <v>1.0249999999999999</v>
      </c>
      <c r="G116" s="65">
        <f>VLOOKUP(D116,upahbahan,3,FALSE)</f>
        <v>1000000</v>
      </c>
      <c r="H116" s="65">
        <f t="shared" ref="H116" si="13">F116*G116</f>
        <v>1024999.9999999999</v>
      </c>
    </row>
    <row r="117" spans="3:9">
      <c r="C117" s="84" t="s">
        <v>1226</v>
      </c>
      <c r="D117" s="81"/>
      <c r="E117" s="81"/>
      <c r="F117" s="81"/>
      <c r="G117" s="163"/>
      <c r="H117" s="65">
        <f>SUM(H116:H116)</f>
        <v>1024999.9999999999</v>
      </c>
    </row>
    <row r="118" spans="3:9">
      <c r="C118" s="73" t="s">
        <v>1227</v>
      </c>
      <c r="D118" s="60" t="s">
        <v>1228</v>
      </c>
      <c r="E118" s="74"/>
      <c r="F118" s="74"/>
      <c r="G118" s="74"/>
      <c r="H118" s="74"/>
    </row>
    <row r="119" spans="3:9">
      <c r="C119" s="84" t="s">
        <v>1229</v>
      </c>
      <c r="D119" s="81"/>
      <c r="E119" s="81"/>
      <c r="F119" s="81"/>
      <c r="G119" s="163"/>
      <c r="H119" s="306">
        <v>0</v>
      </c>
    </row>
    <row r="120" spans="3:9">
      <c r="C120" s="59" t="s">
        <v>1230</v>
      </c>
      <c r="D120" s="70" t="s">
        <v>1231</v>
      </c>
      <c r="E120" s="71"/>
      <c r="F120" s="71"/>
      <c r="G120" s="72"/>
      <c r="H120" s="307">
        <f>H119+H117+H114</f>
        <v>1118795</v>
      </c>
      <c r="I120" s="322"/>
    </row>
    <row r="121" spans="3:9">
      <c r="C121" s="59" t="s">
        <v>1232</v>
      </c>
      <c r="D121" s="70" t="s">
        <v>1410</v>
      </c>
      <c r="E121" s="71"/>
      <c r="F121" s="72"/>
      <c r="G121" s="96">
        <f>$M$7</f>
        <v>0.1</v>
      </c>
      <c r="H121" s="65">
        <f>H120*G121</f>
        <v>111879.5</v>
      </c>
      <c r="I121" s="322"/>
    </row>
    <row r="122" spans="3:9">
      <c r="C122" s="59" t="s">
        <v>1233</v>
      </c>
      <c r="D122" s="70" t="s">
        <v>1234</v>
      </c>
      <c r="E122" s="71"/>
      <c r="F122" s="71"/>
      <c r="G122" s="72"/>
      <c r="H122" s="308">
        <f>SUM(H120:H121)</f>
        <v>1230674.5</v>
      </c>
      <c r="I122" s="322"/>
    </row>
    <row r="124" spans="3:9">
      <c r="C124" s="316" t="s">
        <v>1804</v>
      </c>
      <c r="D124" s="318"/>
      <c r="E124" s="318"/>
      <c r="F124" s="318"/>
      <c r="G124" s="318"/>
      <c r="H124" s="318"/>
      <c r="I124" s="57">
        <f>ROUNDDOWN(H139,-2)</f>
        <v>1794400</v>
      </c>
    </row>
    <row r="125" spans="3:9" ht="28.5">
      <c r="C125" s="303" t="s">
        <v>1207</v>
      </c>
      <c r="D125" s="303" t="s">
        <v>1208</v>
      </c>
      <c r="E125" s="303" t="s">
        <v>1209</v>
      </c>
      <c r="F125" s="303" t="s">
        <v>1210</v>
      </c>
      <c r="G125" s="303" t="s">
        <v>1211</v>
      </c>
      <c r="H125" s="303" t="s">
        <v>1212</v>
      </c>
    </row>
    <row r="126" spans="3:9">
      <c r="C126" s="305" t="s">
        <v>1213</v>
      </c>
      <c r="D126" s="60" t="s">
        <v>1214</v>
      </c>
      <c r="E126" s="74"/>
      <c r="F126" s="74"/>
      <c r="G126" s="74"/>
      <c r="H126" s="74"/>
    </row>
    <row r="127" spans="3:9">
      <c r="C127" s="363">
        <v>1</v>
      </c>
      <c r="D127" s="60" t="s">
        <v>5</v>
      </c>
      <c r="E127" s="73" t="s">
        <v>6</v>
      </c>
      <c r="F127" s="75">
        <v>0.25</v>
      </c>
      <c r="G127" s="65">
        <f>VLOOKUP(D127,upahbahan,3,FALSE)</f>
        <v>100000</v>
      </c>
      <c r="H127" s="65">
        <f t="shared" ref="H127:H130" si="14">F127*G127</f>
        <v>25000</v>
      </c>
    </row>
    <row r="128" spans="3:9">
      <c r="C128" s="363">
        <v>2</v>
      </c>
      <c r="D128" s="60" t="str">
        <f>D111</f>
        <v>Tukang batu</v>
      </c>
      <c r="E128" s="73" t="s">
        <v>6</v>
      </c>
      <c r="F128" s="75">
        <v>0.41799999999999998</v>
      </c>
      <c r="G128" s="65">
        <f>VLOOKUP(D128,upahbahan,3,FALSE)</f>
        <v>145000</v>
      </c>
      <c r="H128" s="65">
        <f t="shared" si="14"/>
        <v>60610</v>
      </c>
    </row>
    <row r="129" spans="3:9">
      <c r="C129" s="363">
        <v>3</v>
      </c>
      <c r="D129" s="60" t="s">
        <v>18</v>
      </c>
      <c r="E129" s="73" t="s">
        <v>6</v>
      </c>
      <c r="F129" s="75">
        <v>4.2000000000000003E-2</v>
      </c>
      <c r="G129" s="65">
        <f>VLOOKUP(D129,upahbahan,3,FALSE)</f>
        <v>150000</v>
      </c>
      <c r="H129" s="65">
        <f t="shared" si="14"/>
        <v>6300</v>
      </c>
    </row>
    <row r="130" spans="3:9">
      <c r="C130" s="363">
        <v>4</v>
      </c>
      <c r="D130" s="60" t="s">
        <v>19</v>
      </c>
      <c r="E130" s="73" t="s">
        <v>6</v>
      </c>
      <c r="F130" s="75">
        <v>1.2999999999999999E-2</v>
      </c>
      <c r="G130" s="65">
        <f>VLOOKUP(D130,upahbahan,3,FALSE)</f>
        <v>145000</v>
      </c>
      <c r="H130" s="65">
        <f t="shared" si="14"/>
        <v>1885</v>
      </c>
    </row>
    <row r="131" spans="3:9">
      <c r="C131" s="84" t="s">
        <v>1220</v>
      </c>
      <c r="D131" s="81"/>
      <c r="E131" s="81"/>
      <c r="F131" s="220"/>
      <c r="G131" s="221"/>
      <c r="H131" s="65">
        <f>SUM(H127:H130)</f>
        <v>93795</v>
      </c>
      <c r="I131" s="222"/>
    </row>
    <row r="132" spans="3:9">
      <c r="C132" s="73" t="s">
        <v>1221</v>
      </c>
      <c r="D132" s="60" t="s">
        <v>1222</v>
      </c>
      <c r="E132" s="74"/>
      <c r="F132" s="74"/>
      <c r="G132" s="74"/>
      <c r="H132" s="74"/>
    </row>
    <row r="133" spans="3:9" ht="28.5">
      <c r="C133" s="304">
        <v>1</v>
      </c>
      <c r="D133" s="60" t="s">
        <v>692</v>
      </c>
      <c r="E133" s="73" t="s">
        <v>139</v>
      </c>
      <c r="F133" s="75">
        <v>1.0249999999999999</v>
      </c>
      <c r="G133" s="65">
        <f>VLOOKUP(D133,upahbahan,3,FALSE)</f>
        <v>1500000</v>
      </c>
      <c r="H133" s="65">
        <f t="shared" ref="H133" si="15">F133*G133</f>
        <v>1537499.9999999998</v>
      </c>
    </row>
    <row r="134" spans="3:9">
      <c r="C134" s="84" t="s">
        <v>1226</v>
      </c>
      <c r="D134" s="81"/>
      <c r="E134" s="81"/>
      <c r="F134" s="81"/>
      <c r="G134" s="163"/>
      <c r="H134" s="65">
        <f>SUM(H133:H133)</f>
        <v>1537499.9999999998</v>
      </c>
    </row>
    <row r="135" spans="3:9">
      <c r="C135" s="73" t="s">
        <v>1227</v>
      </c>
      <c r="D135" s="60" t="s">
        <v>1228</v>
      </c>
      <c r="E135" s="74"/>
      <c r="F135" s="74"/>
      <c r="G135" s="74"/>
      <c r="H135" s="74"/>
    </row>
    <row r="136" spans="3:9">
      <c r="C136" s="84" t="s">
        <v>1229</v>
      </c>
      <c r="D136" s="81"/>
      <c r="E136" s="81"/>
      <c r="F136" s="81"/>
      <c r="G136" s="163"/>
      <c r="H136" s="306">
        <v>0</v>
      </c>
    </row>
    <row r="137" spans="3:9">
      <c r="C137" s="59" t="s">
        <v>1230</v>
      </c>
      <c r="D137" s="70" t="s">
        <v>1231</v>
      </c>
      <c r="E137" s="71"/>
      <c r="F137" s="71"/>
      <c r="G137" s="72"/>
      <c r="H137" s="307">
        <f>H136+H134+H131</f>
        <v>1631294.9999999998</v>
      </c>
      <c r="I137" s="322"/>
    </row>
    <row r="138" spans="3:9">
      <c r="C138" s="59" t="s">
        <v>1232</v>
      </c>
      <c r="D138" s="70" t="s">
        <v>1410</v>
      </c>
      <c r="E138" s="71"/>
      <c r="F138" s="72"/>
      <c r="G138" s="96">
        <f>$M$7</f>
        <v>0.1</v>
      </c>
      <c r="H138" s="65">
        <f>H137*G138</f>
        <v>163129.5</v>
      </c>
      <c r="I138" s="322"/>
    </row>
    <row r="139" spans="3:9">
      <c r="C139" s="59" t="s">
        <v>1233</v>
      </c>
      <c r="D139" s="70" t="s">
        <v>1234</v>
      </c>
      <c r="E139" s="71"/>
      <c r="F139" s="71"/>
      <c r="G139" s="72"/>
      <c r="H139" s="308">
        <f>SUM(H137:H138)</f>
        <v>1794424.4999999998</v>
      </c>
      <c r="I139" s="322"/>
    </row>
    <row r="141" spans="3:9">
      <c r="C141" s="316" t="s">
        <v>1805</v>
      </c>
      <c r="D141" s="318"/>
      <c r="E141" s="318"/>
      <c r="F141" s="318"/>
      <c r="G141" s="318"/>
      <c r="H141" s="318"/>
      <c r="I141" s="57">
        <f>ROUNDDOWN(H156,-2)</f>
        <v>22979100</v>
      </c>
    </row>
    <row r="142" spans="3:9" ht="28.5">
      <c r="C142" s="303" t="s">
        <v>1207</v>
      </c>
      <c r="D142" s="303" t="s">
        <v>1208</v>
      </c>
      <c r="E142" s="303" t="s">
        <v>1209</v>
      </c>
      <c r="F142" s="303" t="s">
        <v>1210</v>
      </c>
      <c r="G142" s="303" t="s">
        <v>1211</v>
      </c>
      <c r="H142" s="303" t="s">
        <v>1212</v>
      </c>
    </row>
    <row r="143" spans="3:9">
      <c r="C143" s="305" t="s">
        <v>1213</v>
      </c>
      <c r="D143" s="60" t="s">
        <v>1214</v>
      </c>
      <c r="E143" s="74"/>
      <c r="F143" s="74"/>
      <c r="G143" s="74"/>
      <c r="H143" s="74"/>
    </row>
    <row r="144" spans="3:9">
      <c r="C144" s="363">
        <v>1</v>
      </c>
      <c r="D144" s="60" t="s">
        <v>5</v>
      </c>
      <c r="E144" s="73" t="s">
        <v>6</v>
      </c>
      <c r="F144" s="75">
        <v>1.042</v>
      </c>
      <c r="G144" s="65">
        <f>VLOOKUP(D144,upahbahan,3,FALSE)</f>
        <v>100000</v>
      </c>
      <c r="H144" s="65">
        <f t="shared" ref="H144:H147" si="16">F144*G144</f>
        <v>104200</v>
      </c>
    </row>
    <row r="145" spans="3:9">
      <c r="C145" s="363">
        <v>2</v>
      </c>
      <c r="D145" s="60" t="str">
        <f>D128</f>
        <v>Tukang batu</v>
      </c>
      <c r="E145" s="73" t="s">
        <v>6</v>
      </c>
      <c r="F145" s="75">
        <v>1.74</v>
      </c>
      <c r="G145" s="65">
        <f>VLOOKUP(D145,upahbahan,3,FALSE)</f>
        <v>145000</v>
      </c>
      <c r="H145" s="65">
        <f t="shared" si="16"/>
        <v>252300</v>
      </c>
    </row>
    <row r="146" spans="3:9">
      <c r="C146" s="363">
        <v>3</v>
      </c>
      <c r="D146" s="60" t="s">
        <v>18</v>
      </c>
      <c r="E146" s="73" t="s">
        <v>6</v>
      </c>
      <c r="F146" s="75">
        <v>0.17399999999999999</v>
      </c>
      <c r="G146" s="65">
        <f>VLOOKUP(D146,upahbahan,3,FALSE)</f>
        <v>150000</v>
      </c>
      <c r="H146" s="65">
        <f t="shared" si="16"/>
        <v>26100</v>
      </c>
    </row>
    <row r="147" spans="3:9">
      <c r="C147" s="363">
        <v>4</v>
      </c>
      <c r="D147" s="60" t="s">
        <v>19</v>
      </c>
      <c r="E147" s="73" t="s">
        <v>6</v>
      </c>
      <c r="F147" s="75">
        <v>5.1999999999999998E-2</v>
      </c>
      <c r="G147" s="65">
        <f>VLOOKUP(D147,upahbahan,3,FALSE)</f>
        <v>145000</v>
      </c>
      <c r="H147" s="65">
        <f t="shared" si="16"/>
        <v>7540</v>
      </c>
    </row>
    <row r="148" spans="3:9">
      <c r="C148" s="84" t="s">
        <v>1220</v>
      </c>
      <c r="D148" s="81"/>
      <c r="E148" s="81"/>
      <c r="F148" s="220"/>
      <c r="G148" s="221"/>
      <c r="H148" s="65">
        <f>SUM(H144:H147)</f>
        <v>390140</v>
      </c>
      <c r="I148" s="222"/>
    </row>
    <row r="149" spans="3:9">
      <c r="C149" s="73" t="s">
        <v>1221</v>
      </c>
      <c r="D149" s="60" t="s">
        <v>1222</v>
      </c>
      <c r="E149" s="74"/>
      <c r="F149" s="74"/>
      <c r="G149" s="74"/>
      <c r="H149" s="74"/>
    </row>
    <row r="150" spans="3:9" ht="28.5">
      <c r="C150" s="304">
        <v>1</v>
      </c>
      <c r="D150" s="60" t="s">
        <v>690</v>
      </c>
      <c r="E150" s="73" t="s">
        <v>139</v>
      </c>
      <c r="F150" s="75">
        <v>1.0249999999999999</v>
      </c>
      <c r="G150" s="65">
        <f>VLOOKUP(D150,upahbahan,3,FALSE)</f>
        <v>20000000</v>
      </c>
      <c r="H150" s="65">
        <f t="shared" ref="H150" si="17">F150*G150</f>
        <v>20500000</v>
      </c>
    </row>
    <row r="151" spans="3:9">
      <c r="C151" s="84" t="s">
        <v>1226</v>
      </c>
      <c r="D151" s="81"/>
      <c r="E151" s="81"/>
      <c r="F151" s="81"/>
      <c r="G151" s="163"/>
      <c r="H151" s="65">
        <f>SUM(H150:H150)</f>
        <v>20500000</v>
      </c>
    </row>
    <row r="152" spans="3:9">
      <c r="C152" s="73" t="s">
        <v>1227</v>
      </c>
      <c r="D152" s="60" t="s">
        <v>1228</v>
      </c>
      <c r="E152" s="74"/>
      <c r="F152" s="74"/>
      <c r="G152" s="74"/>
      <c r="H152" s="74"/>
    </row>
    <row r="153" spans="3:9">
      <c r="C153" s="84" t="s">
        <v>1229</v>
      </c>
      <c r="D153" s="81"/>
      <c r="E153" s="81"/>
      <c r="F153" s="81"/>
      <c r="G153" s="163"/>
      <c r="H153" s="306">
        <v>0</v>
      </c>
    </row>
    <row r="154" spans="3:9">
      <c r="C154" s="59" t="s">
        <v>1230</v>
      </c>
      <c r="D154" s="70" t="s">
        <v>1231</v>
      </c>
      <c r="E154" s="71"/>
      <c r="F154" s="71"/>
      <c r="G154" s="72"/>
      <c r="H154" s="307">
        <f>H153+H151+H148</f>
        <v>20890140</v>
      </c>
      <c r="I154" s="322"/>
    </row>
    <row r="155" spans="3:9">
      <c r="C155" s="59" t="s">
        <v>1232</v>
      </c>
      <c r="D155" s="70" t="s">
        <v>1410</v>
      </c>
      <c r="E155" s="71"/>
      <c r="F155" s="72"/>
      <c r="G155" s="96">
        <f>$M$7</f>
        <v>0.1</v>
      </c>
      <c r="H155" s="65">
        <f>H154*G155</f>
        <v>2089014</v>
      </c>
      <c r="I155" s="322"/>
    </row>
    <row r="156" spans="3:9">
      <c r="C156" s="59" t="s">
        <v>1233</v>
      </c>
      <c r="D156" s="70" t="s">
        <v>1234</v>
      </c>
      <c r="E156" s="71"/>
      <c r="F156" s="71"/>
      <c r="G156" s="72"/>
      <c r="H156" s="308">
        <f>SUM(H154:H155)</f>
        <v>22979154</v>
      </c>
      <c r="I156" s="322"/>
    </row>
  </sheetData>
  <mergeCells count="1">
    <mergeCell ref="D20:H20"/>
  </mergeCells>
  <dataValidations count="1">
    <dataValidation type="list" allowBlank="1" showInputMessage="1" showErrorMessage="1" sqref="D7:D10" xr:uid="{A927DF9B-F1D2-439D-B2E9-FB33573D45D8}">
      <formula1>TENAGA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00C4-6DA6-4DDA-B50C-55B72E2E86AA}">
  <dimension ref="C1:M69"/>
  <sheetViews>
    <sheetView topLeftCell="A37" workbookViewId="0">
      <selection activeCell="D27" sqref="D27"/>
    </sheetView>
    <sheetView workbookViewId="1"/>
  </sheetViews>
  <sheetFormatPr defaultColWidth="8.85546875" defaultRowHeight="15"/>
  <cols>
    <col min="1" max="2" width="5.28515625" style="56" customWidth="1"/>
    <col min="3" max="3" width="6" style="63" customWidth="1"/>
    <col min="4" max="4" width="36.7109375" style="63" customWidth="1"/>
    <col min="5" max="5" width="7.42578125" style="63" customWidth="1"/>
    <col min="6" max="6" width="10.7109375" style="63" customWidth="1"/>
    <col min="7" max="7" width="14.28515625" style="63" customWidth="1"/>
    <col min="8" max="8" width="16.42578125" style="63" customWidth="1"/>
    <col min="9" max="9" width="16.7109375" style="55" customWidth="1"/>
    <col min="10" max="11" width="8.85546875" style="56"/>
    <col min="12" max="12" width="11.28515625" style="56" customWidth="1"/>
    <col min="13" max="16384" width="8.85546875" style="56"/>
  </cols>
  <sheetData>
    <row r="1" spans="3:13" ht="10.9" customHeight="1"/>
    <row r="2" spans="3:13" ht="10.9" customHeight="1"/>
    <row r="3" spans="3:13">
      <c r="C3" s="320" t="str">
        <f>'[1]Daftar HSP'!A531</f>
        <v>V</v>
      </c>
      <c r="D3" s="321" t="str">
        <f>'[1]Daftar HSP'!B531</f>
        <v>PEKERJAAN BAK KONTROL</v>
      </c>
      <c r="E3" s="229"/>
      <c r="F3" s="229"/>
      <c r="G3" s="229"/>
      <c r="H3" s="229"/>
    </row>
    <row r="4" spans="3:13">
      <c r="C4" s="316" t="s">
        <v>1807</v>
      </c>
      <c r="D4" s="310"/>
      <c r="E4" s="310"/>
      <c r="F4" s="310"/>
      <c r="G4" s="310"/>
      <c r="H4" s="310"/>
      <c r="I4" s="57">
        <f>ROUNDDOWN(H24,-2)</f>
        <v>596500</v>
      </c>
    </row>
    <row r="5" spans="3:13" ht="28.5">
      <c r="C5" s="303" t="s">
        <v>1207</v>
      </c>
      <c r="D5" s="303" t="s">
        <v>1208</v>
      </c>
      <c r="E5" s="303" t="s">
        <v>1209</v>
      </c>
      <c r="F5" s="303" t="s">
        <v>1210</v>
      </c>
      <c r="G5" s="303" t="s">
        <v>1211</v>
      </c>
      <c r="H5" s="303" t="s">
        <v>1212</v>
      </c>
    </row>
    <row r="6" spans="3:13">
      <c r="C6" s="73" t="s">
        <v>1213</v>
      </c>
      <c r="D6" s="60" t="s">
        <v>1214</v>
      </c>
      <c r="E6" s="74"/>
      <c r="F6" s="74"/>
      <c r="G6" s="74"/>
      <c r="H6" s="74"/>
      <c r="J6" s="160" t="s">
        <v>1265</v>
      </c>
    </row>
    <row r="7" spans="3:13">
      <c r="C7" s="304">
        <v>1</v>
      </c>
      <c r="D7" s="60" t="s">
        <v>5</v>
      </c>
      <c r="E7" s="73" t="s">
        <v>6</v>
      </c>
      <c r="F7" s="75">
        <v>2.16</v>
      </c>
      <c r="G7" s="65">
        <f>VLOOKUP(D7,upahbahan,3,FALSE)</f>
        <v>100000</v>
      </c>
      <c r="H7" s="65">
        <f t="shared" ref="H7:H10" si="0">F7*G7</f>
        <v>216000</v>
      </c>
      <c r="J7" s="160" t="s">
        <v>1266</v>
      </c>
      <c r="M7" s="66">
        <v>0.1</v>
      </c>
    </row>
    <row r="8" spans="3:13">
      <c r="C8" s="304">
        <v>2</v>
      </c>
      <c r="D8" s="60" t="s">
        <v>7</v>
      </c>
      <c r="E8" s="73" t="s">
        <v>6</v>
      </c>
      <c r="F8" s="75">
        <v>0.72</v>
      </c>
      <c r="G8" s="65">
        <f>VLOOKUP(D8,upahbahan,3,FALSE)</f>
        <v>145000</v>
      </c>
      <c r="H8" s="65">
        <f t="shared" si="0"/>
        <v>104400</v>
      </c>
    </row>
    <row r="9" spans="3:13">
      <c r="C9" s="304">
        <v>3</v>
      </c>
      <c r="D9" s="60" t="s">
        <v>18</v>
      </c>
      <c r="E9" s="73" t="s">
        <v>6</v>
      </c>
      <c r="F9" s="75">
        <v>7.1999999999999995E-2</v>
      </c>
      <c r="G9" s="65">
        <f>VLOOKUP(D9,upahbahan,3,FALSE)</f>
        <v>150000</v>
      </c>
      <c r="H9" s="65">
        <f t="shared" si="0"/>
        <v>10800</v>
      </c>
    </row>
    <row r="10" spans="3:13">
      <c r="C10" s="304">
        <v>4</v>
      </c>
      <c r="D10" s="60" t="s">
        <v>19</v>
      </c>
      <c r="E10" s="73" t="s">
        <v>6</v>
      </c>
      <c r="F10" s="75">
        <v>1.0999999999999999E-2</v>
      </c>
      <c r="G10" s="65">
        <f>VLOOKUP(D10,upahbahan,3,FALSE)</f>
        <v>145000</v>
      </c>
      <c r="H10" s="65">
        <f t="shared" si="0"/>
        <v>1595</v>
      </c>
    </row>
    <row r="11" spans="3:13">
      <c r="C11" s="84" t="s">
        <v>1220</v>
      </c>
      <c r="D11" s="81"/>
      <c r="E11" s="81"/>
      <c r="F11" s="220"/>
      <c r="G11" s="221"/>
      <c r="H11" s="65">
        <f>SUM(H7:H10)</f>
        <v>332795</v>
      </c>
      <c r="I11" s="222"/>
    </row>
    <row r="12" spans="3:13">
      <c r="C12" s="73" t="s">
        <v>1221</v>
      </c>
      <c r="D12" s="60" t="s">
        <v>1222</v>
      </c>
      <c r="E12" s="74"/>
      <c r="F12" s="74"/>
      <c r="G12" s="74"/>
      <c r="H12" s="74"/>
    </row>
    <row r="13" spans="3:13">
      <c r="C13" s="368" t="s">
        <v>1215</v>
      </c>
      <c r="D13" s="60" t="s">
        <v>43</v>
      </c>
      <c r="E13" s="73" t="s">
        <v>44</v>
      </c>
      <c r="F13" s="230">
        <v>40</v>
      </c>
      <c r="G13" s="65">
        <f t="shared" ref="G13:G18" si="1">VLOOKUP(D13,upahbahan,3,FALSE)</f>
        <v>700</v>
      </c>
      <c r="H13" s="65">
        <f t="shared" ref="H13:H18" si="2">F13*G13</f>
        <v>28000</v>
      </c>
    </row>
    <row r="14" spans="3:13">
      <c r="C14" s="368" t="s">
        <v>1216</v>
      </c>
      <c r="D14" s="60" t="s">
        <v>568</v>
      </c>
      <c r="E14" s="73" t="s">
        <v>66</v>
      </c>
      <c r="F14" s="230">
        <v>44</v>
      </c>
      <c r="G14" s="65">
        <f t="shared" si="1"/>
        <v>1300</v>
      </c>
      <c r="H14" s="65">
        <f t="shared" si="2"/>
        <v>57200</v>
      </c>
    </row>
    <row r="15" spans="3:13">
      <c r="C15" s="368" t="s">
        <v>1217</v>
      </c>
      <c r="D15" s="78" t="s">
        <v>86</v>
      </c>
      <c r="E15" s="73" t="s">
        <v>42</v>
      </c>
      <c r="F15" s="230">
        <v>0.1</v>
      </c>
      <c r="G15" s="65">
        <f t="shared" si="1"/>
        <v>275000</v>
      </c>
      <c r="H15" s="65">
        <f t="shared" si="2"/>
        <v>27500</v>
      </c>
    </row>
    <row r="16" spans="3:13" ht="28.5">
      <c r="C16" s="368" t="s">
        <v>1218</v>
      </c>
      <c r="D16" s="60" t="s">
        <v>83</v>
      </c>
      <c r="E16" s="73" t="s">
        <v>42</v>
      </c>
      <c r="F16" s="230">
        <v>0.1</v>
      </c>
      <c r="G16" s="65">
        <f t="shared" si="1"/>
        <v>370200</v>
      </c>
      <c r="H16" s="65">
        <f t="shared" si="2"/>
        <v>37020</v>
      </c>
    </row>
    <row r="17" spans="3:9">
      <c r="C17" s="368" t="s">
        <v>1219</v>
      </c>
      <c r="D17" s="60" t="s">
        <v>72</v>
      </c>
      <c r="E17" s="73" t="s">
        <v>42</v>
      </c>
      <c r="F17" s="230">
        <v>0.1</v>
      </c>
      <c r="G17" s="65">
        <f t="shared" si="1"/>
        <v>370200</v>
      </c>
      <c r="H17" s="65">
        <f t="shared" si="2"/>
        <v>37020</v>
      </c>
    </row>
    <row r="18" spans="3:9">
      <c r="C18" s="368" t="s">
        <v>1223</v>
      </c>
      <c r="D18" s="60" t="s">
        <v>236</v>
      </c>
      <c r="E18" s="73" t="s">
        <v>66</v>
      </c>
      <c r="F18" s="230">
        <v>1.6</v>
      </c>
      <c r="G18" s="65">
        <f t="shared" si="1"/>
        <v>14250</v>
      </c>
      <c r="H18" s="65">
        <f t="shared" si="2"/>
        <v>22800</v>
      </c>
    </row>
    <row r="19" spans="3:9">
      <c r="C19" s="84" t="s">
        <v>1226</v>
      </c>
      <c r="D19" s="81"/>
      <c r="E19" s="81"/>
      <c r="F19" s="81"/>
      <c r="G19" s="163"/>
      <c r="H19" s="65">
        <f>SUM(H13:H18)</f>
        <v>209540</v>
      </c>
    </row>
    <row r="20" spans="3:9">
      <c r="C20" s="73" t="s">
        <v>1227</v>
      </c>
      <c r="D20" s="60" t="s">
        <v>1228</v>
      </c>
      <c r="E20" s="74"/>
      <c r="F20" s="74"/>
      <c r="G20" s="74"/>
      <c r="H20" s="74"/>
    </row>
    <row r="21" spans="3:9">
      <c r="C21" s="84" t="s">
        <v>1229</v>
      </c>
      <c r="D21" s="81"/>
      <c r="E21" s="81"/>
      <c r="F21" s="81"/>
      <c r="G21" s="163"/>
      <c r="H21" s="306">
        <v>0</v>
      </c>
    </row>
    <row r="22" spans="3:9">
      <c r="C22" s="59" t="s">
        <v>1230</v>
      </c>
      <c r="D22" s="70" t="s">
        <v>1231</v>
      </c>
      <c r="E22" s="71"/>
      <c r="F22" s="71"/>
      <c r="G22" s="72"/>
      <c r="H22" s="307">
        <f>H21+H19+H11</f>
        <v>542335</v>
      </c>
      <c r="I22" s="322"/>
    </row>
    <row r="23" spans="3:9">
      <c r="C23" s="59" t="s">
        <v>1232</v>
      </c>
      <c r="D23" s="70" t="s">
        <v>1410</v>
      </c>
      <c r="E23" s="71"/>
      <c r="F23" s="72"/>
      <c r="G23" s="96">
        <f>$M$7</f>
        <v>0.1</v>
      </c>
      <c r="H23" s="65">
        <f>H22*G23</f>
        <v>54233.5</v>
      </c>
      <c r="I23" s="322"/>
    </row>
    <row r="24" spans="3:9">
      <c r="C24" s="59" t="s">
        <v>1233</v>
      </c>
      <c r="D24" s="70" t="s">
        <v>1234</v>
      </c>
      <c r="E24" s="71"/>
      <c r="F24" s="71"/>
      <c r="G24" s="72"/>
      <c r="H24" s="308">
        <f>SUM(H22:H23)</f>
        <v>596568.5</v>
      </c>
      <c r="I24" s="322"/>
    </row>
    <row r="25" spans="3:9">
      <c r="C25" s="90"/>
      <c r="D25" s="91"/>
      <c r="E25" s="91"/>
      <c r="F25" s="91"/>
      <c r="G25" s="91"/>
      <c r="H25" s="309"/>
    </row>
    <row r="26" spans="3:9">
      <c r="C26" s="316" t="s">
        <v>1808</v>
      </c>
      <c r="D26" s="310"/>
      <c r="E26" s="310"/>
      <c r="F26" s="310"/>
      <c r="G26" s="310"/>
      <c r="H26" s="310"/>
      <c r="I26" s="57">
        <f>ROUNDDOWN(H46,-2)</f>
        <v>823600</v>
      </c>
    </row>
    <row r="27" spans="3:9" ht="28.5">
      <c r="C27" s="303" t="s">
        <v>1207</v>
      </c>
      <c r="D27" s="303" t="s">
        <v>1208</v>
      </c>
      <c r="E27" s="303" t="s">
        <v>1209</v>
      </c>
      <c r="F27" s="303" t="s">
        <v>1210</v>
      </c>
      <c r="G27" s="303" t="s">
        <v>1211</v>
      </c>
      <c r="H27" s="303" t="s">
        <v>1212</v>
      </c>
    </row>
    <row r="28" spans="3:9">
      <c r="C28" s="73" t="s">
        <v>1213</v>
      </c>
      <c r="D28" s="60" t="s">
        <v>1214</v>
      </c>
      <c r="E28" s="74"/>
      <c r="F28" s="74"/>
      <c r="G28" s="74"/>
      <c r="H28" s="74"/>
    </row>
    <row r="29" spans="3:9">
      <c r="C29" s="304">
        <v>1</v>
      </c>
      <c r="D29" s="60" t="s">
        <v>5</v>
      </c>
      <c r="E29" s="73" t="s">
        <v>6</v>
      </c>
      <c r="F29" s="75">
        <v>3.2</v>
      </c>
      <c r="G29" s="65">
        <f>VLOOKUP(D29,upahbahan,3,FALSE)</f>
        <v>100000</v>
      </c>
      <c r="H29" s="65">
        <f t="shared" ref="H29:H32" si="3">F29*G29</f>
        <v>320000</v>
      </c>
    </row>
    <row r="30" spans="3:9">
      <c r="C30" s="304">
        <v>2</v>
      </c>
      <c r="D30" s="60" t="s">
        <v>7</v>
      </c>
      <c r="E30" s="73" t="s">
        <v>6</v>
      </c>
      <c r="F30" s="75">
        <v>1.1499999999999999</v>
      </c>
      <c r="G30" s="65">
        <f>VLOOKUP(D30,upahbahan,3,FALSE)</f>
        <v>145000</v>
      </c>
      <c r="H30" s="65">
        <f t="shared" si="3"/>
        <v>166750</v>
      </c>
    </row>
    <row r="31" spans="3:9">
      <c r="C31" s="304">
        <v>3</v>
      </c>
      <c r="D31" s="60" t="s">
        <v>18</v>
      </c>
      <c r="E31" s="73" t="s">
        <v>6</v>
      </c>
      <c r="F31" s="75">
        <v>1.0999999999999999E-2</v>
      </c>
      <c r="G31" s="65">
        <f>VLOOKUP(D31,upahbahan,3,FALSE)</f>
        <v>150000</v>
      </c>
      <c r="H31" s="65">
        <f t="shared" si="3"/>
        <v>1650</v>
      </c>
    </row>
    <row r="32" spans="3:9">
      <c r="C32" s="304">
        <v>4</v>
      </c>
      <c r="D32" s="60" t="s">
        <v>19</v>
      </c>
      <c r="E32" s="73" t="s">
        <v>6</v>
      </c>
      <c r="F32" s="75">
        <v>1.6E-2</v>
      </c>
      <c r="G32" s="65">
        <f>VLOOKUP(D32,upahbahan,3,FALSE)</f>
        <v>145000</v>
      </c>
      <c r="H32" s="65">
        <f t="shared" si="3"/>
        <v>2320</v>
      </c>
    </row>
    <row r="33" spans="3:9">
      <c r="C33" s="84" t="s">
        <v>1220</v>
      </c>
      <c r="D33" s="81"/>
      <c r="E33" s="81"/>
      <c r="F33" s="220"/>
      <c r="G33" s="221"/>
      <c r="H33" s="65">
        <f>SUM(H29:H32)</f>
        <v>490720</v>
      </c>
      <c r="I33" s="222"/>
    </row>
    <row r="34" spans="3:9">
      <c r="C34" s="73" t="s">
        <v>1221</v>
      </c>
      <c r="D34" s="60" t="s">
        <v>1222</v>
      </c>
      <c r="E34" s="74"/>
      <c r="F34" s="74"/>
      <c r="G34" s="74"/>
      <c r="H34" s="74"/>
    </row>
    <row r="35" spans="3:9">
      <c r="C35" s="368" t="s">
        <v>1215</v>
      </c>
      <c r="D35" s="60" t="s">
        <v>43</v>
      </c>
      <c r="E35" s="73" t="s">
        <v>44</v>
      </c>
      <c r="F35" s="230">
        <v>70</v>
      </c>
      <c r="G35" s="65">
        <f t="shared" ref="G35:G40" si="4">VLOOKUP(D35,upahbahan,3,FALSE)</f>
        <v>700</v>
      </c>
      <c r="H35" s="65">
        <f t="shared" ref="H35:H40" si="5">F35*G35</f>
        <v>49000</v>
      </c>
    </row>
    <row r="36" spans="3:9">
      <c r="C36" s="368" t="s">
        <v>1216</v>
      </c>
      <c r="D36" s="60" t="s">
        <v>568</v>
      </c>
      <c r="E36" s="73" t="s">
        <v>66</v>
      </c>
      <c r="F36" s="230">
        <v>77</v>
      </c>
      <c r="G36" s="65">
        <f t="shared" si="4"/>
        <v>1300</v>
      </c>
      <c r="H36" s="65">
        <f t="shared" si="5"/>
        <v>100100</v>
      </c>
    </row>
    <row r="37" spans="3:9">
      <c r="C37" s="368" t="s">
        <v>1217</v>
      </c>
      <c r="D37" s="78" t="s">
        <v>86</v>
      </c>
      <c r="E37" s="73" t="s">
        <v>42</v>
      </c>
      <c r="F37" s="230">
        <v>0.1</v>
      </c>
      <c r="G37" s="65">
        <f t="shared" si="4"/>
        <v>275000</v>
      </c>
      <c r="H37" s="65">
        <f t="shared" si="5"/>
        <v>27500</v>
      </c>
    </row>
    <row r="38" spans="3:9" ht="28.5">
      <c r="C38" s="368" t="s">
        <v>1218</v>
      </c>
      <c r="D38" s="60" t="s">
        <v>83</v>
      </c>
      <c r="E38" s="73" t="s">
        <v>42</v>
      </c>
      <c r="F38" s="230">
        <v>0.1</v>
      </c>
      <c r="G38" s="65">
        <f t="shared" si="4"/>
        <v>370200</v>
      </c>
      <c r="H38" s="65">
        <f t="shared" si="5"/>
        <v>37020</v>
      </c>
    </row>
    <row r="39" spans="3:9">
      <c r="C39" s="368" t="s">
        <v>1219</v>
      </c>
      <c r="D39" s="60" t="s">
        <v>72</v>
      </c>
      <c r="E39" s="73" t="s">
        <v>42</v>
      </c>
      <c r="F39" s="230">
        <v>0.02</v>
      </c>
      <c r="G39" s="65">
        <f t="shared" si="4"/>
        <v>370200</v>
      </c>
      <c r="H39" s="65">
        <f t="shared" si="5"/>
        <v>7404</v>
      </c>
    </row>
    <row r="40" spans="3:9">
      <c r="C40" s="368" t="s">
        <v>1223</v>
      </c>
      <c r="D40" s="60" t="s">
        <v>236</v>
      </c>
      <c r="E40" s="73" t="s">
        <v>66</v>
      </c>
      <c r="F40" s="230">
        <v>2.6</v>
      </c>
      <c r="G40" s="65">
        <f t="shared" si="4"/>
        <v>14250</v>
      </c>
      <c r="H40" s="65">
        <f t="shared" si="5"/>
        <v>37050</v>
      </c>
    </row>
    <row r="41" spans="3:9">
      <c r="C41" s="84" t="s">
        <v>1226</v>
      </c>
      <c r="D41" s="81"/>
      <c r="E41" s="81"/>
      <c r="F41" s="81"/>
      <c r="G41" s="163"/>
      <c r="H41" s="65">
        <f>SUM(H35:H40)</f>
        <v>258074</v>
      </c>
    </row>
    <row r="42" spans="3:9">
      <c r="C42" s="73" t="s">
        <v>1227</v>
      </c>
      <c r="D42" s="60" t="s">
        <v>1228</v>
      </c>
      <c r="E42" s="74"/>
      <c r="F42" s="74"/>
      <c r="G42" s="74"/>
      <c r="H42" s="74"/>
    </row>
    <row r="43" spans="3:9">
      <c r="C43" s="84" t="s">
        <v>1229</v>
      </c>
      <c r="D43" s="81"/>
      <c r="E43" s="81"/>
      <c r="F43" s="81"/>
      <c r="G43" s="163"/>
      <c r="H43" s="306">
        <v>0</v>
      </c>
    </row>
    <row r="44" spans="3:9">
      <c r="C44" s="59" t="s">
        <v>1230</v>
      </c>
      <c r="D44" s="70" t="s">
        <v>1231</v>
      </c>
      <c r="E44" s="71"/>
      <c r="F44" s="71"/>
      <c r="G44" s="72"/>
      <c r="H44" s="307">
        <f>H43+H41+H33</f>
        <v>748794</v>
      </c>
      <c r="I44" s="322"/>
    </row>
    <row r="45" spans="3:9">
      <c r="C45" s="59" t="s">
        <v>1232</v>
      </c>
      <c r="D45" s="70" t="s">
        <v>1410</v>
      </c>
      <c r="E45" s="71"/>
      <c r="F45" s="72"/>
      <c r="G45" s="96">
        <f>$M$7</f>
        <v>0.1</v>
      </c>
      <c r="H45" s="65">
        <f>H44*G45</f>
        <v>74879.400000000009</v>
      </c>
      <c r="I45" s="322"/>
    </row>
    <row r="46" spans="3:9">
      <c r="C46" s="59" t="s">
        <v>1233</v>
      </c>
      <c r="D46" s="70" t="s">
        <v>1234</v>
      </c>
      <c r="E46" s="71"/>
      <c r="F46" s="71"/>
      <c r="G46" s="72"/>
      <c r="H46" s="308">
        <f>SUM(H44:H45)</f>
        <v>823673.4</v>
      </c>
      <c r="I46" s="322"/>
    </row>
    <row r="48" spans="3:9">
      <c r="C48" s="316" t="s">
        <v>1809</v>
      </c>
      <c r="D48" s="318"/>
      <c r="E48" s="318"/>
      <c r="F48" s="318"/>
      <c r="G48" s="318"/>
      <c r="H48" s="318"/>
      <c r="I48" s="57">
        <f>ROUNDDOWN(H68,-2)</f>
        <v>991500</v>
      </c>
    </row>
    <row r="49" spans="3:9" ht="28.5">
      <c r="C49" s="303" t="s">
        <v>1207</v>
      </c>
      <c r="D49" s="303" t="s">
        <v>1208</v>
      </c>
      <c r="E49" s="303" t="s">
        <v>1209</v>
      </c>
      <c r="F49" s="303" t="s">
        <v>1210</v>
      </c>
      <c r="G49" s="303" t="s">
        <v>1211</v>
      </c>
      <c r="H49" s="303" t="s">
        <v>1212</v>
      </c>
    </row>
    <row r="50" spans="3:9">
      <c r="C50" s="73" t="s">
        <v>1213</v>
      </c>
      <c r="D50" s="60" t="s">
        <v>1214</v>
      </c>
      <c r="E50" s="74"/>
      <c r="F50" s="74"/>
      <c r="G50" s="74"/>
      <c r="H50" s="74"/>
    </row>
    <row r="51" spans="3:9">
      <c r="C51" s="304">
        <v>1</v>
      </c>
      <c r="D51" s="60" t="s">
        <v>5</v>
      </c>
      <c r="E51" s="305" t="s">
        <v>6</v>
      </c>
      <c r="F51" s="75">
        <v>3.2</v>
      </c>
      <c r="G51" s="65">
        <f>VLOOKUP(D51,upahbahan,3,FALSE)</f>
        <v>100000</v>
      </c>
      <c r="H51" s="65">
        <f t="shared" ref="H51:H54" si="6">F51*G51</f>
        <v>320000</v>
      </c>
    </row>
    <row r="52" spans="3:9">
      <c r="C52" s="304">
        <v>2</v>
      </c>
      <c r="D52" s="60" t="s">
        <v>7</v>
      </c>
      <c r="E52" s="305" t="s">
        <v>6</v>
      </c>
      <c r="F52" s="75">
        <v>1.1499999999999999</v>
      </c>
      <c r="G52" s="65">
        <f>VLOOKUP(D52,upahbahan,3,FALSE)</f>
        <v>145000</v>
      </c>
      <c r="H52" s="65">
        <f t="shared" si="6"/>
        <v>166750</v>
      </c>
    </row>
    <row r="53" spans="3:9">
      <c r="C53" s="304">
        <v>3</v>
      </c>
      <c r="D53" s="60" t="s">
        <v>18</v>
      </c>
      <c r="E53" s="305" t="s">
        <v>6</v>
      </c>
      <c r="F53" s="75">
        <v>1.0999999999999999E-2</v>
      </c>
      <c r="G53" s="65">
        <f>VLOOKUP(D53,upahbahan,3,FALSE)</f>
        <v>150000</v>
      </c>
      <c r="H53" s="65">
        <f t="shared" si="6"/>
        <v>1650</v>
      </c>
    </row>
    <row r="54" spans="3:9">
      <c r="C54" s="304">
        <v>4</v>
      </c>
      <c r="D54" s="60" t="s">
        <v>19</v>
      </c>
      <c r="E54" s="305" t="s">
        <v>6</v>
      </c>
      <c r="F54" s="75">
        <v>1.6E-2</v>
      </c>
      <c r="G54" s="65">
        <f>VLOOKUP(D54,upahbahan,3,FALSE)</f>
        <v>145000</v>
      </c>
      <c r="H54" s="65">
        <f t="shared" si="6"/>
        <v>2320</v>
      </c>
    </row>
    <row r="55" spans="3:9">
      <c r="C55" s="84" t="s">
        <v>1220</v>
      </c>
      <c r="D55" s="81"/>
      <c r="E55" s="81"/>
      <c r="F55" s="220"/>
      <c r="G55" s="221"/>
      <c r="H55" s="65">
        <f>SUM(H51:H54)</f>
        <v>490720</v>
      </c>
      <c r="I55" s="222"/>
    </row>
    <row r="56" spans="3:9">
      <c r="C56" s="305" t="s">
        <v>1221</v>
      </c>
      <c r="D56" s="60" t="s">
        <v>1222</v>
      </c>
      <c r="E56" s="74"/>
      <c r="F56" s="74"/>
      <c r="G56" s="74"/>
      <c r="H56" s="74"/>
    </row>
    <row r="57" spans="3:9">
      <c r="C57" s="368" t="s">
        <v>1215</v>
      </c>
      <c r="D57" s="60" t="s">
        <v>43</v>
      </c>
      <c r="E57" s="305" t="s">
        <v>44</v>
      </c>
      <c r="F57" s="75">
        <v>123</v>
      </c>
      <c r="G57" s="65">
        <f t="shared" ref="G57:G62" si="7">VLOOKUP(D57,upahbahan,3,FALSE)</f>
        <v>700</v>
      </c>
      <c r="H57" s="65">
        <f t="shared" ref="H57:H62" si="8">F57*G57</f>
        <v>86100</v>
      </c>
    </row>
    <row r="58" spans="3:9">
      <c r="C58" s="368" t="s">
        <v>1216</v>
      </c>
      <c r="D58" s="60" t="s">
        <v>568</v>
      </c>
      <c r="E58" s="73" t="s">
        <v>66</v>
      </c>
      <c r="F58" s="75">
        <v>114</v>
      </c>
      <c r="G58" s="65">
        <f t="shared" si="7"/>
        <v>1300</v>
      </c>
      <c r="H58" s="65">
        <f t="shared" si="8"/>
        <v>148200</v>
      </c>
    </row>
    <row r="59" spans="3:9">
      <c r="C59" s="368" t="s">
        <v>1217</v>
      </c>
      <c r="D59" s="78" t="s">
        <v>86</v>
      </c>
      <c r="E59" s="73" t="s">
        <v>42</v>
      </c>
      <c r="F59" s="75">
        <v>0.184</v>
      </c>
      <c r="G59" s="65">
        <f t="shared" si="7"/>
        <v>275000</v>
      </c>
      <c r="H59" s="65">
        <f t="shared" si="8"/>
        <v>50600</v>
      </c>
    </row>
    <row r="60" spans="3:9" ht="28.5">
      <c r="C60" s="368" t="s">
        <v>1218</v>
      </c>
      <c r="D60" s="60" t="s">
        <v>83</v>
      </c>
      <c r="E60" s="73" t="s">
        <v>42</v>
      </c>
      <c r="F60" s="75">
        <v>0.12</v>
      </c>
      <c r="G60" s="65">
        <f t="shared" si="7"/>
        <v>370200</v>
      </c>
      <c r="H60" s="65">
        <f t="shared" si="8"/>
        <v>44424</v>
      </c>
    </row>
    <row r="61" spans="3:9">
      <c r="C61" s="368" t="s">
        <v>1219</v>
      </c>
      <c r="D61" s="60" t="s">
        <v>72</v>
      </c>
      <c r="E61" s="73" t="s">
        <v>42</v>
      </c>
      <c r="F61" s="75">
        <v>3.3000000000000002E-2</v>
      </c>
      <c r="G61" s="65">
        <f t="shared" si="7"/>
        <v>370200</v>
      </c>
      <c r="H61" s="65">
        <f t="shared" si="8"/>
        <v>12216.6</v>
      </c>
    </row>
    <row r="62" spans="3:9">
      <c r="C62" s="368" t="s">
        <v>1223</v>
      </c>
      <c r="D62" s="60" t="s">
        <v>236</v>
      </c>
      <c r="E62" s="73" t="s">
        <v>66</v>
      </c>
      <c r="F62" s="75">
        <v>4.8499999999999996</v>
      </c>
      <c r="G62" s="65">
        <f t="shared" si="7"/>
        <v>14250</v>
      </c>
      <c r="H62" s="65">
        <f t="shared" si="8"/>
        <v>69112.5</v>
      </c>
    </row>
    <row r="63" spans="3:9">
      <c r="C63" s="84" t="s">
        <v>1226</v>
      </c>
      <c r="D63" s="81"/>
      <c r="E63" s="81"/>
      <c r="F63" s="81"/>
      <c r="G63" s="163"/>
      <c r="H63" s="65">
        <f>SUM(H57:H62)</f>
        <v>410653.1</v>
      </c>
    </row>
    <row r="64" spans="3:9">
      <c r="C64" s="73" t="s">
        <v>1227</v>
      </c>
      <c r="D64" s="60" t="s">
        <v>1228</v>
      </c>
      <c r="E64" s="74"/>
      <c r="F64" s="74"/>
      <c r="G64" s="74"/>
      <c r="H64" s="74"/>
    </row>
    <row r="65" spans="3:9">
      <c r="C65" s="84" t="s">
        <v>1229</v>
      </c>
      <c r="D65" s="81"/>
      <c r="E65" s="81"/>
      <c r="F65" s="81"/>
      <c r="G65" s="163"/>
      <c r="H65" s="306">
        <v>0</v>
      </c>
    </row>
    <row r="66" spans="3:9">
      <c r="C66" s="59" t="s">
        <v>1230</v>
      </c>
      <c r="D66" s="70" t="s">
        <v>1231</v>
      </c>
      <c r="E66" s="71"/>
      <c r="F66" s="71"/>
      <c r="G66" s="72"/>
      <c r="H66" s="307">
        <f>H65+H63+H55</f>
        <v>901373.1</v>
      </c>
      <c r="I66" s="322"/>
    </row>
    <row r="67" spans="3:9">
      <c r="C67" s="59" t="s">
        <v>1232</v>
      </c>
      <c r="D67" s="70" t="s">
        <v>1410</v>
      </c>
      <c r="E67" s="71"/>
      <c r="F67" s="72"/>
      <c r="G67" s="96">
        <f>$M$7</f>
        <v>0.1</v>
      </c>
      <c r="H67" s="65">
        <f>H66*G67</f>
        <v>90137.31</v>
      </c>
      <c r="I67" s="322"/>
    </row>
    <row r="68" spans="3:9">
      <c r="C68" s="59" t="s">
        <v>1233</v>
      </c>
      <c r="D68" s="70" t="s">
        <v>1234</v>
      </c>
      <c r="E68" s="71"/>
      <c r="F68" s="71"/>
      <c r="G68" s="72"/>
      <c r="H68" s="308">
        <f>SUM(H66:H67)</f>
        <v>991510.40999999992</v>
      </c>
      <c r="I68" s="322"/>
    </row>
    <row r="69" spans="3:9">
      <c r="C69" s="90"/>
      <c r="D69" s="91"/>
      <c r="E69" s="91"/>
      <c r="F69" s="91"/>
      <c r="G69" s="91"/>
      <c r="H69" s="30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2A1E-49C3-4C6F-A5B5-F8039629B013}">
  <dimension ref="C1:M525"/>
  <sheetViews>
    <sheetView workbookViewId="0">
      <selection activeCell="C3" sqref="C3:I531"/>
    </sheetView>
    <sheetView workbookViewId="1"/>
  </sheetViews>
  <sheetFormatPr defaultColWidth="8.85546875" defaultRowHeight="15"/>
  <cols>
    <col min="1" max="2" width="4" style="56" customWidth="1"/>
    <col min="3" max="3" width="6" style="63" customWidth="1"/>
    <col min="4" max="4" width="36.7109375" style="63" customWidth="1"/>
    <col min="5" max="5" width="7.42578125" style="63" customWidth="1"/>
    <col min="6" max="6" width="10.7109375" style="63" customWidth="1"/>
    <col min="7" max="7" width="14.28515625" style="63" customWidth="1"/>
    <col min="8" max="8" width="16.42578125" style="63" customWidth="1"/>
    <col min="9" max="9" width="16.28515625" style="55" customWidth="1"/>
    <col min="10" max="10" width="8.85546875" style="56"/>
    <col min="11" max="11" width="9.85546875" style="56" bestFit="1" customWidth="1"/>
    <col min="12" max="16384" width="8.85546875" style="56"/>
  </cols>
  <sheetData>
    <row r="1" spans="3:13" ht="10.15" customHeight="1"/>
    <row r="2" spans="3:13" ht="10.15" customHeight="1"/>
    <row r="3" spans="3:13">
      <c r="C3" s="228" t="str">
        <f>'[1]Daftar HSP'!A535</f>
        <v>W</v>
      </c>
      <c r="D3" s="229" t="str">
        <f>'[1]Daftar HSP'!B535</f>
        <v>PEKERJAAN PERPIPAAN GEDUNG</v>
      </c>
      <c r="E3" s="229"/>
      <c r="F3" s="229"/>
      <c r="G3" s="229"/>
      <c r="H3" s="229"/>
    </row>
    <row r="4" spans="3:13">
      <c r="C4" s="316" t="s">
        <v>1810</v>
      </c>
      <c r="D4" s="310"/>
      <c r="E4" s="310"/>
      <c r="F4" s="310"/>
      <c r="G4" s="310"/>
      <c r="H4" s="310"/>
      <c r="I4" s="57">
        <f>ROUNDDOWN(H20,-2)</f>
        <v>21700</v>
      </c>
    </row>
    <row r="5" spans="3:13" ht="28.5">
      <c r="C5" s="303" t="s">
        <v>1207</v>
      </c>
      <c r="D5" s="303" t="s">
        <v>1208</v>
      </c>
      <c r="E5" s="303" t="s">
        <v>1209</v>
      </c>
      <c r="F5" s="303" t="s">
        <v>1210</v>
      </c>
      <c r="G5" s="303" t="s">
        <v>1211</v>
      </c>
      <c r="H5" s="303" t="s">
        <v>1212</v>
      </c>
    </row>
    <row r="6" spans="3:13">
      <c r="C6" s="73" t="s">
        <v>1213</v>
      </c>
      <c r="D6" s="60" t="s">
        <v>1214</v>
      </c>
      <c r="E6" s="74"/>
      <c r="F6" s="74"/>
      <c r="G6" s="74"/>
      <c r="H6" s="74"/>
      <c r="J6" s="160" t="s">
        <v>1265</v>
      </c>
    </row>
    <row r="7" spans="3:13">
      <c r="C7" s="304">
        <v>1</v>
      </c>
      <c r="D7" s="60" t="s">
        <v>5</v>
      </c>
      <c r="E7" s="305" t="s">
        <v>6</v>
      </c>
      <c r="F7" s="75">
        <v>1.7000000000000001E-2</v>
      </c>
      <c r="G7" s="65">
        <f>VLOOKUP(D7,upahbahan,3,FALSE)</f>
        <v>100000</v>
      </c>
      <c r="H7" s="65">
        <f t="shared" ref="H7:H10" si="0">F7*G7</f>
        <v>1700.0000000000002</v>
      </c>
      <c r="J7" s="160" t="s">
        <v>1266</v>
      </c>
      <c r="M7" s="66">
        <v>0.1</v>
      </c>
    </row>
    <row r="8" spans="3:13">
      <c r="C8" s="304">
        <v>2</v>
      </c>
      <c r="D8" s="60" t="s">
        <v>10</v>
      </c>
      <c r="E8" s="305" t="s">
        <v>6</v>
      </c>
      <c r="F8" s="75">
        <v>2.8000000000000001E-2</v>
      </c>
      <c r="G8" s="65">
        <f>VLOOKUP(D8,upahbahan,3,FALSE)</f>
        <v>145000</v>
      </c>
      <c r="H8" s="65">
        <f t="shared" si="0"/>
        <v>4060</v>
      </c>
    </row>
    <row r="9" spans="3:13">
      <c r="C9" s="304">
        <v>3</v>
      </c>
      <c r="D9" s="60" t="s">
        <v>18</v>
      </c>
      <c r="E9" s="305" t="s">
        <v>6</v>
      </c>
      <c r="F9" s="75">
        <v>3.0000000000000001E-3</v>
      </c>
      <c r="G9" s="65">
        <f>VLOOKUP(D9,upahbahan,3,FALSE)</f>
        <v>150000</v>
      </c>
      <c r="H9" s="65">
        <f t="shared" si="0"/>
        <v>450</v>
      </c>
    </row>
    <row r="10" spans="3:13">
      <c r="C10" s="304">
        <v>4</v>
      </c>
      <c r="D10" s="60" t="s">
        <v>19</v>
      </c>
      <c r="E10" s="305" t="s">
        <v>6</v>
      </c>
      <c r="F10" s="75">
        <v>1E-3</v>
      </c>
      <c r="G10" s="65">
        <f>VLOOKUP(D10,upahbahan,3,FALSE)</f>
        <v>145000</v>
      </c>
      <c r="H10" s="65">
        <f t="shared" si="0"/>
        <v>145</v>
      </c>
    </row>
    <row r="11" spans="3:13">
      <c r="C11" s="84" t="s">
        <v>1220</v>
      </c>
      <c r="D11" s="81"/>
      <c r="E11" s="81"/>
      <c r="F11" s="220"/>
      <c r="G11" s="221"/>
      <c r="H11" s="65">
        <f>SUM(H7:H10)</f>
        <v>6355</v>
      </c>
      <c r="I11" s="222"/>
    </row>
    <row r="12" spans="3:13">
      <c r="C12" s="73" t="s">
        <v>1221</v>
      </c>
      <c r="D12" s="60" t="s">
        <v>1222</v>
      </c>
      <c r="E12" s="74"/>
      <c r="F12" s="74"/>
      <c r="G12" s="74"/>
      <c r="H12" s="74"/>
    </row>
    <row r="13" spans="3:13">
      <c r="C13" s="304">
        <v>1</v>
      </c>
      <c r="D13" s="78" t="s">
        <v>1841</v>
      </c>
      <c r="E13" s="69" t="s">
        <v>114</v>
      </c>
      <c r="F13" s="230">
        <v>1.45</v>
      </c>
      <c r="G13" s="65">
        <f>VLOOKUP(D13,upahbahan,3,FALSE)</f>
        <v>6875</v>
      </c>
      <c r="H13" s="65">
        <f t="shared" ref="H13" si="1">F13*G13</f>
        <v>9968.75</v>
      </c>
    </row>
    <row r="14" spans="3:13">
      <c r="C14" s="304">
        <v>2</v>
      </c>
      <c r="D14" s="60" t="s">
        <v>1811</v>
      </c>
      <c r="E14" s="74"/>
      <c r="F14" s="369">
        <f>35/100</f>
        <v>0.35</v>
      </c>
      <c r="G14" s="74"/>
      <c r="H14" s="65">
        <f>F14*H13</f>
        <v>3489.0625</v>
      </c>
    </row>
    <row r="15" spans="3:13">
      <c r="C15" s="84" t="s">
        <v>1226</v>
      </c>
      <c r="D15" s="81"/>
      <c r="E15" s="81"/>
      <c r="F15" s="81"/>
      <c r="G15" s="163"/>
      <c r="H15" s="65">
        <f>SUM(H13:H14)</f>
        <v>13457.8125</v>
      </c>
    </row>
    <row r="16" spans="3:13">
      <c r="C16" s="73" t="s">
        <v>1227</v>
      </c>
      <c r="D16" s="60" t="s">
        <v>1228</v>
      </c>
      <c r="E16" s="74"/>
      <c r="F16" s="74"/>
      <c r="G16" s="74"/>
      <c r="H16" s="74"/>
    </row>
    <row r="17" spans="3:11">
      <c r="C17" s="84" t="s">
        <v>1229</v>
      </c>
      <c r="D17" s="81"/>
      <c r="E17" s="81"/>
      <c r="F17" s="81"/>
      <c r="G17" s="163"/>
      <c r="H17" s="306">
        <v>0</v>
      </c>
    </row>
    <row r="18" spans="3:11">
      <c r="C18" s="59" t="s">
        <v>1230</v>
      </c>
      <c r="D18" s="70" t="s">
        <v>1231</v>
      </c>
      <c r="E18" s="71"/>
      <c r="F18" s="71"/>
      <c r="G18" s="72"/>
      <c r="H18" s="307">
        <f>H17+H15+H11</f>
        <v>19812.8125</v>
      </c>
      <c r="I18" s="322"/>
    </row>
    <row r="19" spans="3:11">
      <c r="C19" s="59" t="s">
        <v>1232</v>
      </c>
      <c r="D19" s="70" t="s">
        <v>1410</v>
      </c>
      <c r="E19" s="71"/>
      <c r="F19" s="72"/>
      <c r="G19" s="96">
        <f>$M$7</f>
        <v>0.1</v>
      </c>
      <c r="H19" s="65">
        <f>H18*G19</f>
        <v>1981.28125</v>
      </c>
      <c r="I19" s="322"/>
    </row>
    <row r="20" spans="3:11">
      <c r="C20" s="59" t="s">
        <v>1233</v>
      </c>
      <c r="D20" s="70" t="s">
        <v>1234</v>
      </c>
      <c r="E20" s="71"/>
      <c r="F20" s="71"/>
      <c r="G20" s="72"/>
      <c r="H20" s="308">
        <f>SUM(H18:H19)</f>
        <v>21794.09375</v>
      </c>
      <c r="I20" s="322"/>
    </row>
    <row r="21" spans="3:11">
      <c r="C21" s="90"/>
      <c r="D21" s="91"/>
      <c r="E21" s="91"/>
      <c r="F21" s="91"/>
      <c r="G21" s="91"/>
      <c r="H21" s="309"/>
    </row>
    <row r="22" spans="3:11">
      <c r="C22" s="316" t="s">
        <v>1812</v>
      </c>
      <c r="D22" s="310"/>
      <c r="E22" s="310"/>
      <c r="F22" s="310"/>
      <c r="G22" s="310"/>
      <c r="H22" s="310"/>
      <c r="I22" s="57">
        <f>ROUNDDOWN(H38,-2)</f>
        <v>28600</v>
      </c>
      <c r="K22" s="216"/>
    </row>
    <row r="23" spans="3:11" ht="28.5">
      <c r="C23" s="303" t="s">
        <v>1207</v>
      </c>
      <c r="D23" s="303" t="s">
        <v>1208</v>
      </c>
      <c r="E23" s="303" t="s">
        <v>1209</v>
      </c>
      <c r="F23" s="303" t="s">
        <v>1210</v>
      </c>
      <c r="G23" s="303" t="s">
        <v>1211</v>
      </c>
      <c r="H23" s="303" t="s">
        <v>1212</v>
      </c>
    </row>
    <row r="24" spans="3:11">
      <c r="C24" s="73" t="s">
        <v>1213</v>
      </c>
      <c r="D24" s="60" t="s">
        <v>1214</v>
      </c>
      <c r="E24" s="74"/>
      <c r="F24" s="74"/>
      <c r="G24" s="74"/>
      <c r="H24" s="74"/>
    </row>
    <row r="25" spans="3:11">
      <c r="C25" s="304">
        <v>1</v>
      </c>
      <c r="D25" s="60" t="s">
        <v>5</v>
      </c>
      <c r="E25" s="305" t="s">
        <v>6</v>
      </c>
      <c r="F25" s="75">
        <v>2.4E-2</v>
      </c>
      <c r="G25" s="65">
        <f>VLOOKUP(D25,upahbahan,3,FALSE)</f>
        <v>100000</v>
      </c>
      <c r="H25" s="65">
        <f t="shared" ref="H25:H28" si="2">F25*G25</f>
        <v>2400</v>
      </c>
    </row>
    <row r="26" spans="3:11">
      <c r="C26" s="304">
        <v>2</v>
      </c>
      <c r="D26" s="60" t="str">
        <f>D8</f>
        <v>Tukang pipa</v>
      </c>
      <c r="E26" s="305" t="s">
        <v>6</v>
      </c>
      <c r="F26" s="75">
        <v>0.04</v>
      </c>
      <c r="G26" s="65">
        <f>VLOOKUP(D26,upahbahan,3,FALSE)</f>
        <v>145000</v>
      </c>
      <c r="H26" s="65">
        <f t="shared" si="2"/>
        <v>5800</v>
      </c>
    </row>
    <row r="27" spans="3:11">
      <c r="C27" s="304">
        <v>3</v>
      </c>
      <c r="D27" s="60" t="s">
        <v>18</v>
      </c>
      <c r="E27" s="305" t="s">
        <v>6</v>
      </c>
      <c r="F27" s="75">
        <v>4.0000000000000001E-3</v>
      </c>
      <c r="G27" s="65">
        <f>VLOOKUP(D27,upahbahan,3,FALSE)</f>
        <v>150000</v>
      </c>
      <c r="H27" s="65">
        <f t="shared" si="2"/>
        <v>600</v>
      </c>
    </row>
    <row r="28" spans="3:11">
      <c r="C28" s="304">
        <v>4</v>
      </c>
      <c r="D28" s="60" t="s">
        <v>19</v>
      </c>
      <c r="E28" s="305" t="s">
        <v>6</v>
      </c>
      <c r="F28" s="75">
        <v>1E-3</v>
      </c>
      <c r="G28" s="65">
        <f>VLOOKUP(D28,upahbahan,3,FALSE)</f>
        <v>145000</v>
      </c>
      <c r="H28" s="65">
        <f t="shared" si="2"/>
        <v>145</v>
      </c>
    </row>
    <row r="29" spans="3:11">
      <c r="C29" s="84" t="s">
        <v>1220</v>
      </c>
      <c r="D29" s="81"/>
      <c r="E29" s="81"/>
      <c r="F29" s="220"/>
      <c r="G29" s="221"/>
      <c r="H29" s="65">
        <f>SUM(H25:H28)</f>
        <v>8945</v>
      </c>
      <c r="I29" s="222"/>
    </row>
    <row r="30" spans="3:11">
      <c r="C30" s="73" t="s">
        <v>1221</v>
      </c>
      <c r="D30" s="60" t="s">
        <v>1222</v>
      </c>
      <c r="E30" s="74"/>
      <c r="F30" s="74"/>
      <c r="G30" s="74"/>
      <c r="H30" s="74"/>
    </row>
    <row r="31" spans="3:11">
      <c r="C31" s="304">
        <v>1</v>
      </c>
      <c r="D31" s="78" t="s">
        <v>1795</v>
      </c>
      <c r="E31" s="69" t="s">
        <v>114</v>
      </c>
      <c r="F31" s="75">
        <v>1.45</v>
      </c>
      <c r="G31" s="65">
        <f>VLOOKUP(D31,upahbahan,3,FALSE)</f>
        <v>8750</v>
      </c>
      <c r="H31" s="65">
        <f t="shared" ref="H31" si="3">F31*G31</f>
        <v>12687.5</v>
      </c>
    </row>
    <row r="32" spans="3:11">
      <c r="C32" s="304">
        <v>2</v>
      </c>
      <c r="D32" s="60" t="s">
        <v>1813</v>
      </c>
      <c r="E32" s="74"/>
      <c r="F32" s="369">
        <f>F14</f>
        <v>0.35</v>
      </c>
      <c r="G32" s="74"/>
      <c r="H32" s="65">
        <f>F32*H31</f>
        <v>4440.625</v>
      </c>
    </row>
    <row r="33" spans="3:11">
      <c r="C33" s="84" t="s">
        <v>1226</v>
      </c>
      <c r="D33" s="81"/>
      <c r="E33" s="81"/>
      <c r="F33" s="81"/>
      <c r="G33" s="163"/>
      <c r="H33" s="65">
        <f>SUM(H31:H32)</f>
        <v>17128.125</v>
      </c>
    </row>
    <row r="34" spans="3:11">
      <c r="C34" s="73" t="s">
        <v>1227</v>
      </c>
      <c r="D34" s="60" t="s">
        <v>1228</v>
      </c>
      <c r="E34" s="74"/>
      <c r="F34" s="74"/>
      <c r="G34" s="74"/>
      <c r="H34" s="74"/>
    </row>
    <row r="35" spans="3:11">
      <c r="C35" s="84" t="s">
        <v>1229</v>
      </c>
      <c r="D35" s="81"/>
      <c r="E35" s="81"/>
      <c r="F35" s="81"/>
      <c r="G35" s="163"/>
      <c r="H35" s="306">
        <v>0</v>
      </c>
    </row>
    <row r="36" spans="3:11">
      <c r="C36" s="59" t="s">
        <v>1230</v>
      </c>
      <c r="D36" s="70" t="s">
        <v>1231</v>
      </c>
      <c r="E36" s="71"/>
      <c r="F36" s="71"/>
      <c r="G36" s="72"/>
      <c r="H36" s="307">
        <f>H35+H33+H29</f>
        <v>26073.125</v>
      </c>
      <c r="I36" s="322"/>
    </row>
    <row r="37" spans="3:11">
      <c r="C37" s="59" t="s">
        <v>1232</v>
      </c>
      <c r="D37" s="70" t="s">
        <v>1410</v>
      </c>
      <c r="E37" s="71"/>
      <c r="F37" s="72"/>
      <c r="G37" s="96">
        <f>$M$7</f>
        <v>0.1</v>
      </c>
      <c r="H37" s="65">
        <f>H36*G37</f>
        <v>2607.3125</v>
      </c>
      <c r="I37" s="322"/>
    </row>
    <row r="38" spans="3:11">
      <c r="C38" s="59" t="s">
        <v>1233</v>
      </c>
      <c r="D38" s="70" t="s">
        <v>1234</v>
      </c>
      <c r="E38" s="71"/>
      <c r="F38" s="71"/>
      <c r="G38" s="72"/>
      <c r="H38" s="308">
        <f>SUM(H36:H37)</f>
        <v>28680.4375</v>
      </c>
      <c r="I38" s="322"/>
    </row>
    <row r="39" spans="3:11">
      <c r="C39" s="90"/>
      <c r="D39" s="91"/>
      <c r="E39" s="91"/>
      <c r="F39" s="91"/>
      <c r="G39" s="91"/>
      <c r="H39" s="309"/>
    </row>
    <row r="40" spans="3:11">
      <c r="C40" s="316" t="s">
        <v>1814</v>
      </c>
      <c r="D40" s="310"/>
      <c r="E40" s="310"/>
      <c r="F40" s="310"/>
      <c r="G40" s="310"/>
      <c r="H40" s="310"/>
      <c r="I40" s="57">
        <f>ROUNDDOWN(H56,-2)</f>
        <v>37000</v>
      </c>
      <c r="K40" s="216"/>
    </row>
    <row r="41" spans="3:11" ht="28.5">
      <c r="C41" s="303" t="s">
        <v>1207</v>
      </c>
      <c r="D41" s="303" t="s">
        <v>1208</v>
      </c>
      <c r="E41" s="303" t="s">
        <v>1209</v>
      </c>
      <c r="F41" s="303" t="s">
        <v>1210</v>
      </c>
      <c r="G41" s="303" t="s">
        <v>1211</v>
      </c>
      <c r="H41" s="303" t="s">
        <v>1212</v>
      </c>
      <c r="K41" s="216"/>
    </row>
    <row r="42" spans="3:11">
      <c r="C42" s="73" t="s">
        <v>1213</v>
      </c>
      <c r="D42" s="60" t="s">
        <v>1214</v>
      </c>
      <c r="E42" s="74"/>
      <c r="F42" s="74"/>
      <c r="G42" s="74"/>
      <c r="H42" s="74"/>
      <c r="K42" s="216"/>
    </row>
    <row r="43" spans="3:11">
      <c r="C43" s="304">
        <v>1</v>
      </c>
      <c r="D43" s="60" t="s">
        <v>5</v>
      </c>
      <c r="E43" s="333" t="s">
        <v>6</v>
      </c>
      <c r="F43" s="75">
        <v>3.1E-2</v>
      </c>
      <c r="G43" s="65">
        <f>VLOOKUP(D43,upahbahan,3,FALSE)</f>
        <v>100000</v>
      </c>
      <c r="H43" s="65">
        <f t="shared" ref="H43:H46" si="4">F43*G43</f>
        <v>3100</v>
      </c>
      <c r="K43" s="216"/>
    </row>
    <row r="44" spans="3:11">
      <c r="C44" s="304">
        <v>2</v>
      </c>
      <c r="D44" s="60" t="str">
        <f>D26</f>
        <v>Tukang pipa</v>
      </c>
      <c r="E44" s="333" t="s">
        <v>6</v>
      </c>
      <c r="F44" s="75">
        <v>5.1999999999999998E-2</v>
      </c>
      <c r="G44" s="65">
        <f>VLOOKUP(D44,upahbahan,3,FALSE)</f>
        <v>145000</v>
      </c>
      <c r="H44" s="65">
        <f t="shared" si="4"/>
        <v>7540</v>
      </c>
      <c r="K44" s="216"/>
    </row>
    <row r="45" spans="3:11">
      <c r="C45" s="304">
        <v>3</v>
      </c>
      <c r="D45" s="60" t="s">
        <v>18</v>
      </c>
      <c r="E45" s="333" t="s">
        <v>6</v>
      </c>
      <c r="F45" s="75">
        <v>5.0000000000000001E-3</v>
      </c>
      <c r="G45" s="65">
        <f>VLOOKUP(D45,upahbahan,3,FALSE)</f>
        <v>150000</v>
      </c>
      <c r="H45" s="65">
        <f t="shared" si="4"/>
        <v>750</v>
      </c>
      <c r="K45" s="216"/>
    </row>
    <row r="46" spans="3:11">
      <c r="C46" s="304">
        <v>4</v>
      </c>
      <c r="D46" s="60" t="s">
        <v>19</v>
      </c>
      <c r="E46" s="333" t="s">
        <v>6</v>
      </c>
      <c r="F46" s="75">
        <v>2E-3</v>
      </c>
      <c r="G46" s="65">
        <f>VLOOKUP(D46,upahbahan,3,FALSE)</f>
        <v>145000</v>
      </c>
      <c r="H46" s="65">
        <f t="shared" si="4"/>
        <v>290</v>
      </c>
      <c r="K46" s="216"/>
    </row>
    <row r="47" spans="3:11">
      <c r="C47" s="84" t="s">
        <v>1220</v>
      </c>
      <c r="D47" s="81"/>
      <c r="E47" s="81"/>
      <c r="F47" s="220"/>
      <c r="G47" s="221"/>
      <c r="H47" s="65">
        <f>SUM(H43:H46)</f>
        <v>11680</v>
      </c>
      <c r="I47" s="222"/>
      <c r="K47" s="216"/>
    </row>
    <row r="48" spans="3:11">
      <c r="C48" s="73" t="s">
        <v>1221</v>
      </c>
      <c r="D48" s="60" t="s">
        <v>1222</v>
      </c>
      <c r="E48" s="79"/>
      <c r="F48" s="74"/>
      <c r="G48" s="74"/>
      <c r="H48" s="74"/>
      <c r="K48" s="216"/>
    </row>
    <row r="49" spans="3:11">
      <c r="C49" s="304">
        <v>1</v>
      </c>
      <c r="D49" s="78" t="s">
        <v>154</v>
      </c>
      <c r="E49" s="362" t="s">
        <v>114</v>
      </c>
      <c r="F49" s="75">
        <v>1.45</v>
      </c>
      <c r="G49" s="65">
        <f>VLOOKUP(D49,upahbahan,3,FALSE)</f>
        <v>11250</v>
      </c>
      <c r="H49" s="65">
        <f t="shared" ref="H49" si="5">F49*G49</f>
        <v>16312.5</v>
      </c>
      <c r="K49" s="216"/>
    </row>
    <row r="50" spans="3:11">
      <c r="C50" s="304">
        <v>2</v>
      </c>
      <c r="D50" s="78" t="s">
        <v>1813</v>
      </c>
      <c r="E50" s="79"/>
      <c r="F50" s="369">
        <f>F32</f>
        <v>0.35</v>
      </c>
      <c r="G50" s="74"/>
      <c r="H50" s="65">
        <f>F50*H49</f>
        <v>5709.375</v>
      </c>
      <c r="K50" s="216"/>
    </row>
    <row r="51" spans="3:11">
      <c r="C51" s="84" t="s">
        <v>1226</v>
      </c>
      <c r="D51" s="81"/>
      <c r="E51" s="81"/>
      <c r="F51" s="81"/>
      <c r="G51" s="163"/>
      <c r="H51" s="65">
        <f>SUM(H49:H50)</f>
        <v>22021.875</v>
      </c>
      <c r="K51" s="216"/>
    </row>
    <row r="52" spans="3:11">
      <c r="C52" s="73" t="s">
        <v>1227</v>
      </c>
      <c r="D52" s="60" t="s">
        <v>1228</v>
      </c>
      <c r="E52" s="74"/>
      <c r="F52" s="74"/>
      <c r="G52" s="74"/>
      <c r="H52" s="74"/>
      <c r="K52" s="216"/>
    </row>
    <row r="53" spans="3:11">
      <c r="C53" s="84" t="s">
        <v>1229</v>
      </c>
      <c r="D53" s="81"/>
      <c r="E53" s="81"/>
      <c r="F53" s="81"/>
      <c r="G53" s="163"/>
      <c r="H53" s="306">
        <v>0</v>
      </c>
      <c r="K53" s="216"/>
    </row>
    <row r="54" spans="3:11">
      <c r="C54" s="59" t="s">
        <v>1230</v>
      </c>
      <c r="D54" s="70" t="s">
        <v>1231</v>
      </c>
      <c r="E54" s="71"/>
      <c r="F54" s="71"/>
      <c r="G54" s="72"/>
      <c r="H54" s="307">
        <f>H53+H51+H47</f>
        <v>33701.875</v>
      </c>
      <c r="I54" s="322"/>
      <c r="K54" s="216"/>
    </row>
    <row r="55" spans="3:11">
      <c r="C55" s="59" t="s">
        <v>1232</v>
      </c>
      <c r="D55" s="70" t="s">
        <v>1410</v>
      </c>
      <c r="E55" s="71"/>
      <c r="F55" s="72"/>
      <c r="G55" s="96">
        <f>$M$7</f>
        <v>0.1</v>
      </c>
      <c r="H55" s="65">
        <f>H54*G55</f>
        <v>3370.1875</v>
      </c>
      <c r="I55" s="322"/>
      <c r="K55" s="216"/>
    </row>
    <row r="56" spans="3:11">
      <c r="C56" s="59" t="s">
        <v>1233</v>
      </c>
      <c r="D56" s="70" t="s">
        <v>1234</v>
      </c>
      <c r="E56" s="71"/>
      <c r="F56" s="71"/>
      <c r="G56" s="72"/>
      <c r="H56" s="308">
        <f>SUM(H54:H55)</f>
        <v>37072.0625</v>
      </c>
      <c r="I56" s="322"/>
      <c r="K56" s="216"/>
    </row>
    <row r="57" spans="3:11">
      <c r="K57" s="216"/>
    </row>
    <row r="58" spans="3:11">
      <c r="C58" s="316" t="s">
        <v>1815</v>
      </c>
      <c r="D58" s="318"/>
      <c r="E58" s="318"/>
      <c r="F58" s="318"/>
      <c r="G58" s="318"/>
      <c r="H58" s="318"/>
      <c r="I58" s="57">
        <f>ROUNDDOWN(H74,-2)</f>
        <v>56500</v>
      </c>
      <c r="K58" s="216"/>
    </row>
    <row r="59" spans="3:11" ht="28.5">
      <c r="C59" s="303" t="s">
        <v>1207</v>
      </c>
      <c r="D59" s="303" t="s">
        <v>1208</v>
      </c>
      <c r="E59" s="303" t="s">
        <v>1209</v>
      </c>
      <c r="F59" s="303" t="s">
        <v>1210</v>
      </c>
      <c r="G59" s="303" t="s">
        <v>1211</v>
      </c>
      <c r="H59" s="303" t="s">
        <v>1212</v>
      </c>
      <c r="K59" s="216"/>
    </row>
    <row r="60" spans="3:11">
      <c r="C60" s="305" t="s">
        <v>1213</v>
      </c>
      <c r="D60" s="60" t="s">
        <v>1214</v>
      </c>
      <c r="E60" s="74"/>
      <c r="F60" s="74"/>
      <c r="G60" s="74"/>
      <c r="H60" s="74"/>
      <c r="K60" s="216"/>
    </row>
    <row r="61" spans="3:11">
      <c r="C61" s="363">
        <v>1</v>
      </c>
      <c r="D61" s="60" t="s">
        <v>5</v>
      </c>
      <c r="E61" s="73" t="s">
        <v>6</v>
      </c>
      <c r="F61" s="75">
        <v>0.04</v>
      </c>
      <c r="G61" s="65">
        <f>VLOOKUP(D61,upahbahan,3,FALSE)</f>
        <v>100000</v>
      </c>
      <c r="H61" s="65">
        <f t="shared" ref="H61:H64" si="6">F61*G61</f>
        <v>4000</v>
      </c>
      <c r="K61" s="216"/>
    </row>
    <row r="62" spans="3:11">
      <c r="C62" s="363">
        <v>2</v>
      </c>
      <c r="D62" s="60" t="str">
        <f>D44</f>
        <v>Tukang pipa</v>
      </c>
      <c r="E62" s="73" t="s">
        <v>6</v>
      </c>
      <c r="F62" s="75">
        <v>6.8000000000000005E-2</v>
      </c>
      <c r="G62" s="65">
        <f>VLOOKUP(D62,upahbahan,3,FALSE)</f>
        <v>145000</v>
      </c>
      <c r="H62" s="65">
        <f t="shared" si="6"/>
        <v>9860</v>
      </c>
      <c r="K62" s="216"/>
    </row>
    <row r="63" spans="3:11">
      <c r="C63" s="363">
        <v>3</v>
      </c>
      <c r="D63" s="60" t="s">
        <v>18</v>
      </c>
      <c r="E63" s="73" t="s">
        <v>6</v>
      </c>
      <c r="F63" s="75">
        <v>7.0000000000000001E-3</v>
      </c>
      <c r="G63" s="65">
        <f>VLOOKUP(D63,upahbahan,3,FALSE)</f>
        <v>150000</v>
      </c>
      <c r="H63" s="65">
        <f t="shared" si="6"/>
        <v>1050</v>
      </c>
      <c r="K63" s="216"/>
    </row>
    <row r="64" spans="3:11">
      <c r="C64" s="363">
        <v>4</v>
      </c>
      <c r="D64" s="60" t="s">
        <v>19</v>
      </c>
      <c r="E64" s="73" t="s">
        <v>6</v>
      </c>
      <c r="F64" s="75">
        <v>2E-3</v>
      </c>
      <c r="G64" s="65">
        <f>VLOOKUP(D64,upahbahan,3,FALSE)</f>
        <v>145000</v>
      </c>
      <c r="H64" s="65">
        <f t="shared" si="6"/>
        <v>290</v>
      </c>
      <c r="K64" s="216"/>
    </row>
    <row r="65" spans="3:11">
      <c r="C65" s="84" t="s">
        <v>1220</v>
      </c>
      <c r="D65" s="81"/>
      <c r="E65" s="81"/>
      <c r="F65" s="220"/>
      <c r="G65" s="221"/>
      <c r="H65" s="65">
        <f>SUM(H61:H64)</f>
        <v>15200</v>
      </c>
      <c r="I65" s="222"/>
      <c r="K65" s="216"/>
    </row>
    <row r="66" spans="3:11">
      <c r="C66" s="73" t="s">
        <v>1221</v>
      </c>
      <c r="D66" s="60" t="s">
        <v>1222</v>
      </c>
      <c r="E66" s="74"/>
      <c r="F66" s="74"/>
      <c r="G66" s="74"/>
      <c r="H66" s="74"/>
      <c r="K66" s="216"/>
    </row>
    <row r="67" spans="3:11">
      <c r="C67" s="304">
        <v>1</v>
      </c>
      <c r="D67" s="60" t="s">
        <v>158</v>
      </c>
      <c r="E67" s="73" t="s">
        <v>114</v>
      </c>
      <c r="F67" s="75">
        <f>F49</f>
        <v>1.45</v>
      </c>
      <c r="G67" s="65">
        <f>VLOOKUP(D67,upahbahan,3,FALSE)</f>
        <v>18500</v>
      </c>
      <c r="H67" s="65">
        <f t="shared" ref="H67" si="7">F67*G67</f>
        <v>26825</v>
      </c>
      <c r="K67" s="216"/>
    </row>
    <row r="68" spans="3:11">
      <c r="C68" s="304">
        <v>2</v>
      </c>
      <c r="D68" s="60" t="s">
        <v>1813</v>
      </c>
      <c r="E68" s="74"/>
      <c r="F68" s="369">
        <f>F50</f>
        <v>0.35</v>
      </c>
      <c r="G68" s="74"/>
      <c r="H68" s="65">
        <f>F68*H67</f>
        <v>9388.75</v>
      </c>
      <c r="K68" s="216"/>
    </row>
    <row r="69" spans="3:11">
      <c r="C69" s="84" t="s">
        <v>1226</v>
      </c>
      <c r="D69" s="81"/>
      <c r="E69" s="81"/>
      <c r="F69" s="81"/>
      <c r="G69" s="163"/>
      <c r="H69" s="65">
        <f>SUM(H67:H68)</f>
        <v>36213.75</v>
      </c>
      <c r="K69" s="216"/>
    </row>
    <row r="70" spans="3:11">
      <c r="C70" s="73" t="s">
        <v>1227</v>
      </c>
      <c r="D70" s="60" t="s">
        <v>1228</v>
      </c>
      <c r="E70" s="74"/>
      <c r="F70" s="74"/>
      <c r="G70" s="74"/>
      <c r="H70" s="74"/>
      <c r="K70" s="216"/>
    </row>
    <row r="71" spans="3:11">
      <c r="C71" s="84" t="s">
        <v>1229</v>
      </c>
      <c r="D71" s="81"/>
      <c r="E71" s="81"/>
      <c r="F71" s="81"/>
      <c r="G71" s="163"/>
      <c r="H71" s="306">
        <v>0</v>
      </c>
      <c r="K71" s="216"/>
    </row>
    <row r="72" spans="3:11">
      <c r="C72" s="59" t="s">
        <v>1230</v>
      </c>
      <c r="D72" s="70" t="s">
        <v>1231</v>
      </c>
      <c r="E72" s="71"/>
      <c r="F72" s="71"/>
      <c r="G72" s="72"/>
      <c r="H72" s="307">
        <f>H71+H69+H65</f>
        <v>51413.75</v>
      </c>
      <c r="I72" s="322"/>
      <c r="K72" s="216"/>
    </row>
    <row r="73" spans="3:11">
      <c r="C73" s="59" t="s">
        <v>1232</v>
      </c>
      <c r="D73" s="70" t="s">
        <v>1410</v>
      </c>
      <c r="E73" s="71"/>
      <c r="F73" s="72"/>
      <c r="G73" s="96">
        <f>$M$7</f>
        <v>0.1</v>
      </c>
      <c r="H73" s="65">
        <f>H72*G73</f>
        <v>5141.375</v>
      </c>
      <c r="I73" s="322"/>
      <c r="K73" s="216"/>
    </row>
    <row r="74" spans="3:11">
      <c r="C74" s="59" t="s">
        <v>1233</v>
      </c>
      <c r="D74" s="70" t="s">
        <v>1234</v>
      </c>
      <c r="E74" s="71"/>
      <c r="F74" s="71"/>
      <c r="G74" s="72"/>
      <c r="H74" s="308">
        <f>SUM(H72:H73)</f>
        <v>56555.125</v>
      </c>
      <c r="I74" s="322"/>
      <c r="K74" s="216"/>
    </row>
    <row r="75" spans="3:11">
      <c r="C75" s="90"/>
      <c r="D75" s="91"/>
      <c r="E75" s="91"/>
      <c r="F75" s="91"/>
      <c r="G75" s="91"/>
      <c r="H75" s="309"/>
      <c r="K75" s="216"/>
    </row>
    <row r="76" spans="3:11">
      <c r="C76" s="316" t="s">
        <v>1816</v>
      </c>
      <c r="D76" s="318"/>
      <c r="E76" s="318"/>
      <c r="F76" s="318"/>
      <c r="G76" s="318"/>
      <c r="H76" s="318"/>
      <c r="I76" s="57">
        <f>ROUNDDOWN(H92,-2)</f>
        <v>62700</v>
      </c>
      <c r="K76" s="216"/>
    </row>
    <row r="77" spans="3:11" ht="28.5">
      <c r="C77" s="303" t="s">
        <v>1207</v>
      </c>
      <c r="D77" s="303" t="s">
        <v>1208</v>
      </c>
      <c r="E77" s="303" t="s">
        <v>1209</v>
      </c>
      <c r="F77" s="303" t="s">
        <v>1210</v>
      </c>
      <c r="G77" s="303" t="s">
        <v>1211</v>
      </c>
      <c r="H77" s="303" t="s">
        <v>1212</v>
      </c>
      <c r="K77" s="216"/>
    </row>
    <row r="78" spans="3:11">
      <c r="C78" s="305" t="s">
        <v>1213</v>
      </c>
      <c r="D78" s="60" t="s">
        <v>1214</v>
      </c>
      <c r="E78" s="74"/>
      <c r="F78" s="74"/>
      <c r="G78" s="74"/>
      <c r="H78" s="74"/>
      <c r="K78" s="216"/>
    </row>
    <row r="79" spans="3:11">
      <c r="C79" s="363">
        <v>1</v>
      </c>
      <c r="D79" s="60" t="s">
        <v>5</v>
      </c>
      <c r="E79" s="73" t="s">
        <v>6</v>
      </c>
      <c r="F79" s="75">
        <v>4.8000000000000001E-2</v>
      </c>
      <c r="G79" s="65">
        <f>VLOOKUP(D79,upahbahan,3,FALSE)</f>
        <v>100000</v>
      </c>
      <c r="H79" s="65">
        <f t="shared" ref="H79:H82" si="8">F79*G79</f>
        <v>4800</v>
      </c>
      <c r="K79" s="216"/>
    </row>
    <row r="80" spans="3:11">
      <c r="C80" s="363">
        <v>2</v>
      </c>
      <c r="D80" s="60" t="str">
        <f>D62</f>
        <v>Tukang pipa</v>
      </c>
      <c r="E80" s="73" t="s">
        <v>6</v>
      </c>
      <c r="F80" s="75">
        <v>0.08</v>
      </c>
      <c r="G80" s="65">
        <f>VLOOKUP(D80,upahbahan,3,FALSE)</f>
        <v>145000</v>
      </c>
      <c r="H80" s="65">
        <f t="shared" si="8"/>
        <v>11600</v>
      </c>
      <c r="K80" s="216"/>
    </row>
    <row r="81" spans="3:11">
      <c r="C81" s="363">
        <v>3</v>
      </c>
      <c r="D81" s="60" t="s">
        <v>18</v>
      </c>
      <c r="E81" s="73" t="s">
        <v>6</v>
      </c>
      <c r="F81" s="75">
        <v>8.0000000000000002E-3</v>
      </c>
      <c r="G81" s="65">
        <f>VLOOKUP(D81,upahbahan,3,FALSE)</f>
        <v>150000</v>
      </c>
      <c r="H81" s="65">
        <f t="shared" si="8"/>
        <v>1200</v>
      </c>
      <c r="K81" s="216"/>
    </row>
    <row r="82" spans="3:11">
      <c r="C82" s="363">
        <v>4</v>
      </c>
      <c r="D82" s="60" t="s">
        <v>19</v>
      </c>
      <c r="E82" s="73" t="s">
        <v>6</v>
      </c>
      <c r="F82" s="75">
        <v>2E-3</v>
      </c>
      <c r="G82" s="65">
        <f>VLOOKUP(D82,upahbahan,3,FALSE)</f>
        <v>145000</v>
      </c>
      <c r="H82" s="65">
        <f t="shared" si="8"/>
        <v>290</v>
      </c>
      <c r="K82" s="216"/>
    </row>
    <row r="83" spans="3:11">
      <c r="C83" s="84" t="s">
        <v>1220</v>
      </c>
      <c r="D83" s="81"/>
      <c r="E83" s="81"/>
      <c r="F83" s="220"/>
      <c r="G83" s="221"/>
      <c r="H83" s="65">
        <f>SUM(H79:H82)</f>
        <v>17890</v>
      </c>
      <c r="I83" s="222"/>
      <c r="K83" s="216"/>
    </row>
    <row r="84" spans="3:11">
      <c r="C84" s="73" t="s">
        <v>1221</v>
      </c>
      <c r="D84" s="60" t="s">
        <v>1222</v>
      </c>
      <c r="E84" s="74"/>
      <c r="F84" s="74"/>
      <c r="G84" s="74"/>
      <c r="H84" s="74"/>
      <c r="K84" s="216"/>
    </row>
    <row r="85" spans="3:11">
      <c r="C85" s="304">
        <v>1</v>
      </c>
      <c r="D85" s="60" t="s">
        <v>157</v>
      </c>
      <c r="E85" s="73" t="s">
        <v>114</v>
      </c>
      <c r="F85" s="75">
        <f>F67</f>
        <v>1.45</v>
      </c>
      <c r="G85" s="65">
        <f>VLOOKUP(D85,upahbahan,3,FALSE)</f>
        <v>20000</v>
      </c>
      <c r="H85" s="65">
        <f t="shared" ref="H85" si="9">F85*G85</f>
        <v>29000</v>
      </c>
      <c r="K85" s="216"/>
    </row>
    <row r="86" spans="3:11">
      <c r="C86" s="304">
        <v>2</v>
      </c>
      <c r="D86" s="60" t="s">
        <v>1813</v>
      </c>
      <c r="E86" s="74"/>
      <c r="F86" s="369">
        <f>F68</f>
        <v>0.35</v>
      </c>
      <c r="G86" s="74"/>
      <c r="H86" s="65">
        <f>F86*H85</f>
        <v>10150</v>
      </c>
      <c r="K86" s="216"/>
    </row>
    <row r="87" spans="3:11">
      <c r="C87" s="84" t="s">
        <v>1226</v>
      </c>
      <c r="D87" s="81"/>
      <c r="E87" s="81"/>
      <c r="F87" s="81"/>
      <c r="G87" s="163"/>
      <c r="H87" s="65">
        <f>SUM(H85:H86)</f>
        <v>39150</v>
      </c>
      <c r="K87" s="216"/>
    </row>
    <row r="88" spans="3:11">
      <c r="C88" s="73" t="s">
        <v>1227</v>
      </c>
      <c r="D88" s="60" t="s">
        <v>1228</v>
      </c>
      <c r="E88" s="74"/>
      <c r="F88" s="74"/>
      <c r="G88" s="74"/>
      <c r="H88" s="74"/>
      <c r="K88" s="216"/>
    </row>
    <row r="89" spans="3:11">
      <c r="C89" s="84" t="s">
        <v>1229</v>
      </c>
      <c r="D89" s="81"/>
      <c r="E89" s="81"/>
      <c r="F89" s="81"/>
      <c r="G89" s="163"/>
      <c r="H89" s="306">
        <v>0</v>
      </c>
      <c r="K89" s="216"/>
    </row>
    <row r="90" spans="3:11">
      <c r="C90" s="59" t="s">
        <v>1230</v>
      </c>
      <c r="D90" s="70" t="s">
        <v>1231</v>
      </c>
      <c r="E90" s="71"/>
      <c r="F90" s="71"/>
      <c r="G90" s="72"/>
      <c r="H90" s="307">
        <f>H89+H87+H83</f>
        <v>57040</v>
      </c>
      <c r="I90" s="322"/>
      <c r="K90" s="216"/>
    </row>
    <row r="91" spans="3:11">
      <c r="C91" s="59" t="s">
        <v>1232</v>
      </c>
      <c r="D91" s="70" t="s">
        <v>1410</v>
      </c>
      <c r="E91" s="71"/>
      <c r="F91" s="72"/>
      <c r="G91" s="96">
        <f>$M$7</f>
        <v>0.1</v>
      </c>
      <c r="H91" s="65">
        <f>H90*G91</f>
        <v>5704</v>
      </c>
      <c r="I91" s="322"/>
      <c r="K91" s="216"/>
    </row>
    <row r="92" spans="3:11">
      <c r="C92" s="59" t="s">
        <v>1233</v>
      </c>
      <c r="D92" s="70" t="s">
        <v>1234</v>
      </c>
      <c r="E92" s="71"/>
      <c r="F92" s="71"/>
      <c r="G92" s="72"/>
      <c r="H92" s="308">
        <f>SUM(H90:H91)</f>
        <v>62744</v>
      </c>
      <c r="I92" s="322"/>
      <c r="K92" s="216"/>
    </row>
    <row r="93" spans="3:11">
      <c r="C93" s="58"/>
      <c r="D93" s="82"/>
      <c r="E93" s="82"/>
      <c r="F93" s="82"/>
      <c r="G93" s="82"/>
      <c r="H93" s="83"/>
      <c r="K93" s="216"/>
    </row>
    <row r="94" spans="3:11">
      <c r="C94" s="316" t="s">
        <v>1817</v>
      </c>
      <c r="D94" s="318"/>
      <c r="E94" s="318"/>
      <c r="F94" s="318"/>
      <c r="G94" s="318"/>
      <c r="H94" s="318"/>
      <c r="I94" s="57">
        <f>ROUNDDOWN(H110,-2)</f>
        <v>81600</v>
      </c>
      <c r="K94" s="216"/>
    </row>
    <row r="95" spans="3:11" ht="28.5">
      <c r="C95" s="303" t="s">
        <v>1207</v>
      </c>
      <c r="D95" s="303" t="s">
        <v>1208</v>
      </c>
      <c r="E95" s="303" t="s">
        <v>1209</v>
      </c>
      <c r="F95" s="303" t="s">
        <v>1210</v>
      </c>
      <c r="G95" s="303" t="s">
        <v>1211</v>
      </c>
      <c r="H95" s="303" t="s">
        <v>1212</v>
      </c>
      <c r="K95" s="216"/>
    </row>
    <row r="96" spans="3:11">
      <c r="C96" s="305" t="s">
        <v>1213</v>
      </c>
      <c r="D96" s="60" t="s">
        <v>1214</v>
      </c>
      <c r="E96" s="171"/>
      <c r="F96" s="74"/>
      <c r="G96" s="74"/>
      <c r="H96" s="74"/>
      <c r="K96" s="216"/>
    </row>
    <row r="97" spans="3:11">
      <c r="C97" s="363">
        <v>1</v>
      </c>
      <c r="D97" s="60" t="s">
        <v>5</v>
      </c>
      <c r="E97" s="73" t="s">
        <v>6</v>
      </c>
      <c r="F97" s="75">
        <v>6.3E-2</v>
      </c>
      <c r="G97" s="65">
        <f>VLOOKUP(D97,upahbahan,3,FALSE)</f>
        <v>100000</v>
      </c>
      <c r="H97" s="65">
        <f t="shared" ref="H97:H100" si="10">F97*G97</f>
        <v>6300</v>
      </c>
      <c r="K97" s="216"/>
    </row>
    <row r="98" spans="3:11">
      <c r="C98" s="363">
        <v>2</v>
      </c>
      <c r="D98" s="60" t="str">
        <f>D80</f>
        <v>Tukang pipa</v>
      </c>
      <c r="E98" s="73" t="s">
        <v>6</v>
      </c>
      <c r="F98" s="75">
        <v>0.104</v>
      </c>
      <c r="G98" s="65">
        <f>VLOOKUP(D98,upahbahan,3,FALSE)</f>
        <v>145000</v>
      </c>
      <c r="H98" s="65">
        <f t="shared" si="10"/>
        <v>15080</v>
      </c>
      <c r="K98" s="216"/>
    </row>
    <row r="99" spans="3:11">
      <c r="C99" s="363">
        <v>3</v>
      </c>
      <c r="D99" s="60" t="s">
        <v>18</v>
      </c>
      <c r="E99" s="73" t="s">
        <v>6</v>
      </c>
      <c r="F99" s="75">
        <v>0.01</v>
      </c>
      <c r="G99" s="65">
        <f>VLOOKUP(D99,upahbahan,3,FALSE)</f>
        <v>150000</v>
      </c>
      <c r="H99" s="65">
        <f t="shared" si="10"/>
        <v>1500</v>
      </c>
      <c r="K99" s="216"/>
    </row>
    <row r="100" spans="3:11">
      <c r="C100" s="363">
        <v>4</v>
      </c>
      <c r="D100" s="60" t="s">
        <v>19</v>
      </c>
      <c r="E100" s="73" t="s">
        <v>6</v>
      </c>
      <c r="F100" s="75">
        <v>3.0000000000000001E-3</v>
      </c>
      <c r="G100" s="65">
        <f>VLOOKUP(D100,upahbahan,3,FALSE)</f>
        <v>145000</v>
      </c>
      <c r="H100" s="65">
        <f t="shared" si="10"/>
        <v>435</v>
      </c>
      <c r="K100" s="216"/>
    </row>
    <row r="101" spans="3:11">
      <c r="C101" s="84" t="s">
        <v>1220</v>
      </c>
      <c r="D101" s="81"/>
      <c r="E101" s="81"/>
      <c r="F101" s="220"/>
      <c r="G101" s="221"/>
      <c r="H101" s="65">
        <f>SUM(H97:H100)</f>
        <v>23315</v>
      </c>
      <c r="I101" s="222"/>
      <c r="K101" s="216"/>
    </row>
    <row r="102" spans="3:11">
      <c r="C102" s="73" t="s">
        <v>1221</v>
      </c>
      <c r="D102" s="60" t="s">
        <v>1222</v>
      </c>
      <c r="E102" s="74"/>
      <c r="F102" s="74"/>
      <c r="G102" s="74"/>
      <c r="H102" s="74"/>
      <c r="K102" s="216"/>
    </row>
    <row r="103" spans="3:11">
      <c r="C103" s="304">
        <v>1</v>
      </c>
      <c r="D103" s="60" t="s">
        <v>162</v>
      </c>
      <c r="E103" s="73" t="s">
        <v>114</v>
      </c>
      <c r="F103" s="75">
        <f>F85</f>
        <v>1.45</v>
      </c>
      <c r="G103" s="65">
        <f>VLOOKUP(D103,upahbahan,3,FALSE)</f>
        <v>26000</v>
      </c>
      <c r="H103" s="65">
        <f t="shared" ref="H103" si="11">F103*G103</f>
        <v>37700</v>
      </c>
      <c r="K103" s="216"/>
    </row>
    <row r="104" spans="3:11">
      <c r="C104" s="304">
        <v>2</v>
      </c>
      <c r="D104" s="60" t="s">
        <v>1813</v>
      </c>
      <c r="E104" s="74"/>
      <c r="F104" s="369">
        <f>F86</f>
        <v>0.35</v>
      </c>
      <c r="G104" s="74"/>
      <c r="H104" s="65">
        <f>F104*H103</f>
        <v>13195</v>
      </c>
      <c r="K104" s="216"/>
    </row>
    <row r="105" spans="3:11">
      <c r="C105" s="84" t="s">
        <v>1226</v>
      </c>
      <c r="D105" s="81"/>
      <c r="E105" s="81"/>
      <c r="F105" s="81"/>
      <c r="G105" s="163"/>
      <c r="H105" s="65">
        <f>SUM(H103:H104)</f>
        <v>50895</v>
      </c>
      <c r="K105" s="216"/>
    </row>
    <row r="106" spans="3:11">
      <c r="C106" s="73" t="s">
        <v>1227</v>
      </c>
      <c r="D106" s="60" t="s">
        <v>1228</v>
      </c>
      <c r="E106" s="74"/>
      <c r="F106" s="74"/>
      <c r="G106" s="74"/>
      <c r="H106" s="74"/>
      <c r="K106" s="216"/>
    </row>
    <row r="107" spans="3:11">
      <c r="C107" s="84" t="s">
        <v>1229</v>
      </c>
      <c r="D107" s="81"/>
      <c r="E107" s="81"/>
      <c r="F107" s="81"/>
      <c r="G107" s="163"/>
      <c r="H107" s="306">
        <v>0</v>
      </c>
      <c r="K107" s="216"/>
    </row>
    <row r="108" spans="3:11">
      <c r="C108" s="59" t="s">
        <v>1230</v>
      </c>
      <c r="D108" s="70" t="s">
        <v>1231</v>
      </c>
      <c r="E108" s="71"/>
      <c r="F108" s="71"/>
      <c r="G108" s="72"/>
      <c r="H108" s="307">
        <f>H107+H105+H101</f>
        <v>74210</v>
      </c>
      <c r="I108" s="322"/>
      <c r="K108" s="216"/>
    </row>
    <row r="109" spans="3:11">
      <c r="C109" s="59" t="s">
        <v>1232</v>
      </c>
      <c r="D109" s="70" t="s">
        <v>1410</v>
      </c>
      <c r="E109" s="71"/>
      <c r="F109" s="72"/>
      <c r="G109" s="96">
        <f>$M$7</f>
        <v>0.1</v>
      </c>
      <c r="H109" s="65">
        <f>H108*G109</f>
        <v>7421</v>
      </c>
      <c r="I109" s="322"/>
      <c r="K109" s="216"/>
    </row>
    <row r="110" spans="3:11">
      <c r="C110" s="59" t="s">
        <v>1233</v>
      </c>
      <c r="D110" s="70" t="s">
        <v>1234</v>
      </c>
      <c r="E110" s="71"/>
      <c r="F110" s="71"/>
      <c r="G110" s="72"/>
      <c r="H110" s="308">
        <f>SUM(H108:H109)</f>
        <v>81631</v>
      </c>
      <c r="I110" s="322"/>
      <c r="K110" s="216"/>
    </row>
    <row r="111" spans="3:11">
      <c r="C111" s="58"/>
      <c r="D111" s="82"/>
      <c r="E111" s="82"/>
      <c r="F111" s="82"/>
      <c r="G111" s="82"/>
      <c r="H111" s="83"/>
      <c r="K111" s="216"/>
    </row>
    <row r="112" spans="3:11">
      <c r="C112" s="316" t="s">
        <v>1818</v>
      </c>
      <c r="D112" s="318"/>
      <c r="E112" s="318"/>
      <c r="F112" s="318"/>
      <c r="G112" s="318"/>
      <c r="H112" s="318"/>
      <c r="I112" s="57">
        <f>ROUNDDOWN(H128,-2)</f>
        <v>104200</v>
      </c>
      <c r="K112" s="216"/>
    </row>
    <row r="113" spans="3:11" ht="28.5">
      <c r="C113" s="303" t="s">
        <v>1207</v>
      </c>
      <c r="D113" s="303" t="s">
        <v>1208</v>
      </c>
      <c r="E113" s="303" t="s">
        <v>1209</v>
      </c>
      <c r="F113" s="303" t="s">
        <v>1210</v>
      </c>
      <c r="G113" s="303" t="s">
        <v>1211</v>
      </c>
      <c r="H113" s="303" t="s">
        <v>1212</v>
      </c>
      <c r="K113" s="216"/>
    </row>
    <row r="114" spans="3:11">
      <c r="C114" s="305" t="s">
        <v>1213</v>
      </c>
      <c r="D114" s="60" t="s">
        <v>1214</v>
      </c>
      <c r="E114" s="171"/>
      <c r="F114" s="74"/>
      <c r="G114" s="74"/>
      <c r="H114" s="74"/>
      <c r="K114" s="216"/>
    </row>
    <row r="115" spans="3:11">
      <c r="C115" s="363">
        <v>1</v>
      </c>
      <c r="D115" s="60" t="s">
        <v>5</v>
      </c>
      <c r="E115" s="73" t="s">
        <v>6</v>
      </c>
      <c r="F115" s="75">
        <v>7.6999999999999999E-2</v>
      </c>
      <c r="G115" s="65">
        <f>VLOOKUP(D115,upahbahan,3,FALSE)</f>
        <v>100000</v>
      </c>
      <c r="H115" s="65">
        <f t="shared" ref="H115:H118" si="12">F115*G115</f>
        <v>7700</v>
      </c>
      <c r="K115" s="216"/>
    </row>
    <row r="116" spans="3:11">
      <c r="C116" s="363">
        <v>2</v>
      </c>
      <c r="D116" s="60" t="str">
        <f>D98</f>
        <v>Tukang pipa</v>
      </c>
      <c r="E116" s="73" t="s">
        <v>6</v>
      </c>
      <c r="F116" s="75">
        <v>0.129</v>
      </c>
      <c r="G116" s="65">
        <f>VLOOKUP(D116,upahbahan,3,FALSE)</f>
        <v>145000</v>
      </c>
      <c r="H116" s="65">
        <f t="shared" si="12"/>
        <v>18705</v>
      </c>
      <c r="K116" s="216"/>
    </row>
    <row r="117" spans="3:11">
      <c r="C117" s="363">
        <v>3</v>
      </c>
      <c r="D117" s="60" t="s">
        <v>18</v>
      </c>
      <c r="E117" s="73" t="s">
        <v>6</v>
      </c>
      <c r="F117" s="75">
        <v>1.2999999999999999E-2</v>
      </c>
      <c r="G117" s="65">
        <f>VLOOKUP(D117,upahbahan,3,FALSE)</f>
        <v>150000</v>
      </c>
      <c r="H117" s="65">
        <f t="shared" si="12"/>
        <v>1950</v>
      </c>
      <c r="K117" s="216"/>
    </row>
    <row r="118" spans="3:11">
      <c r="C118" s="363">
        <v>4</v>
      </c>
      <c r="D118" s="60" t="s">
        <v>19</v>
      </c>
      <c r="E118" s="73" t="s">
        <v>6</v>
      </c>
      <c r="F118" s="75">
        <v>4.0000000000000001E-3</v>
      </c>
      <c r="G118" s="65">
        <f>VLOOKUP(D118,upahbahan,3,FALSE)</f>
        <v>145000</v>
      </c>
      <c r="H118" s="65">
        <f t="shared" si="12"/>
        <v>580</v>
      </c>
      <c r="K118" s="216"/>
    </row>
    <row r="119" spans="3:11">
      <c r="C119" s="84" t="s">
        <v>1220</v>
      </c>
      <c r="D119" s="81"/>
      <c r="E119" s="81"/>
      <c r="F119" s="220"/>
      <c r="G119" s="221"/>
      <c r="H119" s="65">
        <f>SUM(H115:H118)</f>
        <v>28935</v>
      </c>
      <c r="I119" s="222"/>
      <c r="K119" s="216"/>
    </row>
    <row r="120" spans="3:11">
      <c r="C120" s="73" t="s">
        <v>1221</v>
      </c>
      <c r="D120" s="60" t="s">
        <v>1222</v>
      </c>
      <c r="E120" s="74"/>
      <c r="F120" s="74"/>
      <c r="G120" s="74"/>
      <c r="H120" s="74"/>
      <c r="K120" s="216"/>
    </row>
    <row r="121" spans="3:11">
      <c r="C121" s="304">
        <v>1</v>
      </c>
      <c r="D121" s="60" t="s">
        <v>163</v>
      </c>
      <c r="E121" s="73" t="s">
        <v>114</v>
      </c>
      <c r="F121" s="75">
        <f>F103</f>
        <v>1.45</v>
      </c>
      <c r="G121" s="65">
        <f>VLOOKUP(D121,upahbahan,3,FALSE)</f>
        <v>33625</v>
      </c>
      <c r="H121" s="65">
        <f t="shared" ref="H121" si="13">F121*G121</f>
        <v>48756.25</v>
      </c>
      <c r="K121" s="216"/>
    </row>
    <row r="122" spans="3:11">
      <c r="C122" s="304">
        <v>2</v>
      </c>
      <c r="D122" s="60" t="s">
        <v>1813</v>
      </c>
      <c r="E122" s="74"/>
      <c r="F122" s="369">
        <f>F104</f>
        <v>0.35</v>
      </c>
      <c r="G122" s="74"/>
      <c r="H122" s="65">
        <f>F122*H121</f>
        <v>17064.6875</v>
      </c>
      <c r="K122" s="216"/>
    </row>
    <row r="123" spans="3:11">
      <c r="C123" s="84" t="s">
        <v>1226</v>
      </c>
      <c r="D123" s="81"/>
      <c r="E123" s="81"/>
      <c r="F123" s="81"/>
      <c r="G123" s="163"/>
      <c r="H123" s="65">
        <f>SUM(H121:H122)</f>
        <v>65820.9375</v>
      </c>
      <c r="K123" s="216"/>
    </row>
    <row r="124" spans="3:11">
      <c r="C124" s="73" t="s">
        <v>1227</v>
      </c>
      <c r="D124" s="60" t="s">
        <v>1228</v>
      </c>
      <c r="E124" s="74"/>
      <c r="F124" s="74"/>
      <c r="G124" s="74"/>
      <c r="H124" s="74"/>
      <c r="K124" s="216"/>
    </row>
    <row r="125" spans="3:11">
      <c r="C125" s="84" t="s">
        <v>1229</v>
      </c>
      <c r="D125" s="81"/>
      <c r="E125" s="81"/>
      <c r="F125" s="81"/>
      <c r="G125" s="163"/>
      <c r="H125" s="306">
        <v>0</v>
      </c>
      <c r="K125" s="216"/>
    </row>
    <row r="126" spans="3:11">
      <c r="C126" s="59" t="s">
        <v>1230</v>
      </c>
      <c r="D126" s="70" t="s">
        <v>1231</v>
      </c>
      <c r="E126" s="71"/>
      <c r="F126" s="71"/>
      <c r="G126" s="72"/>
      <c r="H126" s="307">
        <f>H125+H123+H119</f>
        <v>94755.9375</v>
      </c>
      <c r="I126" s="322"/>
      <c r="K126" s="216"/>
    </row>
    <row r="127" spans="3:11">
      <c r="C127" s="59" t="s">
        <v>1232</v>
      </c>
      <c r="D127" s="70" t="s">
        <v>1410</v>
      </c>
      <c r="E127" s="71"/>
      <c r="F127" s="72"/>
      <c r="G127" s="96">
        <f>$M$7</f>
        <v>0.1</v>
      </c>
      <c r="H127" s="65">
        <f>H126*G127</f>
        <v>9475.59375</v>
      </c>
      <c r="I127" s="322"/>
      <c r="K127" s="216"/>
    </row>
    <row r="128" spans="3:11">
      <c r="C128" s="59" t="s">
        <v>1233</v>
      </c>
      <c r="D128" s="70" t="s">
        <v>1234</v>
      </c>
      <c r="E128" s="71"/>
      <c r="F128" s="71"/>
      <c r="G128" s="72"/>
      <c r="H128" s="308">
        <f>SUM(H126:H127)</f>
        <v>104231.53125</v>
      </c>
      <c r="I128" s="322"/>
      <c r="K128" s="216"/>
    </row>
    <row r="129" spans="3:11">
      <c r="C129" s="58"/>
      <c r="D129" s="82"/>
      <c r="E129" s="82"/>
      <c r="F129" s="82"/>
      <c r="G129" s="82"/>
      <c r="H129" s="83"/>
      <c r="K129" s="216"/>
    </row>
    <row r="130" spans="3:11">
      <c r="C130" s="316" t="s">
        <v>1819</v>
      </c>
      <c r="D130" s="318"/>
      <c r="E130" s="318"/>
      <c r="F130" s="318"/>
      <c r="G130" s="318"/>
      <c r="H130" s="318"/>
      <c r="I130" s="57">
        <f>ROUNDDOWN(H146,-2)</f>
        <v>148700</v>
      </c>
      <c r="K130" s="216"/>
    </row>
    <row r="131" spans="3:11" ht="28.5">
      <c r="C131" s="303" t="s">
        <v>1207</v>
      </c>
      <c r="D131" s="303" t="s">
        <v>1208</v>
      </c>
      <c r="E131" s="303" t="s">
        <v>1209</v>
      </c>
      <c r="F131" s="303" t="s">
        <v>1210</v>
      </c>
      <c r="G131" s="303" t="s">
        <v>1211</v>
      </c>
      <c r="H131" s="303" t="s">
        <v>1212</v>
      </c>
      <c r="K131" s="216"/>
    </row>
    <row r="132" spans="3:11">
      <c r="C132" s="305" t="s">
        <v>1213</v>
      </c>
      <c r="D132" s="60" t="s">
        <v>1214</v>
      </c>
      <c r="E132" s="171"/>
      <c r="F132" s="74"/>
      <c r="G132" s="74"/>
      <c r="H132" s="74"/>
      <c r="K132" s="216"/>
    </row>
    <row r="133" spans="3:11">
      <c r="C133" s="363">
        <v>1</v>
      </c>
      <c r="D133" s="60" t="s">
        <v>5</v>
      </c>
      <c r="E133" s="73" t="s">
        <v>6</v>
      </c>
      <c r="F133" s="184">
        <v>9.4E-2</v>
      </c>
      <c r="G133" s="65">
        <f>VLOOKUP(D133,upahbahan,3,FALSE)</f>
        <v>100000</v>
      </c>
      <c r="H133" s="65">
        <f t="shared" ref="H133:H136" si="14">F133*G133</f>
        <v>9400</v>
      </c>
      <c r="K133" s="216"/>
    </row>
    <row r="134" spans="3:11">
      <c r="C134" s="363">
        <v>2</v>
      </c>
      <c r="D134" s="60" t="str">
        <f>D116</f>
        <v>Tukang pipa</v>
      </c>
      <c r="E134" s="73" t="s">
        <v>6</v>
      </c>
      <c r="F134" s="184">
        <v>0.157</v>
      </c>
      <c r="G134" s="65">
        <f>VLOOKUP(D134,upahbahan,3,FALSE)</f>
        <v>145000</v>
      </c>
      <c r="H134" s="65">
        <f t="shared" si="14"/>
        <v>22765</v>
      </c>
      <c r="K134" s="216"/>
    </row>
    <row r="135" spans="3:11">
      <c r="C135" s="363">
        <v>3</v>
      </c>
      <c r="D135" s="60" t="s">
        <v>18</v>
      </c>
      <c r="E135" s="73" t="s">
        <v>6</v>
      </c>
      <c r="F135" s="184">
        <v>1.6E-2</v>
      </c>
      <c r="G135" s="65">
        <f>VLOOKUP(D135,upahbahan,3,FALSE)</f>
        <v>150000</v>
      </c>
      <c r="H135" s="65">
        <f t="shared" si="14"/>
        <v>2400</v>
      </c>
      <c r="K135" s="216"/>
    </row>
    <row r="136" spans="3:11">
      <c r="C136" s="363">
        <v>4</v>
      </c>
      <c r="D136" s="60" t="s">
        <v>19</v>
      </c>
      <c r="E136" s="73" t="s">
        <v>6</v>
      </c>
      <c r="F136" s="184">
        <v>5.0000000000000001E-3</v>
      </c>
      <c r="G136" s="65">
        <f>VLOOKUP(D136,upahbahan,3,FALSE)</f>
        <v>145000</v>
      </c>
      <c r="H136" s="65">
        <f t="shared" si="14"/>
        <v>725</v>
      </c>
      <c r="K136" s="216"/>
    </row>
    <row r="137" spans="3:11">
      <c r="C137" s="84" t="s">
        <v>1220</v>
      </c>
      <c r="D137" s="81"/>
      <c r="E137" s="81"/>
      <c r="F137" s="220"/>
      <c r="G137" s="221"/>
      <c r="H137" s="65">
        <f>SUM(H133:H136)</f>
        <v>35290</v>
      </c>
      <c r="I137" s="222"/>
      <c r="K137" s="216"/>
    </row>
    <row r="138" spans="3:11">
      <c r="C138" s="73" t="s">
        <v>1221</v>
      </c>
      <c r="D138" s="60" t="s">
        <v>1222</v>
      </c>
      <c r="E138" s="74"/>
      <c r="F138" s="74"/>
      <c r="G138" s="74"/>
      <c r="H138" s="74"/>
      <c r="K138" s="216"/>
    </row>
    <row r="139" spans="3:11">
      <c r="C139" s="304">
        <v>1</v>
      </c>
      <c r="D139" s="60" t="s">
        <v>164</v>
      </c>
      <c r="E139" s="73" t="s">
        <v>114</v>
      </c>
      <c r="F139" s="75">
        <f>F121</f>
        <v>1.45</v>
      </c>
      <c r="G139" s="65">
        <f>VLOOKUP(D139,upahbahan,3,FALSE)</f>
        <v>51075</v>
      </c>
      <c r="H139" s="65">
        <f t="shared" ref="H139" si="15">F139*G139</f>
        <v>74058.75</v>
      </c>
      <c r="K139" s="216"/>
    </row>
    <row r="140" spans="3:11">
      <c r="C140" s="304">
        <v>2</v>
      </c>
      <c r="D140" s="60" t="s">
        <v>1813</v>
      </c>
      <c r="E140" s="74"/>
      <c r="F140" s="369">
        <f>F122</f>
        <v>0.35</v>
      </c>
      <c r="G140" s="74"/>
      <c r="H140" s="65">
        <f>F140*H139</f>
        <v>25920.5625</v>
      </c>
      <c r="K140" s="216"/>
    </row>
    <row r="141" spans="3:11">
      <c r="C141" s="84" t="s">
        <v>1226</v>
      </c>
      <c r="D141" s="81"/>
      <c r="E141" s="81"/>
      <c r="F141" s="81"/>
      <c r="G141" s="163"/>
      <c r="H141" s="65">
        <f>SUM(H139:H140)</f>
        <v>99979.3125</v>
      </c>
      <c r="K141" s="216"/>
    </row>
    <row r="142" spans="3:11">
      <c r="C142" s="73" t="s">
        <v>1227</v>
      </c>
      <c r="D142" s="60" t="s">
        <v>1228</v>
      </c>
      <c r="E142" s="74"/>
      <c r="F142" s="74"/>
      <c r="G142" s="74"/>
      <c r="H142" s="74"/>
      <c r="K142" s="216"/>
    </row>
    <row r="143" spans="3:11">
      <c r="C143" s="84" t="s">
        <v>1229</v>
      </c>
      <c r="D143" s="81"/>
      <c r="E143" s="81"/>
      <c r="F143" s="81"/>
      <c r="G143" s="163"/>
      <c r="H143" s="306">
        <v>0</v>
      </c>
      <c r="K143" s="216"/>
    </row>
    <row r="144" spans="3:11">
      <c r="C144" s="59" t="s">
        <v>1230</v>
      </c>
      <c r="D144" s="70" t="s">
        <v>1231</v>
      </c>
      <c r="E144" s="71"/>
      <c r="F144" s="71"/>
      <c r="G144" s="72"/>
      <c r="H144" s="307">
        <f>H143+H141+H137</f>
        <v>135269.3125</v>
      </c>
      <c r="I144" s="322"/>
      <c r="K144" s="216"/>
    </row>
    <row r="145" spans="3:11">
      <c r="C145" s="59" t="s">
        <v>1232</v>
      </c>
      <c r="D145" s="70" t="s">
        <v>1410</v>
      </c>
      <c r="E145" s="71"/>
      <c r="F145" s="72"/>
      <c r="G145" s="96">
        <f>$M$7</f>
        <v>0.1</v>
      </c>
      <c r="H145" s="65">
        <f>H144*G145</f>
        <v>13526.931250000001</v>
      </c>
      <c r="I145" s="322"/>
      <c r="K145" s="216"/>
    </row>
    <row r="146" spans="3:11">
      <c r="C146" s="59" t="s">
        <v>1233</v>
      </c>
      <c r="D146" s="70" t="s">
        <v>1234</v>
      </c>
      <c r="E146" s="71"/>
      <c r="F146" s="71"/>
      <c r="G146" s="72"/>
      <c r="H146" s="308">
        <f>SUM(H144:H145)</f>
        <v>148796.24374999999</v>
      </c>
      <c r="I146" s="322"/>
      <c r="K146" s="216"/>
    </row>
    <row r="147" spans="3:11">
      <c r="C147" s="58"/>
      <c r="D147" s="82"/>
      <c r="E147" s="82"/>
      <c r="F147" s="82"/>
      <c r="G147" s="82"/>
      <c r="H147" s="83"/>
      <c r="K147" s="216"/>
    </row>
    <row r="148" spans="3:11">
      <c r="C148" s="316" t="s">
        <v>1820</v>
      </c>
      <c r="D148" s="318"/>
      <c r="E148" s="318"/>
      <c r="F148" s="318"/>
      <c r="G148" s="318"/>
      <c r="H148" s="318"/>
      <c r="I148" s="57">
        <f>ROUNDDOWN(H164,-2)</f>
        <v>206400</v>
      </c>
      <c r="K148" s="216"/>
    </row>
    <row r="149" spans="3:11" ht="28.5">
      <c r="C149" s="303" t="s">
        <v>1207</v>
      </c>
      <c r="D149" s="303" t="s">
        <v>1208</v>
      </c>
      <c r="E149" s="303" t="s">
        <v>1209</v>
      </c>
      <c r="F149" s="303" t="s">
        <v>1210</v>
      </c>
      <c r="G149" s="303" t="s">
        <v>1211</v>
      </c>
      <c r="H149" s="303" t="s">
        <v>1212</v>
      </c>
      <c r="K149" s="216"/>
    </row>
    <row r="150" spans="3:11">
      <c r="C150" s="305" t="s">
        <v>1213</v>
      </c>
      <c r="D150" s="60" t="s">
        <v>1214</v>
      </c>
      <c r="E150" s="171"/>
      <c r="F150" s="74"/>
      <c r="G150" s="74"/>
      <c r="H150" s="74"/>
      <c r="K150" s="216"/>
    </row>
    <row r="151" spans="3:11">
      <c r="C151" s="363">
        <v>1</v>
      </c>
      <c r="D151" s="60" t="s">
        <v>5</v>
      </c>
      <c r="E151" s="73" t="s">
        <v>6</v>
      </c>
      <c r="F151" s="184">
        <v>0.123</v>
      </c>
      <c r="G151" s="65">
        <f>VLOOKUP(D151,upahbahan,3,FALSE)</f>
        <v>100000</v>
      </c>
      <c r="H151" s="65">
        <f t="shared" ref="H151:H154" si="16">F151*G151</f>
        <v>12300</v>
      </c>
      <c r="K151" s="216"/>
    </row>
    <row r="152" spans="3:11">
      <c r="C152" s="363">
        <v>2</v>
      </c>
      <c r="D152" s="60" t="str">
        <f>D134</f>
        <v>Tukang pipa</v>
      </c>
      <c r="E152" s="73" t="s">
        <v>6</v>
      </c>
      <c r="F152" s="184">
        <v>0.20499999999999999</v>
      </c>
      <c r="G152" s="65">
        <f>VLOOKUP(D152,upahbahan,3,FALSE)</f>
        <v>145000</v>
      </c>
      <c r="H152" s="65">
        <f t="shared" si="16"/>
        <v>29725</v>
      </c>
      <c r="K152" s="216"/>
    </row>
    <row r="153" spans="3:11">
      <c r="C153" s="363">
        <v>3</v>
      </c>
      <c r="D153" s="60" t="s">
        <v>18</v>
      </c>
      <c r="E153" s="73" t="s">
        <v>6</v>
      </c>
      <c r="F153" s="184">
        <v>2.1000000000000001E-2</v>
      </c>
      <c r="G153" s="65">
        <f>VLOOKUP(D153,upahbahan,3,FALSE)</f>
        <v>150000</v>
      </c>
      <c r="H153" s="65">
        <f t="shared" si="16"/>
        <v>3150</v>
      </c>
      <c r="K153" s="216"/>
    </row>
    <row r="154" spans="3:11">
      <c r="C154" s="363">
        <v>4</v>
      </c>
      <c r="D154" s="60" t="s">
        <v>19</v>
      </c>
      <c r="E154" s="73" t="s">
        <v>6</v>
      </c>
      <c r="F154" s="184">
        <v>6.0000000000000001E-3</v>
      </c>
      <c r="G154" s="65">
        <f>VLOOKUP(D154,upahbahan,3,FALSE)</f>
        <v>145000</v>
      </c>
      <c r="H154" s="65">
        <f t="shared" si="16"/>
        <v>870</v>
      </c>
      <c r="K154" s="216"/>
    </row>
    <row r="155" spans="3:11">
      <c r="C155" s="84" t="s">
        <v>1220</v>
      </c>
      <c r="D155" s="81"/>
      <c r="E155" s="81"/>
      <c r="F155" s="220"/>
      <c r="G155" s="221"/>
      <c r="H155" s="65">
        <f>SUM(H151:H154)</f>
        <v>46045</v>
      </c>
      <c r="I155" s="222"/>
      <c r="K155" s="216"/>
    </row>
    <row r="156" spans="3:11">
      <c r="C156" s="73" t="s">
        <v>1221</v>
      </c>
      <c r="D156" s="60" t="s">
        <v>1222</v>
      </c>
      <c r="E156" s="74"/>
      <c r="F156" s="74"/>
      <c r="G156" s="74"/>
      <c r="H156" s="74"/>
      <c r="K156" s="216"/>
    </row>
    <row r="157" spans="3:11">
      <c r="C157" s="304">
        <v>1</v>
      </c>
      <c r="D157" s="60" t="s">
        <v>166</v>
      </c>
      <c r="E157" s="73" t="s">
        <v>114</v>
      </c>
      <c r="F157" s="75">
        <f>F139</f>
        <v>1.45</v>
      </c>
      <c r="G157" s="65">
        <f>VLOOKUP(D157,upahbahan,3,FALSE)</f>
        <v>72375</v>
      </c>
      <c r="H157" s="65">
        <f t="shared" ref="H157" si="17">F157*G157</f>
        <v>104943.75</v>
      </c>
      <c r="K157" s="216"/>
    </row>
    <row r="158" spans="3:11">
      <c r="C158" s="304">
        <v>2</v>
      </c>
      <c r="D158" s="60" t="s">
        <v>1813</v>
      </c>
      <c r="E158" s="74"/>
      <c r="F158" s="369">
        <f>F140</f>
        <v>0.35</v>
      </c>
      <c r="G158" s="74"/>
      <c r="H158" s="65">
        <f>F158*H157</f>
        <v>36730.3125</v>
      </c>
      <c r="K158" s="216"/>
    </row>
    <row r="159" spans="3:11">
      <c r="C159" s="84" t="s">
        <v>1226</v>
      </c>
      <c r="D159" s="81"/>
      <c r="E159" s="81"/>
      <c r="F159" s="81"/>
      <c r="G159" s="163"/>
      <c r="H159" s="65">
        <f>SUM(H157:H158)</f>
        <v>141674.0625</v>
      </c>
      <c r="K159" s="216"/>
    </row>
    <row r="160" spans="3:11">
      <c r="C160" s="73" t="s">
        <v>1227</v>
      </c>
      <c r="D160" s="60" t="s">
        <v>1228</v>
      </c>
      <c r="E160" s="74"/>
      <c r="F160" s="74"/>
      <c r="G160" s="74"/>
      <c r="H160" s="74"/>
      <c r="K160" s="216"/>
    </row>
    <row r="161" spans="3:11">
      <c r="C161" s="84" t="s">
        <v>1229</v>
      </c>
      <c r="D161" s="81"/>
      <c r="E161" s="81"/>
      <c r="F161" s="81"/>
      <c r="G161" s="163"/>
      <c r="H161" s="306">
        <v>0</v>
      </c>
      <c r="K161" s="216"/>
    </row>
    <row r="162" spans="3:11">
      <c r="C162" s="59" t="s">
        <v>1230</v>
      </c>
      <c r="D162" s="70" t="s">
        <v>1231</v>
      </c>
      <c r="E162" s="71"/>
      <c r="F162" s="71"/>
      <c r="G162" s="72"/>
      <c r="H162" s="307">
        <f>H161+H159+H155</f>
        <v>187719.0625</v>
      </c>
      <c r="I162" s="322"/>
      <c r="K162" s="216"/>
    </row>
    <row r="163" spans="3:11">
      <c r="C163" s="59" t="s">
        <v>1232</v>
      </c>
      <c r="D163" s="70" t="s">
        <v>1410</v>
      </c>
      <c r="E163" s="71"/>
      <c r="F163" s="72"/>
      <c r="G163" s="96">
        <f>$M$7</f>
        <v>0.1</v>
      </c>
      <c r="H163" s="65">
        <f>H162*G163</f>
        <v>18771.90625</v>
      </c>
      <c r="I163" s="322"/>
      <c r="K163" s="216"/>
    </row>
    <row r="164" spans="3:11">
      <c r="C164" s="59" t="s">
        <v>1233</v>
      </c>
      <c r="D164" s="70" t="s">
        <v>1234</v>
      </c>
      <c r="E164" s="71"/>
      <c r="F164" s="71"/>
      <c r="G164" s="72"/>
      <c r="H164" s="308">
        <f>SUM(H162:H163)</f>
        <v>206490.96875</v>
      </c>
      <c r="I164" s="322"/>
      <c r="K164" s="216"/>
    </row>
    <row r="165" spans="3:11">
      <c r="C165" s="58"/>
      <c r="D165" s="82"/>
      <c r="E165" s="82"/>
      <c r="F165" s="82"/>
      <c r="G165" s="82"/>
      <c r="H165" s="83"/>
      <c r="K165" s="216"/>
    </row>
    <row r="166" spans="3:11">
      <c r="C166" s="316" t="s">
        <v>1821</v>
      </c>
      <c r="D166" s="318"/>
      <c r="E166" s="318"/>
      <c r="F166" s="318"/>
      <c r="G166" s="318"/>
      <c r="H166" s="318"/>
      <c r="I166" s="57">
        <f>ROUNDDOWN(H182,-2)</f>
        <v>277900</v>
      </c>
      <c r="K166" s="216"/>
    </row>
    <row r="167" spans="3:11" ht="28.5">
      <c r="C167" s="303" t="s">
        <v>1207</v>
      </c>
      <c r="D167" s="303" t="s">
        <v>1208</v>
      </c>
      <c r="E167" s="303" t="s">
        <v>1209</v>
      </c>
      <c r="F167" s="303" t="s">
        <v>1210</v>
      </c>
      <c r="G167" s="303" t="s">
        <v>1211</v>
      </c>
      <c r="H167" s="303" t="s">
        <v>1212</v>
      </c>
      <c r="K167" s="216"/>
    </row>
    <row r="168" spans="3:11">
      <c r="C168" s="305" t="s">
        <v>1213</v>
      </c>
      <c r="D168" s="60" t="s">
        <v>1214</v>
      </c>
      <c r="E168" s="171"/>
      <c r="F168" s="74"/>
      <c r="G168" s="74"/>
      <c r="H168" s="74"/>
      <c r="K168" s="216"/>
    </row>
    <row r="169" spans="3:11">
      <c r="C169" s="363">
        <v>1</v>
      </c>
      <c r="D169" s="60" t="s">
        <v>5</v>
      </c>
      <c r="E169" s="73" t="s">
        <v>6</v>
      </c>
      <c r="F169" s="184">
        <v>0.152</v>
      </c>
      <c r="G169" s="65">
        <f>VLOOKUP(D169,upahbahan,3,FALSE)</f>
        <v>100000</v>
      </c>
      <c r="H169" s="65">
        <f t="shared" ref="H169:H172" si="18">F169*G169</f>
        <v>15200</v>
      </c>
      <c r="K169" s="216"/>
    </row>
    <row r="170" spans="3:11">
      <c r="C170" s="363">
        <v>2</v>
      </c>
      <c r="D170" s="60" t="str">
        <f>D152</f>
        <v>Tukang pipa</v>
      </c>
      <c r="E170" s="73" t="s">
        <v>6</v>
      </c>
      <c r="F170" s="184">
        <v>0.254</v>
      </c>
      <c r="G170" s="65">
        <f>VLOOKUP(D170,upahbahan,3,FALSE)</f>
        <v>145000</v>
      </c>
      <c r="H170" s="65">
        <f t="shared" si="18"/>
        <v>36830</v>
      </c>
      <c r="K170" s="216"/>
    </row>
    <row r="171" spans="3:11">
      <c r="C171" s="363">
        <v>3</v>
      </c>
      <c r="D171" s="60" t="s">
        <v>18</v>
      </c>
      <c r="E171" s="73" t="s">
        <v>6</v>
      </c>
      <c r="F171" s="184">
        <v>2.5000000000000001E-2</v>
      </c>
      <c r="G171" s="65">
        <f>VLOOKUP(D171,upahbahan,3,FALSE)</f>
        <v>150000</v>
      </c>
      <c r="H171" s="65">
        <f t="shared" si="18"/>
        <v>3750</v>
      </c>
      <c r="K171" s="216"/>
    </row>
    <row r="172" spans="3:11">
      <c r="C172" s="363">
        <v>4</v>
      </c>
      <c r="D172" s="60" t="s">
        <v>19</v>
      </c>
      <c r="E172" s="73" t="s">
        <v>6</v>
      </c>
      <c r="F172" s="184">
        <v>8.0000000000000002E-3</v>
      </c>
      <c r="G172" s="65">
        <f>VLOOKUP(D172,upahbahan,3,FALSE)</f>
        <v>145000</v>
      </c>
      <c r="H172" s="65">
        <f t="shared" si="18"/>
        <v>1160</v>
      </c>
      <c r="K172" s="216"/>
    </row>
    <row r="173" spans="3:11">
      <c r="C173" s="84" t="s">
        <v>1220</v>
      </c>
      <c r="D173" s="81"/>
      <c r="E173" s="81"/>
      <c r="F173" s="220"/>
      <c r="G173" s="221"/>
      <c r="H173" s="65">
        <f>SUM(H169:H172)</f>
        <v>56940</v>
      </c>
      <c r="I173" s="222"/>
      <c r="K173" s="216"/>
    </row>
    <row r="174" spans="3:11">
      <c r="C174" s="73" t="s">
        <v>1221</v>
      </c>
      <c r="D174" s="60" t="s">
        <v>1222</v>
      </c>
      <c r="E174" s="74"/>
      <c r="F174" s="74"/>
      <c r="G174" s="74"/>
      <c r="H174" s="74"/>
      <c r="K174" s="216"/>
    </row>
    <row r="175" spans="3:11">
      <c r="C175" s="304">
        <v>1</v>
      </c>
      <c r="D175" s="60" t="s">
        <v>167</v>
      </c>
      <c r="E175" s="73" t="s">
        <v>114</v>
      </c>
      <c r="F175" s="75">
        <f>F157</f>
        <v>1.45</v>
      </c>
      <c r="G175" s="65">
        <f>VLOOKUP(D175,upahbahan,3,FALSE)</f>
        <v>100000</v>
      </c>
      <c r="H175" s="65">
        <f t="shared" ref="H175" si="19">F175*G175</f>
        <v>145000</v>
      </c>
      <c r="K175" s="216"/>
    </row>
    <row r="176" spans="3:11">
      <c r="C176" s="304">
        <v>2</v>
      </c>
      <c r="D176" s="60" t="s">
        <v>1813</v>
      </c>
      <c r="E176" s="74"/>
      <c r="F176" s="369">
        <f>F158</f>
        <v>0.35</v>
      </c>
      <c r="G176" s="74"/>
      <c r="H176" s="65">
        <f>F176*H175</f>
        <v>50750</v>
      </c>
      <c r="K176" s="216"/>
    </row>
    <row r="177" spans="3:11">
      <c r="C177" s="84" t="s">
        <v>1226</v>
      </c>
      <c r="D177" s="81"/>
      <c r="E177" s="81"/>
      <c r="F177" s="81"/>
      <c r="G177" s="163"/>
      <c r="H177" s="65">
        <f>SUM(H175:H176)</f>
        <v>195750</v>
      </c>
      <c r="K177" s="216"/>
    </row>
    <row r="178" spans="3:11">
      <c r="C178" s="73" t="s">
        <v>1227</v>
      </c>
      <c r="D178" s="60" t="s">
        <v>1228</v>
      </c>
      <c r="E178" s="74"/>
      <c r="F178" s="74"/>
      <c r="G178" s="74"/>
      <c r="H178" s="74"/>
      <c r="K178" s="216"/>
    </row>
    <row r="179" spans="3:11">
      <c r="C179" s="84" t="s">
        <v>1229</v>
      </c>
      <c r="D179" s="81"/>
      <c r="E179" s="81"/>
      <c r="F179" s="81"/>
      <c r="G179" s="163"/>
      <c r="H179" s="306">
        <v>0</v>
      </c>
      <c r="K179" s="216"/>
    </row>
    <row r="180" spans="3:11">
      <c r="C180" s="59" t="s">
        <v>1230</v>
      </c>
      <c r="D180" s="70" t="s">
        <v>1231</v>
      </c>
      <c r="E180" s="71"/>
      <c r="F180" s="71"/>
      <c r="G180" s="72"/>
      <c r="H180" s="307">
        <f>H179+H177+H173</f>
        <v>252690</v>
      </c>
      <c r="I180" s="322"/>
      <c r="K180" s="216"/>
    </row>
    <row r="181" spans="3:11">
      <c r="C181" s="59" t="s">
        <v>1232</v>
      </c>
      <c r="D181" s="70" t="s">
        <v>1410</v>
      </c>
      <c r="E181" s="71"/>
      <c r="F181" s="72"/>
      <c r="G181" s="96">
        <f>$M$7</f>
        <v>0.1</v>
      </c>
      <c r="H181" s="65">
        <f>H180*G181</f>
        <v>25269</v>
      </c>
      <c r="I181" s="322"/>
      <c r="K181" s="216"/>
    </row>
    <row r="182" spans="3:11">
      <c r="C182" s="59" t="s">
        <v>1233</v>
      </c>
      <c r="D182" s="70" t="s">
        <v>1234</v>
      </c>
      <c r="E182" s="71"/>
      <c r="F182" s="71"/>
      <c r="G182" s="72"/>
      <c r="H182" s="308">
        <f>SUM(H180:H181)</f>
        <v>277959</v>
      </c>
      <c r="I182" s="322"/>
      <c r="K182" s="216"/>
    </row>
    <row r="183" spans="3:11">
      <c r="C183" s="58"/>
      <c r="D183" s="82"/>
      <c r="E183" s="82"/>
      <c r="F183" s="82"/>
      <c r="G183" s="82"/>
      <c r="H183" s="83"/>
      <c r="K183" s="216"/>
    </row>
    <row r="184" spans="3:11">
      <c r="C184" s="316" t="s">
        <v>1822</v>
      </c>
      <c r="D184" s="318"/>
      <c r="E184" s="318"/>
      <c r="F184" s="318"/>
      <c r="G184" s="318"/>
      <c r="H184" s="318"/>
      <c r="I184" s="57">
        <f>ROUNDDOWN(H200,-2)</f>
        <v>306900</v>
      </c>
      <c r="K184" s="216"/>
    </row>
    <row r="185" spans="3:11" ht="28.5">
      <c r="C185" s="303" t="s">
        <v>1207</v>
      </c>
      <c r="D185" s="303" t="s">
        <v>1208</v>
      </c>
      <c r="E185" s="303" t="s">
        <v>1209</v>
      </c>
      <c r="F185" s="303" t="s">
        <v>1210</v>
      </c>
      <c r="G185" s="303" t="s">
        <v>1211</v>
      </c>
      <c r="H185" s="303" t="s">
        <v>1212</v>
      </c>
      <c r="K185" s="216"/>
    </row>
    <row r="186" spans="3:11">
      <c r="C186" s="305" t="s">
        <v>1213</v>
      </c>
      <c r="D186" s="60" t="s">
        <v>1214</v>
      </c>
      <c r="E186" s="171"/>
      <c r="F186" s="74"/>
      <c r="G186" s="74"/>
      <c r="H186" s="74"/>
      <c r="K186" s="216"/>
    </row>
    <row r="187" spans="3:11">
      <c r="C187" s="363">
        <v>1</v>
      </c>
      <c r="D187" s="60" t="s">
        <v>5</v>
      </c>
      <c r="E187" s="73" t="s">
        <v>6</v>
      </c>
      <c r="F187" s="184">
        <v>0.183</v>
      </c>
      <c r="G187" s="65">
        <f>VLOOKUP(D187,upahbahan,3,FALSE)</f>
        <v>100000</v>
      </c>
      <c r="H187" s="65">
        <f t="shared" ref="H187:H190" si="20">F187*G187</f>
        <v>18300</v>
      </c>
      <c r="K187" s="216"/>
    </row>
    <row r="188" spans="3:11">
      <c r="C188" s="363">
        <v>2</v>
      </c>
      <c r="D188" s="60" t="str">
        <f>D170</f>
        <v>Tukang pipa</v>
      </c>
      <c r="E188" s="73" t="s">
        <v>6</v>
      </c>
      <c r="F188" s="184">
        <v>0.30599999999999999</v>
      </c>
      <c r="G188" s="65">
        <f>VLOOKUP(D188,upahbahan,3,FALSE)</f>
        <v>145000</v>
      </c>
      <c r="H188" s="65">
        <f t="shared" si="20"/>
        <v>44370</v>
      </c>
      <c r="K188" s="216"/>
    </row>
    <row r="189" spans="3:11">
      <c r="C189" s="363">
        <v>3</v>
      </c>
      <c r="D189" s="60" t="s">
        <v>18</v>
      </c>
      <c r="E189" s="73" t="s">
        <v>6</v>
      </c>
      <c r="F189" s="184">
        <v>3.1E-2</v>
      </c>
      <c r="G189" s="65">
        <f>VLOOKUP(D189,upahbahan,3,FALSE)</f>
        <v>150000</v>
      </c>
      <c r="H189" s="65">
        <f t="shared" si="20"/>
        <v>4650</v>
      </c>
      <c r="K189" s="216"/>
    </row>
    <row r="190" spans="3:11">
      <c r="C190" s="363">
        <v>4</v>
      </c>
      <c r="D190" s="60" t="s">
        <v>19</v>
      </c>
      <c r="E190" s="73" t="s">
        <v>6</v>
      </c>
      <c r="F190" s="184">
        <v>8.9999999999999993E-3</v>
      </c>
      <c r="G190" s="65">
        <f>VLOOKUP(D190,upahbahan,3,FALSE)</f>
        <v>145000</v>
      </c>
      <c r="H190" s="65">
        <f t="shared" si="20"/>
        <v>1305</v>
      </c>
      <c r="K190" s="216"/>
    </row>
    <row r="191" spans="3:11">
      <c r="C191" s="84" t="s">
        <v>1220</v>
      </c>
      <c r="D191" s="81"/>
      <c r="E191" s="81"/>
      <c r="F191" s="220"/>
      <c r="G191" s="221"/>
      <c r="H191" s="65">
        <f>SUM(H187:H190)</f>
        <v>68625</v>
      </c>
      <c r="I191" s="222"/>
      <c r="K191" s="216"/>
    </row>
    <row r="192" spans="3:11">
      <c r="C192" s="73" t="s">
        <v>1221</v>
      </c>
      <c r="D192" s="60" t="s">
        <v>1222</v>
      </c>
      <c r="E192" s="74"/>
      <c r="F192" s="74"/>
      <c r="G192" s="74"/>
      <c r="H192" s="74"/>
      <c r="K192" s="216"/>
    </row>
    <row r="193" spans="3:11">
      <c r="C193" s="304">
        <v>1</v>
      </c>
      <c r="D193" s="60" t="s">
        <v>168</v>
      </c>
      <c r="E193" s="73" t="s">
        <v>114</v>
      </c>
      <c r="F193" s="75">
        <f>F175</f>
        <v>1.45</v>
      </c>
      <c r="G193" s="65">
        <f>VLOOKUP(D193,upahbahan,3,FALSE)</f>
        <v>107500</v>
      </c>
      <c r="H193" s="65">
        <f t="shared" ref="H193" si="21">F193*G193</f>
        <v>155875</v>
      </c>
      <c r="K193" s="216"/>
    </row>
    <row r="194" spans="3:11">
      <c r="C194" s="304">
        <v>2</v>
      </c>
      <c r="D194" s="60" t="s">
        <v>1813</v>
      </c>
      <c r="E194" s="74"/>
      <c r="F194" s="369">
        <f>F176</f>
        <v>0.35</v>
      </c>
      <c r="G194" s="74"/>
      <c r="H194" s="65">
        <f>F194*H193</f>
        <v>54556.25</v>
      </c>
      <c r="K194" s="216"/>
    </row>
    <row r="195" spans="3:11">
      <c r="C195" s="84" t="s">
        <v>1226</v>
      </c>
      <c r="D195" s="81"/>
      <c r="E195" s="81"/>
      <c r="F195" s="81"/>
      <c r="G195" s="163"/>
      <c r="H195" s="65">
        <f>SUM(H193:H194)</f>
        <v>210431.25</v>
      </c>
      <c r="K195" s="216"/>
    </row>
    <row r="196" spans="3:11">
      <c r="C196" s="73" t="s">
        <v>1227</v>
      </c>
      <c r="D196" s="60" t="s">
        <v>1228</v>
      </c>
      <c r="E196" s="74"/>
      <c r="F196" s="74"/>
      <c r="G196" s="74"/>
      <c r="H196" s="74"/>
      <c r="K196" s="216"/>
    </row>
    <row r="197" spans="3:11">
      <c r="C197" s="84" t="s">
        <v>1229</v>
      </c>
      <c r="D197" s="81"/>
      <c r="E197" s="81"/>
      <c r="F197" s="81"/>
      <c r="G197" s="163"/>
      <c r="H197" s="306">
        <v>0</v>
      </c>
      <c r="K197" s="216"/>
    </row>
    <row r="198" spans="3:11">
      <c r="C198" s="59" t="s">
        <v>1230</v>
      </c>
      <c r="D198" s="70" t="s">
        <v>1231</v>
      </c>
      <c r="E198" s="71"/>
      <c r="F198" s="71"/>
      <c r="G198" s="72"/>
      <c r="H198" s="307">
        <f>H197+H195+H191</f>
        <v>279056.25</v>
      </c>
      <c r="I198" s="322"/>
      <c r="K198" s="216"/>
    </row>
    <row r="199" spans="3:11">
      <c r="C199" s="59" t="s">
        <v>1232</v>
      </c>
      <c r="D199" s="70" t="s">
        <v>1410</v>
      </c>
      <c r="E199" s="71"/>
      <c r="F199" s="72"/>
      <c r="G199" s="96">
        <f>$M$7</f>
        <v>0.1</v>
      </c>
      <c r="H199" s="65">
        <f>H198*G199</f>
        <v>27905.625</v>
      </c>
      <c r="I199" s="322"/>
      <c r="K199" s="216"/>
    </row>
    <row r="200" spans="3:11">
      <c r="C200" s="59" t="s">
        <v>1233</v>
      </c>
      <c r="D200" s="70" t="s">
        <v>1234</v>
      </c>
      <c r="E200" s="71"/>
      <c r="F200" s="71"/>
      <c r="G200" s="72"/>
      <c r="H200" s="308">
        <f>SUM(H198:H199)</f>
        <v>306961.875</v>
      </c>
      <c r="I200" s="322"/>
      <c r="K200" s="216"/>
    </row>
    <row r="201" spans="3:11">
      <c r="C201" s="58"/>
      <c r="D201" s="82"/>
      <c r="E201" s="82"/>
      <c r="F201" s="82"/>
      <c r="G201" s="82"/>
      <c r="H201" s="83"/>
      <c r="K201" s="216"/>
    </row>
    <row r="202" spans="3:11">
      <c r="C202" s="316" t="s">
        <v>1823</v>
      </c>
      <c r="D202" s="318"/>
      <c r="E202" s="318"/>
      <c r="F202" s="318"/>
      <c r="G202" s="318"/>
      <c r="H202" s="318"/>
      <c r="I202" s="57">
        <f>ROUNDDOWN(H218,-2)</f>
        <v>386500</v>
      </c>
      <c r="K202" s="216"/>
    </row>
    <row r="203" spans="3:11" ht="28.5">
      <c r="C203" s="303" t="s">
        <v>1207</v>
      </c>
      <c r="D203" s="303" t="s">
        <v>1208</v>
      </c>
      <c r="E203" s="303" t="s">
        <v>1209</v>
      </c>
      <c r="F203" s="303" t="s">
        <v>1210</v>
      </c>
      <c r="G203" s="303" t="s">
        <v>1211</v>
      </c>
      <c r="H203" s="303" t="s">
        <v>1212</v>
      </c>
      <c r="K203" s="216"/>
    </row>
    <row r="204" spans="3:11">
      <c r="C204" s="305" t="s">
        <v>1213</v>
      </c>
      <c r="D204" s="60" t="s">
        <v>1214</v>
      </c>
      <c r="E204" s="171"/>
      <c r="F204" s="74"/>
      <c r="G204" s="74"/>
      <c r="H204" s="74"/>
      <c r="K204" s="216"/>
    </row>
    <row r="205" spans="3:11">
      <c r="C205" s="363">
        <v>1</v>
      </c>
      <c r="D205" s="60" t="s">
        <v>5</v>
      </c>
      <c r="E205" s="73" t="s">
        <v>6</v>
      </c>
      <c r="F205" s="184">
        <v>0.246</v>
      </c>
      <c r="G205" s="65">
        <f>VLOOKUP(D205,upahbahan,3,FALSE)</f>
        <v>100000</v>
      </c>
      <c r="H205" s="65">
        <f t="shared" ref="H205:H208" si="22">F205*G205</f>
        <v>24600</v>
      </c>
      <c r="K205" s="216"/>
    </row>
    <row r="206" spans="3:11">
      <c r="C206" s="363">
        <v>2</v>
      </c>
      <c r="D206" s="60" t="str">
        <f>D188</f>
        <v>Tukang pipa</v>
      </c>
      <c r="E206" s="73" t="s">
        <v>6</v>
      </c>
      <c r="F206" s="184">
        <v>0.41099999999999998</v>
      </c>
      <c r="G206" s="65">
        <f>VLOOKUP(D206,upahbahan,3,FALSE)</f>
        <v>145000</v>
      </c>
      <c r="H206" s="65">
        <f t="shared" si="22"/>
        <v>59595</v>
      </c>
      <c r="K206" s="216"/>
    </row>
    <row r="207" spans="3:11">
      <c r="C207" s="363">
        <v>3</v>
      </c>
      <c r="D207" s="60" t="s">
        <v>18</v>
      </c>
      <c r="E207" s="73" t="s">
        <v>6</v>
      </c>
      <c r="F207" s="184">
        <v>4.1000000000000002E-2</v>
      </c>
      <c r="G207" s="65">
        <f>VLOOKUP(D207,upahbahan,3,FALSE)</f>
        <v>150000</v>
      </c>
      <c r="H207" s="65">
        <f t="shared" si="22"/>
        <v>6150</v>
      </c>
      <c r="K207" s="216"/>
    </row>
    <row r="208" spans="3:11">
      <c r="C208" s="363">
        <v>4</v>
      </c>
      <c r="D208" s="60" t="s">
        <v>19</v>
      </c>
      <c r="E208" s="73" t="s">
        <v>6</v>
      </c>
      <c r="F208" s="184">
        <v>1.2E-2</v>
      </c>
      <c r="G208" s="65">
        <f>VLOOKUP(D208,upahbahan,3,FALSE)</f>
        <v>145000</v>
      </c>
      <c r="H208" s="65">
        <f t="shared" si="22"/>
        <v>1740</v>
      </c>
      <c r="K208" s="216"/>
    </row>
    <row r="209" spans="3:11">
      <c r="C209" s="84" t="s">
        <v>1220</v>
      </c>
      <c r="D209" s="81"/>
      <c r="E209" s="81"/>
      <c r="F209" s="220"/>
      <c r="G209" s="221"/>
      <c r="H209" s="65">
        <f>SUM(H205:H208)</f>
        <v>92085</v>
      </c>
      <c r="I209" s="222"/>
      <c r="K209" s="216"/>
    </row>
    <row r="210" spans="3:11">
      <c r="C210" s="73" t="s">
        <v>1221</v>
      </c>
      <c r="D210" s="60" t="s">
        <v>1222</v>
      </c>
      <c r="E210" s="74"/>
      <c r="F210" s="74"/>
      <c r="G210" s="74"/>
      <c r="H210" s="74"/>
      <c r="K210" s="216"/>
    </row>
    <row r="211" spans="3:11">
      <c r="C211" s="304">
        <v>1</v>
      </c>
      <c r="D211" s="60" t="s">
        <v>169</v>
      </c>
      <c r="E211" s="73" t="s">
        <v>114</v>
      </c>
      <c r="F211" s="75">
        <f>F193</f>
        <v>1.45</v>
      </c>
      <c r="G211" s="65">
        <f>VLOOKUP(D211,upahbahan,3,FALSE)</f>
        <v>132500</v>
      </c>
      <c r="H211" s="65">
        <f t="shared" ref="H211" si="23">F211*G211</f>
        <v>192125</v>
      </c>
      <c r="K211" s="216"/>
    </row>
    <row r="212" spans="3:11">
      <c r="C212" s="304">
        <v>2</v>
      </c>
      <c r="D212" s="60" t="s">
        <v>1813</v>
      </c>
      <c r="E212" s="74"/>
      <c r="F212" s="369">
        <f>F194</f>
        <v>0.35</v>
      </c>
      <c r="G212" s="74"/>
      <c r="H212" s="65">
        <f>F212*H211</f>
        <v>67243.75</v>
      </c>
      <c r="K212" s="216"/>
    </row>
    <row r="213" spans="3:11">
      <c r="C213" s="84" t="s">
        <v>1226</v>
      </c>
      <c r="D213" s="81"/>
      <c r="E213" s="81"/>
      <c r="F213" s="81"/>
      <c r="G213" s="163"/>
      <c r="H213" s="65">
        <f>SUM(H211:H212)</f>
        <v>259368.75</v>
      </c>
      <c r="K213" s="216"/>
    </row>
    <row r="214" spans="3:11">
      <c r="C214" s="73" t="s">
        <v>1227</v>
      </c>
      <c r="D214" s="60" t="s">
        <v>1228</v>
      </c>
      <c r="E214" s="74"/>
      <c r="F214" s="74"/>
      <c r="G214" s="74"/>
      <c r="H214" s="74"/>
      <c r="K214" s="216"/>
    </row>
    <row r="215" spans="3:11">
      <c r="C215" s="84" t="s">
        <v>1229</v>
      </c>
      <c r="D215" s="81"/>
      <c r="E215" s="81"/>
      <c r="F215" s="81"/>
      <c r="G215" s="163"/>
      <c r="H215" s="306">
        <v>0</v>
      </c>
      <c r="K215" s="216"/>
    </row>
    <row r="216" spans="3:11">
      <c r="C216" s="59" t="s">
        <v>1230</v>
      </c>
      <c r="D216" s="70" t="s">
        <v>1231</v>
      </c>
      <c r="E216" s="71"/>
      <c r="F216" s="71"/>
      <c r="G216" s="72"/>
      <c r="H216" s="307">
        <f>H215+H213+H209</f>
        <v>351453.75</v>
      </c>
      <c r="I216" s="322"/>
      <c r="K216" s="216"/>
    </row>
    <row r="217" spans="3:11">
      <c r="C217" s="59" t="s">
        <v>1232</v>
      </c>
      <c r="D217" s="70" t="s">
        <v>1410</v>
      </c>
      <c r="E217" s="71"/>
      <c r="F217" s="72"/>
      <c r="G217" s="96">
        <f>$M$7</f>
        <v>0.1</v>
      </c>
      <c r="H217" s="65">
        <f>H216*G217</f>
        <v>35145.375</v>
      </c>
      <c r="I217" s="322"/>
      <c r="K217" s="216"/>
    </row>
    <row r="218" spans="3:11">
      <c r="C218" s="59" t="s">
        <v>1233</v>
      </c>
      <c r="D218" s="70" t="s">
        <v>1234</v>
      </c>
      <c r="E218" s="71"/>
      <c r="F218" s="71"/>
      <c r="G218" s="72"/>
      <c r="H218" s="308">
        <f>SUM(H216:H217)</f>
        <v>386599.125</v>
      </c>
      <c r="I218" s="322"/>
      <c r="K218" s="216"/>
    </row>
    <row r="219" spans="3:11">
      <c r="C219" s="58"/>
      <c r="D219" s="82"/>
      <c r="E219" s="82"/>
      <c r="F219" s="82"/>
      <c r="G219" s="82"/>
      <c r="H219" s="83"/>
      <c r="K219" s="216"/>
    </row>
    <row r="220" spans="3:11">
      <c r="C220" s="316" t="s">
        <v>1824</v>
      </c>
      <c r="D220" s="318"/>
      <c r="E220" s="318"/>
      <c r="F220" s="318"/>
      <c r="G220" s="318"/>
      <c r="H220" s="318"/>
      <c r="I220" s="57">
        <f>ROUNDDOWN(H236,-2)</f>
        <v>448900</v>
      </c>
      <c r="K220" s="216"/>
    </row>
    <row r="221" spans="3:11" ht="28.5">
      <c r="C221" s="303" t="s">
        <v>1207</v>
      </c>
      <c r="D221" s="303" t="s">
        <v>1208</v>
      </c>
      <c r="E221" s="303" t="s">
        <v>1209</v>
      </c>
      <c r="F221" s="303" t="s">
        <v>1210</v>
      </c>
      <c r="G221" s="303" t="s">
        <v>1211</v>
      </c>
      <c r="H221" s="303" t="s">
        <v>1212</v>
      </c>
      <c r="K221" s="216"/>
    </row>
    <row r="222" spans="3:11">
      <c r="C222" s="305" t="s">
        <v>1213</v>
      </c>
      <c r="D222" s="60" t="s">
        <v>1214</v>
      </c>
      <c r="E222" s="171"/>
      <c r="F222" s="74"/>
      <c r="G222" s="74"/>
      <c r="H222" s="74"/>
      <c r="K222" s="216"/>
    </row>
    <row r="223" spans="3:11">
      <c r="C223" s="363">
        <v>1</v>
      </c>
      <c r="D223" s="60" t="s">
        <v>5</v>
      </c>
      <c r="E223" s="73" t="s">
        <v>6</v>
      </c>
      <c r="F223" s="184">
        <v>0.30599999999999999</v>
      </c>
      <c r="G223" s="65">
        <f>VLOOKUP(D223,upahbahan,3,FALSE)</f>
        <v>100000</v>
      </c>
      <c r="H223" s="65">
        <f t="shared" ref="H223:H226" si="24">F223*G223</f>
        <v>30600</v>
      </c>
      <c r="K223" s="216"/>
    </row>
    <row r="224" spans="3:11">
      <c r="C224" s="363">
        <v>2</v>
      </c>
      <c r="D224" s="60" t="str">
        <f>D206</f>
        <v>Tukang pipa</v>
      </c>
      <c r="E224" s="73" t="s">
        <v>6</v>
      </c>
      <c r="F224" s="184">
        <v>0.51100000000000001</v>
      </c>
      <c r="G224" s="65">
        <f>VLOOKUP(D224,upahbahan,3,FALSE)</f>
        <v>145000</v>
      </c>
      <c r="H224" s="65">
        <f t="shared" si="24"/>
        <v>74095</v>
      </c>
      <c r="K224" s="216"/>
    </row>
    <row r="225" spans="3:11">
      <c r="C225" s="363">
        <v>3</v>
      </c>
      <c r="D225" s="60" t="s">
        <v>18</v>
      </c>
      <c r="E225" s="73" t="s">
        <v>6</v>
      </c>
      <c r="F225" s="184">
        <v>5.0999999999999997E-2</v>
      </c>
      <c r="G225" s="65">
        <f>VLOOKUP(D225,upahbahan,3,FALSE)</f>
        <v>150000</v>
      </c>
      <c r="H225" s="65">
        <f t="shared" si="24"/>
        <v>7649.9999999999991</v>
      </c>
      <c r="K225" s="216"/>
    </row>
    <row r="226" spans="3:11">
      <c r="C226" s="363">
        <v>4</v>
      </c>
      <c r="D226" s="60" t="s">
        <v>19</v>
      </c>
      <c r="E226" s="73" t="s">
        <v>6</v>
      </c>
      <c r="F226" s="184">
        <v>1.4999999999999999E-2</v>
      </c>
      <c r="G226" s="65">
        <f>VLOOKUP(D226,upahbahan,3,FALSE)</f>
        <v>145000</v>
      </c>
      <c r="H226" s="65">
        <f t="shared" si="24"/>
        <v>2175</v>
      </c>
      <c r="K226" s="216"/>
    </row>
    <row r="227" spans="3:11">
      <c r="C227" s="84" t="s">
        <v>1220</v>
      </c>
      <c r="D227" s="81"/>
      <c r="E227" s="81"/>
      <c r="F227" s="220"/>
      <c r="G227" s="221"/>
      <c r="H227" s="65">
        <f>SUM(H223:H226)</f>
        <v>114520</v>
      </c>
      <c r="I227" s="222"/>
      <c r="K227" s="216"/>
    </row>
    <row r="228" spans="3:11">
      <c r="C228" s="73" t="s">
        <v>1221</v>
      </c>
      <c r="D228" s="60" t="s">
        <v>1222</v>
      </c>
      <c r="E228" s="74"/>
      <c r="F228" s="74"/>
      <c r="G228" s="74"/>
      <c r="H228" s="74"/>
      <c r="K228" s="216"/>
    </row>
    <row r="229" spans="3:11">
      <c r="C229" s="304">
        <v>1</v>
      </c>
      <c r="D229" s="60" t="s">
        <v>156</v>
      </c>
      <c r="E229" s="73" t="s">
        <v>114</v>
      </c>
      <c r="F229" s="75">
        <f>F211</f>
        <v>1.45</v>
      </c>
      <c r="G229" s="65">
        <f>VLOOKUP(D229,upahbahan,3,FALSE)</f>
        <v>150000</v>
      </c>
      <c r="H229" s="65">
        <f t="shared" ref="H229" si="25">F229*G229</f>
        <v>217500</v>
      </c>
      <c r="K229" s="216"/>
    </row>
    <row r="230" spans="3:11">
      <c r="C230" s="304">
        <v>2</v>
      </c>
      <c r="D230" s="60" t="s">
        <v>1813</v>
      </c>
      <c r="E230" s="74"/>
      <c r="F230" s="369">
        <f>F212</f>
        <v>0.35</v>
      </c>
      <c r="G230" s="74"/>
      <c r="H230" s="65">
        <f>F230*H229</f>
        <v>76125</v>
      </c>
      <c r="K230" s="216"/>
    </row>
    <row r="231" spans="3:11">
      <c r="C231" s="84" t="s">
        <v>1226</v>
      </c>
      <c r="D231" s="81"/>
      <c r="E231" s="81"/>
      <c r="F231" s="81"/>
      <c r="G231" s="163"/>
      <c r="H231" s="65">
        <f>SUM(H229:H230)</f>
        <v>293625</v>
      </c>
      <c r="K231" s="216"/>
    </row>
    <row r="232" spans="3:11">
      <c r="C232" s="73" t="s">
        <v>1227</v>
      </c>
      <c r="D232" s="60" t="s">
        <v>1228</v>
      </c>
      <c r="E232" s="74"/>
      <c r="F232" s="74"/>
      <c r="G232" s="74"/>
      <c r="H232" s="74"/>
      <c r="K232" s="216"/>
    </row>
    <row r="233" spans="3:11">
      <c r="C233" s="84" t="s">
        <v>1229</v>
      </c>
      <c r="D233" s="81"/>
      <c r="E233" s="81"/>
      <c r="F233" s="81"/>
      <c r="G233" s="163"/>
      <c r="H233" s="306">
        <v>0</v>
      </c>
      <c r="K233" s="216"/>
    </row>
    <row r="234" spans="3:11">
      <c r="C234" s="59" t="s">
        <v>1230</v>
      </c>
      <c r="D234" s="70" t="s">
        <v>1231</v>
      </c>
      <c r="E234" s="71"/>
      <c r="F234" s="71"/>
      <c r="G234" s="72"/>
      <c r="H234" s="307">
        <f>H233+H231+H227</f>
        <v>408145</v>
      </c>
      <c r="I234" s="322"/>
      <c r="K234" s="216"/>
    </row>
    <row r="235" spans="3:11">
      <c r="C235" s="59" t="s">
        <v>1232</v>
      </c>
      <c r="D235" s="70" t="s">
        <v>1410</v>
      </c>
      <c r="E235" s="71"/>
      <c r="F235" s="72"/>
      <c r="G235" s="96">
        <f>$M$7</f>
        <v>0.1</v>
      </c>
      <c r="H235" s="65">
        <f>H234*G235</f>
        <v>40814.5</v>
      </c>
      <c r="I235" s="322"/>
      <c r="K235" s="216"/>
    </row>
    <row r="236" spans="3:11">
      <c r="C236" s="59" t="s">
        <v>1233</v>
      </c>
      <c r="D236" s="70" t="s">
        <v>1234</v>
      </c>
      <c r="E236" s="71"/>
      <c r="F236" s="71"/>
      <c r="G236" s="72"/>
      <c r="H236" s="308">
        <f>SUM(H234:H235)</f>
        <v>448959.5</v>
      </c>
      <c r="I236" s="322"/>
      <c r="K236" s="216"/>
    </row>
    <row r="237" spans="3:11">
      <c r="C237" s="58"/>
      <c r="D237" s="82"/>
      <c r="E237" s="82"/>
      <c r="F237" s="82"/>
      <c r="G237" s="82"/>
      <c r="H237" s="83"/>
      <c r="K237" s="216"/>
    </row>
    <row r="238" spans="3:11">
      <c r="C238" s="316" t="s">
        <v>1825</v>
      </c>
      <c r="D238" s="318"/>
      <c r="E238" s="318"/>
      <c r="F238" s="318"/>
      <c r="G238" s="318"/>
      <c r="H238" s="318"/>
      <c r="I238" s="57">
        <f>ROUNDDOWN(H254,-2)</f>
        <v>533200</v>
      </c>
      <c r="K238" s="216"/>
    </row>
    <row r="239" spans="3:11" ht="28.5">
      <c r="C239" s="303" t="s">
        <v>1207</v>
      </c>
      <c r="D239" s="303" t="s">
        <v>1208</v>
      </c>
      <c r="E239" s="303" t="s">
        <v>1209</v>
      </c>
      <c r="F239" s="303" t="s">
        <v>1210</v>
      </c>
      <c r="G239" s="303" t="s">
        <v>1211</v>
      </c>
      <c r="H239" s="303" t="s">
        <v>1212</v>
      </c>
      <c r="K239" s="216"/>
    </row>
    <row r="240" spans="3:11">
      <c r="C240" s="305" t="s">
        <v>1213</v>
      </c>
      <c r="D240" s="60" t="s">
        <v>1214</v>
      </c>
      <c r="E240" s="171"/>
      <c r="F240" s="74"/>
      <c r="G240" s="74"/>
      <c r="H240" s="74"/>
      <c r="K240" s="216"/>
    </row>
    <row r="241" spans="3:11">
      <c r="C241" s="363">
        <v>1</v>
      </c>
      <c r="D241" s="60" t="s">
        <v>5</v>
      </c>
      <c r="E241" s="73" t="s">
        <v>6</v>
      </c>
      <c r="F241" s="184">
        <v>0.36699999999999999</v>
      </c>
      <c r="G241" s="65">
        <f>VLOOKUP(D241,upahbahan,3,FALSE)</f>
        <v>100000</v>
      </c>
      <c r="H241" s="65">
        <f t="shared" ref="H241:H244" si="26">F241*G241</f>
        <v>36700</v>
      </c>
      <c r="K241" s="216"/>
    </row>
    <row r="242" spans="3:11">
      <c r="C242" s="363">
        <v>2</v>
      </c>
      <c r="D242" s="60" t="str">
        <f>D224</f>
        <v>Tukang pipa</v>
      </c>
      <c r="E242" s="73" t="s">
        <v>6</v>
      </c>
      <c r="F242" s="184">
        <v>0.61299999999999999</v>
      </c>
      <c r="G242" s="65">
        <f>VLOOKUP(D242,upahbahan,3,FALSE)</f>
        <v>145000</v>
      </c>
      <c r="H242" s="65">
        <f t="shared" si="26"/>
        <v>88885</v>
      </c>
      <c r="K242" s="216"/>
    </row>
    <row r="243" spans="3:11">
      <c r="C243" s="363">
        <v>3</v>
      </c>
      <c r="D243" s="60" t="s">
        <v>18</v>
      </c>
      <c r="E243" s="73" t="s">
        <v>6</v>
      </c>
      <c r="F243" s="184">
        <v>6.0999999999999999E-2</v>
      </c>
      <c r="G243" s="65">
        <f>VLOOKUP(D243,upahbahan,3,FALSE)</f>
        <v>150000</v>
      </c>
      <c r="H243" s="65">
        <f t="shared" si="26"/>
        <v>9150</v>
      </c>
      <c r="K243" s="216"/>
    </row>
    <row r="244" spans="3:11">
      <c r="C244" s="363">
        <v>4</v>
      </c>
      <c r="D244" s="60" t="s">
        <v>19</v>
      </c>
      <c r="E244" s="73" t="s">
        <v>6</v>
      </c>
      <c r="F244" s="184">
        <v>1.7999999999999999E-2</v>
      </c>
      <c r="G244" s="65">
        <f>VLOOKUP(D244,upahbahan,3,FALSE)</f>
        <v>145000</v>
      </c>
      <c r="H244" s="65">
        <f t="shared" si="26"/>
        <v>2610</v>
      </c>
      <c r="K244" s="216"/>
    </row>
    <row r="245" spans="3:11">
      <c r="C245" s="84" t="s">
        <v>1220</v>
      </c>
      <c r="D245" s="81"/>
      <c r="E245" s="81"/>
      <c r="F245" s="220"/>
      <c r="G245" s="221"/>
      <c r="H245" s="65">
        <f>SUM(H241:H244)</f>
        <v>137345</v>
      </c>
      <c r="I245" s="222"/>
      <c r="K245" s="216"/>
    </row>
    <row r="246" spans="3:11">
      <c r="C246" s="73" t="s">
        <v>1221</v>
      </c>
      <c r="D246" s="60" t="s">
        <v>1222</v>
      </c>
      <c r="E246" s="74"/>
      <c r="F246" s="74"/>
      <c r="G246" s="74"/>
      <c r="H246" s="74"/>
      <c r="K246" s="216"/>
    </row>
    <row r="247" spans="3:11">
      <c r="C247" s="304">
        <v>1</v>
      </c>
      <c r="D247" s="60" t="s">
        <v>159</v>
      </c>
      <c r="E247" s="73" t="s">
        <v>114</v>
      </c>
      <c r="F247" s="75">
        <f>F229</f>
        <v>1.45</v>
      </c>
      <c r="G247" s="65">
        <f>VLOOKUP(D247,upahbahan,3,FALSE)</f>
        <v>177500</v>
      </c>
      <c r="H247" s="65">
        <f t="shared" ref="H247" si="27">F247*G247</f>
        <v>257375</v>
      </c>
      <c r="K247" s="216"/>
    </row>
    <row r="248" spans="3:11">
      <c r="C248" s="304">
        <v>2</v>
      </c>
      <c r="D248" s="60" t="s">
        <v>1813</v>
      </c>
      <c r="E248" s="74"/>
      <c r="F248" s="369">
        <f>F230</f>
        <v>0.35</v>
      </c>
      <c r="G248" s="74"/>
      <c r="H248" s="65">
        <f>F248*H247</f>
        <v>90081.25</v>
      </c>
      <c r="K248" s="216"/>
    </row>
    <row r="249" spans="3:11">
      <c r="C249" s="84" t="s">
        <v>1226</v>
      </c>
      <c r="D249" s="81"/>
      <c r="E249" s="81"/>
      <c r="F249" s="81"/>
      <c r="G249" s="163"/>
      <c r="H249" s="65">
        <f>SUM(H247:H248)</f>
        <v>347456.25</v>
      </c>
      <c r="K249" s="216"/>
    </row>
    <row r="250" spans="3:11">
      <c r="C250" s="73" t="s">
        <v>1227</v>
      </c>
      <c r="D250" s="60" t="s">
        <v>1228</v>
      </c>
      <c r="E250" s="74"/>
      <c r="F250" s="74"/>
      <c r="G250" s="74"/>
      <c r="H250" s="74"/>
      <c r="K250" s="216"/>
    </row>
    <row r="251" spans="3:11">
      <c r="C251" s="84" t="s">
        <v>1229</v>
      </c>
      <c r="D251" s="81"/>
      <c r="E251" s="81"/>
      <c r="F251" s="81"/>
      <c r="G251" s="163"/>
      <c r="H251" s="306">
        <v>0</v>
      </c>
      <c r="K251" s="216"/>
    </row>
    <row r="252" spans="3:11">
      <c r="C252" s="59" t="s">
        <v>1230</v>
      </c>
      <c r="D252" s="70" t="s">
        <v>1231</v>
      </c>
      <c r="E252" s="71"/>
      <c r="F252" s="71"/>
      <c r="G252" s="72"/>
      <c r="H252" s="307">
        <f>H251+H249+H245</f>
        <v>484801.25</v>
      </c>
      <c r="I252" s="322"/>
      <c r="K252" s="216"/>
    </row>
    <row r="253" spans="3:11">
      <c r="C253" s="59" t="s">
        <v>1232</v>
      </c>
      <c r="D253" s="70" t="s">
        <v>1410</v>
      </c>
      <c r="E253" s="71"/>
      <c r="F253" s="72"/>
      <c r="G253" s="96">
        <f>$M$7</f>
        <v>0.1</v>
      </c>
      <c r="H253" s="65">
        <f>H252*G253</f>
        <v>48480.125</v>
      </c>
      <c r="I253" s="322"/>
      <c r="K253" s="216"/>
    </row>
    <row r="254" spans="3:11">
      <c r="C254" s="59" t="s">
        <v>1233</v>
      </c>
      <c r="D254" s="70" t="s">
        <v>1234</v>
      </c>
      <c r="E254" s="71"/>
      <c r="F254" s="71"/>
      <c r="G254" s="72"/>
      <c r="H254" s="308">
        <f>SUM(H252:H253)</f>
        <v>533281.375</v>
      </c>
      <c r="I254" s="322"/>
      <c r="K254" s="216"/>
    </row>
    <row r="255" spans="3:11">
      <c r="C255" s="58"/>
      <c r="D255" s="82"/>
      <c r="E255" s="82"/>
      <c r="F255" s="82"/>
      <c r="G255" s="82"/>
      <c r="H255" s="83"/>
      <c r="K255" s="216"/>
    </row>
    <row r="256" spans="3:11">
      <c r="C256" s="316" t="s">
        <v>1826</v>
      </c>
      <c r="D256" s="318"/>
      <c r="E256" s="318"/>
      <c r="F256" s="318"/>
      <c r="G256" s="318"/>
      <c r="H256" s="318"/>
      <c r="I256" s="57">
        <f>ROUNDDOWN(H272,-2)</f>
        <v>606400</v>
      </c>
      <c r="K256" s="216"/>
    </row>
    <row r="257" spans="3:11" ht="28.5">
      <c r="C257" s="303" t="s">
        <v>1207</v>
      </c>
      <c r="D257" s="303" t="s">
        <v>1208</v>
      </c>
      <c r="E257" s="303" t="s">
        <v>1209</v>
      </c>
      <c r="F257" s="303" t="s">
        <v>1210</v>
      </c>
      <c r="G257" s="303" t="s">
        <v>1211</v>
      </c>
      <c r="H257" s="303" t="s">
        <v>1212</v>
      </c>
      <c r="K257" s="216"/>
    </row>
    <row r="258" spans="3:11">
      <c r="C258" s="305" t="s">
        <v>1213</v>
      </c>
      <c r="D258" s="60" t="s">
        <v>1214</v>
      </c>
      <c r="E258" s="171"/>
      <c r="F258" s="74"/>
      <c r="G258" s="74"/>
      <c r="H258" s="74"/>
      <c r="K258" s="216"/>
    </row>
    <row r="259" spans="3:11">
      <c r="C259" s="363">
        <v>1</v>
      </c>
      <c r="D259" s="60" t="s">
        <v>5</v>
      </c>
      <c r="E259" s="73" t="s">
        <v>6</v>
      </c>
      <c r="F259" s="184">
        <v>0.42699999999999999</v>
      </c>
      <c r="G259" s="65">
        <f>VLOOKUP(D259,upahbahan,3,FALSE)</f>
        <v>100000</v>
      </c>
      <c r="H259" s="65">
        <f t="shared" ref="H259:H262" si="28">F259*G259</f>
        <v>42700</v>
      </c>
      <c r="K259" s="216"/>
    </row>
    <row r="260" spans="3:11">
      <c r="C260" s="363">
        <v>2</v>
      </c>
      <c r="D260" s="60" t="str">
        <f>D242</f>
        <v>Tukang pipa</v>
      </c>
      <c r="E260" s="73" t="s">
        <v>6</v>
      </c>
      <c r="F260" s="184">
        <v>0.71299999999999997</v>
      </c>
      <c r="G260" s="65">
        <f>VLOOKUP(D260,upahbahan,3,FALSE)</f>
        <v>145000</v>
      </c>
      <c r="H260" s="65">
        <f t="shared" si="28"/>
        <v>103385</v>
      </c>
      <c r="K260" s="216"/>
    </row>
    <row r="261" spans="3:11">
      <c r="C261" s="363">
        <v>3</v>
      </c>
      <c r="D261" s="60" t="s">
        <v>18</v>
      </c>
      <c r="E261" s="73" t="s">
        <v>6</v>
      </c>
      <c r="F261" s="184">
        <v>7.0999999999999994E-2</v>
      </c>
      <c r="G261" s="65">
        <f>VLOOKUP(D261,upahbahan,3,FALSE)</f>
        <v>150000</v>
      </c>
      <c r="H261" s="65">
        <f t="shared" si="28"/>
        <v>10649.999999999998</v>
      </c>
      <c r="K261" s="216"/>
    </row>
    <row r="262" spans="3:11">
      <c r="C262" s="363">
        <v>4</v>
      </c>
      <c r="D262" s="60" t="s">
        <v>19</v>
      </c>
      <c r="E262" s="73" t="s">
        <v>6</v>
      </c>
      <c r="F262" s="184">
        <v>2.1000000000000001E-2</v>
      </c>
      <c r="G262" s="65">
        <f>VLOOKUP(D262,upahbahan,3,FALSE)</f>
        <v>145000</v>
      </c>
      <c r="H262" s="65">
        <f t="shared" si="28"/>
        <v>3045</v>
      </c>
      <c r="K262" s="216"/>
    </row>
    <row r="263" spans="3:11">
      <c r="C263" s="84" t="s">
        <v>1220</v>
      </c>
      <c r="D263" s="81"/>
      <c r="E263" s="81"/>
      <c r="F263" s="220"/>
      <c r="G263" s="221"/>
      <c r="H263" s="65">
        <f>SUM(H259:H262)</f>
        <v>159780</v>
      </c>
      <c r="I263" s="222"/>
      <c r="K263" s="216"/>
    </row>
    <row r="264" spans="3:11">
      <c r="C264" s="73" t="s">
        <v>1221</v>
      </c>
      <c r="D264" s="60" t="s">
        <v>1222</v>
      </c>
      <c r="E264" s="74"/>
      <c r="F264" s="74"/>
      <c r="G264" s="74"/>
      <c r="H264" s="74"/>
      <c r="K264" s="216"/>
    </row>
    <row r="265" spans="3:11">
      <c r="C265" s="304">
        <v>1</v>
      </c>
      <c r="D265" s="60" t="s">
        <v>160</v>
      </c>
      <c r="E265" s="73" t="s">
        <v>114</v>
      </c>
      <c r="F265" s="75">
        <f>F247</f>
        <v>1.45</v>
      </c>
      <c r="G265" s="65">
        <f>VLOOKUP(D265,upahbahan,3,FALSE)</f>
        <v>200000</v>
      </c>
      <c r="H265" s="65">
        <f t="shared" ref="H265" si="29">F265*G265</f>
        <v>290000</v>
      </c>
      <c r="K265" s="216"/>
    </row>
    <row r="266" spans="3:11">
      <c r="C266" s="304">
        <v>2</v>
      </c>
      <c r="D266" s="60" t="s">
        <v>1813</v>
      </c>
      <c r="E266" s="74"/>
      <c r="F266" s="369">
        <f>F248</f>
        <v>0.35</v>
      </c>
      <c r="G266" s="74"/>
      <c r="H266" s="65">
        <f>F266*H265</f>
        <v>101500</v>
      </c>
      <c r="K266" s="216"/>
    </row>
    <row r="267" spans="3:11">
      <c r="C267" s="84" t="s">
        <v>1226</v>
      </c>
      <c r="D267" s="81"/>
      <c r="E267" s="81"/>
      <c r="F267" s="81"/>
      <c r="G267" s="163"/>
      <c r="H267" s="65">
        <f>SUM(H265:H266)</f>
        <v>391500</v>
      </c>
      <c r="K267" s="216"/>
    </row>
    <row r="268" spans="3:11">
      <c r="C268" s="73" t="s">
        <v>1227</v>
      </c>
      <c r="D268" s="60" t="s">
        <v>1228</v>
      </c>
      <c r="E268" s="74"/>
      <c r="F268" s="74"/>
      <c r="G268" s="74"/>
      <c r="H268" s="74"/>
      <c r="K268" s="216"/>
    </row>
    <row r="269" spans="3:11">
      <c r="C269" s="84" t="s">
        <v>1229</v>
      </c>
      <c r="D269" s="81"/>
      <c r="E269" s="81"/>
      <c r="F269" s="81"/>
      <c r="G269" s="163"/>
      <c r="H269" s="306">
        <v>0</v>
      </c>
      <c r="K269" s="216"/>
    </row>
    <row r="270" spans="3:11">
      <c r="C270" s="59" t="s">
        <v>1230</v>
      </c>
      <c r="D270" s="70" t="s">
        <v>1231</v>
      </c>
      <c r="E270" s="71"/>
      <c r="F270" s="71"/>
      <c r="G270" s="72"/>
      <c r="H270" s="307">
        <f>H269+H267+H263</f>
        <v>551280</v>
      </c>
      <c r="I270" s="322"/>
      <c r="K270" s="216"/>
    </row>
    <row r="271" spans="3:11">
      <c r="C271" s="59" t="s">
        <v>1232</v>
      </c>
      <c r="D271" s="70" t="s">
        <v>1410</v>
      </c>
      <c r="E271" s="71"/>
      <c r="F271" s="72"/>
      <c r="G271" s="96">
        <f>$M$7</f>
        <v>0.1</v>
      </c>
      <c r="H271" s="65">
        <f>H270*G271</f>
        <v>55128</v>
      </c>
      <c r="I271" s="322"/>
      <c r="K271" s="216"/>
    </row>
    <row r="272" spans="3:11">
      <c r="C272" s="59" t="s">
        <v>1233</v>
      </c>
      <c r="D272" s="70" t="s">
        <v>1234</v>
      </c>
      <c r="E272" s="71"/>
      <c r="F272" s="71"/>
      <c r="G272" s="72"/>
      <c r="H272" s="308">
        <f>SUM(H270:H271)</f>
        <v>606408</v>
      </c>
      <c r="I272" s="322"/>
      <c r="K272" s="216"/>
    </row>
    <row r="273" spans="3:11">
      <c r="C273" s="58"/>
      <c r="D273" s="82"/>
      <c r="E273" s="82"/>
      <c r="F273" s="82"/>
      <c r="G273" s="82"/>
      <c r="H273" s="83"/>
      <c r="K273" s="216"/>
    </row>
    <row r="274" spans="3:11">
      <c r="C274" s="316" t="s">
        <v>1827</v>
      </c>
      <c r="D274" s="318"/>
      <c r="E274" s="318"/>
      <c r="F274" s="318"/>
      <c r="G274" s="318"/>
      <c r="H274" s="318"/>
      <c r="I274" s="57">
        <f>ROUNDDOWN(H290,-2)</f>
        <v>704100</v>
      </c>
      <c r="K274" s="216"/>
    </row>
    <row r="275" spans="3:11" ht="28.5">
      <c r="C275" s="303" t="s">
        <v>1207</v>
      </c>
      <c r="D275" s="303" t="s">
        <v>1208</v>
      </c>
      <c r="E275" s="303" t="s">
        <v>1209</v>
      </c>
      <c r="F275" s="303" t="s">
        <v>1210</v>
      </c>
      <c r="G275" s="303" t="s">
        <v>1211</v>
      </c>
      <c r="H275" s="303" t="s">
        <v>1212</v>
      </c>
      <c r="K275" s="216"/>
    </row>
    <row r="276" spans="3:11">
      <c r="C276" s="305" t="s">
        <v>1213</v>
      </c>
      <c r="D276" s="60" t="s">
        <v>1214</v>
      </c>
      <c r="E276" s="171"/>
      <c r="F276" s="74"/>
      <c r="G276" s="74"/>
      <c r="H276" s="74"/>
      <c r="K276" s="216"/>
    </row>
    <row r="277" spans="3:11">
      <c r="C277" s="363">
        <v>1</v>
      </c>
      <c r="D277" s="60" t="s">
        <v>5</v>
      </c>
      <c r="E277" s="73" t="s">
        <v>6</v>
      </c>
      <c r="F277" s="184">
        <v>0.48799999999999999</v>
      </c>
      <c r="G277" s="65">
        <f>VLOOKUP(D277,upahbahan,3,FALSE)</f>
        <v>100000</v>
      </c>
      <c r="H277" s="65">
        <f t="shared" ref="H277:H280" si="30">F277*G277</f>
        <v>48800</v>
      </c>
      <c r="K277" s="216"/>
    </row>
    <row r="278" spans="3:11">
      <c r="C278" s="363">
        <v>2</v>
      </c>
      <c r="D278" s="60" t="str">
        <f>D260</f>
        <v>Tukang pipa</v>
      </c>
      <c r="E278" s="73" t="s">
        <v>6</v>
      </c>
      <c r="F278" s="184">
        <v>0.81499999999999995</v>
      </c>
      <c r="G278" s="65">
        <f>VLOOKUP(D278,upahbahan,3,FALSE)</f>
        <v>145000</v>
      </c>
      <c r="H278" s="65">
        <f t="shared" si="30"/>
        <v>118174.99999999999</v>
      </c>
      <c r="K278" s="216"/>
    </row>
    <row r="279" spans="3:11">
      <c r="C279" s="363">
        <v>3</v>
      </c>
      <c r="D279" s="60" t="s">
        <v>18</v>
      </c>
      <c r="E279" s="73" t="s">
        <v>6</v>
      </c>
      <c r="F279" s="184">
        <v>8.1000000000000003E-2</v>
      </c>
      <c r="G279" s="65">
        <f>VLOOKUP(D279,upahbahan,3,FALSE)</f>
        <v>150000</v>
      </c>
      <c r="H279" s="65">
        <f t="shared" si="30"/>
        <v>12150</v>
      </c>
      <c r="K279" s="216"/>
    </row>
    <row r="280" spans="3:11">
      <c r="C280" s="363">
        <v>4</v>
      </c>
      <c r="D280" s="60" t="s">
        <v>19</v>
      </c>
      <c r="E280" s="73" t="s">
        <v>6</v>
      </c>
      <c r="F280" s="184">
        <v>2.4E-2</v>
      </c>
      <c r="G280" s="65">
        <f>VLOOKUP(D280,upahbahan,3,FALSE)</f>
        <v>145000</v>
      </c>
      <c r="H280" s="65">
        <f t="shared" si="30"/>
        <v>3480</v>
      </c>
      <c r="K280" s="216"/>
    </row>
    <row r="281" spans="3:11">
      <c r="C281" s="84" t="s">
        <v>1220</v>
      </c>
      <c r="D281" s="81"/>
      <c r="E281" s="81"/>
      <c r="F281" s="220"/>
      <c r="G281" s="221"/>
      <c r="H281" s="65">
        <f>SUM(H277:H280)</f>
        <v>182605</v>
      </c>
      <c r="I281" s="222"/>
      <c r="K281" s="216"/>
    </row>
    <row r="282" spans="3:11">
      <c r="C282" s="73" t="s">
        <v>1221</v>
      </c>
      <c r="D282" s="60" t="s">
        <v>1222</v>
      </c>
      <c r="E282" s="74"/>
      <c r="F282" s="74"/>
      <c r="G282" s="74"/>
      <c r="H282" s="74"/>
      <c r="K282" s="216"/>
    </row>
    <row r="283" spans="3:11">
      <c r="C283" s="304">
        <v>1</v>
      </c>
      <c r="D283" s="60" t="s">
        <v>161</v>
      </c>
      <c r="E283" s="73" t="s">
        <v>114</v>
      </c>
      <c r="F283" s="75">
        <f>F265</f>
        <v>1.45</v>
      </c>
      <c r="G283" s="65">
        <f>VLOOKUP(D283,upahbahan,3,FALSE)</f>
        <v>233750</v>
      </c>
      <c r="H283" s="65">
        <f t="shared" ref="H283" si="31">F283*G283</f>
        <v>338937.5</v>
      </c>
      <c r="K283" s="216"/>
    </row>
    <row r="284" spans="3:11">
      <c r="C284" s="304">
        <v>2</v>
      </c>
      <c r="D284" s="60" t="s">
        <v>1813</v>
      </c>
      <c r="E284" s="74"/>
      <c r="F284" s="369">
        <f>F266</f>
        <v>0.35</v>
      </c>
      <c r="G284" s="74"/>
      <c r="H284" s="65">
        <f>F284*H283</f>
        <v>118628.12499999999</v>
      </c>
      <c r="K284" s="216"/>
    </row>
    <row r="285" spans="3:11">
      <c r="C285" s="84" t="s">
        <v>1226</v>
      </c>
      <c r="D285" s="81"/>
      <c r="E285" s="81"/>
      <c r="F285" s="81"/>
      <c r="G285" s="163"/>
      <c r="H285" s="65">
        <f>SUM(H283:H284)</f>
        <v>457565.625</v>
      </c>
      <c r="K285" s="216"/>
    </row>
    <row r="286" spans="3:11">
      <c r="C286" s="73" t="s">
        <v>1227</v>
      </c>
      <c r="D286" s="60" t="s">
        <v>1228</v>
      </c>
      <c r="E286" s="74"/>
      <c r="F286" s="74"/>
      <c r="G286" s="74"/>
      <c r="H286" s="74"/>
      <c r="K286" s="216"/>
    </row>
    <row r="287" spans="3:11">
      <c r="C287" s="84" t="s">
        <v>1229</v>
      </c>
      <c r="D287" s="81"/>
      <c r="E287" s="81"/>
      <c r="F287" s="81"/>
      <c r="G287" s="163"/>
      <c r="H287" s="306">
        <v>0</v>
      </c>
      <c r="K287" s="216"/>
    </row>
    <row r="288" spans="3:11">
      <c r="C288" s="59" t="s">
        <v>1230</v>
      </c>
      <c r="D288" s="70" t="s">
        <v>1231</v>
      </c>
      <c r="E288" s="71"/>
      <c r="F288" s="71"/>
      <c r="G288" s="72"/>
      <c r="H288" s="307">
        <f>H287+H285+H281</f>
        <v>640170.625</v>
      </c>
      <c r="I288" s="322"/>
      <c r="K288" s="216"/>
    </row>
    <row r="289" spans="3:11">
      <c r="C289" s="59" t="s">
        <v>1232</v>
      </c>
      <c r="D289" s="70" t="s">
        <v>1410</v>
      </c>
      <c r="E289" s="71"/>
      <c r="F289" s="72"/>
      <c r="G289" s="96">
        <f>$M$7</f>
        <v>0.1</v>
      </c>
      <c r="H289" s="65">
        <f>H288*G289</f>
        <v>64017.0625</v>
      </c>
      <c r="I289" s="322"/>
      <c r="K289" s="216"/>
    </row>
    <row r="290" spans="3:11">
      <c r="C290" s="59" t="s">
        <v>1233</v>
      </c>
      <c r="D290" s="70" t="s">
        <v>1234</v>
      </c>
      <c r="E290" s="71"/>
      <c r="F290" s="71"/>
      <c r="G290" s="72"/>
      <c r="H290" s="308">
        <f>SUM(H288:H289)</f>
        <v>704187.6875</v>
      </c>
      <c r="I290" s="322"/>
      <c r="K290" s="216"/>
    </row>
    <row r="291" spans="3:11">
      <c r="C291" s="58"/>
      <c r="D291" s="82"/>
      <c r="E291" s="82"/>
      <c r="F291" s="82"/>
      <c r="G291" s="82"/>
      <c r="H291" s="83"/>
      <c r="K291" s="216"/>
    </row>
    <row r="292" spans="3:11">
      <c r="C292" s="316" t="s">
        <v>1828</v>
      </c>
      <c r="D292" s="318"/>
      <c r="E292" s="318"/>
      <c r="F292" s="318"/>
      <c r="G292" s="318"/>
      <c r="H292" s="318"/>
      <c r="I292" s="57">
        <f>ROUNDDOWN(H308,-2)</f>
        <v>38000</v>
      </c>
      <c r="K292" s="216"/>
    </row>
    <row r="293" spans="3:11" ht="28.5">
      <c r="C293" s="303" t="s">
        <v>1207</v>
      </c>
      <c r="D293" s="303" t="s">
        <v>1208</v>
      </c>
      <c r="E293" s="303" t="s">
        <v>1209</v>
      </c>
      <c r="F293" s="303" t="s">
        <v>1210</v>
      </c>
      <c r="G293" s="303" t="s">
        <v>1211</v>
      </c>
      <c r="H293" s="303" t="s">
        <v>1212</v>
      </c>
      <c r="K293" s="216"/>
    </row>
    <row r="294" spans="3:11">
      <c r="C294" s="305" t="s">
        <v>1213</v>
      </c>
      <c r="D294" s="60" t="s">
        <v>1214</v>
      </c>
      <c r="E294" s="171"/>
      <c r="F294" s="74"/>
      <c r="G294" s="74"/>
      <c r="H294" s="74"/>
      <c r="K294" s="216"/>
    </row>
    <row r="295" spans="3:11">
      <c r="C295" s="363">
        <v>1</v>
      </c>
      <c r="D295" s="60" t="s">
        <v>5</v>
      </c>
      <c r="E295" s="73" t="s">
        <v>6</v>
      </c>
      <c r="F295" s="75">
        <v>0.04</v>
      </c>
      <c r="G295" s="65">
        <f>VLOOKUP(D295,upahbahan,3,FALSE)</f>
        <v>100000</v>
      </c>
      <c r="H295" s="65">
        <f t="shared" ref="H295:H298" si="32">F295*G295</f>
        <v>4000</v>
      </c>
      <c r="K295" s="216"/>
    </row>
    <row r="296" spans="3:11">
      <c r="C296" s="363">
        <v>2</v>
      </c>
      <c r="D296" s="60" t="str">
        <f>D278</f>
        <v>Tukang pipa</v>
      </c>
      <c r="E296" s="73" t="s">
        <v>6</v>
      </c>
      <c r="F296" s="75">
        <v>6.7000000000000004E-2</v>
      </c>
      <c r="G296" s="65">
        <f>VLOOKUP(D296,upahbahan,3,FALSE)</f>
        <v>145000</v>
      </c>
      <c r="H296" s="65">
        <f t="shared" si="32"/>
        <v>9715</v>
      </c>
      <c r="K296" s="216"/>
    </row>
    <row r="297" spans="3:11">
      <c r="C297" s="363">
        <v>3</v>
      </c>
      <c r="D297" s="60" t="s">
        <v>18</v>
      </c>
      <c r="E297" s="73" t="s">
        <v>6</v>
      </c>
      <c r="F297" s="75">
        <v>7.0000000000000001E-3</v>
      </c>
      <c r="G297" s="65">
        <f>VLOOKUP(D297,upahbahan,3,FALSE)</f>
        <v>150000</v>
      </c>
      <c r="H297" s="65">
        <f t="shared" si="32"/>
        <v>1050</v>
      </c>
      <c r="K297" s="216"/>
    </row>
    <row r="298" spans="3:11">
      <c r="C298" s="363">
        <v>4</v>
      </c>
      <c r="D298" s="60" t="s">
        <v>19</v>
      </c>
      <c r="E298" s="73" t="s">
        <v>6</v>
      </c>
      <c r="F298" s="75">
        <v>2E-3</v>
      </c>
      <c r="G298" s="65">
        <f>VLOOKUP(D298,upahbahan,3,FALSE)</f>
        <v>145000</v>
      </c>
      <c r="H298" s="65">
        <f t="shared" si="32"/>
        <v>290</v>
      </c>
      <c r="K298" s="216"/>
    </row>
    <row r="299" spans="3:11">
      <c r="C299" s="84" t="s">
        <v>1220</v>
      </c>
      <c r="D299" s="81"/>
      <c r="E299" s="81"/>
      <c r="F299" s="220"/>
      <c r="G299" s="221"/>
      <c r="H299" s="65">
        <f>SUM(H295:H298)</f>
        <v>15055</v>
      </c>
      <c r="I299" s="222"/>
      <c r="K299" s="216"/>
    </row>
    <row r="300" spans="3:11">
      <c r="C300" s="73" t="s">
        <v>1221</v>
      </c>
      <c r="D300" s="60" t="s">
        <v>1222</v>
      </c>
      <c r="E300" s="74"/>
      <c r="F300" s="74"/>
      <c r="G300" s="74"/>
      <c r="H300" s="74"/>
      <c r="K300" s="216"/>
    </row>
    <row r="301" spans="3:11">
      <c r="C301" s="304">
        <v>1</v>
      </c>
      <c r="D301" s="60" t="s">
        <v>172</v>
      </c>
      <c r="E301" s="73" t="s">
        <v>114</v>
      </c>
      <c r="F301" s="75">
        <f>F283</f>
        <v>1.45</v>
      </c>
      <c r="G301" s="65">
        <f>VLOOKUP(D301,upahbahan,3,FALSE)</f>
        <v>10000</v>
      </c>
      <c r="H301" s="65">
        <f t="shared" ref="H301" si="33">F301*G301</f>
        <v>14500</v>
      </c>
      <c r="K301" s="216"/>
    </row>
    <row r="302" spans="3:11">
      <c r="C302" s="304">
        <v>2</v>
      </c>
      <c r="D302" s="60" t="s">
        <v>1813</v>
      </c>
      <c r="E302" s="74"/>
      <c r="F302" s="369">
        <f>F284</f>
        <v>0.35</v>
      </c>
      <c r="G302" s="74"/>
      <c r="H302" s="65">
        <f>F302*H301</f>
        <v>5075</v>
      </c>
      <c r="K302" s="216"/>
    </row>
    <row r="303" spans="3:11">
      <c r="C303" s="84" t="s">
        <v>1226</v>
      </c>
      <c r="D303" s="81"/>
      <c r="E303" s="81"/>
      <c r="F303" s="81"/>
      <c r="G303" s="163"/>
      <c r="H303" s="65">
        <f>SUM(H301:H302)</f>
        <v>19575</v>
      </c>
      <c r="K303" s="216"/>
    </row>
    <row r="304" spans="3:11">
      <c r="C304" s="73" t="s">
        <v>1227</v>
      </c>
      <c r="D304" s="60" t="s">
        <v>1228</v>
      </c>
      <c r="E304" s="74"/>
      <c r="F304" s="74"/>
      <c r="G304" s="74"/>
      <c r="H304" s="74"/>
      <c r="K304" s="216"/>
    </row>
    <row r="305" spans="3:11">
      <c r="C305" s="84" t="s">
        <v>1229</v>
      </c>
      <c r="D305" s="81"/>
      <c r="E305" s="81"/>
      <c r="F305" s="81"/>
      <c r="G305" s="163"/>
      <c r="H305" s="306">
        <v>0</v>
      </c>
      <c r="K305" s="216"/>
    </row>
    <row r="306" spans="3:11">
      <c r="C306" s="59" t="s">
        <v>1230</v>
      </c>
      <c r="D306" s="70" t="s">
        <v>1231</v>
      </c>
      <c r="E306" s="71"/>
      <c r="F306" s="71"/>
      <c r="G306" s="72"/>
      <c r="H306" s="307">
        <f>H305+H303+H299</f>
        <v>34630</v>
      </c>
      <c r="I306" s="322"/>
      <c r="K306" s="216"/>
    </row>
    <row r="307" spans="3:11">
      <c r="C307" s="59" t="s">
        <v>1232</v>
      </c>
      <c r="D307" s="70" t="s">
        <v>1410</v>
      </c>
      <c r="E307" s="71"/>
      <c r="F307" s="72"/>
      <c r="G307" s="96">
        <f>$M$7</f>
        <v>0.1</v>
      </c>
      <c r="H307" s="65">
        <f>H306*G307</f>
        <v>3463</v>
      </c>
      <c r="I307" s="322"/>
      <c r="K307" s="216"/>
    </row>
    <row r="308" spans="3:11">
      <c r="C308" s="59" t="s">
        <v>1233</v>
      </c>
      <c r="D308" s="70" t="s">
        <v>1234</v>
      </c>
      <c r="E308" s="71"/>
      <c r="F308" s="71"/>
      <c r="G308" s="72"/>
      <c r="H308" s="308">
        <f>SUM(H306:H307)</f>
        <v>38093</v>
      </c>
      <c r="I308" s="322"/>
      <c r="K308" s="216"/>
    </row>
    <row r="309" spans="3:11">
      <c r="C309" s="58"/>
      <c r="D309" s="82"/>
      <c r="E309" s="82"/>
      <c r="F309" s="82"/>
      <c r="G309" s="82"/>
      <c r="H309" s="83"/>
      <c r="K309" s="216"/>
    </row>
    <row r="310" spans="3:11">
      <c r="C310" s="316" t="s">
        <v>1829</v>
      </c>
      <c r="D310" s="318"/>
      <c r="E310" s="318"/>
      <c r="F310" s="318"/>
      <c r="G310" s="318"/>
      <c r="H310" s="318"/>
      <c r="I310" s="57">
        <f>ROUNDDOWN(H326,-2)</f>
        <v>43700</v>
      </c>
      <c r="K310" s="216"/>
    </row>
    <row r="311" spans="3:11" ht="28.5">
      <c r="C311" s="303" t="s">
        <v>1207</v>
      </c>
      <c r="D311" s="303" t="s">
        <v>1208</v>
      </c>
      <c r="E311" s="303" t="s">
        <v>1209</v>
      </c>
      <c r="F311" s="303" t="s">
        <v>1210</v>
      </c>
      <c r="G311" s="303" t="s">
        <v>1211</v>
      </c>
      <c r="H311" s="303" t="s">
        <v>1212</v>
      </c>
      <c r="K311" s="216"/>
    </row>
    <row r="312" spans="3:11">
      <c r="C312" s="305" t="s">
        <v>1213</v>
      </c>
      <c r="D312" s="60" t="s">
        <v>1214</v>
      </c>
      <c r="E312" s="74"/>
      <c r="F312" s="74"/>
      <c r="G312" s="74"/>
      <c r="H312" s="74"/>
      <c r="K312" s="216"/>
    </row>
    <row r="313" spans="3:11">
      <c r="C313" s="363">
        <v>1</v>
      </c>
      <c r="D313" s="60" t="s">
        <v>5</v>
      </c>
      <c r="E313" s="305" t="s">
        <v>6</v>
      </c>
      <c r="F313" s="75">
        <v>4.8000000000000001E-2</v>
      </c>
      <c r="G313" s="65">
        <f>VLOOKUP(D313,upahbahan,3,FALSE)</f>
        <v>100000</v>
      </c>
      <c r="H313" s="65">
        <f t="shared" ref="H313:H316" si="34">F313*G313</f>
        <v>4800</v>
      </c>
      <c r="K313" s="216"/>
    </row>
    <row r="314" spans="3:11">
      <c r="C314" s="363">
        <v>2</v>
      </c>
      <c r="D314" s="60" t="str">
        <f>D296</f>
        <v>Tukang pipa</v>
      </c>
      <c r="E314" s="305" t="s">
        <v>6</v>
      </c>
      <c r="F314" s="75">
        <v>0.08</v>
      </c>
      <c r="G314" s="65">
        <f>VLOOKUP(D314,upahbahan,3,FALSE)</f>
        <v>145000</v>
      </c>
      <c r="H314" s="65">
        <f t="shared" si="34"/>
        <v>11600</v>
      </c>
      <c r="K314" s="216"/>
    </row>
    <row r="315" spans="3:11">
      <c r="C315" s="363">
        <v>3</v>
      </c>
      <c r="D315" s="60" t="s">
        <v>18</v>
      </c>
      <c r="E315" s="305" t="s">
        <v>6</v>
      </c>
      <c r="F315" s="75">
        <v>8.0000000000000002E-3</v>
      </c>
      <c r="G315" s="65">
        <f>VLOOKUP(D315,upahbahan,3,FALSE)</f>
        <v>150000</v>
      </c>
      <c r="H315" s="65">
        <f t="shared" si="34"/>
        <v>1200</v>
      </c>
      <c r="K315" s="216"/>
    </row>
    <row r="316" spans="3:11">
      <c r="C316" s="363">
        <v>4</v>
      </c>
      <c r="D316" s="60" t="s">
        <v>19</v>
      </c>
      <c r="E316" s="305" t="s">
        <v>6</v>
      </c>
      <c r="F316" s="75">
        <v>2E-3</v>
      </c>
      <c r="G316" s="65">
        <f>VLOOKUP(D316,upahbahan,3,FALSE)</f>
        <v>145000</v>
      </c>
      <c r="H316" s="65">
        <f t="shared" si="34"/>
        <v>290</v>
      </c>
      <c r="K316" s="216"/>
    </row>
    <row r="317" spans="3:11">
      <c r="C317" s="84" t="s">
        <v>1220</v>
      </c>
      <c r="D317" s="81"/>
      <c r="E317" s="81"/>
      <c r="F317" s="220"/>
      <c r="G317" s="221"/>
      <c r="H317" s="65">
        <f>SUM(H313:H316)</f>
        <v>17890</v>
      </c>
      <c r="I317" s="222"/>
      <c r="K317" s="216"/>
    </row>
    <row r="318" spans="3:11">
      <c r="C318" s="305" t="s">
        <v>1221</v>
      </c>
      <c r="D318" s="60" t="s">
        <v>1222</v>
      </c>
      <c r="E318" s="74"/>
      <c r="F318" s="74"/>
      <c r="G318" s="74"/>
      <c r="H318" s="74"/>
      <c r="K318" s="216"/>
    </row>
    <row r="319" spans="3:11">
      <c r="C319" s="363">
        <v>1</v>
      </c>
      <c r="D319" s="60" t="s">
        <v>171</v>
      </c>
      <c r="E319" s="69" t="s">
        <v>114</v>
      </c>
      <c r="F319" s="230">
        <f>F301</f>
        <v>1.45</v>
      </c>
      <c r="G319" s="65">
        <f>VLOOKUP(D319,upahbahan,3,FALSE)</f>
        <v>11175</v>
      </c>
      <c r="H319" s="65">
        <f t="shared" ref="H319" si="35">F319*G319</f>
        <v>16203.75</v>
      </c>
      <c r="K319" s="216"/>
    </row>
    <row r="320" spans="3:11">
      <c r="C320" s="363">
        <v>2</v>
      </c>
      <c r="D320" s="78" t="s">
        <v>1813</v>
      </c>
      <c r="E320" s="74"/>
      <c r="F320" s="87">
        <f>F302</f>
        <v>0.35</v>
      </c>
      <c r="G320" s="74"/>
      <c r="H320" s="65">
        <f>F320*H319</f>
        <v>5671.3125</v>
      </c>
      <c r="K320" s="216"/>
    </row>
    <row r="321" spans="3:11">
      <c r="C321" s="84" t="s">
        <v>1226</v>
      </c>
      <c r="D321" s="81"/>
      <c r="E321" s="81"/>
      <c r="F321" s="81"/>
      <c r="G321" s="163"/>
      <c r="H321" s="65">
        <f>SUM(H319:H320)</f>
        <v>21875.0625</v>
      </c>
      <c r="K321" s="216"/>
    </row>
    <row r="322" spans="3:11">
      <c r="C322" s="73" t="s">
        <v>1227</v>
      </c>
      <c r="D322" s="60" t="s">
        <v>1228</v>
      </c>
      <c r="E322" s="74"/>
      <c r="F322" s="74"/>
      <c r="G322" s="74"/>
      <c r="H322" s="74"/>
      <c r="K322" s="216"/>
    </row>
    <row r="323" spans="3:11">
      <c r="C323" s="84" t="s">
        <v>1229</v>
      </c>
      <c r="D323" s="81"/>
      <c r="E323" s="81"/>
      <c r="F323" s="81"/>
      <c r="G323" s="163"/>
      <c r="H323" s="306">
        <v>0</v>
      </c>
      <c r="K323" s="216"/>
    </row>
    <row r="324" spans="3:11">
      <c r="C324" s="59" t="s">
        <v>1230</v>
      </c>
      <c r="D324" s="70" t="s">
        <v>1231</v>
      </c>
      <c r="E324" s="71"/>
      <c r="F324" s="71"/>
      <c r="G324" s="72"/>
      <c r="H324" s="307">
        <f>H323+H321+H317</f>
        <v>39765.0625</v>
      </c>
      <c r="I324" s="322"/>
      <c r="K324" s="216"/>
    </row>
    <row r="325" spans="3:11">
      <c r="C325" s="59" t="s">
        <v>1232</v>
      </c>
      <c r="D325" s="70" t="s">
        <v>1410</v>
      </c>
      <c r="E325" s="71"/>
      <c r="F325" s="72"/>
      <c r="G325" s="96">
        <f>$M$7</f>
        <v>0.1</v>
      </c>
      <c r="H325" s="65">
        <f>H324*G325</f>
        <v>3976.5062500000004</v>
      </c>
      <c r="I325" s="322"/>
      <c r="K325" s="216"/>
    </row>
    <row r="326" spans="3:11">
      <c r="C326" s="59" t="s">
        <v>1233</v>
      </c>
      <c r="D326" s="70" t="s">
        <v>1234</v>
      </c>
      <c r="E326" s="71"/>
      <c r="F326" s="71"/>
      <c r="G326" s="72"/>
      <c r="H326" s="308">
        <f>SUM(H324:H325)</f>
        <v>43741.568749999999</v>
      </c>
      <c r="I326" s="322"/>
      <c r="K326" s="216"/>
    </row>
    <row r="327" spans="3:11">
      <c r="C327" s="90"/>
      <c r="D327" s="91"/>
      <c r="E327" s="91"/>
      <c r="F327" s="91"/>
      <c r="G327" s="91"/>
      <c r="H327" s="309"/>
      <c r="K327" s="216"/>
    </row>
    <row r="328" spans="3:11">
      <c r="C328" s="316" t="s">
        <v>1830</v>
      </c>
      <c r="D328" s="318"/>
      <c r="E328" s="318"/>
      <c r="F328" s="318"/>
      <c r="G328" s="318"/>
      <c r="H328" s="318"/>
      <c r="I328" s="57">
        <f>ROUNDDOWN(H344,-2)</f>
        <v>57400</v>
      </c>
      <c r="K328" s="216"/>
    </row>
    <row r="329" spans="3:11" ht="28.5">
      <c r="C329" s="303" t="s">
        <v>1207</v>
      </c>
      <c r="D329" s="303" t="s">
        <v>1208</v>
      </c>
      <c r="E329" s="303" t="s">
        <v>1209</v>
      </c>
      <c r="F329" s="303" t="s">
        <v>1210</v>
      </c>
      <c r="G329" s="303" t="s">
        <v>1211</v>
      </c>
      <c r="H329" s="303" t="s">
        <v>1212</v>
      </c>
      <c r="K329" s="216"/>
    </row>
    <row r="330" spans="3:11">
      <c r="C330" s="305" t="s">
        <v>1213</v>
      </c>
      <c r="D330" s="60" t="s">
        <v>1214</v>
      </c>
      <c r="E330" s="74"/>
      <c r="F330" s="74"/>
      <c r="G330" s="74"/>
      <c r="H330" s="74"/>
      <c r="K330" s="216"/>
    </row>
    <row r="331" spans="3:11">
      <c r="C331" s="363">
        <v>1</v>
      </c>
      <c r="D331" s="60" t="s">
        <v>5</v>
      </c>
      <c r="E331" s="305" t="s">
        <v>6</v>
      </c>
      <c r="F331" s="75">
        <v>6.3E-2</v>
      </c>
      <c r="G331" s="65">
        <f>VLOOKUP(D331,upahbahan,3,FALSE)</f>
        <v>100000</v>
      </c>
      <c r="H331" s="65">
        <f t="shared" ref="H331:H334" si="36">F331*G331</f>
        <v>6300</v>
      </c>
      <c r="K331" s="216"/>
    </row>
    <row r="332" spans="3:11">
      <c r="C332" s="363">
        <v>2</v>
      </c>
      <c r="D332" s="60" t="str">
        <f>D314</f>
        <v>Tukang pipa</v>
      </c>
      <c r="E332" s="305" t="s">
        <v>6</v>
      </c>
      <c r="F332" s="75">
        <v>0.104</v>
      </c>
      <c r="G332" s="65">
        <f>VLOOKUP(D332,upahbahan,3,FALSE)</f>
        <v>145000</v>
      </c>
      <c r="H332" s="65">
        <f t="shared" si="36"/>
        <v>15080</v>
      </c>
      <c r="K332" s="216"/>
    </row>
    <row r="333" spans="3:11">
      <c r="C333" s="363">
        <v>3</v>
      </c>
      <c r="D333" s="60" t="s">
        <v>18</v>
      </c>
      <c r="E333" s="305" t="s">
        <v>6</v>
      </c>
      <c r="F333" s="75">
        <v>0.01</v>
      </c>
      <c r="G333" s="65">
        <f>VLOOKUP(D333,upahbahan,3,FALSE)</f>
        <v>150000</v>
      </c>
      <c r="H333" s="65">
        <f t="shared" si="36"/>
        <v>1500</v>
      </c>
      <c r="K333" s="216"/>
    </row>
    <row r="334" spans="3:11">
      <c r="C334" s="363">
        <v>4</v>
      </c>
      <c r="D334" s="60" t="s">
        <v>19</v>
      </c>
      <c r="E334" s="305" t="s">
        <v>6</v>
      </c>
      <c r="F334" s="75">
        <v>3.0000000000000001E-3</v>
      </c>
      <c r="G334" s="65">
        <f>VLOOKUP(D334,upahbahan,3,FALSE)</f>
        <v>145000</v>
      </c>
      <c r="H334" s="65">
        <f t="shared" si="36"/>
        <v>435</v>
      </c>
      <c r="K334" s="216"/>
    </row>
    <row r="335" spans="3:11">
      <c r="C335" s="84" t="s">
        <v>1220</v>
      </c>
      <c r="D335" s="81"/>
      <c r="E335" s="81"/>
      <c r="F335" s="220"/>
      <c r="G335" s="221"/>
      <c r="H335" s="65">
        <f>SUM(H331:H334)</f>
        <v>23315</v>
      </c>
      <c r="I335" s="222"/>
      <c r="K335" s="216"/>
    </row>
    <row r="336" spans="3:11">
      <c r="C336" s="305" t="s">
        <v>1221</v>
      </c>
      <c r="D336" s="60" t="s">
        <v>1222</v>
      </c>
      <c r="E336" s="74"/>
      <c r="F336" s="74"/>
      <c r="G336" s="74"/>
      <c r="H336" s="74"/>
      <c r="K336" s="216"/>
    </row>
    <row r="337" spans="3:11">
      <c r="C337" s="363">
        <v>1</v>
      </c>
      <c r="D337" s="60" t="s">
        <v>176</v>
      </c>
      <c r="E337" s="69" t="s">
        <v>114</v>
      </c>
      <c r="F337" s="230">
        <f>F319</f>
        <v>1.45</v>
      </c>
      <c r="G337" s="65">
        <f>VLOOKUP(D337,upahbahan,3,FALSE)</f>
        <v>14750</v>
      </c>
      <c r="H337" s="65">
        <f t="shared" ref="H337" si="37">F337*G337</f>
        <v>21387.5</v>
      </c>
      <c r="K337" s="216"/>
    </row>
    <row r="338" spans="3:11">
      <c r="C338" s="363">
        <v>2</v>
      </c>
      <c r="D338" s="78" t="s">
        <v>1813</v>
      </c>
      <c r="E338" s="74"/>
      <c r="F338" s="87">
        <f>F320</f>
        <v>0.35</v>
      </c>
      <c r="G338" s="74"/>
      <c r="H338" s="65">
        <f>F338*H337</f>
        <v>7485.6249999999991</v>
      </c>
      <c r="K338" s="216"/>
    </row>
    <row r="339" spans="3:11">
      <c r="C339" s="84" t="s">
        <v>1226</v>
      </c>
      <c r="D339" s="81"/>
      <c r="E339" s="81"/>
      <c r="F339" s="81"/>
      <c r="G339" s="163"/>
      <c r="H339" s="65">
        <f>SUM(H337:H338)</f>
        <v>28873.125</v>
      </c>
      <c r="K339" s="216"/>
    </row>
    <row r="340" spans="3:11">
      <c r="C340" s="73" t="s">
        <v>1227</v>
      </c>
      <c r="D340" s="60" t="s">
        <v>1228</v>
      </c>
      <c r="E340" s="74"/>
      <c r="F340" s="74"/>
      <c r="G340" s="74"/>
      <c r="H340" s="74"/>
      <c r="K340" s="216"/>
    </row>
    <row r="341" spans="3:11">
      <c r="C341" s="84" t="s">
        <v>1229</v>
      </c>
      <c r="D341" s="81"/>
      <c r="E341" s="81"/>
      <c r="F341" s="81"/>
      <c r="G341" s="163"/>
      <c r="H341" s="306">
        <v>0</v>
      </c>
      <c r="K341" s="216"/>
    </row>
    <row r="342" spans="3:11">
      <c r="C342" s="59" t="s">
        <v>1230</v>
      </c>
      <c r="D342" s="70" t="s">
        <v>1231</v>
      </c>
      <c r="E342" s="71"/>
      <c r="F342" s="71"/>
      <c r="G342" s="72"/>
      <c r="H342" s="307">
        <f>H341+H339+H335</f>
        <v>52188.125</v>
      </c>
      <c r="I342" s="322"/>
      <c r="K342" s="216"/>
    </row>
    <row r="343" spans="3:11">
      <c r="C343" s="59" t="s">
        <v>1232</v>
      </c>
      <c r="D343" s="70" t="s">
        <v>1410</v>
      </c>
      <c r="E343" s="71"/>
      <c r="F343" s="72"/>
      <c r="G343" s="96">
        <f>$M$7</f>
        <v>0.1</v>
      </c>
      <c r="H343" s="65">
        <f>H342*G343</f>
        <v>5218.8125</v>
      </c>
      <c r="I343" s="322"/>
      <c r="K343" s="216"/>
    </row>
    <row r="344" spans="3:11">
      <c r="C344" s="59" t="s">
        <v>1233</v>
      </c>
      <c r="D344" s="70" t="s">
        <v>1234</v>
      </c>
      <c r="E344" s="71"/>
      <c r="F344" s="71"/>
      <c r="G344" s="72"/>
      <c r="H344" s="308">
        <f>SUM(H342:H343)</f>
        <v>57406.9375</v>
      </c>
      <c r="I344" s="322"/>
      <c r="K344" s="216"/>
    </row>
    <row r="345" spans="3:11">
      <c r="C345" s="58"/>
      <c r="D345" s="82"/>
      <c r="E345" s="82"/>
      <c r="F345" s="82"/>
      <c r="G345" s="82"/>
      <c r="H345" s="83"/>
      <c r="K345" s="216"/>
    </row>
    <row r="346" spans="3:11">
      <c r="C346" s="316" t="s">
        <v>1831</v>
      </c>
      <c r="D346" s="318"/>
      <c r="E346" s="318"/>
      <c r="F346" s="318"/>
      <c r="G346" s="318"/>
      <c r="H346" s="318"/>
      <c r="I346" s="57">
        <f>ROUNDDOWN(H362,-2)</f>
        <v>76200</v>
      </c>
      <c r="K346" s="216"/>
    </row>
    <row r="347" spans="3:11" ht="28.5">
      <c r="C347" s="303" t="s">
        <v>1207</v>
      </c>
      <c r="D347" s="303" t="s">
        <v>1208</v>
      </c>
      <c r="E347" s="303" t="s">
        <v>1209</v>
      </c>
      <c r="F347" s="303" t="s">
        <v>1210</v>
      </c>
      <c r="G347" s="303" t="s">
        <v>1211</v>
      </c>
      <c r="H347" s="303" t="s">
        <v>1212</v>
      </c>
      <c r="K347" s="216"/>
    </row>
    <row r="348" spans="3:11">
      <c r="C348" s="305" t="s">
        <v>1213</v>
      </c>
      <c r="D348" s="60" t="s">
        <v>1214</v>
      </c>
      <c r="E348" s="74"/>
      <c r="F348" s="74"/>
      <c r="G348" s="74"/>
      <c r="H348" s="74"/>
      <c r="K348" s="216"/>
    </row>
    <row r="349" spans="3:11">
      <c r="C349" s="363">
        <v>1</v>
      </c>
      <c r="D349" s="60" t="s">
        <v>5</v>
      </c>
      <c r="E349" s="305" t="s">
        <v>6</v>
      </c>
      <c r="F349" s="184">
        <v>7.6999999999999999E-2</v>
      </c>
      <c r="G349" s="65">
        <f>VLOOKUP(D349,upahbahan,3,FALSE)</f>
        <v>100000</v>
      </c>
      <c r="H349" s="65">
        <f t="shared" ref="H349:H352" si="38">F349*G349</f>
        <v>7700</v>
      </c>
      <c r="K349" s="216"/>
    </row>
    <row r="350" spans="3:11">
      <c r="C350" s="363">
        <v>2</v>
      </c>
      <c r="D350" s="60" t="str">
        <f>D332</f>
        <v>Tukang pipa</v>
      </c>
      <c r="E350" s="305" t="s">
        <v>6</v>
      </c>
      <c r="F350" s="184">
        <v>0.129</v>
      </c>
      <c r="G350" s="65">
        <f>VLOOKUP(D350,upahbahan,3,FALSE)</f>
        <v>145000</v>
      </c>
      <c r="H350" s="65">
        <f t="shared" si="38"/>
        <v>18705</v>
      </c>
      <c r="K350" s="216"/>
    </row>
    <row r="351" spans="3:11">
      <c r="C351" s="363">
        <v>3</v>
      </c>
      <c r="D351" s="60" t="s">
        <v>18</v>
      </c>
      <c r="E351" s="305" t="s">
        <v>6</v>
      </c>
      <c r="F351" s="184">
        <v>1.2999999999999999E-2</v>
      </c>
      <c r="G351" s="65">
        <f>VLOOKUP(D351,upahbahan,3,FALSE)</f>
        <v>150000</v>
      </c>
      <c r="H351" s="65">
        <f t="shared" si="38"/>
        <v>1950</v>
      </c>
      <c r="K351" s="216"/>
    </row>
    <row r="352" spans="3:11">
      <c r="C352" s="363">
        <v>4</v>
      </c>
      <c r="D352" s="60" t="s">
        <v>19</v>
      </c>
      <c r="E352" s="305" t="s">
        <v>6</v>
      </c>
      <c r="F352" s="184">
        <v>4.0000000000000001E-3</v>
      </c>
      <c r="G352" s="65">
        <f>VLOOKUP(D352,upahbahan,3,FALSE)</f>
        <v>145000</v>
      </c>
      <c r="H352" s="65">
        <f t="shared" si="38"/>
        <v>580</v>
      </c>
      <c r="K352" s="216"/>
    </row>
    <row r="353" spans="3:11">
      <c r="C353" s="84" t="s">
        <v>1220</v>
      </c>
      <c r="D353" s="81"/>
      <c r="E353" s="81"/>
      <c r="F353" s="220"/>
      <c r="G353" s="221"/>
      <c r="H353" s="65">
        <f>SUM(H349:H352)</f>
        <v>28935</v>
      </c>
      <c r="I353" s="222"/>
      <c r="K353" s="216"/>
    </row>
    <row r="354" spans="3:11">
      <c r="C354" s="305" t="s">
        <v>1221</v>
      </c>
      <c r="D354" s="60" t="s">
        <v>1222</v>
      </c>
      <c r="E354" s="74"/>
      <c r="F354" s="74"/>
      <c r="G354" s="74"/>
      <c r="H354" s="74"/>
      <c r="K354" s="216"/>
    </row>
    <row r="355" spans="3:11">
      <c r="C355" s="363">
        <v>1</v>
      </c>
      <c r="D355" s="60" t="s">
        <v>177</v>
      </c>
      <c r="E355" s="69" t="s">
        <v>114</v>
      </c>
      <c r="F355" s="230">
        <f>F337</f>
        <v>1.45</v>
      </c>
      <c r="G355" s="65">
        <f>VLOOKUP(D355,upahbahan,3,FALSE)</f>
        <v>20625</v>
      </c>
      <c r="H355" s="65">
        <f t="shared" ref="H355" si="39">F355*G355</f>
        <v>29906.25</v>
      </c>
      <c r="K355" s="216"/>
    </row>
    <row r="356" spans="3:11">
      <c r="C356" s="363">
        <v>2</v>
      </c>
      <c r="D356" s="78" t="s">
        <v>1813</v>
      </c>
      <c r="E356" s="74"/>
      <c r="F356" s="87">
        <f>F338</f>
        <v>0.35</v>
      </c>
      <c r="G356" s="74"/>
      <c r="H356" s="65">
        <f>F356*H355</f>
        <v>10467.1875</v>
      </c>
      <c r="K356" s="216"/>
    </row>
    <row r="357" spans="3:11">
      <c r="C357" s="84" t="s">
        <v>1226</v>
      </c>
      <c r="D357" s="81"/>
      <c r="E357" s="81"/>
      <c r="F357" s="81"/>
      <c r="G357" s="163"/>
      <c r="H357" s="65">
        <f>SUM(H355:H356)</f>
        <v>40373.4375</v>
      </c>
      <c r="K357" s="216"/>
    </row>
    <row r="358" spans="3:11">
      <c r="C358" s="73" t="s">
        <v>1227</v>
      </c>
      <c r="D358" s="60" t="s">
        <v>1228</v>
      </c>
      <c r="E358" s="74"/>
      <c r="F358" s="74"/>
      <c r="G358" s="74"/>
      <c r="H358" s="74"/>
      <c r="K358" s="216"/>
    </row>
    <row r="359" spans="3:11">
      <c r="C359" s="84" t="s">
        <v>1229</v>
      </c>
      <c r="D359" s="81"/>
      <c r="E359" s="81"/>
      <c r="F359" s="81"/>
      <c r="G359" s="163"/>
      <c r="H359" s="306">
        <v>0</v>
      </c>
      <c r="K359" s="216"/>
    </row>
    <row r="360" spans="3:11">
      <c r="C360" s="59" t="s">
        <v>1230</v>
      </c>
      <c r="D360" s="70" t="s">
        <v>1231</v>
      </c>
      <c r="E360" s="71"/>
      <c r="F360" s="71"/>
      <c r="G360" s="72"/>
      <c r="H360" s="307">
        <f>H359+H357+H353</f>
        <v>69308.4375</v>
      </c>
      <c r="I360" s="322"/>
      <c r="K360" s="216"/>
    </row>
    <row r="361" spans="3:11">
      <c r="C361" s="59" t="s">
        <v>1232</v>
      </c>
      <c r="D361" s="70" t="s">
        <v>1410</v>
      </c>
      <c r="E361" s="71"/>
      <c r="F361" s="72"/>
      <c r="G361" s="96">
        <f>$M$7</f>
        <v>0.1</v>
      </c>
      <c r="H361" s="65">
        <f>H360*G361</f>
        <v>6930.84375</v>
      </c>
      <c r="I361" s="322"/>
      <c r="K361" s="216"/>
    </row>
    <row r="362" spans="3:11">
      <c r="C362" s="59" t="s">
        <v>1233</v>
      </c>
      <c r="D362" s="70" t="s">
        <v>1234</v>
      </c>
      <c r="E362" s="71"/>
      <c r="F362" s="71"/>
      <c r="G362" s="72"/>
      <c r="H362" s="308">
        <f>SUM(H360:H361)</f>
        <v>76239.28125</v>
      </c>
      <c r="I362" s="322"/>
      <c r="K362" s="216"/>
    </row>
    <row r="363" spans="3:11">
      <c r="C363" s="58"/>
      <c r="D363" s="82"/>
      <c r="E363" s="82"/>
      <c r="F363" s="82"/>
      <c r="G363" s="82"/>
      <c r="H363" s="83"/>
      <c r="K363" s="216"/>
    </row>
    <row r="364" spans="3:11">
      <c r="C364" s="316" t="s">
        <v>1832</v>
      </c>
      <c r="D364" s="318"/>
      <c r="E364" s="318"/>
      <c r="F364" s="318"/>
      <c r="G364" s="318"/>
      <c r="H364" s="318"/>
      <c r="I364" s="57">
        <f>ROUNDDOWN(H380,-2)</f>
        <v>100400</v>
      </c>
      <c r="K364" s="216"/>
    </row>
    <row r="365" spans="3:11" ht="28.5">
      <c r="C365" s="303" t="s">
        <v>1207</v>
      </c>
      <c r="D365" s="303" t="s">
        <v>1208</v>
      </c>
      <c r="E365" s="303" t="s">
        <v>1209</v>
      </c>
      <c r="F365" s="303" t="s">
        <v>1210</v>
      </c>
      <c r="G365" s="303" t="s">
        <v>1211</v>
      </c>
      <c r="H365" s="303" t="s">
        <v>1212</v>
      </c>
      <c r="K365" s="216"/>
    </row>
    <row r="366" spans="3:11">
      <c r="C366" s="305" t="s">
        <v>1213</v>
      </c>
      <c r="D366" s="60" t="s">
        <v>1214</v>
      </c>
      <c r="E366" s="74"/>
      <c r="F366" s="74"/>
      <c r="G366" s="74"/>
      <c r="H366" s="74"/>
      <c r="K366" s="216"/>
    </row>
    <row r="367" spans="3:11">
      <c r="C367" s="363">
        <v>1</v>
      </c>
      <c r="D367" s="60" t="s">
        <v>5</v>
      </c>
      <c r="E367" s="305" t="s">
        <v>6</v>
      </c>
      <c r="F367" s="184">
        <v>9.4E-2</v>
      </c>
      <c r="G367" s="65">
        <f>VLOOKUP(D367,upahbahan,3,FALSE)</f>
        <v>100000</v>
      </c>
      <c r="H367" s="65">
        <f t="shared" ref="H367:H370" si="40">F367*G367</f>
        <v>9400</v>
      </c>
      <c r="K367" s="216"/>
    </row>
    <row r="368" spans="3:11">
      <c r="C368" s="363">
        <v>2</v>
      </c>
      <c r="D368" s="60" t="str">
        <f>D350</f>
        <v>Tukang pipa</v>
      </c>
      <c r="E368" s="305" t="s">
        <v>6</v>
      </c>
      <c r="F368" s="184">
        <v>0.157</v>
      </c>
      <c r="G368" s="65">
        <f>VLOOKUP(D368,upahbahan,3,FALSE)</f>
        <v>145000</v>
      </c>
      <c r="H368" s="65">
        <f t="shared" si="40"/>
        <v>22765</v>
      </c>
      <c r="K368" s="216"/>
    </row>
    <row r="369" spans="3:11">
      <c r="C369" s="363">
        <v>3</v>
      </c>
      <c r="D369" s="60" t="s">
        <v>18</v>
      </c>
      <c r="E369" s="305" t="s">
        <v>6</v>
      </c>
      <c r="F369" s="184">
        <v>1.6E-2</v>
      </c>
      <c r="G369" s="65">
        <f>VLOOKUP(D369,upahbahan,3,FALSE)</f>
        <v>150000</v>
      </c>
      <c r="H369" s="65">
        <f t="shared" si="40"/>
        <v>2400</v>
      </c>
      <c r="K369" s="216"/>
    </row>
    <row r="370" spans="3:11">
      <c r="C370" s="363">
        <v>4</v>
      </c>
      <c r="D370" s="60" t="s">
        <v>19</v>
      </c>
      <c r="E370" s="305" t="s">
        <v>6</v>
      </c>
      <c r="F370" s="184">
        <v>5.0000000000000001E-3</v>
      </c>
      <c r="G370" s="65">
        <f>VLOOKUP(D370,upahbahan,3,FALSE)</f>
        <v>145000</v>
      </c>
      <c r="H370" s="65">
        <f t="shared" si="40"/>
        <v>725</v>
      </c>
      <c r="K370" s="216"/>
    </row>
    <row r="371" spans="3:11">
      <c r="C371" s="84" t="s">
        <v>1220</v>
      </c>
      <c r="D371" s="81"/>
      <c r="E371" s="81"/>
      <c r="F371" s="220"/>
      <c r="G371" s="221"/>
      <c r="H371" s="65">
        <f>SUM(H367:H370)</f>
        <v>35290</v>
      </c>
      <c r="I371" s="222"/>
      <c r="K371" s="216"/>
    </row>
    <row r="372" spans="3:11">
      <c r="C372" s="305" t="s">
        <v>1221</v>
      </c>
      <c r="D372" s="60" t="s">
        <v>1222</v>
      </c>
      <c r="E372" s="74"/>
      <c r="F372" s="74"/>
      <c r="G372" s="74"/>
      <c r="H372" s="74"/>
      <c r="K372" s="216"/>
    </row>
    <row r="373" spans="3:11">
      <c r="C373" s="363">
        <v>1</v>
      </c>
      <c r="D373" s="60" t="s">
        <v>178</v>
      </c>
      <c r="E373" s="69" t="s">
        <v>114</v>
      </c>
      <c r="F373" s="230">
        <f>F355</f>
        <v>1.45</v>
      </c>
      <c r="G373" s="65">
        <f>VLOOKUP(D373,upahbahan,3,FALSE)</f>
        <v>28600</v>
      </c>
      <c r="H373" s="65">
        <f t="shared" ref="H373" si="41">F373*G373</f>
        <v>41470</v>
      </c>
      <c r="K373" s="216"/>
    </row>
    <row r="374" spans="3:11">
      <c r="C374" s="363">
        <v>2</v>
      </c>
      <c r="D374" s="78" t="s">
        <v>1813</v>
      </c>
      <c r="E374" s="74"/>
      <c r="F374" s="87">
        <f>F356</f>
        <v>0.35</v>
      </c>
      <c r="G374" s="74"/>
      <c r="H374" s="65">
        <f>F374*H373</f>
        <v>14514.499999999998</v>
      </c>
      <c r="K374" s="216"/>
    </row>
    <row r="375" spans="3:11">
      <c r="C375" s="84" t="s">
        <v>1226</v>
      </c>
      <c r="D375" s="81"/>
      <c r="E375" s="81"/>
      <c r="F375" s="81"/>
      <c r="G375" s="163"/>
      <c r="H375" s="65">
        <f>SUM(H373:H374)</f>
        <v>55984.5</v>
      </c>
      <c r="K375" s="216"/>
    </row>
    <row r="376" spans="3:11">
      <c r="C376" s="73" t="s">
        <v>1227</v>
      </c>
      <c r="D376" s="60" t="s">
        <v>1228</v>
      </c>
      <c r="E376" s="74"/>
      <c r="F376" s="74"/>
      <c r="G376" s="74"/>
      <c r="H376" s="74"/>
      <c r="K376" s="216"/>
    </row>
    <row r="377" spans="3:11">
      <c r="C377" s="84" t="s">
        <v>1229</v>
      </c>
      <c r="D377" s="81"/>
      <c r="E377" s="81"/>
      <c r="F377" s="81"/>
      <c r="G377" s="163"/>
      <c r="H377" s="306">
        <v>0</v>
      </c>
      <c r="K377" s="216"/>
    </row>
    <row r="378" spans="3:11">
      <c r="C378" s="59" t="s">
        <v>1230</v>
      </c>
      <c r="D378" s="70" t="s">
        <v>1231</v>
      </c>
      <c r="E378" s="71"/>
      <c r="F378" s="71"/>
      <c r="G378" s="72"/>
      <c r="H378" s="307">
        <f>H377+H375+H371</f>
        <v>91274.5</v>
      </c>
      <c r="I378" s="322"/>
      <c r="K378" s="216"/>
    </row>
    <row r="379" spans="3:11">
      <c r="C379" s="59" t="s">
        <v>1232</v>
      </c>
      <c r="D379" s="70" t="s">
        <v>1410</v>
      </c>
      <c r="E379" s="71"/>
      <c r="F379" s="72"/>
      <c r="G379" s="96">
        <f>$M$7</f>
        <v>0.1</v>
      </c>
      <c r="H379" s="65">
        <f>H378*G379</f>
        <v>9127.4500000000007</v>
      </c>
      <c r="I379" s="322"/>
      <c r="K379" s="216"/>
    </row>
    <row r="380" spans="3:11">
      <c r="C380" s="59" t="s">
        <v>1233</v>
      </c>
      <c r="D380" s="70" t="s">
        <v>1234</v>
      </c>
      <c r="E380" s="71"/>
      <c r="F380" s="71"/>
      <c r="G380" s="72"/>
      <c r="H380" s="308">
        <f>SUM(H378:H379)</f>
        <v>100401.95</v>
      </c>
      <c r="I380" s="322"/>
      <c r="K380" s="216"/>
    </row>
    <row r="381" spans="3:11">
      <c r="C381" s="58"/>
      <c r="D381" s="82"/>
      <c r="E381" s="82"/>
      <c r="F381" s="82"/>
      <c r="G381" s="82"/>
      <c r="H381" s="83"/>
      <c r="K381" s="216"/>
    </row>
    <row r="382" spans="3:11">
      <c r="C382" s="316" t="s">
        <v>1833</v>
      </c>
      <c r="D382" s="318"/>
      <c r="E382" s="318"/>
      <c r="F382" s="318"/>
      <c r="G382" s="318"/>
      <c r="H382" s="318"/>
      <c r="I382" s="57">
        <f>ROUNDDOWN(H398,-2)</f>
        <v>135800</v>
      </c>
      <c r="K382" s="216"/>
    </row>
    <row r="383" spans="3:11" ht="28.5">
      <c r="C383" s="303" t="s">
        <v>1207</v>
      </c>
      <c r="D383" s="303" t="s">
        <v>1208</v>
      </c>
      <c r="E383" s="303" t="s">
        <v>1209</v>
      </c>
      <c r="F383" s="303" t="s">
        <v>1210</v>
      </c>
      <c r="G383" s="303" t="s">
        <v>1211</v>
      </c>
      <c r="H383" s="303" t="s">
        <v>1212</v>
      </c>
      <c r="K383" s="216"/>
    </row>
    <row r="384" spans="3:11">
      <c r="C384" s="305" t="s">
        <v>1213</v>
      </c>
      <c r="D384" s="60" t="s">
        <v>1214</v>
      </c>
      <c r="E384" s="74"/>
      <c r="F384" s="74"/>
      <c r="G384" s="74"/>
      <c r="H384" s="74"/>
      <c r="K384" s="216"/>
    </row>
    <row r="385" spans="3:11">
      <c r="C385" s="363">
        <v>1</v>
      </c>
      <c r="D385" s="60" t="s">
        <v>5</v>
      </c>
      <c r="E385" s="305" t="s">
        <v>6</v>
      </c>
      <c r="F385" s="184">
        <v>0.123</v>
      </c>
      <c r="G385" s="65">
        <f>VLOOKUP(D385,upahbahan,3,FALSE)</f>
        <v>100000</v>
      </c>
      <c r="H385" s="65">
        <f t="shared" ref="H385:H388" si="42">F385*G385</f>
        <v>12300</v>
      </c>
      <c r="K385" s="216"/>
    </row>
    <row r="386" spans="3:11">
      <c r="C386" s="363">
        <v>2</v>
      </c>
      <c r="D386" s="60" t="str">
        <f>D368</f>
        <v>Tukang pipa</v>
      </c>
      <c r="E386" s="305" t="s">
        <v>6</v>
      </c>
      <c r="F386" s="184">
        <v>0.20499999999999999</v>
      </c>
      <c r="G386" s="65">
        <f>VLOOKUP(D386,upahbahan,3,FALSE)</f>
        <v>145000</v>
      </c>
      <c r="H386" s="65">
        <f t="shared" si="42"/>
        <v>29725</v>
      </c>
      <c r="K386" s="216"/>
    </row>
    <row r="387" spans="3:11">
      <c r="C387" s="363">
        <v>3</v>
      </c>
      <c r="D387" s="60" t="s">
        <v>18</v>
      </c>
      <c r="E387" s="305" t="s">
        <v>6</v>
      </c>
      <c r="F387" s="184">
        <v>2.1000000000000001E-2</v>
      </c>
      <c r="G387" s="65">
        <f>VLOOKUP(D387,upahbahan,3,FALSE)</f>
        <v>150000</v>
      </c>
      <c r="H387" s="65">
        <f t="shared" si="42"/>
        <v>3150</v>
      </c>
      <c r="K387" s="216"/>
    </row>
    <row r="388" spans="3:11">
      <c r="C388" s="363">
        <v>4</v>
      </c>
      <c r="D388" s="60" t="s">
        <v>19</v>
      </c>
      <c r="E388" s="305" t="s">
        <v>6</v>
      </c>
      <c r="F388" s="184">
        <v>6.0000000000000001E-3</v>
      </c>
      <c r="G388" s="65">
        <f>VLOOKUP(D388,upahbahan,3,FALSE)</f>
        <v>145000</v>
      </c>
      <c r="H388" s="65">
        <f t="shared" si="42"/>
        <v>870</v>
      </c>
      <c r="K388" s="216"/>
    </row>
    <row r="389" spans="3:11">
      <c r="C389" s="84" t="s">
        <v>1220</v>
      </c>
      <c r="D389" s="81"/>
      <c r="E389" s="81"/>
      <c r="F389" s="220"/>
      <c r="G389" s="221"/>
      <c r="H389" s="65">
        <f>SUM(H385:H388)</f>
        <v>46045</v>
      </c>
      <c r="I389" s="222"/>
      <c r="K389" s="216"/>
    </row>
    <row r="390" spans="3:11">
      <c r="C390" s="305" t="s">
        <v>1221</v>
      </c>
      <c r="D390" s="60" t="s">
        <v>1222</v>
      </c>
      <c r="E390" s="74"/>
      <c r="F390" s="74"/>
      <c r="G390" s="74"/>
      <c r="H390" s="74"/>
      <c r="K390" s="216"/>
    </row>
    <row r="391" spans="3:11">
      <c r="C391" s="363">
        <v>1</v>
      </c>
      <c r="D391" s="60" t="s">
        <v>179</v>
      </c>
      <c r="E391" s="69" t="s">
        <v>114</v>
      </c>
      <c r="F391" s="230">
        <f>F373</f>
        <v>1.45</v>
      </c>
      <c r="G391" s="65">
        <f>VLOOKUP(D391,upahbahan,3,FALSE)</f>
        <v>39575</v>
      </c>
      <c r="H391" s="65">
        <f t="shared" ref="H391" si="43">F391*G391</f>
        <v>57383.75</v>
      </c>
      <c r="K391" s="216"/>
    </row>
    <row r="392" spans="3:11">
      <c r="C392" s="363">
        <v>2</v>
      </c>
      <c r="D392" s="78" t="s">
        <v>1813</v>
      </c>
      <c r="E392" s="74"/>
      <c r="F392" s="87">
        <f>F374</f>
        <v>0.35</v>
      </c>
      <c r="G392" s="74"/>
      <c r="H392" s="65">
        <f>F392*H391</f>
        <v>20084.3125</v>
      </c>
      <c r="K392" s="216"/>
    </row>
    <row r="393" spans="3:11">
      <c r="C393" s="84" t="s">
        <v>1226</v>
      </c>
      <c r="D393" s="81"/>
      <c r="E393" s="81"/>
      <c r="F393" s="81"/>
      <c r="G393" s="163"/>
      <c r="H393" s="65">
        <f>SUM(H391:H392)</f>
        <v>77468.0625</v>
      </c>
      <c r="K393" s="216"/>
    </row>
    <row r="394" spans="3:11">
      <c r="C394" s="73" t="s">
        <v>1227</v>
      </c>
      <c r="D394" s="60" t="s">
        <v>1228</v>
      </c>
      <c r="E394" s="74"/>
      <c r="F394" s="74"/>
      <c r="G394" s="74"/>
      <c r="H394" s="74"/>
      <c r="K394" s="216"/>
    </row>
    <row r="395" spans="3:11">
      <c r="C395" s="84" t="s">
        <v>1229</v>
      </c>
      <c r="D395" s="81"/>
      <c r="E395" s="81"/>
      <c r="F395" s="81"/>
      <c r="G395" s="163"/>
      <c r="H395" s="306">
        <v>0</v>
      </c>
      <c r="K395" s="216"/>
    </row>
    <row r="396" spans="3:11">
      <c r="C396" s="59" t="s">
        <v>1230</v>
      </c>
      <c r="D396" s="70" t="s">
        <v>1231</v>
      </c>
      <c r="E396" s="71"/>
      <c r="F396" s="71"/>
      <c r="G396" s="72"/>
      <c r="H396" s="307">
        <f>H395+H393+H389</f>
        <v>123513.0625</v>
      </c>
      <c r="I396" s="322"/>
      <c r="K396" s="216"/>
    </row>
    <row r="397" spans="3:11">
      <c r="C397" s="59" t="s">
        <v>1232</v>
      </c>
      <c r="D397" s="70" t="s">
        <v>1410</v>
      </c>
      <c r="E397" s="71"/>
      <c r="F397" s="72"/>
      <c r="G397" s="96">
        <f>$M$7</f>
        <v>0.1</v>
      </c>
      <c r="H397" s="65">
        <f>H396*G397</f>
        <v>12351.306250000001</v>
      </c>
      <c r="I397" s="322"/>
      <c r="K397" s="216"/>
    </row>
    <row r="398" spans="3:11">
      <c r="C398" s="59" t="s">
        <v>1233</v>
      </c>
      <c r="D398" s="70" t="s">
        <v>1234</v>
      </c>
      <c r="E398" s="71"/>
      <c r="F398" s="71"/>
      <c r="G398" s="72"/>
      <c r="H398" s="308">
        <f>SUM(H396:H397)</f>
        <v>135864.36874999999</v>
      </c>
      <c r="I398" s="322"/>
      <c r="K398" s="216"/>
    </row>
    <row r="399" spans="3:11">
      <c r="C399" s="58"/>
      <c r="D399" s="82"/>
      <c r="E399" s="82"/>
      <c r="F399" s="82"/>
      <c r="G399" s="82"/>
      <c r="H399" s="83"/>
      <c r="K399" s="216"/>
    </row>
    <row r="400" spans="3:11">
      <c r="C400" s="316" t="s">
        <v>1834</v>
      </c>
      <c r="D400" s="318"/>
      <c r="E400" s="318"/>
      <c r="F400" s="318"/>
      <c r="G400" s="318"/>
      <c r="H400" s="318"/>
      <c r="I400" s="57">
        <f>ROUNDDOWN(H416,-2)</f>
        <v>198700</v>
      </c>
      <c r="K400" s="216"/>
    </row>
    <row r="401" spans="3:11" ht="28.5">
      <c r="C401" s="303" t="s">
        <v>1207</v>
      </c>
      <c r="D401" s="303" t="s">
        <v>1208</v>
      </c>
      <c r="E401" s="303" t="s">
        <v>1209</v>
      </c>
      <c r="F401" s="303" t="s">
        <v>1210</v>
      </c>
      <c r="G401" s="303" t="s">
        <v>1211</v>
      </c>
      <c r="H401" s="303" t="s">
        <v>1212</v>
      </c>
      <c r="K401" s="216"/>
    </row>
    <row r="402" spans="3:11">
      <c r="C402" s="305" t="s">
        <v>1213</v>
      </c>
      <c r="D402" s="60" t="s">
        <v>1214</v>
      </c>
      <c r="E402" s="74"/>
      <c r="F402" s="74"/>
      <c r="G402" s="74"/>
      <c r="H402" s="74"/>
      <c r="K402" s="216"/>
    </row>
    <row r="403" spans="3:11">
      <c r="C403" s="363">
        <v>1</v>
      </c>
      <c r="D403" s="60" t="s">
        <v>5</v>
      </c>
      <c r="E403" s="305" t="s">
        <v>6</v>
      </c>
      <c r="F403" s="184">
        <v>0.152</v>
      </c>
      <c r="G403" s="65">
        <f>VLOOKUP(D403,upahbahan,3,FALSE)</f>
        <v>100000</v>
      </c>
      <c r="H403" s="65">
        <f t="shared" ref="H403:H406" si="44">F403*G403</f>
        <v>15200</v>
      </c>
      <c r="K403" s="216"/>
    </row>
    <row r="404" spans="3:11">
      <c r="C404" s="363">
        <v>2</v>
      </c>
      <c r="D404" s="60" t="str">
        <f>D386</f>
        <v>Tukang pipa</v>
      </c>
      <c r="E404" s="305" t="s">
        <v>6</v>
      </c>
      <c r="F404" s="184">
        <v>0.254</v>
      </c>
      <c r="G404" s="65">
        <f>VLOOKUP(D404,upahbahan,3,FALSE)</f>
        <v>145000</v>
      </c>
      <c r="H404" s="65">
        <f t="shared" si="44"/>
        <v>36830</v>
      </c>
      <c r="K404" s="216"/>
    </row>
    <row r="405" spans="3:11">
      <c r="C405" s="363">
        <v>3</v>
      </c>
      <c r="D405" s="60" t="s">
        <v>18</v>
      </c>
      <c r="E405" s="305" t="s">
        <v>6</v>
      </c>
      <c r="F405" s="184">
        <v>2.5000000000000001E-2</v>
      </c>
      <c r="G405" s="65">
        <f>VLOOKUP(D405,upahbahan,3,FALSE)</f>
        <v>150000</v>
      </c>
      <c r="H405" s="65">
        <f t="shared" si="44"/>
        <v>3750</v>
      </c>
      <c r="K405" s="216"/>
    </row>
    <row r="406" spans="3:11">
      <c r="C406" s="363">
        <v>4</v>
      </c>
      <c r="D406" s="60" t="s">
        <v>19</v>
      </c>
      <c r="E406" s="305" t="s">
        <v>6</v>
      </c>
      <c r="F406" s="184">
        <v>8.0000000000000002E-3</v>
      </c>
      <c r="G406" s="65">
        <f>VLOOKUP(D406,upahbahan,3,FALSE)</f>
        <v>145000</v>
      </c>
      <c r="H406" s="65">
        <f t="shared" si="44"/>
        <v>1160</v>
      </c>
      <c r="K406" s="216"/>
    </row>
    <row r="407" spans="3:11">
      <c r="C407" s="84" t="s">
        <v>1220</v>
      </c>
      <c r="D407" s="81"/>
      <c r="E407" s="81"/>
      <c r="F407" s="220"/>
      <c r="G407" s="221"/>
      <c r="H407" s="65">
        <f>SUM(H403:H406)</f>
        <v>56940</v>
      </c>
      <c r="I407" s="222"/>
      <c r="K407" s="216"/>
    </row>
    <row r="408" spans="3:11">
      <c r="C408" s="305" t="s">
        <v>1221</v>
      </c>
      <c r="D408" s="60" t="s">
        <v>1222</v>
      </c>
      <c r="E408" s="74"/>
      <c r="F408" s="74"/>
      <c r="G408" s="74"/>
      <c r="H408" s="74"/>
      <c r="K408" s="216"/>
    </row>
    <row r="409" spans="3:11">
      <c r="C409" s="363">
        <v>1</v>
      </c>
      <c r="D409" s="60" t="s">
        <v>180</v>
      </c>
      <c r="E409" s="69" t="s">
        <v>114</v>
      </c>
      <c r="F409" s="230">
        <f>F391</f>
        <v>1.45</v>
      </c>
      <c r="G409" s="65">
        <f>VLOOKUP(D409,upahbahan,3,FALSE)</f>
        <v>63200</v>
      </c>
      <c r="H409" s="65">
        <f t="shared" ref="H409" si="45">F409*G409</f>
        <v>91640</v>
      </c>
      <c r="K409" s="216"/>
    </row>
    <row r="410" spans="3:11">
      <c r="C410" s="363">
        <v>2</v>
      </c>
      <c r="D410" s="78" t="s">
        <v>1813</v>
      </c>
      <c r="E410" s="74"/>
      <c r="F410" s="87">
        <f>F392</f>
        <v>0.35</v>
      </c>
      <c r="G410" s="74"/>
      <c r="H410" s="65">
        <f>F410*H409</f>
        <v>32073.999999999996</v>
      </c>
      <c r="K410" s="216"/>
    </row>
    <row r="411" spans="3:11">
      <c r="C411" s="84" t="s">
        <v>1226</v>
      </c>
      <c r="D411" s="81"/>
      <c r="E411" s="81"/>
      <c r="F411" s="81"/>
      <c r="G411" s="163"/>
      <c r="H411" s="65">
        <f>SUM(H409:H410)</f>
        <v>123714</v>
      </c>
      <c r="K411" s="216"/>
    </row>
    <row r="412" spans="3:11">
      <c r="C412" s="73" t="s">
        <v>1227</v>
      </c>
      <c r="D412" s="60" t="s">
        <v>1228</v>
      </c>
      <c r="E412" s="74"/>
      <c r="F412" s="74"/>
      <c r="G412" s="74"/>
      <c r="H412" s="74"/>
      <c r="K412" s="216"/>
    </row>
    <row r="413" spans="3:11">
      <c r="C413" s="84" t="s">
        <v>1229</v>
      </c>
      <c r="D413" s="81"/>
      <c r="E413" s="81"/>
      <c r="F413" s="81"/>
      <c r="G413" s="163"/>
      <c r="H413" s="306">
        <v>0</v>
      </c>
      <c r="K413" s="216"/>
    </row>
    <row r="414" spans="3:11">
      <c r="C414" s="59" t="s">
        <v>1230</v>
      </c>
      <c r="D414" s="70" t="s">
        <v>1231</v>
      </c>
      <c r="E414" s="71"/>
      <c r="F414" s="71"/>
      <c r="G414" s="72"/>
      <c r="H414" s="307">
        <f>H413+H411+H407</f>
        <v>180654</v>
      </c>
      <c r="I414" s="322"/>
      <c r="K414" s="216"/>
    </row>
    <row r="415" spans="3:11">
      <c r="C415" s="59" t="s">
        <v>1232</v>
      </c>
      <c r="D415" s="70" t="s">
        <v>1410</v>
      </c>
      <c r="E415" s="71"/>
      <c r="F415" s="72"/>
      <c r="G415" s="96">
        <f>$M$7</f>
        <v>0.1</v>
      </c>
      <c r="H415" s="65">
        <f>H414*G415</f>
        <v>18065.400000000001</v>
      </c>
      <c r="I415" s="322"/>
      <c r="K415" s="216"/>
    </row>
    <row r="416" spans="3:11">
      <c r="C416" s="59" t="s">
        <v>1233</v>
      </c>
      <c r="D416" s="70" t="s">
        <v>1234</v>
      </c>
      <c r="E416" s="71"/>
      <c r="F416" s="71"/>
      <c r="G416" s="72"/>
      <c r="H416" s="308">
        <f>SUM(H414:H415)</f>
        <v>198719.4</v>
      </c>
      <c r="I416" s="322"/>
      <c r="K416" s="216"/>
    </row>
    <row r="417" spans="3:11">
      <c r="C417" s="58"/>
      <c r="D417" s="82"/>
      <c r="E417" s="82"/>
      <c r="F417" s="82"/>
      <c r="G417" s="82"/>
      <c r="H417" s="83"/>
      <c r="K417" s="216"/>
    </row>
    <row r="418" spans="3:11">
      <c r="C418" s="316" t="s">
        <v>1835</v>
      </c>
      <c r="D418" s="318"/>
      <c r="E418" s="318"/>
      <c r="F418" s="318"/>
      <c r="G418" s="318"/>
      <c r="H418" s="318"/>
      <c r="I418" s="57">
        <f>ROUNDDOWN(H434,-2)</f>
        <v>247200</v>
      </c>
      <c r="K418" s="216"/>
    </row>
    <row r="419" spans="3:11" ht="28.5">
      <c r="C419" s="303" t="s">
        <v>1207</v>
      </c>
      <c r="D419" s="303" t="s">
        <v>1208</v>
      </c>
      <c r="E419" s="303" t="s">
        <v>1209</v>
      </c>
      <c r="F419" s="303" t="s">
        <v>1210</v>
      </c>
      <c r="G419" s="303" t="s">
        <v>1211</v>
      </c>
      <c r="H419" s="303" t="s">
        <v>1212</v>
      </c>
      <c r="K419" s="216"/>
    </row>
    <row r="420" spans="3:11">
      <c r="C420" s="305" t="s">
        <v>1213</v>
      </c>
      <c r="D420" s="60" t="s">
        <v>1214</v>
      </c>
      <c r="E420" s="74"/>
      <c r="F420" s="74"/>
      <c r="G420" s="74"/>
      <c r="H420" s="74"/>
      <c r="K420" s="216"/>
    </row>
    <row r="421" spans="3:11">
      <c r="C421" s="363">
        <v>1</v>
      </c>
      <c r="D421" s="60" t="s">
        <v>5</v>
      </c>
      <c r="E421" s="305" t="s">
        <v>6</v>
      </c>
      <c r="F421" s="184">
        <v>0.183</v>
      </c>
      <c r="G421" s="65">
        <f>VLOOKUP(D421,upahbahan,3,FALSE)</f>
        <v>100000</v>
      </c>
      <c r="H421" s="65">
        <f t="shared" ref="H421:H424" si="46">F421*G421</f>
        <v>18300</v>
      </c>
      <c r="K421" s="216"/>
    </row>
    <row r="422" spans="3:11">
      <c r="C422" s="363">
        <v>2</v>
      </c>
      <c r="D422" s="60" t="str">
        <f>D404</f>
        <v>Tukang pipa</v>
      </c>
      <c r="E422" s="305" t="s">
        <v>6</v>
      </c>
      <c r="F422" s="184">
        <v>0.30599999999999999</v>
      </c>
      <c r="G422" s="65">
        <f>VLOOKUP(D422,upahbahan,3,FALSE)</f>
        <v>145000</v>
      </c>
      <c r="H422" s="65">
        <f t="shared" si="46"/>
        <v>44370</v>
      </c>
      <c r="K422" s="216"/>
    </row>
    <row r="423" spans="3:11">
      <c r="C423" s="363">
        <v>3</v>
      </c>
      <c r="D423" s="60" t="s">
        <v>18</v>
      </c>
      <c r="E423" s="305" t="s">
        <v>6</v>
      </c>
      <c r="F423" s="184">
        <v>3.1E-2</v>
      </c>
      <c r="G423" s="65">
        <f>VLOOKUP(D423,upahbahan,3,FALSE)</f>
        <v>150000</v>
      </c>
      <c r="H423" s="65">
        <f t="shared" si="46"/>
        <v>4650</v>
      </c>
      <c r="K423" s="216"/>
    </row>
    <row r="424" spans="3:11">
      <c r="C424" s="363">
        <v>4</v>
      </c>
      <c r="D424" s="60" t="s">
        <v>19</v>
      </c>
      <c r="E424" s="305" t="s">
        <v>6</v>
      </c>
      <c r="F424" s="184">
        <v>8.9999999999999993E-3</v>
      </c>
      <c r="G424" s="65">
        <f>VLOOKUP(D424,upahbahan,3,FALSE)</f>
        <v>145000</v>
      </c>
      <c r="H424" s="65">
        <f t="shared" si="46"/>
        <v>1305</v>
      </c>
      <c r="K424" s="216"/>
    </row>
    <row r="425" spans="3:11">
      <c r="C425" s="84" t="s">
        <v>1220</v>
      </c>
      <c r="D425" s="81"/>
      <c r="E425" s="81"/>
      <c r="F425" s="220"/>
      <c r="G425" s="221"/>
      <c r="H425" s="65">
        <f>SUM(H421:H424)</f>
        <v>68625</v>
      </c>
      <c r="I425" s="222"/>
      <c r="K425" s="216"/>
    </row>
    <row r="426" spans="3:11">
      <c r="C426" s="305" t="s">
        <v>1221</v>
      </c>
      <c r="D426" s="60" t="s">
        <v>1222</v>
      </c>
      <c r="E426" s="74"/>
      <c r="F426" s="74"/>
      <c r="G426" s="74"/>
      <c r="H426" s="74"/>
      <c r="K426" s="216"/>
    </row>
    <row r="427" spans="3:11">
      <c r="C427" s="363">
        <v>1</v>
      </c>
      <c r="D427" s="60" t="s">
        <v>181</v>
      </c>
      <c r="E427" s="69" t="s">
        <v>114</v>
      </c>
      <c r="F427" s="230">
        <f>F409</f>
        <v>1.45</v>
      </c>
      <c r="G427" s="65">
        <f>VLOOKUP(D427,upahbahan,3,FALSE)</f>
        <v>79775</v>
      </c>
      <c r="H427" s="65">
        <f t="shared" ref="H427" si="47">F427*G427</f>
        <v>115673.75</v>
      </c>
      <c r="K427" s="216"/>
    </row>
    <row r="428" spans="3:11">
      <c r="C428" s="363">
        <v>2</v>
      </c>
      <c r="D428" s="78" t="s">
        <v>1813</v>
      </c>
      <c r="E428" s="74"/>
      <c r="F428" s="87">
        <f>F410</f>
        <v>0.35</v>
      </c>
      <c r="G428" s="74"/>
      <c r="H428" s="65">
        <f>F428*H427</f>
        <v>40485.8125</v>
      </c>
      <c r="K428" s="216"/>
    </row>
    <row r="429" spans="3:11">
      <c r="C429" s="84" t="s">
        <v>1226</v>
      </c>
      <c r="D429" s="81"/>
      <c r="E429" s="81"/>
      <c r="F429" s="81"/>
      <c r="G429" s="163"/>
      <c r="H429" s="65">
        <f>SUM(H427:H428)</f>
        <v>156159.5625</v>
      </c>
      <c r="K429" s="216"/>
    </row>
    <row r="430" spans="3:11">
      <c r="C430" s="73" t="s">
        <v>1227</v>
      </c>
      <c r="D430" s="60" t="s">
        <v>1228</v>
      </c>
      <c r="E430" s="74"/>
      <c r="F430" s="74"/>
      <c r="G430" s="74"/>
      <c r="H430" s="74"/>
      <c r="K430" s="216"/>
    </row>
    <row r="431" spans="3:11">
      <c r="C431" s="84" t="s">
        <v>1229</v>
      </c>
      <c r="D431" s="81"/>
      <c r="E431" s="81"/>
      <c r="F431" s="81"/>
      <c r="G431" s="163"/>
      <c r="H431" s="306">
        <v>0</v>
      </c>
      <c r="K431" s="216"/>
    </row>
    <row r="432" spans="3:11">
      <c r="C432" s="59" t="s">
        <v>1230</v>
      </c>
      <c r="D432" s="70" t="s">
        <v>1231</v>
      </c>
      <c r="E432" s="71"/>
      <c r="F432" s="71"/>
      <c r="G432" s="72"/>
      <c r="H432" s="307">
        <f>H431+H429+H425</f>
        <v>224784.5625</v>
      </c>
      <c r="I432" s="322"/>
      <c r="K432" s="216"/>
    </row>
    <row r="433" spans="3:11">
      <c r="C433" s="59" t="s">
        <v>1232</v>
      </c>
      <c r="D433" s="70" t="s">
        <v>1410</v>
      </c>
      <c r="E433" s="71"/>
      <c r="F433" s="72"/>
      <c r="G433" s="96">
        <f>$M$7</f>
        <v>0.1</v>
      </c>
      <c r="H433" s="65">
        <f>H432*G433</f>
        <v>22478.456250000003</v>
      </c>
      <c r="I433" s="322"/>
      <c r="K433" s="216"/>
    </row>
    <row r="434" spans="3:11">
      <c r="C434" s="59" t="s">
        <v>1233</v>
      </c>
      <c r="D434" s="70" t="s">
        <v>1234</v>
      </c>
      <c r="E434" s="71"/>
      <c r="F434" s="71"/>
      <c r="G434" s="72"/>
      <c r="H434" s="308">
        <f>SUM(H432:H433)</f>
        <v>247263.01874999999</v>
      </c>
      <c r="I434" s="322"/>
      <c r="K434" s="216"/>
    </row>
    <row r="435" spans="3:11">
      <c r="C435" s="58"/>
      <c r="D435" s="82"/>
      <c r="E435" s="82"/>
      <c r="F435" s="82"/>
      <c r="G435" s="82"/>
      <c r="H435" s="83"/>
      <c r="K435" s="216"/>
    </row>
    <row r="436" spans="3:11">
      <c r="C436" s="316" t="s">
        <v>1836</v>
      </c>
      <c r="D436" s="318"/>
      <c r="E436" s="318"/>
      <c r="F436" s="318"/>
      <c r="G436" s="318"/>
      <c r="H436" s="318"/>
      <c r="I436" s="57">
        <f>ROUNDDOWN(H452,-2)</f>
        <v>401800</v>
      </c>
      <c r="K436" s="216"/>
    </row>
    <row r="437" spans="3:11" ht="28.5">
      <c r="C437" s="303" t="s">
        <v>1207</v>
      </c>
      <c r="D437" s="303" t="s">
        <v>1208</v>
      </c>
      <c r="E437" s="303" t="s">
        <v>1209</v>
      </c>
      <c r="F437" s="303" t="s">
        <v>1210</v>
      </c>
      <c r="G437" s="303" t="s">
        <v>1211</v>
      </c>
      <c r="H437" s="303" t="s">
        <v>1212</v>
      </c>
      <c r="K437" s="216"/>
    </row>
    <row r="438" spans="3:11">
      <c r="C438" s="305" t="s">
        <v>1213</v>
      </c>
      <c r="D438" s="60" t="s">
        <v>1214</v>
      </c>
      <c r="E438" s="74"/>
      <c r="F438" s="74"/>
      <c r="G438" s="74"/>
      <c r="H438" s="74"/>
      <c r="K438" s="216"/>
    </row>
    <row r="439" spans="3:11">
      <c r="C439" s="363">
        <v>1</v>
      </c>
      <c r="D439" s="60" t="s">
        <v>5</v>
      </c>
      <c r="E439" s="305" t="s">
        <v>6</v>
      </c>
      <c r="F439" s="184">
        <v>0.246</v>
      </c>
      <c r="G439" s="65">
        <f>VLOOKUP(D439,upahbahan,3,FALSE)</f>
        <v>100000</v>
      </c>
      <c r="H439" s="65">
        <f t="shared" ref="H439:H442" si="48">F439*G439</f>
        <v>24600</v>
      </c>
      <c r="K439" s="216"/>
    </row>
    <row r="440" spans="3:11">
      <c r="C440" s="363">
        <v>2</v>
      </c>
      <c r="D440" s="60" t="str">
        <f>D422</f>
        <v>Tukang pipa</v>
      </c>
      <c r="E440" s="305" t="s">
        <v>6</v>
      </c>
      <c r="F440" s="184">
        <v>0.41099999999999998</v>
      </c>
      <c r="G440" s="65">
        <f>VLOOKUP(D440,upahbahan,3,FALSE)</f>
        <v>145000</v>
      </c>
      <c r="H440" s="65">
        <f t="shared" si="48"/>
        <v>59595</v>
      </c>
      <c r="K440" s="216"/>
    </row>
    <row r="441" spans="3:11">
      <c r="C441" s="363">
        <v>3</v>
      </c>
      <c r="D441" s="60" t="s">
        <v>18</v>
      </c>
      <c r="E441" s="305" t="s">
        <v>6</v>
      </c>
      <c r="F441" s="184">
        <v>4.1000000000000002E-2</v>
      </c>
      <c r="G441" s="65">
        <f>VLOOKUP(D441,upahbahan,3,FALSE)</f>
        <v>150000</v>
      </c>
      <c r="H441" s="65">
        <f t="shared" si="48"/>
        <v>6150</v>
      </c>
      <c r="K441" s="216"/>
    </row>
    <row r="442" spans="3:11">
      <c r="C442" s="363">
        <v>4</v>
      </c>
      <c r="D442" s="60" t="s">
        <v>19</v>
      </c>
      <c r="E442" s="305" t="s">
        <v>6</v>
      </c>
      <c r="F442" s="184">
        <v>1.2E-2</v>
      </c>
      <c r="G442" s="65">
        <f>VLOOKUP(D442,upahbahan,3,FALSE)</f>
        <v>145000</v>
      </c>
      <c r="H442" s="65">
        <f t="shared" si="48"/>
        <v>1740</v>
      </c>
      <c r="K442" s="216"/>
    </row>
    <row r="443" spans="3:11">
      <c r="C443" s="84" t="s">
        <v>1220</v>
      </c>
      <c r="D443" s="81"/>
      <c r="E443" s="81"/>
      <c r="F443" s="220"/>
      <c r="G443" s="221"/>
      <c r="H443" s="65">
        <f>SUM(H439:H442)</f>
        <v>92085</v>
      </c>
      <c r="I443" s="222"/>
      <c r="K443" s="216"/>
    </row>
    <row r="444" spans="3:11">
      <c r="C444" s="305" t="s">
        <v>1221</v>
      </c>
      <c r="D444" s="60" t="s">
        <v>1222</v>
      </c>
      <c r="E444" s="74"/>
      <c r="F444" s="74"/>
      <c r="G444" s="74"/>
      <c r="H444" s="74"/>
      <c r="K444" s="216"/>
    </row>
    <row r="445" spans="3:11">
      <c r="C445" s="363">
        <v>1</v>
      </c>
      <c r="D445" s="60" t="s">
        <v>182</v>
      </c>
      <c r="E445" s="69" t="s">
        <v>114</v>
      </c>
      <c r="F445" s="230">
        <f>F427</f>
        <v>1.45</v>
      </c>
      <c r="G445" s="65">
        <f>VLOOKUP(D445,upahbahan,3,FALSE)</f>
        <v>139575</v>
      </c>
      <c r="H445" s="65">
        <f t="shared" ref="H445" si="49">F445*G445</f>
        <v>202383.75</v>
      </c>
      <c r="K445" s="216"/>
    </row>
    <row r="446" spans="3:11">
      <c r="C446" s="363">
        <v>2</v>
      </c>
      <c r="D446" s="78" t="s">
        <v>1813</v>
      </c>
      <c r="E446" s="74"/>
      <c r="F446" s="87">
        <f>F428</f>
        <v>0.35</v>
      </c>
      <c r="G446" s="74"/>
      <c r="H446" s="65">
        <f>F446*H445</f>
        <v>70834.3125</v>
      </c>
      <c r="K446" s="216"/>
    </row>
    <row r="447" spans="3:11">
      <c r="C447" s="84" t="s">
        <v>1226</v>
      </c>
      <c r="D447" s="81"/>
      <c r="E447" s="81"/>
      <c r="F447" s="81"/>
      <c r="G447" s="163"/>
      <c r="H447" s="65">
        <f>SUM(H445:H446)</f>
        <v>273218.0625</v>
      </c>
      <c r="K447" s="216"/>
    </row>
    <row r="448" spans="3:11">
      <c r="C448" s="73" t="s">
        <v>1227</v>
      </c>
      <c r="D448" s="60" t="s">
        <v>1228</v>
      </c>
      <c r="E448" s="74"/>
      <c r="F448" s="74"/>
      <c r="G448" s="74"/>
      <c r="H448" s="74"/>
      <c r="K448" s="216"/>
    </row>
    <row r="449" spans="3:11">
      <c r="C449" s="84" t="s">
        <v>1229</v>
      </c>
      <c r="D449" s="81"/>
      <c r="E449" s="81"/>
      <c r="F449" s="81"/>
      <c r="G449" s="163"/>
      <c r="H449" s="306">
        <v>0</v>
      </c>
      <c r="K449" s="216"/>
    </row>
    <row r="450" spans="3:11">
      <c r="C450" s="59" t="s">
        <v>1230</v>
      </c>
      <c r="D450" s="70" t="s">
        <v>1231</v>
      </c>
      <c r="E450" s="71"/>
      <c r="F450" s="71"/>
      <c r="G450" s="72"/>
      <c r="H450" s="307">
        <f>H449+H447+H443</f>
        <v>365303.0625</v>
      </c>
      <c r="I450" s="322"/>
      <c r="K450" s="216"/>
    </row>
    <row r="451" spans="3:11">
      <c r="C451" s="59" t="s">
        <v>1232</v>
      </c>
      <c r="D451" s="70" t="s">
        <v>1410</v>
      </c>
      <c r="E451" s="71"/>
      <c r="F451" s="72"/>
      <c r="G451" s="96">
        <f>$M$7</f>
        <v>0.1</v>
      </c>
      <c r="H451" s="65">
        <f>H450*G451</f>
        <v>36530.306250000001</v>
      </c>
      <c r="I451" s="322"/>
      <c r="K451" s="216"/>
    </row>
    <row r="452" spans="3:11">
      <c r="C452" s="59" t="s">
        <v>1233</v>
      </c>
      <c r="D452" s="70" t="s">
        <v>1234</v>
      </c>
      <c r="E452" s="71"/>
      <c r="F452" s="71"/>
      <c r="G452" s="72"/>
      <c r="H452" s="308">
        <f>SUM(H450:H451)</f>
        <v>401833.36875000002</v>
      </c>
      <c r="I452" s="322"/>
      <c r="K452" s="216"/>
    </row>
    <row r="453" spans="3:11">
      <c r="C453" s="58"/>
      <c r="D453" s="82"/>
      <c r="E453" s="82"/>
      <c r="F453" s="82"/>
      <c r="G453" s="82"/>
      <c r="H453" s="83"/>
      <c r="K453" s="216"/>
    </row>
    <row r="454" spans="3:11">
      <c r="C454" s="316" t="s">
        <v>1837</v>
      </c>
      <c r="D454" s="318"/>
      <c r="E454" s="318"/>
      <c r="F454" s="318"/>
      <c r="G454" s="318"/>
      <c r="H454" s="318"/>
      <c r="I454" s="57">
        <f>ROUNDDOWN(H470,-2)</f>
        <v>627400</v>
      </c>
      <c r="K454" s="216"/>
    </row>
    <row r="455" spans="3:11" ht="28.5">
      <c r="C455" s="303" t="s">
        <v>1207</v>
      </c>
      <c r="D455" s="303" t="s">
        <v>1208</v>
      </c>
      <c r="E455" s="303" t="s">
        <v>1209</v>
      </c>
      <c r="F455" s="303" t="s">
        <v>1210</v>
      </c>
      <c r="G455" s="303" t="s">
        <v>1211</v>
      </c>
      <c r="H455" s="303" t="s">
        <v>1212</v>
      </c>
      <c r="K455" s="216"/>
    </row>
    <row r="456" spans="3:11">
      <c r="C456" s="305" t="s">
        <v>1213</v>
      </c>
      <c r="D456" s="60" t="s">
        <v>1214</v>
      </c>
      <c r="E456" s="74"/>
      <c r="F456" s="74"/>
      <c r="G456" s="74"/>
      <c r="H456" s="74"/>
      <c r="K456" s="216"/>
    </row>
    <row r="457" spans="3:11">
      <c r="C457" s="363">
        <v>1</v>
      </c>
      <c r="D457" s="60" t="s">
        <v>5</v>
      </c>
      <c r="E457" s="305" t="s">
        <v>6</v>
      </c>
      <c r="F457" s="184">
        <v>0.30599999999999999</v>
      </c>
      <c r="G457" s="65">
        <f>VLOOKUP(D457,upahbahan,3,FALSE)</f>
        <v>100000</v>
      </c>
      <c r="H457" s="65">
        <f t="shared" ref="H457:H460" si="50">F457*G457</f>
        <v>30600</v>
      </c>
      <c r="K457" s="216"/>
    </row>
    <row r="458" spans="3:11">
      <c r="C458" s="363">
        <v>2</v>
      </c>
      <c r="D458" s="60" t="str">
        <f>D440</f>
        <v>Tukang pipa</v>
      </c>
      <c r="E458" s="305" t="s">
        <v>6</v>
      </c>
      <c r="F458" s="184">
        <v>0.51100000000000001</v>
      </c>
      <c r="G458" s="65">
        <f>VLOOKUP(D458,upahbahan,3,FALSE)</f>
        <v>145000</v>
      </c>
      <c r="H458" s="65">
        <f t="shared" si="50"/>
        <v>74095</v>
      </c>
      <c r="K458" s="216"/>
    </row>
    <row r="459" spans="3:11">
      <c r="C459" s="363">
        <v>3</v>
      </c>
      <c r="D459" s="60" t="s">
        <v>18</v>
      </c>
      <c r="E459" s="305" t="s">
        <v>6</v>
      </c>
      <c r="F459" s="184">
        <v>5.0999999999999997E-2</v>
      </c>
      <c r="G459" s="65">
        <f>VLOOKUP(D459,upahbahan,3,FALSE)</f>
        <v>150000</v>
      </c>
      <c r="H459" s="65">
        <f t="shared" si="50"/>
        <v>7649.9999999999991</v>
      </c>
      <c r="K459" s="216"/>
    </row>
    <row r="460" spans="3:11">
      <c r="C460" s="363">
        <v>4</v>
      </c>
      <c r="D460" s="60" t="s">
        <v>19</v>
      </c>
      <c r="E460" s="305" t="s">
        <v>6</v>
      </c>
      <c r="F460" s="184">
        <v>1.4999999999999999E-2</v>
      </c>
      <c r="G460" s="65">
        <f>VLOOKUP(D460,upahbahan,3,FALSE)</f>
        <v>145000</v>
      </c>
      <c r="H460" s="65">
        <f t="shared" si="50"/>
        <v>2175</v>
      </c>
      <c r="K460" s="216"/>
    </row>
    <row r="461" spans="3:11">
      <c r="C461" s="84" t="s">
        <v>1220</v>
      </c>
      <c r="D461" s="81"/>
      <c r="E461" s="81"/>
      <c r="F461" s="220"/>
      <c r="G461" s="221"/>
      <c r="H461" s="65">
        <f>SUM(H457:H460)</f>
        <v>114520</v>
      </c>
      <c r="I461" s="222"/>
      <c r="K461" s="216"/>
    </row>
    <row r="462" spans="3:11">
      <c r="C462" s="305" t="s">
        <v>1221</v>
      </c>
      <c r="D462" s="60" t="s">
        <v>1222</v>
      </c>
      <c r="E462" s="74"/>
      <c r="F462" s="74"/>
      <c r="G462" s="74"/>
      <c r="H462" s="74"/>
      <c r="K462" s="216"/>
    </row>
    <row r="463" spans="3:11">
      <c r="C463" s="363">
        <v>1</v>
      </c>
      <c r="D463" s="60" t="s">
        <v>170</v>
      </c>
      <c r="E463" s="69" t="s">
        <v>114</v>
      </c>
      <c r="F463" s="230">
        <f>F445</f>
        <v>1.45</v>
      </c>
      <c r="G463" s="65">
        <f>VLOOKUP(D463,upahbahan,3,FALSE)</f>
        <v>232900</v>
      </c>
      <c r="H463" s="65">
        <f t="shared" ref="H463" si="51">F463*G463</f>
        <v>337705</v>
      </c>
      <c r="K463" s="216"/>
    </row>
    <row r="464" spans="3:11">
      <c r="C464" s="363">
        <v>2</v>
      </c>
      <c r="D464" s="78" t="s">
        <v>1813</v>
      </c>
      <c r="E464" s="74"/>
      <c r="F464" s="87">
        <f>F446</f>
        <v>0.35</v>
      </c>
      <c r="G464" s="74"/>
      <c r="H464" s="65">
        <f>F464*H463</f>
        <v>118196.74999999999</v>
      </c>
      <c r="K464" s="216"/>
    </row>
    <row r="465" spans="3:11">
      <c r="C465" s="84" t="s">
        <v>1226</v>
      </c>
      <c r="D465" s="81"/>
      <c r="E465" s="81"/>
      <c r="F465" s="81"/>
      <c r="G465" s="163"/>
      <c r="H465" s="65">
        <f>SUM(H463:H464)</f>
        <v>455901.75</v>
      </c>
      <c r="K465" s="216"/>
    </row>
    <row r="466" spans="3:11">
      <c r="C466" s="73" t="s">
        <v>1227</v>
      </c>
      <c r="D466" s="60" t="s">
        <v>1228</v>
      </c>
      <c r="E466" s="74"/>
      <c r="F466" s="74"/>
      <c r="G466" s="74"/>
      <c r="H466" s="74"/>
      <c r="K466" s="216"/>
    </row>
    <row r="467" spans="3:11">
      <c r="C467" s="84" t="s">
        <v>1229</v>
      </c>
      <c r="D467" s="81"/>
      <c r="E467" s="81"/>
      <c r="F467" s="81"/>
      <c r="G467" s="163"/>
      <c r="H467" s="306">
        <v>0</v>
      </c>
      <c r="K467" s="216"/>
    </row>
    <row r="468" spans="3:11">
      <c r="C468" s="59" t="s">
        <v>1230</v>
      </c>
      <c r="D468" s="70" t="s">
        <v>1231</v>
      </c>
      <c r="E468" s="71"/>
      <c r="F468" s="71"/>
      <c r="G468" s="72"/>
      <c r="H468" s="307">
        <f>H467+H465+H461</f>
        <v>570421.75</v>
      </c>
      <c r="I468" s="322"/>
      <c r="K468" s="216"/>
    </row>
    <row r="469" spans="3:11">
      <c r="C469" s="59" t="s">
        <v>1232</v>
      </c>
      <c r="D469" s="70" t="s">
        <v>1410</v>
      </c>
      <c r="E469" s="71"/>
      <c r="F469" s="72"/>
      <c r="G469" s="96">
        <f>$M$7</f>
        <v>0.1</v>
      </c>
      <c r="H469" s="65">
        <f>H468*G469</f>
        <v>57042.175000000003</v>
      </c>
      <c r="I469" s="322"/>
      <c r="K469" s="216"/>
    </row>
    <row r="470" spans="3:11">
      <c r="C470" s="59" t="s">
        <v>1233</v>
      </c>
      <c r="D470" s="70" t="s">
        <v>1234</v>
      </c>
      <c r="E470" s="71"/>
      <c r="F470" s="71"/>
      <c r="G470" s="72"/>
      <c r="H470" s="308">
        <f>SUM(H468:H469)</f>
        <v>627463.92500000005</v>
      </c>
      <c r="I470" s="322"/>
      <c r="K470" s="216"/>
    </row>
    <row r="471" spans="3:11">
      <c r="C471" s="58"/>
      <c r="D471" s="82"/>
      <c r="E471" s="82"/>
      <c r="F471" s="82"/>
      <c r="G471" s="82"/>
      <c r="H471" s="83"/>
      <c r="K471" s="216"/>
    </row>
    <row r="472" spans="3:11">
      <c r="C472" s="316" t="s">
        <v>1838</v>
      </c>
      <c r="D472" s="318"/>
      <c r="E472" s="318"/>
      <c r="F472" s="318"/>
      <c r="G472" s="318"/>
      <c r="H472" s="318"/>
      <c r="I472" s="57">
        <f>ROUNDDOWN(H488,-2)</f>
        <v>839500</v>
      </c>
      <c r="K472" s="216"/>
    </row>
    <row r="473" spans="3:11" ht="28.5">
      <c r="C473" s="303" t="s">
        <v>1207</v>
      </c>
      <c r="D473" s="303" t="s">
        <v>1208</v>
      </c>
      <c r="E473" s="303" t="s">
        <v>1209</v>
      </c>
      <c r="F473" s="303" t="s">
        <v>1210</v>
      </c>
      <c r="G473" s="303" t="s">
        <v>1211</v>
      </c>
      <c r="H473" s="303" t="s">
        <v>1212</v>
      </c>
      <c r="K473" s="216"/>
    </row>
    <row r="474" spans="3:11">
      <c r="C474" s="305" t="s">
        <v>1213</v>
      </c>
      <c r="D474" s="60" t="s">
        <v>1214</v>
      </c>
      <c r="E474" s="74"/>
      <c r="F474" s="74"/>
      <c r="G474" s="74"/>
      <c r="H474" s="74"/>
      <c r="K474" s="216"/>
    </row>
    <row r="475" spans="3:11">
      <c r="C475" s="363">
        <v>1</v>
      </c>
      <c r="D475" s="60" t="s">
        <v>5</v>
      </c>
      <c r="E475" s="305" t="s">
        <v>6</v>
      </c>
      <c r="F475" s="184">
        <v>0.36699999999999999</v>
      </c>
      <c r="G475" s="65">
        <f>VLOOKUP(D475,upahbahan,3,FALSE)</f>
        <v>100000</v>
      </c>
      <c r="H475" s="65">
        <f t="shared" ref="H475:H478" si="52">F475*G475</f>
        <v>36700</v>
      </c>
      <c r="K475" s="216"/>
    </row>
    <row r="476" spans="3:11">
      <c r="C476" s="363">
        <v>2</v>
      </c>
      <c r="D476" s="60" t="str">
        <f>D458</f>
        <v>Tukang pipa</v>
      </c>
      <c r="E476" s="305" t="s">
        <v>6</v>
      </c>
      <c r="F476" s="184">
        <v>0.61299999999999999</v>
      </c>
      <c r="G476" s="65">
        <f>VLOOKUP(D476,upahbahan,3,FALSE)</f>
        <v>145000</v>
      </c>
      <c r="H476" s="65">
        <f t="shared" si="52"/>
        <v>88885</v>
      </c>
      <c r="K476" s="216"/>
    </row>
    <row r="477" spans="3:11">
      <c r="C477" s="363">
        <v>3</v>
      </c>
      <c r="D477" s="60" t="s">
        <v>18</v>
      </c>
      <c r="E477" s="305" t="s">
        <v>6</v>
      </c>
      <c r="F477" s="184">
        <v>6.0999999999999999E-2</v>
      </c>
      <c r="G477" s="65">
        <f>VLOOKUP(D477,upahbahan,3,FALSE)</f>
        <v>150000</v>
      </c>
      <c r="H477" s="65">
        <f t="shared" si="52"/>
        <v>9150</v>
      </c>
      <c r="K477" s="216"/>
    </row>
    <row r="478" spans="3:11">
      <c r="C478" s="363">
        <v>4</v>
      </c>
      <c r="D478" s="60" t="s">
        <v>19</v>
      </c>
      <c r="E478" s="305" t="s">
        <v>6</v>
      </c>
      <c r="F478" s="184">
        <v>1.7999999999999999E-2</v>
      </c>
      <c r="G478" s="65">
        <f>VLOOKUP(D478,upahbahan,3,FALSE)</f>
        <v>145000</v>
      </c>
      <c r="H478" s="65">
        <f t="shared" si="52"/>
        <v>2610</v>
      </c>
      <c r="K478" s="216"/>
    </row>
    <row r="479" spans="3:11">
      <c r="C479" s="84" t="s">
        <v>1220</v>
      </c>
      <c r="D479" s="81"/>
      <c r="E479" s="81"/>
      <c r="F479" s="220"/>
      <c r="G479" s="221"/>
      <c r="H479" s="65">
        <f>SUM(H475:H478)</f>
        <v>137345</v>
      </c>
      <c r="I479" s="222"/>
      <c r="K479" s="216"/>
    </row>
    <row r="480" spans="3:11">
      <c r="C480" s="305" t="s">
        <v>1221</v>
      </c>
      <c r="D480" s="60" t="s">
        <v>1222</v>
      </c>
      <c r="E480" s="74"/>
      <c r="F480" s="74"/>
      <c r="G480" s="74"/>
      <c r="H480" s="74"/>
      <c r="K480" s="216"/>
    </row>
    <row r="481" spans="3:11">
      <c r="C481" s="363">
        <v>1</v>
      </c>
      <c r="D481" s="60" t="s">
        <v>173</v>
      </c>
      <c r="E481" s="69" t="s">
        <v>114</v>
      </c>
      <c r="F481" s="230">
        <f>F463</f>
        <v>1.45</v>
      </c>
      <c r="G481" s="65">
        <f>VLOOKUP(D481,upahbahan,3,FALSE)</f>
        <v>319750</v>
      </c>
      <c r="H481" s="65">
        <f t="shared" ref="H481" si="53">F481*G481</f>
        <v>463637.5</v>
      </c>
      <c r="K481" s="216"/>
    </row>
    <row r="482" spans="3:11">
      <c r="C482" s="363">
        <v>2</v>
      </c>
      <c r="D482" s="78" t="s">
        <v>1813</v>
      </c>
      <c r="E482" s="74"/>
      <c r="F482" s="87">
        <f>F464</f>
        <v>0.35</v>
      </c>
      <c r="G482" s="74"/>
      <c r="H482" s="65">
        <f>F482*H481</f>
        <v>162273.125</v>
      </c>
      <c r="K482" s="216"/>
    </row>
    <row r="483" spans="3:11">
      <c r="C483" s="84" t="s">
        <v>1226</v>
      </c>
      <c r="D483" s="81"/>
      <c r="E483" s="81"/>
      <c r="F483" s="81"/>
      <c r="G483" s="163"/>
      <c r="H483" s="65">
        <f>SUM(H481:H482)</f>
        <v>625910.625</v>
      </c>
      <c r="K483" s="216"/>
    </row>
    <row r="484" spans="3:11">
      <c r="C484" s="73" t="s">
        <v>1227</v>
      </c>
      <c r="D484" s="60" t="s">
        <v>1228</v>
      </c>
      <c r="E484" s="74"/>
      <c r="F484" s="74"/>
      <c r="G484" s="74"/>
      <c r="H484" s="74"/>
      <c r="K484" s="216"/>
    </row>
    <row r="485" spans="3:11">
      <c r="C485" s="84" t="s">
        <v>1229</v>
      </c>
      <c r="D485" s="81"/>
      <c r="E485" s="81"/>
      <c r="F485" s="81"/>
      <c r="G485" s="163"/>
      <c r="H485" s="306">
        <v>0</v>
      </c>
      <c r="K485" s="216"/>
    </row>
    <row r="486" spans="3:11">
      <c r="C486" s="59" t="s">
        <v>1230</v>
      </c>
      <c r="D486" s="70" t="s">
        <v>1231</v>
      </c>
      <c r="E486" s="71"/>
      <c r="F486" s="71"/>
      <c r="G486" s="72"/>
      <c r="H486" s="307">
        <f>H485+H483+H479</f>
        <v>763255.625</v>
      </c>
      <c r="I486" s="322"/>
      <c r="K486" s="216"/>
    </row>
    <row r="487" spans="3:11">
      <c r="C487" s="59" t="s">
        <v>1232</v>
      </c>
      <c r="D487" s="70" t="s">
        <v>1410</v>
      </c>
      <c r="E487" s="71"/>
      <c r="F487" s="72"/>
      <c r="G487" s="96">
        <f>$M$7</f>
        <v>0.1</v>
      </c>
      <c r="H487" s="65">
        <f>H486*G487</f>
        <v>76325.5625</v>
      </c>
      <c r="I487" s="322"/>
      <c r="K487" s="216"/>
    </row>
    <row r="488" spans="3:11">
      <c r="C488" s="59" t="s">
        <v>1233</v>
      </c>
      <c r="D488" s="70" t="s">
        <v>1234</v>
      </c>
      <c r="E488" s="71"/>
      <c r="F488" s="71"/>
      <c r="G488" s="72"/>
      <c r="H488" s="308">
        <f>SUM(H486:H487)</f>
        <v>839581.1875</v>
      </c>
      <c r="I488" s="322"/>
      <c r="K488" s="216"/>
    </row>
    <row r="489" spans="3:11">
      <c r="C489" s="58"/>
      <c r="D489" s="82"/>
      <c r="E489" s="82"/>
      <c r="F489" s="82"/>
      <c r="G489" s="82"/>
      <c r="H489" s="83"/>
      <c r="K489" s="216"/>
    </row>
    <row r="490" spans="3:11">
      <c r="C490" s="316" t="s">
        <v>1839</v>
      </c>
      <c r="D490" s="318"/>
      <c r="E490" s="318"/>
      <c r="F490" s="318"/>
      <c r="G490" s="318"/>
      <c r="H490" s="318"/>
      <c r="I490" s="57">
        <f>ROUNDDOWN(H506,-2)</f>
        <v>875500</v>
      </c>
      <c r="K490" s="216"/>
    </row>
    <row r="491" spans="3:11" ht="28.5">
      <c r="C491" s="303" t="s">
        <v>1207</v>
      </c>
      <c r="D491" s="303" t="s">
        <v>1208</v>
      </c>
      <c r="E491" s="303" t="s">
        <v>1209</v>
      </c>
      <c r="F491" s="303" t="s">
        <v>1210</v>
      </c>
      <c r="G491" s="303" t="s">
        <v>1211</v>
      </c>
      <c r="H491" s="303" t="s">
        <v>1212</v>
      </c>
      <c r="K491" s="216"/>
    </row>
    <row r="492" spans="3:11">
      <c r="C492" s="305" t="s">
        <v>1213</v>
      </c>
      <c r="D492" s="60" t="s">
        <v>1214</v>
      </c>
      <c r="E492" s="74"/>
      <c r="F492" s="74"/>
      <c r="G492" s="74"/>
      <c r="H492" s="74"/>
      <c r="K492" s="216"/>
    </row>
    <row r="493" spans="3:11">
      <c r="C493" s="363">
        <v>1</v>
      </c>
      <c r="D493" s="60" t="s">
        <v>5</v>
      </c>
      <c r="E493" s="305" t="s">
        <v>6</v>
      </c>
      <c r="F493" s="184">
        <v>0.42699999999999999</v>
      </c>
      <c r="G493" s="65">
        <f>VLOOKUP(D493,upahbahan,3,FALSE)</f>
        <v>100000</v>
      </c>
      <c r="H493" s="65">
        <f t="shared" ref="H493:H496" si="54">F493*G493</f>
        <v>42700</v>
      </c>
      <c r="K493" s="216"/>
    </row>
    <row r="494" spans="3:11">
      <c r="C494" s="363">
        <v>2</v>
      </c>
      <c r="D494" s="60" t="str">
        <f>D476</f>
        <v>Tukang pipa</v>
      </c>
      <c r="E494" s="305" t="s">
        <v>6</v>
      </c>
      <c r="F494" s="184">
        <v>0.71299999999999997</v>
      </c>
      <c r="G494" s="65">
        <f>VLOOKUP(D494,upahbahan,3,FALSE)</f>
        <v>145000</v>
      </c>
      <c r="H494" s="65">
        <f t="shared" si="54"/>
        <v>103385</v>
      </c>
      <c r="K494" s="216"/>
    </row>
    <row r="495" spans="3:11">
      <c r="C495" s="363">
        <v>3</v>
      </c>
      <c r="D495" s="60" t="s">
        <v>18</v>
      </c>
      <c r="E495" s="305" t="s">
        <v>6</v>
      </c>
      <c r="F495" s="184">
        <v>7.0999999999999994E-2</v>
      </c>
      <c r="G495" s="65">
        <f>VLOOKUP(D495,upahbahan,3,FALSE)</f>
        <v>150000</v>
      </c>
      <c r="H495" s="65">
        <f t="shared" si="54"/>
        <v>10649.999999999998</v>
      </c>
      <c r="K495" s="216"/>
    </row>
    <row r="496" spans="3:11">
      <c r="C496" s="363">
        <v>4</v>
      </c>
      <c r="D496" s="60" t="s">
        <v>19</v>
      </c>
      <c r="E496" s="305" t="s">
        <v>6</v>
      </c>
      <c r="F496" s="184">
        <v>2.1000000000000001E-2</v>
      </c>
      <c r="G496" s="65">
        <f>VLOOKUP(D496,upahbahan,3,FALSE)</f>
        <v>145000</v>
      </c>
      <c r="H496" s="65">
        <f t="shared" si="54"/>
        <v>3045</v>
      </c>
      <c r="K496" s="216"/>
    </row>
    <row r="497" spans="3:11">
      <c r="C497" s="84" t="s">
        <v>1220</v>
      </c>
      <c r="D497" s="81"/>
      <c r="E497" s="81"/>
      <c r="F497" s="220"/>
      <c r="G497" s="221"/>
      <c r="H497" s="65">
        <f>SUM(H493:H496)</f>
        <v>159780</v>
      </c>
      <c r="I497" s="222"/>
      <c r="K497" s="216"/>
    </row>
    <row r="498" spans="3:11">
      <c r="C498" s="305" t="s">
        <v>1221</v>
      </c>
      <c r="D498" s="60" t="s">
        <v>1222</v>
      </c>
      <c r="E498" s="74"/>
      <c r="F498" s="74"/>
      <c r="G498" s="74"/>
      <c r="H498" s="74"/>
      <c r="K498" s="216"/>
    </row>
    <row r="499" spans="3:11">
      <c r="C499" s="363">
        <v>1</v>
      </c>
      <c r="D499" s="60" t="s">
        <v>174</v>
      </c>
      <c r="E499" s="69" t="s">
        <v>114</v>
      </c>
      <c r="F499" s="230">
        <f>F481</f>
        <v>1.45</v>
      </c>
      <c r="G499" s="65">
        <f>VLOOKUP(D499,upahbahan,3,FALSE)</f>
        <v>325000</v>
      </c>
      <c r="H499" s="65">
        <f t="shared" ref="H499" si="55">F499*G499</f>
        <v>471250</v>
      </c>
      <c r="K499" s="216"/>
    </row>
    <row r="500" spans="3:11">
      <c r="C500" s="363">
        <v>2</v>
      </c>
      <c r="D500" s="78" t="s">
        <v>1813</v>
      </c>
      <c r="E500" s="74"/>
      <c r="F500" s="87">
        <f>F482</f>
        <v>0.35</v>
      </c>
      <c r="G500" s="74"/>
      <c r="H500" s="65">
        <f>F500*H499</f>
        <v>164937.5</v>
      </c>
      <c r="K500" s="216"/>
    </row>
    <row r="501" spans="3:11">
      <c r="C501" s="84" t="s">
        <v>1226</v>
      </c>
      <c r="D501" s="81"/>
      <c r="E501" s="81"/>
      <c r="F501" s="81"/>
      <c r="G501" s="163"/>
      <c r="H501" s="65">
        <f>SUM(H499:H500)</f>
        <v>636187.5</v>
      </c>
      <c r="K501" s="216"/>
    </row>
    <row r="502" spans="3:11">
      <c r="C502" s="73" t="s">
        <v>1227</v>
      </c>
      <c r="D502" s="60" t="s">
        <v>1228</v>
      </c>
      <c r="E502" s="74"/>
      <c r="F502" s="74"/>
      <c r="G502" s="74"/>
      <c r="H502" s="74"/>
      <c r="K502" s="216"/>
    </row>
    <row r="503" spans="3:11">
      <c r="C503" s="84" t="s">
        <v>1229</v>
      </c>
      <c r="D503" s="81"/>
      <c r="E503" s="81"/>
      <c r="F503" s="81"/>
      <c r="G503" s="163"/>
      <c r="H503" s="306">
        <v>0</v>
      </c>
      <c r="K503" s="216"/>
    </row>
    <row r="504" spans="3:11">
      <c r="C504" s="59" t="s">
        <v>1230</v>
      </c>
      <c r="D504" s="70" t="s">
        <v>1231</v>
      </c>
      <c r="E504" s="71"/>
      <c r="F504" s="71"/>
      <c r="G504" s="72"/>
      <c r="H504" s="307">
        <f>H503+H501+H497</f>
        <v>795967.5</v>
      </c>
      <c r="I504" s="322"/>
      <c r="K504" s="216"/>
    </row>
    <row r="505" spans="3:11">
      <c r="C505" s="59" t="s">
        <v>1232</v>
      </c>
      <c r="D505" s="70" t="s">
        <v>1410</v>
      </c>
      <c r="E505" s="71"/>
      <c r="F505" s="72"/>
      <c r="G505" s="96">
        <f>$M$7</f>
        <v>0.1</v>
      </c>
      <c r="H505" s="65">
        <f>H504*G505</f>
        <v>79596.75</v>
      </c>
      <c r="I505" s="322"/>
      <c r="K505" s="216"/>
    </row>
    <row r="506" spans="3:11">
      <c r="C506" s="59" t="s">
        <v>1233</v>
      </c>
      <c r="D506" s="70" t="s">
        <v>1234</v>
      </c>
      <c r="E506" s="71"/>
      <c r="F506" s="71"/>
      <c r="G506" s="72"/>
      <c r="H506" s="308">
        <f>SUM(H504:H505)</f>
        <v>875564.25</v>
      </c>
      <c r="I506" s="322"/>
      <c r="K506" s="216"/>
    </row>
    <row r="507" spans="3:11">
      <c r="C507" s="58"/>
      <c r="D507" s="82"/>
      <c r="E507" s="82"/>
      <c r="F507" s="82"/>
      <c r="G507" s="82"/>
      <c r="H507" s="83"/>
      <c r="K507" s="216"/>
    </row>
    <row r="508" spans="3:11">
      <c r="C508" s="316" t="s">
        <v>1840</v>
      </c>
      <c r="D508" s="318"/>
      <c r="E508" s="318"/>
      <c r="F508" s="318"/>
      <c r="G508" s="318"/>
      <c r="H508" s="318"/>
      <c r="I508" s="57">
        <f>ROUNDDOWN(H524,-2)</f>
        <v>981200</v>
      </c>
      <c r="K508" s="216"/>
    </row>
    <row r="509" spans="3:11" ht="28.5">
      <c r="C509" s="303" t="s">
        <v>1207</v>
      </c>
      <c r="D509" s="303" t="s">
        <v>1208</v>
      </c>
      <c r="E509" s="303" t="s">
        <v>1209</v>
      </c>
      <c r="F509" s="303" t="s">
        <v>1210</v>
      </c>
      <c r="G509" s="303" t="s">
        <v>1211</v>
      </c>
      <c r="H509" s="303" t="s">
        <v>1212</v>
      </c>
    </row>
    <row r="510" spans="3:11">
      <c r="C510" s="305" t="s">
        <v>1213</v>
      </c>
      <c r="D510" s="60" t="s">
        <v>1214</v>
      </c>
      <c r="E510" s="74"/>
      <c r="F510" s="74"/>
      <c r="G510" s="74"/>
      <c r="H510" s="74"/>
    </row>
    <row r="511" spans="3:11">
      <c r="C511" s="363">
        <v>1</v>
      </c>
      <c r="D511" s="60" t="s">
        <v>5</v>
      </c>
      <c r="E511" s="305" t="s">
        <v>6</v>
      </c>
      <c r="F511" s="184">
        <v>0.48799999999999999</v>
      </c>
      <c r="G511" s="65">
        <f>VLOOKUP(D511,upahbahan,3,FALSE)</f>
        <v>100000</v>
      </c>
      <c r="H511" s="65">
        <f t="shared" ref="H511:H514" si="56">F511*G511</f>
        <v>48800</v>
      </c>
    </row>
    <row r="512" spans="3:11">
      <c r="C512" s="363">
        <v>2</v>
      </c>
      <c r="D512" s="60" t="str">
        <f>D494</f>
        <v>Tukang pipa</v>
      </c>
      <c r="E512" s="305" t="s">
        <v>6</v>
      </c>
      <c r="F512" s="184">
        <v>0.81399999999999995</v>
      </c>
      <c r="G512" s="65">
        <f>VLOOKUP(D512,upahbahan,3,FALSE)</f>
        <v>145000</v>
      </c>
      <c r="H512" s="65">
        <f t="shared" si="56"/>
        <v>118029.99999999999</v>
      </c>
    </row>
    <row r="513" spans="3:9">
      <c r="C513" s="363">
        <v>3</v>
      </c>
      <c r="D513" s="60" t="s">
        <v>18</v>
      </c>
      <c r="E513" s="305" t="s">
        <v>6</v>
      </c>
      <c r="F513" s="184">
        <v>8.1000000000000003E-2</v>
      </c>
      <c r="G513" s="65">
        <f>VLOOKUP(D513,upahbahan,3,FALSE)</f>
        <v>150000</v>
      </c>
      <c r="H513" s="65">
        <f t="shared" si="56"/>
        <v>12150</v>
      </c>
    </row>
    <row r="514" spans="3:9">
      <c r="C514" s="363">
        <v>4</v>
      </c>
      <c r="D514" s="60" t="s">
        <v>19</v>
      </c>
      <c r="E514" s="305" t="s">
        <v>6</v>
      </c>
      <c r="F514" s="184">
        <v>2.4E-2</v>
      </c>
      <c r="G514" s="65">
        <f>VLOOKUP(D514,upahbahan,3,FALSE)</f>
        <v>145000</v>
      </c>
      <c r="H514" s="65">
        <f t="shared" si="56"/>
        <v>3480</v>
      </c>
    </row>
    <row r="515" spans="3:9">
      <c r="C515" s="84" t="s">
        <v>1220</v>
      </c>
      <c r="D515" s="81"/>
      <c r="E515" s="81"/>
      <c r="F515" s="220"/>
      <c r="G515" s="221"/>
      <c r="H515" s="65">
        <f>SUM(H511:H514)</f>
        <v>182460</v>
      </c>
      <c r="I515" s="222"/>
    </row>
    <row r="516" spans="3:9">
      <c r="C516" s="305" t="s">
        <v>1221</v>
      </c>
      <c r="D516" s="60" t="s">
        <v>1222</v>
      </c>
      <c r="E516" s="74"/>
      <c r="F516" s="74"/>
      <c r="G516" s="74"/>
      <c r="H516" s="74"/>
    </row>
    <row r="517" spans="3:9">
      <c r="C517" s="363">
        <v>1</v>
      </c>
      <c r="D517" s="60" t="s">
        <v>175</v>
      </c>
      <c r="E517" s="69" t="s">
        <v>114</v>
      </c>
      <c r="F517" s="230">
        <f>F499</f>
        <v>1.45</v>
      </c>
      <c r="G517" s="65">
        <f>VLOOKUP(D517,upahbahan,3,FALSE)</f>
        <v>362500</v>
      </c>
      <c r="H517" s="65">
        <f t="shared" ref="H517" si="57">F517*G517</f>
        <v>525625</v>
      </c>
    </row>
    <row r="518" spans="3:9">
      <c r="C518" s="363">
        <v>2</v>
      </c>
      <c r="D518" s="78" t="s">
        <v>1813</v>
      </c>
      <c r="E518" s="74"/>
      <c r="F518" s="87">
        <f>F500</f>
        <v>0.35</v>
      </c>
      <c r="G518" s="74"/>
      <c r="H518" s="65">
        <f>F518*H517</f>
        <v>183968.75</v>
      </c>
    </row>
    <row r="519" spans="3:9">
      <c r="C519" s="84" t="s">
        <v>1226</v>
      </c>
      <c r="D519" s="81"/>
      <c r="E519" s="81"/>
      <c r="F519" s="81"/>
      <c r="G519" s="163"/>
      <c r="H519" s="65">
        <f>SUM(H517:H518)</f>
        <v>709593.75</v>
      </c>
    </row>
    <row r="520" spans="3:9">
      <c r="C520" s="73" t="s">
        <v>1227</v>
      </c>
      <c r="D520" s="60" t="s">
        <v>1228</v>
      </c>
      <c r="E520" s="74"/>
      <c r="F520" s="74"/>
      <c r="G520" s="74"/>
      <c r="H520" s="74"/>
    </row>
    <row r="521" spans="3:9">
      <c r="C521" s="84" t="s">
        <v>1229</v>
      </c>
      <c r="D521" s="81"/>
      <c r="E521" s="81"/>
      <c r="F521" s="81"/>
      <c r="G521" s="163"/>
      <c r="H521" s="306">
        <v>0</v>
      </c>
    </row>
    <row r="522" spans="3:9">
      <c r="C522" s="59" t="s">
        <v>1230</v>
      </c>
      <c r="D522" s="70" t="s">
        <v>1231</v>
      </c>
      <c r="E522" s="71"/>
      <c r="F522" s="71"/>
      <c r="G522" s="72"/>
      <c r="H522" s="307">
        <f>H521+H519+H515</f>
        <v>892053.75</v>
      </c>
      <c r="I522" s="322"/>
    </row>
    <row r="523" spans="3:9">
      <c r="C523" s="59" t="s">
        <v>1232</v>
      </c>
      <c r="D523" s="70" t="s">
        <v>1410</v>
      </c>
      <c r="E523" s="71"/>
      <c r="F523" s="72"/>
      <c r="G523" s="96">
        <f>$M$7</f>
        <v>0.1</v>
      </c>
      <c r="H523" s="65">
        <f>H522*G523</f>
        <v>89205.375</v>
      </c>
      <c r="I523" s="322"/>
    </row>
    <row r="524" spans="3:9">
      <c r="C524" s="59" t="s">
        <v>1233</v>
      </c>
      <c r="D524" s="70" t="s">
        <v>1234</v>
      </c>
      <c r="E524" s="71"/>
      <c r="F524" s="71"/>
      <c r="G524" s="72"/>
      <c r="H524" s="308">
        <f>SUM(H522:H523)</f>
        <v>981259.125</v>
      </c>
      <c r="I524" s="322"/>
    </row>
    <row r="525" spans="3:9">
      <c r="C525" s="58"/>
      <c r="D525" s="82"/>
      <c r="E525" s="82"/>
      <c r="F525" s="82"/>
      <c r="G525" s="82"/>
      <c r="H525" s="83"/>
    </row>
  </sheetData>
  <dataValidations count="1">
    <dataValidation type="list" allowBlank="1" showInputMessage="1" showErrorMessage="1" sqref="D7:D10" xr:uid="{EEA2E1F7-919D-48D3-8AFB-B5F978CC3F64}">
      <formula1>TENAGA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3ED6-4F54-456B-86F3-2A53557C9736}">
  <sheetPr>
    <tabColor theme="5"/>
  </sheetPr>
  <dimension ref="C3:M2289"/>
  <sheetViews>
    <sheetView zoomScale="85" zoomScaleNormal="85" workbookViewId="0">
      <selection activeCell="K17" sqref="K17"/>
    </sheetView>
    <sheetView workbookViewId="1"/>
  </sheetViews>
  <sheetFormatPr defaultColWidth="8.85546875" defaultRowHeight="15"/>
  <cols>
    <col min="1" max="2" width="4.42578125" style="56" customWidth="1"/>
    <col min="3" max="3" width="6" style="63" customWidth="1"/>
    <col min="4" max="4" width="36.7109375" style="63" customWidth="1"/>
    <col min="5" max="5" width="7.42578125" style="63" customWidth="1"/>
    <col min="6" max="6" width="10.7109375" style="63" customWidth="1"/>
    <col min="7" max="7" width="14.28515625" style="63" customWidth="1"/>
    <col min="8" max="8" width="16.42578125" style="63" customWidth="1"/>
    <col min="9" max="9" width="16.28515625" style="55" customWidth="1"/>
    <col min="10" max="10" width="19.7109375" style="56" customWidth="1"/>
    <col min="11" max="11" width="14" style="56" customWidth="1"/>
    <col min="12" max="12" width="11.28515625" style="56" customWidth="1"/>
    <col min="13" max="16384" width="8.85546875" style="56"/>
  </cols>
  <sheetData>
    <row r="3" spans="3:13">
      <c r="C3" s="53" t="str">
        <f>'[1]Daftar HSP'!A565</f>
        <v>X</v>
      </c>
      <c r="D3" s="229" t="str">
        <f>'[1]Daftar HSP'!B565</f>
        <v>PEKERJAAN JARINGAN LISTRIK</v>
      </c>
      <c r="E3" s="229"/>
      <c r="F3" s="229"/>
      <c r="G3" s="229"/>
      <c r="H3" s="229"/>
    </row>
    <row r="4" spans="3:13">
      <c r="C4" s="316" t="s">
        <v>1842</v>
      </c>
      <c r="D4" s="310"/>
      <c r="E4" s="310"/>
      <c r="F4" s="310"/>
      <c r="G4" s="310"/>
      <c r="H4" s="310"/>
      <c r="I4" s="57">
        <f>ROUNDDOWN(H19,-2)</f>
        <v>19300</v>
      </c>
    </row>
    <row r="5" spans="3:13" ht="28.5">
      <c r="C5" s="303" t="s">
        <v>1207</v>
      </c>
      <c r="D5" s="303" t="s">
        <v>1208</v>
      </c>
      <c r="E5" s="303" t="s">
        <v>1209</v>
      </c>
      <c r="F5" s="303" t="s">
        <v>1210</v>
      </c>
      <c r="G5" s="303" t="s">
        <v>1211</v>
      </c>
      <c r="H5" s="303" t="s">
        <v>1212</v>
      </c>
    </row>
    <row r="6" spans="3:13">
      <c r="C6" s="73" t="s">
        <v>1213</v>
      </c>
      <c r="D6" s="60" t="s">
        <v>1214</v>
      </c>
      <c r="E6" s="74"/>
      <c r="F6" s="74"/>
      <c r="G6" s="74"/>
      <c r="H6" s="74"/>
      <c r="J6" s="160" t="s">
        <v>1265</v>
      </c>
    </row>
    <row r="7" spans="3:13">
      <c r="C7" s="304">
        <v>1</v>
      </c>
      <c r="D7" s="60" t="s">
        <v>5</v>
      </c>
      <c r="E7" s="305" t="s">
        <v>6</v>
      </c>
      <c r="F7" s="75">
        <v>2.4E-2</v>
      </c>
      <c r="G7" s="65">
        <f>VLOOKUP(D7,upahbahan,3,FALSE)</f>
        <v>100000</v>
      </c>
      <c r="H7" s="65">
        <f t="shared" ref="H7:H10" si="0">F7*G7</f>
        <v>2400</v>
      </c>
      <c r="J7" s="160" t="s">
        <v>1266</v>
      </c>
      <c r="M7" s="66">
        <v>0.1</v>
      </c>
    </row>
    <row r="8" spans="3:13">
      <c r="C8" s="304">
        <v>2</v>
      </c>
      <c r="D8" s="60" t="s">
        <v>17</v>
      </c>
      <c r="E8" s="305" t="s">
        <v>6</v>
      </c>
      <c r="F8" s="75">
        <v>0.04</v>
      </c>
      <c r="G8" s="65">
        <f>VLOOKUP(D8,upahbahan,3,FALSE)</f>
        <v>145000</v>
      </c>
      <c r="H8" s="65">
        <f t="shared" si="0"/>
        <v>5800</v>
      </c>
    </row>
    <row r="9" spans="3:13">
      <c r="C9" s="304">
        <v>3</v>
      </c>
      <c r="D9" s="60" t="s">
        <v>18</v>
      </c>
      <c r="E9" s="305" t="s">
        <v>6</v>
      </c>
      <c r="F9" s="75">
        <v>4.0000000000000001E-3</v>
      </c>
      <c r="G9" s="65">
        <f>VLOOKUP(D9,upahbahan,3,FALSE)</f>
        <v>150000</v>
      </c>
      <c r="H9" s="65">
        <f t="shared" si="0"/>
        <v>600</v>
      </c>
    </row>
    <row r="10" spans="3:13">
      <c r="C10" s="304">
        <v>4</v>
      </c>
      <c r="D10" s="60" t="s">
        <v>19</v>
      </c>
      <c r="E10" s="305" t="s">
        <v>6</v>
      </c>
      <c r="F10" s="75">
        <v>1E-3</v>
      </c>
      <c r="G10" s="65">
        <f>VLOOKUP(D10,upahbahan,3,FALSE)</f>
        <v>145000</v>
      </c>
      <c r="H10" s="65">
        <f t="shared" si="0"/>
        <v>145</v>
      </c>
    </row>
    <row r="11" spans="3:13">
      <c r="C11" s="84" t="s">
        <v>1220</v>
      </c>
      <c r="D11" s="81"/>
      <c r="E11" s="81"/>
      <c r="F11" s="220"/>
      <c r="G11" s="221"/>
      <c r="H11" s="65">
        <f>SUM(H7:H10)</f>
        <v>8945</v>
      </c>
      <c r="I11" s="222"/>
    </row>
    <row r="12" spans="3:13">
      <c r="C12" s="73" t="s">
        <v>1221</v>
      </c>
      <c r="D12" s="60" t="s">
        <v>1222</v>
      </c>
      <c r="E12" s="74"/>
      <c r="F12" s="74"/>
      <c r="G12" s="74"/>
      <c r="H12" s="74"/>
    </row>
    <row r="13" spans="3:13">
      <c r="C13" s="304">
        <v>1</v>
      </c>
      <c r="D13" s="78" t="s">
        <v>922</v>
      </c>
      <c r="E13" s="69" t="s">
        <v>114</v>
      </c>
      <c r="F13" s="75">
        <v>1.1499999999999999</v>
      </c>
      <c r="G13" s="65">
        <f>VLOOKUP(D13,upahbahan,3,FALSE)</f>
        <v>7500</v>
      </c>
      <c r="H13" s="65">
        <f t="shared" ref="H13" si="1">F13*G13</f>
        <v>8625</v>
      </c>
    </row>
    <row r="14" spans="3:13">
      <c r="C14" s="84" t="s">
        <v>1226</v>
      </c>
      <c r="D14" s="81"/>
      <c r="E14" s="81"/>
      <c r="F14" s="81"/>
      <c r="G14" s="163"/>
      <c r="H14" s="65">
        <f>SUM(H13:H13)</f>
        <v>8625</v>
      </c>
    </row>
    <row r="15" spans="3:13">
      <c r="C15" s="73" t="s">
        <v>1227</v>
      </c>
      <c r="D15" s="60" t="s">
        <v>1228</v>
      </c>
      <c r="E15" s="74"/>
      <c r="F15" s="74"/>
      <c r="G15" s="74"/>
      <c r="H15" s="74"/>
    </row>
    <row r="16" spans="3:13">
      <c r="C16" s="84" t="s">
        <v>1229</v>
      </c>
      <c r="D16" s="81"/>
      <c r="E16" s="81"/>
      <c r="F16" s="81"/>
      <c r="G16" s="163"/>
      <c r="H16" s="306">
        <v>0</v>
      </c>
    </row>
    <row r="17" spans="3:11">
      <c r="C17" s="59" t="s">
        <v>1230</v>
      </c>
      <c r="D17" s="70" t="s">
        <v>1231</v>
      </c>
      <c r="E17" s="71"/>
      <c r="F17" s="71"/>
      <c r="G17" s="72"/>
      <c r="H17" s="65">
        <f>H16+H14+H11</f>
        <v>17570</v>
      </c>
    </row>
    <row r="18" spans="3:11">
      <c r="C18" s="59" t="s">
        <v>1232</v>
      </c>
      <c r="D18" s="70" t="s">
        <v>1410</v>
      </c>
      <c r="E18" s="71"/>
      <c r="F18" s="72"/>
      <c r="G18" s="96">
        <f>$M$7</f>
        <v>0.1</v>
      </c>
      <c r="H18" s="65">
        <f>H17*G18</f>
        <v>1757</v>
      </c>
    </row>
    <row r="19" spans="3:11">
      <c r="C19" s="59" t="s">
        <v>1233</v>
      </c>
      <c r="D19" s="70" t="s">
        <v>1234</v>
      </c>
      <c r="E19" s="71"/>
      <c r="F19" s="71"/>
      <c r="G19" s="72"/>
      <c r="H19" s="370">
        <f>SUM(H17:H18)</f>
        <v>19327</v>
      </c>
    </row>
    <row r="20" spans="3:11">
      <c r="C20" s="90"/>
      <c r="D20" s="91"/>
      <c r="E20" s="91"/>
      <c r="F20" s="91"/>
      <c r="G20" s="91"/>
      <c r="H20" s="309"/>
    </row>
    <row r="21" spans="3:11">
      <c r="C21" s="316" t="s">
        <v>1843</v>
      </c>
      <c r="D21" s="310"/>
      <c r="E21" s="310"/>
      <c r="F21" s="310"/>
      <c r="G21" s="310"/>
      <c r="H21" s="310"/>
      <c r="I21" s="57">
        <f>ROUNDDOWN(H36,-2)</f>
        <v>25000</v>
      </c>
      <c r="J21" s="160"/>
      <c r="K21" s="328"/>
    </row>
    <row r="22" spans="3:11" ht="28.5">
      <c r="C22" s="303" t="s">
        <v>1207</v>
      </c>
      <c r="D22" s="303" t="s">
        <v>1208</v>
      </c>
      <c r="E22" s="303" t="s">
        <v>1209</v>
      </c>
      <c r="F22" s="303" t="s">
        <v>1210</v>
      </c>
      <c r="G22" s="303" t="s">
        <v>1211</v>
      </c>
      <c r="H22" s="303" t="s">
        <v>1212</v>
      </c>
      <c r="J22" s="160"/>
    </row>
    <row r="23" spans="3:11">
      <c r="C23" s="73" t="s">
        <v>1213</v>
      </c>
      <c r="D23" s="60" t="s">
        <v>1214</v>
      </c>
      <c r="E23" s="74"/>
      <c r="F23" s="74"/>
      <c r="G23" s="74"/>
      <c r="H23" s="74"/>
      <c r="J23" s="160"/>
    </row>
    <row r="24" spans="3:11">
      <c r="C24" s="304">
        <v>1</v>
      </c>
      <c r="D24" s="60" t="s">
        <v>5</v>
      </c>
      <c r="E24" s="305" t="s">
        <v>6</v>
      </c>
      <c r="F24" s="75">
        <v>2.4E-2</v>
      </c>
      <c r="G24" s="65">
        <f>VLOOKUP(D24,upahbahan,3,FALSE)</f>
        <v>100000</v>
      </c>
      <c r="H24" s="65">
        <f t="shared" ref="H24:H27" si="2">F24*G24</f>
        <v>2400</v>
      </c>
      <c r="J24" s="160"/>
    </row>
    <row r="25" spans="3:11">
      <c r="C25" s="304">
        <v>2</v>
      </c>
      <c r="D25" s="60" t="str">
        <f>D8</f>
        <v>Tukang listrik</v>
      </c>
      <c r="E25" s="305" t="s">
        <v>6</v>
      </c>
      <c r="F25" s="75">
        <v>0.04</v>
      </c>
      <c r="G25" s="65">
        <f>VLOOKUP(D25,upahbahan,3,FALSE)</f>
        <v>145000</v>
      </c>
      <c r="H25" s="65">
        <f t="shared" si="2"/>
        <v>5800</v>
      </c>
      <c r="J25" s="160"/>
    </row>
    <row r="26" spans="3:11">
      <c r="C26" s="304">
        <v>3</v>
      </c>
      <c r="D26" s="60" t="s">
        <v>18</v>
      </c>
      <c r="E26" s="305" t="s">
        <v>6</v>
      </c>
      <c r="F26" s="75">
        <v>4.0000000000000001E-3</v>
      </c>
      <c r="G26" s="65">
        <f>VLOOKUP(D26,upahbahan,3,FALSE)</f>
        <v>150000</v>
      </c>
      <c r="H26" s="65">
        <f t="shared" si="2"/>
        <v>600</v>
      </c>
      <c r="J26" s="160"/>
    </row>
    <row r="27" spans="3:11">
      <c r="C27" s="304">
        <v>4</v>
      </c>
      <c r="D27" s="60" t="s">
        <v>19</v>
      </c>
      <c r="E27" s="305" t="s">
        <v>6</v>
      </c>
      <c r="F27" s="75">
        <v>1E-3</v>
      </c>
      <c r="G27" s="65">
        <f>VLOOKUP(D27,upahbahan,3,FALSE)</f>
        <v>145000</v>
      </c>
      <c r="H27" s="65">
        <f t="shared" si="2"/>
        <v>145</v>
      </c>
      <c r="J27" s="160"/>
    </row>
    <row r="28" spans="3:11">
      <c r="C28" s="84" t="s">
        <v>1220</v>
      </c>
      <c r="D28" s="81"/>
      <c r="E28" s="81"/>
      <c r="F28" s="220"/>
      <c r="G28" s="221"/>
      <c r="H28" s="65">
        <f>SUM(H24:H27)</f>
        <v>8945</v>
      </c>
      <c r="I28" s="222"/>
      <c r="J28" s="160"/>
    </row>
    <row r="29" spans="3:11">
      <c r="C29" s="73" t="s">
        <v>1221</v>
      </c>
      <c r="D29" s="60" t="s">
        <v>1222</v>
      </c>
      <c r="E29" s="74"/>
      <c r="F29" s="74"/>
      <c r="G29" s="74"/>
      <c r="H29" s="74"/>
      <c r="J29" s="160"/>
    </row>
    <row r="30" spans="3:11">
      <c r="C30" s="304">
        <v>1</v>
      </c>
      <c r="D30" s="78" t="s">
        <v>926</v>
      </c>
      <c r="E30" s="69" t="s">
        <v>114</v>
      </c>
      <c r="F30" s="75">
        <v>1.1499999999999999</v>
      </c>
      <c r="G30" s="65">
        <f>VLOOKUP(D30,upahbahan,3,FALSE)</f>
        <v>12000</v>
      </c>
      <c r="H30" s="65">
        <f t="shared" ref="H30" si="3">F30*G30</f>
        <v>13799.999999999998</v>
      </c>
      <c r="J30" s="160"/>
    </row>
    <row r="31" spans="3:11">
      <c r="C31" s="84" t="s">
        <v>1226</v>
      </c>
      <c r="D31" s="81"/>
      <c r="E31" s="81"/>
      <c r="F31" s="81"/>
      <c r="G31" s="163"/>
      <c r="H31" s="65">
        <f>SUM(H30:H30)</f>
        <v>13799.999999999998</v>
      </c>
      <c r="J31" s="160"/>
    </row>
    <row r="32" spans="3:11">
      <c r="C32" s="73" t="s">
        <v>1227</v>
      </c>
      <c r="D32" s="60" t="s">
        <v>1228</v>
      </c>
      <c r="E32" s="74"/>
      <c r="F32" s="74"/>
      <c r="G32" s="74"/>
      <c r="H32" s="74"/>
      <c r="J32" s="160"/>
    </row>
    <row r="33" spans="3:11">
      <c r="C33" s="84" t="s">
        <v>1229</v>
      </c>
      <c r="D33" s="81"/>
      <c r="E33" s="81"/>
      <c r="F33" s="81"/>
      <c r="G33" s="163"/>
      <c r="H33" s="306">
        <v>0</v>
      </c>
      <c r="J33" s="160"/>
    </row>
    <row r="34" spans="3:11">
      <c r="C34" s="59" t="s">
        <v>1230</v>
      </c>
      <c r="D34" s="70" t="s">
        <v>1231</v>
      </c>
      <c r="E34" s="71"/>
      <c r="F34" s="71"/>
      <c r="G34" s="72"/>
      <c r="H34" s="65">
        <f>H33+H31+H28</f>
        <v>22745</v>
      </c>
      <c r="J34" s="160"/>
    </row>
    <row r="35" spans="3:11">
      <c r="C35" s="59" t="s">
        <v>1232</v>
      </c>
      <c r="D35" s="70" t="s">
        <v>1410</v>
      </c>
      <c r="E35" s="71"/>
      <c r="F35" s="72"/>
      <c r="G35" s="96">
        <f>$M$7</f>
        <v>0.1</v>
      </c>
      <c r="H35" s="65">
        <f>H34*G35</f>
        <v>2274.5</v>
      </c>
      <c r="J35" s="160"/>
    </row>
    <row r="36" spans="3:11">
      <c r="C36" s="59" t="s">
        <v>1233</v>
      </c>
      <c r="D36" s="70" t="s">
        <v>1234</v>
      </c>
      <c r="E36" s="71"/>
      <c r="F36" s="71"/>
      <c r="G36" s="72"/>
      <c r="H36" s="370">
        <f>SUM(H34:H35)</f>
        <v>25019.5</v>
      </c>
      <c r="J36" s="160"/>
    </row>
    <row r="37" spans="3:11">
      <c r="C37" s="90"/>
      <c r="D37" s="91"/>
      <c r="E37" s="91"/>
      <c r="F37" s="91"/>
      <c r="G37" s="91"/>
      <c r="H37" s="309"/>
      <c r="J37" s="160"/>
    </row>
    <row r="38" spans="3:11">
      <c r="C38" s="316" t="s">
        <v>1844</v>
      </c>
      <c r="D38" s="310"/>
      <c r="E38" s="310"/>
      <c r="F38" s="310"/>
      <c r="G38" s="310"/>
      <c r="H38" s="310"/>
      <c r="I38" s="57">
        <f>ROUNDDOWN(H53,-2)</f>
        <v>32600</v>
      </c>
      <c r="J38" s="160"/>
      <c r="K38" s="328"/>
    </row>
    <row r="39" spans="3:11" ht="28.5">
      <c r="C39" s="303" t="s">
        <v>1207</v>
      </c>
      <c r="D39" s="303" t="s">
        <v>1208</v>
      </c>
      <c r="E39" s="303" t="s">
        <v>1209</v>
      </c>
      <c r="F39" s="303" t="s">
        <v>1210</v>
      </c>
      <c r="G39" s="303" t="s">
        <v>1211</v>
      </c>
      <c r="H39" s="303" t="s">
        <v>1212</v>
      </c>
      <c r="J39" s="160"/>
      <c r="K39" s="328"/>
    </row>
    <row r="40" spans="3:11">
      <c r="C40" s="73" t="s">
        <v>1213</v>
      </c>
      <c r="D40" s="60" t="s">
        <v>1214</v>
      </c>
      <c r="E40" s="74"/>
      <c r="F40" s="74"/>
      <c r="G40" s="74"/>
      <c r="H40" s="74"/>
      <c r="J40" s="160"/>
      <c r="K40" s="328"/>
    </row>
    <row r="41" spans="3:11">
      <c r="C41" s="304">
        <v>1</v>
      </c>
      <c r="D41" s="60" t="s">
        <v>5</v>
      </c>
      <c r="E41" s="333" t="s">
        <v>6</v>
      </c>
      <c r="F41" s="75">
        <v>2.4E-2</v>
      </c>
      <c r="G41" s="65">
        <f>VLOOKUP(D41,upahbahan,3,FALSE)</f>
        <v>100000</v>
      </c>
      <c r="H41" s="65">
        <f t="shared" ref="H41:H44" si="4">F41*G41</f>
        <v>2400</v>
      </c>
      <c r="J41" s="160"/>
      <c r="K41" s="328"/>
    </row>
    <row r="42" spans="3:11">
      <c r="C42" s="304">
        <v>2</v>
      </c>
      <c r="D42" s="60" t="str">
        <f>D25</f>
        <v>Tukang listrik</v>
      </c>
      <c r="E42" s="333" t="s">
        <v>6</v>
      </c>
      <c r="F42" s="75">
        <v>0.04</v>
      </c>
      <c r="G42" s="65">
        <f>VLOOKUP(D42,upahbahan,3,FALSE)</f>
        <v>145000</v>
      </c>
      <c r="H42" s="65">
        <f t="shared" si="4"/>
        <v>5800</v>
      </c>
      <c r="J42" s="160"/>
      <c r="K42" s="328"/>
    </row>
    <row r="43" spans="3:11">
      <c r="C43" s="304">
        <v>3</v>
      </c>
      <c r="D43" s="60" t="s">
        <v>18</v>
      </c>
      <c r="E43" s="333" t="s">
        <v>6</v>
      </c>
      <c r="F43" s="75">
        <v>4.0000000000000001E-3</v>
      </c>
      <c r="G43" s="65">
        <f>VLOOKUP(D43,upahbahan,3,FALSE)</f>
        <v>150000</v>
      </c>
      <c r="H43" s="65">
        <f t="shared" si="4"/>
        <v>600</v>
      </c>
      <c r="J43" s="160"/>
      <c r="K43" s="328"/>
    </row>
    <row r="44" spans="3:11">
      <c r="C44" s="304">
        <v>4</v>
      </c>
      <c r="D44" s="60" t="s">
        <v>19</v>
      </c>
      <c r="E44" s="333" t="s">
        <v>6</v>
      </c>
      <c r="F44" s="75">
        <v>1E-3</v>
      </c>
      <c r="G44" s="65">
        <f>VLOOKUP(D44,upahbahan,3,FALSE)</f>
        <v>145000</v>
      </c>
      <c r="H44" s="65">
        <f t="shared" si="4"/>
        <v>145</v>
      </c>
      <c r="J44" s="160"/>
      <c r="K44" s="328"/>
    </row>
    <row r="45" spans="3:11">
      <c r="C45" s="84" t="s">
        <v>1220</v>
      </c>
      <c r="D45" s="81"/>
      <c r="E45" s="81"/>
      <c r="F45" s="220"/>
      <c r="G45" s="221"/>
      <c r="H45" s="65">
        <f>SUM(H41:H44)</f>
        <v>8945</v>
      </c>
      <c r="I45" s="222"/>
      <c r="J45" s="160"/>
      <c r="K45" s="328"/>
    </row>
    <row r="46" spans="3:11">
      <c r="C46" s="73" t="s">
        <v>1221</v>
      </c>
      <c r="D46" s="60" t="s">
        <v>1222</v>
      </c>
      <c r="E46" s="79"/>
      <c r="F46" s="74"/>
      <c r="G46" s="74"/>
      <c r="H46" s="74"/>
      <c r="J46" s="160"/>
      <c r="K46" s="328"/>
    </row>
    <row r="47" spans="3:11">
      <c r="C47" s="304">
        <v>1</v>
      </c>
      <c r="D47" s="78" t="s">
        <v>913</v>
      </c>
      <c r="E47" s="362" t="s">
        <v>114</v>
      </c>
      <c r="F47" s="75">
        <v>1.1499999999999999</v>
      </c>
      <c r="G47" s="65">
        <f>VLOOKUP(D47,upahbahan,3,FALSE)</f>
        <v>18000</v>
      </c>
      <c r="H47" s="65">
        <f t="shared" ref="H47" si="5">F47*G47</f>
        <v>20700</v>
      </c>
      <c r="J47" s="160"/>
      <c r="K47" s="328"/>
    </row>
    <row r="48" spans="3:11">
      <c r="C48" s="84" t="s">
        <v>1226</v>
      </c>
      <c r="D48" s="81"/>
      <c r="E48" s="81"/>
      <c r="F48" s="81"/>
      <c r="G48" s="163"/>
      <c r="H48" s="65">
        <f>SUM(H47:H47)</f>
        <v>20700</v>
      </c>
      <c r="J48" s="160"/>
      <c r="K48" s="328"/>
    </row>
    <row r="49" spans="3:11">
      <c r="C49" s="73" t="s">
        <v>1227</v>
      </c>
      <c r="D49" s="60" t="s">
        <v>1228</v>
      </c>
      <c r="E49" s="74"/>
      <c r="F49" s="74"/>
      <c r="G49" s="74"/>
      <c r="H49" s="74"/>
      <c r="J49" s="160"/>
      <c r="K49" s="328"/>
    </row>
    <row r="50" spans="3:11">
      <c r="C50" s="84" t="s">
        <v>1229</v>
      </c>
      <c r="D50" s="81"/>
      <c r="E50" s="81"/>
      <c r="F50" s="81"/>
      <c r="G50" s="163"/>
      <c r="H50" s="306">
        <v>0</v>
      </c>
      <c r="J50" s="160"/>
      <c r="K50" s="328"/>
    </row>
    <row r="51" spans="3:11">
      <c r="C51" s="59" t="s">
        <v>1230</v>
      </c>
      <c r="D51" s="70" t="s">
        <v>1231</v>
      </c>
      <c r="E51" s="71"/>
      <c r="F51" s="71"/>
      <c r="G51" s="72"/>
      <c r="H51" s="65">
        <f>H50+H48+H45</f>
        <v>29645</v>
      </c>
      <c r="J51" s="160"/>
      <c r="K51" s="328"/>
    </row>
    <row r="52" spans="3:11">
      <c r="C52" s="59" t="s">
        <v>1232</v>
      </c>
      <c r="D52" s="70" t="s">
        <v>1410</v>
      </c>
      <c r="E52" s="71"/>
      <c r="F52" s="72"/>
      <c r="G52" s="96">
        <f>$M$7</f>
        <v>0.1</v>
      </c>
      <c r="H52" s="65">
        <f>H51*G52</f>
        <v>2964.5</v>
      </c>
      <c r="J52" s="160"/>
      <c r="K52" s="328"/>
    </row>
    <row r="53" spans="3:11">
      <c r="C53" s="59" t="s">
        <v>1233</v>
      </c>
      <c r="D53" s="70" t="s">
        <v>1234</v>
      </c>
      <c r="E53" s="71"/>
      <c r="F53" s="71"/>
      <c r="G53" s="72"/>
      <c r="H53" s="370">
        <f>SUM(H51:H52)</f>
        <v>32609.5</v>
      </c>
      <c r="J53" s="160"/>
      <c r="K53" s="328"/>
    </row>
    <row r="54" spans="3:11">
      <c r="J54" s="160"/>
      <c r="K54" s="328"/>
    </row>
    <row r="55" spans="3:11">
      <c r="C55" s="316" t="s">
        <v>1845</v>
      </c>
      <c r="D55" s="318"/>
      <c r="E55" s="318"/>
      <c r="F55" s="318"/>
      <c r="G55" s="318"/>
      <c r="H55" s="318"/>
      <c r="I55" s="57">
        <f>ROUNDDOWN(H70,-2)</f>
        <v>55300</v>
      </c>
      <c r="J55" s="160"/>
      <c r="K55" s="328"/>
    </row>
    <row r="56" spans="3:11" ht="28.5">
      <c r="C56" s="303" t="s">
        <v>1207</v>
      </c>
      <c r="D56" s="303" t="s">
        <v>1208</v>
      </c>
      <c r="E56" s="303" t="s">
        <v>1209</v>
      </c>
      <c r="F56" s="303" t="s">
        <v>1210</v>
      </c>
      <c r="G56" s="303" t="s">
        <v>1211</v>
      </c>
      <c r="H56" s="303" t="s">
        <v>1212</v>
      </c>
      <c r="J56" s="160"/>
      <c r="K56" s="328"/>
    </row>
    <row r="57" spans="3:11">
      <c r="C57" s="305" t="s">
        <v>1213</v>
      </c>
      <c r="D57" s="60" t="s">
        <v>1214</v>
      </c>
      <c r="E57" s="74"/>
      <c r="F57" s="74"/>
      <c r="G57" s="74"/>
      <c r="H57" s="74"/>
      <c r="J57" s="160"/>
      <c r="K57" s="328"/>
    </row>
    <row r="58" spans="3:11">
      <c r="C58" s="363">
        <v>1</v>
      </c>
      <c r="D58" s="60" t="s">
        <v>5</v>
      </c>
      <c r="E58" s="73" t="s">
        <v>6</v>
      </c>
      <c r="F58" s="75">
        <v>2.4E-2</v>
      </c>
      <c r="G58" s="65">
        <f>VLOOKUP(D58,upahbahan,3,FALSE)</f>
        <v>100000</v>
      </c>
      <c r="H58" s="65">
        <f t="shared" ref="H58:H61" si="6">F58*G58</f>
        <v>2400</v>
      </c>
      <c r="J58" s="160"/>
      <c r="K58" s="328"/>
    </row>
    <row r="59" spans="3:11">
      <c r="C59" s="363">
        <v>2</v>
      </c>
      <c r="D59" s="60" t="str">
        <f>D42</f>
        <v>Tukang listrik</v>
      </c>
      <c r="E59" s="73" t="s">
        <v>6</v>
      </c>
      <c r="F59" s="75">
        <v>0.04</v>
      </c>
      <c r="G59" s="65">
        <f>VLOOKUP(D59,upahbahan,3,FALSE)</f>
        <v>145000</v>
      </c>
      <c r="H59" s="65">
        <f t="shared" si="6"/>
        <v>5800</v>
      </c>
      <c r="J59" s="160"/>
      <c r="K59" s="328"/>
    </row>
    <row r="60" spans="3:11">
      <c r="C60" s="363">
        <v>3</v>
      </c>
      <c r="D60" s="60" t="s">
        <v>18</v>
      </c>
      <c r="E60" s="73" t="s">
        <v>6</v>
      </c>
      <c r="F60" s="75">
        <v>4.0000000000000001E-3</v>
      </c>
      <c r="G60" s="65">
        <f>VLOOKUP(D60,upahbahan,3,FALSE)</f>
        <v>150000</v>
      </c>
      <c r="H60" s="65">
        <f t="shared" si="6"/>
        <v>600</v>
      </c>
      <c r="J60" s="160"/>
      <c r="K60" s="328"/>
    </row>
    <row r="61" spans="3:11">
      <c r="C61" s="363">
        <v>4</v>
      </c>
      <c r="D61" s="60" t="s">
        <v>19</v>
      </c>
      <c r="E61" s="73" t="s">
        <v>6</v>
      </c>
      <c r="F61" s="75">
        <v>1E-3</v>
      </c>
      <c r="G61" s="65">
        <f>VLOOKUP(D61,upahbahan,3,FALSE)</f>
        <v>145000</v>
      </c>
      <c r="H61" s="65">
        <f t="shared" si="6"/>
        <v>145</v>
      </c>
      <c r="J61" s="160"/>
      <c r="K61" s="328"/>
    </row>
    <row r="62" spans="3:11">
      <c r="C62" s="84" t="s">
        <v>1220</v>
      </c>
      <c r="D62" s="81"/>
      <c r="E62" s="81"/>
      <c r="F62" s="220"/>
      <c r="G62" s="221"/>
      <c r="H62" s="65">
        <f>SUM(H58:H61)</f>
        <v>8945</v>
      </c>
      <c r="I62" s="222"/>
      <c r="J62" s="160"/>
      <c r="K62" s="328"/>
    </row>
    <row r="63" spans="3:11">
      <c r="C63" s="73" t="s">
        <v>1221</v>
      </c>
      <c r="D63" s="60" t="s">
        <v>1222</v>
      </c>
      <c r="E63" s="74"/>
      <c r="F63" s="74"/>
      <c r="G63" s="74"/>
      <c r="H63" s="74"/>
      <c r="J63" s="160"/>
      <c r="K63" s="328"/>
    </row>
    <row r="64" spans="3:11">
      <c r="C64" s="304">
        <v>1</v>
      </c>
      <c r="D64" s="78" t="s">
        <v>916</v>
      </c>
      <c r="E64" s="73" t="s">
        <v>114</v>
      </c>
      <c r="F64" s="75">
        <v>1.1499999999999999</v>
      </c>
      <c r="G64" s="65">
        <f>VLOOKUP(D64,upahbahan,3,FALSE)</f>
        <v>36000</v>
      </c>
      <c r="H64" s="65">
        <f t="shared" ref="H64" si="7">F64*G64</f>
        <v>41400</v>
      </c>
      <c r="J64" s="160"/>
      <c r="K64" s="328"/>
    </row>
    <row r="65" spans="3:11">
      <c r="C65" s="84" t="s">
        <v>1226</v>
      </c>
      <c r="D65" s="81"/>
      <c r="E65" s="81"/>
      <c r="F65" s="81"/>
      <c r="G65" s="163"/>
      <c r="H65" s="65">
        <f>SUM(H64:H64)</f>
        <v>41400</v>
      </c>
      <c r="J65" s="160"/>
      <c r="K65" s="328"/>
    </row>
    <row r="66" spans="3:11">
      <c r="C66" s="73" t="s">
        <v>1227</v>
      </c>
      <c r="D66" s="60" t="s">
        <v>1228</v>
      </c>
      <c r="E66" s="74"/>
      <c r="F66" s="74"/>
      <c r="G66" s="74"/>
      <c r="H66" s="74"/>
      <c r="J66" s="160"/>
      <c r="K66" s="328"/>
    </row>
    <row r="67" spans="3:11">
      <c r="C67" s="84" t="s">
        <v>1229</v>
      </c>
      <c r="D67" s="81"/>
      <c r="E67" s="81"/>
      <c r="F67" s="81"/>
      <c r="G67" s="163"/>
      <c r="H67" s="306">
        <v>0</v>
      </c>
      <c r="J67" s="160"/>
      <c r="K67" s="328"/>
    </row>
    <row r="68" spans="3:11">
      <c r="C68" s="59" t="s">
        <v>1230</v>
      </c>
      <c r="D68" s="70" t="s">
        <v>1231</v>
      </c>
      <c r="E68" s="71"/>
      <c r="F68" s="71"/>
      <c r="G68" s="72"/>
      <c r="H68" s="307">
        <f>H67+H65+H62</f>
        <v>50345</v>
      </c>
      <c r="I68" s="322"/>
      <c r="J68" s="160"/>
      <c r="K68" s="328"/>
    </row>
    <row r="69" spans="3:11">
      <c r="C69" s="59" t="s">
        <v>1232</v>
      </c>
      <c r="D69" s="70" t="s">
        <v>1410</v>
      </c>
      <c r="E69" s="71"/>
      <c r="F69" s="72"/>
      <c r="G69" s="96">
        <f>$M$7</f>
        <v>0.1</v>
      </c>
      <c r="H69" s="65">
        <f>H68*G69</f>
        <v>5034.5</v>
      </c>
      <c r="I69" s="322"/>
      <c r="J69" s="160"/>
      <c r="K69" s="328"/>
    </row>
    <row r="70" spans="3:11">
      <c r="C70" s="59" t="s">
        <v>1233</v>
      </c>
      <c r="D70" s="70" t="s">
        <v>1234</v>
      </c>
      <c r="E70" s="71"/>
      <c r="F70" s="71"/>
      <c r="G70" s="72"/>
      <c r="H70" s="308">
        <f>SUM(H68:H69)</f>
        <v>55379.5</v>
      </c>
      <c r="I70" s="322"/>
      <c r="J70" s="160"/>
      <c r="K70" s="328"/>
    </row>
    <row r="71" spans="3:11">
      <c r="C71" s="90"/>
      <c r="D71" s="91"/>
      <c r="E71" s="91"/>
      <c r="F71" s="91"/>
      <c r="G71" s="91"/>
      <c r="H71" s="309"/>
      <c r="J71" s="160"/>
      <c r="K71" s="328"/>
    </row>
    <row r="72" spans="3:11">
      <c r="C72" s="316" t="s">
        <v>1846</v>
      </c>
      <c r="D72" s="318"/>
      <c r="E72" s="318"/>
      <c r="F72" s="318"/>
      <c r="G72" s="318"/>
      <c r="H72" s="318"/>
      <c r="I72" s="57">
        <f>ROUNDDOWN(H87,-2)</f>
        <v>82800</v>
      </c>
      <c r="J72" s="160"/>
      <c r="K72" s="328"/>
    </row>
    <row r="73" spans="3:11" ht="28.5">
      <c r="C73" s="303" t="s">
        <v>1207</v>
      </c>
      <c r="D73" s="303" t="s">
        <v>1208</v>
      </c>
      <c r="E73" s="303" t="s">
        <v>1209</v>
      </c>
      <c r="F73" s="303" t="s">
        <v>1210</v>
      </c>
      <c r="G73" s="303" t="s">
        <v>1211</v>
      </c>
      <c r="H73" s="303" t="s">
        <v>1212</v>
      </c>
      <c r="J73" s="160"/>
      <c r="K73" s="328"/>
    </row>
    <row r="74" spans="3:11">
      <c r="C74" s="305" t="s">
        <v>1213</v>
      </c>
      <c r="D74" s="60" t="s">
        <v>1214</v>
      </c>
      <c r="E74" s="74"/>
      <c r="F74" s="74"/>
      <c r="G74" s="74"/>
      <c r="H74" s="74"/>
      <c r="J74" s="160"/>
      <c r="K74" s="328"/>
    </row>
    <row r="75" spans="3:11">
      <c r="C75" s="363">
        <v>1</v>
      </c>
      <c r="D75" s="60" t="s">
        <v>5</v>
      </c>
      <c r="E75" s="73" t="s">
        <v>6</v>
      </c>
      <c r="F75" s="184">
        <v>2.9000000000000001E-2</v>
      </c>
      <c r="G75" s="65">
        <f>VLOOKUP(D75,upahbahan,3,FALSE)</f>
        <v>100000</v>
      </c>
      <c r="H75" s="65">
        <f t="shared" ref="H75:H78" si="8">F75*G75</f>
        <v>2900</v>
      </c>
      <c r="J75" s="160"/>
      <c r="K75" s="328"/>
    </row>
    <row r="76" spans="3:11">
      <c r="C76" s="363">
        <v>2</v>
      </c>
      <c r="D76" s="60" t="str">
        <f>D59</f>
        <v>Tukang listrik</v>
      </c>
      <c r="E76" s="73" t="s">
        <v>6</v>
      </c>
      <c r="F76" s="184">
        <v>4.8000000000000001E-2</v>
      </c>
      <c r="G76" s="65">
        <f>VLOOKUP(D76,upahbahan,3,FALSE)</f>
        <v>145000</v>
      </c>
      <c r="H76" s="65">
        <f t="shared" si="8"/>
        <v>6960</v>
      </c>
      <c r="J76" s="160"/>
      <c r="K76" s="328"/>
    </row>
    <row r="77" spans="3:11">
      <c r="C77" s="363">
        <v>3</v>
      </c>
      <c r="D77" s="60" t="s">
        <v>18</v>
      </c>
      <c r="E77" s="73" t="s">
        <v>6</v>
      </c>
      <c r="F77" s="184">
        <v>5.0000000000000001E-3</v>
      </c>
      <c r="G77" s="65">
        <f>VLOOKUP(D77,upahbahan,3,FALSE)</f>
        <v>150000</v>
      </c>
      <c r="H77" s="65">
        <f t="shared" si="8"/>
        <v>750</v>
      </c>
      <c r="J77" s="160"/>
      <c r="K77" s="328"/>
    </row>
    <row r="78" spans="3:11">
      <c r="C78" s="363">
        <v>4</v>
      </c>
      <c r="D78" s="60" t="s">
        <v>19</v>
      </c>
      <c r="E78" s="73" t="s">
        <v>6</v>
      </c>
      <c r="F78" s="184">
        <v>2E-3</v>
      </c>
      <c r="G78" s="65">
        <f>VLOOKUP(D78,upahbahan,3,FALSE)</f>
        <v>145000</v>
      </c>
      <c r="H78" s="65">
        <f t="shared" si="8"/>
        <v>290</v>
      </c>
      <c r="J78" s="160"/>
      <c r="K78" s="328"/>
    </row>
    <row r="79" spans="3:11">
      <c r="C79" s="84" t="s">
        <v>1220</v>
      </c>
      <c r="D79" s="81"/>
      <c r="E79" s="81"/>
      <c r="F79" s="220"/>
      <c r="G79" s="221"/>
      <c r="H79" s="65">
        <f>SUM(H75:H78)</f>
        <v>10900</v>
      </c>
      <c r="I79" s="222"/>
      <c r="J79" s="160"/>
      <c r="K79" s="328"/>
    </row>
    <row r="80" spans="3:11">
      <c r="C80" s="73" t="s">
        <v>1221</v>
      </c>
      <c r="D80" s="60" t="s">
        <v>1222</v>
      </c>
      <c r="E80" s="74"/>
      <c r="F80" s="74"/>
      <c r="G80" s="74"/>
      <c r="H80" s="74"/>
      <c r="J80" s="160"/>
      <c r="K80" s="328"/>
    </row>
    <row r="81" spans="3:11">
      <c r="C81" s="304">
        <v>1</v>
      </c>
      <c r="D81" s="78" t="s">
        <v>918</v>
      </c>
      <c r="E81" s="73" t="s">
        <v>114</v>
      </c>
      <c r="F81" s="75">
        <v>1.1499999999999999</v>
      </c>
      <c r="G81" s="65">
        <f>VLOOKUP(D81,upahbahan,3,FALSE)</f>
        <v>56000</v>
      </c>
      <c r="H81" s="65">
        <f t="shared" ref="H81" si="9">F81*G81</f>
        <v>64399.999999999993</v>
      </c>
      <c r="J81" s="160"/>
      <c r="K81" s="328"/>
    </row>
    <row r="82" spans="3:11">
      <c r="C82" s="84" t="s">
        <v>1226</v>
      </c>
      <c r="D82" s="81"/>
      <c r="E82" s="81"/>
      <c r="F82" s="81"/>
      <c r="G82" s="163"/>
      <c r="H82" s="65">
        <f>SUM(H81:H81)</f>
        <v>64399.999999999993</v>
      </c>
      <c r="J82" s="160"/>
      <c r="K82" s="328"/>
    </row>
    <row r="83" spans="3:11">
      <c r="C83" s="73" t="s">
        <v>1227</v>
      </c>
      <c r="D83" s="60" t="s">
        <v>1228</v>
      </c>
      <c r="E83" s="74"/>
      <c r="F83" s="74"/>
      <c r="G83" s="74"/>
      <c r="H83" s="74"/>
      <c r="J83" s="160"/>
      <c r="K83" s="328"/>
    </row>
    <row r="84" spans="3:11">
      <c r="C84" s="84" t="s">
        <v>1229</v>
      </c>
      <c r="D84" s="81"/>
      <c r="E84" s="81"/>
      <c r="F84" s="81"/>
      <c r="G84" s="163"/>
      <c r="H84" s="306">
        <v>0</v>
      </c>
      <c r="J84" s="160"/>
      <c r="K84" s="328"/>
    </row>
    <row r="85" spans="3:11">
      <c r="C85" s="59" t="s">
        <v>1230</v>
      </c>
      <c r="D85" s="70" t="s">
        <v>1231</v>
      </c>
      <c r="E85" s="71"/>
      <c r="F85" s="71"/>
      <c r="G85" s="72"/>
      <c r="H85" s="307">
        <f>H84+H82+H79</f>
        <v>75300</v>
      </c>
      <c r="I85" s="322"/>
      <c r="J85" s="160"/>
      <c r="K85" s="328"/>
    </row>
    <row r="86" spans="3:11">
      <c r="C86" s="59" t="s">
        <v>1232</v>
      </c>
      <c r="D86" s="70" t="s">
        <v>1410</v>
      </c>
      <c r="E86" s="71"/>
      <c r="F86" s="72"/>
      <c r="G86" s="96">
        <f>$M$7</f>
        <v>0.1</v>
      </c>
      <c r="H86" s="65">
        <f>H85*G86</f>
        <v>7530</v>
      </c>
      <c r="I86" s="322"/>
      <c r="J86" s="160"/>
      <c r="K86" s="328"/>
    </row>
    <row r="87" spans="3:11">
      <c r="C87" s="59" t="s">
        <v>1233</v>
      </c>
      <c r="D87" s="70" t="s">
        <v>1234</v>
      </c>
      <c r="E87" s="71"/>
      <c r="F87" s="71"/>
      <c r="G87" s="72"/>
      <c r="H87" s="308">
        <f>SUM(H85:H86)</f>
        <v>82830</v>
      </c>
      <c r="I87" s="322"/>
      <c r="J87" s="160"/>
      <c r="K87" s="328"/>
    </row>
    <row r="88" spans="3:11">
      <c r="C88" s="58"/>
      <c r="D88" s="82"/>
      <c r="E88" s="82"/>
      <c r="F88" s="82"/>
      <c r="G88" s="82"/>
      <c r="H88" s="83"/>
      <c r="J88" s="160"/>
      <c r="K88" s="328"/>
    </row>
    <row r="89" spans="3:11">
      <c r="C89" s="316" t="s">
        <v>1847</v>
      </c>
      <c r="D89" s="318"/>
      <c r="E89" s="318"/>
      <c r="F89" s="318"/>
      <c r="G89" s="318"/>
      <c r="H89" s="318"/>
      <c r="I89" s="57">
        <f>ROUNDDOWN(H104,-2)</f>
        <v>109700</v>
      </c>
      <c r="J89" s="160"/>
      <c r="K89" s="328"/>
    </row>
    <row r="90" spans="3:11" ht="28.5">
      <c r="C90" s="303" t="s">
        <v>1207</v>
      </c>
      <c r="D90" s="303" t="s">
        <v>1208</v>
      </c>
      <c r="E90" s="303" t="s">
        <v>1209</v>
      </c>
      <c r="F90" s="303" t="s">
        <v>1210</v>
      </c>
      <c r="G90" s="303" t="s">
        <v>1211</v>
      </c>
      <c r="H90" s="303" t="s">
        <v>1212</v>
      </c>
      <c r="J90" s="160"/>
      <c r="K90" s="328"/>
    </row>
    <row r="91" spans="3:11">
      <c r="C91" s="305" t="s">
        <v>1213</v>
      </c>
      <c r="D91" s="60" t="s">
        <v>1214</v>
      </c>
      <c r="E91" s="171"/>
      <c r="F91" s="74"/>
      <c r="G91" s="74"/>
      <c r="H91" s="74"/>
      <c r="J91" s="160"/>
      <c r="K91" s="328"/>
    </row>
    <row r="92" spans="3:11">
      <c r="C92" s="363">
        <v>1</v>
      </c>
      <c r="D92" s="60" t="s">
        <v>5</v>
      </c>
      <c r="E92" s="73" t="s">
        <v>6</v>
      </c>
      <c r="F92" s="75">
        <v>3.5999999999999997E-2</v>
      </c>
      <c r="G92" s="65">
        <f>VLOOKUP(D92,upahbahan,3,FALSE)</f>
        <v>100000</v>
      </c>
      <c r="H92" s="65">
        <f t="shared" ref="H92:H95" si="10">F92*G92</f>
        <v>3599.9999999999995</v>
      </c>
      <c r="J92" s="160"/>
      <c r="K92" s="328"/>
    </row>
    <row r="93" spans="3:11">
      <c r="C93" s="363">
        <v>2</v>
      </c>
      <c r="D93" s="60" t="str">
        <f>D76</f>
        <v>Tukang listrik</v>
      </c>
      <c r="E93" s="73" t="s">
        <v>6</v>
      </c>
      <c r="F93" s="75">
        <v>0.06</v>
      </c>
      <c r="G93" s="65">
        <f>VLOOKUP(D93,upahbahan,3,FALSE)</f>
        <v>145000</v>
      </c>
      <c r="H93" s="65">
        <f t="shared" si="10"/>
        <v>8700</v>
      </c>
      <c r="J93" s="160"/>
      <c r="K93" s="328"/>
    </row>
    <row r="94" spans="3:11">
      <c r="C94" s="363">
        <v>3</v>
      </c>
      <c r="D94" s="60" t="s">
        <v>18</v>
      </c>
      <c r="E94" s="73" t="s">
        <v>6</v>
      </c>
      <c r="F94" s="75">
        <v>6.0000000000000001E-3</v>
      </c>
      <c r="G94" s="65">
        <f>VLOOKUP(D94,upahbahan,3,FALSE)</f>
        <v>150000</v>
      </c>
      <c r="H94" s="65">
        <f t="shared" si="10"/>
        <v>900</v>
      </c>
      <c r="J94" s="160"/>
      <c r="K94" s="328"/>
    </row>
    <row r="95" spans="3:11">
      <c r="C95" s="363">
        <v>4</v>
      </c>
      <c r="D95" s="60" t="s">
        <v>19</v>
      </c>
      <c r="E95" s="73" t="s">
        <v>6</v>
      </c>
      <c r="F95" s="75">
        <v>2E-3</v>
      </c>
      <c r="G95" s="65">
        <f>VLOOKUP(D95,upahbahan,3,FALSE)</f>
        <v>145000</v>
      </c>
      <c r="H95" s="65">
        <f t="shared" si="10"/>
        <v>290</v>
      </c>
      <c r="J95" s="160"/>
      <c r="K95" s="328"/>
    </row>
    <row r="96" spans="3:11">
      <c r="C96" s="84" t="s">
        <v>1220</v>
      </c>
      <c r="D96" s="81"/>
      <c r="E96" s="81"/>
      <c r="F96" s="220"/>
      <c r="G96" s="221"/>
      <c r="H96" s="65">
        <f>SUM(H92:H95)</f>
        <v>13490</v>
      </c>
      <c r="I96" s="222"/>
      <c r="J96" s="160"/>
      <c r="K96" s="328"/>
    </row>
    <row r="97" spans="3:11">
      <c r="C97" s="73" t="s">
        <v>1221</v>
      </c>
      <c r="D97" s="60" t="s">
        <v>1222</v>
      </c>
      <c r="E97" s="74"/>
      <c r="F97" s="74"/>
      <c r="G97" s="74"/>
      <c r="H97" s="74"/>
      <c r="J97" s="160"/>
      <c r="K97" s="328"/>
    </row>
    <row r="98" spans="3:11">
      <c r="C98" s="304">
        <v>1</v>
      </c>
      <c r="D98" s="78" t="s">
        <v>921</v>
      </c>
      <c r="E98" s="73" t="s">
        <v>114</v>
      </c>
      <c r="F98" s="75">
        <f>F81</f>
        <v>1.1499999999999999</v>
      </c>
      <c r="G98" s="65">
        <f>VLOOKUP(D98,upahbahan,3,FALSE)</f>
        <v>75000</v>
      </c>
      <c r="H98" s="65">
        <f t="shared" ref="H98" si="11">F98*G98</f>
        <v>86250</v>
      </c>
      <c r="J98" s="160"/>
      <c r="K98" s="328"/>
    </row>
    <row r="99" spans="3:11">
      <c r="C99" s="84" t="s">
        <v>1226</v>
      </c>
      <c r="D99" s="81"/>
      <c r="E99" s="81"/>
      <c r="F99" s="81"/>
      <c r="G99" s="163"/>
      <c r="H99" s="65">
        <f>SUM(H98:H98)</f>
        <v>86250</v>
      </c>
      <c r="J99" s="160"/>
      <c r="K99" s="328"/>
    </row>
    <row r="100" spans="3:11">
      <c r="C100" s="73" t="s">
        <v>1227</v>
      </c>
      <c r="D100" s="60" t="s">
        <v>1228</v>
      </c>
      <c r="E100" s="74"/>
      <c r="F100" s="74"/>
      <c r="G100" s="74"/>
      <c r="H100" s="74"/>
      <c r="J100" s="160"/>
      <c r="K100" s="328"/>
    </row>
    <row r="101" spans="3:11">
      <c r="C101" s="84" t="s">
        <v>1229</v>
      </c>
      <c r="D101" s="81"/>
      <c r="E101" s="81"/>
      <c r="F101" s="81"/>
      <c r="G101" s="163"/>
      <c r="H101" s="306">
        <v>0</v>
      </c>
      <c r="J101" s="160"/>
      <c r="K101" s="328"/>
    </row>
    <row r="102" spans="3:11">
      <c r="C102" s="59" t="s">
        <v>1230</v>
      </c>
      <c r="D102" s="70" t="s">
        <v>1231</v>
      </c>
      <c r="E102" s="71"/>
      <c r="F102" s="71"/>
      <c r="G102" s="72"/>
      <c r="H102" s="307">
        <f>H101+H99+H96</f>
        <v>99740</v>
      </c>
      <c r="I102" s="322"/>
      <c r="J102" s="160"/>
      <c r="K102" s="328"/>
    </row>
    <row r="103" spans="3:11">
      <c r="C103" s="59" t="s">
        <v>1232</v>
      </c>
      <c r="D103" s="70" t="s">
        <v>1410</v>
      </c>
      <c r="E103" s="71"/>
      <c r="F103" s="72"/>
      <c r="G103" s="96">
        <f>$M$7</f>
        <v>0.1</v>
      </c>
      <c r="H103" s="65">
        <f>H102*G103</f>
        <v>9974</v>
      </c>
      <c r="I103" s="322"/>
      <c r="J103" s="160"/>
      <c r="K103" s="328"/>
    </row>
    <row r="104" spans="3:11">
      <c r="C104" s="59" t="s">
        <v>1233</v>
      </c>
      <c r="D104" s="70" t="s">
        <v>1234</v>
      </c>
      <c r="E104" s="71"/>
      <c r="F104" s="71"/>
      <c r="G104" s="72"/>
      <c r="H104" s="308">
        <f>SUM(H102:H103)</f>
        <v>109714</v>
      </c>
      <c r="I104" s="322"/>
      <c r="J104" s="160"/>
      <c r="K104" s="328"/>
    </row>
    <row r="105" spans="3:11">
      <c r="C105" s="58"/>
      <c r="D105" s="82"/>
      <c r="E105" s="82"/>
      <c r="F105" s="82"/>
      <c r="G105" s="82"/>
      <c r="H105" s="83"/>
      <c r="J105" s="160"/>
      <c r="K105" s="328"/>
    </row>
    <row r="106" spans="3:11">
      <c r="C106" s="316" t="s">
        <v>1848</v>
      </c>
      <c r="D106" s="318"/>
      <c r="E106" s="318"/>
      <c r="F106" s="318"/>
      <c r="G106" s="318"/>
      <c r="H106" s="318"/>
      <c r="I106" s="57">
        <f>ROUNDDOWN(H121,-2)</f>
        <v>140800</v>
      </c>
      <c r="J106" s="160"/>
      <c r="K106" s="328"/>
    </row>
    <row r="107" spans="3:11" ht="28.5">
      <c r="C107" s="303" t="s">
        <v>1207</v>
      </c>
      <c r="D107" s="303" t="s">
        <v>1208</v>
      </c>
      <c r="E107" s="303" t="s">
        <v>1209</v>
      </c>
      <c r="F107" s="303" t="s">
        <v>1210</v>
      </c>
      <c r="G107" s="303" t="s">
        <v>1211</v>
      </c>
      <c r="H107" s="303" t="s">
        <v>1212</v>
      </c>
      <c r="J107" s="160"/>
      <c r="K107" s="328"/>
    </row>
    <row r="108" spans="3:11">
      <c r="C108" s="305" t="s">
        <v>1213</v>
      </c>
      <c r="D108" s="60" t="s">
        <v>1214</v>
      </c>
      <c r="E108" s="171"/>
      <c r="F108" s="74"/>
      <c r="G108" s="74"/>
      <c r="H108" s="74"/>
      <c r="J108" s="160"/>
      <c r="K108" s="328"/>
    </row>
    <row r="109" spans="3:11">
      <c r="C109" s="363">
        <v>1</v>
      </c>
      <c r="D109" s="60" t="s">
        <v>5</v>
      </c>
      <c r="E109" s="73" t="s">
        <v>6</v>
      </c>
      <c r="F109" s="75">
        <v>3.5999999999999997E-2</v>
      </c>
      <c r="G109" s="65">
        <f>VLOOKUP(D109,upahbahan,3,FALSE)</f>
        <v>100000</v>
      </c>
      <c r="H109" s="65">
        <f t="shared" ref="H109:H112" si="12">F109*G109</f>
        <v>3599.9999999999995</v>
      </c>
      <c r="J109" s="160"/>
      <c r="K109" s="328"/>
    </row>
    <row r="110" spans="3:11">
      <c r="C110" s="363">
        <v>2</v>
      </c>
      <c r="D110" s="60" t="str">
        <f>D93</f>
        <v>Tukang listrik</v>
      </c>
      <c r="E110" s="73" t="s">
        <v>6</v>
      </c>
      <c r="F110" s="75">
        <v>0.06</v>
      </c>
      <c r="G110" s="65">
        <f>VLOOKUP(D110,upahbahan,3,FALSE)</f>
        <v>145000</v>
      </c>
      <c r="H110" s="65">
        <f t="shared" si="12"/>
        <v>8700</v>
      </c>
      <c r="J110" s="160"/>
      <c r="K110" s="328"/>
    </row>
    <row r="111" spans="3:11">
      <c r="C111" s="363">
        <v>3</v>
      </c>
      <c r="D111" s="60" t="s">
        <v>18</v>
      </c>
      <c r="E111" s="73" t="s">
        <v>6</v>
      </c>
      <c r="F111" s="75">
        <v>6.0000000000000001E-3</v>
      </c>
      <c r="G111" s="65">
        <f>VLOOKUP(D111,upahbahan,3,FALSE)</f>
        <v>150000</v>
      </c>
      <c r="H111" s="65">
        <f t="shared" si="12"/>
        <v>900</v>
      </c>
      <c r="J111" s="160"/>
      <c r="K111" s="328"/>
    </row>
    <row r="112" spans="3:11">
      <c r="C112" s="363">
        <v>4</v>
      </c>
      <c r="D112" s="60" t="s">
        <v>19</v>
      </c>
      <c r="E112" s="73" t="s">
        <v>6</v>
      </c>
      <c r="F112" s="75">
        <v>2E-3</v>
      </c>
      <c r="G112" s="65">
        <f>VLOOKUP(D112,upahbahan,3,FALSE)</f>
        <v>145000</v>
      </c>
      <c r="H112" s="65">
        <f t="shared" si="12"/>
        <v>290</v>
      </c>
      <c r="J112" s="160"/>
      <c r="K112" s="328"/>
    </row>
    <row r="113" spans="3:11">
      <c r="C113" s="84" t="s">
        <v>1220</v>
      </c>
      <c r="D113" s="81"/>
      <c r="E113" s="81"/>
      <c r="F113" s="220"/>
      <c r="G113" s="221"/>
      <c r="H113" s="65">
        <f>SUM(H109:H112)</f>
        <v>13490</v>
      </c>
      <c r="I113" s="222"/>
      <c r="J113" s="160"/>
      <c r="K113" s="328"/>
    </row>
    <row r="114" spans="3:11">
      <c r="C114" s="73" t="s">
        <v>1221</v>
      </c>
      <c r="D114" s="60" t="s">
        <v>1222</v>
      </c>
      <c r="E114" s="74"/>
      <c r="F114" s="74"/>
      <c r="G114" s="74"/>
      <c r="H114" s="74"/>
      <c r="J114" s="160"/>
      <c r="K114" s="328"/>
    </row>
    <row r="115" spans="3:11">
      <c r="C115" s="304">
        <v>1</v>
      </c>
      <c r="D115" s="78" t="s">
        <v>924</v>
      </c>
      <c r="E115" s="73" t="s">
        <v>114</v>
      </c>
      <c r="F115" s="75">
        <f>F98</f>
        <v>1.1499999999999999</v>
      </c>
      <c r="G115" s="65">
        <f>VLOOKUP(D115,upahbahan,3,FALSE)</f>
        <v>99600</v>
      </c>
      <c r="H115" s="65">
        <f t="shared" ref="H115" si="13">F115*G115</f>
        <v>114539.99999999999</v>
      </c>
      <c r="J115" s="160"/>
      <c r="K115" s="328"/>
    </row>
    <row r="116" spans="3:11">
      <c r="C116" s="84" t="s">
        <v>1226</v>
      </c>
      <c r="D116" s="81"/>
      <c r="E116" s="81"/>
      <c r="F116" s="81"/>
      <c r="G116" s="163"/>
      <c r="H116" s="65">
        <f>SUM(H115:H115)</f>
        <v>114539.99999999999</v>
      </c>
      <c r="J116" s="160"/>
      <c r="K116" s="328"/>
    </row>
    <row r="117" spans="3:11">
      <c r="C117" s="73" t="s">
        <v>1227</v>
      </c>
      <c r="D117" s="60" t="s">
        <v>1228</v>
      </c>
      <c r="E117" s="74"/>
      <c r="F117" s="74"/>
      <c r="G117" s="74"/>
      <c r="H117" s="74"/>
      <c r="J117" s="160"/>
      <c r="K117" s="328"/>
    </row>
    <row r="118" spans="3:11">
      <c r="C118" s="84" t="s">
        <v>1229</v>
      </c>
      <c r="D118" s="81"/>
      <c r="E118" s="81"/>
      <c r="F118" s="81"/>
      <c r="G118" s="163"/>
      <c r="H118" s="306">
        <v>0</v>
      </c>
      <c r="J118" s="160"/>
      <c r="K118" s="328"/>
    </row>
    <row r="119" spans="3:11">
      <c r="C119" s="59" t="s">
        <v>1230</v>
      </c>
      <c r="D119" s="70" t="s">
        <v>1231</v>
      </c>
      <c r="E119" s="71"/>
      <c r="F119" s="71"/>
      <c r="G119" s="72"/>
      <c r="H119" s="307">
        <f>H118+H116+H113</f>
        <v>128029.99999999999</v>
      </c>
      <c r="I119" s="322"/>
      <c r="J119" s="160"/>
      <c r="K119" s="328"/>
    </row>
    <row r="120" spans="3:11">
      <c r="C120" s="59" t="s">
        <v>1232</v>
      </c>
      <c r="D120" s="70" t="s">
        <v>1410</v>
      </c>
      <c r="E120" s="71"/>
      <c r="F120" s="72"/>
      <c r="G120" s="96">
        <f>$M$7</f>
        <v>0.1</v>
      </c>
      <c r="H120" s="65">
        <f>H119*G120</f>
        <v>12803</v>
      </c>
      <c r="I120" s="322"/>
      <c r="J120" s="160"/>
      <c r="K120" s="328"/>
    </row>
    <row r="121" spans="3:11">
      <c r="C121" s="59" t="s">
        <v>1233</v>
      </c>
      <c r="D121" s="70" t="s">
        <v>1234</v>
      </c>
      <c r="E121" s="71"/>
      <c r="F121" s="71"/>
      <c r="G121" s="72"/>
      <c r="H121" s="308">
        <f>SUM(H119:H120)</f>
        <v>140833</v>
      </c>
      <c r="I121" s="322"/>
      <c r="J121" s="160"/>
      <c r="K121" s="328"/>
    </row>
    <row r="122" spans="3:11">
      <c r="C122" s="58"/>
      <c r="D122" s="82"/>
      <c r="E122" s="82"/>
      <c r="F122" s="82"/>
      <c r="G122" s="82"/>
      <c r="H122" s="83"/>
      <c r="J122" s="160"/>
      <c r="K122" s="328"/>
    </row>
    <row r="123" spans="3:11">
      <c r="C123" s="316" t="s">
        <v>1849</v>
      </c>
      <c r="D123" s="318"/>
      <c r="E123" s="318"/>
      <c r="F123" s="318"/>
      <c r="G123" s="318"/>
      <c r="H123" s="318"/>
      <c r="I123" s="57">
        <f>ROUNDDOWN(H138,-2)</f>
        <v>204100</v>
      </c>
      <c r="J123" s="160"/>
      <c r="K123" s="328"/>
    </row>
    <row r="124" spans="3:11" ht="28.5">
      <c r="C124" s="303" t="s">
        <v>1207</v>
      </c>
      <c r="D124" s="303" t="s">
        <v>1208</v>
      </c>
      <c r="E124" s="303" t="s">
        <v>1209</v>
      </c>
      <c r="F124" s="303" t="s">
        <v>1210</v>
      </c>
      <c r="G124" s="303" t="s">
        <v>1211</v>
      </c>
      <c r="H124" s="303" t="s">
        <v>1212</v>
      </c>
      <c r="J124" s="160"/>
      <c r="K124" s="328"/>
    </row>
    <row r="125" spans="3:11">
      <c r="C125" s="305" t="s">
        <v>1213</v>
      </c>
      <c r="D125" s="60" t="s">
        <v>1214</v>
      </c>
      <c r="E125" s="171"/>
      <c r="F125" s="74"/>
      <c r="G125" s="74"/>
      <c r="H125" s="74"/>
      <c r="J125" s="160"/>
      <c r="K125" s="328"/>
    </row>
    <row r="126" spans="3:11">
      <c r="C126" s="363">
        <v>1</v>
      </c>
      <c r="D126" s="60" t="s">
        <v>5</v>
      </c>
      <c r="E126" s="73" t="s">
        <v>6</v>
      </c>
      <c r="F126" s="75">
        <v>0.06</v>
      </c>
      <c r="G126" s="65">
        <f>VLOOKUP(D126,upahbahan,3,FALSE)</f>
        <v>100000</v>
      </c>
      <c r="H126" s="65">
        <f t="shared" ref="H126:H129" si="14">F126*G126</f>
        <v>6000</v>
      </c>
      <c r="J126" s="160"/>
      <c r="K126" s="328"/>
    </row>
    <row r="127" spans="3:11">
      <c r="C127" s="363">
        <v>2</v>
      </c>
      <c r="D127" s="60" t="str">
        <f>D110</f>
        <v>Tukang listrik</v>
      </c>
      <c r="E127" s="73" t="s">
        <v>6</v>
      </c>
      <c r="F127" s="75">
        <v>9.9000000000000005E-2</v>
      </c>
      <c r="G127" s="65">
        <f>VLOOKUP(D127,upahbahan,3,FALSE)</f>
        <v>145000</v>
      </c>
      <c r="H127" s="65">
        <f t="shared" si="14"/>
        <v>14355</v>
      </c>
      <c r="J127" s="160"/>
      <c r="K127" s="328"/>
    </row>
    <row r="128" spans="3:11">
      <c r="C128" s="363">
        <v>3</v>
      </c>
      <c r="D128" s="60" t="s">
        <v>18</v>
      </c>
      <c r="E128" s="73" t="s">
        <v>6</v>
      </c>
      <c r="F128" s="75">
        <v>0.01</v>
      </c>
      <c r="G128" s="65">
        <f>VLOOKUP(D128,upahbahan,3,FALSE)</f>
        <v>150000</v>
      </c>
      <c r="H128" s="65">
        <f t="shared" si="14"/>
        <v>1500</v>
      </c>
      <c r="J128" s="160"/>
      <c r="K128" s="328"/>
    </row>
    <row r="129" spans="3:11">
      <c r="C129" s="363">
        <v>4</v>
      </c>
      <c r="D129" s="60" t="s">
        <v>19</v>
      </c>
      <c r="E129" s="73" t="s">
        <v>6</v>
      </c>
      <c r="F129" s="75">
        <v>3.0000000000000001E-3</v>
      </c>
      <c r="G129" s="65">
        <f>VLOOKUP(D129,upahbahan,3,FALSE)</f>
        <v>145000</v>
      </c>
      <c r="H129" s="65">
        <f t="shared" si="14"/>
        <v>435</v>
      </c>
      <c r="J129" s="160"/>
      <c r="K129" s="328"/>
    </row>
    <row r="130" spans="3:11">
      <c r="C130" s="84" t="s">
        <v>1220</v>
      </c>
      <c r="D130" s="81"/>
      <c r="E130" s="81"/>
      <c r="F130" s="190"/>
      <c r="G130" s="221"/>
      <c r="H130" s="65">
        <f>SUM(H126:H129)</f>
        <v>22290</v>
      </c>
      <c r="I130" s="222"/>
      <c r="J130" s="160"/>
      <c r="K130" s="328"/>
    </row>
    <row r="131" spans="3:11">
      <c r="C131" s="73" t="s">
        <v>1221</v>
      </c>
      <c r="D131" s="60" t="s">
        <v>1222</v>
      </c>
      <c r="E131" s="74"/>
      <c r="F131" s="208"/>
      <c r="G131" s="74"/>
      <c r="H131" s="74"/>
      <c r="J131" s="160"/>
      <c r="K131" s="328"/>
    </row>
    <row r="132" spans="3:11">
      <c r="C132" s="304">
        <v>1</v>
      </c>
      <c r="D132" s="78" t="s">
        <v>928</v>
      </c>
      <c r="E132" s="73" t="s">
        <v>114</v>
      </c>
      <c r="F132" s="75">
        <v>1.1499999999999999</v>
      </c>
      <c r="G132" s="65">
        <f>VLOOKUP(D132,upahbahan,3,FALSE)</f>
        <v>142000</v>
      </c>
      <c r="H132" s="65">
        <f t="shared" ref="H132" si="15">F132*G132</f>
        <v>163300</v>
      </c>
      <c r="J132" s="160"/>
      <c r="K132" s="328"/>
    </row>
    <row r="133" spans="3:11">
      <c r="C133" s="84" t="s">
        <v>1226</v>
      </c>
      <c r="D133" s="81"/>
      <c r="E133" s="81"/>
      <c r="F133" s="81"/>
      <c r="G133" s="163"/>
      <c r="H133" s="65">
        <f>SUM(H132:H132)</f>
        <v>163300</v>
      </c>
      <c r="J133" s="160"/>
      <c r="K133" s="328"/>
    </row>
    <row r="134" spans="3:11">
      <c r="C134" s="73" t="s">
        <v>1227</v>
      </c>
      <c r="D134" s="60" t="s">
        <v>1228</v>
      </c>
      <c r="E134" s="74"/>
      <c r="F134" s="74"/>
      <c r="G134" s="74"/>
      <c r="H134" s="74"/>
      <c r="J134" s="160"/>
      <c r="K134" s="328"/>
    </row>
    <row r="135" spans="3:11">
      <c r="C135" s="84" t="s">
        <v>1229</v>
      </c>
      <c r="D135" s="81"/>
      <c r="E135" s="81"/>
      <c r="F135" s="81"/>
      <c r="G135" s="163"/>
      <c r="H135" s="306">
        <v>0</v>
      </c>
      <c r="J135" s="160"/>
      <c r="K135" s="328"/>
    </row>
    <row r="136" spans="3:11">
      <c r="C136" s="59" t="s">
        <v>1230</v>
      </c>
      <c r="D136" s="70" t="s">
        <v>1231</v>
      </c>
      <c r="E136" s="71"/>
      <c r="F136" s="71"/>
      <c r="G136" s="72"/>
      <c r="H136" s="307">
        <f>H135+H133+H130</f>
        <v>185590</v>
      </c>
      <c r="I136" s="322"/>
      <c r="J136" s="160"/>
      <c r="K136" s="328"/>
    </row>
    <row r="137" spans="3:11">
      <c r="C137" s="59" t="s">
        <v>1232</v>
      </c>
      <c r="D137" s="70" t="s">
        <v>1410</v>
      </c>
      <c r="E137" s="71"/>
      <c r="F137" s="72"/>
      <c r="G137" s="96">
        <f>$M$7</f>
        <v>0.1</v>
      </c>
      <c r="H137" s="65">
        <f>H136*G137</f>
        <v>18559</v>
      </c>
      <c r="I137" s="322"/>
      <c r="J137" s="160"/>
      <c r="K137" s="328"/>
    </row>
    <row r="138" spans="3:11">
      <c r="C138" s="59" t="s">
        <v>1233</v>
      </c>
      <c r="D138" s="70" t="s">
        <v>1234</v>
      </c>
      <c r="E138" s="71"/>
      <c r="F138" s="71"/>
      <c r="G138" s="72"/>
      <c r="H138" s="308">
        <f>SUM(H136:H137)</f>
        <v>204149</v>
      </c>
      <c r="I138" s="322"/>
      <c r="J138" s="160"/>
      <c r="K138" s="328"/>
    </row>
    <row r="139" spans="3:11">
      <c r="C139" s="58"/>
      <c r="D139" s="82"/>
      <c r="E139" s="82"/>
      <c r="F139" s="82"/>
      <c r="G139" s="82"/>
      <c r="H139" s="83"/>
      <c r="J139" s="160"/>
      <c r="K139" s="328"/>
    </row>
    <row r="140" spans="3:11">
      <c r="C140" s="316" t="s">
        <v>1850</v>
      </c>
      <c r="D140" s="318"/>
      <c r="E140" s="318"/>
      <c r="F140" s="318"/>
      <c r="G140" s="318"/>
      <c r="H140" s="318"/>
      <c r="I140" s="57">
        <f>ROUNDDOWN(H155,-2)</f>
        <v>273000</v>
      </c>
      <c r="J140" s="160"/>
      <c r="K140" s="328"/>
    </row>
    <row r="141" spans="3:11" ht="28.5">
      <c r="C141" s="303" t="s">
        <v>1207</v>
      </c>
      <c r="D141" s="303" t="s">
        <v>1208</v>
      </c>
      <c r="E141" s="303" t="s">
        <v>1209</v>
      </c>
      <c r="F141" s="303" t="s">
        <v>1210</v>
      </c>
      <c r="G141" s="303" t="s">
        <v>1211</v>
      </c>
      <c r="H141" s="303" t="s">
        <v>1212</v>
      </c>
      <c r="J141" s="160"/>
      <c r="K141" s="328"/>
    </row>
    <row r="142" spans="3:11">
      <c r="C142" s="305" t="s">
        <v>1213</v>
      </c>
      <c r="D142" s="60" t="s">
        <v>1214</v>
      </c>
      <c r="E142" s="171"/>
      <c r="F142" s="74"/>
      <c r="G142" s="74"/>
      <c r="H142" s="74"/>
      <c r="J142" s="160"/>
      <c r="K142" s="328"/>
    </row>
    <row r="143" spans="3:11">
      <c r="C143" s="363">
        <v>1</v>
      </c>
      <c r="D143" s="60" t="s">
        <v>5</v>
      </c>
      <c r="E143" s="73" t="s">
        <v>6</v>
      </c>
      <c r="F143" s="75">
        <v>0.06</v>
      </c>
      <c r="G143" s="65">
        <f>VLOOKUP(D143,upahbahan,3,FALSE)</f>
        <v>100000</v>
      </c>
      <c r="H143" s="65">
        <f t="shared" ref="H143:H146" si="16">F143*G143</f>
        <v>6000</v>
      </c>
      <c r="J143" s="160"/>
      <c r="K143" s="328"/>
    </row>
    <row r="144" spans="3:11">
      <c r="C144" s="363">
        <v>2</v>
      </c>
      <c r="D144" s="60" t="str">
        <f>D127</f>
        <v>Tukang listrik</v>
      </c>
      <c r="E144" s="73" t="s">
        <v>6</v>
      </c>
      <c r="F144" s="75">
        <v>9.9000000000000005E-2</v>
      </c>
      <c r="G144" s="65">
        <f>VLOOKUP(D144,upahbahan,3,FALSE)</f>
        <v>145000</v>
      </c>
      <c r="H144" s="65">
        <f t="shared" si="16"/>
        <v>14355</v>
      </c>
      <c r="J144" s="160"/>
      <c r="K144" s="328"/>
    </row>
    <row r="145" spans="3:11">
      <c r="C145" s="363">
        <v>3</v>
      </c>
      <c r="D145" s="60" t="s">
        <v>18</v>
      </c>
      <c r="E145" s="73" t="s">
        <v>6</v>
      </c>
      <c r="F145" s="75">
        <v>0.01</v>
      </c>
      <c r="G145" s="65">
        <f>VLOOKUP(D145,upahbahan,3,FALSE)</f>
        <v>150000</v>
      </c>
      <c r="H145" s="65">
        <f t="shared" si="16"/>
        <v>1500</v>
      </c>
      <c r="J145" s="160"/>
      <c r="K145" s="328"/>
    </row>
    <row r="146" spans="3:11">
      <c r="C146" s="363">
        <v>4</v>
      </c>
      <c r="D146" s="60" t="s">
        <v>19</v>
      </c>
      <c r="E146" s="73" t="s">
        <v>6</v>
      </c>
      <c r="F146" s="75">
        <v>3.0000000000000001E-3</v>
      </c>
      <c r="G146" s="65">
        <f>VLOOKUP(D146,upahbahan,3,FALSE)</f>
        <v>145000</v>
      </c>
      <c r="H146" s="65">
        <f t="shared" si="16"/>
        <v>435</v>
      </c>
      <c r="J146" s="160"/>
      <c r="K146" s="328"/>
    </row>
    <row r="147" spans="3:11">
      <c r="C147" s="84" t="s">
        <v>1220</v>
      </c>
      <c r="D147" s="81"/>
      <c r="E147" s="81"/>
      <c r="F147" s="190"/>
      <c r="G147" s="221"/>
      <c r="H147" s="65">
        <f>SUM(H143:H146)</f>
        <v>22290</v>
      </c>
      <c r="I147" s="222"/>
      <c r="J147" s="160"/>
      <c r="K147" s="328"/>
    </row>
    <row r="148" spans="3:11">
      <c r="C148" s="73" t="s">
        <v>1221</v>
      </c>
      <c r="D148" s="60" t="s">
        <v>1222</v>
      </c>
      <c r="E148" s="74"/>
      <c r="F148" s="208"/>
      <c r="G148" s="74"/>
      <c r="H148" s="74"/>
      <c r="J148" s="160"/>
      <c r="K148" s="328"/>
    </row>
    <row r="149" spans="3:11">
      <c r="C149" s="304">
        <v>1</v>
      </c>
      <c r="D149" s="78" t="s">
        <v>929</v>
      </c>
      <c r="E149" s="73" t="s">
        <v>114</v>
      </c>
      <c r="F149" s="75">
        <v>1.1499999999999999</v>
      </c>
      <c r="G149" s="65">
        <f>VLOOKUP(D149,upahbahan,3,FALSE)</f>
        <v>196500</v>
      </c>
      <c r="H149" s="65">
        <f t="shared" ref="H149" si="17">F149*G149</f>
        <v>225974.99999999997</v>
      </c>
      <c r="J149" s="160"/>
      <c r="K149" s="328"/>
    </row>
    <row r="150" spans="3:11">
      <c r="C150" s="84" t="s">
        <v>1226</v>
      </c>
      <c r="D150" s="81"/>
      <c r="E150" s="81"/>
      <c r="F150" s="81"/>
      <c r="G150" s="163"/>
      <c r="H150" s="65">
        <f>SUM(H149:H149)</f>
        <v>225974.99999999997</v>
      </c>
      <c r="J150" s="160"/>
      <c r="K150" s="328"/>
    </row>
    <row r="151" spans="3:11">
      <c r="C151" s="73" t="s">
        <v>1227</v>
      </c>
      <c r="D151" s="60" t="s">
        <v>1228</v>
      </c>
      <c r="E151" s="74"/>
      <c r="F151" s="74"/>
      <c r="G151" s="74"/>
      <c r="H151" s="74"/>
      <c r="J151" s="160"/>
      <c r="K151" s="328"/>
    </row>
    <row r="152" spans="3:11">
      <c r="C152" s="84" t="s">
        <v>1229</v>
      </c>
      <c r="D152" s="81"/>
      <c r="E152" s="81"/>
      <c r="F152" s="81"/>
      <c r="G152" s="163"/>
      <c r="H152" s="306">
        <v>0</v>
      </c>
      <c r="J152" s="160"/>
      <c r="K152" s="328"/>
    </row>
    <row r="153" spans="3:11">
      <c r="C153" s="59" t="s">
        <v>1230</v>
      </c>
      <c r="D153" s="70" t="s">
        <v>1231</v>
      </c>
      <c r="E153" s="71"/>
      <c r="F153" s="71"/>
      <c r="G153" s="72"/>
      <c r="H153" s="307">
        <f>H152+H150+H147</f>
        <v>248264.99999999997</v>
      </c>
      <c r="I153" s="322"/>
      <c r="J153" s="160"/>
      <c r="K153" s="328"/>
    </row>
    <row r="154" spans="3:11">
      <c r="C154" s="59" t="s">
        <v>1232</v>
      </c>
      <c r="D154" s="70" t="s">
        <v>1410</v>
      </c>
      <c r="E154" s="71"/>
      <c r="F154" s="72"/>
      <c r="G154" s="96">
        <f>$M$7</f>
        <v>0.1</v>
      </c>
      <c r="H154" s="65">
        <f>H153*G154</f>
        <v>24826.5</v>
      </c>
      <c r="I154" s="322"/>
      <c r="J154" s="160"/>
      <c r="K154" s="328"/>
    </row>
    <row r="155" spans="3:11">
      <c r="C155" s="59" t="s">
        <v>1233</v>
      </c>
      <c r="D155" s="70" t="s">
        <v>1234</v>
      </c>
      <c r="E155" s="71"/>
      <c r="F155" s="71"/>
      <c r="G155" s="72"/>
      <c r="H155" s="308">
        <f>SUM(H153:H154)</f>
        <v>273091.5</v>
      </c>
      <c r="I155" s="322"/>
      <c r="J155" s="160"/>
      <c r="K155" s="328"/>
    </row>
    <row r="156" spans="3:11">
      <c r="C156" s="58"/>
      <c r="D156" s="82"/>
      <c r="E156" s="82"/>
      <c r="F156" s="82"/>
      <c r="G156" s="82"/>
      <c r="H156" s="83"/>
      <c r="J156" s="160"/>
      <c r="K156" s="328"/>
    </row>
    <row r="157" spans="3:11">
      <c r="C157" s="316" t="s">
        <v>1851</v>
      </c>
      <c r="D157" s="318"/>
      <c r="E157" s="318"/>
      <c r="F157" s="318"/>
      <c r="G157" s="318"/>
      <c r="H157" s="318"/>
      <c r="I157" s="57">
        <f>ROUNDDOWN(H172,-2)</f>
        <v>336300</v>
      </c>
      <c r="J157" s="160"/>
      <c r="K157" s="328"/>
    </row>
    <row r="158" spans="3:11" ht="28.5">
      <c r="C158" s="303" t="s">
        <v>1207</v>
      </c>
      <c r="D158" s="303" t="s">
        <v>1208</v>
      </c>
      <c r="E158" s="303" t="s">
        <v>1209</v>
      </c>
      <c r="F158" s="303" t="s">
        <v>1210</v>
      </c>
      <c r="G158" s="303" t="s">
        <v>1211</v>
      </c>
      <c r="H158" s="303" t="s">
        <v>1212</v>
      </c>
      <c r="J158" s="160"/>
      <c r="K158" s="328"/>
    </row>
    <row r="159" spans="3:11">
      <c r="C159" s="305" t="s">
        <v>1213</v>
      </c>
      <c r="D159" s="60" t="s">
        <v>1214</v>
      </c>
      <c r="E159" s="171"/>
      <c r="F159" s="74"/>
      <c r="G159" s="74"/>
      <c r="H159" s="74"/>
      <c r="J159" s="160"/>
      <c r="K159" s="328"/>
    </row>
    <row r="160" spans="3:11">
      <c r="C160" s="363">
        <v>1</v>
      </c>
      <c r="D160" s="60" t="s">
        <v>5</v>
      </c>
      <c r="E160" s="73" t="s">
        <v>6</v>
      </c>
      <c r="F160" s="75">
        <v>0.06</v>
      </c>
      <c r="G160" s="65">
        <f>VLOOKUP(D160,upahbahan,3,FALSE)</f>
        <v>100000</v>
      </c>
      <c r="H160" s="65">
        <f t="shared" ref="H160:H163" si="18">F160*G160</f>
        <v>6000</v>
      </c>
      <c r="J160" s="160"/>
      <c r="K160" s="328"/>
    </row>
    <row r="161" spans="3:11">
      <c r="C161" s="363">
        <v>2</v>
      </c>
      <c r="D161" s="60" t="str">
        <f>D144</f>
        <v>Tukang listrik</v>
      </c>
      <c r="E161" s="73" t="s">
        <v>6</v>
      </c>
      <c r="F161" s="75">
        <v>9.9000000000000005E-2</v>
      </c>
      <c r="G161" s="65">
        <f>VLOOKUP(D161,upahbahan,3,FALSE)</f>
        <v>145000</v>
      </c>
      <c r="H161" s="65">
        <f t="shared" si="18"/>
        <v>14355</v>
      </c>
      <c r="J161" s="160"/>
      <c r="K161" s="328"/>
    </row>
    <row r="162" spans="3:11">
      <c r="C162" s="363">
        <v>3</v>
      </c>
      <c r="D162" s="60" t="s">
        <v>18</v>
      </c>
      <c r="E162" s="73" t="s">
        <v>6</v>
      </c>
      <c r="F162" s="75">
        <v>0.01</v>
      </c>
      <c r="G162" s="65">
        <f>VLOOKUP(D162,upahbahan,3,FALSE)</f>
        <v>150000</v>
      </c>
      <c r="H162" s="65">
        <f t="shared" si="18"/>
        <v>1500</v>
      </c>
      <c r="J162" s="160"/>
      <c r="K162" s="328"/>
    </row>
    <row r="163" spans="3:11">
      <c r="C163" s="363">
        <v>4</v>
      </c>
      <c r="D163" s="60" t="s">
        <v>19</v>
      </c>
      <c r="E163" s="73" t="s">
        <v>6</v>
      </c>
      <c r="F163" s="75">
        <v>3.0000000000000001E-3</v>
      </c>
      <c r="G163" s="65">
        <f>VLOOKUP(D163,upahbahan,3,FALSE)</f>
        <v>145000</v>
      </c>
      <c r="H163" s="65">
        <f t="shared" si="18"/>
        <v>435</v>
      </c>
      <c r="J163" s="160"/>
      <c r="K163" s="328"/>
    </row>
    <row r="164" spans="3:11">
      <c r="C164" s="84" t="s">
        <v>1220</v>
      </c>
      <c r="D164" s="81"/>
      <c r="E164" s="81"/>
      <c r="F164" s="190"/>
      <c r="G164" s="221"/>
      <c r="H164" s="65">
        <f>SUM(H160:H163)</f>
        <v>22290</v>
      </c>
      <c r="I164" s="222"/>
      <c r="J164" s="160"/>
      <c r="K164" s="328"/>
    </row>
    <row r="165" spans="3:11">
      <c r="C165" s="73" t="s">
        <v>1221</v>
      </c>
      <c r="D165" s="60" t="s">
        <v>1222</v>
      </c>
      <c r="E165" s="74"/>
      <c r="F165" s="208"/>
      <c r="G165" s="74"/>
      <c r="H165" s="74"/>
      <c r="J165" s="160"/>
      <c r="K165" s="328"/>
    </row>
    <row r="166" spans="3:11">
      <c r="C166" s="304">
        <v>1</v>
      </c>
      <c r="D166" s="78" t="s">
        <v>914</v>
      </c>
      <c r="E166" s="73" t="s">
        <v>114</v>
      </c>
      <c r="F166" s="75">
        <v>1.1499999999999999</v>
      </c>
      <c r="G166" s="65">
        <f>VLOOKUP(D166,upahbahan,3,FALSE)</f>
        <v>246500</v>
      </c>
      <c r="H166" s="65">
        <f t="shared" ref="H166" si="19">F166*G166</f>
        <v>283475</v>
      </c>
      <c r="J166" s="160"/>
      <c r="K166" s="328"/>
    </row>
    <row r="167" spans="3:11">
      <c r="C167" s="84" t="s">
        <v>1226</v>
      </c>
      <c r="D167" s="81"/>
      <c r="E167" s="81"/>
      <c r="F167" s="81"/>
      <c r="G167" s="163"/>
      <c r="H167" s="65">
        <f>SUM(H166:H166)</f>
        <v>283475</v>
      </c>
      <c r="J167" s="160"/>
      <c r="K167" s="328"/>
    </row>
    <row r="168" spans="3:11">
      <c r="C168" s="73" t="s">
        <v>1227</v>
      </c>
      <c r="D168" s="60" t="s">
        <v>1228</v>
      </c>
      <c r="E168" s="74"/>
      <c r="F168" s="74"/>
      <c r="G168" s="74"/>
      <c r="H168" s="74"/>
      <c r="J168" s="160"/>
      <c r="K168" s="328"/>
    </row>
    <row r="169" spans="3:11">
      <c r="C169" s="84" t="s">
        <v>1229</v>
      </c>
      <c r="D169" s="81"/>
      <c r="E169" s="81"/>
      <c r="F169" s="81"/>
      <c r="G169" s="163"/>
      <c r="H169" s="306">
        <v>0</v>
      </c>
      <c r="J169" s="160"/>
      <c r="K169" s="328"/>
    </row>
    <row r="170" spans="3:11">
      <c r="C170" s="59" t="s">
        <v>1230</v>
      </c>
      <c r="D170" s="70" t="s">
        <v>1231</v>
      </c>
      <c r="E170" s="71"/>
      <c r="F170" s="71"/>
      <c r="G170" s="72"/>
      <c r="H170" s="307">
        <f>H169+H167+H164</f>
        <v>305765</v>
      </c>
      <c r="I170" s="322"/>
      <c r="J170" s="160"/>
      <c r="K170" s="328"/>
    </row>
    <row r="171" spans="3:11">
      <c r="C171" s="59" t="s">
        <v>1232</v>
      </c>
      <c r="D171" s="70" t="s">
        <v>1410</v>
      </c>
      <c r="E171" s="71"/>
      <c r="F171" s="72"/>
      <c r="G171" s="96">
        <f>$M$7</f>
        <v>0.1</v>
      </c>
      <c r="H171" s="65">
        <f>H170*G171</f>
        <v>30576.5</v>
      </c>
      <c r="I171" s="322"/>
      <c r="J171" s="160"/>
      <c r="K171" s="328"/>
    </row>
    <row r="172" spans="3:11">
      <c r="C172" s="59" t="s">
        <v>1233</v>
      </c>
      <c r="D172" s="70" t="s">
        <v>1234</v>
      </c>
      <c r="E172" s="71"/>
      <c r="F172" s="71"/>
      <c r="G172" s="72"/>
      <c r="H172" s="308">
        <f>SUM(H170:H171)</f>
        <v>336341.5</v>
      </c>
      <c r="I172" s="322"/>
      <c r="J172" s="160"/>
      <c r="K172" s="328"/>
    </row>
    <row r="173" spans="3:11">
      <c r="C173" s="58"/>
      <c r="D173" s="82"/>
      <c r="E173" s="82"/>
      <c r="F173" s="82"/>
      <c r="G173" s="82"/>
      <c r="H173" s="83"/>
      <c r="J173" s="160"/>
      <c r="K173" s="328"/>
    </row>
    <row r="174" spans="3:11">
      <c r="C174" s="316" t="s">
        <v>1852</v>
      </c>
      <c r="D174" s="318"/>
      <c r="E174" s="318"/>
      <c r="F174" s="318"/>
      <c r="G174" s="318"/>
      <c r="H174" s="318"/>
      <c r="I174" s="57">
        <f>ROUNDDOWN(H189,-2)</f>
        <v>407800</v>
      </c>
      <c r="J174" s="160"/>
      <c r="K174" s="328"/>
    </row>
    <row r="175" spans="3:11" ht="28.5">
      <c r="C175" s="303" t="s">
        <v>1207</v>
      </c>
      <c r="D175" s="303" t="s">
        <v>1208</v>
      </c>
      <c r="E175" s="303" t="s">
        <v>1209</v>
      </c>
      <c r="F175" s="303" t="s">
        <v>1210</v>
      </c>
      <c r="G175" s="303" t="s">
        <v>1211</v>
      </c>
      <c r="H175" s="303" t="s">
        <v>1212</v>
      </c>
      <c r="J175" s="160"/>
      <c r="K175" s="328"/>
    </row>
    <row r="176" spans="3:11">
      <c r="C176" s="305" t="s">
        <v>1213</v>
      </c>
      <c r="D176" s="60" t="s">
        <v>1214</v>
      </c>
      <c r="E176" s="171"/>
      <c r="F176" s="74"/>
      <c r="G176" s="74"/>
      <c r="H176" s="74"/>
      <c r="J176" s="160"/>
      <c r="K176" s="328"/>
    </row>
    <row r="177" spans="3:11">
      <c r="C177" s="363">
        <v>1</v>
      </c>
      <c r="D177" s="60" t="s">
        <v>5</v>
      </c>
      <c r="E177" s="73" t="s">
        <v>6</v>
      </c>
      <c r="F177" s="75">
        <v>0.06</v>
      </c>
      <c r="G177" s="65">
        <f>VLOOKUP(D177,upahbahan,3,FALSE)</f>
        <v>100000</v>
      </c>
      <c r="H177" s="65">
        <f t="shared" ref="H177:H180" si="20">F177*G177</f>
        <v>6000</v>
      </c>
      <c r="J177" s="160"/>
      <c r="K177" s="328"/>
    </row>
    <row r="178" spans="3:11">
      <c r="C178" s="363">
        <v>2</v>
      </c>
      <c r="D178" s="60" t="str">
        <f>D161</f>
        <v>Tukang listrik</v>
      </c>
      <c r="E178" s="73" t="s">
        <v>6</v>
      </c>
      <c r="F178" s="75">
        <v>9.9000000000000005E-2</v>
      </c>
      <c r="G178" s="65">
        <f>VLOOKUP(D178,upahbahan,3,FALSE)</f>
        <v>145000</v>
      </c>
      <c r="H178" s="65">
        <f t="shared" si="20"/>
        <v>14355</v>
      </c>
      <c r="J178" s="160"/>
      <c r="K178" s="328"/>
    </row>
    <row r="179" spans="3:11">
      <c r="C179" s="363">
        <v>3</v>
      </c>
      <c r="D179" s="60" t="s">
        <v>18</v>
      </c>
      <c r="E179" s="73" t="s">
        <v>6</v>
      </c>
      <c r="F179" s="75">
        <v>0.01</v>
      </c>
      <c r="G179" s="65">
        <f>VLOOKUP(D179,upahbahan,3,FALSE)</f>
        <v>150000</v>
      </c>
      <c r="H179" s="65">
        <f t="shared" si="20"/>
        <v>1500</v>
      </c>
      <c r="J179" s="160"/>
      <c r="K179" s="328"/>
    </row>
    <row r="180" spans="3:11">
      <c r="C180" s="363">
        <v>4</v>
      </c>
      <c r="D180" s="60" t="s">
        <v>19</v>
      </c>
      <c r="E180" s="73" t="s">
        <v>6</v>
      </c>
      <c r="F180" s="75">
        <v>3.0000000000000001E-3</v>
      </c>
      <c r="G180" s="65">
        <f>VLOOKUP(D180,upahbahan,3,FALSE)</f>
        <v>145000</v>
      </c>
      <c r="H180" s="65">
        <f t="shared" si="20"/>
        <v>435</v>
      </c>
      <c r="J180" s="160"/>
      <c r="K180" s="328"/>
    </row>
    <row r="181" spans="3:11">
      <c r="C181" s="84" t="s">
        <v>1220</v>
      </c>
      <c r="D181" s="81"/>
      <c r="E181" s="81"/>
      <c r="F181" s="190"/>
      <c r="G181" s="221"/>
      <c r="H181" s="65">
        <f>SUM(H177:H180)</f>
        <v>22290</v>
      </c>
      <c r="I181" s="222"/>
      <c r="J181" s="160"/>
      <c r="K181" s="328"/>
    </row>
    <row r="182" spans="3:11">
      <c r="C182" s="73" t="s">
        <v>1221</v>
      </c>
      <c r="D182" s="60" t="s">
        <v>1222</v>
      </c>
      <c r="E182" s="74"/>
      <c r="F182" s="208"/>
      <c r="G182" s="74"/>
      <c r="H182" s="74"/>
      <c r="J182" s="160"/>
      <c r="K182" s="328"/>
    </row>
    <row r="183" spans="3:11">
      <c r="C183" s="304">
        <v>1</v>
      </c>
      <c r="D183" s="78" t="s">
        <v>915</v>
      </c>
      <c r="E183" s="73" t="s">
        <v>114</v>
      </c>
      <c r="F183" s="75">
        <v>1.1499999999999999</v>
      </c>
      <c r="G183" s="65">
        <f>VLOOKUP(D183,upahbahan,3,FALSE)</f>
        <v>303000</v>
      </c>
      <c r="H183" s="65">
        <f t="shared" ref="H183" si="21">F183*G183</f>
        <v>348450</v>
      </c>
      <c r="J183" s="160"/>
      <c r="K183" s="328"/>
    </row>
    <row r="184" spans="3:11">
      <c r="C184" s="84" t="s">
        <v>1226</v>
      </c>
      <c r="D184" s="81"/>
      <c r="E184" s="81"/>
      <c r="F184" s="81"/>
      <c r="G184" s="163"/>
      <c r="H184" s="65">
        <f>SUM(H183:H183)</f>
        <v>348450</v>
      </c>
      <c r="J184" s="160"/>
      <c r="K184" s="328"/>
    </row>
    <row r="185" spans="3:11">
      <c r="C185" s="73" t="s">
        <v>1227</v>
      </c>
      <c r="D185" s="60" t="s">
        <v>1228</v>
      </c>
      <c r="E185" s="74"/>
      <c r="F185" s="74"/>
      <c r="G185" s="74"/>
      <c r="H185" s="74"/>
      <c r="J185" s="160"/>
      <c r="K185" s="328"/>
    </row>
    <row r="186" spans="3:11">
      <c r="C186" s="84" t="s">
        <v>1229</v>
      </c>
      <c r="D186" s="81"/>
      <c r="E186" s="81"/>
      <c r="F186" s="81"/>
      <c r="G186" s="163"/>
      <c r="H186" s="306">
        <v>0</v>
      </c>
      <c r="J186" s="160"/>
      <c r="K186" s="328"/>
    </row>
    <row r="187" spans="3:11">
      <c r="C187" s="59" t="s">
        <v>1230</v>
      </c>
      <c r="D187" s="70" t="s">
        <v>1231</v>
      </c>
      <c r="E187" s="71"/>
      <c r="F187" s="71"/>
      <c r="G187" s="72"/>
      <c r="H187" s="307">
        <f>H186+H184+H181</f>
        <v>370740</v>
      </c>
      <c r="I187" s="322"/>
      <c r="J187" s="160"/>
      <c r="K187" s="328"/>
    </row>
    <row r="188" spans="3:11">
      <c r="C188" s="59" t="s">
        <v>1232</v>
      </c>
      <c r="D188" s="70" t="s">
        <v>1410</v>
      </c>
      <c r="E188" s="71"/>
      <c r="F188" s="72"/>
      <c r="G188" s="96">
        <f>$M$7</f>
        <v>0.1</v>
      </c>
      <c r="H188" s="65">
        <f>H187*G188</f>
        <v>37074</v>
      </c>
      <c r="I188" s="322"/>
      <c r="J188" s="160"/>
      <c r="K188" s="328"/>
    </row>
    <row r="189" spans="3:11">
      <c r="C189" s="59" t="s">
        <v>1233</v>
      </c>
      <c r="D189" s="70" t="s">
        <v>1234</v>
      </c>
      <c r="E189" s="71"/>
      <c r="F189" s="71"/>
      <c r="G189" s="72"/>
      <c r="H189" s="308">
        <f>SUM(H187:H188)</f>
        <v>407814</v>
      </c>
      <c r="I189" s="322"/>
      <c r="J189" s="160"/>
      <c r="K189" s="328"/>
    </row>
    <row r="190" spans="3:11">
      <c r="C190" s="58"/>
      <c r="D190" s="82"/>
      <c r="E190" s="82"/>
      <c r="F190" s="82"/>
      <c r="G190" s="82"/>
      <c r="H190" s="83"/>
      <c r="J190" s="160"/>
      <c r="K190" s="328"/>
    </row>
    <row r="191" spans="3:11">
      <c r="C191" s="316" t="s">
        <v>1853</v>
      </c>
      <c r="D191" s="318"/>
      <c r="E191" s="318"/>
      <c r="F191" s="318"/>
      <c r="G191" s="318"/>
      <c r="H191" s="318"/>
      <c r="I191" s="57">
        <f>ROUNDDOWN(H206,-2)</f>
        <v>506300</v>
      </c>
      <c r="J191" s="160"/>
      <c r="K191" s="328"/>
    </row>
    <row r="192" spans="3:11" ht="28.5">
      <c r="C192" s="303" t="s">
        <v>1207</v>
      </c>
      <c r="D192" s="303" t="s">
        <v>1208</v>
      </c>
      <c r="E192" s="303" t="s">
        <v>1209</v>
      </c>
      <c r="F192" s="303" t="s">
        <v>1210</v>
      </c>
      <c r="G192" s="303" t="s">
        <v>1211</v>
      </c>
      <c r="H192" s="303" t="s">
        <v>1212</v>
      </c>
      <c r="J192" s="160"/>
      <c r="K192" s="328"/>
    </row>
    <row r="193" spans="3:11">
      <c r="C193" s="305" t="s">
        <v>1213</v>
      </c>
      <c r="D193" s="60" t="s">
        <v>1214</v>
      </c>
      <c r="E193" s="171"/>
      <c r="F193" s="74"/>
      <c r="G193" s="74"/>
      <c r="H193" s="74"/>
      <c r="J193" s="160"/>
      <c r="K193" s="328"/>
    </row>
    <row r="194" spans="3:11">
      <c r="C194" s="363">
        <v>1</v>
      </c>
      <c r="D194" s="60" t="s">
        <v>5</v>
      </c>
      <c r="E194" s="73" t="s">
        <v>6</v>
      </c>
      <c r="F194" s="184">
        <v>7.0999999999999994E-2</v>
      </c>
      <c r="G194" s="65">
        <f>VLOOKUP(D194,upahbahan,3,FALSE)</f>
        <v>100000</v>
      </c>
      <c r="H194" s="65">
        <f t="shared" ref="H194:H197" si="22">F194*G194</f>
        <v>7099.9999999999991</v>
      </c>
      <c r="J194" s="160"/>
      <c r="K194" s="328"/>
    </row>
    <row r="195" spans="3:11">
      <c r="C195" s="363">
        <v>2</v>
      </c>
      <c r="D195" s="60" t="str">
        <f>D178</f>
        <v>Tukang listrik</v>
      </c>
      <c r="E195" s="73" t="s">
        <v>6</v>
      </c>
      <c r="F195" s="184">
        <v>0.11899999999999999</v>
      </c>
      <c r="G195" s="65">
        <f>VLOOKUP(D195,upahbahan,3,FALSE)</f>
        <v>145000</v>
      </c>
      <c r="H195" s="65">
        <f t="shared" si="22"/>
        <v>17255</v>
      </c>
      <c r="J195" s="160"/>
      <c r="K195" s="328"/>
    </row>
    <row r="196" spans="3:11">
      <c r="C196" s="363">
        <v>3</v>
      </c>
      <c r="D196" s="60" t="s">
        <v>18</v>
      </c>
      <c r="E196" s="73" t="s">
        <v>6</v>
      </c>
      <c r="F196" s="184">
        <v>1.2E-2</v>
      </c>
      <c r="G196" s="65">
        <f>VLOOKUP(D196,upahbahan,3,FALSE)</f>
        <v>150000</v>
      </c>
      <c r="H196" s="65">
        <f t="shared" si="22"/>
        <v>1800</v>
      </c>
      <c r="J196" s="160"/>
      <c r="K196" s="328"/>
    </row>
    <row r="197" spans="3:11">
      <c r="C197" s="363">
        <v>4</v>
      </c>
      <c r="D197" s="60" t="s">
        <v>19</v>
      </c>
      <c r="E197" s="73" t="s">
        <v>6</v>
      </c>
      <c r="F197" s="184">
        <v>4.0000000000000001E-3</v>
      </c>
      <c r="G197" s="65">
        <f>VLOOKUP(D197,upahbahan,3,FALSE)</f>
        <v>145000</v>
      </c>
      <c r="H197" s="65">
        <f t="shared" si="22"/>
        <v>580</v>
      </c>
      <c r="J197" s="160"/>
      <c r="K197" s="328"/>
    </row>
    <row r="198" spans="3:11">
      <c r="C198" s="84" t="s">
        <v>1220</v>
      </c>
      <c r="D198" s="81"/>
      <c r="E198" s="81"/>
      <c r="F198" s="220"/>
      <c r="G198" s="221"/>
      <c r="H198" s="65">
        <f>SUM(H194:H197)</f>
        <v>26735</v>
      </c>
      <c r="I198" s="222"/>
      <c r="J198" s="160"/>
      <c r="K198" s="328"/>
    </row>
    <row r="199" spans="3:11">
      <c r="C199" s="73" t="s">
        <v>1221</v>
      </c>
      <c r="D199" s="60" t="s">
        <v>1222</v>
      </c>
      <c r="E199" s="74"/>
      <c r="F199" s="74"/>
      <c r="G199" s="74"/>
      <c r="H199" s="74"/>
      <c r="J199" s="160"/>
      <c r="K199" s="328"/>
    </row>
    <row r="200" spans="3:11">
      <c r="C200" s="304">
        <v>1</v>
      </c>
      <c r="D200" s="78" t="s">
        <v>917</v>
      </c>
      <c r="E200" s="73" t="s">
        <v>114</v>
      </c>
      <c r="F200" s="75">
        <v>1.1499999999999999</v>
      </c>
      <c r="G200" s="65">
        <f>VLOOKUP(D200,upahbahan,3,FALSE)</f>
        <v>377000</v>
      </c>
      <c r="H200" s="65">
        <f t="shared" ref="H200" si="23">F200*G200</f>
        <v>433549.99999999994</v>
      </c>
      <c r="J200" s="160"/>
      <c r="K200" s="328"/>
    </row>
    <row r="201" spans="3:11">
      <c r="C201" s="84" t="s">
        <v>1226</v>
      </c>
      <c r="D201" s="81"/>
      <c r="E201" s="81"/>
      <c r="F201" s="81"/>
      <c r="G201" s="163"/>
      <c r="H201" s="65">
        <f>SUM(H200:H200)</f>
        <v>433549.99999999994</v>
      </c>
      <c r="J201" s="160"/>
      <c r="K201" s="328"/>
    </row>
    <row r="202" spans="3:11">
      <c r="C202" s="73" t="s">
        <v>1227</v>
      </c>
      <c r="D202" s="60" t="s">
        <v>1228</v>
      </c>
      <c r="E202" s="74"/>
      <c r="F202" s="74"/>
      <c r="G202" s="74"/>
      <c r="H202" s="74"/>
      <c r="J202" s="160"/>
      <c r="K202" s="328"/>
    </row>
    <row r="203" spans="3:11">
      <c r="C203" s="84" t="s">
        <v>1229</v>
      </c>
      <c r="D203" s="81"/>
      <c r="E203" s="81"/>
      <c r="F203" s="81"/>
      <c r="G203" s="163"/>
      <c r="H203" s="306">
        <v>0</v>
      </c>
      <c r="J203" s="160"/>
      <c r="K203" s="328"/>
    </row>
    <row r="204" spans="3:11">
      <c r="C204" s="59" t="s">
        <v>1230</v>
      </c>
      <c r="D204" s="70" t="s">
        <v>1231</v>
      </c>
      <c r="E204" s="71"/>
      <c r="F204" s="71"/>
      <c r="G204" s="72"/>
      <c r="H204" s="307">
        <f>H203+H201+H198</f>
        <v>460284.99999999994</v>
      </c>
      <c r="I204" s="322"/>
      <c r="J204" s="160"/>
      <c r="K204" s="328"/>
    </row>
    <row r="205" spans="3:11">
      <c r="C205" s="59" t="s">
        <v>1232</v>
      </c>
      <c r="D205" s="70" t="s">
        <v>1410</v>
      </c>
      <c r="E205" s="71"/>
      <c r="F205" s="72"/>
      <c r="G205" s="96">
        <f>$M$7</f>
        <v>0.1</v>
      </c>
      <c r="H205" s="65">
        <f>H204*G205</f>
        <v>46028.5</v>
      </c>
      <c r="I205" s="322"/>
      <c r="J205" s="160"/>
      <c r="K205" s="328"/>
    </row>
    <row r="206" spans="3:11">
      <c r="C206" s="59" t="s">
        <v>1233</v>
      </c>
      <c r="D206" s="70" t="s">
        <v>1234</v>
      </c>
      <c r="E206" s="71"/>
      <c r="F206" s="71"/>
      <c r="G206" s="72"/>
      <c r="H206" s="308">
        <f>SUM(H204:H205)</f>
        <v>506313.49999999994</v>
      </c>
      <c r="I206" s="322"/>
      <c r="J206" s="160"/>
      <c r="K206" s="328"/>
    </row>
    <row r="207" spans="3:11">
      <c r="C207" s="58"/>
      <c r="D207" s="82"/>
      <c r="E207" s="82"/>
      <c r="F207" s="82"/>
      <c r="G207" s="82"/>
      <c r="H207" s="83"/>
      <c r="J207" s="160"/>
      <c r="K207" s="328"/>
    </row>
    <row r="208" spans="3:11">
      <c r="C208" s="316" t="s">
        <v>1854</v>
      </c>
      <c r="D208" s="318"/>
      <c r="E208" s="318"/>
      <c r="F208" s="318"/>
      <c r="G208" s="318"/>
      <c r="H208" s="318"/>
      <c r="I208" s="57">
        <f>ROUNDDOWN(H223,-2)</f>
        <v>656800</v>
      </c>
      <c r="J208" s="160"/>
      <c r="K208" s="328"/>
    </row>
    <row r="209" spans="3:11" ht="28.5">
      <c r="C209" s="303" t="s">
        <v>1207</v>
      </c>
      <c r="D209" s="303" t="s">
        <v>1208</v>
      </c>
      <c r="E209" s="303" t="s">
        <v>1209</v>
      </c>
      <c r="F209" s="303" t="s">
        <v>1210</v>
      </c>
      <c r="G209" s="303" t="s">
        <v>1211</v>
      </c>
      <c r="H209" s="303" t="s">
        <v>1212</v>
      </c>
      <c r="J209" s="160"/>
      <c r="K209" s="328"/>
    </row>
    <row r="210" spans="3:11">
      <c r="C210" s="305" t="s">
        <v>1213</v>
      </c>
      <c r="D210" s="60" t="s">
        <v>1214</v>
      </c>
      <c r="E210" s="171"/>
      <c r="F210" s="74"/>
      <c r="G210" s="74"/>
      <c r="H210" s="74"/>
      <c r="J210" s="160"/>
      <c r="K210" s="328"/>
    </row>
    <row r="211" spans="3:11">
      <c r="C211" s="363">
        <v>1</v>
      </c>
      <c r="D211" s="60" t="s">
        <v>5</v>
      </c>
      <c r="E211" s="73" t="s">
        <v>6</v>
      </c>
      <c r="F211" s="184">
        <v>7.0999999999999994E-2</v>
      </c>
      <c r="G211" s="65">
        <f>VLOOKUP(D211,upahbahan,3,FALSE)</f>
        <v>100000</v>
      </c>
      <c r="H211" s="65">
        <f t="shared" ref="H211:H214" si="24">F211*G211</f>
        <v>7099.9999999999991</v>
      </c>
      <c r="J211" s="160"/>
      <c r="K211" s="328"/>
    </row>
    <row r="212" spans="3:11">
      <c r="C212" s="363">
        <v>2</v>
      </c>
      <c r="D212" s="60" t="str">
        <f>D195</f>
        <v>Tukang listrik</v>
      </c>
      <c r="E212" s="73" t="s">
        <v>6</v>
      </c>
      <c r="F212" s="184">
        <v>0.11899999999999999</v>
      </c>
      <c r="G212" s="65">
        <f>VLOOKUP(D212,upahbahan,3,FALSE)</f>
        <v>145000</v>
      </c>
      <c r="H212" s="65">
        <f t="shared" si="24"/>
        <v>17255</v>
      </c>
      <c r="J212" s="160"/>
      <c r="K212" s="328"/>
    </row>
    <row r="213" spans="3:11">
      <c r="C213" s="363">
        <v>3</v>
      </c>
      <c r="D213" s="60" t="s">
        <v>18</v>
      </c>
      <c r="E213" s="73" t="s">
        <v>6</v>
      </c>
      <c r="F213" s="184">
        <v>1.2E-2</v>
      </c>
      <c r="G213" s="65">
        <f>VLOOKUP(D213,upahbahan,3,FALSE)</f>
        <v>150000</v>
      </c>
      <c r="H213" s="65">
        <f t="shared" si="24"/>
        <v>1800</v>
      </c>
      <c r="J213" s="160"/>
      <c r="K213" s="328"/>
    </row>
    <row r="214" spans="3:11">
      <c r="C214" s="363">
        <v>4</v>
      </c>
      <c r="D214" s="60" t="s">
        <v>19</v>
      </c>
      <c r="E214" s="73" t="s">
        <v>6</v>
      </c>
      <c r="F214" s="184">
        <v>4.0000000000000001E-3</v>
      </c>
      <c r="G214" s="65">
        <f>VLOOKUP(D214,upahbahan,3,FALSE)</f>
        <v>145000</v>
      </c>
      <c r="H214" s="65">
        <f t="shared" si="24"/>
        <v>580</v>
      </c>
      <c r="J214" s="160"/>
      <c r="K214" s="328"/>
    </row>
    <row r="215" spans="3:11">
      <c r="C215" s="84" t="s">
        <v>1220</v>
      </c>
      <c r="D215" s="81"/>
      <c r="E215" s="81"/>
      <c r="F215" s="220"/>
      <c r="G215" s="221"/>
      <c r="H215" s="65">
        <f>SUM(H211:H214)</f>
        <v>26735</v>
      </c>
      <c r="I215" s="222"/>
      <c r="J215" s="160"/>
      <c r="K215" s="328"/>
    </row>
    <row r="216" spans="3:11">
      <c r="C216" s="73" t="s">
        <v>1221</v>
      </c>
      <c r="D216" s="60" t="s">
        <v>1222</v>
      </c>
      <c r="E216" s="74"/>
      <c r="F216" s="74"/>
      <c r="G216" s="74"/>
      <c r="H216" s="74"/>
      <c r="J216" s="160"/>
      <c r="K216" s="328"/>
    </row>
    <row r="217" spans="3:11">
      <c r="C217" s="304">
        <v>1</v>
      </c>
      <c r="D217" s="78" t="s">
        <v>919</v>
      </c>
      <c r="E217" s="73" t="s">
        <v>114</v>
      </c>
      <c r="F217" s="75">
        <v>1.1499999999999999</v>
      </c>
      <c r="G217" s="65">
        <f>VLOOKUP(D217,upahbahan,3,FALSE)</f>
        <v>496000</v>
      </c>
      <c r="H217" s="65">
        <f t="shared" ref="H217" si="25">F217*G217</f>
        <v>570400</v>
      </c>
      <c r="J217" s="160"/>
      <c r="K217" s="328"/>
    </row>
    <row r="218" spans="3:11">
      <c r="C218" s="84" t="s">
        <v>1226</v>
      </c>
      <c r="D218" s="81"/>
      <c r="E218" s="81"/>
      <c r="F218" s="81"/>
      <c r="G218" s="163"/>
      <c r="H218" s="65">
        <f>SUM(H217:H217)</f>
        <v>570400</v>
      </c>
      <c r="J218" s="160"/>
      <c r="K218" s="328"/>
    </row>
    <row r="219" spans="3:11">
      <c r="C219" s="73" t="s">
        <v>1227</v>
      </c>
      <c r="D219" s="60" t="s">
        <v>1228</v>
      </c>
      <c r="E219" s="74"/>
      <c r="F219" s="74"/>
      <c r="G219" s="74"/>
      <c r="H219" s="74"/>
      <c r="J219" s="160"/>
      <c r="K219" s="328"/>
    </row>
    <row r="220" spans="3:11">
      <c r="C220" s="84" t="s">
        <v>1229</v>
      </c>
      <c r="D220" s="81"/>
      <c r="E220" s="81"/>
      <c r="F220" s="81"/>
      <c r="G220" s="163"/>
      <c r="H220" s="306">
        <v>0</v>
      </c>
      <c r="J220" s="160"/>
      <c r="K220" s="328"/>
    </row>
    <row r="221" spans="3:11">
      <c r="C221" s="59" t="s">
        <v>1230</v>
      </c>
      <c r="D221" s="70" t="s">
        <v>1231</v>
      </c>
      <c r="E221" s="71"/>
      <c r="F221" s="71"/>
      <c r="G221" s="72"/>
      <c r="H221" s="307">
        <f>H220+H218+H215</f>
        <v>597135</v>
      </c>
      <c r="I221" s="322"/>
      <c r="J221" s="160"/>
      <c r="K221" s="328"/>
    </row>
    <row r="222" spans="3:11">
      <c r="C222" s="59" t="s">
        <v>1232</v>
      </c>
      <c r="D222" s="70" t="s">
        <v>1410</v>
      </c>
      <c r="E222" s="71"/>
      <c r="F222" s="72"/>
      <c r="G222" s="96">
        <f>$M$7</f>
        <v>0.1</v>
      </c>
      <c r="H222" s="65">
        <f>H221*G222</f>
        <v>59713.5</v>
      </c>
      <c r="I222" s="322"/>
      <c r="J222" s="160"/>
      <c r="K222" s="328"/>
    </row>
    <row r="223" spans="3:11">
      <c r="C223" s="59" t="s">
        <v>1233</v>
      </c>
      <c r="D223" s="70" t="s">
        <v>1234</v>
      </c>
      <c r="E223" s="71"/>
      <c r="F223" s="71"/>
      <c r="G223" s="72"/>
      <c r="H223" s="308">
        <f>SUM(H221:H222)</f>
        <v>656848.5</v>
      </c>
      <c r="I223" s="322"/>
      <c r="J223" s="160"/>
      <c r="K223" s="328"/>
    </row>
    <row r="224" spans="3:11">
      <c r="C224" s="58"/>
      <c r="D224" s="82"/>
      <c r="E224" s="82"/>
      <c r="F224" s="82"/>
      <c r="G224" s="82"/>
      <c r="H224" s="83"/>
      <c r="J224" s="160"/>
      <c r="K224" s="328"/>
    </row>
    <row r="225" spans="3:11">
      <c r="C225" s="316" t="s">
        <v>1855</v>
      </c>
      <c r="D225" s="318"/>
      <c r="E225" s="318"/>
      <c r="F225" s="318"/>
      <c r="G225" s="318"/>
      <c r="H225" s="318"/>
      <c r="I225" s="57">
        <f>ROUNDDOWN(H240,-2)</f>
        <v>817400</v>
      </c>
      <c r="J225" s="160"/>
      <c r="K225" s="328"/>
    </row>
    <row r="226" spans="3:11" ht="28.5">
      <c r="C226" s="303" t="s">
        <v>1207</v>
      </c>
      <c r="D226" s="303" t="s">
        <v>1208</v>
      </c>
      <c r="E226" s="303" t="s">
        <v>1209</v>
      </c>
      <c r="F226" s="303" t="s">
        <v>1210</v>
      </c>
      <c r="G226" s="303" t="s">
        <v>1211</v>
      </c>
      <c r="H226" s="303" t="s">
        <v>1212</v>
      </c>
      <c r="J226" s="160"/>
      <c r="K226" s="328"/>
    </row>
    <row r="227" spans="3:11">
      <c r="C227" s="305" t="s">
        <v>1213</v>
      </c>
      <c r="D227" s="60" t="s">
        <v>1214</v>
      </c>
      <c r="E227" s="171"/>
      <c r="F227" s="74"/>
      <c r="G227" s="74"/>
      <c r="H227" s="74"/>
      <c r="J227" s="160"/>
      <c r="K227" s="328"/>
    </row>
    <row r="228" spans="3:11">
      <c r="C228" s="363">
        <v>1</v>
      </c>
      <c r="D228" s="60" t="s">
        <v>5</v>
      </c>
      <c r="E228" s="73" t="s">
        <v>6</v>
      </c>
      <c r="F228" s="75">
        <v>8.3000000000000004E-2</v>
      </c>
      <c r="G228" s="65">
        <f>VLOOKUP(D228,upahbahan,3,FALSE)</f>
        <v>100000</v>
      </c>
      <c r="H228" s="65">
        <f t="shared" ref="H228:H231" si="26">F228*G228</f>
        <v>8300</v>
      </c>
      <c r="J228" s="160"/>
      <c r="K228" s="328"/>
    </row>
    <row r="229" spans="3:11">
      <c r="C229" s="363">
        <v>2</v>
      </c>
      <c r="D229" s="60" t="str">
        <f>D212</f>
        <v>Tukang listrik</v>
      </c>
      <c r="E229" s="73" t="s">
        <v>6</v>
      </c>
      <c r="F229" s="75">
        <v>0.13900000000000001</v>
      </c>
      <c r="G229" s="65">
        <f>VLOOKUP(D229,upahbahan,3,FALSE)</f>
        <v>145000</v>
      </c>
      <c r="H229" s="65">
        <f t="shared" si="26"/>
        <v>20155</v>
      </c>
      <c r="J229" s="160"/>
      <c r="K229" s="328"/>
    </row>
    <row r="230" spans="3:11">
      <c r="C230" s="363">
        <v>3</v>
      </c>
      <c r="D230" s="60" t="s">
        <v>18</v>
      </c>
      <c r="E230" s="73" t="s">
        <v>6</v>
      </c>
      <c r="F230" s="75">
        <v>1.4E-2</v>
      </c>
      <c r="G230" s="65">
        <f>VLOOKUP(D230,upahbahan,3,FALSE)</f>
        <v>150000</v>
      </c>
      <c r="H230" s="65">
        <f t="shared" si="26"/>
        <v>2100</v>
      </c>
      <c r="J230" s="160"/>
      <c r="K230" s="328"/>
    </row>
    <row r="231" spans="3:11">
      <c r="C231" s="363">
        <v>4</v>
      </c>
      <c r="D231" s="60" t="s">
        <v>19</v>
      </c>
      <c r="E231" s="73" t="s">
        <v>6</v>
      </c>
      <c r="F231" s="75">
        <v>5.0000000000000001E-3</v>
      </c>
      <c r="G231" s="65">
        <f>VLOOKUP(D231,upahbahan,3,FALSE)</f>
        <v>145000</v>
      </c>
      <c r="H231" s="65">
        <f t="shared" si="26"/>
        <v>725</v>
      </c>
      <c r="J231" s="160"/>
      <c r="K231" s="328"/>
    </row>
    <row r="232" spans="3:11">
      <c r="C232" s="84" t="s">
        <v>1220</v>
      </c>
      <c r="D232" s="81"/>
      <c r="E232" s="81"/>
      <c r="F232" s="190"/>
      <c r="G232" s="221"/>
      <c r="H232" s="65">
        <f>SUM(H228:H231)</f>
        <v>31280</v>
      </c>
      <c r="I232" s="222"/>
      <c r="J232" s="160"/>
      <c r="K232" s="328"/>
    </row>
    <row r="233" spans="3:11">
      <c r="C233" s="73" t="s">
        <v>1221</v>
      </c>
      <c r="D233" s="60" t="s">
        <v>1222</v>
      </c>
      <c r="E233" s="74"/>
      <c r="F233" s="208"/>
      <c r="G233" s="74"/>
      <c r="H233" s="74"/>
      <c r="J233" s="160"/>
      <c r="K233" s="328"/>
    </row>
    <row r="234" spans="3:11">
      <c r="C234" s="304">
        <v>1</v>
      </c>
      <c r="D234" s="78" t="s">
        <v>920</v>
      </c>
      <c r="E234" s="73" t="s">
        <v>114</v>
      </c>
      <c r="F234" s="75">
        <v>1.1499999999999999</v>
      </c>
      <c r="G234" s="65">
        <f>VLOOKUP(D234,upahbahan,3,FALSE)</f>
        <v>619000</v>
      </c>
      <c r="H234" s="65">
        <f t="shared" ref="H234" si="27">F234*G234</f>
        <v>711850</v>
      </c>
      <c r="J234" s="160"/>
      <c r="K234" s="328"/>
    </row>
    <row r="235" spans="3:11">
      <c r="C235" s="84" t="s">
        <v>1226</v>
      </c>
      <c r="D235" s="81"/>
      <c r="E235" s="81"/>
      <c r="F235" s="81"/>
      <c r="G235" s="163"/>
      <c r="H235" s="65">
        <f>SUM(H234:H234)</f>
        <v>711850</v>
      </c>
      <c r="J235" s="160"/>
      <c r="K235" s="328"/>
    </row>
    <row r="236" spans="3:11">
      <c r="C236" s="73" t="s">
        <v>1227</v>
      </c>
      <c r="D236" s="60" t="s">
        <v>1228</v>
      </c>
      <c r="E236" s="74"/>
      <c r="F236" s="74"/>
      <c r="G236" s="74"/>
      <c r="H236" s="74"/>
      <c r="J236" s="160"/>
      <c r="K236" s="328"/>
    </row>
    <row r="237" spans="3:11">
      <c r="C237" s="84" t="s">
        <v>1229</v>
      </c>
      <c r="D237" s="81"/>
      <c r="E237" s="81"/>
      <c r="F237" s="81"/>
      <c r="G237" s="163"/>
      <c r="H237" s="306">
        <v>0</v>
      </c>
      <c r="J237" s="160"/>
      <c r="K237" s="328"/>
    </row>
    <row r="238" spans="3:11">
      <c r="C238" s="59" t="s">
        <v>1230</v>
      </c>
      <c r="D238" s="70" t="s">
        <v>1231</v>
      </c>
      <c r="E238" s="71"/>
      <c r="F238" s="71"/>
      <c r="G238" s="72"/>
      <c r="H238" s="307">
        <f>H237+H235+H232</f>
        <v>743130</v>
      </c>
      <c r="I238" s="322"/>
      <c r="J238" s="160"/>
      <c r="K238" s="328"/>
    </row>
    <row r="239" spans="3:11">
      <c r="C239" s="59" t="s">
        <v>1232</v>
      </c>
      <c r="D239" s="70" t="s">
        <v>1410</v>
      </c>
      <c r="E239" s="71"/>
      <c r="F239" s="72"/>
      <c r="G239" s="96">
        <f>$M$7</f>
        <v>0.1</v>
      </c>
      <c r="H239" s="65">
        <f>H238*G239</f>
        <v>74313</v>
      </c>
      <c r="I239" s="322"/>
      <c r="J239" s="160"/>
      <c r="K239" s="328"/>
    </row>
    <row r="240" spans="3:11">
      <c r="C240" s="59" t="s">
        <v>1233</v>
      </c>
      <c r="D240" s="70" t="s">
        <v>1234</v>
      </c>
      <c r="E240" s="71"/>
      <c r="F240" s="71"/>
      <c r="G240" s="72"/>
      <c r="H240" s="308">
        <f>SUM(H238:H239)</f>
        <v>817443</v>
      </c>
      <c r="I240" s="322"/>
      <c r="J240" s="160"/>
      <c r="K240" s="328"/>
    </row>
    <row r="241" spans="3:11">
      <c r="C241" s="58"/>
      <c r="D241" s="82"/>
      <c r="E241" s="82"/>
      <c r="F241" s="82"/>
      <c r="G241" s="82"/>
      <c r="H241" s="83"/>
      <c r="J241" s="160"/>
      <c r="K241" s="328"/>
    </row>
    <row r="242" spans="3:11">
      <c r="C242" s="316" t="s">
        <v>1856</v>
      </c>
      <c r="D242" s="318"/>
      <c r="E242" s="318"/>
      <c r="F242" s="318"/>
      <c r="G242" s="318"/>
      <c r="H242" s="318"/>
      <c r="I242" s="57">
        <f>ROUNDDOWN(H257,-2)</f>
        <v>1033500</v>
      </c>
      <c r="J242" s="160"/>
      <c r="K242" s="328"/>
    </row>
    <row r="243" spans="3:11" ht="28.5">
      <c r="C243" s="303" t="s">
        <v>1207</v>
      </c>
      <c r="D243" s="303" t="s">
        <v>1208</v>
      </c>
      <c r="E243" s="303" t="s">
        <v>1209</v>
      </c>
      <c r="F243" s="303" t="s">
        <v>1210</v>
      </c>
      <c r="G243" s="303" t="s">
        <v>1211</v>
      </c>
      <c r="H243" s="303" t="s">
        <v>1212</v>
      </c>
      <c r="J243" s="160"/>
      <c r="K243" s="328"/>
    </row>
    <row r="244" spans="3:11">
      <c r="C244" s="305" t="s">
        <v>1213</v>
      </c>
      <c r="D244" s="60" t="s">
        <v>1214</v>
      </c>
      <c r="E244" s="171"/>
      <c r="F244" s="74"/>
      <c r="G244" s="74"/>
      <c r="H244" s="74"/>
      <c r="J244" s="160"/>
      <c r="K244" s="328"/>
    </row>
    <row r="245" spans="3:11">
      <c r="C245" s="363">
        <v>1</v>
      </c>
      <c r="D245" s="60" t="s">
        <v>5</v>
      </c>
      <c r="E245" s="73" t="s">
        <v>6</v>
      </c>
      <c r="F245" s="184">
        <v>9.5000000000000001E-2</v>
      </c>
      <c r="G245" s="65">
        <f>VLOOKUP(D245,upahbahan,3,FALSE)</f>
        <v>100000</v>
      </c>
      <c r="H245" s="65">
        <f t="shared" ref="H245:H248" si="28">F245*G245</f>
        <v>9500</v>
      </c>
      <c r="J245" s="160"/>
      <c r="K245" s="328"/>
    </row>
    <row r="246" spans="3:11">
      <c r="C246" s="363">
        <v>2</v>
      </c>
      <c r="D246" s="60" t="str">
        <f>D229</f>
        <v>Tukang listrik</v>
      </c>
      <c r="E246" s="73" t="s">
        <v>6</v>
      </c>
      <c r="F246" s="184">
        <v>0.159</v>
      </c>
      <c r="G246" s="65">
        <f>VLOOKUP(D246,upahbahan,3,FALSE)</f>
        <v>145000</v>
      </c>
      <c r="H246" s="65">
        <f t="shared" si="28"/>
        <v>23055</v>
      </c>
      <c r="J246" s="160"/>
      <c r="K246" s="328"/>
    </row>
    <row r="247" spans="3:11">
      <c r="C247" s="363">
        <v>3</v>
      </c>
      <c r="D247" s="60" t="s">
        <v>18</v>
      </c>
      <c r="E247" s="73" t="s">
        <v>6</v>
      </c>
      <c r="F247" s="184">
        <v>1.6E-2</v>
      </c>
      <c r="G247" s="65">
        <f>VLOOKUP(D247,upahbahan,3,FALSE)</f>
        <v>150000</v>
      </c>
      <c r="H247" s="65">
        <f t="shared" si="28"/>
        <v>2400</v>
      </c>
      <c r="J247" s="160"/>
      <c r="K247" s="328"/>
    </row>
    <row r="248" spans="3:11">
      <c r="C248" s="363">
        <v>4</v>
      </c>
      <c r="D248" s="60" t="s">
        <v>19</v>
      </c>
      <c r="E248" s="73" t="s">
        <v>6</v>
      </c>
      <c r="F248" s="184">
        <v>5.0000000000000001E-3</v>
      </c>
      <c r="G248" s="65">
        <f>VLOOKUP(D248,upahbahan,3,FALSE)</f>
        <v>145000</v>
      </c>
      <c r="H248" s="65">
        <f t="shared" si="28"/>
        <v>725</v>
      </c>
      <c r="J248" s="160"/>
      <c r="K248" s="328"/>
    </row>
    <row r="249" spans="3:11">
      <c r="C249" s="84" t="s">
        <v>1220</v>
      </c>
      <c r="D249" s="81"/>
      <c r="E249" s="81"/>
      <c r="F249" s="220"/>
      <c r="G249" s="221"/>
      <c r="H249" s="65">
        <f>SUM(H245:H248)</f>
        <v>35680</v>
      </c>
      <c r="I249" s="222"/>
      <c r="J249" s="160"/>
      <c r="K249" s="328"/>
    </row>
    <row r="250" spans="3:11">
      <c r="C250" s="73" t="s">
        <v>1221</v>
      </c>
      <c r="D250" s="60" t="s">
        <v>1222</v>
      </c>
      <c r="E250" s="74"/>
      <c r="F250" s="74"/>
      <c r="G250" s="74"/>
      <c r="H250" s="74"/>
      <c r="J250" s="160"/>
      <c r="K250" s="328"/>
    </row>
    <row r="251" spans="3:11">
      <c r="C251" s="304">
        <v>1</v>
      </c>
      <c r="D251" s="78" t="s">
        <v>923</v>
      </c>
      <c r="E251" s="73" t="s">
        <v>114</v>
      </c>
      <c r="F251" s="75">
        <v>1.1499999999999999</v>
      </c>
      <c r="G251" s="65">
        <f>VLOOKUP(D251,upahbahan,3,FALSE)</f>
        <v>786000</v>
      </c>
      <c r="H251" s="65">
        <f t="shared" ref="H251" si="29">F251*G251</f>
        <v>903899.99999999988</v>
      </c>
      <c r="J251" s="160"/>
      <c r="K251" s="328"/>
    </row>
    <row r="252" spans="3:11">
      <c r="C252" s="84" t="s">
        <v>1226</v>
      </c>
      <c r="D252" s="81"/>
      <c r="E252" s="81"/>
      <c r="F252" s="81"/>
      <c r="G252" s="163"/>
      <c r="H252" s="65">
        <f>SUM(H251:H251)</f>
        <v>903899.99999999988</v>
      </c>
      <c r="J252" s="160"/>
      <c r="K252" s="328"/>
    </row>
    <row r="253" spans="3:11">
      <c r="C253" s="73" t="s">
        <v>1227</v>
      </c>
      <c r="D253" s="60" t="s">
        <v>1228</v>
      </c>
      <c r="E253" s="74"/>
      <c r="F253" s="74"/>
      <c r="G253" s="74"/>
      <c r="H253" s="74"/>
      <c r="J253" s="160"/>
      <c r="K253" s="328"/>
    </row>
    <row r="254" spans="3:11">
      <c r="C254" s="84" t="s">
        <v>1229</v>
      </c>
      <c r="D254" s="81"/>
      <c r="E254" s="81"/>
      <c r="F254" s="81"/>
      <c r="G254" s="163"/>
      <c r="H254" s="306">
        <v>0</v>
      </c>
      <c r="J254" s="160"/>
      <c r="K254" s="328"/>
    </row>
    <row r="255" spans="3:11">
      <c r="C255" s="59" t="s">
        <v>1230</v>
      </c>
      <c r="D255" s="70" t="s">
        <v>1231</v>
      </c>
      <c r="E255" s="71"/>
      <c r="F255" s="71"/>
      <c r="G255" s="72"/>
      <c r="H255" s="307">
        <f>H254+H252+H249</f>
        <v>939579.99999999988</v>
      </c>
      <c r="I255" s="322"/>
      <c r="J255" s="160"/>
      <c r="K255" s="328"/>
    </row>
    <row r="256" spans="3:11">
      <c r="C256" s="59" t="s">
        <v>1232</v>
      </c>
      <c r="D256" s="70" t="s">
        <v>1410</v>
      </c>
      <c r="E256" s="71"/>
      <c r="F256" s="72"/>
      <c r="G256" s="96">
        <f>$M$7</f>
        <v>0.1</v>
      </c>
      <c r="H256" s="65">
        <f>H255*G256</f>
        <v>93958</v>
      </c>
      <c r="I256" s="322"/>
      <c r="J256" s="160"/>
      <c r="K256" s="328"/>
    </row>
    <row r="257" spans="3:11">
      <c r="C257" s="59" t="s">
        <v>1233</v>
      </c>
      <c r="D257" s="70" t="s">
        <v>1234</v>
      </c>
      <c r="E257" s="71"/>
      <c r="F257" s="71"/>
      <c r="G257" s="72"/>
      <c r="H257" s="308">
        <f>SUM(H255:H256)</f>
        <v>1033537.9999999999</v>
      </c>
      <c r="I257" s="322"/>
      <c r="J257" s="160"/>
      <c r="K257" s="328"/>
    </row>
    <row r="258" spans="3:11">
      <c r="C258" s="58"/>
      <c r="D258" s="82"/>
      <c r="E258" s="82"/>
      <c r="F258" s="82"/>
      <c r="G258" s="82"/>
      <c r="H258" s="83"/>
      <c r="J258" s="160"/>
      <c r="K258" s="328"/>
    </row>
    <row r="259" spans="3:11">
      <c r="C259" s="316" t="s">
        <v>1857</v>
      </c>
      <c r="D259" s="318"/>
      <c r="E259" s="318"/>
      <c r="F259" s="318"/>
      <c r="G259" s="318"/>
      <c r="H259" s="318"/>
      <c r="I259" s="57">
        <f>ROUNDDOWN(H274,-2)</f>
        <v>1319800</v>
      </c>
      <c r="J259" s="160"/>
      <c r="K259" s="328"/>
    </row>
    <row r="260" spans="3:11" ht="28.5">
      <c r="C260" s="303" t="s">
        <v>1207</v>
      </c>
      <c r="D260" s="303" t="s">
        <v>1208</v>
      </c>
      <c r="E260" s="303" t="s">
        <v>1209</v>
      </c>
      <c r="F260" s="303" t="s">
        <v>1210</v>
      </c>
      <c r="G260" s="303" t="s">
        <v>1211</v>
      </c>
      <c r="H260" s="303" t="s">
        <v>1212</v>
      </c>
      <c r="J260" s="160"/>
      <c r="K260" s="328"/>
    </row>
    <row r="261" spans="3:11">
      <c r="C261" s="305" t="s">
        <v>1213</v>
      </c>
      <c r="D261" s="60" t="s">
        <v>1214</v>
      </c>
      <c r="E261" s="171"/>
      <c r="F261" s="74"/>
      <c r="G261" s="74"/>
      <c r="H261" s="74"/>
      <c r="J261" s="160"/>
      <c r="K261" s="328"/>
    </row>
    <row r="262" spans="3:11">
      <c r="C262" s="363">
        <v>1</v>
      </c>
      <c r="D262" s="60" t="s">
        <v>5</v>
      </c>
      <c r="E262" s="73" t="s">
        <v>6</v>
      </c>
      <c r="F262" s="75">
        <v>0.11899999999999999</v>
      </c>
      <c r="G262" s="65">
        <f>VLOOKUP(D262,upahbahan,3,FALSE)</f>
        <v>100000</v>
      </c>
      <c r="H262" s="65">
        <f t="shared" ref="H262:H265" si="30">F262*G262</f>
        <v>11900</v>
      </c>
      <c r="J262" s="160"/>
      <c r="K262" s="328"/>
    </row>
    <row r="263" spans="3:11">
      <c r="C263" s="363">
        <v>2</v>
      </c>
      <c r="D263" s="60" t="str">
        <f>D246</f>
        <v>Tukang listrik</v>
      </c>
      <c r="E263" s="73" t="s">
        <v>6</v>
      </c>
      <c r="F263" s="75">
        <v>0.19900000000000001</v>
      </c>
      <c r="G263" s="65">
        <f>VLOOKUP(D263,upahbahan,3,FALSE)</f>
        <v>145000</v>
      </c>
      <c r="H263" s="65">
        <f t="shared" si="30"/>
        <v>28855</v>
      </c>
      <c r="J263" s="160"/>
      <c r="K263" s="328"/>
    </row>
    <row r="264" spans="3:11">
      <c r="C264" s="363">
        <v>3</v>
      </c>
      <c r="D264" s="60" t="s">
        <v>18</v>
      </c>
      <c r="E264" s="73" t="s">
        <v>6</v>
      </c>
      <c r="F264" s="75">
        <v>0.02</v>
      </c>
      <c r="G264" s="65">
        <f>VLOOKUP(D264,upahbahan,3,FALSE)</f>
        <v>150000</v>
      </c>
      <c r="H264" s="65">
        <f t="shared" si="30"/>
        <v>3000</v>
      </c>
      <c r="J264" s="160"/>
      <c r="K264" s="328"/>
    </row>
    <row r="265" spans="3:11">
      <c r="C265" s="363">
        <v>4</v>
      </c>
      <c r="D265" s="60" t="s">
        <v>19</v>
      </c>
      <c r="E265" s="73" t="s">
        <v>6</v>
      </c>
      <c r="F265" s="75">
        <v>7.0000000000000001E-3</v>
      </c>
      <c r="G265" s="65">
        <f>VLOOKUP(D265,upahbahan,3,FALSE)</f>
        <v>145000</v>
      </c>
      <c r="H265" s="65">
        <f t="shared" si="30"/>
        <v>1015</v>
      </c>
      <c r="J265" s="160"/>
      <c r="K265" s="328"/>
    </row>
    <row r="266" spans="3:11">
      <c r="C266" s="84" t="s">
        <v>1220</v>
      </c>
      <c r="D266" s="81"/>
      <c r="E266" s="81"/>
      <c r="F266" s="190"/>
      <c r="G266" s="221"/>
      <c r="H266" s="65">
        <f>SUM(H262:H265)</f>
        <v>44770</v>
      </c>
      <c r="I266" s="222"/>
      <c r="J266" s="160"/>
      <c r="K266" s="328"/>
    </row>
    <row r="267" spans="3:11">
      <c r="C267" s="73" t="s">
        <v>1221</v>
      </c>
      <c r="D267" s="60" t="s">
        <v>1222</v>
      </c>
      <c r="E267" s="74"/>
      <c r="F267" s="208"/>
      <c r="G267" s="74"/>
      <c r="H267" s="74"/>
      <c r="J267" s="160"/>
      <c r="K267" s="328"/>
    </row>
    <row r="268" spans="3:11">
      <c r="C268" s="304">
        <v>1</v>
      </c>
      <c r="D268" s="78" t="s">
        <v>925</v>
      </c>
      <c r="E268" s="73" t="s">
        <v>114</v>
      </c>
      <c r="F268" s="75">
        <v>1.1499999999999999</v>
      </c>
      <c r="G268" s="65">
        <f>VLOOKUP(D268,upahbahan,3,FALSE)</f>
        <v>1004400</v>
      </c>
      <c r="H268" s="65">
        <f t="shared" ref="H268" si="31">F268*G268</f>
        <v>1155060</v>
      </c>
      <c r="J268" s="160"/>
      <c r="K268" s="328"/>
    </row>
    <row r="269" spans="3:11">
      <c r="C269" s="84" t="s">
        <v>1226</v>
      </c>
      <c r="D269" s="81"/>
      <c r="E269" s="81"/>
      <c r="F269" s="81"/>
      <c r="G269" s="163"/>
      <c r="H269" s="65">
        <f>SUM(H268:H268)</f>
        <v>1155060</v>
      </c>
      <c r="J269" s="160"/>
      <c r="K269" s="328"/>
    </row>
    <row r="270" spans="3:11">
      <c r="C270" s="73" t="s">
        <v>1227</v>
      </c>
      <c r="D270" s="60" t="s">
        <v>1228</v>
      </c>
      <c r="E270" s="74"/>
      <c r="F270" s="74"/>
      <c r="G270" s="74"/>
      <c r="H270" s="74"/>
      <c r="J270" s="160"/>
      <c r="K270" s="328"/>
    </row>
    <row r="271" spans="3:11">
      <c r="C271" s="84" t="s">
        <v>1229</v>
      </c>
      <c r="D271" s="81"/>
      <c r="E271" s="81"/>
      <c r="F271" s="81"/>
      <c r="G271" s="163"/>
      <c r="H271" s="306">
        <v>0</v>
      </c>
      <c r="J271" s="160"/>
      <c r="K271" s="328"/>
    </row>
    <row r="272" spans="3:11">
      <c r="C272" s="59" t="s">
        <v>1230</v>
      </c>
      <c r="D272" s="70" t="s">
        <v>1231</v>
      </c>
      <c r="E272" s="71"/>
      <c r="F272" s="71"/>
      <c r="G272" s="72"/>
      <c r="H272" s="307">
        <f>H271+H269+H266</f>
        <v>1199830</v>
      </c>
      <c r="I272" s="322"/>
      <c r="J272" s="160"/>
      <c r="K272" s="328"/>
    </row>
    <row r="273" spans="3:11">
      <c r="C273" s="59" t="s">
        <v>1232</v>
      </c>
      <c r="D273" s="70" t="s">
        <v>1410</v>
      </c>
      <c r="E273" s="71"/>
      <c r="F273" s="72"/>
      <c r="G273" s="96">
        <f>$M$7</f>
        <v>0.1</v>
      </c>
      <c r="H273" s="65">
        <f>H272*G273</f>
        <v>119983</v>
      </c>
      <c r="I273" s="322"/>
      <c r="J273" s="160"/>
      <c r="K273" s="328"/>
    </row>
    <row r="274" spans="3:11">
      <c r="C274" s="59" t="s">
        <v>1233</v>
      </c>
      <c r="D274" s="70" t="s">
        <v>1234</v>
      </c>
      <c r="E274" s="71"/>
      <c r="F274" s="71"/>
      <c r="G274" s="72"/>
      <c r="H274" s="308">
        <f>SUM(H272:H273)</f>
        <v>1319813</v>
      </c>
      <c r="I274" s="322"/>
      <c r="J274" s="160"/>
      <c r="K274" s="328"/>
    </row>
    <row r="275" spans="3:11">
      <c r="C275" s="58"/>
      <c r="D275" s="82"/>
      <c r="E275" s="82"/>
      <c r="F275" s="82"/>
      <c r="G275" s="82"/>
      <c r="H275" s="83"/>
      <c r="J275" s="160"/>
      <c r="K275" s="328"/>
    </row>
    <row r="276" spans="3:11">
      <c r="C276" s="316" t="s">
        <v>1858</v>
      </c>
      <c r="D276" s="318"/>
      <c r="E276" s="318"/>
      <c r="F276" s="318"/>
      <c r="G276" s="318"/>
      <c r="H276" s="318"/>
      <c r="I276" s="57">
        <f>ROUNDDOWN(H291,-2)</f>
        <v>1634000</v>
      </c>
      <c r="J276" s="160"/>
      <c r="K276" s="328"/>
    </row>
    <row r="277" spans="3:11" ht="28.5">
      <c r="C277" s="303" t="s">
        <v>1207</v>
      </c>
      <c r="D277" s="303" t="s">
        <v>1208</v>
      </c>
      <c r="E277" s="303" t="s">
        <v>1209</v>
      </c>
      <c r="F277" s="303" t="s">
        <v>1210</v>
      </c>
      <c r="G277" s="303" t="s">
        <v>1211</v>
      </c>
      <c r="H277" s="303" t="s">
        <v>1212</v>
      </c>
      <c r="J277" s="160"/>
      <c r="K277" s="328"/>
    </row>
    <row r="278" spans="3:11">
      <c r="C278" s="305" t="s">
        <v>1213</v>
      </c>
      <c r="D278" s="60" t="s">
        <v>1214</v>
      </c>
      <c r="E278" s="171"/>
      <c r="F278" s="74"/>
      <c r="G278" s="74"/>
      <c r="H278" s="74"/>
      <c r="J278" s="160"/>
      <c r="K278" s="328"/>
    </row>
    <row r="279" spans="3:11">
      <c r="C279" s="363">
        <v>1</v>
      </c>
      <c r="D279" s="60" t="s">
        <v>5</v>
      </c>
      <c r="E279" s="73" t="s">
        <v>6</v>
      </c>
      <c r="F279" s="184">
        <v>0.14299999999999999</v>
      </c>
      <c r="G279" s="65">
        <f>VLOOKUP(D279,upahbahan,3,FALSE)</f>
        <v>100000</v>
      </c>
      <c r="H279" s="65">
        <f t="shared" ref="H279:H282" si="32">F279*G279</f>
        <v>14299.999999999998</v>
      </c>
      <c r="J279" s="160"/>
      <c r="K279" s="328"/>
    </row>
    <row r="280" spans="3:11">
      <c r="C280" s="363">
        <v>2</v>
      </c>
      <c r="D280" s="60" t="str">
        <f>D263</f>
        <v>Tukang listrik</v>
      </c>
      <c r="E280" s="73" t="s">
        <v>6</v>
      </c>
      <c r="F280" s="184">
        <v>0.23899999999999999</v>
      </c>
      <c r="G280" s="65">
        <f>VLOOKUP(D280,upahbahan,3,FALSE)</f>
        <v>145000</v>
      </c>
      <c r="H280" s="65">
        <f t="shared" si="32"/>
        <v>34655</v>
      </c>
      <c r="J280" s="160"/>
      <c r="K280" s="328"/>
    </row>
    <row r="281" spans="3:11">
      <c r="C281" s="363">
        <v>3</v>
      </c>
      <c r="D281" s="60" t="s">
        <v>18</v>
      </c>
      <c r="E281" s="73" t="s">
        <v>6</v>
      </c>
      <c r="F281" s="184">
        <v>2.4E-2</v>
      </c>
      <c r="G281" s="65">
        <f>VLOOKUP(D281,upahbahan,3,FALSE)</f>
        <v>150000</v>
      </c>
      <c r="H281" s="65">
        <f t="shared" si="32"/>
        <v>3600</v>
      </c>
      <c r="J281" s="160"/>
      <c r="K281" s="328"/>
    </row>
    <row r="282" spans="3:11">
      <c r="C282" s="363">
        <v>4</v>
      </c>
      <c r="D282" s="60" t="s">
        <v>19</v>
      </c>
      <c r="E282" s="73" t="s">
        <v>6</v>
      </c>
      <c r="F282" s="184">
        <v>8.0000000000000002E-3</v>
      </c>
      <c r="G282" s="65">
        <f>VLOOKUP(D282,upahbahan,3,FALSE)</f>
        <v>145000</v>
      </c>
      <c r="H282" s="65">
        <f t="shared" si="32"/>
        <v>1160</v>
      </c>
      <c r="J282" s="160"/>
      <c r="K282" s="328"/>
    </row>
    <row r="283" spans="3:11">
      <c r="C283" s="84" t="s">
        <v>1220</v>
      </c>
      <c r="D283" s="81"/>
      <c r="E283" s="81"/>
      <c r="F283" s="220"/>
      <c r="G283" s="221"/>
      <c r="H283" s="65">
        <f>SUM(H279:H282)</f>
        <v>53715</v>
      </c>
      <c r="I283" s="222"/>
      <c r="J283" s="160"/>
      <c r="K283" s="328"/>
    </row>
    <row r="284" spans="3:11">
      <c r="C284" s="73" t="s">
        <v>1221</v>
      </c>
      <c r="D284" s="60" t="s">
        <v>1222</v>
      </c>
      <c r="E284" s="74"/>
      <c r="F284" s="74"/>
      <c r="G284" s="74"/>
      <c r="H284" s="74"/>
      <c r="J284" s="160"/>
      <c r="K284" s="328"/>
    </row>
    <row r="285" spans="3:11">
      <c r="C285" s="304">
        <v>1</v>
      </c>
      <c r="D285" s="78" t="s">
        <v>927</v>
      </c>
      <c r="E285" s="73" t="s">
        <v>114</v>
      </c>
      <c r="F285" s="75">
        <f>F268</f>
        <v>1.1499999999999999</v>
      </c>
      <c r="G285" s="65">
        <f>VLOOKUP(D285,upahbahan,3,FALSE)</f>
        <v>1245000</v>
      </c>
      <c r="H285" s="65">
        <f t="shared" ref="H285" si="33">F285*G285</f>
        <v>1431750</v>
      </c>
      <c r="J285" s="160"/>
      <c r="K285" s="328"/>
    </row>
    <row r="286" spans="3:11">
      <c r="C286" s="84" t="s">
        <v>1226</v>
      </c>
      <c r="D286" s="81"/>
      <c r="E286" s="81"/>
      <c r="F286" s="81"/>
      <c r="G286" s="163"/>
      <c r="H286" s="65">
        <f>SUM(H285:H285)</f>
        <v>1431750</v>
      </c>
      <c r="J286" s="160"/>
      <c r="K286" s="328"/>
    </row>
    <row r="287" spans="3:11">
      <c r="C287" s="73" t="s">
        <v>1227</v>
      </c>
      <c r="D287" s="60" t="s">
        <v>1228</v>
      </c>
      <c r="E287" s="74"/>
      <c r="F287" s="74"/>
      <c r="G287" s="74"/>
      <c r="H287" s="74"/>
      <c r="J287" s="160"/>
      <c r="K287" s="328"/>
    </row>
    <row r="288" spans="3:11">
      <c r="C288" s="84" t="s">
        <v>1229</v>
      </c>
      <c r="D288" s="81"/>
      <c r="E288" s="81"/>
      <c r="F288" s="81"/>
      <c r="G288" s="163"/>
      <c r="H288" s="306">
        <v>0</v>
      </c>
      <c r="J288" s="160"/>
      <c r="K288" s="328"/>
    </row>
    <row r="289" spans="3:11">
      <c r="C289" s="59" t="s">
        <v>1230</v>
      </c>
      <c r="D289" s="70" t="s">
        <v>1231</v>
      </c>
      <c r="E289" s="71"/>
      <c r="F289" s="71"/>
      <c r="G289" s="72"/>
      <c r="H289" s="307">
        <f>H288+H286+H283</f>
        <v>1485465</v>
      </c>
      <c r="I289" s="322"/>
      <c r="J289" s="160"/>
      <c r="K289" s="328"/>
    </row>
    <row r="290" spans="3:11">
      <c r="C290" s="59" t="s">
        <v>1232</v>
      </c>
      <c r="D290" s="70" t="s">
        <v>1410</v>
      </c>
      <c r="E290" s="71"/>
      <c r="F290" s="72"/>
      <c r="G290" s="96">
        <f>$M$7</f>
        <v>0.1</v>
      </c>
      <c r="H290" s="65">
        <f>H289*G290</f>
        <v>148546.5</v>
      </c>
      <c r="I290" s="322"/>
      <c r="J290" s="160"/>
      <c r="K290" s="328"/>
    </row>
    <row r="291" spans="3:11">
      <c r="C291" s="59" t="s">
        <v>1233</v>
      </c>
      <c r="D291" s="70" t="s">
        <v>1234</v>
      </c>
      <c r="E291" s="71"/>
      <c r="F291" s="71"/>
      <c r="G291" s="72"/>
      <c r="H291" s="308">
        <f>SUM(H289:H290)</f>
        <v>1634011.5</v>
      </c>
      <c r="I291" s="322"/>
      <c r="J291" s="160"/>
      <c r="K291" s="328"/>
    </row>
    <row r="292" spans="3:11">
      <c r="C292" s="58"/>
      <c r="D292" s="82"/>
      <c r="E292" s="82"/>
      <c r="F292" s="82"/>
      <c r="G292" s="82"/>
      <c r="H292" s="83"/>
      <c r="J292" s="160"/>
      <c r="K292" s="328"/>
    </row>
    <row r="293" spans="3:11">
      <c r="C293" s="316" t="s">
        <v>1859</v>
      </c>
      <c r="D293" s="318"/>
      <c r="E293" s="318"/>
      <c r="F293" s="318"/>
      <c r="G293" s="318"/>
      <c r="H293" s="318"/>
      <c r="I293" s="57">
        <f>ROUNDDOWN(H308,-2)</f>
        <v>25000</v>
      </c>
      <c r="J293" s="160"/>
      <c r="K293" s="328"/>
    </row>
    <row r="294" spans="3:11" ht="28.5">
      <c r="C294" s="303" t="s">
        <v>1207</v>
      </c>
      <c r="D294" s="303" t="s">
        <v>1208</v>
      </c>
      <c r="E294" s="303" t="s">
        <v>1209</v>
      </c>
      <c r="F294" s="303" t="s">
        <v>1210</v>
      </c>
      <c r="G294" s="303" t="s">
        <v>1211</v>
      </c>
      <c r="H294" s="303" t="s">
        <v>1212</v>
      </c>
      <c r="J294" s="160"/>
      <c r="K294" s="328"/>
    </row>
    <row r="295" spans="3:11">
      <c r="C295" s="305" t="s">
        <v>1213</v>
      </c>
      <c r="D295" s="60" t="s">
        <v>1214</v>
      </c>
      <c r="E295" s="74"/>
      <c r="F295" s="74"/>
      <c r="G295" s="74"/>
      <c r="H295" s="74"/>
      <c r="J295" s="160"/>
      <c r="K295" s="328"/>
    </row>
    <row r="296" spans="3:11">
      <c r="C296" s="363">
        <v>1</v>
      </c>
      <c r="D296" s="60" t="s">
        <v>5</v>
      </c>
      <c r="E296" s="305" t="s">
        <v>6</v>
      </c>
      <c r="F296" s="75">
        <v>2.4E-2</v>
      </c>
      <c r="G296" s="65">
        <f>VLOOKUP(D296,upahbahan,3,FALSE)</f>
        <v>100000</v>
      </c>
      <c r="H296" s="65">
        <f t="shared" ref="H296:H299" si="34">F296*G296</f>
        <v>2400</v>
      </c>
      <c r="J296" s="160"/>
      <c r="K296" s="328"/>
    </row>
    <row r="297" spans="3:11">
      <c r="C297" s="363">
        <v>2</v>
      </c>
      <c r="D297" s="60" t="str">
        <f>D280</f>
        <v>Tukang listrik</v>
      </c>
      <c r="E297" s="305" t="s">
        <v>6</v>
      </c>
      <c r="F297" s="75">
        <v>0.04</v>
      </c>
      <c r="G297" s="65">
        <f>VLOOKUP(D297,upahbahan,3,FALSE)</f>
        <v>145000</v>
      </c>
      <c r="H297" s="65">
        <f t="shared" si="34"/>
        <v>5800</v>
      </c>
      <c r="J297" s="160"/>
      <c r="K297" s="328"/>
    </row>
    <row r="298" spans="3:11">
      <c r="C298" s="363">
        <v>3</v>
      </c>
      <c r="D298" s="60" t="s">
        <v>18</v>
      </c>
      <c r="E298" s="305" t="s">
        <v>6</v>
      </c>
      <c r="F298" s="75">
        <v>4.0000000000000001E-3</v>
      </c>
      <c r="G298" s="65">
        <f>VLOOKUP(D298,upahbahan,3,FALSE)</f>
        <v>150000</v>
      </c>
      <c r="H298" s="65">
        <f t="shared" si="34"/>
        <v>600</v>
      </c>
      <c r="J298" s="160"/>
      <c r="K298" s="328"/>
    </row>
    <row r="299" spans="3:11">
      <c r="C299" s="363">
        <v>4</v>
      </c>
      <c r="D299" s="60" t="s">
        <v>19</v>
      </c>
      <c r="E299" s="305" t="s">
        <v>6</v>
      </c>
      <c r="F299" s="75">
        <v>1E-3</v>
      </c>
      <c r="G299" s="65">
        <f>VLOOKUP(D299,upahbahan,3,FALSE)</f>
        <v>145000</v>
      </c>
      <c r="H299" s="65">
        <f t="shared" si="34"/>
        <v>145</v>
      </c>
      <c r="J299" s="160"/>
      <c r="K299" s="328"/>
    </row>
    <row r="300" spans="3:11">
      <c r="C300" s="84" t="s">
        <v>1220</v>
      </c>
      <c r="D300" s="81"/>
      <c r="E300" s="81"/>
      <c r="F300" s="190"/>
      <c r="G300" s="221"/>
      <c r="H300" s="65">
        <f>SUM(H296:H299)</f>
        <v>8945</v>
      </c>
      <c r="I300" s="222"/>
      <c r="J300" s="160"/>
      <c r="K300" s="328"/>
    </row>
    <row r="301" spans="3:11">
      <c r="C301" s="305" t="s">
        <v>1221</v>
      </c>
      <c r="D301" s="60" t="s">
        <v>1222</v>
      </c>
      <c r="E301" s="74"/>
      <c r="F301" s="208"/>
      <c r="G301" s="74"/>
      <c r="H301" s="74"/>
      <c r="J301" s="160"/>
      <c r="K301" s="328"/>
    </row>
    <row r="302" spans="3:11">
      <c r="C302" s="363">
        <v>1</v>
      </c>
      <c r="D302" s="78" t="s">
        <v>930</v>
      </c>
      <c r="E302" s="69" t="s">
        <v>114</v>
      </c>
      <c r="F302" s="75">
        <v>1.1499999999999999</v>
      </c>
      <c r="G302" s="65">
        <f>VLOOKUP(D302,upahbahan,3,FALSE)</f>
        <v>12000</v>
      </c>
      <c r="H302" s="65">
        <f t="shared" ref="H302" si="35">F302*G302</f>
        <v>13799.999999999998</v>
      </c>
      <c r="J302" s="160"/>
      <c r="K302" s="328"/>
    </row>
    <row r="303" spans="3:11">
      <c r="C303" s="84" t="s">
        <v>1226</v>
      </c>
      <c r="D303" s="81"/>
      <c r="E303" s="81"/>
      <c r="F303" s="81"/>
      <c r="G303" s="163"/>
      <c r="H303" s="65">
        <f>SUM(H302:H302)</f>
        <v>13799.999999999998</v>
      </c>
      <c r="J303" s="160"/>
      <c r="K303" s="328"/>
    </row>
    <row r="304" spans="3:11">
      <c r="C304" s="73" t="s">
        <v>1227</v>
      </c>
      <c r="D304" s="60" t="s">
        <v>1228</v>
      </c>
      <c r="E304" s="74"/>
      <c r="F304" s="74"/>
      <c r="G304" s="74"/>
      <c r="H304" s="74"/>
      <c r="J304" s="160"/>
      <c r="K304" s="328"/>
    </row>
    <row r="305" spans="3:11">
      <c r="C305" s="84" t="s">
        <v>1229</v>
      </c>
      <c r="D305" s="81"/>
      <c r="E305" s="81"/>
      <c r="F305" s="81"/>
      <c r="G305" s="163"/>
      <c r="H305" s="306">
        <v>0</v>
      </c>
      <c r="J305" s="160"/>
      <c r="K305" s="328"/>
    </row>
    <row r="306" spans="3:11">
      <c r="C306" s="59" t="s">
        <v>1230</v>
      </c>
      <c r="D306" s="70" t="s">
        <v>1231</v>
      </c>
      <c r="E306" s="71"/>
      <c r="F306" s="71"/>
      <c r="G306" s="72"/>
      <c r="H306" s="307">
        <f>H305+H303+H300</f>
        <v>22745</v>
      </c>
      <c r="I306" s="322"/>
      <c r="J306" s="160"/>
      <c r="K306" s="328"/>
    </row>
    <row r="307" spans="3:11">
      <c r="C307" s="59" t="s">
        <v>1232</v>
      </c>
      <c r="D307" s="70" t="s">
        <v>1410</v>
      </c>
      <c r="E307" s="71"/>
      <c r="F307" s="72"/>
      <c r="G307" s="96">
        <f>$M$7</f>
        <v>0.1</v>
      </c>
      <c r="H307" s="65">
        <f>H306*G307</f>
        <v>2274.5</v>
      </c>
      <c r="I307" s="322"/>
      <c r="J307" s="160"/>
      <c r="K307" s="328"/>
    </row>
    <row r="308" spans="3:11">
      <c r="C308" s="59" t="s">
        <v>1233</v>
      </c>
      <c r="D308" s="70" t="s">
        <v>1234</v>
      </c>
      <c r="E308" s="71"/>
      <c r="F308" s="71"/>
      <c r="G308" s="72"/>
      <c r="H308" s="308">
        <f>SUM(H306:H307)</f>
        <v>25019.5</v>
      </c>
      <c r="I308" s="322"/>
      <c r="J308" s="160"/>
      <c r="K308" s="328"/>
    </row>
    <row r="309" spans="3:11">
      <c r="C309" s="90"/>
      <c r="D309" s="91"/>
      <c r="E309" s="91"/>
      <c r="F309" s="91"/>
      <c r="G309" s="91"/>
      <c r="H309" s="309"/>
      <c r="J309" s="160"/>
      <c r="K309" s="328"/>
    </row>
    <row r="310" spans="3:11">
      <c r="C310" s="316" t="s">
        <v>1860</v>
      </c>
      <c r="D310" s="318"/>
      <c r="E310" s="318"/>
      <c r="F310" s="318"/>
      <c r="G310" s="318"/>
      <c r="H310" s="318"/>
      <c r="I310" s="57">
        <f>ROUNDDOWN(H325,-2)</f>
        <v>30700</v>
      </c>
      <c r="J310" s="160"/>
      <c r="K310" s="328"/>
    </row>
    <row r="311" spans="3:11" ht="28.5">
      <c r="C311" s="303" t="s">
        <v>1207</v>
      </c>
      <c r="D311" s="303" t="s">
        <v>1208</v>
      </c>
      <c r="E311" s="303" t="s">
        <v>1209</v>
      </c>
      <c r="F311" s="303" t="s">
        <v>1210</v>
      </c>
      <c r="G311" s="303" t="s">
        <v>1211</v>
      </c>
      <c r="H311" s="303" t="s">
        <v>1212</v>
      </c>
      <c r="J311" s="160"/>
      <c r="K311" s="328"/>
    </row>
    <row r="312" spans="3:11">
      <c r="C312" s="305" t="s">
        <v>1213</v>
      </c>
      <c r="D312" s="60" t="s">
        <v>1214</v>
      </c>
      <c r="E312" s="74"/>
      <c r="F312" s="74"/>
      <c r="G312" s="74"/>
      <c r="H312" s="74"/>
      <c r="J312" s="160"/>
      <c r="K312" s="328"/>
    </row>
    <row r="313" spans="3:11">
      <c r="C313" s="363">
        <v>1</v>
      </c>
      <c r="D313" s="60" t="s">
        <v>5</v>
      </c>
      <c r="E313" s="305" t="s">
        <v>6</v>
      </c>
      <c r="F313" s="75">
        <v>2.4E-2</v>
      </c>
      <c r="G313" s="65">
        <f>VLOOKUP(D313,upahbahan,3,FALSE)</f>
        <v>100000</v>
      </c>
      <c r="H313" s="65">
        <f t="shared" ref="H313:H316" si="36">F313*G313</f>
        <v>2400</v>
      </c>
      <c r="J313" s="160"/>
      <c r="K313" s="328"/>
    </row>
    <row r="314" spans="3:11">
      <c r="C314" s="363">
        <v>2</v>
      </c>
      <c r="D314" s="60" t="str">
        <f>D297</f>
        <v>Tukang listrik</v>
      </c>
      <c r="E314" s="305" t="s">
        <v>6</v>
      </c>
      <c r="F314" s="75">
        <v>0.04</v>
      </c>
      <c r="G314" s="65">
        <f>VLOOKUP(D314,upahbahan,3,FALSE)</f>
        <v>145000</v>
      </c>
      <c r="H314" s="65">
        <f t="shared" si="36"/>
        <v>5800</v>
      </c>
      <c r="J314" s="160"/>
      <c r="K314" s="328"/>
    </row>
    <row r="315" spans="3:11">
      <c r="C315" s="363">
        <v>3</v>
      </c>
      <c r="D315" s="60" t="s">
        <v>18</v>
      </c>
      <c r="E315" s="305" t="s">
        <v>6</v>
      </c>
      <c r="F315" s="75">
        <v>4.0000000000000001E-3</v>
      </c>
      <c r="G315" s="65">
        <f>VLOOKUP(D315,upahbahan,3,FALSE)</f>
        <v>150000</v>
      </c>
      <c r="H315" s="65">
        <f t="shared" si="36"/>
        <v>600</v>
      </c>
      <c r="J315" s="160"/>
      <c r="K315" s="328"/>
    </row>
    <row r="316" spans="3:11">
      <c r="C316" s="363">
        <v>4</v>
      </c>
      <c r="D316" s="60" t="s">
        <v>19</v>
      </c>
      <c r="E316" s="305" t="s">
        <v>6</v>
      </c>
      <c r="F316" s="75">
        <v>1E-3</v>
      </c>
      <c r="G316" s="65">
        <f>VLOOKUP(D316,upahbahan,3,FALSE)</f>
        <v>145000</v>
      </c>
      <c r="H316" s="65">
        <f t="shared" si="36"/>
        <v>145</v>
      </c>
      <c r="J316" s="160"/>
      <c r="K316" s="328"/>
    </row>
    <row r="317" spans="3:11">
      <c r="C317" s="84" t="s">
        <v>1220</v>
      </c>
      <c r="D317" s="81"/>
      <c r="E317" s="81"/>
      <c r="F317" s="190"/>
      <c r="G317" s="221"/>
      <c r="H317" s="65">
        <f>SUM(H313:H316)</f>
        <v>8945</v>
      </c>
      <c r="I317" s="222"/>
      <c r="J317" s="160"/>
      <c r="K317" s="328"/>
    </row>
    <row r="318" spans="3:11">
      <c r="C318" s="305" t="s">
        <v>1221</v>
      </c>
      <c r="D318" s="60" t="s">
        <v>1222</v>
      </c>
      <c r="E318" s="74"/>
      <c r="F318" s="208"/>
      <c r="G318" s="74"/>
      <c r="H318" s="74"/>
      <c r="J318" s="160"/>
      <c r="K318" s="328"/>
    </row>
    <row r="319" spans="3:11">
      <c r="C319" s="363">
        <v>1</v>
      </c>
      <c r="D319" s="78" t="s">
        <v>933</v>
      </c>
      <c r="E319" s="69" t="s">
        <v>114</v>
      </c>
      <c r="F319" s="75">
        <v>1.1499999999999999</v>
      </c>
      <c r="G319" s="65">
        <f>VLOOKUP(D319,upahbahan,3,FALSE)</f>
        <v>16560</v>
      </c>
      <c r="H319" s="65">
        <f t="shared" ref="H319" si="37">F319*G319</f>
        <v>19044</v>
      </c>
      <c r="J319" s="160"/>
      <c r="K319" s="328"/>
    </row>
    <row r="320" spans="3:11">
      <c r="C320" s="84" t="s">
        <v>1226</v>
      </c>
      <c r="D320" s="81"/>
      <c r="E320" s="81"/>
      <c r="F320" s="81"/>
      <c r="G320" s="163"/>
      <c r="H320" s="65">
        <f>SUM(H319:H319)</f>
        <v>19044</v>
      </c>
      <c r="J320" s="160"/>
      <c r="K320" s="328"/>
    </row>
    <row r="321" spans="3:11">
      <c r="C321" s="73" t="s">
        <v>1227</v>
      </c>
      <c r="D321" s="60" t="s">
        <v>1228</v>
      </c>
      <c r="E321" s="74"/>
      <c r="F321" s="74"/>
      <c r="G321" s="74"/>
      <c r="H321" s="74"/>
      <c r="J321" s="160"/>
      <c r="K321" s="328"/>
    </row>
    <row r="322" spans="3:11">
      <c r="C322" s="84" t="s">
        <v>1229</v>
      </c>
      <c r="D322" s="81"/>
      <c r="E322" s="81"/>
      <c r="F322" s="81"/>
      <c r="G322" s="163"/>
      <c r="H322" s="306">
        <v>0</v>
      </c>
      <c r="J322" s="160"/>
      <c r="K322" s="328"/>
    </row>
    <row r="323" spans="3:11">
      <c r="C323" s="59" t="s">
        <v>1230</v>
      </c>
      <c r="D323" s="70" t="s">
        <v>1231</v>
      </c>
      <c r="E323" s="71"/>
      <c r="F323" s="71"/>
      <c r="G323" s="72"/>
      <c r="H323" s="307">
        <f>H322+H320+H317</f>
        <v>27989</v>
      </c>
      <c r="I323" s="322"/>
      <c r="J323" s="160"/>
      <c r="K323" s="328"/>
    </row>
    <row r="324" spans="3:11">
      <c r="C324" s="59" t="s">
        <v>1232</v>
      </c>
      <c r="D324" s="70" t="s">
        <v>1410</v>
      </c>
      <c r="E324" s="71"/>
      <c r="F324" s="72"/>
      <c r="G324" s="96">
        <f>$M$7</f>
        <v>0.1</v>
      </c>
      <c r="H324" s="65">
        <f>H323*G324</f>
        <v>2798.9</v>
      </c>
      <c r="I324" s="322"/>
      <c r="J324" s="160"/>
      <c r="K324" s="328"/>
    </row>
    <row r="325" spans="3:11">
      <c r="C325" s="59" t="s">
        <v>1233</v>
      </c>
      <c r="D325" s="70" t="s">
        <v>1234</v>
      </c>
      <c r="E325" s="71"/>
      <c r="F325" s="71"/>
      <c r="G325" s="72"/>
      <c r="H325" s="308">
        <f>SUM(H323:H324)</f>
        <v>30787.9</v>
      </c>
      <c r="I325" s="322"/>
      <c r="J325" s="160"/>
      <c r="K325" s="328"/>
    </row>
    <row r="326" spans="3:11">
      <c r="C326" s="58"/>
      <c r="D326" s="82"/>
      <c r="E326" s="82"/>
      <c r="F326" s="82"/>
      <c r="G326" s="82"/>
      <c r="H326" s="83"/>
      <c r="J326" s="160"/>
      <c r="K326" s="328"/>
    </row>
    <row r="327" spans="3:11">
      <c r="C327" s="316" t="s">
        <v>1861</v>
      </c>
      <c r="D327" s="318"/>
      <c r="E327" s="318"/>
      <c r="F327" s="318"/>
      <c r="G327" s="318"/>
      <c r="H327" s="318"/>
      <c r="I327" s="57">
        <f>ROUNDDOWN(H342,-2)</f>
        <v>38900</v>
      </c>
      <c r="J327" s="160"/>
      <c r="K327" s="328"/>
    </row>
    <row r="328" spans="3:11" ht="28.5">
      <c r="C328" s="303" t="s">
        <v>1207</v>
      </c>
      <c r="D328" s="303" t="s">
        <v>1208</v>
      </c>
      <c r="E328" s="303" t="s">
        <v>1209</v>
      </c>
      <c r="F328" s="303" t="s">
        <v>1210</v>
      </c>
      <c r="G328" s="303" t="s">
        <v>1211</v>
      </c>
      <c r="H328" s="303" t="s">
        <v>1212</v>
      </c>
      <c r="J328" s="160"/>
      <c r="K328" s="328"/>
    </row>
    <row r="329" spans="3:11">
      <c r="C329" s="305" t="s">
        <v>1213</v>
      </c>
      <c r="D329" s="60" t="s">
        <v>1214</v>
      </c>
      <c r="E329" s="74"/>
      <c r="F329" s="74"/>
      <c r="G329" s="74"/>
      <c r="H329" s="74"/>
      <c r="J329" s="160"/>
      <c r="K329" s="328"/>
    </row>
    <row r="330" spans="3:11">
      <c r="C330" s="363">
        <v>1</v>
      </c>
      <c r="D330" s="60" t="s">
        <v>5</v>
      </c>
      <c r="E330" s="305" t="s">
        <v>6</v>
      </c>
      <c r="F330" s="75">
        <v>2.4E-2</v>
      </c>
      <c r="G330" s="65">
        <f>VLOOKUP(D330,upahbahan,3,FALSE)</f>
        <v>100000</v>
      </c>
      <c r="H330" s="65">
        <f t="shared" ref="H330:H333" si="38">F330*G330</f>
        <v>2400</v>
      </c>
      <c r="J330" s="160"/>
      <c r="K330" s="328"/>
    </row>
    <row r="331" spans="3:11">
      <c r="C331" s="363">
        <v>2</v>
      </c>
      <c r="D331" s="60" t="str">
        <f>D314</f>
        <v>Tukang listrik</v>
      </c>
      <c r="E331" s="305" t="s">
        <v>6</v>
      </c>
      <c r="F331" s="75">
        <v>0.04</v>
      </c>
      <c r="G331" s="65">
        <f>VLOOKUP(D331,upahbahan,3,FALSE)</f>
        <v>145000</v>
      </c>
      <c r="H331" s="65">
        <f t="shared" si="38"/>
        <v>5800</v>
      </c>
      <c r="J331" s="160"/>
      <c r="K331" s="328"/>
    </row>
    <row r="332" spans="3:11">
      <c r="C332" s="363">
        <v>3</v>
      </c>
      <c r="D332" s="60" t="s">
        <v>18</v>
      </c>
      <c r="E332" s="305" t="s">
        <v>6</v>
      </c>
      <c r="F332" s="75">
        <v>4.0000000000000001E-3</v>
      </c>
      <c r="G332" s="65">
        <f>VLOOKUP(D332,upahbahan,3,FALSE)</f>
        <v>150000</v>
      </c>
      <c r="H332" s="65">
        <f t="shared" si="38"/>
        <v>600</v>
      </c>
      <c r="J332" s="160"/>
      <c r="K332" s="328"/>
    </row>
    <row r="333" spans="3:11">
      <c r="C333" s="363">
        <v>4</v>
      </c>
      <c r="D333" s="60" t="s">
        <v>19</v>
      </c>
      <c r="E333" s="305" t="s">
        <v>6</v>
      </c>
      <c r="F333" s="75">
        <v>1E-3</v>
      </c>
      <c r="G333" s="65">
        <f>VLOOKUP(D333,upahbahan,3,FALSE)</f>
        <v>145000</v>
      </c>
      <c r="H333" s="65">
        <f t="shared" si="38"/>
        <v>145</v>
      </c>
      <c r="J333" s="160"/>
      <c r="K333" s="328"/>
    </row>
    <row r="334" spans="3:11">
      <c r="C334" s="84" t="s">
        <v>1220</v>
      </c>
      <c r="D334" s="81"/>
      <c r="E334" s="81"/>
      <c r="F334" s="190"/>
      <c r="G334" s="221"/>
      <c r="H334" s="65">
        <f>SUM(H330:H333)</f>
        <v>8945</v>
      </c>
      <c r="I334" s="222"/>
      <c r="J334" s="160"/>
      <c r="K334" s="328"/>
    </row>
    <row r="335" spans="3:11">
      <c r="C335" s="305" t="s">
        <v>1221</v>
      </c>
      <c r="D335" s="60" t="s">
        <v>1222</v>
      </c>
      <c r="E335" s="74"/>
      <c r="F335" s="208"/>
      <c r="G335" s="74"/>
      <c r="H335" s="74"/>
      <c r="J335" s="160"/>
      <c r="K335" s="328"/>
    </row>
    <row r="336" spans="3:11">
      <c r="C336" s="363">
        <v>1</v>
      </c>
      <c r="D336" s="78" t="s">
        <v>934</v>
      </c>
      <c r="E336" s="69" t="s">
        <v>114</v>
      </c>
      <c r="F336" s="75">
        <v>1.1499999999999999</v>
      </c>
      <c r="G336" s="65">
        <f>VLOOKUP(D336,upahbahan,3,FALSE)</f>
        <v>23000</v>
      </c>
      <c r="H336" s="65">
        <f t="shared" ref="H336" si="39">F336*G336</f>
        <v>26449.999999999996</v>
      </c>
      <c r="J336" s="160"/>
      <c r="K336" s="328"/>
    </row>
    <row r="337" spans="3:11">
      <c r="C337" s="84" t="s">
        <v>1226</v>
      </c>
      <c r="D337" s="81"/>
      <c r="E337" s="81"/>
      <c r="F337" s="81"/>
      <c r="G337" s="163"/>
      <c r="H337" s="65">
        <f>SUM(H336:H336)</f>
        <v>26449.999999999996</v>
      </c>
      <c r="J337" s="160"/>
      <c r="K337" s="328"/>
    </row>
    <row r="338" spans="3:11">
      <c r="C338" s="73" t="s">
        <v>1227</v>
      </c>
      <c r="D338" s="60" t="s">
        <v>1228</v>
      </c>
      <c r="E338" s="74"/>
      <c r="F338" s="74"/>
      <c r="G338" s="74"/>
      <c r="H338" s="74"/>
      <c r="J338" s="160"/>
      <c r="K338" s="328"/>
    </row>
    <row r="339" spans="3:11">
      <c r="C339" s="84" t="s">
        <v>1229</v>
      </c>
      <c r="D339" s="81"/>
      <c r="E339" s="81"/>
      <c r="F339" s="81"/>
      <c r="G339" s="163"/>
      <c r="H339" s="306">
        <v>0</v>
      </c>
      <c r="J339" s="160"/>
      <c r="K339" s="328"/>
    </row>
    <row r="340" spans="3:11">
      <c r="C340" s="59" t="s">
        <v>1230</v>
      </c>
      <c r="D340" s="70" t="s">
        <v>1231</v>
      </c>
      <c r="E340" s="71"/>
      <c r="F340" s="71"/>
      <c r="G340" s="72"/>
      <c r="H340" s="307">
        <f>H339+H337+H334</f>
        <v>35395</v>
      </c>
      <c r="I340" s="322"/>
      <c r="J340" s="160"/>
      <c r="K340" s="328"/>
    </row>
    <row r="341" spans="3:11">
      <c r="C341" s="59" t="s">
        <v>1232</v>
      </c>
      <c r="D341" s="70" t="s">
        <v>1410</v>
      </c>
      <c r="E341" s="71"/>
      <c r="F341" s="72"/>
      <c r="G341" s="96">
        <f>$M$7</f>
        <v>0.1</v>
      </c>
      <c r="H341" s="65">
        <f>H340*G341</f>
        <v>3539.5</v>
      </c>
      <c r="I341" s="322"/>
      <c r="J341" s="160"/>
      <c r="K341" s="328"/>
    </row>
    <row r="342" spans="3:11">
      <c r="C342" s="59" t="s">
        <v>1233</v>
      </c>
      <c r="D342" s="70" t="s">
        <v>1234</v>
      </c>
      <c r="E342" s="71"/>
      <c r="F342" s="71"/>
      <c r="G342" s="72"/>
      <c r="H342" s="308">
        <f>SUM(H340:H341)</f>
        <v>38934.5</v>
      </c>
      <c r="I342" s="322"/>
      <c r="J342" s="160"/>
      <c r="K342" s="328"/>
    </row>
    <row r="343" spans="3:11">
      <c r="C343" s="58"/>
      <c r="D343" s="82"/>
      <c r="E343" s="82"/>
      <c r="F343" s="82"/>
      <c r="G343" s="82"/>
      <c r="H343" s="83"/>
      <c r="J343" s="160"/>
      <c r="K343" s="328"/>
    </row>
    <row r="344" spans="3:11">
      <c r="C344" s="316" t="s">
        <v>1862</v>
      </c>
      <c r="D344" s="318"/>
      <c r="E344" s="318"/>
      <c r="F344" s="318"/>
      <c r="G344" s="318"/>
      <c r="H344" s="318"/>
      <c r="I344" s="57">
        <f>ROUNDDOWN(H359,-2)</f>
        <v>54100</v>
      </c>
      <c r="J344" s="160"/>
      <c r="K344" s="328"/>
    </row>
    <row r="345" spans="3:11" ht="28.5">
      <c r="C345" s="303" t="s">
        <v>1207</v>
      </c>
      <c r="D345" s="303" t="s">
        <v>1208</v>
      </c>
      <c r="E345" s="303" t="s">
        <v>1209</v>
      </c>
      <c r="F345" s="303" t="s">
        <v>1210</v>
      </c>
      <c r="G345" s="303" t="s">
        <v>1211</v>
      </c>
      <c r="H345" s="303" t="s">
        <v>1212</v>
      </c>
      <c r="J345" s="160"/>
      <c r="K345" s="328"/>
    </row>
    <row r="346" spans="3:11">
      <c r="C346" s="73" t="s">
        <v>1213</v>
      </c>
      <c r="D346" s="60" t="s">
        <v>1214</v>
      </c>
      <c r="E346" s="74"/>
      <c r="F346" s="74"/>
      <c r="G346" s="74"/>
      <c r="H346" s="74"/>
      <c r="J346" s="160"/>
      <c r="K346" s="328"/>
    </row>
    <row r="347" spans="3:11">
      <c r="C347" s="304">
        <v>1</v>
      </c>
      <c r="D347" s="60" t="s">
        <v>5</v>
      </c>
      <c r="E347" s="305" t="s">
        <v>6</v>
      </c>
      <c r="F347" s="75">
        <v>2.4E-2</v>
      </c>
      <c r="G347" s="65">
        <f>VLOOKUP(D347,upahbahan,3,FALSE)</f>
        <v>100000</v>
      </c>
      <c r="H347" s="65">
        <f t="shared" ref="H347:H350" si="40">F347*G347</f>
        <v>2400</v>
      </c>
      <c r="J347" s="160"/>
      <c r="K347" s="328"/>
    </row>
    <row r="348" spans="3:11">
      <c r="C348" s="304">
        <v>2</v>
      </c>
      <c r="D348" s="60" t="str">
        <f>D331</f>
        <v>Tukang listrik</v>
      </c>
      <c r="E348" s="305" t="s">
        <v>6</v>
      </c>
      <c r="F348" s="75">
        <v>0.04</v>
      </c>
      <c r="G348" s="65">
        <f>VLOOKUP(D348,upahbahan,3,FALSE)</f>
        <v>145000</v>
      </c>
      <c r="H348" s="65">
        <f t="shared" si="40"/>
        <v>5800</v>
      </c>
      <c r="J348" s="160"/>
      <c r="K348" s="328"/>
    </row>
    <row r="349" spans="3:11">
      <c r="C349" s="304">
        <v>3</v>
      </c>
      <c r="D349" s="60" t="s">
        <v>18</v>
      </c>
      <c r="E349" s="305" t="s">
        <v>6</v>
      </c>
      <c r="F349" s="75">
        <v>4.0000000000000001E-3</v>
      </c>
      <c r="G349" s="65">
        <f>VLOOKUP(D349,upahbahan,3,FALSE)</f>
        <v>150000</v>
      </c>
      <c r="H349" s="65">
        <f t="shared" si="40"/>
        <v>600</v>
      </c>
      <c r="J349" s="160"/>
      <c r="K349" s="328"/>
    </row>
    <row r="350" spans="3:11">
      <c r="C350" s="304">
        <v>4</v>
      </c>
      <c r="D350" s="60" t="s">
        <v>19</v>
      </c>
      <c r="E350" s="305" t="s">
        <v>6</v>
      </c>
      <c r="F350" s="75">
        <v>1E-3</v>
      </c>
      <c r="G350" s="65">
        <f>VLOOKUP(D350,upahbahan,3,FALSE)</f>
        <v>145000</v>
      </c>
      <c r="H350" s="65">
        <f t="shared" si="40"/>
        <v>145</v>
      </c>
      <c r="J350" s="160"/>
      <c r="K350" s="328"/>
    </row>
    <row r="351" spans="3:11">
      <c r="C351" s="84" t="s">
        <v>1220</v>
      </c>
      <c r="D351" s="81"/>
      <c r="E351" s="81"/>
      <c r="F351" s="190"/>
      <c r="G351" s="221"/>
      <c r="H351" s="65">
        <f>SUM(H347:H350)</f>
        <v>8945</v>
      </c>
      <c r="I351" s="222"/>
      <c r="J351" s="160"/>
      <c r="K351" s="328"/>
    </row>
    <row r="352" spans="3:11">
      <c r="C352" s="73" t="s">
        <v>1221</v>
      </c>
      <c r="D352" s="60" t="s">
        <v>1222</v>
      </c>
      <c r="E352" s="74"/>
      <c r="F352" s="208"/>
      <c r="G352" s="74"/>
      <c r="H352" s="74"/>
      <c r="J352" s="160"/>
      <c r="K352" s="328"/>
    </row>
    <row r="353" spans="3:11">
      <c r="C353" s="304">
        <v>1</v>
      </c>
      <c r="D353" s="78" t="s">
        <v>935</v>
      </c>
      <c r="E353" s="69" t="s">
        <v>114</v>
      </c>
      <c r="F353" s="75">
        <v>1.1499999999999999</v>
      </c>
      <c r="G353" s="65">
        <f>VLOOKUP(D353,upahbahan,3,FALSE)</f>
        <v>35000</v>
      </c>
      <c r="H353" s="65">
        <f t="shared" ref="H353" si="41">F353*G353</f>
        <v>40250</v>
      </c>
      <c r="J353" s="160"/>
      <c r="K353" s="328"/>
    </row>
    <row r="354" spans="3:11">
      <c r="C354" s="84" t="s">
        <v>1226</v>
      </c>
      <c r="D354" s="81"/>
      <c r="E354" s="81"/>
      <c r="F354" s="81"/>
      <c r="G354" s="163"/>
      <c r="H354" s="65">
        <f>SUM(H353:H353)</f>
        <v>40250</v>
      </c>
      <c r="J354" s="160"/>
      <c r="K354" s="328"/>
    </row>
    <row r="355" spans="3:11">
      <c r="C355" s="73" t="s">
        <v>1227</v>
      </c>
      <c r="D355" s="60" t="s">
        <v>1228</v>
      </c>
      <c r="E355" s="74"/>
      <c r="F355" s="74"/>
      <c r="G355" s="74"/>
      <c r="H355" s="74"/>
      <c r="J355" s="160"/>
      <c r="K355" s="328"/>
    </row>
    <row r="356" spans="3:11">
      <c r="C356" s="84" t="s">
        <v>1229</v>
      </c>
      <c r="D356" s="81"/>
      <c r="E356" s="81"/>
      <c r="F356" s="81"/>
      <c r="G356" s="163"/>
      <c r="H356" s="306">
        <v>0</v>
      </c>
      <c r="J356" s="160"/>
      <c r="K356" s="328"/>
    </row>
    <row r="357" spans="3:11">
      <c r="C357" s="59" t="s">
        <v>1230</v>
      </c>
      <c r="D357" s="70" t="s">
        <v>1231</v>
      </c>
      <c r="E357" s="71"/>
      <c r="F357" s="71"/>
      <c r="G357" s="72"/>
      <c r="H357" s="307">
        <f>H356+H354+H351</f>
        <v>49195</v>
      </c>
      <c r="I357" s="322"/>
      <c r="J357" s="160"/>
      <c r="K357" s="328"/>
    </row>
    <row r="358" spans="3:11">
      <c r="C358" s="59" t="s">
        <v>1232</v>
      </c>
      <c r="D358" s="70" t="s">
        <v>1410</v>
      </c>
      <c r="E358" s="71"/>
      <c r="F358" s="72"/>
      <c r="G358" s="96">
        <f>$M$7</f>
        <v>0.1</v>
      </c>
      <c r="H358" s="65">
        <f>H357*G358</f>
        <v>4919.5</v>
      </c>
      <c r="I358" s="322"/>
      <c r="J358" s="160"/>
      <c r="K358" s="328"/>
    </row>
    <row r="359" spans="3:11">
      <c r="C359" s="59" t="s">
        <v>1233</v>
      </c>
      <c r="D359" s="70" t="s">
        <v>1234</v>
      </c>
      <c r="E359" s="71"/>
      <c r="F359" s="71"/>
      <c r="G359" s="72"/>
      <c r="H359" s="308">
        <f>SUM(H357:H358)</f>
        <v>54114.5</v>
      </c>
      <c r="I359" s="322"/>
      <c r="J359" s="160"/>
      <c r="K359" s="328"/>
    </row>
    <row r="360" spans="3:11">
      <c r="C360" s="58"/>
      <c r="D360" s="82"/>
      <c r="E360" s="82"/>
      <c r="F360" s="82"/>
      <c r="G360" s="82"/>
      <c r="H360" s="83"/>
      <c r="J360" s="160"/>
      <c r="K360" s="328"/>
    </row>
    <row r="361" spans="3:11">
      <c r="C361" s="316" t="s">
        <v>1863</v>
      </c>
      <c r="D361" s="318"/>
      <c r="E361" s="318"/>
      <c r="F361" s="318"/>
      <c r="G361" s="318"/>
      <c r="H361" s="318"/>
      <c r="I361" s="57">
        <f>ROUNDDOWN(H376,-2)</f>
        <v>82500</v>
      </c>
      <c r="J361" s="160"/>
      <c r="K361" s="328"/>
    </row>
    <row r="362" spans="3:11" ht="28.5">
      <c r="C362" s="303" t="s">
        <v>1207</v>
      </c>
      <c r="D362" s="303" t="s">
        <v>1208</v>
      </c>
      <c r="E362" s="303" t="s">
        <v>1209</v>
      </c>
      <c r="F362" s="303" t="s">
        <v>1210</v>
      </c>
      <c r="G362" s="303" t="s">
        <v>1211</v>
      </c>
      <c r="H362" s="303" t="s">
        <v>1212</v>
      </c>
      <c r="J362" s="160"/>
      <c r="K362" s="328"/>
    </row>
    <row r="363" spans="3:11">
      <c r="C363" s="305" t="s">
        <v>1213</v>
      </c>
      <c r="D363" s="60" t="s">
        <v>1214</v>
      </c>
      <c r="E363" s="74"/>
      <c r="F363" s="74"/>
      <c r="G363" s="74"/>
      <c r="H363" s="74"/>
      <c r="J363" s="160"/>
      <c r="K363" s="328"/>
    </row>
    <row r="364" spans="3:11">
      <c r="C364" s="363">
        <v>1</v>
      </c>
      <c r="D364" s="60" t="s">
        <v>5</v>
      </c>
      <c r="E364" s="305" t="s">
        <v>6</v>
      </c>
      <c r="F364" s="75">
        <v>2.4E-2</v>
      </c>
      <c r="G364" s="65">
        <f>VLOOKUP(D364,upahbahan,3,FALSE)</f>
        <v>100000</v>
      </c>
      <c r="H364" s="65">
        <f t="shared" ref="H364:H367" si="42">F364*G364</f>
        <v>2400</v>
      </c>
      <c r="J364" s="160"/>
      <c r="K364" s="328"/>
    </row>
    <row r="365" spans="3:11">
      <c r="C365" s="363">
        <v>2</v>
      </c>
      <c r="D365" s="60" t="str">
        <f>D348</f>
        <v>Tukang listrik</v>
      </c>
      <c r="E365" s="305" t="s">
        <v>6</v>
      </c>
      <c r="F365" s="75">
        <v>0.04</v>
      </c>
      <c r="G365" s="65">
        <f>VLOOKUP(D365,upahbahan,3,FALSE)</f>
        <v>145000</v>
      </c>
      <c r="H365" s="65">
        <f t="shared" si="42"/>
        <v>5800</v>
      </c>
      <c r="J365" s="160"/>
      <c r="K365" s="328"/>
    </row>
    <row r="366" spans="3:11">
      <c r="C366" s="363">
        <v>3</v>
      </c>
      <c r="D366" s="60" t="s">
        <v>18</v>
      </c>
      <c r="E366" s="305" t="s">
        <v>6</v>
      </c>
      <c r="F366" s="75">
        <v>4.0000000000000001E-3</v>
      </c>
      <c r="G366" s="65">
        <f>VLOOKUP(D366,upahbahan,3,FALSE)</f>
        <v>150000</v>
      </c>
      <c r="H366" s="65">
        <f t="shared" si="42"/>
        <v>600</v>
      </c>
      <c r="J366" s="160"/>
      <c r="K366" s="328"/>
    </row>
    <row r="367" spans="3:11">
      <c r="C367" s="363">
        <v>4</v>
      </c>
      <c r="D367" s="60" t="s">
        <v>19</v>
      </c>
      <c r="E367" s="305" t="s">
        <v>6</v>
      </c>
      <c r="F367" s="75">
        <v>1E-3</v>
      </c>
      <c r="G367" s="65">
        <f>VLOOKUP(D367,upahbahan,3,FALSE)</f>
        <v>145000</v>
      </c>
      <c r="H367" s="65">
        <f t="shared" si="42"/>
        <v>145</v>
      </c>
      <c r="J367" s="160"/>
      <c r="K367" s="328"/>
    </row>
    <row r="368" spans="3:11">
      <c r="C368" s="84" t="s">
        <v>1220</v>
      </c>
      <c r="D368" s="81"/>
      <c r="E368" s="81"/>
      <c r="F368" s="190"/>
      <c r="G368" s="221"/>
      <c r="H368" s="65">
        <f>SUM(H364:H367)</f>
        <v>8945</v>
      </c>
      <c r="I368" s="222"/>
      <c r="J368" s="160"/>
      <c r="K368" s="328"/>
    </row>
    <row r="369" spans="3:11">
      <c r="C369" s="305" t="s">
        <v>1221</v>
      </c>
      <c r="D369" s="60" t="s">
        <v>1222</v>
      </c>
      <c r="E369" s="74"/>
      <c r="F369" s="208"/>
      <c r="G369" s="74"/>
      <c r="H369" s="74"/>
      <c r="J369" s="160"/>
      <c r="K369" s="328"/>
    </row>
    <row r="370" spans="3:11">
      <c r="C370" s="363">
        <v>1</v>
      </c>
      <c r="D370" s="78" t="s">
        <v>931</v>
      </c>
      <c r="E370" s="69" t="s">
        <v>114</v>
      </c>
      <c r="F370" s="75">
        <v>1.1499999999999999</v>
      </c>
      <c r="G370" s="65">
        <f>VLOOKUP(D370,upahbahan,3,FALSE)</f>
        <v>57500</v>
      </c>
      <c r="H370" s="65">
        <f t="shared" ref="H370" si="43">F370*G370</f>
        <v>66125</v>
      </c>
      <c r="J370" s="160"/>
      <c r="K370" s="328"/>
    </row>
    <row r="371" spans="3:11">
      <c r="C371" s="84" t="s">
        <v>1226</v>
      </c>
      <c r="D371" s="81"/>
      <c r="E371" s="81"/>
      <c r="F371" s="81"/>
      <c r="G371" s="163"/>
      <c r="H371" s="65">
        <f>SUM(H370:H370)</f>
        <v>66125</v>
      </c>
      <c r="J371" s="160"/>
      <c r="K371" s="328"/>
    </row>
    <row r="372" spans="3:11">
      <c r="C372" s="73" t="s">
        <v>1227</v>
      </c>
      <c r="D372" s="60" t="s">
        <v>1228</v>
      </c>
      <c r="E372" s="74"/>
      <c r="F372" s="74"/>
      <c r="G372" s="74"/>
      <c r="H372" s="74"/>
      <c r="J372" s="160"/>
      <c r="K372" s="328"/>
    </row>
    <row r="373" spans="3:11">
      <c r="C373" s="84" t="s">
        <v>1229</v>
      </c>
      <c r="D373" s="81"/>
      <c r="E373" s="81"/>
      <c r="F373" s="81"/>
      <c r="G373" s="163"/>
      <c r="H373" s="306">
        <v>0</v>
      </c>
      <c r="J373" s="160"/>
      <c r="K373" s="328"/>
    </row>
    <row r="374" spans="3:11">
      <c r="C374" s="59" t="s">
        <v>1230</v>
      </c>
      <c r="D374" s="70" t="s">
        <v>1231</v>
      </c>
      <c r="E374" s="71"/>
      <c r="F374" s="71"/>
      <c r="G374" s="72"/>
      <c r="H374" s="307">
        <f>H373+H371+H368</f>
        <v>75070</v>
      </c>
      <c r="I374" s="322"/>
      <c r="J374" s="160"/>
      <c r="K374" s="328"/>
    </row>
    <row r="375" spans="3:11">
      <c r="C375" s="59" t="s">
        <v>1232</v>
      </c>
      <c r="D375" s="70" t="s">
        <v>1410</v>
      </c>
      <c r="E375" s="71"/>
      <c r="F375" s="72"/>
      <c r="G375" s="96">
        <f>$M$7</f>
        <v>0.1</v>
      </c>
      <c r="H375" s="65">
        <f>H374*G375</f>
        <v>7507</v>
      </c>
      <c r="I375" s="322"/>
      <c r="J375" s="160"/>
      <c r="K375" s="328"/>
    </row>
    <row r="376" spans="3:11">
      <c r="C376" s="59" t="s">
        <v>1233</v>
      </c>
      <c r="D376" s="70" t="s">
        <v>1234</v>
      </c>
      <c r="E376" s="71"/>
      <c r="F376" s="71"/>
      <c r="G376" s="72"/>
      <c r="H376" s="308">
        <f>SUM(H374:H375)</f>
        <v>82577</v>
      </c>
      <c r="I376" s="322"/>
      <c r="J376" s="160"/>
      <c r="K376" s="328"/>
    </row>
    <row r="377" spans="3:11">
      <c r="C377" s="58"/>
      <c r="D377" s="82"/>
      <c r="E377" s="82"/>
      <c r="F377" s="82"/>
      <c r="G377" s="82"/>
      <c r="H377" s="83"/>
      <c r="J377" s="160"/>
      <c r="K377" s="328"/>
    </row>
    <row r="378" spans="3:11">
      <c r="C378" s="316" t="s">
        <v>1864</v>
      </c>
      <c r="D378" s="318"/>
      <c r="E378" s="318"/>
      <c r="F378" s="318"/>
      <c r="G378" s="318"/>
      <c r="H378" s="318"/>
      <c r="I378" s="57">
        <f>ROUNDDOWN(H393,-2)</f>
        <v>126200</v>
      </c>
      <c r="J378" s="160"/>
      <c r="K378" s="328"/>
    </row>
    <row r="379" spans="3:11" ht="28.5">
      <c r="C379" s="303" t="s">
        <v>1207</v>
      </c>
      <c r="D379" s="303" t="s">
        <v>1208</v>
      </c>
      <c r="E379" s="303" t="s">
        <v>1209</v>
      </c>
      <c r="F379" s="303" t="s">
        <v>1210</v>
      </c>
      <c r="G379" s="303" t="s">
        <v>1211</v>
      </c>
      <c r="H379" s="303" t="s">
        <v>1212</v>
      </c>
      <c r="J379" s="160"/>
      <c r="K379" s="328"/>
    </row>
    <row r="380" spans="3:11">
      <c r="C380" s="305" t="s">
        <v>1213</v>
      </c>
      <c r="D380" s="60" t="s">
        <v>1214</v>
      </c>
      <c r="E380" s="74"/>
      <c r="F380" s="74"/>
      <c r="G380" s="74"/>
      <c r="H380" s="74"/>
      <c r="J380" s="160"/>
      <c r="K380" s="328"/>
    </row>
    <row r="381" spans="3:11">
      <c r="C381" s="363">
        <v>1</v>
      </c>
      <c r="D381" s="60" t="s">
        <v>5</v>
      </c>
      <c r="E381" s="305" t="s">
        <v>6</v>
      </c>
      <c r="F381" s="75">
        <v>2.4E-2</v>
      </c>
      <c r="G381" s="65">
        <f>VLOOKUP(D381,upahbahan,3,FALSE)</f>
        <v>100000</v>
      </c>
      <c r="H381" s="65">
        <f t="shared" ref="H381:H384" si="44">F381*G381</f>
        <v>2400</v>
      </c>
      <c r="J381" s="160"/>
      <c r="K381" s="328"/>
    </row>
    <row r="382" spans="3:11">
      <c r="C382" s="363">
        <v>2</v>
      </c>
      <c r="D382" s="60" t="str">
        <f>D365</f>
        <v>Tukang listrik</v>
      </c>
      <c r="E382" s="305" t="s">
        <v>6</v>
      </c>
      <c r="F382" s="75">
        <v>0.04</v>
      </c>
      <c r="G382" s="65">
        <f>VLOOKUP(D382,upahbahan,3,FALSE)</f>
        <v>145000</v>
      </c>
      <c r="H382" s="65">
        <f t="shared" si="44"/>
        <v>5800</v>
      </c>
      <c r="J382" s="160"/>
      <c r="K382" s="328"/>
    </row>
    <row r="383" spans="3:11">
      <c r="C383" s="363">
        <v>3</v>
      </c>
      <c r="D383" s="60" t="s">
        <v>18</v>
      </c>
      <c r="E383" s="305" t="s">
        <v>6</v>
      </c>
      <c r="F383" s="75">
        <v>4.0000000000000001E-3</v>
      </c>
      <c r="G383" s="65">
        <f>VLOOKUP(D383,upahbahan,3,FALSE)</f>
        <v>150000</v>
      </c>
      <c r="H383" s="65">
        <f t="shared" si="44"/>
        <v>600</v>
      </c>
      <c r="J383" s="160"/>
      <c r="K383" s="328"/>
    </row>
    <row r="384" spans="3:11">
      <c r="C384" s="363">
        <v>4</v>
      </c>
      <c r="D384" s="60" t="s">
        <v>19</v>
      </c>
      <c r="E384" s="305" t="s">
        <v>6</v>
      </c>
      <c r="F384" s="75">
        <v>1E-3</v>
      </c>
      <c r="G384" s="65">
        <f>VLOOKUP(D384,upahbahan,3,FALSE)</f>
        <v>145000</v>
      </c>
      <c r="H384" s="65">
        <f t="shared" si="44"/>
        <v>145</v>
      </c>
      <c r="J384" s="160"/>
      <c r="K384" s="328"/>
    </row>
    <row r="385" spans="3:11">
      <c r="C385" s="84" t="s">
        <v>1220</v>
      </c>
      <c r="D385" s="81"/>
      <c r="E385" s="81"/>
      <c r="F385" s="190"/>
      <c r="G385" s="221"/>
      <c r="H385" s="65">
        <f>SUM(H381:H384)</f>
        <v>8945</v>
      </c>
      <c r="I385" s="222"/>
      <c r="J385" s="160"/>
      <c r="K385" s="328"/>
    </row>
    <row r="386" spans="3:11">
      <c r="C386" s="305" t="s">
        <v>1221</v>
      </c>
      <c r="D386" s="60" t="s">
        <v>1222</v>
      </c>
      <c r="E386" s="74"/>
      <c r="F386" s="208"/>
      <c r="G386" s="74"/>
      <c r="H386" s="74"/>
      <c r="J386" s="160"/>
      <c r="K386" s="328"/>
    </row>
    <row r="387" spans="3:11">
      <c r="C387" s="363">
        <v>1</v>
      </c>
      <c r="D387" s="78" t="s">
        <v>932</v>
      </c>
      <c r="E387" s="69" t="s">
        <v>114</v>
      </c>
      <c r="F387" s="75">
        <v>1.1499999999999999</v>
      </c>
      <c r="G387" s="65">
        <f>VLOOKUP(D387,upahbahan,3,FALSE)</f>
        <v>92000</v>
      </c>
      <c r="H387" s="65">
        <f t="shared" ref="H387" si="45">F387*G387</f>
        <v>105799.99999999999</v>
      </c>
      <c r="J387" s="160"/>
      <c r="K387" s="328"/>
    </row>
    <row r="388" spans="3:11">
      <c r="C388" s="84" t="s">
        <v>1226</v>
      </c>
      <c r="D388" s="81"/>
      <c r="E388" s="81"/>
      <c r="F388" s="81"/>
      <c r="G388" s="163"/>
      <c r="H388" s="65">
        <f>SUM(H387:H387)</f>
        <v>105799.99999999999</v>
      </c>
      <c r="J388" s="160"/>
      <c r="K388" s="328"/>
    </row>
    <row r="389" spans="3:11">
      <c r="C389" s="73" t="s">
        <v>1227</v>
      </c>
      <c r="D389" s="60" t="s">
        <v>1228</v>
      </c>
      <c r="E389" s="74"/>
      <c r="F389" s="74"/>
      <c r="G389" s="74"/>
      <c r="H389" s="74"/>
      <c r="J389" s="160"/>
      <c r="K389" s="328"/>
    </row>
    <row r="390" spans="3:11">
      <c r="C390" s="84" t="s">
        <v>1229</v>
      </c>
      <c r="D390" s="81"/>
      <c r="E390" s="81"/>
      <c r="F390" s="81"/>
      <c r="G390" s="163"/>
      <c r="H390" s="306">
        <v>0</v>
      </c>
      <c r="J390" s="160"/>
      <c r="K390" s="328"/>
    </row>
    <row r="391" spans="3:11">
      <c r="C391" s="59" t="s">
        <v>1230</v>
      </c>
      <c r="D391" s="70" t="s">
        <v>1231</v>
      </c>
      <c r="E391" s="71"/>
      <c r="F391" s="71"/>
      <c r="G391" s="72"/>
      <c r="H391" s="307">
        <f>H390+H388+H385</f>
        <v>114744.99999999999</v>
      </c>
      <c r="I391" s="322"/>
      <c r="J391" s="160"/>
      <c r="K391" s="328"/>
    </row>
    <row r="392" spans="3:11">
      <c r="C392" s="59" t="s">
        <v>1232</v>
      </c>
      <c r="D392" s="70" t="s">
        <v>1410</v>
      </c>
      <c r="E392" s="71"/>
      <c r="F392" s="72"/>
      <c r="G392" s="96">
        <f>$M$7</f>
        <v>0.1</v>
      </c>
      <c r="H392" s="65">
        <f>H391*G392</f>
        <v>11474.5</v>
      </c>
      <c r="I392" s="322"/>
      <c r="J392" s="160"/>
      <c r="K392" s="328"/>
    </row>
    <row r="393" spans="3:11">
      <c r="C393" s="59" t="s">
        <v>1233</v>
      </c>
      <c r="D393" s="70" t="s">
        <v>1234</v>
      </c>
      <c r="E393" s="71"/>
      <c r="F393" s="71"/>
      <c r="G393" s="72"/>
      <c r="H393" s="308">
        <f>SUM(H391:H392)</f>
        <v>126219.49999999999</v>
      </c>
      <c r="I393" s="322"/>
      <c r="J393" s="160"/>
      <c r="K393" s="328"/>
    </row>
    <row r="394" spans="3:11">
      <c r="C394" s="58"/>
      <c r="D394" s="82"/>
      <c r="E394" s="82"/>
      <c r="F394" s="82"/>
      <c r="G394" s="82"/>
      <c r="H394" s="83"/>
      <c r="J394" s="160"/>
      <c r="K394" s="328"/>
    </row>
    <row r="395" spans="3:11">
      <c r="C395" s="316" t="s">
        <v>1865</v>
      </c>
      <c r="D395" s="318"/>
      <c r="E395" s="318"/>
      <c r="F395" s="318"/>
      <c r="G395" s="318"/>
      <c r="H395" s="318"/>
      <c r="I395" s="57">
        <f>ROUNDDOWN(H410,-2)</f>
        <v>28800</v>
      </c>
      <c r="J395" s="160"/>
      <c r="K395" s="328"/>
    </row>
    <row r="396" spans="3:11" ht="28.5">
      <c r="C396" s="303" t="s">
        <v>1207</v>
      </c>
      <c r="D396" s="303" t="s">
        <v>1208</v>
      </c>
      <c r="E396" s="303" t="s">
        <v>1209</v>
      </c>
      <c r="F396" s="303" t="s">
        <v>1210</v>
      </c>
      <c r="G396" s="303" t="s">
        <v>1211</v>
      </c>
      <c r="H396" s="303" t="s">
        <v>1212</v>
      </c>
      <c r="J396" s="160"/>
      <c r="K396" s="328"/>
    </row>
    <row r="397" spans="3:11">
      <c r="C397" s="305" t="s">
        <v>1213</v>
      </c>
      <c r="D397" s="60" t="s">
        <v>1214</v>
      </c>
      <c r="E397" s="74"/>
      <c r="F397" s="74"/>
      <c r="G397" s="74"/>
      <c r="H397" s="74"/>
      <c r="J397" s="160"/>
      <c r="K397" s="328"/>
    </row>
    <row r="398" spans="3:11">
      <c r="C398" s="363">
        <v>1</v>
      </c>
      <c r="D398" s="60" t="s">
        <v>5</v>
      </c>
      <c r="E398" s="305" t="s">
        <v>6</v>
      </c>
      <c r="F398" s="75">
        <v>2.4E-2</v>
      </c>
      <c r="G398" s="65">
        <f>VLOOKUP(D398,upahbahan,3,FALSE)</f>
        <v>100000</v>
      </c>
      <c r="H398" s="65">
        <f t="shared" ref="H398:H401" si="46">F398*G398</f>
        <v>2400</v>
      </c>
      <c r="J398" s="160"/>
      <c r="K398" s="328"/>
    </row>
    <row r="399" spans="3:11">
      <c r="C399" s="363">
        <v>2</v>
      </c>
      <c r="D399" s="60" t="str">
        <f>D382</f>
        <v>Tukang listrik</v>
      </c>
      <c r="E399" s="305" t="s">
        <v>6</v>
      </c>
      <c r="F399" s="75">
        <v>0.04</v>
      </c>
      <c r="G399" s="65">
        <f>VLOOKUP(D399,upahbahan,3,FALSE)</f>
        <v>145000</v>
      </c>
      <c r="H399" s="65">
        <f t="shared" si="46"/>
        <v>5800</v>
      </c>
      <c r="J399" s="160"/>
      <c r="K399" s="328"/>
    </row>
    <row r="400" spans="3:11">
      <c r="C400" s="363">
        <v>3</v>
      </c>
      <c r="D400" s="60" t="s">
        <v>18</v>
      </c>
      <c r="E400" s="305" t="s">
        <v>6</v>
      </c>
      <c r="F400" s="75">
        <v>4.0000000000000001E-3</v>
      </c>
      <c r="G400" s="65">
        <f>VLOOKUP(D400,upahbahan,3,FALSE)</f>
        <v>150000</v>
      </c>
      <c r="H400" s="65">
        <f t="shared" si="46"/>
        <v>600</v>
      </c>
      <c r="J400" s="160"/>
      <c r="K400" s="328"/>
    </row>
    <row r="401" spans="3:11">
      <c r="C401" s="363">
        <v>4</v>
      </c>
      <c r="D401" s="60" t="s">
        <v>19</v>
      </c>
      <c r="E401" s="305" t="s">
        <v>6</v>
      </c>
      <c r="F401" s="75">
        <v>1E-3</v>
      </c>
      <c r="G401" s="65">
        <f>VLOOKUP(D401,upahbahan,3,FALSE)</f>
        <v>145000</v>
      </c>
      <c r="H401" s="65">
        <f t="shared" si="46"/>
        <v>145</v>
      </c>
      <c r="J401" s="160"/>
      <c r="K401" s="328"/>
    </row>
    <row r="402" spans="3:11">
      <c r="C402" s="84" t="s">
        <v>1220</v>
      </c>
      <c r="D402" s="81"/>
      <c r="E402" s="81"/>
      <c r="F402" s="190"/>
      <c r="G402" s="221"/>
      <c r="H402" s="65">
        <f>SUM(H398:H401)</f>
        <v>8945</v>
      </c>
      <c r="I402" s="222"/>
      <c r="J402" s="160"/>
      <c r="K402" s="328"/>
    </row>
    <row r="403" spans="3:11">
      <c r="C403" s="305" t="s">
        <v>1221</v>
      </c>
      <c r="D403" s="60" t="s">
        <v>1222</v>
      </c>
      <c r="E403" s="74"/>
      <c r="F403" s="208"/>
      <c r="G403" s="74"/>
      <c r="H403" s="74"/>
      <c r="J403" s="160"/>
      <c r="K403" s="328"/>
    </row>
    <row r="404" spans="3:11">
      <c r="C404" s="363">
        <v>1</v>
      </c>
      <c r="D404" s="78" t="s">
        <v>936</v>
      </c>
      <c r="E404" s="69" t="s">
        <v>114</v>
      </c>
      <c r="F404" s="75">
        <v>1.1499999999999999</v>
      </c>
      <c r="G404" s="65">
        <f>VLOOKUP(D404,upahbahan,3,FALSE)</f>
        <v>15000</v>
      </c>
      <c r="H404" s="65">
        <f t="shared" ref="H404" si="47">F404*G404</f>
        <v>17250</v>
      </c>
      <c r="J404" s="160"/>
      <c r="K404" s="328"/>
    </row>
    <row r="405" spans="3:11">
      <c r="C405" s="84" t="s">
        <v>1226</v>
      </c>
      <c r="D405" s="81"/>
      <c r="E405" s="81"/>
      <c r="F405" s="81"/>
      <c r="G405" s="163"/>
      <c r="H405" s="65">
        <f>SUM(H404:H404)</f>
        <v>17250</v>
      </c>
      <c r="J405" s="160"/>
      <c r="K405" s="328"/>
    </row>
    <row r="406" spans="3:11">
      <c r="C406" s="73" t="s">
        <v>1227</v>
      </c>
      <c r="D406" s="60" t="s">
        <v>1228</v>
      </c>
      <c r="E406" s="74"/>
      <c r="F406" s="74"/>
      <c r="G406" s="74"/>
      <c r="H406" s="74"/>
      <c r="J406" s="160"/>
      <c r="K406" s="328"/>
    </row>
    <row r="407" spans="3:11">
      <c r="C407" s="84" t="s">
        <v>1229</v>
      </c>
      <c r="D407" s="81"/>
      <c r="E407" s="81"/>
      <c r="F407" s="81"/>
      <c r="G407" s="163"/>
      <c r="H407" s="306">
        <v>0</v>
      </c>
      <c r="J407" s="160"/>
      <c r="K407" s="328"/>
    </row>
    <row r="408" spans="3:11">
      <c r="C408" s="59" t="s">
        <v>1230</v>
      </c>
      <c r="D408" s="70" t="s">
        <v>1231</v>
      </c>
      <c r="E408" s="71"/>
      <c r="F408" s="71"/>
      <c r="G408" s="72"/>
      <c r="H408" s="307">
        <f>H407+H405+H402</f>
        <v>26195</v>
      </c>
      <c r="I408" s="322"/>
      <c r="J408" s="160"/>
      <c r="K408" s="328"/>
    </row>
    <row r="409" spans="3:11">
      <c r="C409" s="59" t="s">
        <v>1232</v>
      </c>
      <c r="D409" s="70" t="s">
        <v>1410</v>
      </c>
      <c r="E409" s="71"/>
      <c r="F409" s="72"/>
      <c r="G409" s="96">
        <f>$M$7</f>
        <v>0.1</v>
      </c>
      <c r="H409" s="65">
        <f>H408*G409</f>
        <v>2619.5</v>
      </c>
      <c r="I409" s="322"/>
      <c r="J409" s="160"/>
      <c r="K409" s="328"/>
    </row>
    <row r="410" spans="3:11">
      <c r="C410" s="59" t="s">
        <v>1233</v>
      </c>
      <c r="D410" s="70" t="s">
        <v>1234</v>
      </c>
      <c r="E410" s="71"/>
      <c r="F410" s="71"/>
      <c r="G410" s="72"/>
      <c r="H410" s="308">
        <f>SUM(H408:H409)</f>
        <v>28814.5</v>
      </c>
      <c r="I410" s="322"/>
      <c r="J410" s="160"/>
      <c r="K410" s="328"/>
    </row>
    <row r="411" spans="3:11">
      <c r="C411" s="58"/>
      <c r="D411" s="82"/>
      <c r="E411" s="82"/>
      <c r="F411" s="82"/>
      <c r="G411" s="82"/>
      <c r="H411" s="83"/>
      <c r="J411" s="160"/>
      <c r="K411" s="328"/>
    </row>
    <row r="412" spans="3:11">
      <c r="C412" s="316" t="s">
        <v>1866</v>
      </c>
      <c r="D412" s="318"/>
      <c r="E412" s="318"/>
      <c r="F412" s="318"/>
      <c r="G412" s="318"/>
      <c r="H412" s="318"/>
      <c r="I412" s="57">
        <f>ROUNDDOWN(H427,-2)</f>
        <v>37000</v>
      </c>
      <c r="J412" s="160"/>
      <c r="K412" s="328"/>
    </row>
    <row r="413" spans="3:11" ht="28.5">
      <c r="C413" s="303" t="s">
        <v>1207</v>
      </c>
      <c r="D413" s="303" t="s">
        <v>1208</v>
      </c>
      <c r="E413" s="303" t="s">
        <v>1209</v>
      </c>
      <c r="F413" s="303" t="s">
        <v>1210</v>
      </c>
      <c r="G413" s="303" t="s">
        <v>1211</v>
      </c>
      <c r="H413" s="303" t="s">
        <v>1212</v>
      </c>
      <c r="J413" s="160"/>
      <c r="K413" s="328"/>
    </row>
    <row r="414" spans="3:11">
      <c r="C414" s="305" t="s">
        <v>1213</v>
      </c>
      <c r="D414" s="60" t="s">
        <v>1214</v>
      </c>
      <c r="E414" s="74"/>
      <c r="F414" s="74"/>
      <c r="G414" s="74"/>
      <c r="H414" s="74"/>
      <c r="J414" s="160"/>
      <c r="K414" s="328"/>
    </row>
    <row r="415" spans="3:11">
      <c r="C415" s="363">
        <v>1</v>
      </c>
      <c r="D415" s="60" t="s">
        <v>5</v>
      </c>
      <c r="E415" s="305" t="s">
        <v>6</v>
      </c>
      <c r="F415" s="75">
        <v>2.4E-2</v>
      </c>
      <c r="G415" s="65">
        <f>VLOOKUP(D415,upahbahan,3,FALSE)</f>
        <v>100000</v>
      </c>
      <c r="H415" s="65">
        <f t="shared" ref="H415:H418" si="48">F415*G415</f>
        <v>2400</v>
      </c>
      <c r="J415" s="160"/>
      <c r="K415" s="328"/>
    </row>
    <row r="416" spans="3:11">
      <c r="C416" s="363">
        <v>2</v>
      </c>
      <c r="D416" s="60" t="str">
        <f>D399</f>
        <v>Tukang listrik</v>
      </c>
      <c r="E416" s="305" t="s">
        <v>6</v>
      </c>
      <c r="F416" s="75">
        <v>0.04</v>
      </c>
      <c r="G416" s="65">
        <f>VLOOKUP(D416,upahbahan,3,FALSE)</f>
        <v>145000</v>
      </c>
      <c r="H416" s="65">
        <f t="shared" si="48"/>
        <v>5800</v>
      </c>
      <c r="J416" s="160"/>
      <c r="K416" s="328"/>
    </row>
    <row r="417" spans="3:11">
      <c r="C417" s="363">
        <v>3</v>
      </c>
      <c r="D417" s="60" t="s">
        <v>18</v>
      </c>
      <c r="E417" s="305" t="s">
        <v>6</v>
      </c>
      <c r="F417" s="75">
        <v>4.0000000000000001E-3</v>
      </c>
      <c r="G417" s="65">
        <f>VLOOKUP(D417,upahbahan,3,FALSE)</f>
        <v>150000</v>
      </c>
      <c r="H417" s="65">
        <f t="shared" si="48"/>
        <v>600</v>
      </c>
      <c r="J417" s="160"/>
      <c r="K417" s="328"/>
    </row>
    <row r="418" spans="3:11">
      <c r="C418" s="363">
        <v>4</v>
      </c>
      <c r="D418" s="60" t="s">
        <v>19</v>
      </c>
      <c r="E418" s="305" t="s">
        <v>6</v>
      </c>
      <c r="F418" s="75">
        <v>1E-3</v>
      </c>
      <c r="G418" s="65">
        <f>VLOOKUP(D418,upahbahan,3,FALSE)</f>
        <v>145000</v>
      </c>
      <c r="H418" s="65">
        <f t="shared" si="48"/>
        <v>145</v>
      </c>
      <c r="J418" s="160"/>
      <c r="K418" s="328"/>
    </row>
    <row r="419" spans="3:11">
      <c r="C419" s="84" t="s">
        <v>1220</v>
      </c>
      <c r="D419" s="81"/>
      <c r="E419" s="81"/>
      <c r="F419" s="190"/>
      <c r="G419" s="221"/>
      <c r="H419" s="65">
        <f>SUM(H415:H418)</f>
        <v>8945</v>
      </c>
      <c r="I419" s="222"/>
      <c r="J419" s="160"/>
      <c r="K419" s="328"/>
    </row>
    <row r="420" spans="3:11">
      <c r="C420" s="305" t="s">
        <v>1221</v>
      </c>
      <c r="D420" s="60" t="s">
        <v>1222</v>
      </c>
      <c r="E420" s="74"/>
      <c r="F420" s="208"/>
      <c r="G420" s="74"/>
      <c r="H420" s="74"/>
      <c r="J420" s="160"/>
      <c r="K420" s="328"/>
    </row>
    <row r="421" spans="3:11">
      <c r="C421" s="363">
        <v>1</v>
      </c>
      <c r="D421" s="78" t="s">
        <v>939</v>
      </c>
      <c r="E421" s="69" t="s">
        <v>114</v>
      </c>
      <c r="F421" s="75">
        <v>1.1499999999999999</v>
      </c>
      <c r="G421" s="65">
        <f>VLOOKUP(D421,upahbahan,3,FALSE)</f>
        <v>21500</v>
      </c>
      <c r="H421" s="65">
        <f t="shared" ref="H421" si="49">F421*G421</f>
        <v>24724.999999999996</v>
      </c>
      <c r="J421" s="160"/>
      <c r="K421" s="328"/>
    </row>
    <row r="422" spans="3:11">
      <c r="C422" s="84" t="s">
        <v>1226</v>
      </c>
      <c r="D422" s="81"/>
      <c r="E422" s="81"/>
      <c r="F422" s="81"/>
      <c r="G422" s="163"/>
      <c r="H422" s="65">
        <f>SUM(H421:H421)</f>
        <v>24724.999999999996</v>
      </c>
      <c r="J422" s="160"/>
      <c r="K422" s="328"/>
    </row>
    <row r="423" spans="3:11">
      <c r="C423" s="73" t="s">
        <v>1227</v>
      </c>
      <c r="D423" s="60" t="s">
        <v>1228</v>
      </c>
      <c r="E423" s="74"/>
      <c r="F423" s="74"/>
      <c r="G423" s="74"/>
      <c r="H423" s="74"/>
      <c r="J423" s="160"/>
      <c r="K423" s="328"/>
    </row>
    <row r="424" spans="3:11">
      <c r="C424" s="84" t="s">
        <v>1229</v>
      </c>
      <c r="D424" s="81"/>
      <c r="E424" s="81"/>
      <c r="F424" s="81"/>
      <c r="G424" s="163"/>
      <c r="H424" s="306">
        <v>0</v>
      </c>
      <c r="J424" s="160"/>
      <c r="K424" s="328"/>
    </row>
    <row r="425" spans="3:11">
      <c r="C425" s="59" t="s">
        <v>1230</v>
      </c>
      <c r="D425" s="70" t="s">
        <v>1231</v>
      </c>
      <c r="E425" s="71"/>
      <c r="F425" s="71"/>
      <c r="G425" s="72"/>
      <c r="H425" s="307">
        <f>H424+H422+H419</f>
        <v>33670</v>
      </c>
      <c r="I425" s="322"/>
      <c r="J425" s="160"/>
      <c r="K425" s="328"/>
    </row>
    <row r="426" spans="3:11">
      <c r="C426" s="59" t="s">
        <v>1232</v>
      </c>
      <c r="D426" s="70" t="s">
        <v>1410</v>
      </c>
      <c r="E426" s="71"/>
      <c r="F426" s="72"/>
      <c r="G426" s="96">
        <f>$M$7</f>
        <v>0.1</v>
      </c>
      <c r="H426" s="65">
        <f>H425*G426</f>
        <v>3367</v>
      </c>
      <c r="I426" s="322"/>
      <c r="J426" s="160"/>
      <c r="K426" s="328"/>
    </row>
    <row r="427" spans="3:11">
      <c r="C427" s="59" t="s">
        <v>1233</v>
      </c>
      <c r="D427" s="70" t="s">
        <v>1234</v>
      </c>
      <c r="E427" s="71"/>
      <c r="F427" s="71"/>
      <c r="G427" s="72"/>
      <c r="H427" s="308">
        <f>SUM(H425:H426)</f>
        <v>37037</v>
      </c>
      <c r="I427" s="322"/>
      <c r="J427" s="160"/>
      <c r="K427" s="328"/>
    </row>
    <row r="428" spans="3:11">
      <c r="C428" s="58"/>
      <c r="D428" s="82"/>
      <c r="E428" s="82"/>
      <c r="F428" s="82"/>
      <c r="G428" s="82"/>
      <c r="H428" s="83"/>
      <c r="J428" s="160"/>
      <c r="K428" s="328"/>
    </row>
    <row r="429" spans="3:11">
      <c r="C429" s="316" t="s">
        <v>1867</v>
      </c>
      <c r="D429" s="318"/>
      <c r="E429" s="318"/>
      <c r="F429" s="318"/>
      <c r="G429" s="318"/>
      <c r="H429" s="318"/>
      <c r="I429" s="57">
        <f>ROUNDDOWN(H444,-2)</f>
        <v>53700</v>
      </c>
      <c r="J429" s="160"/>
      <c r="K429" s="328"/>
    </row>
    <row r="430" spans="3:11" ht="28.5">
      <c r="C430" s="303" t="s">
        <v>1207</v>
      </c>
      <c r="D430" s="303" t="s">
        <v>1208</v>
      </c>
      <c r="E430" s="303" t="s">
        <v>1209</v>
      </c>
      <c r="F430" s="303" t="s">
        <v>1210</v>
      </c>
      <c r="G430" s="303" t="s">
        <v>1211</v>
      </c>
      <c r="H430" s="303" t="s">
        <v>1212</v>
      </c>
      <c r="J430" s="160"/>
      <c r="K430" s="328"/>
    </row>
    <row r="431" spans="3:11">
      <c r="C431" s="305" t="s">
        <v>1213</v>
      </c>
      <c r="D431" s="60" t="s">
        <v>1214</v>
      </c>
      <c r="E431" s="74"/>
      <c r="F431" s="74"/>
      <c r="G431" s="74"/>
      <c r="H431" s="74"/>
      <c r="J431" s="160"/>
      <c r="K431" s="328"/>
    </row>
    <row r="432" spans="3:11">
      <c r="C432" s="363">
        <v>1</v>
      </c>
      <c r="D432" s="60" t="s">
        <v>5</v>
      </c>
      <c r="E432" s="305" t="s">
        <v>6</v>
      </c>
      <c r="F432" s="184">
        <v>2.9000000000000001E-2</v>
      </c>
      <c r="G432" s="65">
        <f>VLOOKUP(D432,upahbahan,3,FALSE)</f>
        <v>100000</v>
      </c>
      <c r="H432" s="65">
        <f t="shared" ref="H432:H435" si="50">F432*G432</f>
        <v>2900</v>
      </c>
      <c r="J432" s="160"/>
      <c r="K432" s="328"/>
    </row>
    <row r="433" spans="3:11">
      <c r="C433" s="363">
        <v>2</v>
      </c>
      <c r="D433" s="60" t="str">
        <f>D416</f>
        <v>Tukang listrik</v>
      </c>
      <c r="E433" s="305" t="s">
        <v>6</v>
      </c>
      <c r="F433" s="184">
        <v>4.8000000000000001E-2</v>
      </c>
      <c r="G433" s="65">
        <f>VLOOKUP(D433,upahbahan,3,FALSE)</f>
        <v>145000</v>
      </c>
      <c r="H433" s="65">
        <f t="shared" si="50"/>
        <v>6960</v>
      </c>
      <c r="J433" s="160"/>
      <c r="K433" s="328"/>
    </row>
    <row r="434" spans="3:11">
      <c r="C434" s="363">
        <v>3</v>
      </c>
      <c r="D434" s="60" t="s">
        <v>18</v>
      </c>
      <c r="E434" s="305" t="s">
        <v>6</v>
      </c>
      <c r="F434" s="184">
        <v>5.0000000000000001E-3</v>
      </c>
      <c r="G434" s="65">
        <f>VLOOKUP(D434,upahbahan,3,FALSE)</f>
        <v>150000</v>
      </c>
      <c r="H434" s="65">
        <f t="shared" si="50"/>
        <v>750</v>
      </c>
      <c r="J434" s="160"/>
      <c r="K434" s="328"/>
    </row>
    <row r="435" spans="3:11">
      <c r="C435" s="363">
        <v>4</v>
      </c>
      <c r="D435" s="60" t="s">
        <v>19</v>
      </c>
      <c r="E435" s="305" t="s">
        <v>6</v>
      </c>
      <c r="F435" s="184">
        <v>2E-3</v>
      </c>
      <c r="G435" s="65">
        <f>VLOOKUP(D435,upahbahan,3,FALSE)</f>
        <v>145000</v>
      </c>
      <c r="H435" s="65">
        <f t="shared" si="50"/>
        <v>290</v>
      </c>
      <c r="J435" s="160"/>
      <c r="K435" s="328"/>
    </row>
    <row r="436" spans="3:11">
      <c r="C436" s="84" t="s">
        <v>1220</v>
      </c>
      <c r="D436" s="81"/>
      <c r="E436" s="81"/>
      <c r="F436" s="220"/>
      <c r="G436" s="221"/>
      <c r="H436" s="65">
        <f>SUM(H432:H435)</f>
        <v>10900</v>
      </c>
      <c r="I436" s="222"/>
      <c r="J436" s="160"/>
      <c r="K436" s="328"/>
    </row>
    <row r="437" spans="3:11">
      <c r="C437" s="305" t="s">
        <v>1221</v>
      </c>
      <c r="D437" s="60" t="s">
        <v>1222</v>
      </c>
      <c r="E437" s="74"/>
      <c r="F437" s="74"/>
      <c r="G437" s="74"/>
      <c r="H437" s="74"/>
      <c r="J437" s="160"/>
      <c r="K437" s="328"/>
    </row>
    <row r="438" spans="3:11">
      <c r="C438" s="363">
        <v>1</v>
      </c>
      <c r="D438" s="78" t="s">
        <v>942</v>
      </c>
      <c r="E438" s="69" t="s">
        <v>114</v>
      </c>
      <c r="F438" s="230">
        <f>F421</f>
        <v>1.1499999999999999</v>
      </c>
      <c r="G438" s="65">
        <f>VLOOKUP(D438,upahbahan,3,FALSE)</f>
        <v>33000</v>
      </c>
      <c r="H438" s="65">
        <f t="shared" ref="H438" si="51">F438*G438</f>
        <v>37950</v>
      </c>
      <c r="J438" s="160"/>
      <c r="K438" s="328"/>
    </row>
    <row r="439" spans="3:11">
      <c r="C439" s="84" t="s">
        <v>1226</v>
      </c>
      <c r="D439" s="81"/>
      <c r="E439" s="81"/>
      <c r="F439" s="81"/>
      <c r="G439" s="163"/>
      <c r="H439" s="65">
        <f>SUM(H438:H438)</f>
        <v>37950</v>
      </c>
      <c r="J439" s="160"/>
      <c r="K439" s="328"/>
    </row>
    <row r="440" spans="3:11">
      <c r="C440" s="73" t="s">
        <v>1227</v>
      </c>
      <c r="D440" s="60" t="s">
        <v>1228</v>
      </c>
      <c r="E440" s="74"/>
      <c r="F440" s="74"/>
      <c r="G440" s="74"/>
      <c r="H440" s="74"/>
      <c r="J440" s="160"/>
      <c r="K440" s="328"/>
    </row>
    <row r="441" spans="3:11">
      <c r="C441" s="84" t="s">
        <v>1229</v>
      </c>
      <c r="D441" s="81"/>
      <c r="E441" s="81"/>
      <c r="F441" s="81"/>
      <c r="G441" s="163"/>
      <c r="H441" s="306">
        <v>0</v>
      </c>
      <c r="J441" s="160"/>
      <c r="K441" s="328"/>
    </row>
    <row r="442" spans="3:11">
      <c r="C442" s="59" t="s">
        <v>1230</v>
      </c>
      <c r="D442" s="70" t="s">
        <v>1231</v>
      </c>
      <c r="E442" s="71"/>
      <c r="F442" s="71"/>
      <c r="G442" s="72"/>
      <c r="H442" s="307">
        <f>H441+H439+H436</f>
        <v>48850</v>
      </c>
      <c r="I442" s="322"/>
      <c r="J442" s="160"/>
      <c r="K442" s="328"/>
    </row>
    <row r="443" spans="3:11">
      <c r="C443" s="59" t="s">
        <v>1232</v>
      </c>
      <c r="D443" s="70" t="s">
        <v>1410</v>
      </c>
      <c r="E443" s="71"/>
      <c r="F443" s="72"/>
      <c r="G443" s="96">
        <f>$M$7</f>
        <v>0.1</v>
      </c>
      <c r="H443" s="65">
        <f>H442*G443</f>
        <v>4885</v>
      </c>
      <c r="I443" s="322"/>
      <c r="J443" s="160"/>
      <c r="K443" s="328"/>
    </row>
    <row r="444" spans="3:11">
      <c r="C444" s="59" t="s">
        <v>1233</v>
      </c>
      <c r="D444" s="70" t="s">
        <v>1234</v>
      </c>
      <c r="E444" s="71"/>
      <c r="F444" s="71"/>
      <c r="G444" s="72"/>
      <c r="H444" s="308">
        <f>SUM(H442:H443)</f>
        <v>53735</v>
      </c>
      <c r="I444" s="322"/>
      <c r="J444" s="160"/>
      <c r="K444" s="328"/>
    </row>
    <row r="445" spans="3:11">
      <c r="C445" s="58"/>
      <c r="D445" s="82"/>
      <c r="E445" s="82"/>
      <c r="F445" s="82"/>
      <c r="G445" s="82"/>
      <c r="H445" s="83"/>
      <c r="J445" s="160"/>
      <c r="K445" s="328"/>
    </row>
    <row r="446" spans="3:11">
      <c r="C446" s="316" t="s">
        <v>1868</v>
      </c>
      <c r="D446" s="318"/>
      <c r="E446" s="318"/>
      <c r="F446" s="318"/>
      <c r="G446" s="318"/>
      <c r="H446" s="318"/>
      <c r="I446" s="57">
        <f>ROUNDDOWN(H461,-2)</f>
        <v>70100</v>
      </c>
      <c r="J446" s="160"/>
      <c r="K446" s="328"/>
    </row>
    <row r="447" spans="3:11" ht="28.5">
      <c r="C447" s="303" t="s">
        <v>1207</v>
      </c>
      <c r="D447" s="303" t="s">
        <v>1208</v>
      </c>
      <c r="E447" s="303" t="s">
        <v>1209</v>
      </c>
      <c r="F447" s="303" t="s">
        <v>1210</v>
      </c>
      <c r="G447" s="303" t="s">
        <v>1211</v>
      </c>
      <c r="H447" s="303" t="s">
        <v>1212</v>
      </c>
      <c r="J447" s="160"/>
      <c r="K447" s="328"/>
    </row>
    <row r="448" spans="3:11">
      <c r="C448" s="73" t="s">
        <v>1213</v>
      </c>
      <c r="D448" s="60" t="s">
        <v>1214</v>
      </c>
      <c r="E448" s="74"/>
      <c r="F448" s="74"/>
      <c r="G448" s="74"/>
      <c r="H448" s="74"/>
      <c r="J448" s="160"/>
      <c r="K448" s="328"/>
    </row>
    <row r="449" spans="3:11">
      <c r="C449" s="304">
        <v>1</v>
      </c>
      <c r="D449" s="60" t="s">
        <v>5</v>
      </c>
      <c r="E449" s="305" t="s">
        <v>6</v>
      </c>
      <c r="F449" s="184">
        <v>2.9000000000000001E-2</v>
      </c>
      <c r="G449" s="65">
        <f>VLOOKUP(D449,upahbahan,3,FALSE)</f>
        <v>100000</v>
      </c>
      <c r="H449" s="65">
        <f t="shared" ref="H449:H452" si="52">F449*G449</f>
        <v>2900</v>
      </c>
      <c r="J449" s="160"/>
      <c r="K449" s="328"/>
    </row>
    <row r="450" spans="3:11">
      <c r="C450" s="304">
        <v>2</v>
      </c>
      <c r="D450" s="60" t="str">
        <f>D433</f>
        <v>Tukang listrik</v>
      </c>
      <c r="E450" s="305" t="s">
        <v>6</v>
      </c>
      <c r="F450" s="184">
        <v>4.8000000000000001E-2</v>
      </c>
      <c r="G450" s="65">
        <f>VLOOKUP(D450,upahbahan,3,FALSE)</f>
        <v>145000</v>
      </c>
      <c r="H450" s="65">
        <f t="shared" si="52"/>
        <v>6960</v>
      </c>
      <c r="J450" s="160"/>
      <c r="K450" s="328"/>
    </row>
    <row r="451" spans="3:11">
      <c r="C451" s="304">
        <v>3</v>
      </c>
      <c r="D451" s="60" t="s">
        <v>18</v>
      </c>
      <c r="E451" s="305" t="s">
        <v>6</v>
      </c>
      <c r="F451" s="184">
        <v>5.0000000000000001E-3</v>
      </c>
      <c r="G451" s="65">
        <f>VLOOKUP(D451,upahbahan,3,FALSE)</f>
        <v>150000</v>
      </c>
      <c r="H451" s="65">
        <f t="shared" si="52"/>
        <v>750</v>
      </c>
      <c r="J451" s="160"/>
      <c r="K451" s="328"/>
    </row>
    <row r="452" spans="3:11">
      <c r="C452" s="304">
        <v>4</v>
      </c>
      <c r="D452" s="60" t="s">
        <v>19</v>
      </c>
      <c r="E452" s="305" t="s">
        <v>6</v>
      </c>
      <c r="F452" s="184">
        <v>2E-3</v>
      </c>
      <c r="G452" s="65">
        <f>VLOOKUP(D452,upahbahan,3,FALSE)</f>
        <v>145000</v>
      </c>
      <c r="H452" s="65">
        <f t="shared" si="52"/>
        <v>290</v>
      </c>
      <c r="J452" s="160"/>
      <c r="K452" s="328"/>
    </row>
    <row r="453" spans="3:11">
      <c r="C453" s="84" t="s">
        <v>1220</v>
      </c>
      <c r="D453" s="81"/>
      <c r="E453" s="81"/>
      <c r="F453" s="220"/>
      <c r="G453" s="221"/>
      <c r="H453" s="65">
        <f>SUM(H449:H452)</f>
        <v>10900</v>
      </c>
      <c r="I453" s="222"/>
      <c r="J453" s="160"/>
      <c r="K453" s="328"/>
    </row>
    <row r="454" spans="3:11">
      <c r="C454" s="73" t="s">
        <v>1221</v>
      </c>
      <c r="D454" s="60" t="s">
        <v>1222</v>
      </c>
      <c r="E454" s="74"/>
      <c r="F454" s="74"/>
      <c r="G454" s="74"/>
      <c r="H454" s="74"/>
      <c r="J454" s="160"/>
      <c r="K454" s="328"/>
    </row>
    <row r="455" spans="3:11">
      <c r="C455" s="304">
        <v>1</v>
      </c>
      <c r="D455" s="78" t="s">
        <v>944</v>
      </c>
      <c r="E455" s="69" t="s">
        <v>114</v>
      </c>
      <c r="F455" s="230">
        <f>F438</f>
        <v>1.1499999999999999</v>
      </c>
      <c r="G455" s="65">
        <f>VLOOKUP(D455,upahbahan,3,FALSE)</f>
        <v>46000</v>
      </c>
      <c r="H455" s="65">
        <f t="shared" ref="H455" si="53">F455*G455</f>
        <v>52899.999999999993</v>
      </c>
      <c r="J455" s="160"/>
      <c r="K455" s="328"/>
    </row>
    <row r="456" spans="3:11">
      <c r="C456" s="84" t="s">
        <v>1226</v>
      </c>
      <c r="D456" s="81"/>
      <c r="E456" s="81"/>
      <c r="F456" s="81"/>
      <c r="G456" s="163"/>
      <c r="H456" s="65">
        <f>SUM(H455:H455)</f>
        <v>52899.999999999993</v>
      </c>
      <c r="J456" s="160"/>
      <c r="K456" s="328"/>
    </row>
    <row r="457" spans="3:11">
      <c r="C457" s="73" t="s">
        <v>1227</v>
      </c>
      <c r="D457" s="60" t="s">
        <v>1228</v>
      </c>
      <c r="E457" s="74"/>
      <c r="F457" s="74"/>
      <c r="G457" s="74"/>
      <c r="H457" s="74"/>
      <c r="J457" s="160"/>
      <c r="K457" s="328"/>
    </row>
    <row r="458" spans="3:11">
      <c r="C458" s="84" t="s">
        <v>1229</v>
      </c>
      <c r="D458" s="81"/>
      <c r="E458" s="81"/>
      <c r="F458" s="81"/>
      <c r="G458" s="163"/>
      <c r="H458" s="306">
        <v>0</v>
      </c>
      <c r="J458" s="160"/>
      <c r="K458" s="328"/>
    </row>
    <row r="459" spans="3:11">
      <c r="C459" s="59" t="s">
        <v>1230</v>
      </c>
      <c r="D459" s="70" t="s">
        <v>1231</v>
      </c>
      <c r="E459" s="71"/>
      <c r="F459" s="71"/>
      <c r="G459" s="72"/>
      <c r="H459" s="307">
        <f>H458+H456+H453</f>
        <v>63799.999999999993</v>
      </c>
      <c r="I459" s="322"/>
      <c r="J459" s="160"/>
      <c r="K459" s="328"/>
    </row>
    <row r="460" spans="3:11">
      <c r="C460" s="59" t="s">
        <v>1232</v>
      </c>
      <c r="D460" s="70" t="s">
        <v>1410</v>
      </c>
      <c r="E460" s="71"/>
      <c r="F460" s="72"/>
      <c r="G460" s="96">
        <f>$M$7</f>
        <v>0.1</v>
      </c>
      <c r="H460" s="65">
        <f>H459*G460</f>
        <v>6380</v>
      </c>
      <c r="I460" s="322"/>
      <c r="J460" s="160"/>
      <c r="K460" s="328"/>
    </row>
    <row r="461" spans="3:11">
      <c r="C461" s="59" t="s">
        <v>1233</v>
      </c>
      <c r="D461" s="70" t="s">
        <v>1234</v>
      </c>
      <c r="E461" s="71"/>
      <c r="F461" s="71"/>
      <c r="G461" s="72"/>
      <c r="H461" s="308">
        <f>SUM(H459:H460)</f>
        <v>70180</v>
      </c>
      <c r="I461" s="322"/>
      <c r="J461" s="160"/>
      <c r="K461" s="328"/>
    </row>
    <row r="462" spans="3:11">
      <c r="C462" s="58"/>
      <c r="D462" s="82"/>
      <c r="E462" s="82"/>
      <c r="F462" s="82"/>
      <c r="G462" s="82"/>
      <c r="H462" s="83"/>
      <c r="J462" s="160"/>
      <c r="K462" s="328"/>
    </row>
    <row r="463" spans="3:11">
      <c r="C463" s="316" t="s">
        <v>1869</v>
      </c>
      <c r="D463" s="318"/>
      <c r="E463" s="318"/>
      <c r="F463" s="318"/>
      <c r="G463" s="318"/>
      <c r="H463" s="318"/>
      <c r="I463" s="57">
        <f>ROUNDDOWN(H478,-2)</f>
        <v>109200</v>
      </c>
      <c r="J463" s="160"/>
      <c r="K463" s="328"/>
    </row>
    <row r="464" spans="3:11" ht="28.5">
      <c r="C464" s="303" t="s">
        <v>1207</v>
      </c>
      <c r="D464" s="303" t="s">
        <v>1208</v>
      </c>
      <c r="E464" s="303" t="s">
        <v>1209</v>
      </c>
      <c r="F464" s="303" t="s">
        <v>1210</v>
      </c>
      <c r="G464" s="303" t="s">
        <v>1211</v>
      </c>
      <c r="H464" s="303" t="s">
        <v>1212</v>
      </c>
      <c r="J464" s="160"/>
      <c r="K464" s="328"/>
    </row>
    <row r="465" spans="3:11">
      <c r="C465" s="73" t="s">
        <v>1213</v>
      </c>
      <c r="D465" s="60" t="s">
        <v>1214</v>
      </c>
      <c r="E465" s="74"/>
      <c r="F465" s="74"/>
      <c r="G465" s="74"/>
      <c r="H465" s="74"/>
      <c r="J465" s="160"/>
      <c r="K465" s="328"/>
    </row>
    <row r="466" spans="3:11">
      <c r="C466" s="304">
        <v>1</v>
      </c>
      <c r="D466" s="60" t="s">
        <v>5</v>
      </c>
      <c r="E466" s="305" t="s">
        <v>6</v>
      </c>
      <c r="F466" s="75">
        <v>3.5999999999999997E-2</v>
      </c>
      <c r="G466" s="65">
        <f>VLOOKUP(D466,upahbahan,3,FALSE)</f>
        <v>100000</v>
      </c>
      <c r="H466" s="65">
        <f t="shared" ref="H466:H469" si="54">F466*G466</f>
        <v>3599.9999999999995</v>
      </c>
      <c r="J466" s="160"/>
      <c r="K466" s="328"/>
    </row>
    <row r="467" spans="3:11">
      <c r="C467" s="304">
        <v>2</v>
      </c>
      <c r="D467" s="60" t="str">
        <f>D450</f>
        <v>Tukang listrik</v>
      </c>
      <c r="E467" s="305" t="s">
        <v>6</v>
      </c>
      <c r="F467" s="75">
        <v>0.06</v>
      </c>
      <c r="G467" s="65">
        <f>VLOOKUP(D467,upahbahan,3,FALSE)</f>
        <v>145000</v>
      </c>
      <c r="H467" s="65">
        <f t="shared" si="54"/>
        <v>8700</v>
      </c>
      <c r="J467" s="160"/>
      <c r="K467" s="328"/>
    </row>
    <row r="468" spans="3:11">
      <c r="C468" s="304">
        <v>3</v>
      </c>
      <c r="D468" s="60" t="s">
        <v>18</v>
      </c>
      <c r="E468" s="305" t="s">
        <v>6</v>
      </c>
      <c r="F468" s="75">
        <v>6.0000000000000001E-3</v>
      </c>
      <c r="G468" s="65">
        <f>VLOOKUP(D468,upahbahan,3,FALSE)</f>
        <v>150000</v>
      </c>
      <c r="H468" s="65">
        <f t="shared" si="54"/>
        <v>900</v>
      </c>
      <c r="J468" s="160"/>
      <c r="K468" s="328"/>
    </row>
    <row r="469" spans="3:11">
      <c r="C469" s="304">
        <v>4</v>
      </c>
      <c r="D469" s="60" t="s">
        <v>19</v>
      </c>
      <c r="E469" s="305" t="s">
        <v>6</v>
      </c>
      <c r="F469" s="75">
        <v>2E-3</v>
      </c>
      <c r="G469" s="65">
        <f>VLOOKUP(D469,upahbahan,3,FALSE)</f>
        <v>145000</v>
      </c>
      <c r="H469" s="65">
        <f t="shared" si="54"/>
        <v>290</v>
      </c>
      <c r="J469" s="160"/>
      <c r="K469" s="328"/>
    </row>
    <row r="470" spans="3:11">
      <c r="C470" s="84" t="s">
        <v>1220</v>
      </c>
      <c r="D470" s="81"/>
      <c r="E470" s="81"/>
      <c r="F470" s="190"/>
      <c r="G470" s="221"/>
      <c r="H470" s="65">
        <f>SUM(H466:H469)</f>
        <v>13490</v>
      </c>
      <c r="I470" s="222"/>
      <c r="J470" s="160"/>
      <c r="K470" s="328"/>
    </row>
    <row r="471" spans="3:11">
      <c r="C471" s="73" t="s">
        <v>1221</v>
      </c>
      <c r="D471" s="60" t="s">
        <v>1222</v>
      </c>
      <c r="E471" s="74"/>
      <c r="F471" s="208"/>
      <c r="G471" s="74"/>
      <c r="H471" s="74"/>
      <c r="J471" s="160"/>
      <c r="K471" s="328"/>
    </row>
    <row r="472" spans="3:11">
      <c r="C472" s="304">
        <v>1</v>
      </c>
      <c r="D472" s="78" t="s">
        <v>937</v>
      </c>
      <c r="E472" s="69" t="s">
        <v>114</v>
      </c>
      <c r="F472" s="75">
        <v>1.1499999999999999</v>
      </c>
      <c r="G472" s="65">
        <f>VLOOKUP(D472,upahbahan,3,FALSE)</f>
        <v>74600</v>
      </c>
      <c r="H472" s="65">
        <f t="shared" ref="H472" si="55">F472*G472</f>
        <v>85790</v>
      </c>
      <c r="J472" s="160"/>
      <c r="K472" s="328"/>
    </row>
    <row r="473" spans="3:11">
      <c r="C473" s="84" t="s">
        <v>1226</v>
      </c>
      <c r="D473" s="81"/>
      <c r="E473" s="81"/>
      <c r="F473" s="81"/>
      <c r="G473" s="163"/>
      <c r="H473" s="65">
        <f>SUM(H472:H472)</f>
        <v>85790</v>
      </c>
      <c r="J473" s="160"/>
      <c r="K473" s="328"/>
    </row>
    <row r="474" spans="3:11">
      <c r="C474" s="73" t="s">
        <v>1227</v>
      </c>
      <c r="D474" s="60" t="s">
        <v>1228</v>
      </c>
      <c r="E474" s="74"/>
      <c r="F474" s="74"/>
      <c r="G474" s="74"/>
      <c r="H474" s="74"/>
      <c r="J474" s="160"/>
      <c r="K474" s="328"/>
    </row>
    <row r="475" spans="3:11">
      <c r="C475" s="84" t="s">
        <v>1229</v>
      </c>
      <c r="D475" s="81"/>
      <c r="E475" s="81"/>
      <c r="F475" s="81"/>
      <c r="G475" s="163"/>
      <c r="H475" s="306">
        <v>0</v>
      </c>
      <c r="J475" s="160"/>
      <c r="K475" s="328"/>
    </row>
    <row r="476" spans="3:11">
      <c r="C476" s="59" t="s">
        <v>1230</v>
      </c>
      <c r="D476" s="70" t="s">
        <v>1231</v>
      </c>
      <c r="E476" s="71"/>
      <c r="F476" s="71"/>
      <c r="G476" s="72"/>
      <c r="H476" s="307">
        <f>H475+H473+H470</f>
        <v>99280</v>
      </c>
      <c r="I476" s="322"/>
      <c r="J476" s="160"/>
      <c r="K476" s="328"/>
    </row>
    <row r="477" spans="3:11">
      <c r="C477" s="59" t="s">
        <v>1232</v>
      </c>
      <c r="D477" s="70" t="s">
        <v>1410</v>
      </c>
      <c r="E477" s="71"/>
      <c r="F477" s="72"/>
      <c r="G477" s="96">
        <f>$M$7</f>
        <v>0.1</v>
      </c>
      <c r="H477" s="65">
        <f>H476*G477</f>
        <v>9928</v>
      </c>
      <c r="I477" s="322"/>
      <c r="J477" s="160"/>
      <c r="K477" s="328"/>
    </row>
    <row r="478" spans="3:11">
      <c r="C478" s="59" t="s">
        <v>1233</v>
      </c>
      <c r="D478" s="70" t="s">
        <v>1234</v>
      </c>
      <c r="E478" s="71"/>
      <c r="F478" s="71"/>
      <c r="G478" s="72"/>
      <c r="H478" s="308">
        <f>SUM(H476:H477)</f>
        <v>109208</v>
      </c>
      <c r="I478" s="322"/>
      <c r="J478" s="160"/>
      <c r="K478" s="328"/>
    </row>
    <row r="479" spans="3:11">
      <c r="C479" s="58"/>
      <c r="D479" s="82"/>
      <c r="E479" s="82"/>
      <c r="F479" s="82"/>
      <c r="G479" s="82"/>
      <c r="H479" s="83"/>
      <c r="J479" s="160"/>
      <c r="K479" s="328"/>
    </row>
    <row r="480" spans="3:11">
      <c r="C480" s="316" t="s">
        <v>1870</v>
      </c>
      <c r="D480" s="318"/>
      <c r="E480" s="318"/>
      <c r="F480" s="318"/>
      <c r="G480" s="318"/>
      <c r="H480" s="318"/>
      <c r="I480" s="57">
        <f>ROUNDDOWN(H495,-2)</f>
        <v>159000</v>
      </c>
      <c r="J480" s="160"/>
      <c r="K480" s="328"/>
    </row>
    <row r="481" spans="3:11" ht="28.5">
      <c r="C481" s="303" t="s">
        <v>1207</v>
      </c>
      <c r="D481" s="303" t="s">
        <v>1208</v>
      </c>
      <c r="E481" s="303" t="s">
        <v>1209</v>
      </c>
      <c r="F481" s="303" t="s">
        <v>1210</v>
      </c>
      <c r="G481" s="303" t="s">
        <v>1211</v>
      </c>
      <c r="H481" s="303" t="s">
        <v>1212</v>
      </c>
      <c r="J481" s="160"/>
      <c r="K481" s="328"/>
    </row>
    <row r="482" spans="3:11">
      <c r="C482" s="305" t="s">
        <v>1213</v>
      </c>
      <c r="D482" s="60" t="s">
        <v>1214</v>
      </c>
      <c r="E482" s="74"/>
      <c r="F482" s="74"/>
      <c r="G482" s="74"/>
      <c r="H482" s="74"/>
      <c r="J482" s="160"/>
      <c r="K482" s="328"/>
    </row>
    <row r="483" spans="3:11">
      <c r="C483" s="363">
        <v>1</v>
      </c>
      <c r="D483" s="60" t="s">
        <v>5</v>
      </c>
      <c r="E483" s="305" t="s">
        <v>6</v>
      </c>
      <c r="F483" s="75">
        <v>3.5999999999999997E-2</v>
      </c>
      <c r="G483" s="65">
        <f>VLOOKUP(D483,upahbahan,3,FALSE)</f>
        <v>100000</v>
      </c>
      <c r="H483" s="65">
        <f t="shared" ref="H483:H486" si="56">F483*G483</f>
        <v>3599.9999999999995</v>
      </c>
      <c r="J483" s="160"/>
      <c r="K483" s="328"/>
    </row>
    <row r="484" spans="3:11">
      <c r="C484" s="363">
        <v>2</v>
      </c>
      <c r="D484" s="60" t="str">
        <f>D467</f>
        <v>Tukang listrik</v>
      </c>
      <c r="E484" s="305" t="s">
        <v>6</v>
      </c>
      <c r="F484" s="75">
        <v>0.06</v>
      </c>
      <c r="G484" s="65">
        <f>VLOOKUP(D484,upahbahan,3,FALSE)</f>
        <v>145000</v>
      </c>
      <c r="H484" s="65">
        <f t="shared" si="56"/>
        <v>8700</v>
      </c>
      <c r="J484" s="160"/>
      <c r="K484" s="328"/>
    </row>
    <row r="485" spans="3:11">
      <c r="C485" s="363">
        <v>3</v>
      </c>
      <c r="D485" s="60" t="s">
        <v>18</v>
      </c>
      <c r="E485" s="305" t="s">
        <v>6</v>
      </c>
      <c r="F485" s="75">
        <v>6.0000000000000001E-3</v>
      </c>
      <c r="G485" s="65">
        <f>VLOOKUP(D485,upahbahan,3,FALSE)</f>
        <v>150000</v>
      </c>
      <c r="H485" s="65">
        <f t="shared" si="56"/>
        <v>900</v>
      </c>
      <c r="J485" s="160"/>
      <c r="K485" s="328"/>
    </row>
    <row r="486" spans="3:11">
      <c r="C486" s="363">
        <v>4</v>
      </c>
      <c r="D486" s="60" t="s">
        <v>19</v>
      </c>
      <c r="E486" s="305" t="s">
        <v>6</v>
      </c>
      <c r="F486" s="75">
        <v>2E-3</v>
      </c>
      <c r="G486" s="65">
        <f>VLOOKUP(D486,upahbahan,3,FALSE)</f>
        <v>145000</v>
      </c>
      <c r="H486" s="65">
        <f t="shared" si="56"/>
        <v>290</v>
      </c>
      <c r="J486" s="160"/>
      <c r="K486" s="328"/>
    </row>
    <row r="487" spans="3:11">
      <c r="C487" s="84" t="s">
        <v>1220</v>
      </c>
      <c r="D487" s="81"/>
      <c r="E487" s="81"/>
      <c r="F487" s="190"/>
      <c r="G487" s="221"/>
      <c r="H487" s="65">
        <f>SUM(H483:H486)</f>
        <v>13490</v>
      </c>
      <c r="I487" s="222"/>
      <c r="J487" s="160"/>
      <c r="K487" s="328"/>
    </row>
    <row r="488" spans="3:11">
      <c r="C488" s="305" t="s">
        <v>1221</v>
      </c>
      <c r="D488" s="60" t="s">
        <v>1222</v>
      </c>
      <c r="E488" s="74"/>
      <c r="F488" s="208"/>
      <c r="G488" s="74"/>
      <c r="H488" s="74"/>
      <c r="J488" s="160"/>
      <c r="K488" s="328"/>
    </row>
    <row r="489" spans="3:11">
      <c r="C489" s="363">
        <v>1</v>
      </c>
      <c r="D489" s="78" t="s">
        <v>938</v>
      </c>
      <c r="E489" s="69" t="s">
        <v>114</v>
      </c>
      <c r="F489" s="75">
        <v>1.1499999999999999</v>
      </c>
      <c r="G489" s="65">
        <f>VLOOKUP(D489,upahbahan,3,FALSE)</f>
        <v>114000</v>
      </c>
      <c r="H489" s="65">
        <f t="shared" ref="H489" si="57">F489*G489</f>
        <v>131100</v>
      </c>
      <c r="J489" s="160"/>
      <c r="K489" s="328"/>
    </row>
    <row r="490" spans="3:11">
      <c r="C490" s="84" t="s">
        <v>1226</v>
      </c>
      <c r="D490" s="81"/>
      <c r="E490" s="81"/>
      <c r="F490" s="81"/>
      <c r="G490" s="163"/>
      <c r="H490" s="65">
        <f>SUM(H489:H489)</f>
        <v>131100</v>
      </c>
      <c r="J490" s="160"/>
      <c r="K490" s="328"/>
    </row>
    <row r="491" spans="3:11">
      <c r="C491" s="73" t="s">
        <v>1227</v>
      </c>
      <c r="D491" s="60" t="s">
        <v>1228</v>
      </c>
      <c r="E491" s="74"/>
      <c r="F491" s="74"/>
      <c r="G491" s="74"/>
      <c r="H491" s="74"/>
      <c r="J491" s="160"/>
      <c r="K491" s="328"/>
    </row>
    <row r="492" spans="3:11">
      <c r="C492" s="84" t="s">
        <v>1229</v>
      </c>
      <c r="D492" s="81"/>
      <c r="E492" s="81"/>
      <c r="F492" s="81"/>
      <c r="G492" s="163"/>
      <c r="H492" s="306">
        <v>0</v>
      </c>
      <c r="J492" s="160"/>
      <c r="K492" s="328"/>
    </row>
    <row r="493" spans="3:11">
      <c r="C493" s="59" t="s">
        <v>1230</v>
      </c>
      <c r="D493" s="70" t="s">
        <v>1231</v>
      </c>
      <c r="E493" s="71"/>
      <c r="F493" s="71"/>
      <c r="G493" s="72"/>
      <c r="H493" s="307">
        <f>H492+H490+H487</f>
        <v>144590</v>
      </c>
      <c r="I493" s="322"/>
      <c r="J493" s="160"/>
      <c r="K493" s="328"/>
    </row>
    <row r="494" spans="3:11">
      <c r="C494" s="59" t="s">
        <v>1232</v>
      </c>
      <c r="D494" s="70" t="s">
        <v>1410</v>
      </c>
      <c r="E494" s="71"/>
      <c r="F494" s="72"/>
      <c r="G494" s="96">
        <f>$M$7</f>
        <v>0.1</v>
      </c>
      <c r="H494" s="65">
        <f>H493*G494</f>
        <v>14459</v>
      </c>
      <c r="I494" s="322"/>
      <c r="J494" s="160"/>
      <c r="K494" s="328"/>
    </row>
    <row r="495" spans="3:11">
      <c r="C495" s="59" t="s">
        <v>1233</v>
      </c>
      <c r="D495" s="70" t="s">
        <v>1234</v>
      </c>
      <c r="E495" s="71"/>
      <c r="F495" s="71"/>
      <c r="G495" s="72"/>
      <c r="H495" s="308">
        <f>SUM(H493:H494)</f>
        <v>159049</v>
      </c>
      <c r="I495" s="322"/>
      <c r="J495" s="160"/>
      <c r="K495" s="328"/>
    </row>
    <row r="496" spans="3:11">
      <c r="C496" s="58"/>
      <c r="D496" s="82"/>
      <c r="E496" s="82"/>
      <c r="F496" s="82"/>
      <c r="G496" s="82"/>
      <c r="H496" s="83"/>
      <c r="J496" s="160"/>
      <c r="K496" s="328"/>
    </row>
    <row r="497" spans="3:11">
      <c r="C497" s="316" t="s">
        <v>1871</v>
      </c>
      <c r="D497" s="318"/>
      <c r="E497" s="318"/>
      <c r="F497" s="318"/>
      <c r="G497" s="318"/>
      <c r="H497" s="318"/>
      <c r="I497" s="57">
        <f>ROUNDDOWN(H512,-2)</f>
        <v>236000</v>
      </c>
      <c r="J497" s="160"/>
      <c r="K497" s="328"/>
    </row>
    <row r="498" spans="3:11" ht="28.5">
      <c r="C498" s="303" t="s">
        <v>1207</v>
      </c>
      <c r="D498" s="303" t="s">
        <v>1208</v>
      </c>
      <c r="E498" s="303" t="s">
        <v>1209</v>
      </c>
      <c r="F498" s="303" t="s">
        <v>1210</v>
      </c>
      <c r="G498" s="303" t="s">
        <v>1211</v>
      </c>
      <c r="H498" s="303" t="s">
        <v>1212</v>
      </c>
      <c r="J498" s="160"/>
      <c r="K498" s="328"/>
    </row>
    <row r="499" spans="3:11">
      <c r="C499" s="305" t="s">
        <v>1213</v>
      </c>
      <c r="D499" s="60" t="s">
        <v>1214</v>
      </c>
      <c r="E499" s="74"/>
      <c r="F499" s="74"/>
      <c r="G499" s="74"/>
      <c r="H499" s="74"/>
      <c r="J499" s="160"/>
      <c r="K499" s="328"/>
    </row>
    <row r="500" spans="3:11">
      <c r="C500" s="363">
        <v>1</v>
      </c>
      <c r="D500" s="60" t="s">
        <v>5</v>
      </c>
      <c r="E500" s="305" t="s">
        <v>6</v>
      </c>
      <c r="F500" s="75">
        <v>3.5999999999999997E-2</v>
      </c>
      <c r="G500" s="65">
        <f>VLOOKUP(D500,upahbahan,3,FALSE)</f>
        <v>100000</v>
      </c>
      <c r="H500" s="65">
        <f t="shared" ref="H500:H503" si="58">F500*G500</f>
        <v>3599.9999999999995</v>
      </c>
      <c r="J500" s="160"/>
      <c r="K500" s="328"/>
    </row>
    <row r="501" spans="3:11">
      <c r="C501" s="363">
        <v>2</v>
      </c>
      <c r="D501" s="60" t="str">
        <f>D484</f>
        <v>Tukang listrik</v>
      </c>
      <c r="E501" s="305" t="s">
        <v>6</v>
      </c>
      <c r="F501" s="75">
        <v>0.06</v>
      </c>
      <c r="G501" s="65">
        <f>VLOOKUP(D501,upahbahan,3,FALSE)</f>
        <v>145000</v>
      </c>
      <c r="H501" s="65">
        <f t="shared" si="58"/>
        <v>8700</v>
      </c>
      <c r="J501" s="160"/>
      <c r="K501" s="328"/>
    </row>
    <row r="502" spans="3:11">
      <c r="C502" s="363">
        <v>3</v>
      </c>
      <c r="D502" s="60" t="s">
        <v>18</v>
      </c>
      <c r="E502" s="305" t="s">
        <v>6</v>
      </c>
      <c r="F502" s="75">
        <v>6.0000000000000001E-3</v>
      </c>
      <c r="G502" s="65">
        <f>VLOOKUP(D502,upahbahan,3,FALSE)</f>
        <v>150000</v>
      </c>
      <c r="H502" s="65">
        <f t="shared" si="58"/>
        <v>900</v>
      </c>
      <c r="J502" s="160"/>
      <c r="K502" s="328"/>
    </row>
    <row r="503" spans="3:11">
      <c r="C503" s="363">
        <v>4</v>
      </c>
      <c r="D503" s="60" t="s">
        <v>19</v>
      </c>
      <c r="E503" s="305" t="s">
        <v>6</v>
      </c>
      <c r="F503" s="75">
        <v>2E-3</v>
      </c>
      <c r="G503" s="65">
        <f>VLOOKUP(D503,upahbahan,3,FALSE)</f>
        <v>145000</v>
      </c>
      <c r="H503" s="65">
        <f t="shared" si="58"/>
        <v>290</v>
      </c>
      <c r="J503" s="160"/>
      <c r="K503" s="328"/>
    </row>
    <row r="504" spans="3:11">
      <c r="C504" s="84" t="s">
        <v>1220</v>
      </c>
      <c r="D504" s="81"/>
      <c r="E504" s="81"/>
      <c r="F504" s="190"/>
      <c r="G504" s="221"/>
      <c r="H504" s="65">
        <f>SUM(H500:H503)</f>
        <v>13490</v>
      </c>
      <c r="I504" s="222"/>
      <c r="J504" s="160"/>
      <c r="K504" s="328"/>
    </row>
    <row r="505" spans="3:11">
      <c r="C505" s="305" t="s">
        <v>1221</v>
      </c>
      <c r="D505" s="60" t="s">
        <v>1222</v>
      </c>
      <c r="E505" s="74"/>
      <c r="F505" s="208"/>
      <c r="G505" s="74"/>
      <c r="H505" s="74"/>
      <c r="J505" s="160"/>
      <c r="K505" s="328"/>
    </row>
    <row r="506" spans="3:11">
      <c r="C506" s="363">
        <v>1</v>
      </c>
      <c r="D506" s="78" t="s">
        <v>940</v>
      </c>
      <c r="E506" s="69" t="s">
        <v>114</v>
      </c>
      <c r="F506" s="75">
        <v>1.1499999999999999</v>
      </c>
      <c r="G506" s="65">
        <f>VLOOKUP(D506,upahbahan,3,FALSE)</f>
        <v>174900</v>
      </c>
      <c r="H506" s="65">
        <f t="shared" ref="H506" si="59">F506*G506</f>
        <v>201134.99999999997</v>
      </c>
      <c r="J506" s="160"/>
      <c r="K506" s="328"/>
    </row>
    <row r="507" spans="3:11">
      <c r="C507" s="84" t="s">
        <v>1226</v>
      </c>
      <c r="D507" s="81"/>
      <c r="E507" s="81"/>
      <c r="F507" s="81"/>
      <c r="G507" s="163"/>
      <c r="H507" s="65">
        <f>SUM(H506:H506)</f>
        <v>201134.99999999997</v>
      </c>
      <c r="J507" s="160"/>
      <c r="K507" s="328"/>
    </row>
    <row r="508" spans="3:11">
      <c r="C508" s="73" t="s">
        <v>1227</v>
      </c>
      <c r="D508" s="60" t="s">
        <v>1228</v>
      </c>
      <c r="E508" s="74"/>
      <c r="F508" s="74"/>
      <c r="G508" s="74"/>
      <c r="H508" s="74"/>
      <c r="J508" s="160"/>
      <c r="K508" s="328"/>
    </row>
    <row r="509" spans="3:11">
      <c r="C509" s="84" t="s">
        <v>1229</v>
      </c>
      <c r="D509" s="81"/>
      <c r="E509" s="81"/>
      <c r="F509" s="81"/>
      <c r="G509" s="163"/>
      <c r="H509" s="306">
        <v>0</v>
      </c>
      <c r="J509" s="160"/>
      <c r="K509" s="328"/>
    </row>
    <row r="510" spans="3:11">
      <c r="C510" s="59" t="s">
        <v>1230</v>
      </c>
      <c r="D510" s="70" t="s">
        <v>1231</v>
      </c>
      <c r="E510" s="71"/>
      <c r="F510" s="71"/>
      <c r="G510" s="72"/>
      <c r="H510" s="307">
        <f>H509+H507+H504</f>
        <v>214624.99999999997</v>
      </c>
      <c r="I510" s="322"/>
      <c r="J510" s="160"/>
      <c r="K510" s="328"/>
    </row>
    <row r="511" spans="3:11">
      <c r="C511" s="59" t="s">
        <v>1232</v>
      </c>
      <c r="D511" s="70" t="s">
        <v>1410</v>
      </c>
      <c r="E511" s="71"/>
      <c r="F511" s="72"/>
      <c r="G511" s="96">
        <f>$M$7</f>
        <v>0.1</v>
      </c>
      <c r="H511" s="65">
        <f>H510*G511</f>
        <v>21462.5</v>
      </c>
      <c r="I511" s="322"/>
      <c r="J511" s="160"/>
      <c r="K511" s="328"/>
    </row>
    <row r="512" spans="3:11">
      <c r="C512" s="59" t="s">
        <v>1233</v>
      </c>
      <c r="D512" s="70" t="s">
        <v>1234</v>
      </c>
      <c r="E512" s="71"/>
      <c r="F512" s="71"/>
      <c r="G512" s="72"/>
      <c r="H512" s="308">
        <f>SUM(H510:H511)</f>
        <v>236087.49999999997</v>
      </c>
      <c r="I512" s="322"/>
      <c r="J512" s="160"/>
      <c r="K512" s="328"/>
    </row>
    <row r="513" spans="3:11">
      <c r="J513" s="160"/>
      <c r="K513" s="328"/>
    </row>
    <row r="514" spans="3:11">
      <c r="C514" s="316" t="s">
        <v>1872</v>
      </c>
      <c r="D514" s="318"/>
      <c r="E514" s="318"/>
      <c r="F514" s="318"/>
      <c r="G514" s="318"/>
      <c r="H514" s="318"/>
      <c r="I514" s="57">
        <f>ROUNDDOWN(H529,-2)</f>
        <v>315500</v>
      </c>
      <c r="J514" s="160"/>
      <c r="K514" s="328"/>
    </row>
    <row r="515" spans="3:11" ht="28.5">
      <c r="C515" s="303" t="s">
        <v>1207</v>
      </c>
      <c r="D515" s="303" t="s">
        <v>1208</v>
      </c>
      <c r="E515" s="303" t="s">
        <v>1209</v>
      </c>
      <c r="F515" s="303" t="s">
        <v>1210</v>
      </c>
      <c r="G515" s="303" t="s">
        <v>1211</v>
      </c>
      <c r="H515" s="303" t="s">
        <v>1212</v>
      </c>
      <c r="J515" s="160"/>
      <c r="K515" s="328"/>
    </row>
    <row r="516" spans="3:11">
      <c r="C516" s="73" t="s">
        <v>1213</v>
      </c>
      <c r="D516" s="60" t="s">
        <v>1214</v>
      </c>
      <c r="E516" s="74"/>
      <c r="F516" s="74"/>
      <c r="G516" s="74"/>
      <c r="H516" s="74"/>
      <c r="J516" s="160"/>
      <c r="K516" s="328"/>
    </row>
    <row r="517" spans="3:11">
      <c r="C517" s="304">
        <v>1</v>
      </c>
      <c r="D517" s="60" t="s">
        <v>5</v>
      </c>
      <c r="E517" s="305" t="s">
        <v>6</v>
      </c>
      <c r="F517" s="184">
        <v>4.2999999999999997E-2</v>
      </c>
      <c r="G517" s="65">
        <f>VLOOKUP(D517,upahbahan,3,FALSE)</f>
        <v>100000</v>
      </c>
      <c r="H517" s="65">
        <f t="shared" ref="H517:H520" si="60">F517*G517</f>
        <v>4300</v>
      </c>
      <c r="J517" s="160"/>
      <c r="K517" s="328"/>
    </row>
    <row r="518" spans="3:11">
      <c r="C518" s="304">
        <v>2</v>
      </c>
      <c r="D518" s="60" t="str">
        <f>D501</f>
        <v>Tukang listrik</v>
      </c>
      <c r="E518" s="305" t="s">
        <v>6</v>
      </c>
      <c r="F518" s="184">
        <v>7.1999999999999995E-2</v>
      </c>
      <c r="G518" s="65">
        <f>VLOOKUP(D518,upahbahan,3,FALSE)</f>
        <v>145000</v>
      </c>
      <c r="H518" s="65">
        <f t="shared" si="60"/>
        <v>10440</v>
      </c>
      <c r="J518" s="160"/>
      <c r="K518" s="328"/>
    </row>
    <row r="519" spans="3:11">
      <c r="C519" s="304">
        <v>3</v>
      </c>
      <c r="D519" s="60" t="s">
        <v>18</v>
      </c>
      <c r="E519" s="305" t="s">
        <v>6</v>
      </c>
      <c r="F519" s="184">
        <v>7.0000000000000001E-3</v>
      </c>
      <c r="G519" s="65">
        <f>VLOOKUP(D519,upahbahan,3,FALSE)</f>
        <v>150000</v>
      </c>
      <c r="H519" s="65">
        <f t="shared" si="60"/>
        <v>1050</v>
      </c>
      <c r="J519" s="160"/>
      <c r="K519" s="328"/>
    </row>
    <row r="520" spans="3:11">
      <c r="C520" s="304">
        <v>4</v>
      </c>
      <c r="D520" s="60" t="s">
        <v>19</v>
      </c>
      <c r="E520" s="305" t="s">
        <v>6</v>
      </c>
      <c r="F520" s="184">
        <v>2E-3</v>
      </c>
      <c r="G520" s="65">
        <f>VLOOKUP(D520,upahbahan,3,FALSE)</f>
        <v>145000</v>
      </c>
      <c r="H520" s="65">
        <f t="shared" si="60"/>
        <v>290</v>
      </c>
      <c r="J520" s="160"/>
      <c r="K520" s="328"/>
    </row>
    <row r="521" spans="3:11">
      <c r="C521" s="84" t="s">
        <v>1220</v>
      </c>
      <c r="D521" s="81"/>
      <c r="E521" s="81"/>
      <c r="F521" s="190"/>
      <c r="G521" s="221"/>
      <c r="H521" s="65">
        <f>SUM(H517:H520)</f>
        <v>16080</v>
      </c>
      <c r="I521" s="222"/>
      <c r="J521" s="160"/>
      <c r="K521" s="328"/>
    </row>
    <row r="522" spans="3:11">
      <c r="C522" s="73" t="s">
        <v>1221</v>
      </c>
      <c r="D522" s="60" t="s">
        <v>1222</v>
      </c>
      <c r="E522" s="74"/>
      <c r="F522" s="208"/>
      <c r="G522" s="74"/>
      <c r="H522" s="74"/>
      <c r="J522" s="160"/>
      <c r="K522" s="328"/>
    </row>
    <row r="523" spans="3:11">
      <c r="C523" s="304">
        <v>1</v>
      </c>
      <c r="D523" s="78" t="s">
        <v>941</v>
      </c>
      <c r="E523" s="69" t="s">
        <v>114</v>
      </c>
      <c r="F523" s="75">
        <v>1.1499999999999999</v>
      </c>
      <c r="G523" s="65">
        <f>VLOOKUP(D523,upahbahan,3,FALSE)</f>
        <v>235500</v>
      </c>
      <c r="H523" s="65">
        <f t="shared" ref="H523" si="61">F523*G523</f>
        <v>270825</v>
      </c>
      <c r="J523" s="160"/>
      <c r="K523" s="328"/>
    </row>
    <row r="524" spans="3:11">
      <c r="C524" s="84" t="s">
        <v>1226</v>
      </c>
      <c r="D524" s="81"/>
      <c r="E524" s="81"/>
      <c r="F524" s="81"/>
      <c r="G524" s="163"/>
      <c r="H524" s="65">
        <f>SUM(H523:H523)</f>
        <v>270825</v>
      </c>
      <c r="J524" s="160"/>
      <c r="K524" s="328"/>
    </row>
    <row r="525" spans="3:11">
      <c r="C525" s="73" t="s">
        <v>1227</v>
      </c>
      <c r="D525" s="60" t="s">
        <v>1228</v>
      </c>
      <c r="E525" s="74"/>
      <c r="F525" s="74"/>
      <c r="G525" s="74"/>
      <c r="H525" s="74"/>
      <c r="J525" s="160"/>
      <c r="K525" s="328"/>
    </row>
    <row r="526" spans="3:11">
      <c r="C526" s="84" t="s">
        <v>1229</v>
      </c>
      <c r="D526" s="81"/>
      <c r="E526" s="81"/>
      <c r="F526" s="81"/>
      <c r="G526" s="163"/>
      <c r="H526" s="306">
        <v>0</v>
      </c>
      <c r="J526" s="160"/>
      <c r="K526" s="328"/>
    </row>
    <row r="527" spans="3:11">
      <c r="C527" s="59" t="s">
        <v>1230</v>
      </c>
      <c r="D527" s="70" t="s">
        <v>1231</v>
      </c>
      <c r="E527" s="71"/>
      <c r="F527" s="71"/>
      <c r="G527" s="72"/>
      <c r="H527" s="307">
        <f>H526+H524+H521</f>
        <v>286905</v>
      </c>
      <c r="I527" s="322"/>
      <c r="J527" s="160"/>
      <c r="K527" s="328"/>
    </row>
    <row r="528" spans="3:11">
      <c r="C528" s="59" t="s">
        <v>1232</v>
      </c>
      <c r="D528" s="70" t="s">
        <v>1410</v>
      </c>
      <c r="E528" s="71"/>
      <c r="F528" s="72"/>
      <c r="G528" s="96">
        <f>$M$7</f>
        <v>0.1</v>
      </c>
      <c r="H528" s="65">
        <f>H527*G528</f>
        <v>28690.5</v>
      </c>
      <c r="I528" s="322"/>
      <c r="J528" s="160"/>
      <c r="K528" s="328"/>
    </row>
    <row r="529" spans="3:11">
      <c r="C529" s="59" t="s">
        <v>1233</v>
      </c>
      <c r="D529" s="70" t="s">
        <v>1234</v>
      </c>
      <c r="E529" s="71"/>
      <c r="F529" s="71"/>
      <c r="G529" s="72"/>
      <c r="H529" s="308">
        <f>SUM(H527:H528)</f>
        <v>315595.5</v>
      </c>
      <c r="I529" s="322"/>
      <c r="J529" s="160"/>
      <c r="K529" s="328"/>
    </row>
    <row r="530" spans="3:11">
      <c r="J530" s="160"/>
      <c r="K530" s="328"/>
    </row>
    <row r="531" spans="3:11">
      <c r="C531" s="316" t="s">
        <v>1873</v>
      </c>
      <c r="D531" s="318"/>
      <c r="E531" s="318"/>
      <c r="F531" s="318"/>
      <c r="G531" s="318"/>
      <c r="H531" s="318"/>
      <c r="I531" s="57">
        <f>ROUNDDOWN(H546,-2)</f>
        <v>406500</v>
      </c>
      <c r="J531" s="160"/>
      <c r="K531" s="328"/>
    </row>
    <row r="532" spans="3:11" ht="28.5">
      <c r="C532" s="303" t="s">
        <v>1207</v>
      </c>
      <c r="D532" s="303" t="s">
        <v>1208</v>
      </c>
      <c r="E532" s="303" t="s">
        <v>1209</v>
      </c>
      <c r="F532" s="303" t="s">
        <v>1210</v>
      </c>
      <c r="G532" s="303" t="s">
        <v>1211</v>
      </c>
      <c r="H532" s="303" t="s">
        <v>1212</v>
      </c>
      <c r="J532" s="160"/>
      <c r="K532" s="328"/>
    </row>
    <row r="533" spans="3:11">
      <c r="C533" s="305" t="s">
        <v>1213</v>
      </c>
      <c r="D533" s="60" t="s">
        <v>1214</v>
      </c>
      <c r="E533" s="74"/>
      <c r="F533" s="74"/>
      <c r="G533" s="74"/>
      <c r="H533" s="74"/>
      <c r="J533" s="160"/>
      <c r="K533" s="328"/>
    </row>
    <row r="534" spans="3:11">
      <c r="C534" s="363">
        <v>1</v>
      </c>
      <c r="D534" s="60" t="s">
        <v>5</v>
      </c>
      <c r="E534" s="305" t="s">
        <v>6</v>
      </c>
      <c r="F534" s="75">
        <v>4.8000000000000001E-2</v>
      </c>
      <c r="G534" s="65">
        <f>VLOOKUP(D534,upahbahan,3,FALSE)</f>
        <v>100000</v>
      </c>
      <c r="H534" s="65">
        <f t="shared" ref="H534:H537" si="62">F534*G534</f>
        <v>4800</v>
      </c>
      <c r="J534" s="160"/>
      <c r="K534" s="328"/>
    </row>
    <row r="535" spans="3:11">
      <c r="C535" s="363">
        <v>2</v>
      </c>
      <c r="D535" s="60" t="str">
        <f>D518</f>
        <v>Tukang listrik</v>
      </c>
      <c r="E535" s="305" t="s">
        <v>6</v>
      </c>
      <c r="F535" s="75">
        <v>0.08</v>
      </c>
      <c r="G535" s="65">
        <f>VLOOKUP(D535,upahbahan,3,FALSE)</f>
        <v>145000</v>
      </c>
      <c r="H535" s="65">
        <f t="shared" si="62"/>
        <v>11600</v>
      </c>
      <c r="J535" s="160"/>
      <c r="K535" s="328"/>
    </row>
    <row r="536" spans="3:11">
      <c r="C536" s="363">
        <v>3</v>
      </c>
      <c r="D536" s="60" t="s">
        <v>18</v>
      </c>
      <c r="E536" s="305" t="s">
        <v>6</v>
      </c>
      <c r="F536" s="75">
        <v>8.0000000000000002E-3</v>
      </c>
      <c r="G536" s="65">
        <f>VLOOKUP(D536,upahbahan,3,FALSE)</f>
        <v>150000</v>
      </c>
      <c r="H536" s="65">
        <f t="shared" si="62"/>
        <v>1200</v>
      </c>
      <c r="J536" s="160"/>
      <c r="K536" s="328"/>
    </row>
    <row r="537" spans="3:11">
      <c r="C537" s="363">
        <v>4</v>
      </c>
      <c r="D537" s="60" t="s">
        <v>19</v>
      </c>
      <c r="E537" s="305" t="s">
        <v>6</v>
      </c>
      <c r="F537" s="75">
        <v>3.0000000000000001E-3</v>
      </c>
      <c r="G537" s="65">
        <f>VLOOKUP(D537,upahbahan,3,FALSE)</f>
        <v>145000</v>
      </c>
      <c r="H537" s="65">
        <f t="shared" si="62"/>
        <v>435</v>
      </c>
      <c r="J537" s="160"/>
      <c r="K537" s="328"/>
    </row>
    <row r="538" spans="3:11">
      <c r="C538" s="84" t="s">
        <v>1220</v>
      </c>
      <c r="D538" s="81"/>
      <c r="E538" s="81"/>
      <c r="F538" s="190"/>
      <c r="G538" s="221"/>
      <c r="H538" s="65">
        <f>SUM(H534:H537)</f>
        <v>18035</v>
      </c>
      <c r="I538" s="222"/>
      <c r="J538" s="160"/>
      <c r="K538" s="328"/>
    </row>
    <row r="539" spans="3:11">
      <c r="C539" s="305" t="s">
        <v>1221</v>
      </c>
      <c r="D539" s="60" t="s">
        <v>1222</v>
      </c>
      <c r="E539" s="74"/>
      <c r="F539" s="208"/>
      <c r="G539" s="74"/>
      <c r="H539" s="74"/>
      <c r="J539" s="160"/>
      <c r="K539" s="328"/>
    </row>
    <row r="540" spans="3:11">
      <c r="C540" s="363">
        <v>1</v>
      </c>
      <c r="D540" s="78" t="s">
        <v>943</v>
      </c>
      <c r="E540" s="69" t="s">
        <v>114</v>
      </c>
      <c r="F540" s="75">
        <v>1.1499999999999999</v>
      </c>
      <c r="G540" s="65">
        <f>VLOOKUP(D540,upahbahan,3,FALSE)</f>
        <v>305700</v>
      </c>
      <c r="H540" s="65">
        <f t="shared" ref="H540" si="63">F540*G540</f>
        <v>351555</v>
      </c>
      <c r="J540" s="160"/>
      <c r="K540" s="328"/>
    </row>
    <row r="541" spans="3:11">
      <c r="C541" s="84" t="s">
        <v>1226</v>
      </c>
      <c r="D541" s="81"/>
      <c r="E541" s="81"/>
      <c r="F541" s="81"/>
      <c r="G541" s="163"/>
      <c r="H541" s="65">
        <f>SUM(H540:H540)</f>
        <v>351555</v>
      </c>
      <c r="J541" s="160"/>
      <c r="K541" s="328"/>
    </row>
    <row r="542" spans="3:11">
      <c r="C542" s="73" t="s">
        <v>1227</v>
      </c>
      <c r="D542" s="60" t="s">
        <v>1228</v>
      </c>
      <c r="E542" s="74"/>
      <c r="F542" s="74"/>
      <c r="G542" s="74"/>
      <c r="H542" s="74"/>
      <c r="J542" s="160"/>
      <c r="K542" s="328"/>
    </row>
    <row r="543" spans="3:11">
      <c r="C543" s="84" t="s">
        <v>1229</v>
      </c>
      <c r="D543" s="81"/>
      <c r="E543" s="81"/>
      <c r="F543" s="81"/>
      <c r="G543" s="163"/>
      <c r="H543" s="306">
        <v>0</v>
      </c>
      <c r="J543" s="160"/>
      <c r="K543" s="328"/>
    </row>
    <row r="544" spans="3:11">
      <c r="C544" s="59" t="s">
        <v>1230</v>
      </c>
      <c r="D544" s="70" t="s">
        <v>1231</v>
      </c>
      <c r="E544" s="71"/>
      <c r="F544" s="71"/>
      <c r="G544" s="72"/>
      <c r="H544" s="307">
        <f>H543+H541+H538</f>
        <v>369590</v>
      </c>
      <c r="I544" s="322"/>
      <c r="J544" s="160"/>
      <c r="K544" s="328"/>
    </row>
    <row r="545" spans="3:11">
      <c r="C545" s="59" t="s">
        <v>1232</v>
      </c>
      <c r="D545" s="70" t="s">
        <v>1410</v>
      </c>
      <c r="E545" s="71"/>
      <c r="F545" s="72"/>
      <c r="G545" s="96">
        <f>$M$7</f>
        <v>0.1</v>
      </c>
      <c r="H545" s="65">
        <f>H544*G545</f>
        <v>36959</v>
      </c>
      <c r="I545" s="322"/>
      <c r="J545" s="160"/>
      <c r="K545" s="328"/>
    </row>
    <row r="546" spans="3:11">
      <c r="C546" s="59" t="s">
        <v>1233</v>
      </c>
      <c r="D546" s="70" t="s">
        <v>1234</v>
      </c>
      <c r="E546" s="71"/>
      <c r="F546" s="71"/>
      <c r="G546" s="72"/>
      <c r="H546" s="308">
        <f>SUM(H544:H545)</f>
        <v>406549</v>
      </c>
      <c r="I546" s="322"/>
      <c r="J546" s="160"/>
      <c r="K546" s="328"/>
    </row>
    <row r="547" spans="3:11">
      <c r="J547" s="160"/>
      <c r="K547" s="328"/>
    </row>
    <row r="548" spans="3:11">
      <c r="C548" s="316" t="s">
        <v>1874</v>
      </c>
      <c r="D548" s="318"/>
      <c r="E548" s="318"/>
      <c r="F548" s="318"/>
      <c r="G548" s="318"/>
      <c r="H548" s="318"/>
      <c r="I548" s="57">
        <f>ROUNDDOWN(H563,-2)</f>
        <v>33300</v>
      </c>
      <c r="J548" s="160"/>
      <c r="K548" s="328"/>
    </row>
    <row r="549" spans="3:11" ht="28.5">
      <c r="C549" s="303" t="s">
        <v>1207</v>
      </c>
      <c r="D549" s="303" t="s">
        <v>1208</v>
      </c>
      <c r="E549" s="303" t="s">
        <v>1209</v>
      </c>
      <c r="F549" s="303" t="s">
        <v>1210</v>
      </c>
      <c r="G549" s="303" t="s">
        <v>1211</v>
      </c>
      <c r="H549" s="303" t="s">
        <v>1212</v>
      </c>
      <c r="J549" s="160"/>
      <c r="K549" s="328"/>
    </row>
    <row r="550" spans="3:11">
      <c r="C550" s="305" t="s">
        <v>1213</v>
      </c>
      <c r="D550" s="60" t="s">
        <v>1214</v>
      </c>
      <c r="E550" s="74"/>
      <c r="F550" s="74"/>
      <c r="G550" s="74"/>
      <c r="H550" s="74"/>
      <c r="J550" s="160"/>
      <c r="K550" s="328"/>
    </row>
    <row r="551" spans="3:11">
      <c r="C551" s="363">
        <v>1</v>
      </c>
      <c r="D551" s="60" t="s">
        <v>5</v>
      </c>
      <c r="E551" s="305" t="s">
        <v>6</v>
      </c>
      <c r="F551" s="75">
        <v>2.4E-2</v>
      </c>
      <c r="G551" s="65">
        <f>VLOOKUP(D551,upahbahan,3,FALSE)</f>
        <v>100000</v>
      </c>
      <c r="H551" s="65">
        <f t="shared" ref="H551:H554" si="64">F551*G551</f>
        <v>2400</v>
      </c>
      <c r="J551" s="160"/>
      <c r="K551" s="328"/>
    </row>
    <row r="552" spans="3:11">
      <c r="C552" s="363">
        <v>2</v>
      </c>
      <c r="D552" s="60" t="str">
        <f>D535</f>
        <v>Tukang listrik</v>
      </c>
      <c r="E552" s="305" t="s">
        <v>6</v>
      </c>
      <c r="F552" s="75">
        <v>0.04</v>
      </c>
      <c r="G552" s="65">
        <f>VLOOKUP(D552,upahbahan,3,FALSE)</f>
        <v>145000</v>
      </c>
      <c r="H552" s="65">
        <f t="shared" si="64"/>
        <v>5800</v>
      </c>
      <c r="J552" s="160"/>
      <c r="K552" s="328"/>
    </row>
    <row r="553" spans="3:11">
      <c r="C553" s="363">
        <v>3</v>
      </c>
      <c r="D553" s="60" t="s">
        <v>18</v>
      </c>
      <c r="E553" s="305" t="s">
        <v>6</v>
      </c>
      <c r="F553" s="75">
        <v>4.0000000000000001E-3</v>
      </c>
      <c r="G553" s="65">
        <f>VLOOKUP(D553,upahbahan,3,FALSE)</f>
        <v>150000</v>
      </c>
      <c r="H553" s="65">
        <f t="shared" si="64"/>
        <v>600</v>
      </c>
      <c r="J553" s="160"/>
      <c r="K553" s="328"/>
    </row>
    <row r="554" spans="3:11">
      <c r="C554" s="363">
        <v>4</v>
      </c>
      <c r="D554" s="60" t="s">
        <v>19</v>
      </c>
      <c r="E554" s="305" t="s">
        <v>6</v>
      </c>
      <c r="F554" s="75">
        <v>1E-3</v>
      </c>
      <c r="G554" s="65">
        <f>VLOOKUP(D554,upahbahan,3,FALSE)</f>
        <v>145000</v>
      </c>
      <c r="H554" s="65">
        <f t="shared" si="64"/>
        <v>145</v>
      </c>
      <c r="J554" s="160"/>
      <c r="K554" s="328"/>
    </row>
    <row r="555" spans="3:11">
      <c r="C555" s="84" t="s">
        <v>1220</v>
      </c>
      <c r="D555" s="81"/>
      <c r="E555" s="81"/>
      <c r="F555" s="190"/>
      <c r="G555" s="221"/>
      <c r="H555" s="65">
        <f>SUM(H551:H554)</f>
        <v>8945</v>
      </c>
      <c r="I555" s="222"/>
      <c r="J555" s="160"/>
      <c r="K555" s="328"/>
    </row>
    <row r="556" spans="3:11">
      <c r="C556" s="305" t="s">
        <v>1221</v>
      </c>
      <c r="D556" s="60" t="s">
        <v>1222</v>
      </c>
      <c r="E556" s="74"/>
      <c r="F556" s="208"/>
      <c r="G556" s="74"/>
      <c r="H556" s="74"/>
      <c r="J556" s="160"/>
      <c r="K556" s="328"/>
    </row>
    <row r="557" spans="3:11">
      <c r="C557" s="363">
        <v>1</v>
      </c>
      <c r="D557" s="78" t="s">
        <v>945</v>
      </c>
      <c r="E557" s="69" t="s">
        <v>114</v>
      </c>
      <c r="F557" s="75">
        <v>1.1499999999999999</v>
      </c>
      <c r="G557" s="65">
        <f>VLOOKUP(D557,upahbahan,3,FALSE)</f>
        <v>18600</v>
      </c>
      <c r="H557" s="65">
        <f t="shared" ref="H557" si="65">F557*G557</f>
        <v>21390</v>
      </c>
      <c r="J557" s="160"/>
      <c r="K557" s="328"/>
    </row>
    <row r="558" spans="3:11">
      <c r="C558" s="84" t="s">
        <v>1226</v>
      </c>
      <c r="D558" s="81"/>
      <c r="E558" s="81"/>
      <c r="F558" s="81"/>
      <c r="G558" s="163"/>
      <c r="H558" s="65">
        <f>SUM(H557:H557)</f>
        <v>21390</v>
      </c>
      <c r="J558" s="160"/>
      <c r="K558" s="328"/>
    </row>
    <row r="559" spans="3:11">
      <c r="C559" s="73" t="s">
        <v>1227</v>
      </c>
      <c r="D559" s="60" t="s">
        <v>1228</v>
      </c>
      <c r="E559" s="74"/>
      <c r="F559" s="74"/>
      <c r="G559" s="74"/>
      <c r="H559" s="74"/>
      <c r="J559" s="160"/>
      <c r="K559" s="328"/>
    </row>
    <row r="560" spans="3:11">
      <c r="C560" s="84" t="s">
        <v>1229</v>
      </c>
      <c r="D560" s="81"/>
      <c r="E560" s="81"/>
      <c r="F560" s="81"/>
      <c r="G560" s="163"/>
      <c r="H560" s="306">
        <v>0</v>
      </c>
      <c r="J560" s="160"/>
      <c r="K560" s="328"/>
    </row>
    <row r="561" spans="3:11">
      <c r="C561" s="59" t="s">
        <v>1230</v>
      </c>
      <c r="D561" s="70" t="s">
        <v>1231</v>
      </c>
      <c r="E561" s="71"/>
      <c r="F561" s="71"/>
      <c r="G561" s="72"/>
      <c r="H561" s="307">
        <f>H560+H558+H555</f>
        <v>30335</v>
      </c>
      <c r="I561" s="322"/>
      <c r="J561" s="160"/>
      <c r="K561" s="328"/>
    </row>
    <row r="562" spans="3:11">
      <c r="C562" s="59" t="s">
        <v>1232</v>
      </c>
      <c r="D562" s="70" t="s">
        <v>1410</v>
      </c>
      <c r="E562" s="71"/>
      <c r="F562" s="72"/>
      <c r="G562" s="96">
        <f>$M$7</f>
        <v>0.1</v>
      </c>
      <c r="H562" s="65">
        <f>H561*G562</f>
        <v>3033.5</v>
      </c>
      <c r="I562" s="322"/>
      <c r="J562" s="160"/>
      <c r="K562" s="328"/>
    </row>
    <row r="563" spans="3:11">
      <c r="C563" s="59" t="s">
        <v>1233</v>
      </c>
      <c r="D563" s="70" t="s">
        <v>1234</v>
      </c>
      <c r="E563" s="71"/>
      <c r="F563" s="71"/>
      <c r="G563" s="72"/>
      <c r="H563" s="308">
        <f>SUM(H561:H562)</f>
        <v>33368.5</v>
      </c>
      <c r="I563" s="322"/>
      <c r="J563" s="160"/>
      <c r="K563" s="328"/>
    </row>
    <row r="564" spans="3:11">
      <c r="J564" s="160"/>
      <c r="K564" s="328"/>
    </row>
    <row r="565" spans="3:11">
      <c r="C565" s="316" t="s">
        <v>1875</v>
      </c>
      <c r="D565" s="318"/>
      <c r="E565" s="318"/>
      <c r="F565" s="318"/>
      <c r="G565" s="318"/>
      <c r="H565" s="318"/>
      <c r="I565" s="57">
        <f>ROUNDDOWN(H580,-2)</f>
        <v>46000</v>
      </c>
      <c r="J565" s="160"/>
      <c r="K565" s="328"/>
    </row>
    <row r="566" spans="3:11" ht="28.5">
      <c r="C566" s="303" t="s">
        <v>1207</v>
      </c>
      <c r="D566" s="303" t="s">
        <v>1208</v>
      </c>
      <c r="E566" s="303" t="s">
        <v>1209</v>
      </c>
      <c r="F566" s="303" t="s">
        <v>1210</v>
      </c>
      <c r="G566" s="303" t="s">
        <v>1211</v>
      </c>
      <c r="H566" s="303" t="s">
        <v>1212</v>
      </c>
      <c r="J566" s="160"/>
      <c r="K566" s="328"/>
    </row>
    <row r="567" spans="3:11">
      <c r="C567" s="305" t="s">
        <v>1213</v>
      </c>
      <c r="D567" s="60" t="s">
        <v>1214</v>
      </c>
      <c r="E567" s="74"/>
      <c r="F567" s="74"/>
      <c r="G567" s="74"/>
      <c r="H567" s="74"/>
      <c r="J567" s="160"/>
      <c r="K567" s="328"/>
    </row>
    <row r="568" spans="3:11">
      <c r="C568" s="363">
        <v>1</v>
      </c>
      <c r="D568" s="60" t="s">
        <v>5</v>
      </c>
      <c r="E568" s="305" t="s">
        <v>6</v>
      </c>
      <c r="F568" s="75">
        <v>2.4E-2</v>
      </c>
      <c r="G568" s="65">
        <f>VLOOKUP(D568,upahbahan,3,FALSE)</f>
        <v>100000</v>
      </c>
      <c r="H568" s="65">
        <f t="shared" ref="H568:H571" si="66">F568*G568</f>
        <v>2400</v>
      </c>
      <c r="J568" s="160"/>
      <c r="K568" s="328"/>
    </row>
    <row r="569" spans="3:11">
      <c r="C569" s="363">
        <v>2</v>
      </c>
      <c r="D569" s="60" t="str">
        <f>D552</f>
        <v>Tukang listrik</v>
      </c>
      <c r="E569" s="305" t="s">
        <v>6</v>
      </c>
      <c r="F569" s="75">
        <v>0.04</v>
      </c>
      <c r="G569" s="65">
        <f>VLOOKUP(D569,upahbahan,3,FALSE)</f>
        <v>145000</v>
      </c>
      <c r="H569" s="65">
        <f t="shared" si="66"/>
        <v>5800</v>
      </c>
      <c r="J569" s="160"/>
      <c r="K569" s="328"/>
    </row>
    <row r="570" spans="3:11">
      <c r="C570" s="363">
        <v>3</v>
      </c>
      <c r="D570" s="60" t="s">
        <v>18</v>
      </c>
      <c r="E570" s="305" t="s">
        <v>6</v>
      </c>
      <c r="F570" s="75">
        <v>4.0000000000000001E-3</v>
      </c>
      <c r="G570" s="65">
        <f>VLOOKUP(D570,upahbahan,3,FALSE)</f>
        <v>150000</v>
      </c>
      <c r="H570" s="65">
        <f t="shared" si="66"/>
        <v>600</v>
      </c>
      <c r="J570" s="160"/>
      <c r="K570" s="328"/>
    </row>
    <row r="571" spans="3:11">
      <c r="C571" s="363">
        <v>4</v>
      </c>
      <c r="D571" s="60" t="s">
        <v>19</v>
      </c>
      <c r="E571" s="305" t="s">
        <v>6</v>
      </c>
      <c r="F571" s="75">
        <v>1E-3</v>
      </c>
      <c r="G571" s="65">
        <f>VLOOKUP(D571,upahbahan,3,FALSE)</f>
        <v>145000</v>
      </c>
      <c r="H571" s="65">
        <f t="shared" si="66"/>
        <v>145</v>
      </c>
      <c r="J571" s="160"/>
      <c r="K571" s="328"/>
    </row>
    <row r="572" spans="3:11">
      <c r="C572" s="84" t="s">
        <v>1220</v>
      </c>
      <c r="D572" s="81"/>
      <c r="E572" s="81"/>
      <c r="F572" s="190"/>
      <c r="G572" s="221"/>
      <c r="H572" s="65">
        <f>SUM(H568:H571)</f>
        <v>8945</v>
      </c>
      <c r="I572" s="222"/>
      <c r="J572" s="160"/>
      <c r="K572" s="328"/>
    </row>
    <row r="573" spans="3:11">
      <c r="C573" s="305" t="s">
        <v>1221</v>
      </c>
      <c r="D573" s="60" t="s">
        <v>1222</v>
      </c>
      <c r="E573" s="74"/>
      <c r="F573" s="208"/>
      <c r="G573" s="74"/>
      <c r="H573" s="74"/>
      <c r="J573" s="160"/>
      <c r="K573" s="328"/>
    </row>
    <row r="574" spans="3:11">
      <c r="C574" s="363">
        <v>1</v>
      </c>
      <c r="D574" s="78" t="s">
        <v>951</v>
      </c>
      <c r="E574" s="69" t="s">
        <v>114</v>
      </c>
      <c r="F574" s="75">
        <v>1.1499999999999999</v>
      </c>
      <c r="G574" s="65">
        <f>VLOOKUP(D574,upahbahan,3,FALSE)</f>
        <v>28620</v>
      </c>
      <c r="H574" s="65">
        <f t="shared" ref="H574" si="67">F574*G574</f>
        <v>32913</v>
      </c>
      <c r="J574" s="160"/>
      <c r="K574" s="328"/>
    </row>
    <row r="575" spans="3:11">
      <c r="C575" s="84" t="s">
        <v>1226</v>
      </c>
      <c r="D575" s="81"/>
      <c r="E575" s="81"/>
      <c r="F575" s="81"/>
      <c r="G575" s="163"/>
      <c r="H575" s="65">
        <f>SUM(H574:H574)</f>
        <v>32913</v>
      </c>
      <c r="J575" s="160"/>
      <c r="K575" s="328"/>
    </row>
    <row r="576" spans="3:11">
      <c r="C576" s="73" t="s">
        <v>1227</v>
      </c>
      <c r="D576" s="60" t="s">
        <v>1228</v>
      </c>
      <c r="E576" s="74"/>
      <c r="F576" s="74"/>
      <c r="G576" s="74"/>
      <c r="H576" s="74"/>
      <c r="J576" s="160"/>
      <c r="K576" s="328"/>
    </row>
    <row r="577" spans="3:11">
      <c r="C577" s="84" t="s">
        <v>1229</v>
      </c>
      <c r="D577" s="81"/>
      <c r="E577" s="81"/>
      <c r="F577" s="81"/>
      <c r="G577" s="163"/>
      <c r="H577" s="306">
        <v>0</v>
      </c>
      <c r="J577" s="160"/>
      <c r="K577" s="328"/>
    </row>
    <row r="578" spans="3:11">
      <c r="C578" s="59" t="s">
        <v>1230</v>
      </c>
      <c r="D578" s="70" t="s">
        <v>1231</v>
      </c>
      <c r="E578" s="71"/>
      <c r="F578" s="71"/>
      <c r="G578" s="72"/>
      <c r="H578" s="307">
        <f>H577+H575+H572</f>
        <v>41858</v>
      </c>
      <c r="I578" s="322"/>
      <c r="J578" s="160"/>
      <c r="K578" s="328"/>
    </row>
    <row r="579" spans="3:11">
      <c r="C579" s="59" t="s">
        <v>1232</v>
      </c>
      <c r="D579" s="70" t="s">
        <v>1410</v>
      </c>
      <c r="E579" s="71"/>
      <c r="F579" s="72"/>
      <c r="G579" s="96">
        <f>$M$7</f>
        <v>0.1</v>
      </c>
      <c r="H579" s="65">
        <f>H578*G579</f>
        <v>4185.8</v>
      </c>
      <c r="I579" s="322"/>
      <c r="J579" s="160"/>
      <c r="K579" s="328"/>
    </row>
    <row r="580" spans="3:11">
      <c r="C580" s="59" t="s">
        <v>1233</v>
      </c>
      <c r="D580" s="70" t="s">
        <v>1234</v>
      </c>
      <c r="E580" s="71"/>
      <c r="F580" s="71"/>
      <c r="G580" s="72"/>
      <c r="H580" s="308">
        <f>SUM(H578:H579)</f>
        <v>46043.8</v>
      </c>
      <c r="I580" s="322"/>
      <c r="J580" s="160"/>
      <c r="K580" s="328"/>
    </row>
    <row r="581" spans="3:11">
      <c r="J581" s="160"/>
      <c r="K581" s="328"/>
    </row>
    <row r="582" spans="3:11">
      <c r="C582" s="316" t="s">
        <v>1876</v>
      </c>
      <c r="D582" s="318"/>
      <c r="E582" s="318"/>
      <c r="F582" s="318"/>
      <c r="G582" s="318"/>
      <c r="H582" s="318"/>
      <c r="I582" s="57">
        <f>ROUNDDOWN(H597,-2)</f>
        <v>66300</v>
      </c>
      <c r="J582" s="160"/>
      <c r="K582" s="328"/>
    </row>
    <row r="583" spans="3:11" ht="28.5">
      <c r="C583" s="303" t="s">
        <v>1207</v>
      </c>
      <c r="D583" s="303" t="s">
        <v>1208</v>
      </c>
      <c r="E583" s="303" t="s">
        <v>1209</v>
      </c>
      <c r="F583" s="303" t="s">
        <v>1210</v>
      </c>
      <c r="G583" s="303" t="s">
        <v>1211</v>
      </c>
      <c r="H583" s="303" t="s">
        <v>1212</v>
      </c>
      <c r="J583" s="160"/>
      <c r="K583" s="328"/>
    </row>
    <row r="584" spans="3:11">
      <c r="C584" s="305" t="s">
        <v>1213</v>
      </c>
      <c r="D584" s="60" t="s">
        <v>1214</v>
      </c>
      <c r="E584" s="74"/>
      <c r="F584" s="74"/>
      <c r="G584" s="74"/>
      <c r="H584" s="74"/>
      <c r="J584" s="160"/>
      <c r="K584" s="328"/>
    </row>
    <row r="585" spans="3:11">
      <c r="C585" s="363">
        <v>1</v>
      </c>
      <c r="D585" s="60" t="s">
        <v>5</v>
      </c>
      <c r="E585" s="305" t="s">
        <v>6</v>
      </c>
      <c r="F585" s="184">
        <v>2.9000000000000001E-2</v>
      </c>
      <c r="G585" s="65">
        <f>VLOOKUP(D585,upahbahan,3,FALSE)</f>
        <v>100000</v>
      </c>
      <c r="H585" s="65">
        <f t="shared" ref="H585:H588" si="68">F585*G585</f>
        <v>2900</v>
      </c>
      <c r="J585" s="160"/>
      <c r="K585" s="328"/>
    </row>
    <row r="586" spans="3:11">
      <c r="C586" s="363">
        <v>2</v>
      </c>
      <c r="D586" s="60" t="str">
        <f>D569</f>
        <v>Tukang listrik</v>
      </c>
      <c r="E586" s="305" t="s">
        <v>6</v>
      </c>
      <c r="F586" s="184">
        <v>4.8000000000000001E-2</v>
      </c>
      <c r="G586" s="65">
        <f>VLOOKUP(D586,upahbahan,3,FALSE)</f>
        <v>145000</v>
      </c>
      <c r="H586" s="65">
        <f t="shared" si="68"/>
        <v>6960</v>
      </c>
      <c r="J586" s="160"/>
      <c r="K586" s="328"/>
    </row>
    <row r="587" spans="3:11">
      <c r="C587" s="363">
        <v>3</v>
      </c>
      <c r="D587" s="60" t="s">
        <v>18</v>
      </c>
      <c r="E587" s="305" t="s">
        <v>6</v>
      </c>
      <c r="F587" s="184">
        <v>5.0000000000000001E-3</v>
      </c>
      <c r="G587" s="65">
        <f>VLOOKUP(D587,upahbahan,3,FALSE)</f>
        <v>150000</v>
      </c>
      <c r="H587" s="65">
        <f t="shared" si="68"/>
        <v>750</v>
      </c>
      <c r="J587" s="160"/>
      <c r="K587" s="328"/>
    </row>
    <row r="588" spans="3:11">
      <c r="C588" s="363">
        <v>4</v>
      </c>
      <c r="D588" s="60" t="s">
        <v>19</v>
      </c>
      <c r="E588" s="305" t="s">
        <v>6</v>
      </c>
      <c r="F588" s="184">
        <v>2E-3</v>
      </c>
      <c r="G588" s="65">
        <f>VLOOKUP(D588,upahbahan,3,FALSE)</f>
        <v>145000</v>
      </c>
      <c r="H588" s="65">
        <f t="shared" si="68"/>
        <v>290</v>
      </c>
      <c r="J588" s="160"/>
      <c r="K588" s="328"/>
    </row>
    <row r="589" spans="3:11">
      <c r="C589" s="84" t="s">
        <v>1220</v>
      </c>
      <c r="D589" s="81"/>
      <c r="E589" s="81"/>
      <c r="F589" s="190"/>
      <c r="G589" s="221"/>
      <c r="H589" s="65">
        <f>SUM(H585:H588)</f>
        <v>10900</v>
      </c>
      <c r="I589" s="222"/>
      <c r="J589" s="160"/>
      <c r="K589" s="328"/>
    </row>
    <row r="590" spans="3:11">
      <c r="C590" s="305" t="s">
        <v>1221</v>
      </c>
      <c r="D590" s="60" t="s">
        <v>1222</v>
      </c>
      <c r="E590" s="74"/>
      <c r="F590" s="208"/>
      <c r="G590" s="74"/>
      <c r="H590" s="74"/>
      <c r="J590" s="160"/>
      <c r="K590" s="328"/>
    </row>
    <row r="591" spans="3:11">
      <c r="C591" s="363">
        <v>1</v>
      </c>
      <c r="D591" s="78" t="s">
        <v>956</v>
      </c>
      <c r="E591" s="69" t="s">
        <v>114</v>
      </c>
      <c r="F591" s="75">
        <v>1.1499999999999999</v>
      </c>
      <c r="G591" s="65">
        <f>VLOOKUP(D591,upahbahan,3,FALSE)</f>
        <v>43000</v>
      </c>
      <c r="H591" s="65">
        <f t="shared" ref="H591" si="69">F591*G591</f>
        <v>49449.999999999993</v>
      </c>
      <c r="J591" s="160"/>
      <c r="K591" s="328"/>
    </row>
    <row r="592" spans="3:11">
      <c r="C592" s="84" t="s">
        <v>1226</v>
      </c>
      <c r="D592" s="81"/>
      <c r="E592" s="81"/>
      <c r="F592" s="81"/>
      <c r="G592" s="163"/>
      <c r="H592" s="65">
        <f>SUM(H591:H591)</f>
        <v>49449.999999999993</v>
      </c>
      <c r="J592" s="160"/>
      <c r="K592" s="328"/>
    </row>
    <row r="593" spans="3:11">
      <c r="C593" s="73" t="s">
        <v>1227</v>
      </c>
      <c r="D593" s="60" t="s">
        <v>1228</v>
      </c>
      <c r="E593" s="74"/>
      <c r="F593" s="74"/>
      <c r="G593" s="74"/>
      <c r="H593" s="74"/>
      <c r="J593" s="160"/>
      <c r="K593" s="328"/>
    </row>
    <row r="594" spans="3:11">
      <c r="C594" s="84" t="s">
        <v>1229</v>
      </c>
      <c r="D594" s="81"/>
      <c r="E594" s="81"/>
      <c r="F594" s="81"/>
      <c r="G594" s="163"/>
      <c r="H594" s="306">
        <v>0</v>
      </c>
      <c r="J594" s="160"/>
      <c r="K594" s="328"/>
    </row>
    <row r="595" spans="3:11">
      <c r="C595" s="59" t="s">
        <v>1230</v>
      </c>
      <c r="D595" s="70" t="s">
        <v>1231</v>
      </c>
      <c r="E595" s="71"/>
      <c r="F595" s="71"/>
      <c r="G595" s="72"/>
      <c r="H595" s="307">
        <f>H594+H592+H589</f>
        <v>60349.999999999993</v>
      </c>
      <c r="I595" s="322"/>
      <c r="J595" s="160"/>
      <c r="K595" s="328"/>
    </row>
    <row r="596" spans="3:11">
      <c r="C596" s="59" t="s">
        <v>1232</v>
      </c>
      <c r="D596" s="70" t="s">
        <v>1410</v>
      </c>
      <c r="E596" s="71"/>
      <c r="F596" s="72"/>
      <c r="G596" s="96">
        <f>$M$7</f>
        <v>0.1</v>
      </c>
      <c r="H596" s="65">
        <f>H595*G596</f>
        <v>6035</v>
      </c>
      <c r="I596" s="322"/>
      <c r="J596" s="160"/>
      <c r="K596" s="328"/>
    </row>
    <row r="597" spans="3:11">
      <c r="C597" s="59" t="s">
        <v>1233</v>
      </c>
      <c r="D597" s="70" t="s">
        <v>1234</v>
      </c>
      <c r="E597" s="71"/>
      <c r="F597" s="71"/>
      <c r="G597" s="72"/>
      <c r="H597" s="308">
        <f>SUM(H595:H596)</f>
        <v>66385</v>
      </c>
      <c r="I597" s="322"/>
      <c r="J597" s="160"/>
      <c r="K597" s="328"/>
    </row>
    <row r="598" spans="3:11">
      <c r="J598" s="160"/>
      <c r="K598" s="328"/>
    </row>
    <row r="599" spans="3:11">
      <c r="C599" s="316" t="s">
        <v>1877</v>
      </c>
      <c r="D599" s="318"/>
      <c r="E599" s="318"/>
      <c r="F599" s="318"/>
      <c r="G599" s="318"/>
      <c r="H599" s="318"/>
      <c r="I599" s="57">
        <f>ROUNDDOWN(H614,-2)</f>
        <v>89100</v>
      </c>
      <c r="J599" s="160"/>
      <c r="K599" s="328"/>
    </row>
    <row r="600" spans="3:11" ht="28.5">
      <c r="C600" s="303" t="s">
        <v>1207</v>
      </c>
      <c r="D600" s="303" t="s">
        <v>1208</v>
      </c>
      <c r="E600" s="303" t="s">
        <v>1209</v>
      </c>
      <c r="F600" s="303" t="s">
        <v>1210</v>
      </c>
      <c r="G600" s="303" t="s">
        <v>1211</v>
      </c>
      <c r="H600" s="303" t="s">
        <v>1212</v>
      </c>
      <c r="J600" s="160"/>
      <c r="K600" s="328"/>
    </row>
    <row r="601" spans="3:11">
      <c r="C601" s="305" t="s">
        <v>1213</v>
      </c>
      <c r="D601" s="60" t="s">
        <v>1214</v>
      </c>
      <c r="E601" s="74"/>
      <c r="F601" s="74"/>
      <c r="G601" s="74"/>
      <c r="H601" s="74"/>
      <c r="J601" s="160"/>
      <c r="K601" s="328"/>
    </row>
    <row r="602" spans="3:11">
      <c r="C602" s="363">
        <v>1</v>
      </c>
      <c r="D602" s="60" t="s">
        <v>5</v>
      </c>
      <c r="E602" s="305" t="s">
        <v>6</v>
      </c>
      <c r="F602" s="184">
        <v>2.9000000000000001E-2</v>
      </c>
      <c r="G602" s="65">
        <f>VLOOKUP(D602,upahbahan,3,FALSE)</f>
        <v>100000</v>
      </c>
      <c r="H602" s="65">
        <f t="shared" ref="H602:H605" si="70">F602*G602</f>
        <v>2900</v>
      </c>
      <c r="J602" s="160"/>
      <c r="K602" s="328"/>
    </row>
    <row r="603" spans="3:11">
      <c r="C603" s="363">
        <v>2</v>
      </c>
      <c r="D603" s="60" t="str">
        <f>D586</f>
        <v>Tukang listrik</v>
      </c>
      <c r="E603" s="305" t="s">
        <v>6</v>
      </c>
      <c r="F603" s="184">
        <v>4.8000000000000001E-2</v>
      </c>
      <c r="G603" s="65">
        <f>VLOOKUP(D603,upahbahan,3,FALSE)</f>
        <v>145000</v>
      </c>
      <c r="H603" s="65">
        <f t="shared" si="70"/>
        <v>6960</v>
      </c>
      <c r="J603" s="160"/>
      <c r="K603" s="328"/>
    </row>
    <row r="604" spans="3:11">
      <c r="C604" s="363">
        <v>3</v>
      </c>
      <c r="D604" s="60" t="s">
        <v>18</v>
      </c>
      <c r="E604" s="305" t="s">
        <v>6</v>
      </c>
      <c r="F604" s="184">
        <v>5.0000000000000001E-3</v>
      </c>
      <c r="G604" s="65">
        <f>VLOOKUP(D604,upahbahan,3,FALSE)</f>
        <v>150000</v>
      </c>
      <c r="H604" s="65">
        <f t="shared" si="70"/>
        <v>750</v>
      </c>
      <c r="J604" s="160"/>
      <c r="K604" s="328"/>
    </row>
    <row r="605" spans="3:11">
      <c r="C605" s="363">
        <v>4</v>
      </c>
      <c r="D605" s="60" t="s">
        <v>19</v>
      </c>
      <c r="E605" s="305" t="s">
        <v>6</v>
      </c>
      <c r="F605" s="184">
        <v>2E-3</v>
      </c>
      <c r="G605" s="65">
        <f>VLOOKUP(D605,upahbahan,3,FALSE)</f>
        <v>145000</v>
      </c>
      <c r="H605" s="65">
        <f t="shared" si="70"/>
        <v>290</v>
      </c>
      <c r="J605" s="160"/>
      <c r="K605" s="328"/>
    </row>
    <row r="606" spans="3:11">
      <c r="C606" s="84" t="s">
        <v>1220</v>
      </c>
      <c r="D606" s="81"/>
      <c r="E606" s="81"/>
      <c r="F606" s="190"/>
      <c r="G606" s="221"/>
      <c r="H606" s="65">
        <f>SUM(H602:H605)</f>
        <v>10900</v>
      </c>
      <c r="I606" s="222"/>
      <c r="J606" s="160"/>
      <c r="K606" s="328"/>
    </row>
    <row r="607" spans="3:11">
      <c r="C607" s="305" t="s">
        <v>1221</v>
      </c>
      <c r="D607" s="60" t="s">
        <v>1222</v>
      </c>
      <c r="E607" s="74"/>
      <c r="F607" s="208"/>
      <c r="G607" s="74"/>
      <c r="H607" s="74"/>
      <c r="J607" s="160"/>
      <c r="K607" s="328"/>
    </row>
    <row r="608" spans="3:11">
      <c r="C608" s="363">
        <v>1</v>
      </c>
      <c r="D608" s="78" t="s">
        <v>958</v>
      </c>
      <c r="E608" s="69" t="s">
        <v>114</v>
      </c>
      <c r="F608" s="75">
        <v>1.1499999999999999</v>
      </c>
      <c r="G608" s="65">
        <f>VLOOKUP(D608,upahbahan,3,FALSE)</f>
        <v>61000</v>
      </c>
      <c r="H608" s="65">
        <f t="shared" ref="H608" si="71">F608*G608</f>
        <v>70150</v>
      </c>
      <c r="J608" s="160"/>
      <c r="K608" s="328"/>
    </row>
    <row r="609" spans="3:11">
      <c r="C609" s="84" t="s">
        <v>1226</v>
      </c>
      <c r="D609" s="81"/>
      <c r="E609" s="81"/>
      <c r="F609" s="81"/>
      <c r="G609" s="163"/>
      <c r="H609" s="65">
        <f>SUM(H608:H608)</f>
        <v>70150</v>
      </c>
      <c r="J609" s="160"/>
      <c r="K609" s="328"/>
    </row>
    <row r="610" spans="3:11">
      <c r="C610" s="73" t="s">
        <v>1227</v>
      </c>
      <c r="D610" s="60" t="s">
        <v>1228</v>
      </c>
      <c r="E610" s="74"/>
      <c r="F610" s="74"/>
      <c r="G610" s="74"/>
      <c r="H610" s="74"/>
      <c r="J610" s="160"/>
      <c r="K610" s="328"/>
    </row>
    <row r="611" spans="3:11">
      <c r="C611" s="84" t="s">
        <v>1229</v>
      </c>
      <c r="D611" s="81"/>
      <c r="E611" s="81"/>
      <c r="F611" s="81"/>
      <c r="G611" s="163"/>
      <c r="H611" s="306">
        <v>0</v>
      </c>
      <c r="J611" s="160"/>
      <c r="K611" s="328"/>
    </row>
    <row r="612" spans="3:11">
      <c r="C612" s="59" t="s">
        <v>1230</v>
      </c>
      <c r="D612" s="70" t="s">
        <v>1231</v>
      </c>
      <c r="E612" s="71"/>
      <c r="F612" s="71"/>
      <c r="G612" s="72"/>
      <c r="H612" s="307">
        <f>H611+H609+H606</f>
        <v>81050</v>
      </c>
      <c r="I612" s="322"/>
      <c r="J612" s="160"/>
      <c r="K612" s="328"/>
    </row>
    <row r="613" spans="3:11">
      <c r="C613" s="59" t="s">
        <v>1232</v>
      </c>
      <c r="D613" s="70" t="s">
        <v>1410</v>
      </c>
      <c r="E613" s="71"/>
      <c r="F613" s="72"/>
      <c r="G613" s="96">
        <f>$M$7</f>
        <v>0.1</v>
      </c>
      <c r="H613" s="65">
        <f>H612*G613</f>
        <v>8105</v>
      </c>
      <c r="I613" s="322"/>
      <c r="J613" s="160"/>
      <c r="K613" s="328"/>
    </row>
    <row r="614" spans="3:11">
      <c r="C614" s="59" t="s">
        <v>1233</v>
      </c>
      <c r="D614" s="70" t="s">
        <v>1234</v>
      </c>
      <c r="E614" s="71"/>
      <c r="F614" s="71"/>
      <c r="G614" s="72"/>
      <c r="H614" s="308">
        <f>SUM(H612:H613)</f>
        <v>89155</v>
      </c>
      <c r="I614" s="322"/>
      <c r="J614" s="160"/>
      <c r="K614" s="328"/>
    </row>
    <row r="615" spans="3:11">
      <c r="J615" s="160"/>
      <c r="K615" s="328"/>
    </row>
    <row r="616" spans="3:11">
      <c r="C616" s="316" t="s">
        <v>1878</v>
      </c>
      <c r="D616" s="318"/>
      <c r="E616" s="318"/>
      <c r="F616" s="318"/>
      <c r="G616" s="318"/>
      <c r="H616" s="318"/>
      <c r="I616" s="57">
        <f>ROUNDDOWN(H631,-2)</f>
        <v>136200</v>
      </c>
      <c r="J616" s="160"/>
      <c r="K616" s="328"/>
    </row>
    <row r="617" spans="3:11" ht="28.5">
      <c r="C617" s="303" t="s">
        <v>1207</v>
      </c>
      <c r="D617" s="303" t="s">
        <v>1208</v>
      </c>
      <c r="E617" s="303" t="s">
        <v>1209</v>
      </c>
      <c r="F617" s="303" t="s">
        <v>1210</v>
      </c>
      <c r="G617" s="303" t="s">
        <v>1211</v>
      </c>
      <c r="H617" s="303" t="s">
        <v>1212</v>
      </c>
      <c r="J617" s="160"/>
      <c r="K617" s="328"/>
    </row>
    <row r="618" spans="3:11">
      <c r="C618" s="305" t="s">
        <v>1213</v>
      </c>
      <c r="D618" s="60" t="s">
        <v>1214</v>
      </c>
      <c r="E618" s="74"/>
      <c r="F618" s="74"/>
      <c r="G618" s="74"/>
      <c r="H618" s="74"/>
      <c r="J618" s="160"/>
      <c r="K618" s="328"/>
    </row>
    <row r="619" spans="3:11">
      <c r="C619" s="363">
        <v>1</v>
      </c>
      <c r="D619" s="60" t="s">
        <v>5</v>
      </c>
      <c r="E619" s="305" t="s">
        <v>6</v>
      </c>
      <c r="F619" s="75">
        <v>3.5999999999999997E-2</v>
      </c>
      <c r="G619" s="65">
        <f>VLOOKUP(D619,upahbahan,3,FALSE)</f>
        <v>100000</v>
      </c>
      <c r="H619" s="65">
        <f t="shared" ref="H619:H622" si="72">F619*G619</f>
        <v>3599.9999999999995</v>
      </c>
      <c r="J619" s="160"/>
      <c r="K619" s="328"/>
    </row>
    <row r="620" spans="3:11">
      <c r="C620" s="363">
        <v>2</v>
      </c>
      <c r="D620" s="60" t="str">
        <f>D603</f>
        <v>Tukang listrik</v>
      </c>
      <c r="E620" s="305" t="s">
        <v>6</v>
      </c>
      <c r="F620" s="75">
        <v>0.06</v>
      </c>
      <c r="G620" s="65">
        <f>VLOOKUP(D620,upahbahan,3,FALSE)</f>
        <v>145000</v>
      </c>
      <c r="H620" s="65">
        <f t="shared" si="72"/>
        <v>8700</v>
      </c>
      <c r="J620" s="160"/>
      <c r="K620" s="328"/>
    </row>
    <row r="621" spans="3:11">
      <c r="C621" s="363">
        <v>3</v>
      </c>
      <c r="D621" s="60" t="s">
        <v>18</v>
      </c>
      <c r="E621" s="305" t="s">
        <v>6</v>
      </c>
      <c r="F621" s="75">
        <v>6.0000000000000001E-3</v>
      </c>
      <c r="G621" s="65">
        <f>VLOOKUP(D621,upahbahan,3,FALSE)</f>
        <v>150000</v>
      </c>
      <c r="H621" s="65">
        <f t="shared" si="72"/>
        <v>900</v>
      </c>
      <c r="J621" s="160"/>
      <c r="K621" s="328"/>
    </row>
    <row r="622" spans="3:11">
      <c r="C622" s="363">
        <v>4</v>
      </c>
      <c r="D622" s="60" t="s">
        <v>19</v>
      </c>
      <c r="E622" s="305" t="s">
        <v>6</v>
      </c>
      <c r="F622" s="75">
        <v>2E-3</v>
      </c>
      <c r="G622" s="65">
        <f>VLOOKUP(D622,upahbahan,3,FALSE)</f>
        <v>145000</v>
      </c>
      <c r="H622" s="65">
        <f t="shared" si="72"/>
        <v>290</v>
      </c>
      <c r="J622" s="160"/>
      <c r="K622" s="328"/>
    </row>
    <row r="623" spans="3:11">
      <c r="C623" s="84" t="s">
        <v>1220</v>
      </c>
      <c r="D623" s="81"/>
      <c r="E623" s="81"/>
      <c r="F623" s="190"/>
      <c r="G623" s="221"/>
      <c r="H623" s="65">
        <f>SUM(H619:H622)</f>
        <v>13490</v>
      </c>
      <c r="I623" s="222"/>
      <c r="J623" s="160"/>
      <c r="K623" s="328"/>
    </row>
    <row r="624" spans="3:11">
      <c r="C624" s="305" t="s">
        <v>1221</v>
      </c>
      <c r="D624" s="60" t="s">
        <v>1222</v>
      </c>
      <c r="E624" s="74"/>
      <c r="F624" s="208"/>
      <c r="G624" s="74"/>
      <c r="H624" s="74"/>
      <c r="J624" s="160"/>
      <c r="K624" s="328"/>
    </row>
    <row r="625" spans="3:11">
      <c r="C625" s="363">
        <v>1</v>
      </c>
      <c r="D625" s="78" t="s">
        <v>946</v>
      </c>
      <c r="E625" s="69" t="s">
        <v>114</v>
      </c>
      <c r="F625" s="75">
        <v>1.1499999999999999</v>
      </c>
      <c r="G625" s="65">
        <f>VLOOKUP(D625,upahbahan,3,FALSE)</f>
        <v>96000</v>
      </c>
      <c r="H625" s="65">
        <f t="shared" ref="H625" si="73">F625*G625</f>
        <v>110399.99999999999</v>
      </c>
      <c r="J625" s="160"/>
      <c r="K625" s="328"/>
    </row>
    <row r="626" spans="3:11">
      <c r="C626" s="84" t="s">
        <v>1226</v>
      </c>
      <c r="D626" s="81"/>
      <c r="E626" s="81"/>
      <c r="F626" s="81"/>
      <c r="G626" s="163"/>
      <c r="H626" s="65">
        <f>SUM(H625:H625)</f>
        <v>110399.99999999999</v>
      </c>
      <c r="J626" s="160"/>
      <c r="K626" s="328"/>
    </row>
    <row r="627" spans="3:11">
      <c r="C627" s="73" t="s">
        <v>1227</v>
      </c>
      <c r="D627" s="60" t="s">
        <v>1228</v>
      </c>
      <c r="E627" s="74"/>
      <c r="F627" s="74"/>
      <c r="G627" s="74"/>
      <c r="H627" s="74"/>
      <c r="J627" s="160"/>
      <c r="K627" s="328"/>
    </row>
    <row r="628" spans="3:11">
      <c r="C628" s="84" t="s">
        <v>1229</v>
      </c>
      <c r="D628" s="81"/>
      <c r="E628" s="81"/>
      <c r="F628" s="81"/>
      <c r="G628" s="163"/>
      <c r="H628" s="306">
        <v>0</v>
      </c>
      <c r="J628" s="160"/>
      <c r="K628" s="328"/>
    </row>
    <row r="629" spans="3:11">
      <c r="C629" s="59" t="s">
        <v>1230</v>
      </c>
      <c r="D629" s="70" t="s">
        <v>1231</v>
      </c>
      <c r="E629" s="71"/>
      <c r="F629" s="71"/>
      <c r="G629" s="72"/>
      <c r="H629" s="307">
        <f>H628+H626+H623</f>
        <v>123889.99999999999</v>
      </c>
      <c r="I629" s="322"/>
      <c r="J629" s="160"/>
      <c r="K629" s="328"/>
    </row>
    <row r="630" spans="3:11">
      <c r="C630" s="59" t="s">
        <v>1232</v>
      </c>
      <c r="D630" s="70" t="s">
        <v>1410</v>
      </c>
      <c r="E630" s="71"/>
      <c r="F630" s="72"/>
      <c r="G630" s="96">
        <f>$M$7</f>
        <v>0.1</v>
      </c>
      <c r="H630" s="65">
        <f>H629*G630</f>
        <v>12389</v>
      </c>
      <c r="I630" s="322"/>
      <c r="J630" s="160"/>
      <c r="K630" s="328"/>
    </row>
    <row r="631" spans="3:11">
      <c r="C631" s="59" t="s">
        <v>1233</v>
      </c>
      <c r="D631" s="70" t="s">
        <v>1234</v>
      </c>
      <c r="E631" s="71"/>
      <c r="F631" s="71"/>
      <c r="G631" s="72"/>
      <c r="H631" s="308">
        <f>SUM(H629:H630)</f>
        <v>136279</v>
      </c>
      <c r="I631" s="322"/>
      <c r="J631" s="160"/>
      <c r="K631" s="328"/>
    </row>
    <row r="632" spans="3:11">
      <c r="J632" s="160"/>
      <c r="K632" s="328"/>
    </row>
    <row r="633" spans="3:11">
      <c r="C633" s="316" t="s">
        <v>1879</v>
      </c>
      <c r="D633" s="318"/>
      <c r="E633" s="318"/>
      <c r="F633" s="318"/>
      <c r="G633" s="318"/>
      <c r="H633" s="318"/>
      <c r="I633" s="57">
        <f>ROUNDDOWN(H648,-2)</f>
        <v>202600</v>
      </c>
      <c r="J633" s="160"/>
      <c r="K633" s="328"/>
    </row>
    <row r="634" spans="3:11" ht="28.5">
      <c r="C634" s="303" t="s">
        <v>1207</v>
      </c>
      <c r="D634" s="303" t="s">
        <v>1208</v>
      </c>
      <c r="E634" s="303" t="s">
        <v>1209</v>
      </c>
      <c r="F634" s="303" t="s">
        <v>1210</v>
      </c>
      <c r="G634" s="303" t="s">
        <v>1211</v>
      </c>
      <c r="H634" s="303" t="s">
        <v>1212</v>
      </c>
      <c r="J634" s="160"/>
      <c r="K634" s="328"/>
    </row>
    <row r="635" spans="3:11">
      <c r="C635" s="305" t="s">
        <v>1213</v>
      </c>
      <c r="D635" s="60" t="s">
        <v>1214</v>
      </c>
      <c r="E635" s="74"/>
      <c r="F635" s="74"/>
      <c r="G635" s="74"/>
      <c r="H635" s="74"/>
      <c r="J635" s="160"/>
      <c r="K635" s="328"/>
    </row>
    <row r="636" spans="3:11">
      <c r="C636" s="363">
        <v>1</v>
      </c>
      <c r="D636" s="60" t="s">
        <v>5</v>
      </c>
      <c r="E636" s="305" t="s">
        <v>6</v>
      </c>
      <c r="F636" s="75">
        <v>3.5999999999999997E-2</v>
      </c>
      <c r="G636" s="65">
        <f>VLOOKUP(D636,upahbahan,3,FALSE)</f>
        <v>100000</v>
      </c>
      <c r="H636" s="65">
        <f t="shared" ref="H636:H639" si="74">F636*G636</f>
        <v>3599.9999999999995</v>
      </c>
      <c r="J636" s="160"/>
      <c r="K636" s="328"/>
    </row>
    <row r="637" spans="3:11">
      <c r="C637" s="363">
        <v>2</v>
      </c>
      <c r="D637" s="60" t="str">
        <f>D620</f>
        <v>Tukang listrik</v>
      </c>
      <c r="E637" s="305" t="s">
        <v>6</v>
      </c>
      <c r="F637" s="75">
        <v>0.06</v>
      </c>
      <c r="G637" s="65">
        <f>VLOOKUP(D637,upahbahan,3,FALSE)</f>
        <v>145000</v>
      </c>
      <c r="H637" s="65">
        <f t="shared" si="74"/>
        <v>8700</v>
      </c>
      <c r="J637" s="160"/>
      <c r="K637" s="328"/>
    </row>
    <row r="638" spans="3:11">
      <c r="C638" s="363">
        <v>3</v>
      </c>
      <c r="D638" s="60" t="s">
        <v>18</v>
      </c>
      <c r="E638" s="305" t="s">
        <v>6</v>
      </c>
      <c r="F638" s="75">
        <v>6.0000000000000001E-3</v>
      </c>
      <c r="G638" s="65">
        <f>VLOOKUP(D638,upahbahan,3,FALSE)</f>
        <v>150000</v>
      </c>
      <c r="H638" s="65">
        <f t="shared" si="74"/>
        <v>900</v>
      </c>
      <c r="J638" s="160"/>
      <c r="K638" s="328"/>
    </row>
    <row r="639" spans="3:11">
      <c r="C639" s="363">
        <v>4</v>
      </c>
      <c r="D639" s="60" t="s">
        <v>19</v>
      </c>
      <c r="E639" s="305" t="s">
        <v>6</v>
      </c>
      <c r="F639" s="75">
        <v>2E-3</v>
      </c>
      <c r="G639" s="65">
        <f>VLOOKUP(D639,upahbahan,3,FALSE)</f>
        <v>145000</v>
      </c>
      <c r="H639" s="65">
        <f t="shared" si="74"/>
        <v>290</v>
      </c>
      <c r="J639" s="160"/>
      <c r="K639" s="328"/>
    </row>
    <row r="640" spans="3:11">
      <c r="C640" s="84" t="s">
        <v>1220</v>
      </c>
      <c r="D640" s="81"/>
      <c r="E640" s="81"/>
      <c r="F640" s="190"/>
      <c r="G640" s="221"/>
      <c r="H640" s="65">
        <f>SUM(H636:H639)</f>
        <v>13490</v>
      </c>
      <c r="I640" s="222"/>
      <c r="J640" s="160"/>
      <c r="K640" s="328"/>
    </row>
    <row r="641" spans="3:11">
      <c r="C641" s="305" t="s">
        <v>1221</v>
      </c>
      <c r="D641" s="60" t="s">
        <v>1222</v>
      </c>
      <c r="E641" s="74"/>
      <c r="F641" s="208"/>
      <c r="G641" s="74"/>
      <c r="H641" s="74"/>
      <c r="J641" s="160"/>
      <c r="K641" s="328"/>
    </row>
    <row r="642" spans="3:11">
      <c r="C642" s="363">
        <v>1</v>
      </c>
      <c r="D642" s="78" t="s">
        <v>949</v>
      </c>
      <c r="E642" s="69" t="s">
        <v>114</v>
      </c>
      <c r="F642" s="75">
        <v>1.1499999999999999</v>
      </c>
      <c r="G642" s="65">
        <f>VLOOKUP(D642,upahbahan,3,FALSE)</f>
        <v>148500</v>
      </c>
      <c r="H642" s="65">
        <f t="shared" ref="H642" si="75">F642*G642</f>
        <v>170775</v>
      </c>
      <c r="J642" s="160"/>
      <c r="K642" s="328"/>
    </row>
    <row r="643" spans="3:11">
      <c r="C643" s="84" t="s">
        <v>1226</v>
      </c>
      <c r="D643" s="81"/>
      <c r="E643" s="81"/>
      <c r="F643" s="81"/>
      <c r="G643" s="163"/>
      <c r="H643" s="65">
        <f>SUM(H642:H642)</f>
        <v>170775</v>
      </c>
      <c r="J643" s="160"/>
      <c r="K643" s="328"/>
    </row>
    <row r="644" spans="3:11">
      <c r="C644" s="73" t="s">
        <v>1227</v>
      </c>
      <c r="D644" s="60" t="s">
        <v>1228</v>
      </c>
      <c r="E644" s="74"/>
      <c r="F644" s="74"/>
      <c r="G644" s="74"/>
      <c r="H644" s="74"/>
      <c r="J644" s="160"/>
      <c r="K644" s="328"/>
    </row>
    <row r="645" spans="3:11">
      <c r="C645" s="84" t="s">
        <v>1229</v>
      </c>
      <c r="D645" s="81"/>
      <c r="E645" s="81"/>
      <c r="F645" s="81"/>
      <c r="G645" s="163"/>
      <c r="H645" s="306">
        <v>0</v>
      </c>
      <c r="J645" s="160"/>
      <c r="K645" s="328"/>
    </row>
    <row r="646" spans="3:11">
      <c r="C646" s="59" t="s">
        <v>1230</v>
      </c>
      <c r="D646" s="70" t="s">
        <v>1231</v>
      </c>
      <c r="E646" s="71"/>
      <c r="F646" s="71"/>
      <c r="G646" s="72"/>
      <c r="H646" s="307">
        <f>H645+H643+H640</f>
        <v>184265</v>
      </c>
      <c r="I646" s="322"/>
      <c r="J646" s="160"/>
      <c r="K646" s="328"/>
    </row>
    <row r="647" spans="3:11">
      <c r="C647" s="59" t="s">
        <v>1232</v>
      </c>
      <c r="D647" s="70" t="s">
        <v>1410</v>
      </c>
      <c r="E647" s="71"/>
      <c r="F647" s="72"/>
      <c r="G647" s="96">
        <f>$M$7</f>
        <v>0.1</v>
      </c>
      <c r="H647" s="65">
        <f>H646*G647</f>
        <v>18426.5</v>
      </c>
      <c r="I647" s="322"/>
      <c r="J647" s="160"/>
      <c r="K647" s="328"/>
    </row>
    <row r="648" spans="3:11">
      <c r="C648" s="59" t="s">
        <v>1233</v>
      </c>
      <c r="D648" s="70" t="s">
        <v>1234</v>
      </c>
      <c r="E648" s="71"/>
      <c r="F648" s="71"/>
      <c r="G648" s="72"/>
      <c r="H648" s="308">
        <f>SUM(H646:H647)</f>
        <v>202691.5</v>
      </c>
      <c r="I648" s="322"/>
      <c r="J648" s="160"/>
      <c r="K648" s="328"/>
    </row>
    <row r="649" spans="3:11">
      <c r="J649" s="160"/>
      <c r="K649" s="328"/>
    </row>
    <row r="650" spans="3:11">
      <c r="C650" s="316" t="s">
        <v>1880</v>
      </c>
      <c r="D650" s="318"/>
      <c r="E650" s="318"/>
      <c r="F650" s="318"/>
      <c r="G650" s="318"/>
      <c r="H650" s="318"/>
      <c r="I650" s="57">
        <f>ROUNDDOWN(H665,-2)</f>
        <v>308200</v>
      </c>
      <c r="J650" s="160"/>
      <c r="K650" s="328"/>
    </row>
    <row r="651" spans="3:11" ht="28.5">
      <c r="C651" s="303" t="s">
        <v>1207</v>
      </c>
      <c r="D651" s="303" t="s">
        <v>1208</v>
      </c>
      <c r="E651" s="303" t="s">
        <v>1209</v>
      </c>
      <c r="F651" s="303" t="s">
        <v>1210</v>
      </c>
      <c r="G651" s="303" t="s">
        <v>1211</v>
      </c>
      <c r="H651" s="303" t="s">
        <v>1212</v>
      </c>
      <c r="J651" s="160"/>
      <c r="K651" s="328"/>
    </row>
    <row r="652" spans="3:11">
      <c r="C652" s="305" t="s">
        <v>1213</v>
      </c>
      <c r="D652" s="60" t="s">
        <v>1214</v>
      </c>
      <c r="E652" s="74"/>
      <c r="F652" s="74"/>
      <c r="G652" s="74"/>
      <c r="H652" s="74"/>
      <c r="J652" s="160"/>
      <c r="K652" s="328"/>
    </row>
    <row r="653" spans="3:11">
      <c r="C653" s="363">
        <v>1</v>
      </c>
      <c r="D653" s="60" t="s">
        <v>5</v>
      </c>
      <c r="E653" s="305" t="s">
        <v>6</v>
      </c>
      <c r="F653" s="75">
        <v>4.8000000000000001E-2</v>
      </c>
      <c r="G653" s="65">
        <f>VLOOKUP(D653,upahbahan,3,FALSE)</f>
        <v>100000</v>
      </c>
      <c r="H653" s="65">
        <f t="shared" ref="H653:H656" si="76">F653*G653</f>
        <v>4800</v>
      </c>
      <c r="J653" s="160"/>
      <c r="K653" s="328"/>
    </row>
    <row r="654" spans="3:11">
      <c r="C654" s="363">
        <v>2</v>
      </c>
      <c r="D654" s="60" t="str">
        <f>D637</f>
        <v>Tukang listrik</v>
      </c>
      <c r="E654" s="305" t="s">
        <v>6</v>
      </c>
      <c r="F654" s="75">
        <v>0.08</v>
      </c>
      <c r="G654" s="65">
        <f>VLOOKUP(D654,upahbahan,3,FALSE)</f>
        <v>145000</v>
      </c>
      <c r="H654" s="65">
        <f t="shared" si="76"/>
        <v>11600</v>
      </c>
      <c r="J654" s="160"/>
      <c r="K654" s="328"/>
    </row>
    <row r="655" spans="3:11">
      <c r="C655" s="363">
        <v>3</v>
      </c>
      <c r="D655" s="60" t="s">
        <v>18</v>
      </c>
      <c r="E655" s="305" t="s">
        <v>6</v>
      </c>
      <c r="F655" s="75">
        <v>8.0000000000000002E-3</v>
      </c>
      <c r="G655" s="65">
        <f>VLOOKUP(D655,upahbahan,3,FALSE)</f>
        <v>150000</v>
      </c>
      <c r="H655" s="65">
        <f t="shared" si="76"/>
        <v>1200</v>
      </c>
      <c r="J655" s="160"/>
      <c r="K655" s="328"/>
    </row>
    <row r="656" spans="3:11">
      <c r="C656" s="363">
        <v>4</v>
      </c>
      <c r="D656" s="60" t="s">
        <v>19</v>
      </c>
      <c r="E656" s="305" t="s">
        <v>6</v>
      </c>
      <c r="F656" s="75">
        <v>3.0000000000000001E-3</v>
      </c>
      <c r="G656" s="65">
        <f>VLOOKUP(D656,upahbahan,3,FALSE)</f>
        <v>145000</v>
      </c>
      <c r="H656" s="65">
        <f t="shared" si="76"/>
        <v>435</v>
      </c>
      <c r="J656" s="160"/>
      <c r="K656" s="328"/>
    </row>
    <row r="657" spans="3:11">
      <c r="C657" s="84" t="s">
        <v>1220</v>
      </c>
      <c r="D657" s="81"/>
      <c r="E657" s="81"/>
      <c r="F657" s="190"/>
      <c r="G657" s="221"/>
      <c r="H657" s="65">
        <f>SUM(H653:H656)</f>
        <v>18035</v>
      </c>
      <c r="I657" s="222"/>
      <c r="J657" s="160"/>
      <c r="K657" s="328"/>
    </row>
    <row r="658" spans="3:11">
      <c r="C658" s="305" t="s">
        <v>1221</v>
      </c>
      <c r="D658" s="60" t="s">
        <v>1222</v>
      </c>
      <c r="E658" s="74"/>
      <c r="F658" s="208"/>
      <c r="G658" s="74"/>
      <c r="H658" s="74"/>
      <c r="J658" s="160"/>
      <c r="K658" s="328"/>
    </row>
    <row r="659" spans="3:11">
      <c r="C659" s="363">
        <v>1</v>
      </c>
      <c r="D659" s="78" t="s">
        <v>953</v>
      </c>
      <c r="E659" s="69" t="s">
        <v>114</v>
      </c>
      <c r="F659" s="75">
        <v>1.1499999999999999</v>
      </c>
      <c r="G659" s="65">
        <f>VLOOKUP(D659,upahbahan,3,FALSE)</f>
        <v>228000</v>
      </c>
      <c r="H659" s="65">
        <f t="shared" ref="H659" si="77">F659*G659</f>
        <v>262200</v>
      </c>
      <c r="J659" s="160"/>
      <c r="K659" s="328"/>
    </row>
    <row r="660" spans="3:11">
      <c r="C660" s="84" t="s">
        <v>1226</v>
      </c>
      <c r="D660" s="81"/>
      <c r="E660" s="81"/>
      <c r="F660" s="81"/>
      <c r="G660" s="163"/>
      <c r="H660" s="65">
        <f>SUM(H659:H659)</f>
        <v>262200</v>
      </c>
      <c r="J660" s="160"/>
      <c r="K660" s="328"/>
    </row>
    <row r="661" spans="3:11">
      <c r="C661" s="73" t="s">
        <v>1227</v>
      </c>
      <c r="D661" s="60" t="s">
        <v>1228</v>
      </c>
      <c r="E661" s="74"/>
      <c r="F661" s="74"/>
      <c r="G661" s="74"/>
      <c r="H661" s="74"/>
      <c r="J661" s="160"/>
      <c r="K661" s="328"/>
    </row>
    <row r="662" spans="3:11">
      <c r="C662" s="84" t="s">
        <v>1229</v>
      </c>
      <c r="D662" s="81"/>
      <c r="E662" s="81"/>
      <c r="F662" s="81"/>
      <c r="G662" s="163"/>
      <c r="H662" s="306">
        <v>0</v>
      </c>
      <c r="J662" s="160"/>
      <c r="K662" s="328"/>
    </row>
    <row r="663" spans="3:11">
      <c r="C663" s="59" t="s">
        <v>1230</v>
      </c>
      <c r="D663" s="70" t="s">
        <v>1231</v>
      </c>
      <c r="E663" s="71"/>
      <c r="F663" s="71"/>
      <c r="G663" s="72"/>
      <c r="H663" s="307">
        <f>H662+H660+H657</f>
        <v>280235</v>
      </c>
      <c r="I663" s="322"/>
      <c r="J663" s="160"/>
      <c r="K663" s="328"/>
    </row>
    <row r="664" spans="3:11">
      <c r="C664" s="59" t="s">
        <v>1232</v>
      </c>
      <c r="D664" s="70" t="s">
        <v>1410</v>
      </c>
      <c r="E664" s="71"/>
      <c r="F664" s="72"/>
      <c r="G664" s="96">
        <f>$M$7</f>
        <v>0.1</v>
      </c>
      <c r="H664" s="65">
        <f>H663*G664</f>
        <v>28023.5</v>
      </c>
      <c r="I664" s="322"/>
      <c r="J664" s="160"/>
      <c r="K664" s="328"/>
    </row>
    <row r="665" spans="3:11">
      <c r="C665" s="59" t="s">
        <v>1233</v>
      </c>
      <c r="D665" s="70" t="s">
        <v>1234</v>
      </c>
      <c r="E665" s="71"/>
      <c r="F665" s="71"/>
      <c r="G665" s="72"/>
      <c r="H665" s="308">
        <f>SUM(H663:H664)</f>
        <v>308258.5</v>
      </c>
      <c r="I665" s="322"/>
      <c r="J665" s="160"/>
      <c r="K665" s="328"/>
    </row>
    <row r="666" spans="3:11">
      <c r="J666" s="160"/>
      <c r="K666" s="328"/>
    </row>
    <row r="667" spans="3:11">
      <c r="C667" s="316" t="s">
        <v>1881</v>
      </c>
      <c r="D667" s="318"/>
      <c r="E667" s="318"/>
      <c r="F667" s="318"/>
      <c r="G667" s="318"/>
      <c r="H667" s="318"/>
      <c r="I667" s="57">
        <f>ROUNDDOWN(H682,-2)</f>
        <v>417300</v>
      </c>
      <c r="J667" s="160"/>
      <c r="K667" s="328"/>
    </row>
    <row r="668" spans="3:11" ht="28.5">
      <c r="C668" s="303" t="s">
        <v>1207</v>
      </c>
      <c r="D668" s="303" t="s">
        <v>1208</v>
      </c>
      <c r="E668" s="303" t="s">
        <v>1209</v>
      </c>
      <c r="F668" s="303" t="s">
        <v>1210</v>
      </c>
      <c r="G668" s="303" t="s">
        <v>1211</v>
      </c>
      <c r="H668" s="303" t="s">
        <v>1212</v>
      </c>
      <c r="J668" s="160"/>
      <c r="K668" s="328"/>
    </row>
    <row r="669" spans="3:11">
      <c r="C669" s="305" t="s">
        <v>1213</v>
      </c>
      <c r="D669" s="60" t="s">
        <v>1214</v>
      </c>
      <c r="E669" s="74"/>
      <c r="F669" s="74"/>
      <c r="G669" s="74"/>
      <c r="H669" s="74"/>
      <c r="J669" s="160"/>
      <c r="K669" s="328"/>
    </row>
    <row r="670" spans="3:11">
      <c r="C670" s="363">
        <v>1</v>
      </c>
      <c r="D670" s="60" t="s">
        <v>5</v>
      </c>
      <c r="E670" s="305" t="s">
        <v>6</v>
      </c>
      <c r="F670" s="75">
        <v>0.06</v>
      </c>
      <c r="G670" s="65">
        <f>VLOOKUP(D670,upahbahan,3,FALSE)</f>
        <v>100000</v>
      </c>
      <c r="H670" s="65">
        <f t="shared" ref="H670:H673" si="78">F670*G670</f>
        <v>6000</v>
      </c>
      <c r="J670" s="160"/>
      <c r="K670" s="328"/>
    </row>
    <row r="671" spans="3:11">
      <c r="C671" s="363">
        <v>2</v>
      </c>
      <c r="D671" s="60" t="str">
        <f>D654</f>
        <v>Tukang listrik</v>
      </c>
      <c r="E671" s="305" t="s">
        <v>6</v>
      </c>
      <c r="F671" s="75">
        <v>9.9000000000000005E-2</v>
      </c>
      <c r="G671" s="65">
        <f>VLOOKUP(D671,upahbahan,3,FALSE)</f>
        <v>145000</v>
      </c>
      <c r="H671" s="65">
        <f t="shared" si="78"/>
        <v>14355</v>
      </c>
      <c r="J671" s="160"/>
      <c r="K671" s="328"/>
    </row>
    <row r="672" spans="3:11">
      <c r="C672" s="363">
        <v>3</v>
      </c>
      <c r="D672" s="60" t="s">
        <v>18</v>
      </c>
      <c r="E672" s="305" t="s">
        <v>6</v>
      </c>
      <c r="F672" s="75">
        <v>0.01</v>
      </c>
      <c r="G672" s="65">
        <f>VLOOKUP(D672,upahbahan,3,FALSE)</f>
        <v>150000</v>
      </c>
      <c r="H672" s="65">
        <f t="shared" si="78"/>
        <v>1500</v>
      </c>
      <c r="J672" s="160"/>
      <c r="K672" s="328"/>
    </row>
    <row r="673" spans="3:11">
      <c r="C673" s="363">
        <v>4</v>
      </c>
      <c r="D673" s="60" t="s">
        <v>19</v>
      </c>
      <c r="E673" s="305" t="s">
        <v>6</v>
      </c>
      <c r="F673" s="75">
        <v>3.0000000000000001E-3</v>
      </c>
      <c r="G673" s="65">
        <f>VLOOKUP(D673,upahbahan,3,FALSE)</f>
        <v>145000</v>
      </c>
      <c r="H673" s="65">
        <f t="shared" si="78"/>
        <v>435</v>
      </c>
      <c r="J673" s="160"/>
      <c r="K673" s="328"/>
    </row>
    <row r="674" spans="3:11">
      <c r="C674" s="84" t="s">
        <v>1220</v>
      </c>
      <c r="D674" s="81"/>
      <c r="E674" s="81"/>
      <c r="F674" s="190"/>
      <c r="G674" s="221"/>
      <c r="H674" s="65">
        <f>SUM(H670:H673)</f>
        <v>22290</v>
      </c>
      <c r="I674" s="222"/>
      <c r="J674" s="160"/>
      <c r="K674" s="328"/>
    </row>
    <row r="675" spans="3:11">
      <c r="C675" s="305" t="s">
        <v>1221</v>
      </c>
      <c r="D675" s="60" t="s">
        <v>1222</v>
      </c>
      <c r="E675" s="74"/>
      <c r="F675" s="208"/>
      <c r="G675" s="74"/>
      <c r="H675" s="74"/>
      <c r="J675" s="160"/>
      <c r="K675" s="328"/>
    </row>
    <row r="676" spans="3:11">
      <c r="C676" s="363">
        <v>1</v>
      </c>
      <c r="D676" s="78" t="s">
        <v>955</v>
      </c>
      <c r="E676" s="69" t="s">
        <v>114</v>
      </c>
      <c r="F676" s="75">
        <v>1.1499999999999999</v>
      </c>
      <c r="G676" s="65">
        <f>VLOOKUP(D676,upahbahan,3,FALSE)</f>
        <v>310500</v>
      </c>
      <c r="H676" s="65">
        <f t="shared" ref="H676" si="79">F676*G676</f>
        <v>357075</v>
      </c>
      <c r="J676" s="160"/>
      <c r="K676" s="328"/>
    </row>
    <row r="677" spans="3:11">
      <c r="C677" s="84" t="s">
        <v>1226</v>
      </c>
      <c r="D677" s="81"/>
      <c r="E677" s="81"/>
      <c r="F677" s="81"/>
      <c r="G677" s="163"/>
      <c r="H677" s="65">
        <f>SUM(H676:H676)</f>
        <v>357075</v>
      </c>
      <c r="J677" s="160"/>
      <c r="K677" s="328"/>
    </row>
    <row r="678" spans="3:11">
      <c r="C678" s="73" t="s">
        <v>1227</v>
      </c>
      <c r="D678" s="60" t="s">
        <v>1228</v>
      </c>
      <c r="E678" s="74"/>
      <c r="F678" s="74"/>
      <c r="G678" s="74"/>
      <c r="H678" s="74"/>
      <c r="J678" s="160"/>
      <c r="K678" s="328"/>
    </row>
    <row r="679" spans="3:11">
      <c r="C679" s="84" t="s">
        <v>1229</v>
      </c>
      <c r="D679" s="81"/>
      <c r="E679" s="81"/>
      <c r="F679" s="81"/>
      <c r="G679" s="163"/>
      <c r="H679" s="306">
        <v>0</v>
      </c>
      <c r="J679" s="160"/>
      <c r="K679" s="328"/>
    </row>
    <row r="680" spans="3:11">
      <c r="C680" s="59" t="s">
        <v>1230</v>
      </c>
      <c r="D680" s="70" t="s">
        <v>1231</v>
      </c>
      <c r="E680" s="71"/>
      <c r="F680" s="71"/>
      <c r="G680" s="72"/>
      <c r="H680" s="307">
        <f>H679+H677+H674</f>
        <v>379365</v>
      </c>
      <c r="I680" s="322"/>
      <c r="J680" s="160"/>
      <c r="K680" s="328"/>
    </row>
    <row r="681" spans="3:11">
      <c r="C681" s="59" t="s">
        <v>1232</v>
      </c>
      <c r="D681" s="70" t="s">
        <v>1410</v>
      </c>
      <c r="E681" s="71"/>
      <c r="F681" s="72"/>
      <c r="G681" s="96">
        <f>$M$7</f>
        <v>0.1</v>
      </c>
      <c r="H681" s="65">
        <f>H680*G681</f>
        <v>37936.5</v>
      </c>
      <c r="I681" s="322"/>
      <c r="J681" s="160"/>
      <c r="K681" s="328"/>
    </row>
    <row r="682" spans="3:11">
      <c r="C682" s="59" t="s">
        <v>1233</v>
      </c>
      <c r="D682" s="70" t="s">
        <v>1234</v>
      </c>
      <c r="E682" s="71"/>
      <c r="F682" s="71"/>
      <c r="G682" s="72"/>
      <c r="H682" s="308">
        <f>SUM(H680:H681)</f>
        <v>417301.5</v>
      </c>
      <c r="I682" s="322"/>
      <c r="J682" s="160"/>
      <c r="K682" s="328"/>
    </row>
    <row r="683" spans="3:11">
      <c r="J683" s="160"/>
      <c r="K683" s="328"/>
    </row>
    <row r="684" spans="3:11">
      <c r="C684" s="316" t="s">
        <v>1882</v>
      </c>
      <c r="D684" s="318"/>
      <c r="E684" s="318"/>
      <c r="F684" s="318"/>
      <c r="G684" s="318"/>
      <c r="H684" s="318"/>
      <c r="I684" s="57">
        <f>ROUNDDOWN(H699,-2)</f>
        <v>550800</v>
      </c>
      <c r="J684" s="160"/>
      <c r="K684" s="328"/>
    </row>
    <row r="685" spans="3:11" ht="28.5">
      <c r="C685" s="303" t="s">
        <v>1207</v>
      </c>
      <c r="D685" s="303" t="s">
        <v>1208</v>
      </c>
      <c r="E685" s="303" t="s">
        <v>1209</v>
      </c>
      <c r="F685" s="303" t="s">
        <v>1210</v>
      </c>
      <c r="G685" s="303" t="s">
        <v>1211</v>
      </c>
      <c r="H685" s="303" t="s">
        <v>1212</v>
      </c>
      <c r="J685" s="160"/>
      <c r="K685" s="328"/>
    </row>
    <row r="686" spans="3:11">
      <c r="C686" s="305" t="s">
        <v>1213</v>
      </c>
      <c r="D686" s="60" t="s">
        <v>1214</v>
      </c>
      <c r="E686" s="74"/>
      <c r="F686" s="74"/>
      <c r="G686" s="74"/>
      <c r="H686" s="74"/>
      <c r="J686" s="160"/>
      <c r="K686" s="328"/>
    </row>
    <row r="687" spans="3:11">
      <c r="C687" s="363">
        <v>1</v>
      </c>
      <c r="D687" s="60" t="s">
        <v>5</v>
      </c>
      <c r="E687" s="305" t="s">
        <v>6</v>
      </c>
      <c r="F687" s="184">
        <v>7.0999999999999994E-2</v>
      </c>
      <c r="G687" s="65">
        <f>VLOOKUP(D687,upahbahan,3,FALSE)</f>
        <v>100000</v>
      </c>
      <c r="H687" s="65">
        <f t="shared" ref="H687:H690" si="80">F687*G687</f>
        <v>7099.9999999999991</v>
      </c>
      <c r="J687" s="160"/>
      <c r="K687" s="328"/>
    </row>
    <row r="688" spans="3:11">
      <c r="C688" s="363">
        <v>2</v>
      </c>
      <c r="D688" s="60" t="str">
        <f>D671</f>
        <v>Tukang listrik</v>
      </c>
      <c r="E688" s="305" t="s">
        <v>6</v>
      </c>
      <c r="F688" s="184">
        <v>0.11899999999999999</v>
      </c>
      <c r="G688" s="65">
        <f>VLOOKUP(D688,upahbahan,3,FALSE)</f>
        <v>145000</v>
      </c>
      <c r="H688" s="65">
        <f t="shared" si="80"/>
        <v>17255</v>
      </c>
      <c r="J688" s="160"/>
      <c r="K688" s="328"/>
    </row>
    <row r="689" spans="3:11">
      <c r="C689" s="363">
        <v>3</v>
      </c>
      <c r="D689" s="60" t="s">
        <v>18</v>
      </c>
      <c r="E689" s="305" t="s">
        <v>6</v>
      </c>
      <c r="F689" s="184">
        <v>1.2E-2</v>
      </c>
      <c r="G689" s="65">
        <f>VLOOKUP(D689,upahbahan,3,FALSE)</f>
        <v>150000</v>
      </c>
      <c r="H689" s="65">
        <f t="shared" si="80"/>
        <v>1800</v>
      </c>
      <c r="J689" s="160"/>
      <c r="K689" s="328"/>
    </row>
    <row r="690" spans="3:11">
      <c r="C690" s="363">
        <v>4</v>
      </c>
      <c r="D690" s="60" t="s">
        <v>19</v>
      </c>
      <c r="E690" s="305" t="s">
        <v>6</v>
      </c>
      <c r="F690" s="184">
        <v>4.0000000000000001E-3</v>
      </c>
      <c r="G690" s="65">
        <f>VLOOKUP(D690,upahbahan,3,FALSE)</f>
        <v>145000</v>
      </c>
      <c r="H690" s="65">
        <f t="shared" si="80"/>
        <v>580</v>
      </c>
      <c r="J690" s="160"/>
      <c r="K690" s="328"/>
    </row>
    <row r="691" spans="3:11">
      <c r="C691" s="84" t="s">
        <v>1220</v>
      </c>
      <c r="D691" s="81"/>
      <c r="E691" s="81"/>
      <c r="F691" s="190"/>
      <c r="G691" s="221"/>
      <c r="H691" s="65">
        <f>SUM(H687:H690)</f>
        <v>26735</v>
      </c>
      <c r="I691" s="222"/>
      <c r="J691" s="160"/>
      <c r="K691" s="328"/>
    </row>
    <row r="692" spans="3:11">
      <c r="C692" s="305" t="s">
        <v>1221</v>
      </c>
      <c r="D692" s="60" t="s">
        <v>1222</v>
      </c>
      <c r="E692" s="74"/>
      <c r="F692" s="208"/>
      <c r="G692" s="74"/>
      <c r="H692" s="74"/>
      <c r="J692" s="160"/>
      <c r="K692" s="328"/>
    </row>
    <row r="693" spans="3:11">
      <c r="C693" s="363">
        <v>1</v>
      </c>
      <c r="D693" s="78" t="s">
        <v>957</v>
      </c>
      <c r="E693" s="69" t="s">
        <v>114</v>
      </c>
      <c r="F693" s="75">
        <v>1.1499999999999999</v>
      </c>
      <c r="G693" s="65">
        <f>VLOOKUP(D693,upahbahan,3,FALSE)</f>
        <v>412200</v>
      </c>
      <c r="H693" s="65">
        <f t="shared" ref="H693" si="81">F693*G693</f>
        <v>474029.99999999994</v>
      </c>
      <c r="J693" s="160"/>
      <c r="K693" s="328"/>
    </row>
    <row r="694" spans="3:11">
      <c r="C694" s="84" t="s">
        <v>1226</v>
      </c>
      <c r="D694" s="81"/>
      <c r="E694" s="81"/>
      <c r="F694" s="81"/>
      <c r="G694" s="163"/>
      <c r="H694" s="65">
        <f>SUM(H693:H693)</f>
        <v>474029.99999999994</v>
      </c>
      <c r="J694" s="160"/>
      <c r="K694" s="328"/>
    </row>
    <row r="695" spans="3:11">
      <c r="C695" s="73" t="s">
        <v>1227</v>
      </c>
      <c r="D695" s="60" t="s">
        <v>1228</v>
      </c>
      <c r="E695" s="74"/>
      <c r="F695" s="74"/>
      <c r="G695" s="74"/>
      <c r="H695" s="74"/>
      <c r="J695" s="160"/>
      <c r="K695" s="328"/>
    </row>
    <row r="696" spans="3:11">
      <c r="C696" s="84" t="s">
        <v>1229</v>
      </c>
      <c r="D696" s="81"/>
      <c r="E696" s="81"/>
      <c r="F696" s="81"/>
      <c r="G696" s="163"/>
      <c r="H696" s="306">
        <v>0</v>
      </c>
      <c r="J696" s="160"/>
      <c r="K696" s="328"/>
    </row>
    <row r="697" spans="3:11">
      <c r="C697" s="59" t="s">
        <v>1230</v>
      </c>
      <c r="D697" s="70" t="s">
        <v>1231</v>
      </c>
      <c r="E697" s="71"/>
      <c r="F697" s="71"/>
      <c r="G697" s="72"/>
      <c r="H697" s="307">
        <f>H696+H694+H691</f>
        <v>500764.99999999994</v>
      </c>
      <c r="I697" s="322"/>
      <c r="J697" s="160"/>
      <c r="K697" s="328"/>
    </row>
    <row r="698" spans="3:11">
      <c r="C698" s="59" t="s">
        <v>1232</v>
      </c>
      <c r="D698" s="70" t="s">
        <v>1410</v>
      </c>
      <c r="E698" s="71"/>
      <c r="F698" s="72"/>
      <c r="G698" s="96">
        <f>$M$7</f>
        <v>0.1</v>
      </c>
      <c r="H698" s="65">
        <f>H697*G698</f>
        <v>50076.5</v>
      </c>
      <c r="I698" s="322"/>
      <c r="J698" s="160"/>
      <c r="K698" s="328"/>
    </row>
    <row r="699" spans="3:11">
      <c r="C699" s="59" t="s">
        <v>1233</v>
      </c>
      <c r="D699" s="70" t="s">
        <v>1234</v>
      </c>
      <c r="E699" s="71"/>
      <c r="F699" s="71"/>
      <c r="G699" s="72"/>
      <c r="H699" s="308">
        <f>SUM(H697:H698)</f>
        <v>550841.5</v>
      </c>
      <c r="I699" s="322"/>
      <c r="J699" s="160"/>
      <c r="K699" s="328"/>
    </row>
    <row r="700" spans="3:11">
      <c r="J700" s="160"/>
      <c r="K700" s="328"/>
    </row>
    <row r="701" spans="3:11">
      <c r="C701" s="316" t="s">
        <v>1883</v>
      </c>
      <c r="D701" s="318"/>
      <c r="E701" s="318"/>
      <c r="F701" s="318"/>
      <c r="G701" s="318"/>
      <c r="H701" s="318"/>
      <c r="I701" s="57">
        <f>ROUNDDOWN(H716,-2)</f>
        <v>783800</v>
      </c>
      <c r="J701" s="160"/>
      <c r="K701" s="328"/>
    </row>
    <row r="702" spans="3:11" ht="28.5">
      <c r="C702" s="303" t="s">
        <v>1207</v>
      </c>
      <c r="D702" s="303" t="s">
        <v>1208</v>
      </c>
      <c r="E702" s="303" t="s">
        <v>1209</v>
      </c>
      <c r="F702" s="303" t="s">
        <v>1210</v>
      </c>
      <c r="G702" s="303" t="s">
        <v>1211</v>
      </c>
      <c r="H702" s="303" t="s">
        <v>1212</v>
      </c>
      <c r="J702" s="160"/>
      <c r="K702" s="328"/>
    </row>
    <row r="703" spans="3:11">
      <c r="C703" s="305" t="s">
        <v>1213</v>
      </c>
      <c r="D703" s="60" t="s">
        <v>1214</v>
      </c>
      <c r="E703" s="74"/>
      <c r="F703" s="74"/>
      <c r="G703" s="74"/>
      <c r="H703" s="74"/>
      <c r="J703" s="160"/>
      <c r="K703" s="328"/>
    </row>
    <row r="704" spans="3:11">
      <c r="C704" s="363">
        <v>1</v>
      </c>
      <c r="D704" s="60" t="s">
        <v>5</v>
      </c>
      <c r="E704" s="305" t="s">
        <v>6</v>
      </c>
      <c r="F704" s="184">
        <v>0.107</v>
      </c>
      <c r="G704" s="65">
        <f>VLOOKUP(D704,upahbahan,3,FALSE)</f>
        <v>100000</v>
      </c>
      <c r="H704" s="65">
        <f t="shared" ref="H704:H707" si="82">F704*G704</f>
        <v>10700</v>
      </c>
      <c r="J704" s="160"/>
      <c r="K704" s="328"/>
    </row>
    <row r="705" spans="3:11">
      <c r="C705" s="363">
        <v>2</v>
      </c>
      <c r="D705" s="60" t="str">
        <f>D688</f>
        <v>Tukang listrik</v>
      </c>
      <c r="E705" s="305" t="s">
        <v>6</v>
      </c>
      <c r="F705" s="184">
        <v>0.17899999999999999</v>
      </c>
      <c r="G705" s="65">
        <f>VLOOKUP(D705,upahbahan,3,FALSE)</f>
        <v>145000</v>
      </c>
      <c r="H705" s="65">
        <f t="shared" si="82"/>
        <v>25955</v>
      </c>
      <c r="J705" s="160"/>
      <c r="K705" s="328"/>
    </row>
    <row r="706" spans="3:11">
      <c r="C706" s="363">
        <v>3</v>
      </c>
      <c r="D706" s="60" t="s">
        <v>18</v>
      </c>
      <c r="E706" s="305" t="s">
        <v>6</v>
      </c>
      <c r="F706" s="184">
        <v>1.7999999999999999E-2</v>
      </c>
      <c r="G706" s="65">
        <f>VLOOKUP(D706,upahbahan,3,FALSE)</f>
        <v>150000</v>
      </c>
      <c r="H706" s="65">
        <f t="shared" si="82"/>
        <v>2700</v>
      </c>
      <c r="J706" s="160"/>
      <c r="K706" s="328"/>
    </row>
    <row r="707" spans="3:11">
      <c r="C707" s="363">
        <v>4</v>
      </c>
      <c r="D707" s="60" t="s">
        <v>19</v>
      </c>
      <c r="E707" s="305" t="s">
        <v>6</v>
      </c>
      <c r="F707" s="184">
        <v>6.0000000000000001E-3</v>
      </c>
      <c r="G707" s="65">
        <f>VLOOKUP(D707,upahbahan,3,FALSE)</f>
        <v>145000</v>
      </c>
      <c r="H707" s="65">
        <f t="shared" si="82"/>
        <v>870</v>
      </c>
      <c r="J707" s="160"/>
      <c r="K707" s="328"/>
    </row>
    <row r="708" spans="3:11">
      <c r="C708" s="84" t="s">
        <v>1220</v>
      </c>
      <c r="D708" s="81"/>
      <c r="E708" s="81"/>
      <c r="F708" s="190"/>
      <c r="G708" s="221"/>
      <c r="H708" s="65">
        <f>SUM(H704:H707)</f>
        <v>40225</v>
      </c>
      <c r="I708" s="222"/>
      <c r="J708" s="160"/>
      <c r="K708" s="328"/>
    </row>
    <row r="709" spans="3:11">
      <c r="C709" s="305" t="s">
        <v>1221</v>
      </c>
      <c r="D709" s="60" t="s">
        <v>1222</v>
      </c>
      <c r="E709" s="74"/>
      <c r="F709" s="208"/>
      <c r="G709" s="74"/>
      <c r="H709" s="74"/>
      <c r="J709" s="160"/>
      <c r="K709" s="328"/>
    </row>
    <row r="710" spans="3:11">
      <c r="C710" s="363">
        <v>1</v>
      </c>
      <c r="D710" s="78" t="s">
        <v>959</v>
      </c>
      <c r="E710" s="69" t="s">
        <v>114</v>
      </c>
      <c r="F710" s="75">
        <v>1.1499999999999999</v>
      </c>
      <c r="G710" s="65">
        <f>VLOOKUP(D710,upahbahan,3,FALSE)</f>
        <v>584700</v>
      </c>
      <c r="H710" s="65">
        <f t="shared" ref="H710" si="83">F710*G710</f>
        <v>672405</v>
      </c>
      <c r="J710" s="160"/>
      <c r="K710" s="328"/>
    </row>
    <row r="711" spans="3:11">
      <c r="C711" s="84" t="s">
        <v>1226</v>
      </c>
      <c r="D711" s="81"/>
      <c r="E711" s="81"/>
      <c r="F711" s="81"/>
      <c r="G711" s="163"/>
      <c r="H711" s="65">
        <f>SUM(H710:H710)</f>
        <v>672405</v>
      </c>
      <c r="J711" s="160"/>
      <c r="K711" s="328"/>
    </row>
    <row r="712" spans="3:11">
      <c r="C712" s="73" t="s">
        <v>1227</v>
      </c>
      <c r="D712" s="60" t="s">
        <v>1228</v>
      </c>
      <c r="E712" s="74"/>
      <c r="F712" s="74"/>
      <c r="G712" s="74"/>
      <c r="H712" s="74"/>
      <c r="J712" s="160"/>
      <c r="K712" s="328"/>
    </row>
    <row r="713" spans="3:11">
      <c r="C713" s="84" t="s">
        <v>1229</v>
      </c>
      <c r="D713" s="81"/>
      <c r="E713" s="81"/>
      <c r="F713" s="81"/>
      <c r="G713" s="163"/>
      <c r="H713" s="306">
        <v>0</v>
      </c>
      <c r="J713" s="160"/>
      <c r="K713" s="328"/>
    </row>
    <row r="714" spans="3:11">
      <c r="C714" s="59" t="s">
        <v>1230</v>
      </c>
      <c r="D714" s="70" t="s">
        <v>1231</v>
      </c>
      <c r="E714" s="71"/>
      <c r="F714" s="71"/>
      <c r="G714" s="72"/>
      <c r="H714" s="307">
        <f>H713+H711+H708</f>
        <v>712630</v>
      </c>
      <c r="I714" s="322"/>
      <c r="J714" s="160"/>
      <c r="K714" s="328"/>
    </row>
    <row r="715" spans="3:11">
      <c r="C715" s="59" t="s">
        <v>1232</v>
      </c>
      <c r="D715" s="70" t="s">
        <v>1410</v>
      </c>
      <c r="E715" s="71"/>
      <c r="F715" s="72"/>
      <c r="G715" s="96">
        <f>$M$7</f>
        <v>0.1</v>
      </c>
      <c r="H715" s="65">
        <f>H714*G715</f>
        <v>71263</v>
      </c>
      <c r="I715" s="322"/>
      <c r="J715" s="160"/>
      <c r="K715" s="328"/>
    </row>
    <row r="716" spans="3:11">
      <c r="C716" s="59" t="s">
        <v>1233</v>
      </c>
      <c r="D716" s="70" t="s">
        <v>1234</v>
      </c>
      <c r="E716" s="71"/>
      <c r="F716" s="71"/>
      <c r="G716" s="72"/>
      <c r="H716" s="308">
        <f>SUM(H714:H715)</f>
        <v>783893</v>
      </c>
      <c r="I716" s="322"/>
      <c r="J716" s="160"/>
      <c r="K716" s="328"/>
    </row>
    <row r="717" spans="3:11">
      <c r="J717" s="160"/>
      <c r="K717" s="328"/>
    </row>
    <row r="718" spans="3:11">
      <c r="C718" s="316" t="s">
        <v>1884</v>
      </c>
      <c r="D718" s="318"/>
      <c r="E718" s="318"/>
      <c r="F718" s="318"/>
      <c r="G718" s="318"/>
      <c r="H718" s="318"/>
      <c r="I718" s="57">
        <f>ROUNDDOWN(H733,-2)</f>
        <v>1077600</v>
      </c>
      <c r="J718" s="160"/>
      <c r="K718" s="328"/>
    </row>
    <row r="719" spans="3:11" ht="28.5">
      <c r="C719" s="303" t="s">
        <v>1207</v>
      </c>
      <c r="D719" s="303" t="s">
        <v>1208</v>
      </c>
      <c r="E719" s="303" t="s">
        <v>1209</v>
      </c>
      <c r="F719" s="303" t="s">
        <v>1210</v>
      </c>
      <c r="G719" s="303" t="s">
        <v>1211</v>
      </c>
      <c r="H719" s="303" t="s">
        <v>1212</v>
      </c>
      <c r="J719" s="160"/>
      <c r="K719" s="328"/>
    </row>
    <row r="720" spans="3:11">
      <c r="C720" s="305" t="s">
        <v>1213</v>
      </c>
      <c r="D720" s="60" t="s">
        <v>1214</v>
      </c>
      <c r="E720" s="74"/>
      <c r="F720" s="74"/>
      <c r="G720" s="65"/>
      <c r="H720" s="74"/>
      <c r="J720" s="160"/>
      <c r="K720" s="328"/>
    </row>
    <row r="721" spans="3:11">
      <c r="C721" s="363">
        <v>1</v>
      </c>
      <c r="D721" s="60" t="s">
        <v>5</v>
      </c>
      <c r="E721" s="305" t="s">
        <v>6</v>
      </c>
      <c r="F721" s="184">
        <v>0.14299999999999999</v>
      </c>
      <c r="G721" s="65">
        <f>VLOOKUP(D721,upahbahan,3,FALSE)</f>
        <v>100000</v>
      </c>
      <c r="H721" s="65">
        <f t="shared" ref="H721:H724" si="84">F721*G721</f>
        <v>14299.999999999998</v>
      </c>
      <c r="J721" s="160"/>
      <c r="K721" s="328"/>
    </row>
    <row r="722" spans="3:11">
      <c r="C722" s="363">
        <v>2</v>
      </c>
      <c r="D722" s="60" t="str">
        <f>D705</f>
        <v>Tukang listrik</v>
      </c>
      <c r="E722" s="305" t="s">
        <v>6</v>
      </c>
      <c r="F722" s="184">
        <v>0.23899999999999999</v>
      </c>
      <c r="G722" s="65">
        <f>VLOOKUP(D722,upahbahan,3,FALSE)</f>
        <v>145000</v>
      </c>
      <c r="H722" s="65">
        <f t="shared" si="84"/>
        <v>34655</v>
      </c>
      <c r="J722" s="160"/>
      <c r="K722" s="328"/>
    </row>
    <row r="723" spans="3:11">
      <c r="C723" s="363">
        <v>3</v>
      </c>
      <c r="D723" s="60" t="s">
        <v>18</v>
      </c>
      <c r="E723" s="305" t="s">
        <v>6</v>
      </c>
      <c r="F723" s="184">
        <v>2.4E-2</v>
      </c>
      <c r="G723" s="65">
        <f>VLOOKUP(D723,upahbahan,3,FALSE)</f>
        <v>150000</v>
      </c>
      <c r="H723" s="65">
        <f t="shared" si="84"/>
        <v>3600</v>
      </c>
      <c r="J723" s="160"/>
      <c r="K723" s="328"/>
    </row>
    <row r="724" spans="3:11">
      <c r="C724" s="363">
        <v>4</v>
      </c>
      <c r="D724" s="60" t="s">
        <v>19</v>
      </c>
      <c r="E724" s="305" t="s">
        <v>6</v>
      </c>
      <c r="F724" s="184">
        <v>8.0000000000000002E-3</v>
      </c>
      <c r="G724" s="65">
        <f>VLOOKUP(D724,upahbahan,3,FALSE)</f>
        <v>145000</v>
      </c>
      <c r="H724" s="65">
        <f t="shared" si="84"/>
        <v>1160</v>
      </c>
      <c r="J724" s="160"/>
      <c r="K724" s="328"/>
    </row>
    <row r="725" spans="3:11">
      <c r="C725" s="84" t="s">
        <v>1220</v>
      </c>
      <c r="D725" s="81"/>
      <c r="E725" s="81"/>
      <c r="F725" s="190"/>
      <c r="G725" s="221"/>
      <c r="H725" s="65">
        <f>SUM(H721:H724)</f>
        <v>53715</v>
      </c>
      <c r="I725" s="222"/>
      <c r="J725" s="160"/>
      <c r="K725" s="328"/>
    </row>
    <row r="726" spans="3:11">
      <c r="C726" s="305" t="s">
        <v>1221</v>
      </c>
      <c r="D726" s="60" t="s">
        <v>1222</v>
      </c>
      <c r="E726" s="74"/>
      <c r="F726" s="208"/>
      <c r="G726" s="74"/>
      <c r="H726" s="74"/>
      <c r="J726" s="160"/>
      <c r="K726" s="328"/>
    </row>
    <row r="727" spans="3:11">
      <c r="C727" s="363">
        <v>1</v>
      </c>
      <c r="D727" s="78" t="s">
        <v>960</v>
      </c>
      <c r="E727" s="69" t="s">
        <v>114</v>
      </c>
      <c r="F727" s="75">
        <v>1.1499999999999999</v>
      </c>
      <c r="G727" s="65">
        <f>VLOOKUP(D727,upahbahan,3,FALSE)</f>
        <v>805200</v>
      </c>
      <c r="H727" s="65">
        <f t="shared" ref="H727" si="85">F727*G727</f>
        <v>925979.99999999988</v>
      </c>
      <c r="J727" s="160"/>
      <c r="K727" s="328"/>
    </row>
    <row r="728" spans="3:11">
      <c r="C728" s="84" t="s">
        <v>1226</v>
      </c>
      <c r="D728" s="81"/>
      <c r="E728" s="81"/>
      <c r="F728" s="81"/>
      <c r="G728" s="163"/>
      <c r="H728" s="65">
        <f>SUM(H727:H727)</f>
        <v>925979.99999999988</v>
      </c>
      <c r="J728" s="160"/>
      <c r="K728" s="328"/>
    </row>
    <row r="729" spans="3:11">
      <c r="C729" s="73" t="s">
        <v>1227</v>
      </c>
      <c r="D729" s="60" t="s">
        <v>1228</v>
      </c>
      <c r="E729" s="74"/>
      <c r="F729" s="74"/>
      <c r="G729" s="74"/>
      <c r="H729" s="74"/>
      <c r="J729" s="160"/>
      <c r="K729" s="328"/>
    </row>
    <row r="730" spans="3:11">
      <c r="C730" s="84" t="s">
        <v>1229</v>
      </c>
      <c r="D730" s="81"/>
      <c r="E730" s="81"/>
      <c r="F730" s="81"/>
      <c r="G730" s="163"/>
      <c r="H730" s="306">
        <v>0</v>
      </c>
      <c r="J730" s="160"/>
      <c r="K730" s="328"/>
    </row>
    <row r="731" spans="3:11">
      <c r="C731" s="59" t="s">
        <v>1230</v>
      </c>
      <c r="D731" s="70" t="s">
        <v>1231</v>
      </c>
      <c r="E731" s="71"/>
      <c r="F731" s="71"/>
      <c r="G731" s="72"/>
      <c r="H731" s="307">
        <f>H730+H728+H725</f>
        <v>979694.99999999988</v>
      </c>
      <c r="I731" s="322"/>
      <c r="J731" s="160"/>
      <c r="K731" s="328"/>
    </row>
    <row r="732" spans="3:11">
      <c r="C732" s="59" t="s">
        <v>1232</v>
      </c>
      <c r="D732" s="70" t="s">
        <v>1410</v>
      </c>
      <c r="E732" s="71"/>
      <c r="F732" s="72"/>
      <c r="G732" s="96">
        <f>$M$7</f>
        <v>0.1</v>
      </c>
      <c r="H732" s="65">
        <f>H731*G732</f>
        <v>97969.5</v>
      </c>
      <c r="I732" s="322"/>
      <c r="J732" s="160"/>
      <c r="K732" s="328"/>
    </row>
    <row r="733" spans="3:11">
      <c r="C733" s="59" t="s">
        <v>1233</v>
      </c>
      <c r="D733" s="70" t="s">
        <v>1234</v>
      </c>
      <c r="E733" s="71"/>
      <c r="F733" s="71"/>
      <c r="G733" s="72"/>
      <c r="H733" s="308">
        <f>SUM(H731:H732)</f>
        <v>1077664.5</v>
      </c>
      <c r="I733" s="322"/>
      <c r="J733" s="160"/>
      <c r="K733" s="328"/>
    </row>
    <row r="734" spans="3:11">
      <c r="J734" s="160"/>
      <c r="K734" s="328"/>
    </row>
    <row r="735" spans="3:11">
      <c r="C735" s="316" t="s">
        <v>1885</v>
      </c>
      <c r="D735" s="318"/>
      <c r="E735" s="318"/>
      <c r="F735" s="318"/>
      <c r="G735" s="318"/>
      <c r="H735" s="318"/>
      <c r="I735" s="57">
        <f>ROUNDDOWN(H750,-2)</f>
        <v>1339100</v>
      </c>
      <c r="J735" s="160"/>
      <c r="K735" s="328"/>
    </row>
    <row r="736" spans="3:11" ht="28.5">
      <c r="C736" s="303" t="s">
        <v>1207</v>
      </c>
      <c r="D736" s="303" t="s">
        <v>1208</v>
      </c>
      <c r="E736" s="303" t="s">
        <v>1209</v>
      </c>
      <c r="F736" s="303" t="s">
        <v>1210</v>
      </c>
      <c r="G736" s="303" t="s">
        <v>1211</v>
      </c>
      <c r="H736" s="303" t="s">
        <v>1212</v>
      </c>
      <c r="J736" s="160"/>
      <c r="K736" s="328"/>
    </row>
    <row r="737" spans="3:11">
      <c r="C737" s="305" t="s">
        <v>1213</v>
      </c>
      <c r="D737" s="60" t="s">
        <v>1214</v>
      </c>
      <c r="E737" s="74"/>
      <c r="F737" s="74"/>
      <c r="G737" s="74"/>
      <c r="H737" s="74"/>
      <c r="J737" s="160"/>
      <c r="K737" s="328"/>
    </row>
    <row r="738" spans="3:11">
      <c r="C738" s="363">
        <v>1</v>
      </c>
      <c r="D738" s="60" t="s">
        <v>5</v>
      </c>
      <c r="E738" s="305" t="s">
        <v>6</v>
      </c>
      <c r="F738" s="184">
        <v>0.14299999999999999</v>
      </c>
      <c r="G738" s="65">
        <f>VLOOKUP(D738,upahbahan,3,FALSE)</f>
        <v>100000</v>
      </c>
      <c r="H738" s="65">
        <f t="shared" ref="H738:H741" si="86">F738*G738</f>
        <v>14299.999999999998</v>
      </c>
      <c r="J738" s="160"/>
      <c r="K738" s="328"/>
    </row>
    <row r="739" spans="3:11">
      <c r="C739" s="363">
        <v>2</v>
      </c>
      <c r="D739" s="60" t="str">
        <f>D722</f>
        <v>Tukang listrik</v>
      </c>
      <c r="E739" s="305" t="s">
        <v>6</v>
      </c>
      <c r="F739" s="184">
        <v>0.23899999999999999</v>
      </c>
      <c r="G739" s="65">
        <f>VLOOKUP(D739,upahbahan,3,FALSE)</f>
        <v>145000</v>
      </c>
      <c r="H739" s="65">
        <f t="shared" si="86"/>
        <v>34655</v>
      </c>
      <c r="J739" s="160"/>
      <c r="K739" s="328"/>
    </row>
    <row r="740" spans="3:11">
      <c r="C740" s="363">
        <v>3</v>
      </c>
      <c r="D740" s="60" t="s">
        <v>18</v>
      </c>
      <c r="E740" s="305" t="s">
        <v>6</v>
      </c>
      <c r="F740" s="184">
        <v>2.4E-2</v>
      </c>
      <c r="G740" s="65">
        <f>VLOOKUP(D740,upahbahan,3,FALSE)</f>
        <v>150000</v>
      </c>
      <c r="H740" s="65">
        <f t="shared" si="86"/>
        <v>3600</v>
      </c>
      <c r="J740" s="160"/>
      <c r="K740" s="328"/>
    </row>
    <row r="741" spans="3:11">
      <c r="C741" s="363">
        <v>4</v>
      </c>
      <c r="D741" s="60" t="s">
        <v>19</v>
      </c>
      <c r="E741" s="305" t="s">
        <v>6</v>
      </c>
      <c r="F741" s="184">
        <v>8.0000000000000002E-3</v>
      </c>
      <c r="G741" s="65">
        <f>VLOOKUP(D741,upahbahan,3,FALSE)</f>
        <v>145000</v>
      </c>
      <c r="H741" s="65">
        <f t="shared" si="86"/>
        <v>1160</v>
      </c>
      <c r="J741" s="160"/>
      <c r="K741" s="328"/>
    </row>
    <row r="742" spans="3:11">
      <c r="C742" s="84" t="s">
        <v>1220</v>
      </c>
      <c r="D742" s="81"/>
      <c r="E742" s="81"/>
      <c r="F742" s="190"/>
      <c r="G742" s="221"/>
      <c r="H742" s="65">
        <f>SUM(H738:H741)</f>
        <v>53715</v>
      </c>
      <c r="I742" s="222"/>
      <c r="J742" s="160"/>
      <c r="K742" s="328"/>
    </row>
    <row r="743" spans="3:11">
      <c r="C743" s="305" t="s">
        <v>1221</v>
      </c>
      <c r="D743" s="60" t="s">
        <v>1222</v>
      </c>
      <c r="E743" s="74"/>
      <c r="F743" s="208"/>
      <c r="G743" s="74"/>
      <c r="H743" s="74"/>
      <c r="J743" s="160"/>
      <c r="K743" s="328"/>
    </row>
    <row r="744" spans="3:11">
      <c r="C744" s="363">
        <v>1</v>
      </c>
      <c r="D744" s="78" t="s">
        <v>947</v>
      </c>
      <c r="E744" s="69" t="s">
        <v>114</v>
      </c>
      <c r="F744" s="75">
        <v>1.1499999999999999</v>
      </c>
      <c r="G744" s="65">
        <f>VLOOKUP(D744,upahbahan,3,FALSE)</f>
        <v>1011900</v>
      </c>
      <c r="H744" s="65">
        <f t="shared" ref="H744" si="87">F744*G744</f>
        <v>1163685</v>
      </c>
      <c r="J744" s="160"/>
      <c r="K744" s="328"/>
    </row>
    <row r="745" spans="3:11">
      <c r="C745" s="84" t="s">
        <v>1226</v>
      </c>
      <c r="D745" s="81"/>
      <c r="E745" s="81"/>
      <c r="F745" s="81"/>
      <c r="G745" s="163"/>
      <c r="H745" s="65">
        <f>SUM(H744:H744)</f>
        <v>1163685</v>
      </c>
      <c r="J745" s="160"/>
      <c r="K745" s="328"/>
    </row>
    <row r="746" spans="3:11">
      <c r="C746" s="73" t="s">
        <v>1227</v>
      </c>
      <c r="D746" s="60" t="s">
        <v>1228</v>
      </c>
      <c r="E746" s="74"/>
      <c r="F746" s="74"/>
      <c r="G746" s="74"/>
      <c r="H746" s="74"/>
      <c r="J746" s="160"/>
      <c r="K746" s="328"/>
    </row>
    <row r="747" spans="3:11">
      <c r="C747" s="84" t="s">
        <v>1229</v>
      </c>
      <c r="D747" s="81"/>
      <c r="E747" s="81"/>
      <c r="F747" s="81"/>
      <c r="G747" s="163"/>
      <c r="H747" s="306">
        <v>0</v>
      </c>
      <c r="J747" s="160"/>
      <c r="K747" s="328"/>
    </row>
    <row r="748" spans="3:11">
      <c r="C748" s="59" t="s">
        <v>1230</v>
      </c>
      <c r="D748" s="70" t="s">
        <v>1231</v>
      </c>
      <c r="E748" s="71"/>
      <c r="F748" s="71"/>
      <c r="G748" s="72"/>
      <c r="H748" s="307">
        <f>H747+H745+H742</f>
        <v>1217400</v>
      </c>
      <c r="I748" s="322"/>
      <c r="J748" s="160"/>
      <c r="K748" s="328"/>
    </row>
    <row r="749" spans="3:11">
      <c r="C749" s="59" t="s">
        <v>1232</v>
      </c>
      <c r="D749" s="70" t="s">
        <v>1410</v>
      </c>
      <c r="E749" s="71"/>
      <c r="F749" s="72"/>
      <c r="G749" s="96">
        <f>$M$7</f>
        <v>0.1</v>
      </c>
      <c r="H749" s="65">
        <f>H748*G749</f>
        <v>121740</v>
      </c>
      <c r="I749" s="322"/>
      <c r="J749" s="160"/>
      <c r="K749" s="328"/>
    </row>
    <row r="750" spans="3:11">
      <c r="C750" s="59" t="s">
        <v>1233</v>
      </c>
      <c r="D750" s="70" t="s">
        <v>1234</v>
      </c>
      <c r="E750" s="71"/>
      <c r="F750" s="71"/>
      <c r="G750" s="72"/>
      <c r="H750" s="308">
        <f>SUM(H748:H749)</f>
        <v>1339140</v>
      </c>
      <c r="I750" s="322"/>
      <c r="J750" s="160"/>
      <c r="K750" s="328"/>
    </row>
    <row r="751" spans="3:11">
      <c r="J751" s="160"/>
      <c r="K751" s="328"/>
    </row>
    <row r="752" spans="3:11">
      <c r="C752" s="316" t="s">
        <v>1886</v>
      </c>
      <c r="D752" s="318"/>
      <c r="E752" s="318"/>
      <c r="F752" s="318"/>
      <c r="G752" s="318"/>
      <c r="H752" s="318"/>
      <c r="I752" s="57">
        <f>ROUNDDOWN(H767,-2)</f>
        <v>1648600</v>
      </c>
      <c r="J752" s="160"/>
      <c r="K752" s="328"/>
    </row>
    <row r="753" spans="3:11" ht="28.5">
      <c r="C753" s="303" t="s">
        <v>1207</v>
      </c>
      <c r="D753" s="303" t="s">
        <v>1208</v>
      </c>
      <c r="E753" s="303" t="s">
        <v>1209</v>
      </c>
      <c r="F753" s="303" t="s">
        <v>1210</v>
      </c>
      <c r="G753" s="303" t="s">
        <v>1211</v>
      </c>
      <c r="H753" s="303" t="s">
        <v>1212</v>
      </c>
      <c r="J753" s="160"/>
      <c r="K753" s="328"/>
    </row>
    <row r="754" spans="3:11">
      <c r="C754" s="305" t="s">
        <v>1213</v>
      </c>
      <c r="D754" s="60" t="s">
        <v>1214</v>
      </c>
      <c r="E754" s="74"/>
      <c r="F754" s="74"/>
      <c r="G754" s="74"/>
      <c r="H754" s="74"/>
      <c r="J754" s="160"/>
      <c r="K754" s="328"/>
    </row>
    <row r="755" spans="3:11">
      <c r="C755" s="363">
        <v>1</v>
      </c>
      <c r="D755" s="60" t="s">
        <v>5</v>
      </c>
      <c r="E755" s="305" t="s">
        <v>6</v>
      </c>
      <c r="F755" s="75">
        <v>0.17899999999999999</v>
      </c>
      <c r="G755" s="65">
        <f>VLOOKUP(D755,upahbahan,3,FALSE)</f>
        <v>100000</v>
      </c>
      <c r="H755" s="65">
        <f t="shared" ref="H755:H758" si="88">F755*G755</f>
        <v>17900</v>
      </c>
      <c r="J755" s="160"/>
      <c r="K755" s="328"/>
    </row>
    <row r="756" spans="3:11">
      <c r="C756" s="363">
        <v>2</v>
      </c>
      <c r="D756" s="60" t="str">
        <f>D739</f>
        <v>Tukang listrik</v>
      </c>
      <c r="E756" s="305" t="s">
        <v>6</v>
      </c>
      <c r="F756" s="75">
        <v>0.29799999999999999</v>
      </c>
      <c r="G756" s="65">
        <f>VLOOKUP(D756,upahbahan,3,FALSE)</f>
        <v>145000</v>
      </c>
      <c r="H756" s="65">
        <f t="shared" si="88"/>
        <v>43210</v>
      </c>
      <c r="J756" s="160"/>
      <c r="K756" s="328"/>
    </row>
    <row r="757" spans="3:11">
      <c r="C757" s="363">
        <v>3</v>
      </c>
      <c r="D757" s="60" t="s">
        <v>18</v>
      </c>
      <c r="E757" s="305" t="s">
        <v>6</v>
      </c>
      <c r="F757" s="75">
        <v>0.03</v>
      </c>
      <c r="G757" s="65">
        <f>VLOOKUP(D757,upahbahan,3,FALSE)</f>
        <v>150000</v>
      </c>
      <c r="H757" s="65">
        <f t="shared" si="88"/>
        <v>4500</v>
      </c>
      <c r="J757" s="160"/>
      <c r="K757" s="328"/>
    </row>
    <row r="758" spans="3:11">
      <c r="C758" s="363">
        <v>4</v>
      </c>
      <c r="D758" s="60" t="s">
        <v>19</v>
      </c>
      <c r="E758" s="305" t="s">
        <v>6</v>
      </c>
      <c r="F758" s="75">
        <v>0.01</v>
      </c>
      <c r="G758" s="65">
        <f>VLOOKUP(D758,upahbahan,3,FALSE)</f>
        <v>145000</v>
      </c>
      <c r="H758" s="65">
        <f t="shared" si="88"/>
        <v>1450</v>
      </c>
      <c r="J758" s="160"/>
      <c r="K758" s="328"/>
    </row>
    <row r="759" spans="3:11">
      <c r="C759" s="84" t="s">
        <v>1220</v>
      </c>
      <c r="D759" s="81"/>
      <c r="E759" s="81"/>
      <c r="F759" s="190"/>
      <c r="G759" s="221"/>
      <c r="H759" s="65">
        <f>SUM(H755:H758)</f>
        <v>67060</v>
      </c>
      <c r="I759" s="222"/>
      <c r="J759" s="160"/>
      <c r="K759" s="328"/>
    </row>
    <row r="760" spans="3:11">
      <c r="C760" s="305" t="s">
        <v>1221</v>
      </c>
      <c r="D760" s="60" t="s">
        <v>1222</v>
      </c>
      <c r="E760" s="74"/>
      <c r="F760" s="208"/>
      <c r="G760" s="74"/>
      <c r="H760" s="74"/>
      <c r="J760" s="160"/>
      <c r="K760" s="328"/>
    </row>
    <row r="761" spans="3:11">
      <c r="C761" s="363">
        <v>1</v>
      </c>
      <c r="D761" s="78" t="s">
        <v>948</v>
      </c>
      <c r="E761" s="69" t="s">
        <v>114</v>
      </c>
      <c r="F761" s="75">
        <v>1.1499999999999999</v>
      </c>
      <c r="G761" s="65">
        <f>VLOOKUP(D761,upahbahan,3,FALSE)</f>
        <v>1245000</v>
      </c>
      <c r="H761" s="65">
        <f t="shared" ref="H761" si="89">F761*G761</f>
        <v>1431750</v>
      </c>
      <c r="J761" s="160"/>
      <c r="K761" s="328"/>
    </row>
    <row r="762" spans="3:11">
      <c r="C762" s="84" t="s">
        <v>1226</v>
      </c>
      <c r="D762" s="81"/>
      <c r="E762" s="81"/>
      <c r="F762" s="81"/>
      <c r="G762" s="163"/>
      <c r="H762" s="65">
        <f>SUM(H761:H761)</f>
        <v>1431750</v>
      </c>
      <c r="J762" s="160"/>
      <c r="K762" s="328"/>
    </row>
    <row r="763" spans="3:11">
      <c r="C763" s="73" t="s">
        <v>1227</v>
      </c>
      <c r="D763" s="60" t="s">
        <v>1228</v>
      </c>
      <c r="E763" s="74"/>
      <c r="F763" s="74"/>
      <c r="G763" s="74"/>
      <c r="H763" s="74"/>
      <c r="J763" s="160"/>
      <c r="K763" s="328"/>
    </row>
    <row r="764" spans="3:11">
      <c r="C764" s="84" t="s">
        <v>1229</v>
      </c>
      <c r="D764" s="81"/>
      <c r="E764" s="81"/>
      <c r="F764" s="81"/>
      <c r="G764" s="163"/>
      <c r="H764" s="306">
        <v>0</v>
      </c>
      <c r="J764" s="160"/>
      <c r="K764" s="328"/>
    </row>
    <row r="765" spans="3:11">
      <c r="C765" s="59" t="s">
        <v>1230</v>
      </c>
      <c r="D765" s="70" t="s">
        <v>1231</v>
      </c>
      <c r="E765" s="71"/>
      <c r="F765" s="71"/>
      <c r="G765" s="72"/>
      <c r="H765" s="307">
        <f>H764+H762+H759</f>
        <v>1498810</v>
      </c>
      <c r="I765" s="322"/>
      <c r="J765" s="160"/>
      <c r="K765" s="328"/>
    </row>
    <row r="766" spans="3:11">
      <c r="C766" s="59" t="s">
        <v>1232</v>
      </c>
      <c r="D766" s="70" t="s">
        <v>1410</v>
      </c>
      <c r="E766" s="71"/>
      <c r="F766" s="72"/>
      <c r="G766" s="96">
        <f>$M$7</f>
        <v>0.1</v>
      </c>
      <c r="H766" s="65">
        <f>H765*G766</f>
        <v>149881</v>
      </c>
      <c r="I766" s="322"/>
      <c r="J766" s="160"/>
      <c r="K766" s="328"/>
    </row>
    <row r="767" spans="3:11">
      <c r="C767" s="59" t="s">
        <v>1233</v>
      </c>
      <c r="D767" s="70" t="s">
        <v>1234</v>
      </c>
      <c r="E767" s="71"/>
      <c r="F767" s="71"/>
      <c r="G767" s="72"/>
      <c r="H767" s="308">
        <f>SUM(H765:H766)</f>
        <v>1648691</v>
      </c>
      <c r="I767" s="322"/>
      <c r="J767" s="160"/>
      <c r="K767" s="328"/>
    </row>
    <row r="768" spans="3:11">
      <c r="J768" s="160"/>
      <c r="K768" s="328"/>
    </row>
    <row r="769" spans="3:11">
      <c r="C769" s="316" t="s">
        <v>1887</v>
      </c>
      <c r="D769" s="318"/>
      <c r="E769" s="318"/>
      <c r="F769" s="318"/>
      <c r="G769" s="318"/>
      <c r="H769" s="318"/>
      <c r="I769" s="57">
        <f>ROUNDDOWN(H784,-2)</f>
        <v>2038000</v>
      </c>
      <c r="J769" s="160"/>
      <c r="K769" s="328"/>
    </row>
    <row r="770" spans="3:11" ht="28.5">
      <c r="C770" s="303" t="s">
        <v>1207</v>
      </c>
      <c r="D770" s="303" t="s">
        <v>1208</v>
      </c>
      <c r="E770" s="303" t="s">
        <v>1209</v>
      </c>
      <c r="F770" s="303" t="s">
        <v>1210</v>
      </c>
      <c r="G770" s="303" t="s">
        <v>1211</v>
      </c>
      <c r="H770" s="303" t="s">
        <v>1212</v>
      </c>
      <c r="J770" s="160"/>
      <c r="K770" s="328"/>
    </row>
    <row r="771" spans="3:11">
      <c r="C771" s="305" t="s">
        <v>1213</v>
      </c>
      <c r="D771" s="60" t="s">
        <v>1214</v>
      </c>
      <c r="E771" s="74"/>
      <c r="F771" s="74"/>
      <c r="G771" s="74"/>
      <c r="H771" s="74"/>
      <c r="J771" s="160"/>
      <c r="K771" s="328"/>
    </row>
    <row r="772" spans="3:11">
      <c r="C772" s="363">
        <v>1</v>
      </c>
      <c r="D772" s="60" t="s">
        <v>5</v>
      </c>
      <c r="E772" s="305" t="s">
        <v>6</v>
      </c>
      <c r="F772" s="75">
        <v>0.17899999999999999</v>
      </c>
      <c r="G772" s="65">
        <f>VLOOKUP(D772,upahbahan,3,FALSE)</f>
        <v>100000</v>
      </c>
      <c r="H772" s="65">
        <f t="shared" ref="H772:H775" si="90">F772*G772</f>
        <v>17900</v>
      </c>
      <c r="J772" s="160"/>
      <c r="K772" s="328"/>
    </row>
    <row r="773" spans="3:11">
      <c r="C773" s="363">
        <v>2</v>
      </c>
      <c r="D773" s="60" t="str">
        <f>D756</f>
        <v>Tukang listrik</v>
      </c>
      <c r="E773" s="305" t="s">
        <v>6</v>
      </c>
      <c r="F773" s="75">
        <v>0.29799999999999999</v>
      </c>
      <c r="G773" s="65">
        <f>VLOOKUP(D773,upahbahan,3,FALSE)</f>
        <v>145000</v>
      </c>
      <c r="H773" s="65">
        <f t="shared" si="90"/>
        <v>43210</v>
      </c>
      <c r="J773" s="160"/>
      <c r="K773" s="328"/>
    </row>
    <row r="774" spans="3:11">
      <c r="C774" s="363">
        <v>3</v>
      </c>
      <c r="D774" s="60" t="s">
        <v>18</v>
      </c>
      <c r="E774" s="305" t="s">
        <v>6</v>
      </c>
      <c r="F774" s="75">
        <v>0.03</v>
      </c>
      <c r="G774" s="65">
        <f>VLOOKUP(D774,upahbahan,3,FALSE)</f>
        <v>150000</v>
      </c>
      <c r="H774" s="65">
        <f t="shared" si="90"/>
        <v>4500</v>
      </c>
      <c r="J774" s="160"/>
      <c r="K774" s="328"/>
    </row>
    <row r="775" spans="3:11">
      <c r="C775" s="363">
        <v>4</v>
      </c>
      <c r="D775" s="60" t="s">
        <v>19</v>
      </c>
      <c r="E775" s="305" t="s">
        <v>6</v>
      </c>
      <c r="F775" s="75">
        <v>0.01</v>
      </c>
      <c r="G775" s="65">
        <f>VLOOKUP(D775,upahbahan,3,FALSE)</f>
        <v>145000</v>
      </c>
      <c r="H775" s="65">
        <f t="shared" si="90"/>
        <v>1450</v>
      </c>
      <c r="J775" s="160"/>
      <c r="K775" s="328"/>
    </row>
    <row r="776" spans="3:11">
      <c r="C776" s="84" t="s">
        <v>1220</v>
      </c>
      <c r="D776" s="81"/>
      <c r="E776" s="81"/>
      <c r="F776" s="190"/>
      <c r="G776" s="221"/>
      <c r="H776" s="65">
        <f>SUM(H772:H775)</f>
        <v>67060</v>
      </c>
      <c r="I776" s="222"/>
      <c r="J776" s="160"/>
      <c r="K776" s="328"/>
    </row>
    <row r="777" spans="3:11">
      <c r="C777" s="305" t="s">
        <v>1221</v>
      </c>
      <c r="D777" s="60" t="s">
        <v>1222</v>
      </c>
      <c r="E777" s="74"/>
      <c r="F777" s="208"/>
      <c r="G777" s="74"/>
      <c r="H777" s="74"/>
      <c r="J777" s="160"/>
      <c r="K777" s="328"/>
    </row>
    <row r="778" spans="3:11">
      <c r="C778" s="363">
        <v>1</v>
      </c>
      <c r="D778" s="78" t="s">
        <v>950</v>
      </c>
      <c r="E778" s="69" t="s">
        <v>114</v>
      </c>
      <c r="F778" s="75">
        <v>1.1499999999999999</v>
      </c>
      <c r="G778" s="65">
        <f>VLOOKUP(D778,upahbahan,3,FALSE)</f>
        <v>1552800</v>
      </c>
      <c r="H778" s="65">
        <f t="shared" ref="H778" si="91">F778*G778</f>
        <v>1785719.9999999998</v>
      </c>
      <c r="J778" s="160"/>
      <c r="K778" s="328"/>
    </row>
    <row r="779" spans="3:11">
      <c r="C779" s="84" t="s">
        <v>1226</v>
      </c>
      <c r="D779" s="81"/>
      <c r="E779" s="81"/>
      <c r="F779" s="81"/>
      <c r="G779" s="163"/>
      <c r="H779" s="65">
        <f>SUM(H778:H778)</f>
        <v>1785719.9999999998</v>
      </c>
      <c r="J779" s="160"/>
      <c r="K779" s="328"/>
    </row>
    <row r="780" spans="3:11">
      <c r="C780" s="73" t="s">
        <v>1227</v>
      </c>
      <c r="D780" s="60" t="s">
        <v>1228</v>
      </c>
      <c r="E780" s="74"/>
      <c r="F780" s="74"/>
      <c r="G780" s="74"/>
      <c r="H780" s="74"/>
      <c r="J780" s="160"/>
      <c r="K780" s="328"/>
    </row>
    <row r="781" spans="3:11">
      <c r="C781" s="84" t="s">
        <v>1229</v>
      </c>
      <c r="D781" s="81"/>
      <c r="E781" s="81"/>
      <c r="F781" s="81"/>
      <c r="G781" s="163"/>
      <c r="H781" s="306">
        <v>0</v>
      </c>
      <c r="J781" s="160"/>
      <c r="K781" s="328"/>
    </row>
    <row r="782" spans="3:11">
      <c r="C782" s="59" t="s">
        <v>1230</v>
      </c>
      <c r="D782" s="70" t="s">
        <v>1231</v>
      </c>
      <c r="E782" s="71"/>
      <c r="F782" s="71"/>
      <c r="G782" s="72"/>
      <c r="H782" s="307">
        <f>H781+H779+H776</f>
        <v>1852779.9999999998</v>
      </c>
      <c r="I782" s="322"/>
      <c r="J782" s="160"/>
      <c r="K782" s="328"/>
    </row>
    <row r="783" spans="3:11">
      <c r="C783" s="59" t="s">
        <v>1232</v>
      </c>
      <c r="D783" s="70" t="s">
        <v>1410</v>
      </c>
      <c r="E783" s="71"/>
      <c r="F783" s="72"/>
      <c r="G783" s="96">
        <f>$M$7</f>
        <v>0.1</v>
      </c>
      <c r="H783" s="65">
        <f>H782*G783</f>
        <v>185278</v>
      </c>
      <c r="I783" s="322"/>
      <c r="J783" s="160"/>
      <c r="K783" s="328"/>
    </row>
    <row r="784" spans="3:11">
      <c r="C784" s="59" t="s">
        <v>1233</v>
      </c>
      <c r="D784" s="70" t="s">
        <v>1234</v>
      </c>
      <c r="E784" s="71"/>
      <c r="F784" s="71"/>
      <c r="G784" s="72"/>
      <c r="H784" s="308">
        <f>SUM(H782:H783)</f>
        <v>2038057.9999999998</v>
      </c>
      <c r="I784" s="322"/>
      <c r="J784" s="160"/>
      <c r="K784" s="328"/>
    </row>
    <row r="785" spans="3:11">
      <c r="J785" s="160"/>
      <c r="K785" s="328"/>
    </row>
    <row r="786" spans="3:11">
      <c r="C786" s="316" t="s">
        <v>1888</v>
      </c>
      <c r="D786" s="318"/>
      <c r="E786" s="318"/>
      <c r="F786" s="318"/>
      <c r="G786" s="318"/>
      <c r="H786" s="318"/>
      <c r="I786" s="57">
        <f>ROUNDDOWN(H801,-2)</f>
        <v>2685000</v>
      </c>
      <c r="J786" s="160"/>
      <c r="K786" s="328"/>
    </row>
    <row r="787" spans="3:11" ht="28.5">
      <c r="C787" s="303" t="s">
        <v>1207</v>
      </c>
      <c r="D787" s="303" t="s">
        <v>1208</v>
      </c>
      <c r="E787" s="303" t="s">
        <v>1209</v>
      </c>
      <c r="F787" s="303" t="s">
        <v>1210</v>
      </c>
      <c r="G787" s="303" t="s">
        <v>1211</v>
      </c>
      <c r="H787" s="303" t="s">
        <v>1212</v>
      </c>
      <c r="J787" s="160"/>
      <c r="K787" s="328"/>
    </row>
    <row r="788" spans="3:11">
      <c r="C788" s="305" t="s">
        <v>1213</v>
      </c>
      <c r="D788" s="60" t="s">
        <v>1214</v>
      </c>
      <c r="E788" s="74"/>
      <c r="F788" s="74"/>
      <c r="G788" s="74"/>
      <c r="H788" s="74"/>
      <c r="J788" s="160"/>
      <c r="K788" s="328"/>
    </row>
    <row r="789" spans="3:11">
      <c r="C789" s="363">
        <v>1</v>
      </c>
      <c r="D789" s="60" t="s">
        <v>5</v>
      </c>
      <c r="E789" s="305" t="s">
        <v>6</v>
      </c>
      <c r="F789" s="75">
        <v>0.23799999999999999</v>
      </c>
      <c r="G789" s="65">
        <f>VLOOKUP(D789,upahbahan,3,FALSE)</f>
        <v>100000</v>
      </c>
      <c r="H789" s="65">
        <f t="shared" ref="H789:H792" si="92">F789*G789</f>
        <v>23800</v>
      </c>
      <c r="J789" s="160"/>
      <c r="K789" s="328"/>
    </row>
    <row r="790" spans="3:11">
      <c r="C790" s="363">
        <v>2</v>
      </c>
      <c r="D790" s="60" t="str">
        <f>D773</f>
        <v>Tukang listrik</v>
      </c>
      <c r="E790" s="305" t="s">
        <v>6</v>
      </c>
      <c r="F790" s="75">
        <v>0.39800000000000002</v>
      </c>
      <c r="G790" s="65">
        <f>VLOOKUP(D790,upahbahan,3,FALSE)</f>
        <v>145000</v>
      </c>
      <c r="H790" s="65">
        <f t="shared" si="92"/>
        <v>57710</v>
      </c>
      <c r="J790" s="160"/>
      <c r="K790" s="328"/>
    </row>
    <row r="791" spans="3:11">
      <c r="C791" s="363">
        <v>3</v>
      </c>
      <c r="D791" s="60" t="s">
        <v>18</v>
      </c>
      <c r="E791" s="305" t="s">
        <v>6</v>
      </c>
      <c r="F791" s="75">
        <v>0.04</v>
      </c>
      <c r="G791" s="65">
        <f>VLOOKUP(D791,upahbahan,3,FALSE)</f>
        <v>150000</v>
      </c>
      <c r="H791" s="65">
        <f t="shared" si="92"/>
        <v>6000</v>
      </c>
      <c r="J791" s="160"/>
      <c r="K791" s="328"/>
    </row>
    <row r="792" spans="3:11">
      <c r="C792" s="363">
        <v>4</v>
      </c>
      <c r="D792" s="60" t="s">
        <v>19</v>
      </c>
      <c r="E792" s="305" t="s">
        <v>6</v>
      </c>
      <c r="F792" s="75">
        <v>1.2999999999999999E-2</v>
      </c>
      <c r="G792" s="65">
        <f>VLOOKUP(D792,upahbahan,3,FALSE)</f>
        <v>145000</v>
      </c>
      <c r="H792" s="65">
        <f t="shared" si="92"/>
        <v>1885</v>
      </c>
      <c r="J792" s="160"/>
      <c r="K792" s="328"/>
    </row>
    <row r="793" spans="3:11">
      <c r="C793" s="84" t="s">
        <v>1220</v>
      </c>
      <c r="D793" s="81"/>
      <c r="E793" s="81"/>
      <c r="F793" s="190"/>
      <c r="G793" s="221"/>
      <c r="H793" s="65">
        <f>SUM(H789:H792)</f>
        <v>89395</v>
      </c>
      <c r="I793" s="222"/>
      <c r="J793" s="160"/>
      <c r="K793" s="328"/>
    </row>
    <row r="794" spans="3:11">
      <c r="C794" s="305" t="s">
        <v>1221</v>
      </c>
      <c r="D794" s="60" t="s">
        <v>1222</v>
      </c>
      <c r="E794" s="74"/>
      <c r="F794" s="208"/>
      <c r="G794" s="74"/>
      <c r="H794" s="74"/>
      <c r="J794" s="160"/>
      <c r="K794" s="328"/>
    </row>
    <row r="795" spans="3:11">
      <c r="C795" s="363">
        <v>1</v>
      </c>
      <c r="D795" s="78" t="s">
        <v>952</v>
      </c>
      <c r="E795" s="69" t="s">
        <v>114</v>
      </c>
      <c r="F795" s="75">
        <v>1.1499999999999999</v>
      </c>
      <c r="G795" s="65">
        <f>VLOOKUP(D795,upahbahan,3,FALSE)</f>
        <v>2044800</v>
      </c>
      <c r="H795" s="65">
        <f t="shared" ref="H795" si="93">F795*G795</f>
        <v>2351520</v>
      </c>
      <c r="J795" s="160"/>
      <c r="K795" s="328"/>
    </row>
    <row r="796" spans="3:11">
      <c r="C796" s="84" t="s">
        <v>1226</v>
      </c>
      <c r="D796" s="81"/>
      <c r="E796" s="81"/>
      <c r="F796" s="81"/>
      <c r="G796" s="163"/>
      <c r="H796" s="65">
        <f>SUM(H795:H795)</f>
        <v>2351520</v>
      </c>
      <c r="J796" s="160"/>
      <c r="K796" s="328"/>
    </row>
    <row r="797" spans="3:11">
      <c r="C797" s="73" t="s">
        <v>1227</v>
      </c>
      <c r="D797" s="60" t="s">
        <v>1228</v>
      </c>
      <c r="E797" s="74"/>
      <c r="F797" s="74"/>
      <c r="G797" s="74"/>
      <c r="H797" s="74"/>
      <c r="J797" s="160"/>
      <c r="K797" s="328"/>
    </row>
    <row r="798" spans="3:11">
      <c r="C798" s="84" t="s">
        <v>1229</v>
      </c>
      <c r="D798" s="81"/>
      <c r="E798" s="81"/>
      <c r="F798" s="81"/>
      <c r="G798" s="163"/>
      <c r="H798" s="306">
        <v>0</v>
      </c>
      <c r="J798" s="160"/>
      <c r="K798" s="328"/>
    </row>
    <row r="799" spans="3:11">
      <c r="C799" s="59" t="s">
        <v>1230</v>
      </c>
      <c r="D799" s="70" t="s">
        <v>1231</v>
      </c>
      <c r="E799" s="71"/>
      <c r="F799" s="71"/>
      <c r="G799" s="72"/>
      <c r="H799" s="307">
        <f>H798+H796+H793</f>
        <v>2440915</v>
      </c>
      <c r="I799" s="322"/>
      <c r="J799" s="160"/>
      <c r="K799" s="328"/>
    </row>
    <row r="800" spans="3:11">
      <c r="C800" s="59" t="s">
        <v>1232</v>
      </c>
      <c r="D800" s="70" t="s">
        <v>1410</v>
      </c>
      <c r="E800" s="71"/>
      <c r="F800" s="72"/>
      <c r="G800" s="96">
        <f>$M$7</f>
        <v>0.1</v>
      </c>
      <c r="H800" s="65">
        <f>H799*G800</f>
        <v>244091.5</v>
      </c>
      <c r="I800" s="322"/>
      <c r="J800" s="160"/>
      <c r="K800" s="328"/>
    </row>
    <row r="801" spans="3:11">
      <c r="C801" s="59" t="s">
        <v>1233</v>
      </c>
      <c r="D801" s="70" t="s">
        <v>1234</v>
      </c>
      <c r="E801" s="71"/>
      <c r="F801" s="71"/>
      <c r="G801" s="72"/>
      <c r="H801" s="308">
        <f>SUM(H799:H800)</f>
        <v>2685006.5</v>
      </c>
      <c r="I801" s="322"/>
      <c r="J801" s="160"/>
      <c r="K801" s="328"/>
    </row>
    <row r="802" spans="3:11">
      <c r="J802" s="160"/>
      <c r="K802" s="328"/>
    </row>
    <row r="803" spans="3:11">
      <c r="C803" s="316" t="s">
        <v>1889</v>
      </c>
      <c r="D803" s="318"/>
      <c r="E803" s="318"/>
      <c r="F803" s="318"/>
      <c r="G803" s="318"/>
      <c r="H803" s="318"/>
      <c r="I803" s="57">
        <f>ROUNDDOWN(H818,-2)</f>
        <v>3325200</v>
      </c>
      <c r="J803" s="160"/>
      <c r="K803" s="328"/>
    </row>
    <row r="804" spans="3:11" ht="28.5">
      <c r="C804" s="303" t="s">
        <v>1207</v>
      </c>
      <c r="D804" s="303" t="s">
        <v>1208</v>
      </c>
      <c r="E804" s="303" t="s">
        <v>1209</v>
      </c>
      <c r="F804" s="303" t="s">
        <v>1210</v>
      </c>
      <c r="G804" s="303" t="s">
        <v>1211</v>
      </c>
      <c r="H804" s="303" t="s">
        <v>1212</v>
      </c>
      <c r="J804" s="160"/>
      <c r="K804" s="328"/>
    </row>
    <row r="805" spans="3:11">
      <c r="C805" s="305" t="s">
        <v>1213</v>
      </c>
      <c r="D805" s="60" t="s">
        <v>1214</v>
      </c>
      <c r="E805" s="74"/>
      <c r="F805" s="74"/>
      <c r="G805" s="74"/>
      <c r="H805" s="74"/>
      <c r="J805" s="160"/>
      <c r="K805" s="328"/>
    </row>
    <row r="806" spans="3:11">
      <c r="C806" s="363">
        <v>1</v>
      </c>
      <c r="D806" s="60" t="s">
        <v>5</v>
      </c>
      <c r="E806" s="305" t="s">
        <v>6</v>
      </c>
      <c r="F806" s="75">
        <v>0.23799999999999999</v>
      </c>
      <c r="G806" s="65">
        <f>VLOOKUP(D806,upahbahan,3,FALSE)</f>
        <v>100000</v>
      </c>
      <c r="H806" s="65">
        <f t="shared" ref="H806:H809" si="94">F806*G806</f>
        <v>23800</v>
      </c>
      <c r="J806" s="160"/>
      <c r="K806" s="328"/>
    </row>
    <row r="807" spans="3:11">
      <c r="C807" s="363">
        <v>2</v>
      </c>
      <c r="D807" s="60" t="str">
        <f>D790</f>
        <v>Tukang listrik</v>
      </c>
      <c r="E807" s="305" t="s">
        <v>6</v>
      </c>
      <c r="F807" s="75">
        <v>0.39800000000000002</v>
      </c>
      <c r="G807" s="65">
        <f>VLOOKUP(D807,upahbahan,3,FALSE)</f>
        <v>145000</v>
      </c>
      <c r="H807" s="65">
        <f t="shared" si="94"/>
        <v>57710</v>
      </c>
      <c r="J807" s="160"/>
      <c r="K807" s="328"/>
    </row>
    <row r="808" spans="3:11">
      <c r="C808" s="363">
        <v>3</v>
      </c>
      <c r="D808" s="60" t="s">
        <v>18</v>
      </c>
      <c r="E808" s="305" t="s">
        <v>6</v>
      </c>
      <c r="F808" s="75">
        <v>0.04</v>
      </c>
      <c r="G808" s="65">
        <f>VLOOKUP(D808,upahbahan,3,FALSE)</f>
        <v>150000</v>
      </c>
      <c r="H808" s="65">
        <f t="shared" si="94"/>
        <v>6000</v>
      </c>
      <c r="J808" s="160"/>
      <c r="K808" s="328"/>
    </row>
    <row r="809" spans="3:11">
      <c r="C809" s="363">
        <v>4</v>
      </c>
      <c r="D809" s="60" t="s">
        <v>19</v>
      </c>
      <c r="E809" s="305" t="s">
        <v>6</v>
      </c>
      <c r="F809" s="75">
        <v>1.2999999999999999E-2</v>
      </c>
      <c r="G809" s="65">
        <f>VLOOKUP(D809,upahbahan,3,FALSE)</f>
        <v>145000</v>
      </c>
      <c r="H809" s="65">
        <f t="shared" si="94"/>
        <v>1885</v>
      </c>
      <c r="J809" s="160"/>
      <c r="K809" s="328"/>
    </row>
    <row r="810" spans="3:11">
      <c r="C810" s="84" t="s">
        <v>1220</v>
      </c>
      <c r="D810" s="81"/>
      <c r="E810" s="81"/>
      <c r="F810" s="190"/>
      <c r="G810" s="221"/>
      <c r="H810" s="65">
        <f>SUM(H806:H809)</f>
        <v>89395</v>
      </c>
      <c r="I810" s="222"/>
      <c r="J810" s="160"/>
      <c r="K810" s="328"/>
    </row>
    <row r="811" spans="3:11">
      <c r="C811" s="305" t="s">
        <v>1221</v>
      </c>
      <c r="D811" s="60" t="s">
        <v>1222</v>
      </c>
      <c r="E811" s="74"/>
      <c r="F811" s="208"/>
      <c r="G811" s="74"/>
      <c r="H811" s="74"/>
      <c r="J811" s="160"/>
      <c r="K811" s="328"/>
    </row>
    <row r="812" spans="3:11">
      <c r="C812" s="363">
        <v>1</v>
      </c>
      <c r="D812" s="78" t="s">
        <v>954</v>
      </c>
      <c r="E812" s="69" t="s">
        <v>114</v>
      </c>
      <c r="F812" s="75">
        <v>1.1499999999999999</v>
      </c>
      <c r="G812" s="65">
        <f>VLOOKUP(D812,upahbahan,3,FALSE)</f>
        <v>2550900</v>
      </c>
      <c r="H812" s="65">
        <f t="shared" ref="H812" si="95">F812*G812</f>
        <v>2933535</v>
      </c>
      <c r="J812" s="160"/>
      <c r="K812" s="328"/>
    </row>
    <row r="813" spans="3:11">
      <c r="C813" s="84" t="s">
        <v>1226</v>
      </c>
      <c r="D813" s="81"/>
      <c r="E813" s="81"/>
      <c r="F813" s="81"/>
      <c r="G813" s="163"/>
      <c r="H813" s="65">
        <f>SUM(H812:H812)</f>
        <v>2933535</v>
      </c>
      <c r="J813" s="160"/>
      <c r="K813" s="328"/>
    </row>
    <row r="814" spans="3:11">
      <c r="C814" s="73" t="s">
        <v>1227</v>
      </c>
      <c r="D814" s="60" t="s">
        <v>1228</v>
      </c>
      <c r="E814" s="74"/>
      <c r="F814" s="74"/>
      <c r="G814" s="74"/>
      <c r="H814" s="74"/>
      <c r="J814" s="160"/>
      <c r="K814" s="328"/>
    </row>
    <row r="815" spans="3:11">
      <c r="C815" s="84" t="s">
        <v>1229</v>
      </c>
      <c r="D815" s="81"/>
      <c r="E815" s="81"/>
      <c r="F815" s="81"/>
      <c r="G815" s="163"/>
      <c r="H815" s="306">
        <v>0</v>
      </c>
      <c r="J815" s="160"/>
      <c r="K815" s="328"/>
    </row>
    <row r="816" spans="3:11">
      <c r="C816" s="59" t="s">
        <v>1230</v>
      </c>
      <c r="D816" s="70" t="s">
        <v>1231</v>
      </c>
      <c r="E816" s="71"/>
      <c r="F816" s="71"/>
      <c r="G816" s="72"/>
      <c r="H816" s="307">
        <f>H815+H813+H810</f>
        <v>3022930</v>
      </c>
      <c r="I816" s="322"/>
      <c r="J816" s="160"/>
      <c r="K816" s="328"/>
    </row>
    <row r="817" spans="3:11">
      <c r="C817" s="59" t="s">
        <v>1232</v>
      </c>
      <c r="D817" s="70" t="s">
        <v>1410</v>
      </c>
      <c r="E817" s="71"/>
      <c r="F817" s="72"/>
      <c r="G817" s="96">
        <f>$M$7</f>
        <v>0.1</v>
      </c>
      <c r="H817" s="65">
        <f>H816*G817</f>
        <v>302293</v>
      </c>
      <c r="I817" s="322"/>
      <c r="J817" s="160"/>
      <c r="K817" s="328"/>
    </row>
    <row r="818" spans="3:11">
      <c r="C818" s="59" t="s">
        <v>1233</v>
      </c>
      <c r="D818" s="70" t="s">
        <v>1234</v>
      </c>
      <c r="E818" s="71"/>
      <c r="F818" s="71"/>
      <c r="G818" s="72"/>
      <c r="H818" s="308">
        <f>SUM(H816:H817)</f>
        <v>3325223</v>
      </c>
      <c r="I818" s="322"/>
      <c r="J818" s="160"/>
      <c r="K818" s="328"/>
    </row>
    <row r="819" spans="3:11">
      <c r="J819" s="160"/>
      <c r="K819" s="328"/>
    </row>
    <row r="820" spans="3:11">
      <c r="C820" s="316" t="s">
        <v>1890</v>
      </c>
      <c r="D820" s="318"/>
      <c r="E820" s="318"/>
      <c r="F820" s="318"/>
      <c r="G820" s="318"/>
      <c r="H820" s="318"/>
      <c r="I820" s="57">
        <f>ROUNDDOWN(H835,-2)</f>
        <v>9000</v>
      </c>
      <c r="J820" s="160"/>
      <c r="K820" s="328"/>
    </row>
    <row r="821" spans="3:11" ht="28.5">
      <c r="C821" s="303" t="s">
        <v>1207</v>
      </c>
      <c r="D821" s="303" t="s">
        <v>1208</v>
      </c>
      <c r="E821" s="303" t="s">
        <v>1209</v>
      </c>
      <c r="F821" s="303" t="s">
        <v>1210</v>
      </c>
      <c r="G821" s="303" t="s">
        <v>1211</v>
      </c>
      <c r="H821" s="303" t="s">
        <v>1212</v>
      </c>
      <c r="J821" s="160"/>
      <c r="K821" s="328"/>
    </row>
    <row r="822" spans="3:11">
      <c r="C822" s="73" t="s">
        <v>1213</v>
      </c>
      <c r="D822" s="60" t="s">
        <v>1214</v>
      </c>
      <c r="E822" s="74"/>
      <c r="F822" s="74"/>
      <c r="G822" s="74"/>
      <c r="H822" s="74"/>
      <c r="J822" s="160"/>
      <c r="K822" s="328"/>
    </row>
    <row r="823" spans="3:11">
      <c r="C823" s="304">
        <v>1</v>
      </c>
      <c r="D823" s="60" t="s">
        <v>5</v>
      </c>
      <c r="E823" s="305" t="s">
        <v>6</v>
      </c>
      <c r="F823" s="75">
        <v>1.2E-2</v>
      </c>
      <c r="G823" s="65">
        <f>VLOOKUP(D823,upahbahan,3,FALSE)</f>
        <v>100000</v>
      </c>
      <c r="H823" s="65">
        <f t="shared" ref="H823:H826" si="96">F823*G823</f>
        <v>1200</v>
      </c>
      <c r="J823" s="160"/>
      <c r="K823" s="328"/>
    </row>
    <row r="824" spans="3:11">
      <c r="C824" s="304">
        <v>2</v>
      </c>
      <c r="D824" s="60" t="str">
        <f>D807</f>
        <v>Tukang listrik</v>
      </c>
      <c r="E824" s="305" t="s">
        <v>6</v>
      </c>
      <c r="F824" s="75">
        <v>0.02</v>
      </c>
      <c r="G824" s="65">
        <f>VLOOKUP(D824,upahbahan,3,FALSE)</f>
        <v>145000</v>
      </c>
      <c r="H824" s="65">
        <f t="shared" si="96"/>
        <v>2900</v>
      </c>
      <c r="J824" s="160"/>
      <c r="K824" s="328"/>
    </row>
    <row r="825" spans="3:11">
      <c r="C825" s="304">
        <v>3</v>
      </c>
      <c r="D825" s="60" t="s">
        <v>18</v>
      </c>
      <c r="E825" s="305" t="s">
        <v>6</v>
      </c>
      <c r="F825" s="75">
        <v>2E-3</v>
      </c>
      <c r="G825" s="65">
        <f>VLOOKUP(D825,upahbahan,3,FALSE)</f>
        <v>150000</v>
      </c>
      <c r="H825" s="65">
        <f t="shared" si="96"/>
        <v>300</v>
      </c>
      <c r="J825" s="160"/>
      <c r="K825" s="328"/>
    </row>
    <row r="826" spans="3:11">
      <c r="C826" s="304">
        <v>4</v>
      </c>
      <c r="D826" s="60" t="s">
        <v>19</v>
      </c>
      <c r="E826" s="305" t="s">
        <v>6</v>
      </c>
      <c r="F826" s="75">
        <v>1E-3</v>
      </c>
      <c r="G826" s="65">
        <f>VLOOKUP(D826,upahbahan,3,FALSE)</f>
        <v>145000</v>
      </c>
      <c r="H826" s="65">
        <f t="shared" si="96"/>
        <v>145</v>
      </c>
      <c r="J826" s="160"/>
      <c r="K826" s="328"/>
    </row>
    <row r="827" spans="3:11">
      <c r="C827" s="84" t="s">
        <v>1220</v>
      </c>
      <c r="D827" s="81"/>
      <c r="E827" s="81"/>
      <c r="F827" s="190"/>
      <c r="G827" s="221"/>
      <c r="H827" s="65">
        <f>SUM(H823:H826)</f>
        <v>4545</v>
      </c>
      <c r="I827" s="222"/>
      <c r="J827" s="160"/>
      <c r="K827" s="328"/>
    </row>
    <row r="828" spans="3:11">
      <c r="C828" s="73" t="s">
        <v>1221</v>
      </c>
      <c r="D828" s="60" t="s">
        <v>1222</v>
      </c>
      <c r="E828" s="74"/>
      <c r="F828" s="208"/>
      <c r="G828" s="74"/>
      <c r="H828" s="74"/>
      <c r="J828" s="160"/>
      <c r="K828" s="328"/>
    </row>
    <row r="829" spans="3:11">
      <c r="C829" s="304">
        <v>1</v>
      </c>
      <c r="D829" s="78" t="s">
        <v>856</v>
      </c>
      <c r="E829" s="69" t="s">
        <v>114</v>
      </c>
      <c r="F829" s="75">
        <v>1.1499999999999999</v>
      </c>
      <c r="G829" s="65">
        <f>VLOOKUP(D829,upahbahan,3,FALSE)</f>
        <v>3200</v>
      </c>
      <c r="H829" s="65">
        <f t="shared" ref="H829" si="97">F829*G829</f>
        <v>3679.9999999999995</v>
      </c>
      <c r="J829" s="160"/>
      <c r="K829" s="328"/>
    </row>
    <row r="830" spans="3:11">
      <c r="C830" s="84" t="s">
        <v>1226</v>
      </c>
      <c r="D830" s="81"/>
      <c r="E830" s="81"/>
      <c r="F830" s="81"/>
      <c r="G830" s="163"/>
      <c r="H830" s="65">
        <f>SUM(H829:H829)</f>
        <v>3679.9999999999995</v>
      </c>
      <c r="J830" s="160"/>
      <c r="K830" s="328"/>
    </row>
    <row r="831" spans="3:11">
      <c r="C831" s="73" t="s">
        <v>1227</v>
      </c>
      <c r="D831" s="60" t="s">
        <v>1228</v>
      </c>
      <c r="E831" s="74"/>
      <c r="F831" s="74"/>
      <c r="G831" s="74"/>
      <c r="H831" s="74"/>
      <c r="J831" s="160"/>
      <c r="K831" s="328"/>
    </row>
    <row r="832" spans="3:11">
      <c r="C832" s="84" t="s">
        <v>1229</v>
      </c>
      <c r="D832" s="81"/>
      <c r="E832" s="81"/>
      <c r="F832" s="81"/>
      <c r="G832" s="163"/>
      <c r="H832" s="306">
        <v>0</v>
      </c>
      <c r="J832" s="160"/>
      <c r="K832" s="328"/>
    </row>
    <row r="833" spans="3:11">
      <c r="C833" s="59" t="s">
        <v>1230</v>
      </c>
      <c r="D833" s="70" t="s">
        <v>1231</v>
      </c>
      <c r="E833" s="71"/>
      <c r="F833" s="71"/>
      <c r="G833" s="72"/>
      <c r="H833" s="307">
        <f>H832+H830+H827</f>
        <v>8225</v>
      </c>
      <c r="I833" s="322"/>
      <c r="J833" s="160"/>
      <c r="K833" s="328"/>
    </row>
    <row r="834" spans="3:11">
      <c r="C834" s="59" t="s">
        <v>1232</v>
      </c>
      <c r="D834" s="70" t="s">
        <v>1410</v>
      </c>
      <c r="E834" s="71"/>
      <c r="F834" s="72"/>
      <c r="G834" s="96">
        <f>$M$7</f>
        <v>0.1</v>
      </c>
      <c r="H834" s="65">
        <f>H833*G834</f>
        <v>822.5</v>
      </c>
      <c r="I834" s="322"/>
      <c r="J834" s="160"/>
      <c r="K834" s="328"/>
    </row>
    <row r="835" spans="3:11">
      <c r="C835" s="59" t="s">
        <v>1233</v>
      </c>
      <c r="D835" s="70" t="s">
        <v>1234</v>
      </c>
      <c r="E835" s="71"/>
      <c r="F835" s="71"/>
      <c r="G835" s="72"/>
      <c r="H835" s="308">
        <f>SUM(H833:H834)</f>
        <v>9047.5</v>
      </c>
      <c r="I835" s="322"/>
      <c r="J835" s="160"/>
      <c r="K835" s="328"/>
    </row>
    <row r="836" spans="3:11">
      <c r="J836" s="160"/>
      <c r="K836" s="328"/>
    </row>
    <row r="837" spans="3:11">
      <c r="C837" s="316" t="s">
        <v>1891</v>
      </c>
      <c r="D837" s="318"/>
      <c r="E837" s="318"/>
      <c r="F837" s="318"/>
      <c r="G837" s="318"/>
      <c r="H837" s="318"/>
      <c r="I837" s="57">
        <f>ROUNDDOWN(H852,-2)</f>
        <v>11700</v>
      </c>
      <c r="J837" s="160"/>
      <c r="K837" s="328"/>
    </row>
    <row r="838" spans="3:11" ht="28.5">
      <c r="C838" s="303" t="s">
        <v>1207</v>
      </c>
      <c r="D838" s="303" t="s">
        <v>1208</v>
      </c>
      <c r="E838" s="303" t="s">
        <v>1209</v>
      </c>
      <c r="F838" s="303" t="s">
        <v>1210</v>
      </c>
      <c r="G838" s="303" t="s">
        <v>1211</v>
      </c>
      <c r="H838" s="303" t="s">
        <v>1212</v>
      </c>
      <c r="J838" s="160"/>
      <c r="K838" s="328"/>
    </row>
    <row r="839" spans="3:11">
      <c r="C839" s="305" t="s">
        <v>1213</v>
      </c>
      <c r="D839" s="60" t="s">
        <v>1214</v>
      </c>
      <c r="E839" s="74"/>
      <c r="F839" s="74"/>
      <c r="G839" s="74"/>
      <c r="H839" s="74"/>
      <c r="J839" s="160"/>
      <c r="K839" s="328"/>
    </row>
    <row r="840" spans="3:11">
      <c r="C840" s="363">
        <v>1</v>
      </c>
      <c r="D840" s="60" t="s">
        <v>5</v>
      </c>
      <c r="E840" s="305" t="s">
        <v>6</v>
      </c>
      <c r="F840" s="75">
        <v>1.2E-2</v>
      </c>
      <c r="G840" s="65">
        <f>VLOOKUP(D840,upahbahan,3,FALSE)</f>
        <v>100000</v>
      </c>
      <c r="H840" s="65">
        <f t="shared" ref="H840:H843" si="98">F840*G840</f>
        <v>1200</v>
      </c>
      <c r="J840" s="160"/>
      <c r="K840" s="328"/>
    </row>
    <row r="841" spans="3:11">
      <c r="C841" s="363">
        <v>2</v>
      </c>
      <c r="D841" s="60" t="str">
        <f>D824</f>
        <v>Tukang listrik</v>
      </c>
      <c r="E841" s="305" t="s">
        <v>6</v>
      </c>
      <c r="F841" s="75">
        <v>0.02</v>
      </c>
      <c r="G841" s="65">
        <f>VLOOKUP(D841,upahbahan,3,FALSE)</f>
        <v>145000</v>
      </c>
      <c r="H841" s="65">
        <f t="shared" si="98"/>
        <v>2900</v>
      </c>
      <c r="J841" s="160"/>
      <c r="K841" s="328"/>
    </row>
    <row r="842" spans="3:11">
      <c r="C842" s="363">
        <v>3</v>
      </c>
      <c r="D842" s="60" t="s">
        <v>18</v>
      </c>
      <c r="E842" s="305" t="s">
        <v>6</v>
      </c>
      <c r="F842" s="75">
        <v>2E-3</v>
      </c>
      <c r="G842" s="65">
        <f>VLOOKUP(D842,upahbahan,3,FALSE)</f>
        <v>150000</v>
      </c>
      <c r="H842" s="65">
        <f t="shared" si="98"/>
        <v>300</v>
      </c>
      <c r="J842" s="160"/>
      <c r="K842" s="328"/>
    </row>
    <row r="843" spans="3:11">
      <c r="C843" s="363">
        <v>4</v>
      </c>
      <c r="D843" s="60" t="s">
        <v>19</v>
      </c>
      <c r="E843" s="305" t="s">
        <v>6</v>
      </c>
      <c r="F843" s="75">
        <v>1E-3</v>
      </c>
      <c r="G843" s="65">
        <f>VLOOKUP(D843,upahbahan,3,FALSE)</f>
        <v>145000</v>
      </c>
      <c r="H843" s="65">
        <f t="shared" si="98"/>
        <v>145</v>
      </c>
      <c r="J843" s="160"/>
      <c r="K843" s="328"/>
    </row>
    <row r="844" spans="3:11">
      <c r="C844" s="84" t="s">
        <v>1220</v>
      </c>
      <c r="D844" s="81"/>
      <c r="E844" s="81"/>
      <c r="F844" s="190"/>
      <c r="G844" s="221"/>
      <c r="H844" s="65">
        <f>SUM(H840:H843)</f>
        <v>4545</v>
      </c>
      <c r="I844" s="222"/>
      <c r="J844" s="160"/>
      <c r="K844" s="328"/>
    </row>
    <row r="845" spans="3:11">
      <c r="C845" s="305" t="s">
        <v>1221</v>
      </c>
      <c r="D845" s="60" t="s">
        <v>1222</v>
      </c>
      <c r="E845" s="74"/>
      <c r="F845" s="208"/>
      <c r="G845" s="74"/>
      <c r="H845" s="74"/>
      <c r="J845" s="160"/>
      <c r="K845" s="328"/>
    </row>
    <row r="846" spans="3:11">
      <c r="C846" s="363">
        <v>1</v>
      </c>
      <c r="D846" s="78" t="s">
        <v>859</v>
      </c>
      <c r="E846" s="69" t="s">
        <v>114</v>
      </c>
      <c r="F846" s="75">
        <v>1.1499999999999999</v>
      </c>
      <c r="G846" s="65">
        <f>VLOOKUP(D846,upahbahan,3,FALSE)</f>
        <v>5300</v>
      </c>
      <c r="H846" s="65">
        <f t="shared" ref="H846" si="99">F846*G846</f>
        <v>6094.9999999999991</v>
      </c>
      <c r="J846" s="160"/>
      <c r="K846" s="328"/>
    </row>
    <row r="847" spans="3:11">
      <c r="C847" s="84" t="s">
        <v>1226</v>
      </c>
      <c r="D847" s="81"/>
      <c r="E847" s="81"/>
      <c r="F847" s="81"/>
      <c r="G847" s="163"/>
      <c r="H847" s="65">
        <f>SUM(H846:H846)</f>
        <v>6094.9999999999991</v>
      </c>
      <c r="J847" s="160"/>
      <c r="K847" s="328"/>
    </row>
    <row r="848" spans="3:11">
      <c r="C848" s="73" t="s">
        <v>1227</v>
      </c>
      <c r="D848" s="60" t="s">
        <v>1228</v>
      </c>
      <c r="E848" s="74"/>
      <c r="F848" s="74"/>
      <c r="G848" s="74"/>
      <c r="H848" s="74"/>
      <c r="J848" s="160"/>
      <c r="K848" s="328"/>
    </row>
    <row r="849" spans="3:11">
      <c r="C849" s="84" t="s">
        <v>1229</v>
      </c>
      <c r="D849" s="81"/>
      <c r="E849" s="81"/>
      <c r="F849" s="81"/>
      <c r="G849" s="163"/>
      <c r="H849" s="306">
        <v>0</v>
      </c>
      <c r="J849" s="160"/>
      <c r="K849" s="328"/>
    </row>
    <row r="850" spans="3:11">
      <c r="C850" s="59" t="s">
        <v>1230</v>
      </c>
      <c r="D850" s="70" t="s">
        <v>1231</v>
      </c>
      <c r="E850" s="71"/>
      <c r="F850" s="71"/>
      <c r="G850" s="72"/>
      <c r="H850" s="307">
        <f>H849+H847+H844</f>
        <v>10640</v>
      </c>
      <c r="I850" s="322"/>
      <c r="J850" s="160"/>
      <c r="K850" s="328"/>
    </row>
    <row r="851" spans="3:11">
      <c r="C851" s="59" t="s">
        <v>1232</v>
      </c>
      <c r="D851" s="70" t="s">
        <v>1410</v>
      </c>
      <c r="E851" s="71"/>
      <c r="F851" s="72"/>
      <c r="G851" s="96">
        <f>$M$7</f>
        <v>0.1</v>
      </c>
      <c r="H851" s="65">
        <f>H850*G851</f>
        <v>1064</v>
      </c>
      <c r="I851" s="322"/>
      <c r="J851" s="160"/>
      <c r="K851" s="328"/>
    </row>
    <row r="852" spans="3:11">
      <c r="C852" s="59" t="s">
        <v>1233</v>
      </c>
      <c r="D852" s="70" t="s">
        <v>1234</v>
      </c>
      <c r="E852" s="71"/>
      <c r="F852" s="71"/>
      <c r="G852" s="72"/>
      <c r="H852" s="308">
        <f>SUM(H850:H851)</f>
        <v>11704</v>
      </c>
      <c r="I852" s="322"/>
      <c r="J852" s="160"/>
      <c r="K852" s="328"/>
    </row>
    <row r="853" spans="3:11">
      <c r="J853" s="160"/>
      <c r="K853" s="328"/>
    </row>
    <row r="854" spans="3:11">
      <c r="C854" s="316" t="s">
        <v>1892</v>
      </c>
      <c r="D854" s="318"/>
      <c r="E854" s="318"/>
      <c r="F854" s="318"/>
      <c r="G854" s="318"/>
      <c r="H854" s="318"/>
      <c r="I854" s="57">
        <f>ROUNDDOWN(H869,-2)</f>
        <v>18300</v>
      </c>
      <c r="J854" s="160"/>
      <c r="K854" s="328"/>
    </row>
    <row r="855" spans="3:11" ht="28.5">
      <c r="C855" s="303" t="s">
        <v>1207</v>
      </c>
      <c r="D855" s="303" t="s">
        <v>1208</v>
      </c>
      <c r="E855" s="303" t="s">
        <v>1209</v>
      </c>
      <c r="F855" s="303" t="s">
        <v>1210</v>
      </c>
      <c r="G855" s="303" t="s">
        <v>1211</v>
      </c>
      <c r="H855" s="303" t="s">
        <v>1212</v>
      </c>
      <c r="J855" s="160"/>
      <c r="K855" s="328"/>
    </row>
    <row r="856" spans="3:11">
      <c r="C856" s="305" t="s">
        <v>1213</v>
      </c>
      <c r="D856" s="60" t="s">
        <v>1214</v>
      </c>
      <c r="E856" s="74"/>
      <c r="F856" s="74"/>
      <c r="G856" s="74"/>
      <c r="H856" s="74"/>
      <c r="J856" s="160"/>
      <c r="K856" s="328"/>
    </row>
    <row r="857" spans="3:11">
      <c r="C857" s="363">
        <v>1</v>
      </c>
      <c r="D857" s="60" t="s">
        <v>5</v>
      </c>
      <c r="E857" s="305" t="s">
        <v>6</v>
      </c>
      <c r="F857" s="184">
        <v>1.9E-2</v>
      </c>
      <c r="G857" s="65">
        <f>VLOOKUP(D857,upahbahan,3,FALSE)</f>
        <v>100000</v>
      </c>
      <c r="H857" s="65">
        <f t="shared" ref="H857:H860" si="100">F857*G857</f>
        <v>1900</v>
      </c>
      <c r="J857" s="160"/>
      <c r="K857" s="328"/>
    </row>
    <row r="858" spans="3:11">
      <c r="C858" s="363">
        <v>2</v>
      </c>
      <c r="D858" s="60" t="str">
        <f>D841</f>
        <v>Tukang listrik</v>
      </c>
      <c r="E858" s="305" t="s">
        <v>6</v>
      </c>
      <c r="F858" s="184">
        <v>3.2000000000000001E-2</v>
      </c>
      <c r="G858" s="65">
        <f>VLOOKUP(D858,upahbahan,3,FALSE)</f>
        <v>145000</v>
      </c>
      <c r="H858" s="65">
        <f t="shared" si="100"/>
        <v>4640</v>
      </c>
      <c r="J858" s="160"/>
      <c r="K858" s="328"/>
    </row>
    <row r="859" spans="3:11">
      <c r="C859" s="363">
        <v>3</v>
      </c>
      <c r="D859" s="60" t="s">
        <v>18</v>
      </c>
      <c r="E859" s="305" t="s">
        <v>6</v>
      </c>
      <c r="F859" s="184">
        <v>3.0000000000000001E-3</v>
      </c>
      <c r="G859" s="65">
        <f>VLOOKUP(D859,upahbahan,3,FALSE)</f>
        <v>150000</v>
      </c>
      <c r="H859" s="65">
        <f t="shared" si="100"/>
        <v>450</v>
      </c>
      <c r="J859" s="160"/>
      <c r="K859" s="328"/>
    </row>
    <row r="860" spans="3:11">
      <c r="C860" s="363">
        <v>4</v>
      </c>
      <c r="D860" s="60" t="s">
        <v>19</v>
      </c>
      <c r="E860" s="305" t="s">
        <v>6</v>
      </c>
      <c r="F860" s="184">
        <v>1E-3</v>
      </c>
      <c r="G860" s="65">
        <f>VLOOKUP(D860,upahbahan,3,FALSE)</f>
        <v>145000</v>
      </c>
      <c r="H860" s="65">
        <f t="shared" si="100"/>
        <v>145</v>
      </c>
      <c r="J860" s="160"/>
      <c r="K860" s="328"/>
    </row>
    <row r="861" spans="3:11">
      <c r="C861" s="84" t="s">
        <v>1220</v>
      </c>
      <c r="D861" s="81"/>
      <c r="E861" s="81"/>
      <c r="F861" s="190"/>
      <c r="G861" s="221"/>
      <c r="H861" s="65">
        <f>SUM(H857:H860)</f>
        <v>7135</v>
      </c>
      <c r="I861" s="222"/>
      <c r="J861" s="160"/>
      <c r="K861" s="328"/>
    </row>
    <row r="862" spans="3:11">
      <c r="C862" s="305" t="s">
        <v>1221</v>
      </c>
      <c r="D862" s="60" t="s">
        <v>1222</v>
      </c>
      <c r="E862" s="74"/>
      <c r="F862" s="208"/>
      <c r="G862" s="74"/>
      <c r="H862" s="74"/>
      <c r="J862" s="160"/>
      <c r="K862" s="328"/>
    </row>
    <row r="863" spans="3:11">
      <c r="C863" s="363">
        <v>1</v>
      </c>
      <c r="D863" s="78" t="s">
        <v>860</v>
      </c>
      <c r="E863" s="69" t="s">
        <v>114</v>
      </c>
      <c r="F863" s="75">
        <v>1.1499999999999999</v>
      </c>
      <c r="G863" s="65">
        <f>VLOOKUP(D863,upahbahan,3,FALSE)</f>
        <v>8300</v>
      </c>
      <c r="H863" s="65">
        <f t="shared" ref="H863" si="101">F863*G863</f>
        <v>9545</v>
      </c>
      <c r="J863" s="160"/>
      <c r="K863" s="328"/>
    </row>
    <row r="864" spans="3:11">
      <c r="C864" s="84" t="s">
        <v>1226</v>
      </c>
      <c r="D864" s="81"/>
      <c r="E864" s="81"/>
      <c r="F864" s="81"/>
      <c r="G864" s="163"/>
      <c r="H864" s="65">
        <f>SUM(H863:H863)</f>
        <v>9545</v>
      </c>
      <c r="J864" s="160"/>
      <c r="K864" s="328"/>
    </row>
    <row r="865" spans="3:11">
      <c r="C865" s="73" t="s">
        <v>1227</v>
      </c>
      <c r="D865" s="60" t="s">
        <v>1228</v>
      </c>
      <c r="E865" s="74"/>
      <c r="F865" s="74"/>
      <c r="G865" s="74"/>
      <c r="H865" s="74"/>
      <c r="J865" s="160"/>
      <c r="K865" s="328"/>
    </row>
    <row r="866" spans="3:11">
      <c r="C866" s="84" t="s">
        <v>1229</v>
      </c>
      <c r="D866" s="81"/>
      <c r="E866" s="81"/>
      <c r="F866" s="81"/>
      <c r="G866" s="163"/>
      <c r="H866" s="306">
        <v>0</v>
      </c>
      <c r="J866" s="160"/>
      <c r="K866" s="328"/>
    </row>
    <row r="867" spans="3:11">
      <c r="C867" s="59" t="s">
        <v>1230</v>
      </c>
      <c r="D867" s="70" t="s">
        <v>1231</v>
      </c>
      <c r="E867" s="71"/>
      <c r="F867" s="71"/>
      <c r="G867" s="72"/>
      <c r="H867" s="307">
        <f>H866+H864+H861</f>
        <v>16680</v>
      </c>
      <c r="I867" s="322"/>
      <c r="J867" s="160"/>
      <c r="K867" s="328"/>
    </row>
    <row r="868" spans="3:11">
      <c r="C868" s="59" t="s">
        <v>1232</v>
      </c>
      <c r="D868" s="70" t="s">
        <v>1410</v>
      </c>
      <c r="E868" s="71"/>
      <c r="F868" s="72"/>
      <c r="G868" s="96">
        <f>$M$7</f>
        <v>0.1</v>
      </c>
      <c r="H868" s="65">
        <f>H867*G868</f>
        <v>1668</v>
      </c>
      <c r="I868" s="322"/>
      <c r="J868" s="160"/>
      <c r="K868" s="328"/>
    </row>
    <row r="869" spans="3:11">
      <c r="C869" s="59" t="s">
        <v>1233</v>
      </c>
      <c r="D869" s="70" t="s">
        <v>1234</v>
      </c>
      <c r="E869" s="71"/>
      <c r="F869" s="71"/>
      <c r="G869" s="72"/>
      <c r="H869" s="308">
        <f>SUM(H867:H868)</f>
        <v>18348</v>
      </c>
      <c r="I869" s="322"/>
      <c r="J869" s="160"/>
      <c r="K869" s="328"/>
    </row>
    <row r="870" spans="3:11">
      <c r="J870" s="160"/>
      <c r="K870" s="328"/>
    </row>
    <row r="871" spans="3:11">
      <c r="C871" s="316" t="s">
        <v>1893</v>
      </c>
      <c r="D871" s="318"/>
      <c r="E871" s="318"/>
      <c r="F871" s="318"/>
      <c r="G871" s="318"/>
      <c r="H871" s="318"/>
      <c r="I871" s="57">
        <f>ROUNDDOWN(H886,-2)</f>
        <v>23200</v>
      </c>
      <c r="J871" s="160"/>
      <c r="K871" s="328"/>
    </row>
    <row r="872" spans="3:11" ht="28.5">
      <c r="C872" s="303" t="s">
        <v>1207</v>
      </c>
      <c r="D872" s="303" t="s">
        <v>1208</v>
      </c>
      <c r="E872" s="303" t="s">
        <v>1209</v>
      </c>
      <c r="F872" s="303" t="s">
        <v>1210</v>
      </c>
      <c r="G872" s="303" t="s">
        <v>1211</v>
      </c>
      <c r="H872" s="303" t="s">
        <v>1212</v>
      </c>
      <c r="J872" s="160"/>
      <c r="K872" s="328"/>
    </row>
    <row r="873" spans="3:11">
      <c r="C873" s="305" t="s">
        <v>1213</v>
      </c>
      <c r="D873" s="60" t="s">
        <v>1214</v>
      </c>
      <c r="E873" s="74"/>
      <c r="F873" s="74"/>
      <c r="G873" s="74"/>
      <c r="H873" s="74"/>
      <c r="J873" s="160"/>
      <c r="K873" s="328"/>
    </row>
    <row r="874" spans="3:11">
      <c r="C874" s="363">
        <v>1</v>
      </c>
      <c r="D874" s="60" t="s">
        <v>5</v>
      </c>
      <c r="E874" s="305" t="s">
        <v>6</v>
      </c>
      <c r="F874" s="184">
        <v>1.9E-2</v>
      </c>
      <c r="G874" s="65">
        <f>VLOOKUP(D874,upahbahan,3,FALSE)</f>
        <v>100000</v>
      </c>
      <c r="H874" s="65">
        <f t="shared" ref="H874:H877" si="102">F874*G874</f>
        <v>1900</v>
      </c>
      <c r="J874" s="160"/>
      <c r="K874" s="328"/>
    </row>
    <row r="875" spans="3:11">
      <c r="C875" s="363">
        <v>2</v>
      </c>
      <c r="D875" s="60" t="str">
        <f>D858</f>
        <v>Tukang listrik</v>
      </c>
      <c r="E875" s="305" t="s">
        <v>6</v>
      </c>
      <c r="F875" s="184">
        <v>3.2000000000000001E-2</v>
      </c>
      <c r="G875" s="65">
        <f>VLOOKUP(D875,upahbahan,3,FALSE)</f>
        <v>145000</v>
      </c>
      <c r="H875" s="65">
        <f t="shared" si="102"/>
        <v>4640</v>
      </c>
      <c r="J875" s="160"/>
      <c r="K875" s="328"/>
    </row>
    <row r="876" spans="3:11">
      <c r="C876" s="363">
        <v>3</v>
      </c>
      <c r="D876" s="60" t="s">
        <v>18</v>
      </c>
      <c r="E876" s="305" t="s">
        <v>6</v>
      </c>
      <c r="F876" s="184">
        <v>3.0000000000000001E-3</v>
      </c>
      <c r="G876" s="65">
        <f>VLOOKUP(D876,upahbahan,3,FALSE)</f>
        <v>150000</v>
      </c>
      <c r="H876" s="65">
        <f t="shared" si="102"/>
        <v>450</v>
      </c>
      <c r="J876" s="160"/>
      <c r="K876" s="328"/>
    </row>
    <row r="877" spans="3:11">
      <c r="C877" s="363">
        <v>4</v>
      </c>
      <c r="D877" s="60" t="s">
        <v>19</v>
      </c>
      <c r="E877" s="305" t="s">
        <v>6</v>
      </c>
      <c r="F877" s="184">
        <v>1E-3</v>
      </c>
      <c r="G877" s="65">
        <f>VLOOKUP(D877,upahbahan,3,FALSE)</f>
        <v>145000</v>
      </c>
      <c r="H877" s="65">
        <f t="shared" si="102"/>
        <v>145</v>
      </c>
      <c r="J877" s="160"/>
      <c r="K877" s="328"/>
    </row>
    <row r="878" spans="3:11">
      <c r="C878" s="84" t="s">
        <v>1220</v>
      </c>
      <c r="D878" s="81"/>
      <c r="E878" s="81"/>
      <c r="F878" s="190"/>
      <c r="G878" s="221"/>
      <c r="H878" s="65">
        <f>SUM(H874:H877)</f>
        <v>7135</v>
      </c>
      <c r="I878" s="222"/>
      <c r="J878" s="160"/>
      <c r="K878" s="328"/>
    </row>
    <row r="879" spans="3:11">
      <c r="C879" s="305" t="s">
        <v>1221</v>
      </c>
      <c r="D879" s="60" t="s">
        <v>1222</v>
      </c>
      <c r="E879" s="74"/>
      <c r="F879" s="208"/>
      <c r="G879" s="74"/>
      <c r="H879" s="74"/>
      <c r="J879" s="160"/>
      <c r="K879" s="328"/>
    </row>
    <row r="880" spans="3:11">
      <c r="C880" s="363">
        <v>1</v>
      </c>
      <c r="D880" s="78" t="s">
        <v>861</v>
      </c>
      <c r="E880" s="69" t="s">
        <v>114</v>
      </c>
      <c r="F880" s="75">
        <v>1.1499999999999999</v>
      </c>
      <c r="G880" s="65">
        <f>VLOOKUP(D880,upahbahan,3,FALSE)</f>
        <v>12200</v>
      </c>
      <c r="H880" s="65">
        <f t="shared" ref="H880" si="103">F880*G880</f>
        <v>14029.999999999998</v>
      </c>
      <c r="J880" s="160"/>
      <c r="K880" s="328"/>
    </row>
    <row r="881" spans="3:11">
      <c r="C881" s="84" t="s">
        <v>1226</v>
      </c>
      <c r="D881" s="81"/>
      <c r="E881" s="81"/>
      <c r="F881" s="81"/>
      <c r="G881" s="163"/>
      <c r="H881" s="65">
        <f>SUM(H880:H880)</f>
        <v>14029.999999999998</v>
      </c>
      <c r="J881" s="160"/>
      <c r="K881" s="328"/>
    </row>
    <row r="882" spans="3:11">
      <c r="C882" s="73" t="s">
        <v>1227</v>
      </c>
      <c r="D882" s="60" t="s">
        <v>1228</v>
      </c>
      <c r="E882" s="74"/>
      <c r="F882" s="74"/>
      <c r="G882" s="74"/>
      <c r="H882" s="74"/>
      <c r="J882" s="160"/>
      <c r="K882" s="328"/>
    </row>
    <row r="883" spans="3:11">
      <c r="C883" s="84" t="s">
        <v>1229</v>
      </c>
      <c r="D883" s="81"/>
      <c r="E883" s="81"/>
      <c r="F883" s="81"/>
      <c r="G883" s="163"/>
      <c r="H883" s="306">
        <v>0</v>
      </c>
      <c r="J883" s="160"/>
      <c r="K883" s="328"/>
    </row>
    <row r="884" spans="3:11">
      <c r="C884" s="59" t="s">
        <v>1230</v>
      </c>
      <c r="D884" s="70" t="s">
        <v>1231</v>
      </c>
      <c r="E884" s="71"/>
      <c r="F884" s="71"/>
      <c r="G884" s="72"/>
      <c r="H884" s="307">
        <f>H883+H881+H878</f>
        <v>21165</v>
      </c>
      <c r="I884" s="322"/>
      <c r="J884" s="160"/>
      <c r="K884" s="328"/>
    </row>
    <row r="885" spans="3:11">
      <c r="C885" s="59" t="s">
        <v>1232</v>
      </c>
      <c r="D885" s="70" t="s">
        <v>1410</v>
      </c>
      <c r="E885" s="71"/>
      <c r="F885" s="72"/>
      <c r="G885" s="96">
        <f>$M$7</f>
        <v>0.1</v>
      </c>
      <c r="H885" s="65">
        <f>H884*G885</f>
        <v>2116.5</v>
      </c>
      <c r="I885" s="322"/>
      <c r="J885" s="160"/>
      <c r="K885" s="328"/>
    </row>
    <row r="886" spans="3:11">
      <c r="C886" s="59" t="s">
        <v>1233</v>
      </c>
      <c r="D886" s="70" t="s">
        <v>1234</v>
      </c>
      <c r="E886" s="71"/>
      <c r="F886" s="71"/>
      <c r="G886" s="72"/>
      <c r="H886" s="308">
        <f>SUM(H884:H885)</f>
        <v>23281.5</v>
      </c>
      <c r="I886" s="322"/>
      <c r="J886" s="160"/>
      <c r="K886" s="328"/>
    </row>
    <row r="887" spans="3:11">
      <c r="J887" s="160"/>
      <c r="K887" s="328"/>
    </row>
    <row r="888" spans="3:11">
      <c r="C888" s="316" t="s">
        <v>1894</v>
      </c>
      <c r="D888" s="318"/>
      <c r="E888" s="318"/>
      <c r="F888" s="318"/>
      <c r="G888" s="318"/>
      <c r="H888" s="318"/>
      <c r="I888" s="57">
        <f>ROUNDDOWN(H903,-2)</f>
        <v>35100</v>
      </c>
      <c r="J888" s="160"/>
      <c r="K888" s="328"/>
    </row>
    <row r="889" spans="3:11" ht="28.5">
      <c r="C889" s="303" t="s">
        <v>1207</v>
      </c>
      <c r="D889" s="303" t="s">
        <v>1208</v>
      </c>
      <c r="E889" s="303" t="s">
        <v>1209</v>
      </c>
      <c r="F889" s="303" t="s">
        <v>1210</v>
      </c>
      <c r="G889" s="303" t="s">
        <v>1211</v>
      </c>
      <c r="H889" s="303" t="s">
        <v>1212</v>
      </c>
      <c r="J889" s="160"/>
      <c r="K889" s="328"/>
    </row>
    <row r="890" spans="3:11">
      <c r="C890" s="305" t="s">
        <v>1213</v>
      </c>
      <c r="D890" s="60" t="s">
        <v>1214</v>
      </c>
      <c r="E890" s="74"/>
      <c r="F890" s="74"/>
      <c r="G890" s="74"/>
      <c r="H890" s="74"/>
      <c r="J890" s="160"/>
      <c r="K890" s="328"/>
    </row>
    <row r="891" spans="3:11">
      <c r="C891" s="363">
        <v>1</v>
      </c>
      <c r="D891" s="60" t="s">
        <v>5</v>
      </c>
      <c r="E891" s="305" t="s">
        <v>6</v>
      </c>
      <c r="F891" s="75">
        <v>2.4E-2</v>
      </c>
      <c r="G891" s="65">
        <f>VLOOKUP(D891,upahbahan,3,FALSE)</f>
        <v>100000</v>
      </c>
      <c r="H891" s="65">
        <f t="shared" ref="H891:H894" si="104">F891*G891</f>
        <v>2400</v>
      </c>
      <c r="J891" s="160"/>
      <c r="K891" s="328"/>
    </row>
    <row r="892" spans="3:11">
      <c r="C892" s="363">
        <v>2</v>
      </c>
      <c r="D892" s="60" t="str">
        <f>D875</f>
        <v>Tukang listrik</v>
      </c>
      <c r="E892" s="305" t="s">
        <v>6</v>
      </c>
      <c r="F892" s="75">
        <v>0.04</v>
      </c>
      <c r="G892" s="65">
        <f>VLOOKUP(D892,upahbahan,3,FALSE)</f>
        <v>145000</v>
      </c>
      <c r="H892" s="65">
        <f t="shared" si="104"/>
        <v>5800</v>
      </c>
      <c r="J892" s="160"/>
      <c r="K892" s="328"/>
    </row>
    <row r="893" spans="3:11">
      <c r="C893" s="363">
        <v>3</v>
      </c>
      <c r="D893" s="60" t="s">
        <v>18</v>
      </c>
      <c r="E893" s="305" t="s">
        <v>6</v>
      </c>
      <c r="F893" s="75">
        <v>4.0000000000000001E-3</v>
      </c>
      <c r="G893" s="65">
        <f>VLOOKUP(D893,upahbahan,3,FALSE)</f>
        <v>150000</v>
      </c>
      <c r="H893" s="65">
        <f t="shared" si="104"/>
        <v>600</v>
      </c>
      <c r="J893" s="160"/>
      <c r="K893" s="328"/>
    </row>
    <row r="894" spans="3:11">
      <c r="C894" s="363">
        <v>4</v>
      </c>
      <c r="D894" s="60" t="s">
        <v>19</v>
      </c>
      <c r="E894" s="305" t="s">
        <v>6</v>
      </c>
      <c r="F894" s="75">
        <v>1E-3</v>
      </c>
      <c r="G894" s="65">
        <f>VLOOKUP(D894,upahbahan,3,FALSE)</f>
        <v>145000</v>
      </c>
      <c r="H894" s="65">
        <f t="shared" si="104"/>
        <v>145</v>
      </c>
      <c r="J894" s="160"/>
      <c r="K894" s="328"/>
    </row>
    <row r="895" spans="3:11">
      <c r="C895" s="84" t="s">
        <v>1220</v>
      </c>
      <c r="D895" s="81"/>
      <c r="E895" s="81"/>
      <c r="F895" s="190"/>
      <c r="G895" s="221"/>
      <c r="H895" s="65">
        <f>SUM(H891:H894)</f>
        <v>8945</v>
      </c>
      <c r="I895" s="222"/>
      <c r="J895" s="160"/>
      <c r="K895" s="328"/>
    </row>
    <row r="896" spans="3:11">
      <c r="C896" s="305" t="s">
        <v>1221</v>
      </c>
      <c r="D896" s="60" t="s">
        <v>1222</v>
      </c>
      <c r="E896" s="74"/>
      <c r="F896" s="208"/>
      <c r="G896" s="74"/>
      <c r="H896" s="74"/>
      <c r="J896" s="160"/>
      <c r="K896" s="328"/>
    </row>
    <row r="897" spans="3:11">
      <c r="C897" s="363">
        <v>1</v>
      </c>
      <c r="D897" s="78" t="s">
        <v>857</v>
      </c>
      <c r="E897" s="69" t="s">
        <v>114</v>
      </c>
      <c r="F897" s="75">
        <v>1.1499999999999999</v>
      </c>
      <c r="G897" s="65">
        <f>VLOOKUP(D897,upahbahan,3,FALSE)</f>
        <v>20000</v>
      </c>
      <c r="H897" s="65">
        <f t="shared" ref="H897" si="105">F897*G897</f>
        <v>23000</v>
      </c>
      <c r="J897" s="160"/>
      <c r="K897" s="328"/>
    </row>
    <row r="898" spans="3:11">
      <c r="C898" s="84" t="s">
        <v>1226</v>
      </c>
      <c r="D898" s="81"/>
      <c r="E898" s="81"/>
      <c r="F898" s="81"/>
      <c r="G898" s="163"/>
      <c r="H898" s="65">
        <f>SUM(H897:H897)</f>
        <v>23000</v>
      </c>
      <c r="J898" s="160"/>
      <c r="K898" s="328"/>
    </row>
    <row r="899" spans="3:11">
      <c r="C899" s="73" t="s">
        <v>1227</v>
      </c>
      <c r="D899" s="60" t="s">
        <v>1228</v>
      </c>
      <c r="E899" s="74"/>
      <c r="F899" s="74"/>
      <c r="G899" s="74"/>
      <c r="H899" s="74"/>
      <c r="J899" s="160"/>
      <c r="K899" s="328"/>
    </row>
    <row r="900" spans="3:11">
      <c r="C900" s="84" t="s">
        <v>1229</v>
      </c>
      <c r="D900" s="81"/>
      <c r="E900" s="81"/>
      <c r="F900" s="81"/>
      <c r="G900" s="163"/>
      <c r="H900" s="306">
        <v>0</v>
      </c>
      <c r="J900" s="160"/>
      <c r="K900" s="328"/>
    </row>
    <row r="901" spans="3:11">
      <c r="C901" s="59" t="s">
        <v>1230</v>
      </c>
      <c r="D901" s="70" t="s">
        <v>1231</v>
      </c>
      <c r="E901" s="71"/>
      <c r="F901" s="71"/>
      <c r="G901" s="72"/>
      <c r="H901" s="307">
        <f>H900+H898+H895</f>
        <v>31945</v>
      </c>
      <c r="I901" s="322"/>
      <c r="J901" s="160"/>
      <c r="K901" s="328"/>
    </row>
    <row r="902" spans="3:11">
      <c r="C902" s="59" t="s">
        <v>1232</v>
      </c>
      <c r="D902" s="70" t="s">
        <v>1410</v>
      </c>
      <c r="E902" s="71"/>
      <c r="F902" s="72"/>
      <c r="G902" s="96">
        <f>$M$7</f>
        <v>0.1</v>
      </c>
      <c r="H902" s="65">
        <f>H901*G902</f>
        <v>3194.5</v>
      </c>
      <c r="I902" s="322"/>
      <c r="J902" s="160"/>
      <c r="K902" s="328"/>
    </row>
    <row r="903" spans="3:11">
      <c r="C903" s="59" t="s">
        <v>1233</v>
      </c>
      <c r="D903" s="70" t="s">
        <v>1234</v>
      </c>
      <c r="E903" s="71"/>
      <c r="F903" s="71"/>
      <c r="G903" s="72"/>
      <c r="H903" s="308">
        <f>SUM(H901:H902)</f>
        <v>35139.5</v>
      </c>
      <c r="I903" s="322"/>
      <c r="J903" s="160"/>
      <c r="K903" s="328"/>
    </row>
    <row r="904" spans="3:11">
      <c r="J904" s="160"/>
      <c r="K904" s="328"/>
    </row>
    <row r="905" spans="3:11">
      <c r="C905" s="316" t="s">
        <v>1895</v>
      </c>
      <c r="D905" s="318"/>
      <c r="E905" s="318"/>
      <c r="F905" s="318"/>
      <c r="G905" s="318"/>
      <c r="H905" s="318"/>
      <c r="I905" s="57">
        <f>ROUNDDOWN(H920,-2)</f>
        <v>51500</v>
      </c>
      <c r="J905" s="160"/>
      <c r="K905" s="328"/>
    </row>
    <row r="906" spans="3:11" ht="28.5">
      <c r="C906" s="303" t="s">
        <v>1207</v>
      </c>
      <c r="D906" s="303" t="s">
        <v>1208</v>
      </c>
      <c r="E906" s="303" t="s">
        <v>1209</v>
      </c>
      <c r="F906" s="303" t="s">
        <v>1210</v>
      </c>
      <c r="G906" s="303" t="s">
        <v>1211</v>
      </c>
      <c r="H906" s="303" t="s">
        <v>1212</v>
      </c>
      <c r="J906" s="160"/>
      <c r="K906" s="328"/>
    </row>
    <row r="907" spans="3:11">
      <c r="C907" s="305" t="s">
        <v>1213</v>
      </c>
      <c r="D907" s="60" t="s">
        <v>1214</v>
      </c>
      <c r="E907" s="74"/>
      <c r="F907" s="74"/>
      <c r="G907" s="74"/>
      <c r="H907" s="74"/>
      <c r="J907" s="160"/>
      <c r="K907" s="328"/>
    </row>
    <row r="908" spans="3:11">
      <c r="C908" s="363">
        <v>1</v>
      </c>
      <c r="D908" s="60" t="s">
        <v>5</v>
      </c>
      <c r="E908" s="305" t="s">
        <v>6</v>
      </c>
      <c r="F908" s="75">
        <v>2.4E-2</v>
      </c>
      <c r="G908" s="65">
        <f>VLOOKUP(D908,upahbahan,3,FALSE)</f>
        <v>100000</v>
      </c>
      <c r="H908" s="65">
        <f t="shared" ref="H908:H911" si="106">F908*G908</f>
        <v>2400</v>
      </c>
      <c r="J908" s="160"/>
      <c r="K908" s="328"/>
    </row>
    <row r="909" spans="3:11">
      <c r="C909" s="363">
        <v>2</v>
      </c>
      <c r="D909" s="60" t="str">
        <f>D892</f>
        <v>Tukang listrik</v>
      </c>
      <c r="E909" s="305" t="s">
        <v>6</v>
      </c>
      <c r="F909" s="75">
        <v>0.04</v>
      </c>
      <c r="G909" s="65">
        <f>VLOOKUP(D909,upahbahan,3,FALSE)</f>
        <v>145000</v>
      </c>
      <c r="H909" s="65">
        <f t="shared" si="106"/>
        <v>5800</v>
      </c>
      <c r="J909" s="160"/>
      <c r="K909" s="328"/>
    </row>
    <row r="910" spans="3:11">
      <c r="C910" s="363">
        <v>3</v>
      </c>
      <c r="D910" s="60" t="s">
        <v>18</v>
      </c>
      <c r="E910" s="305" t="s">
        <v>6</v>
      </c>
      <c r="F910" s="75">
        <v>4.0000000000000001E-3</v>
      </c>
      <c r="G910" s="65">
        <f>VLOOKUP(D910,upahbahan,3,FALSE)</f>
        <v>150000</v>
      </c>
      <c r="H910" s="65">
        <f t="shared" si="106"/>
        <v>600</v>
      </c>
      <c r="J910" s="160"/>
      <c r="K910" s="328"/>
    </row>
    <row r="911" spans="3:11">
      <c r="C911" s="363">
        <v>4</v>
      </c>
      <c r="D911" s="60" t="s">
        <v>19</v>
      </c>
      <c r="E911" s="305" t="s">
        <v>6</v>
      </c>
      <c r="F911" s="75">
        <v>1E-3</v>
      </c>
      <c r="G911" s="65">
        <f>VLOOKUP(D911,upahbahan,3,FALSE)</f>
        <v>145000</v>
      </c>
      <c r="H911" s="65">
        <f t="shared" si="106"/>
        <v>145</v>
      </c>
      <c r="J911" s="160"/>
      <c r="K911" s="328"/>
    </row>
    <row r="912" spans="3:11">
      <c r="C912" s="84" t="s">
        <v>1220</v>
      </c>
      <c r="D912" s="81"/>
      <c r="E912" s="81"/>
      <c r="F912" s="190"/>
      <c r="G912" s="221"/>
      <c r="H912" s="65">
        <f>SUM(H908:H911)</f>
        <v>8945</v>
      </c>
      <c r="I912" s="222"/>
      <c r="J912" s="160"/>
      <c r="K912" s="328"/>
    </row>
    <row r="913" spans="3:11">
      <c r="C913" s="305" t="s">
        <v>1221</v>
      </c>
      <c r="D913" s="60" t="s">
        <v>1222</v>
      </c>
      <c r="E913" s="74"/>
      <c r="F913" s="208"/>
      <c r="G913" s="74"/>
      <c r="H913" s="74"/>
      <c r="J913" s="160"/>
      <c r="K913" s="328"/>
    </row>
    <row r="914" spans="3:11">
      <c r="C914" s="363">
        <v>1</v>
      </c>
      <c r="D914" s="78" t="s">
        <v>858</v>
      </c>
      <c r="E914" s="69" t="s">
        <v>114</v>
      </c>
      <c r="F914" s="75">
        <v>1.1499999999999999</v>
      </c>
      <c r="G914" s="65">
        <f>VLOOKUP(D914,upahbahan,3,FALSE)</f>
        <v>33000</v>
      </c>
      <c r="H914" s="65">
        <f t="shared" ref="H914" si="107">F914*G914</f>
        <v>37950</v>
      </c>
      <c r="J914" s="160"/>
      <c r="K914" s="328"/>
    </row>
    <row r="915" spans="3:11">
      <c r="C915" s="84" t="s">
        <v>1226</v>
      </c>
      <c r="D915" s="81"/>
      <c r="E915" s="81"/>
      <c r="F915" s="81"/>
      <c r="G915" s="163"/>
      <c r="H915" s="65">
        <f>SUM(H914:H914)</f>
        <v>37950</v>
      </c>
      <c r="J915" s="160"/>
      <c r="K915" s="328"/>
    </row>
    <row r="916" spans="3:11">
      <c r="C916" s="73" t="s">
        <v>1227</v>
      </c>
      <c r="D916" s="60" t="s">
        <v>1228</v>
      </c>
      <c r="E916" s="74"/>
      <c r="F916" s="74"/>
      <c r="G916" s="74"/>
      <c r="H916" s="74"/>
      <c r="J916" s="160"/>
      <c r="K916" s="328"/>
    </row>
    <row r="917" spans="3:11">
      <c r="C917" s="84" t="s">
        <v>1229</v>
      </c>
      <c r="D917" s="81"/>
      <c r="E917" s="81"/>
      <c r="F917" s="81"/>
      <c r="G917" s="163"/>
      <c r="H917" s="306">
        <v>0</v>
      </c>
      <c r="J917" s="160"/>
      <c r="K917" s="328"/>
    </row>
    <row r="918" spans="3:11">
      <c r="C918" s="59" t="s">
        <v>1230</v>
      </c>
      <c r="D918" s="70" t="s">
        <v>1231</v>
      </c>
      <c r="E918" s="71"/>
      <c r="F918" s="71"/>
      <c r="G918" s="72"/>
      <c r="H918" s="307">
        <f>H917+H915+H912</f>
        <v>46895</v>
      </c>
      <c r="I918" s="322"/>
      <c r="J918" s="160"/>
      <c r="K918" s="328"/>
    </row>
    <row r="919" spans="3:11">
      <c r="C919" s="59" t="s">
        <v>1232</v>
      </c>
      <c r="D919" s="70" t="s">
        <v>1410</v>
      </c>
      <c r="E919" s="71"/>
      <c r="F919" s="72"/>
      <c r="G919" s="96">
        <f>$M$7</f>
        <v>0.1</v>
      </c>
      <c r="H919" s="65">
        <f>H918*G919</f>
        <v>4689.5</v>
      </c>
      <c r="I919" s="322"/>
      <c r="J919" s="160"/>
      <c r="K919" s="328"/>
    </row>
    <row r="920" spans="3:11">
      <c r="C920" s="59" t="s">
        <v>1233</v>
      </c>
      <c r="D920" s="70" t="s">
        <v>1234</v>
      </c>
      <c r="E920" s="71"/>
      <c r="F920" s="71"/>
      <c r="G920" s="72"/>
      <c r="H920" s="308">
        <f>SUM(H918:H919)</f>
        <v>51584.5</v>
      </c>
      <c r="I920" s="322"/>
      <c r="J920" s="160"/>
      <c r="K920" s="328"/>
    </row>
    <row r="921" spans="3:11">
      <c r="J921" s="160"/>
      <c r="K921" s="328"/>
    </row>
    <row r="922" spans="3:11">
      <c r="C922" s="316" t="s">
        <v>1896</v>
      </c>
      <c r="D922" s="318"/>
      <c r="E922" s="318"/>
      <c r="F922" s="318"/>
      <c r="G922" s="318"/>
      <c r="H922" s="318"/>
      <c r="I922" s="57">
        <f>ROUNDDOWN(H938,-2)</f>
        <v>26600</v>
      </c>
      <c r="J922" s="160"/>
      <c r="K922" s="328"/>
    </row>
    <row r="923" spans="3:11" ht="28.5">
      <c r="C923" s="303" t="s">
        <v>1207</v>
      </c>
      <c r="D923" s="303" t="s">
        <v>1208</v>
      </c>
      <c r="E923" s="303" t="s">
        <v>1209</v>
      </c>
      <c r="F923" s="303" t="s">
        <v>1210</v>
      </c>
      <c r="G923" s="303" t="s">
        <v>1211</v>
      </c>
      <c r="H923" s="303" t="s">
        <v>1212</v>
      </c>
      <c r="J923" s="160"/>
      <c r="K923" s="328"/>
    </row>
    <row r="924" spans="3:11">
      <c r="C924" s="73" t="s">
        <v>1213</v>
      </c>
      <c r="D924" s="60" t="s">
        <v>1214</v>
      </c>
      <c r="E924" s="74"/>
      <c r="F924" s="74"/>
      <c r="G924" s="74"/>
      <c r="H924" s="74"/>
      <c r="J924" s="160"/>
      <c r="K924" s="328"/>
    </row>
    <row r="925" spans="3:11">
      <c r="C925" s="304">
        <v>1</v>
      </c>
      <c r="D925" s="60" t="s">
        <v>5</v>
      </c>
      <c r="E925" s="305" t="s">
        <v>6</v>
      </c>
      <c r="F925" s="75">
        <v>2.4E-2</v>
      </c>
      <c r="G925" s="65">
        <f>VLOOKUP(D925,upahbahan,3,FALSE)</f>
        <v>100000</v>
      </c>
      <c r="H925" s="65">
        <f t="shared" ref="H925:H928" si="108">F925*G925</f>
        <v>2400</v>
      </c>
      <c r="J925" s="160"/>
      <c r="K925" s="328"/>
    </row>
    <row r="926" spans="3:11">
      <c r="C926" s="304">
        <v>2</v>
      </c>
      <c r="D926" s="60" t="str">
        <f>D909</f>
        <v>Tukang listrik</v>
      </c>
      <c r="E926" s="305" t="s">
        <v>6</v>
      </c>
      <c r="F926" s="75">
        <v>0.04</v>
      </c>
      <c r="G926" s="65">
        <f>VLOOKUP(D926,upahbahan,3,FALSE)</f>
        <v>145000</v>
      </c>
      <c r="H926" s="65">
        <f t="shared" si="108"/>
        <v>5800</v>
      </c>
      <c r="J926" s="160"/>
      <c r="K926" s="328"/>
    </row>
    <row r="927" spans="3:11">
      <c r="C927" s="304">
        <v>3</v>
      </c>
      <c r="D927" s="60" t="s">
        <v>18</v>
      </c>
      <c r="E927" s="305" t="s">
        <v>6</v>
      </c>
      <c r="F927" s="75">
        <v>4.0000000000000001E-3</v>
      </c>
      <c r="G927" s="65">
        <f>VLOOKUP(D927,upahbahan,3,FALSE)</f>
        <v>150000</v>
      </c>
      <c r="H927" s="65">
        <f t="shared" si="108"/>
        <v>600</v>
      </c>
      <c r="J927" s="160"/>
      <c r="K927" s="328"/>
    </row>
    <row r="928" spans="3:11">
      <c r="C928" s="304">
        <v>4</v>
      </c>
      <c r="D928" s="60" t="s">
        <v>19</v>
      </c>
      <c r="E928" s="305" t="s">
        <v>6</v>
      </c>
      <c r="F928" s="75">
        <v>1E-3</v>
      </c>
      <c r="G928" s="65">
        <f>VLOOKUP(D928,upahbahan,3,FALSE)</f>
        <v>145000</v>
      </c>
      <c r="H928" s="65">
        <f t="shared" si="108"/>
        <v>145</v>
      </c>
      <c r="J928" s="160"/>
      <c r="K928" s="328"/>
    </row>
    <row r="929" spans="3:11">
      <c r="C929" s="84" t="s">
        <v>1220</v>
      </c>
      <c r="D929" s="81"/>
      <c r="E929" s="81"/>
      <c r="F929" s="190"/>
      <c r="G929" s="221"/>
      <c r="H929" s="65">
        <f>SUM(H925:H928)</f>
        <v>8945</v>
      </c>
      <c r="I929" s="222"/>
      <c r="J929" s="160"/>
      <c r="K929" s="328"/>
    </row>
    <row r="930" spans="3:11">
      <c r="C930" s="73" t="s">
        <v>1221</v>
      </c>
      <c r="D930" s="60" t="s">
        <v>1222</v>
      </c>
      <c r="E930" s="74"/>
      <c r="F930" s="208"/>
      <c r="G930" s="74"/>
      <c r="H930" s="74"/>
      <c r="J930" s="160"/>
      <c r="K930" s="328"/>
    </row>
    <row r="931" spans="3:11">
      <c r="C931" s="368" t="s">
        <v>1215</v>
      </c>
      <c r="D931" s="78" t="s">
        <v>862</v>
      </c>
      <c r="E931" s="69" t="s">
        <v>114</v>
      </c>
      <c r="F931" s="75">
        <v>1.1499999999999999</v>
      </c>
      <c r="G931" s="65">
        <f>VLOOKUP(D931,upahbahan,3,FALSE)</f>
        <v>9200</v>
      </c>
      <c r="H931" s="65">
        <f t="shared" ref="H931:H932" si="109">F931*G931</f>
        <v>10580</v>
      </c>
      <c r="J931" s="160"/>
      <c r="K931" s="328"/>
    </row>
    <row r="932" spans="3:11">
      <c r="C932" s="368" t="s">
        <v>1216</v>
      </c>
      <c r="D932" s="78" t="s">
        <v>968</v>
      </c>
      <c r="E932" s="69" t="s">
        <v>114</v>
      </c>
      <c r="F932" s="75">
        <v>1.1499999999999999</v>
      </c>
      <c r="G932" s="65">
        <f>VLOOKUP(D932,upahbahan,3,FALSE)</f>
        <v>4100</v>
      </c>
      <c r="H932" s="65">
        <f t="shared" si="109"/>
        <v>4715</v>
      </c>
      <c r="J932" s="160"/>
      <c r="K932" s="328"/>
    </row>
    <row r="933" spans="3:11">
      <c r="C933" s="84" t="s">
        <v>1226</v>
      </c>
      <c r="D933" s="81"/>
      <c r="E933" s="81"/>
      <c r="F933" s="81"/>
      <c r="G933" s="163"/>
      <c r="H933" s="65">
        <f>SUM(H931:H932)</f>
        <v>15295</v>
      </c>
      <c r="J933" s="160"/>
      <c r="K933" s="328"/>
    </row>
    <row r="934" spans="3:11">
      <c r="C934" s="73" t="s">
        <v>1227</v>
      </c>
      <c r="D934" s="60" t="s">
        <v>1228</v>
      </c>
      <c r="E934" s="74"/>
      <c r="F934" s="74"/>
      <c r="G934" s="74"/>
      <c r="H934" s="74"/>
      <c r="J934" s="160"/>
      <c r="K934" s="328"/>
    </row>
    <row r="935" spans="3:11">
      <c r="C935" s="84" t="s">
        <v>1229</v>
      </c>
      <c r="D935" s="81"/>
      <c r="E935" s="81"/>
      <c r="F935" s="81"/>
      <c r="G935" s="163"/>
      <c r="H935" s="306">
        <v>0</v>
      </c>
      <c r="J935" s="160"/>
      <c r="K935" s="328"/>
    </row>
    <row r="936" spans="3:11">
      <c r="C936" s="59" t="s">
        <v>1230</v>
      </c>
      <c r="D936" s="70" t="s">
        <v>1231</v>
      </c>
      <c r="E936" s="71"/>
      <c r="F936" s="71"/>
      <c r="G936" s="72"/>
      <c r="H936" s="307">
        <f>H935+H933+H929</f>
        <v>24240</v>
      </c>
      <c r="I936" s="322"/>
      <c r="J936" s="160"/>
      <c r="K936" s="328"/>
    </row>
    <row r="937" spans="3:11">
      <c r="C937" s="59" t="s">
        <v>1232</v>
      </c>
      <c r="D937" s="70" t="s">
        <v>1410</v>
      </c>
      <c r="E937" s="71"/>
      <c r="F937" s="72"/>
      <c r="G937" s="96">
        <f>$M$7</f>
        <v>0.1</v>
      </c>
      <c r="H937" s="65">
        <f>H936*G937</f>
        <v>2424</v>
      </c>
      <c r="I937" s="322"/>
      <c r="J937" s="160"/>
      <c r="K937" s="328"/>
    </row>
    <row r="938" spans="3:11">
      <c r="C938" s="59" t="s">
        <v>1233</v>
      </c>
      <c r="D938" s="70" t="s">
        <v>1234</v>
      </c>
      <c r="E938" s="71"/>
      <c r="F938" s="71"/>
      <c r="G938" s="72"/>
      <c r="H938" s="308">
        <f>SUM(H936:H937)</f>
        <v>26664</v>
      </c>
      <c r="I938" s="322"/>
      <c r="J938" s="160"/>
      <c r="K938" s="328"/>
    </row>
    <row r="939" spans="3:11">
      <c r="J939" s="160"/>
      <c r="K939" s="328"/>
    </row>
    <row r="940" spans="3:11">
      <c r="C940" s="316" t="s">
        <v>1897</v>
      </c>
      <c r="D940" s="318"/>
      <c r="E940" s="318"/>
      <c r="F940" s="318"/>
      <c r="G940" s="318"/>
      <c r="H940" s="318"/>
      <c r="I940" s="57">
        <f>ROUNDDOWN(H956,-2)</f>
        <v>32700</v>
      </c>
      <c r="J940" s="160"/>
      <c r="K940" s="328"/>
    </row>
    <row r="941" spans="3:11" ht="28.5">
      <c r="C941" s="303" t="s">
        <v>1207</v>
      </c>
      <c r="D941" s="303" t="s">
        <v>1208</v>
      </c>
      <c r="E941" s="303" t="s">
        <v>1209</v>
      </c>
      <c r="F941" s="303" t="s">
        <v>1210</v>
      </c>
      <c r="G941" s="303" t="s">
        <v>1211</v>
      </c>
      <c r="H941" s="303" t="s">
        <v>1212</v>
      </c>
      <c r="J941" s="160"/>
      <c r="K941" s="328"/>
    </row>
    <row r="942" spans="3:11">
      <c r="C942" s="73" t="s">
        <v>1213</v>
      </c>
      <c r="D942" s="60" t="s">
        <v>1214</v>
      </c>
      <c r="E942" s="74"/>
      <c r="F942" s="74"/>
      <c r="G942" s="74"/>
      <c r="H942" s="74"/>
      <c r="J942" s="160"/>
      <c r="K942" s="328"/>
    </row>
    <row r="943" spans="3:11">
      <c r="C943" s="304">
        <v>1</v>
      </c>
      <c r="D943" s="60" t="s">
        <v>5</v>
      </c>
      <c r="E943" s="305" t="s">
        <v>6</v>
      </c>
      <c r="F943" s="75">
        <v>2.4E-2</v>
      </c>
      <c r="G943" s="65">
        <f>VLOOKUP(D943,upahbahan,3,FALSE)</f>
        <v>100000</v>
      </c>
      <c r="H943" s="65">
        <f t="shared" ref="H943:H946" si="110">F943*G943</f>
        <v>2400</v>
      </c>
      <c r="J943" s="160"/>
      <c r="K943" s="328"/>
    </row>
    <row r="944" spans="3:11">
      <c r="C944" s="304">
        <v>2</v>
      </c>
      <c r="D944" s="60" t="str">
        <f>D926</f>
        <v>Tukang listrik</v>
      </c>
      <c r="E944" s="305" t="s">
        <v>6</v>
      </c>
      <c r="F944" s="75">
        <v>0.04</v>
      </c>
      <c r="G944" s="65">
        <f>VLOOKUP(D944,upahbahan,3,FALSE)</f>
        <v>145000</v>
      </c>
      <c r="H944" s="65">
        <f t="shared" si="110"/>
        <v>5800</v>
      </c>
      <c r="J944" s="160"/>
      <c r="K944" s="328"/>
    </row>
    <row r="945" spans="3:11">
      <c r="C945" s="304">
        <v>3</v>
      </c>
      <c r="D945" s="60" t="s">
        <v>18</v>
      </c>
      <c r="E945" s="305" t="s">
        <v>6</v>
      </c>
      <c r="F945" s="75">
        <v>4.0000000000000001E-3</v>
      </c>
      <c r="G945" s="65">
        <f>VLOOKUP(D945,upahbahan,3,FALSE)</f>
        <v>150000</v>
      </c>
      <c r="H945" s="65">
        <f t="shared" si="110"/>
        <v>600</v>
      </c>
      <c r="J945" s="160"/>
      <c r="K945" s="328"/>
    </row>
    <row r="946" spans="3:11">
      <c r="C946" s="304">
        <v>4</v>
      </c>
      <c r="D946" s="60" t="s">
        <v>19</v>
      </c>
      <c r="E946" s="305" t="s">
        <v>6</v>
      </c>
      <c r="F946" s="75">
        <v>1E-3</v>
      </c>
      <c r="G946" s="65">
        <f>VLOOKUP(D946,upahbahan,3,FALSE)</f>
        <v>145000</v>
      </c>
      <c r="H946" s="65">
        <f t="shared" si="110"/>
        <v>145</v>
      </c>
      <c r="J946" s="160"/>
      <c r="K946" s="328"/>
    </row>
    <row r="947" spans="3:11">
      <c r="C947" s="84" t="s">
        <v>1220</v>
      </c>
      <c r="D947" s="81"/>
      <c r="E947" s="81"/>
      <c r="F947" s="190"/>
      <c r="G947" s="221"/>
      <c r="H947" s="65">
        <f>SUM(H943:H946)</f>
        <v>8945</v>
      </c>
      <c r="I947" s="222"/>
      <c r="J947" s="160"/>
      <c r="K947" s="328"/>
    </row>
    <row r="948" spans="3:11">
      <c r="C948" s="73" t="s">
        <v>1221</v>
      </c>
      <c r="D948" s="60" t="s">
        <v>1222</v>
      </c>
      <c r="E948" s="74"/>
      <c r="F948" s="208"/>
      <c r="G948" s="74"/>
      <c r="H948" s="74"/>
      <c r="J948" s="160"/>
      <c r="K948" s="328"/>
    </row>
    <row r="949" spans="3:11">
      <c r="C949" s="368" t="s">
        <v>1215</v>
      </c>
      <c r="D949" s="78" t="s">
        <v>863</v>
      </c>
      <c r="E949" s="69" t="s">
        <v>114</v>
      </c>
      <c r="F949" s="75">
        <v>1.1499999999999999</v>
      </c>
      <c r="G949" s="65">
        <f>VLOOKUP(D949,upahbahan,3,FALSE)</f>
        <v>14000</v>
      </c>
      <c r="H949" s="65">
        <f t="shared" ref="H949:H950" si="111">F949*G949</f>
        <v>16099.999999999998</v>
      </c>
      <c r="J949" s="160"/>
      <c r="K949" s="328"/>
    </row>
    <row r="950" spans="3:11">
      <c r="C950" s="368" t="s">
        <v>1216</v>
      </c>
      <c r="D950" s="78" t="s">
        <v>968</v>
      </c>
      <c r="E950" s="69" t="s">
        <v>114</v>
      </c>
      <c r="F950" s="75">
        <v>1.1499999999999999</v>
      </c>
      <c r="G950" s="65">
        <f>VLOOKUP(D950,upahbahan,3,FALSE)</f>
        <v>4100</v>
      </c>
      <c r="H950" s="65">
        <f t="shared" si="111"/>
        <v>4715</v>
      </c>
      <c r="J950" s="160"/>
      <c r="K950" s="328"/>
    </row>
    <row r="951" spans="3:11">
      <c r="C951" s="84" t="s">
        <v>1226</v>
      </c>
      <c r="D951" s="81"/>
      <c r="E951" s="81"/>
      <c r="F951" s="81"/>
      <c r="G951" s="163"/>
      <c r="H951" s="65">
        <f>SUM(H949:H950)</f>
        <v>20815</v>
      </c>
      <c r="J951" s="160"/>
      <c r="K951" s="328"/>
    </row>
    <row r="952" spans="3:11">
      <c r="C952" s="73" t="s">
        <v>1227</v>
      </c>
      <c r="D952" s="60" t="s">
        <v>1228</v>
      </c>
      <c r="E952" s="74"/>
      <c r="F952" s="74"/>
      <c r="G952" s="74"/>
      <c r="H952" s="74"/>
      <c r="J952" s="160"/>
      <c r="K952" s="328"/>
    </row>
    <row r="953" spans="3:11">
      <c r="C953" s="84" t="s">
        <v>1229</v>
      </c>
      <c r="D953" s="81"/>
      <c r="E953" s="81"/>
      <c r="F953" s="81"/>
      <c r="G953" s="163"/>
      <c r="H953" s="306">
        <v>0</v>
      </c>
      <c r="J953" s="160"/>
      <c r="K953" s="328"/>
    </row>
    <row r="954" spans="3:11">
      <c r="C954" s="59" t="s">
        <v>1230</v>
      </c>
      <c r="D954" s="70" t="s">
        <v>1231</v>
      </c>
      <c r="E954" s="71"/>
      <c r="F954" s="71"/>
      <c r="G954" s="72"/>
      <c r="H954" s="307">
        <f>H953+H951+H947</f>
        <v>29760</v>
      </c>
      <c r="I954" s="322"/>
      <c r="J954" s="160"/>
      <c r="K954" s="328"/>
    </row>
    <row r="955" spans="3:11">
      <c r="C955" s="59" t="s">
        <v>1232</v>
      </c>
      <c r="D955" s="70" t="s">
        <v>1410</v>
      </c>
      <c r="E955" s="71"/>
      <c r="F955" s="72"/>
      <c r="G955" s="96">
        <f>$M$7</f>
        <v>0.1</v>
      </c>
      <c r="H955" s="65">
        <f>H954*G955</f>
        <v>2976</v>
      </c>
      <c r="I955" s="322"/>
      <c r="J955" s="160"/>
      <c r="K955" s="328"/>
    </row>
    <row r="956" spans="3:11">
      <c r="C956" s="59" t="s">
        <v>1233</v>
      </c>
      <c r="D956" s="70" t="s">
        <v>1234</v>
      </c>
      <c r="E956" s="71"/>
      <c r="F956" s="71"/>
      <c r="G956" s="72"/>
      <c r="H956" s="308">
        <f>SUM(H954:H955)</f>
        <v>32736</v>
      </c>
      <c r="I956" s="322"/>
      <c r="J956" s="160"/>
      <c r="K956" s="328"/>
    </row>
    <row r="957" spans="3:11">
      <c r="J957" s="160"/>
      <c r="K957" s="328"/>
    </row>
    <row r="958" spans="3:11">
      <c r="C958" s="316" t="s">
        <v>1898</v>
      </c>
      <c r="D958" s="318"/>
      <c r="E958" s="318"/>
      <c r="F958" s="318"/>
      <c r="G958" s="318"/>
      <c r="H958" s="318"/>
      <c r="I958" s="57">
        <f>ROUNDDOWN(H973,-2)</f>
        <v>21500</v>
      </c>
      <c r="J958" s="160"/>
      <c r="K958" s="328"/>
    </row>
    <row r="959" spans="3:11" ht="28.5">
      <c r="C959" s="303" t="s">
        <v>1207</v>
      </c>
      <c r="D959" s="303" t="s">
        <v>1208</v>
      </c>
      <c r="E959" s="303" t="s">
        <v>1209</v>
      </c>
      <c r="F959" s="303" t="s">
        <v>1210</v>
      </c>
      <c r="G959" s="303" t="s">
        <v>1211</v>
      </c>
      <c r="H959" s="303" t="s">
        <v>1212</v>
      </c>
      <c r="J959" s="160"/>
      <c r="K959" s="328"/>
    </row>
    <row r="960" spans="3:11">
      <c r="C960" s="73" t="s">
        <v>1213</v>
      </c>
      <c r="D960" s="60" t="s">
        <v>1214</v>
      </c>
      <c r="E960" s="74"/>
      <c r="F960" s="74"/>
      <c r="G960" s="74"/>
      <c r="H960" s="74"/>
      <c r="J960" s="160"/>
      <c r="K960" s="328"/>
    </row>
    <row r="961" spans="3:11">
      <c r="C961" s="304">
        <v>1</v>
      </c>
      <c r="D961" s="60" t="s">
        <v>5</v>
      </c>
      <c r="E961" s="305" t="s">
        <v>6</v>
      </c>
      <c r="F961" s="75">
        <v>2.4E-2</v>
      </c>
      <c r="G961" s="65">
        <f>VLOOKUP(D961,upahbahan,3,FALSE)</f>
        <v>100000</v>
      </c>
      <c r="H961" s="65">
        <f t="shared" ref="H961:H964" si="112">F961*G961</f>
        <v>2400</v>
      </c>
      <c r="J961" s="160"/>
      <c r="K961" s="328"/>
    </row>
    <row r="962" spans="3:11">
      <c r="C962" s="304">
        <v>2</v>
      </c>
      <c r="D962" s="60" t="str">
        <f>D944</f>
        <v>Tukang listrik</v>
      </c>
      <c r="E962" s="305" t="s">
        <v>6</v>
      </c>
      <c r="F962" s="75">
        <v>0.04</v>
      </c>
      <c r="G962" s="65">
        <f>VLOOKUP(D962,upahbahan,3,FALSE)</f>
        <v>145000</v>
      </c>
      <c r="H962" s="65">
        <f t="shared" si="112"/>
        <v>5800</v>
      </c>
      <c r="J962" s="160"/>
      <c r="K962" s="328"/>
    </row>
    <row r="963" spans="3:11">
      <c r="C963" s="304">
        <v>3</v>
      </c>
      <c r="D963" s="60" t="s">
        <v>18</v>
      </c>
      <c r="E963" s="305" t="s">
        <v>6</v>
      </c>
      <c r="F963" s="75">
        <v>4.0000000000000001E-3</v>
      </c>
      <c r="G963" s="65">
        <f>VLOOKUP(D963,upahbahan,3,FALSE)</f>
        <v>150000</v>
      </c>
      <c r="H963" s="65">
        <f t="shared" si="112"/>
        <v>600</v>
      </c>
      <c r="J963" s="160"/>
      <c r="K963" s="328"/>
    </row>
    <row r="964" spans="3:11">
      <c r="C964" s="304">
        <v>4</v>
      </c>
      <c r="D964" s="60" t="s">
        <v>19</v>
      </c>
      <c r="E964" s="305" t="s">
        <v>6</v>
      </c>
      <c r="F964" s="75">
        <v>1E-3</v>
      </c>
      <c r="G964" s="65">
        <f>VLOOKUP(D964,upahbahan,3,FALSE)</f>
        <v>145000</v>
      </c>
      <c r="H964" s="65">
        <f t="shared" si="112"/>
        <v>145</v>
      </c>
      <c r="J964" s="160"/>
      <c r="K964" s="328"/>
    </row>
    <row r="965" spans="3:11">
      <c r="C965" s="84" t="s">
        <v>1220</v>
      </c>
      <c r="D965" s="81"/>
      <c r="E965" s="81"/>
      <c r="F965" s="190"/>
      <c r="G965" s="221"/>
      <c r="H965" s="65">
        <f>SUM(H961:H964)</f>
        <v>8945</v>
      </c>
      <c r="I965" s="222"/>
      <c r="J965" s="160"/>
      <c r="K965" s="328"/>
    </row>
    <row r="966" spans="3:11">
      <c r="C966" s="73" t="s">
        <v>1221</v>
      </c>
      <c r="D966" s="60" t="s">
        <v>1222</v>
      </c>
      <c r="E966" s="74"/>
      <c r="F966" s="208"/>
      <c r="G966" s="74"/>
      <c r="H966" s="74"/>
      <c r="J966" s="160"/>
      <c r="K966" s="328"/>
    </row>
    <row r="967" spans="3:11">
      <c r="C967" s="368" t="s">
        <v>1215</v>
      </c>
      <c r="D967" s="78" t="s">
        <v>892</v>
      </c>
      <c r="E967" s="69" t="s">
        <v>114</v>
      </c>
      <c r="F967" s="75">
        <v>1.2</v>
      </c>
      <c r="G967" s="65">
        <f>VLOOKUP(D967,upahbahan,3,FALSE)</f>
        <v>8880</v>
      </c>
      <c r="H967" s="65">
        <f t="shared" ref="H967" si="113">F967*G967</f>
        <v>10656</v>
      </c>
      <c r="J967" s="160"/>
      <c r="K967" s="328"/>
    </row>
    <row r="968" spans="3:11">
      <c r="C968" s="84" t="s">
        <v>1226</v>
      </c>
      <c r="D968" s="81"/>
      <c r="E968" s="81"/>
      <c r="F968" s="81"/>
      <c r="G968" s="163"/>
      <c r="H968" s="65">
        <f>SUM(H967:H967)</f>
        <v>10656</v>
      </c>
      <c r="J968" s="160"/>
      <c r="K968" s="328"/>
    </row>
    <row r="969" spans="3:11">
      <c r="C969" s="73" t="s">
        <v>1227</v>
      </c>
      <c r="D969" s="60" t="s">
        <v>1228</v>
      </c>
      <c r="E969" s="74"/>
      <c r="F969" s="74"/>
      <c r="G969" s="74"/>
      <c r="H969" s="74"/>
      <c r="J969" s="160"/>
      <c r="K969" s="328"/>
    </row>
    <row r="970" spans="3:11">
      <c r="C970" s="84" t="s">
        <v>1229</v>
      </c>
      <c r="D970" s="81"/>
      <c r="E970" s="81"/>
      <c r="F970" s="81"/>
      <c r="G970" s="163"/>
      <c r="H970" s="306">
        <v>0</v>
      </c>
      <c r="J970" s="160"/>
      <c r="K970" s="328"/>
    </row>
    <row r="971" spans="3:11">
      <c r="C971" s="59" t="s">
        <v>1230</v>
      </c>
      <c r="D971" s="70" t="s">
        <v>1231</v>
      </c>
      <c r="E971" s="71"/>
      <c r="F971" s="71"/>
      <c r="G971" s="72"/>
      <c r="H971" s="307">
        <f>H970+H968+H965</f>
        <v>19601</v>
      </c>
      <c r="I971" s="322"/>
      <c r="J971" s="160"/>
      <c r="K971" s="328"/>
    </row>
    <row r="972" spans="3:11">
      <c r="C972" s="59" t="s">
        <v>1232</v>
      </c>
      <c r="D972" s="70" t="s">
        <v>1410</v>
      </c>
      <c r="E972" s="71"/>
      <c r="F972" s="72"/>
      <c r="G972" s="96">
        <f>$M$7</f>
        <v>0.1</v>
      </c>
      <c r="H972" s="65">
        <f>H971*G972</f>
        <v>1960.1000000000001</v>
      </c>
      <c r="I972" s="322"/>
      <c r="J972" s="160"/>
      <c r="K972" s="328"/>
    </row>
    <row r="973" spans="3:11">
      <c r="C973" s="59" t="s">
        <v>1233</v>
      </c>
      <c r="D973" s="70" t="s">
        <v>1234</v>
      </c>
      <c r="E973" s="71"/>
      <c r="F973" s="71"/>
      <c r="G973" s="72"/>
      <c r="H973" s="308">
        <f>SUM(H971:H972)</f>
        <v>21561.1</v>
      </c>
      <c r="I973" s="322"/>
      <c r="J973" s="160"/>
      <c r="K973" s="328"/>
    </row>
    <row r="974" spans="3:11">
      <c r="J974" s="160"/>
      <c r="K974" s="328"/>
    </row>
    <row r="975" spans="3:11">
      <c r="C975" s="316" t="s">
        <v>1899</v>
      </c>
      <c r="D975" s="318"/>
      <c r="E975" s="318"/>
      <c r="F975" s="318"/>
      <c r="G975" s="318"/>
      <c r="H975" s="318"/>
      <c r="I975" s="57">
        <f>ROUNDDOWN(H990,-2)</f>
        <v>27300</v>
      </c>
      <c r="J975" s="160"/>
      <c r="K975" s="328"/>
    </row>
    <row r="976" spans="3:11" ht="28.5">
      <c r="C976" s="303" t="s">
        <v>1207</v>
      </c>
      <c r="D976" s="303" t="s">
        <v>1208</v>
      </c>
      <c r="E976" s="303" t="s">
        <v>1209</v>
      </c>
      <c r="F976" s="303" t="s">
        <v>1210</v>
      </c>
      <c r="G976" s="303" t="s">
        <v>1211</v>
      </c>
      <c r="H976" s="303" t="s">
        <v>1212</v>
      </c>
      <c r="J976" s="160"/>
      <c r="K976" s="328"/>
    </row>
    <row r="977" spans="3:11">
      <c r="C977" s="73" t="s">
        <v>1213</v>
      </c>
      <c r="D977" s="60" t="s">
        <v>1214</v>
      </c>
      <c r="E977" s="74"/>
      <c r="F977" s="74"/>
      <c r="G977" s="74"/>
      <c r="H977" s="74"/>
      <c r="J977" s="160"/>
      <c r="K977" s="328"/>
    </row>
    <row r="978" spans="3:11">
      <c r="C978" s="304">
        <v>1</v>
      </c>
      <c r="D978" s="60" t="s">
        <v>5</v>
      </c>
      <c r="E978" s="305" t="s">
        <v>6</v>
      </c>
      <c r="F978" s="75">
        <v>2.4E-2</v>
      </c>
      <c r="G978" s="65">
        <f>VLOOKUP(D978,upahbahan,3,FALSE)</f>
        <v>100000</v>
      </c>
      <c r="H978" s="65">
        <f t="shared" ref="H978:H981" si="114">F978*G978</f>
        <v>2400</v>
      </c>
      <c r="J978" s="160"/>
      <c r="K978" s="328"/>
    </row>
    <row r="979" spans="3:11">
      <c r="C979" s="304">
        <v>2</v>
      </c>
      <c r="D979" s="60" t="str">
        <f>D962</f>
        <v>Tukang listrik</v>
      </c>
      <c r="E979" s="305" t="s">
        <v>6</v>
      </c>
      <c r="F979" s="75">
        <v>0.04</v>
      </c>
      <c r="G979" s="65">
        <f>VLOOKUP(D979,upahbahan,3,FALSE)</f>
        <v>145000</v>
      </c>
      <c r="H979" s="65">
        <f t="shared" si="114"/>
        <v>5800</v>
      </c>
      <c r="J979" s="160"/>
      <c r="K979" s="328"/>
    </row>
    <row r="980" spans="3:11">
      <c r="C980" s="304">
        <v>3</v>
      </c>
      <c r="D980" s="60" t="s">
        <v>18</v>
      </c>
      <c r="E980" s="305" t="s">
        <v>6</v>
      </c>
      <c r="F980" s="75">
        <v>4.0000000000000001E-3</v>
      </c>
      <c r="G980" s="65">
        <f>VLOOKUP(D980,upahbahan,3,FALSE)</f>
        <v>150000</v>
      </c>
      <c r="H980" s="65">
        <f t="shared" si="114"/>
        <v>600</v>
      </c>
      <c r="J980" s="160"/>
      <c r="K980" s="328"/>
    </row>
    <row r="981" spans="3:11">
      <c r="C981" s="304">
        <v>4</v>
      </c>
      <c r="D981" s="60" t="s">
        <v>19</v>
      </c>
      <c r="E981" s="305" t="s">
        <v>6</v>
      </c>
      <c r="F981" s="75">
        <v>1E-3</v>
      </c>
      <c r="G981" s="65">
        <f>VLOOKUP(D981,upahbahan,3,FALSE)</f>
        <v>145000</v>
      </c>
      <c r="H981" s="65">
        <f t="shared" si="114"/>
        <v>145</v>
      </c>
      <c r="J981" s="160"/>
      <c r="K981" s="328"/>
    </row>
    <row r="982" spans="3:11">
      <c r="C982" s="84" t="s">
        <v>1220</v>
      </c>
      <c r="D982" s="81"/>
      <c r="E982" s="81"/>
      <c r="F982" s="190"/>
      <c r="G982" s="221"/>
      <c r="H982" s="65">
        <f>SUM(H978:H981)</f>
        <v>8945</v>
      </c>
      <c r="I982" s="222"/>
      <c r="J982" s="160"/>
      <c r="K982" s="328"/>
    </row>
    <row r="983" spans="3:11">
      <c r="C983" s="73" t="s">
        <v>1221</v>
      </c>
      <c r="D983" s="60" t="s">
        <v>1222</v>
      </c>
      <c r="E983" s="74"/>
      <c r="F983" s="208"/>
      <c r="G983" s="74"/>
      <c r="H983" s="74"/>
      <c r="J983" s="160"/>
      <c r="K983" s="328"/>
    </row>
    <row r="984" spans="3:11">
      <c r="C984" s="368" t="s">
        <v>1215</v>
      </c>
      <c r="D984" s="78" t="s">
        <v>894</v>
      </c>
      <c r="E984" s="69" t="s">
        <v>114</v>
      </c>
      <c r="F984" s="75">
        <v>1.2</v>
      </c>
      <c r="G984" s="65">
        <f>VLOOKUP(D984,upahbahan,3,FALSE)</f>
        <v>13250</v>
      </c>
      <c r="H984" s="65">
        <f t="shared" ref="H984" si="115">F984*G984</f>
        <v>15900</v>
      </c>
      <c r="J984" s="160"/>
      <c r="K984" s="328"/>
    </row>
    <row r="985" spans="3:11">
      <c r="C985" s="84" t="s">
        <v>1226</v>
      </c>
      <c r="D985" s="81"/>
      <c r="E985" s="81"/>
      <c r="F985" s="81"/>
      <c r="G985" s="163"/>
      <c r="H985" s="65">
        <f>SUM(H984:H984)</f>
        <v>15900</v>
      </c>
      <c r="J985" s="160"/>
      <c r="K985" s="328"/>
    </row>
    <row r="986" spans="3:11">
      <c r="C986" s="73" t="s">
        <v>1227</v>
      </c>
      <c r="D986" s="60" t="s">
        <v>1228</v>
      </c>
      <c r="E986" s="74"/>
      <c r="F986" s="74"/>
      <c r="G986" s="74"/>
      <c r="H986" s="74"/>
      <c r="J986" s="160"/>
      <c r="K986" s="328"/>
    </row>
    <row r="987" spans="3:11">
      <c r="C987" s="84" t="s">
        <v>1229</v>
      </c>
      <c r="D987" s="81"/>
      <c r="E987" s="81"/>
      <c r="F987" s="81"/>
      <c r="G987" s="163"/>
      <c r="H987" s="306">
        <v>0</v>
      </c>
      <c r="J987" s="160"/>
      <c r="K987" s="328"/>
    </row>
    <row r="988" spans="3:11">
      <c r="C988" s="59" t="s">
        <v>1230</v>
      </c>
      <c r="D988" s="70" t="s">
        <v>1231</v>
      </c>
      <c r="E988" s="71"/>
      <c r="F988" s="71"/>
      <c r="G988" s="72"/>
      <c r="H988" s="307">
        <f>H987+H985+H982</f>
        <v>24845</v>
      </c>
      <c r="I988" s="322"/>
      <c r="J988" s="160"/>
      <c r="K988" s="328"/>
    </row>
    <row r="989" spans="3:11">
      <c r="C989" s="59" t="s">
        <v>1232</v>
      </c>
      <c r="D989" s="70" t="s">
        <v>1410</v>
      </c>
      <c r="E989" s="71"/>
      <c r="F989" s="72"/>
      <c r="G989" s="96">
        <f>$M$7</f>
        <v>0.1</v>
      </c>
      <c r="H989" s="65">
        <f>H988*G989</f>
        <v>2484.5</v>
      </c>
      <c r="I989" s="322"/>
      <c r="J989" s="160"/>
      <c r="K989" s="328"/>
    </row>
    <row r="990" spans="3:11">
      <c r="C990" s="59" t="s">
        <v>1233</v>
      </c>
      <c r="D990" s="70" t="s">
        <v>1234</v>
      </c>
      <c r="E990" s="71"/>
      <c r="F990" s="71"/>
      <c r="G990" s="72"/>
      <c r="H990" s="308">
        <f>SUM(H988:H989)</f>
        <v>27329.5</v>
      </c>
      <c r="I990" s="322"/>
      <c r="J990" s="160"/>
      <c r="K990" s="328"/>
    </row>
    <row r="991" spans="3:11">
      <c r="J991" s="160"/>
      <c r="K991" s="328"/>
    </row>
    <row r="992" spans="3:11">
      <c r="C992" s="316" t="s">
        <v>1900</v>
      </c>
      <c r="D992" s="318"/>
      <c r="E992" s="318"/>
      <c r="F992" s="318"/>
      <c r="G992" s="318"/>
      <c r="H992" s="318"/>
      <c r="I992" s="57">
        <f>ROUNDDOWN(H1007,-2)</f>
        <v>36100</v>
      </c>
      <c r="J992" s="160"/>
      <c r="K992" s="328"/>
    </row>
    <row r="993" spans="3:11" ht="28.5">
      <c r="C993" s="303" t="s">
        <v>1207</v>
      </c>
      <c r="D993" s="303" t="s">
        <v>1208</v>
      </c>
      <c r="E993" s="303" t="s">
        <v>1209</v>
      </c>
      <c r="F993" s="303" t="s">
        <v>1210</v>
      </c>
      <c r="G993" s="303" t="s">
        <v>1211</v>
      </c>
      <c r="H993" s="303" t="s">
        <v>1212</v>
      </c>
      <c r="J993" s="160"/>
      <c r="K993" s="328"/>
    </row>
    <row r="994" spans="3:11">
      <c r="C994" s="73" t="s">
        <v>1213</v>
      </c>
      <c r="D994" s="60" t="s">
        <v>1214</v>
      </c>
      <c r="E994" s="74"/>
      <c r="F994" s="74"/>
      <c r="G994" s="74"/>
      <c r="H994" s="74"/>
      <c r="J994" s="160"/>
      <c r="K994" s="328"/>
    </row>
    <row r="995" spans="3:11">
      <c r="C995" s="304">
        <v>1</v>
      </c>
      <c r="D995" s="60" t="s">
        <v>5</v>
      </c>
      <c r="E995" s="305" t="s">
        <v>6</v>
      </c>
      <c r="F995" s="75">
        <v>2.4E-2</v>
      </c>
      <c r="G995" s="65">
        <f>VLOOKUP(D995,upahbahan,3,FALSE)</f>
        <v>100000</v>
      </c>
      <c r="H995" s="65">
        <f t="shared" ref="H995:H998" si="116">F995*G995</f>
        <v>2400</v>
      </c>
      <c r="J995" s="160"/>
      <c r="K995" s="328"/>
    </row>
    <row r="996" spans="3:11">
      <c r="C996" s="304">
        <v>2</v>
      </c>
      <c r="D996" s="60" t="str">
        <f>D979</f>
        <v>Tukang listrik</v>
      </c>
      <c r="E996" s="305" t="s">
        <v>6</v>
      </c>
      <c r="F996" s="75">
        <v>0.04</v>
      </c>
      <c r="G996" s="65">
        <f>VLOOKUP(D996,upahbahan,3,FALSE)</f>
        <v>145000</v>
      </c>
      <c r="H996" s="65">
        <f t="shared" si="116"/>
        <v>5800</v>
      </c>
      <c r="J996" s="160"/>
      <c r="K996" s="328"/>
    </row>
    <row r="997" spans="3:11">
      <c r="C997" s="304">
        <v>3</v>
      </c>
      <c r="D997" s="60" t="s">
        <v>18</v>
      </c>
      <c r="E997" s="305" t="s">
        <v>6</v>
      </c>
      <c r="F997" s="75">
        <v>4.0000000000000001E-3</v>
      </c>
      <c r="G997" s="65">
        <f>VLOOKUP(D997,upahbahan,3,FALSE)</f>
        <v>150000</v>
      </c>
      <c r="H997" s="65">
        <f t="shared" si="116"/>
        <v>600</v>
      </c>
      <c r="J997" s="160"/>
      <c r="K997" s="328"/>
    </row>
    <row r="998" spans="3:11">
      <c r="C998" s="304">
        <v>4</v>
      </c>
      <c r="D998" s="60" t="s">
        <v>19</v>
      </c>
      <c r="E998" s="305" t="s">
        <v>6</v>
      </c>
      <c r="F998" s="75">
        <v>1E-3</v>
      </c>
      <c r="G998" s="65">
        <f>VLOOKUP(D998,upahbahan,3,FALSE)</f>
        <v>145000</v>
      </c>
      <c r="H998" s="65">
        <f t="shared" si="116"/>
        <v>145</v>
      </c>
      <c r="J998" s="160"/>
      <c r="K998" s="328"/>
    </row>
    <row r="999" spans="3:11">
      <c r="C999" s="84" t="s">
        <v>1220</v>
      </c>
      <c r="D999" s="81"/>
      <c r="E999" s="81"/>
      <c r="F999" s="190"/>
      <c r="G999" s="221"/>
      <c r="H999" s="65">
        <f>SUM(H995:H998)</f>
        <v>8945</v>
      </c>
      <c r="I999" s="222"/>
      <c r="J999" s="160"/>
      <c r="K999" s="328"/>
    </row>
    <row r="1000" spans="3:11">
      <c r="C1000" s="73" t="s">
        <v>1221</v>
      </c>
      <c r="D1000" s="60" t="s">
        <v>1222</v>
      </c>
      <c r="E1000" s="74"/>
      <c r="F1000" s="208"/>
      <c r="G1000" s="74"/>
      <c r="H1000" s="74"/>
      <c r="J1000" s="160"/>
      <c r="K1000" s="328"/>
    </row>
    <row r="1001" spans="3:11">
      <c r="C1001" s="368" t="s">
        <v>1215</v>
      </c>
      <c r="D1001" s="78" t="s">
        <v>895</v>
      </c>
      <c r="E1001" s="69" t="s">
        <v>114</v>
      </c>
      <c r="F1001" s="75">
        <v>1.2</v>
      </c>
      <c r="G1001" s="65">
        <f>VLOOKUP(D1001,upahbahan,3,FALSE)</f>
        <v>19950</v>
      </c>
      <c r="H1001" s="65">
        <f t="shared" ref="H1001" si="117">F1001*G1001</f>
        <v>23940</v>
      </c>
      <c r="J1001" s="160"/>
      <c r="K1001" s="328"/>
    </row>
    <row r="1002" spans="3:11">
      <c r="C1002" s="84" t="s">
        <v>1226</v>
      </c>
      <c r="D1002" s="81"/>
      <c r="E1002" s="81"/>
      <c r="F1002" s="81"/>
      <c r="G1002" s="163"/>
      <c r="H1002" s="65">
        <f>SUM(H1001:H1001)</f>
        <v>23940</v>
      </c>
      <c r="J1002" s="160"/>
      <c r="K1002" s="328"/>
    </row>
    <row r="1003" spans="3:11">
      <c r="C1003" s="73" t="s">
        <v>1227</v>
      </c>
      <c r="D1003" s="60" t="s">
        <v>1228</v>
      </c>
      <c r="E1003" s="74"/>
      <c r="F1003" s="74"/>
      <c r="G1003" s="74"/>
      <c r="H1003" s="74"/>
      <c r="J1003" s="160"/>
      <c r="K1003" s="328"/>
    </row>
    <row r="1004" spans="3:11">
      <c r="C1004" s="84" t="s">
        <v>1229</v>
      </c>
      <c r="D1004" s="81"/>
      <c r="E1004" s="81"/>
      <c r="F1004" s="81"/>
      <c r="G1004" s="163"/>
      <c r="H1004" s="306">
        <v>0</v>
      </c>
      <c r="J1004" s="160"/>
      <c r="K1004" s="328"/>
    </row>
    <row r="1005" spans="3:11">
      <c r="C1005" s="59" t="s">
        <v>1230</v>
      </c>
      <c r="D1005" s="70" t="s">
        <v>1231</v>
      </c>
      <c r="E1005" s="71"/>
      <c r="F1005" s="71"/>
      <c r="G1005" s="72"/>
      <c r="H1005" s="307">
        <f>H1004+H1002+H999</f>
        <v>32885</v>
      </c>
      <c r="I1005" s="322"/>
      <c r="J1005" s="160"/>
      <c r="K1005" s="328"/>
    </row>
    <row r="1006" spans="3:11">
      <c r="C1006" s="59" t="s">
        <v>1232</v>
      </c>
      <c r="D1006" s="70" t="s">
        <v>1410</v>
      </c>
      <c r="E1006" s="71"/>
      <c r="F1006" s="72"/>
      <c r="G1006" s="96">
        <f>$M$7</f>
        <v>0.1</v>
      </c>
      <c r="H1006" s="65">
        <f>H1005*G1006</f>
        <v>3288.5</v>
      </c>
      <c r="I1006" s="322"/>
      <c r="J1006" s="160"/>
      <c r="K1006" s="328"/>
    </row>
    <row r="1007" spans="3:11">
      <c r="C1007" s="59" t="s">
        <v>1233</v>
      </c>
      <c r="D1007" s="70" t="s">
        <v>1234</v>
      </c>
      <c r="E1007" s="71"/>
      <c r="F1007" s="71"/>
      <c r="G1007" s="72"/>
      <c r="H1007" s="308">
        <f>SUM(H1005:H1006)</f>
        <v>36173.5</v>
      </c>
      <c r="I1007" s="322"/>
      <c r="J1007" s="160"/>
      <c r="K1007" s="328"/>
    </row>
    <row r="1008" spans="3:11">
      <c r="J1008" s="160"/>
      <c r="K1008" s="328"/>
    </row>
    <row r="1009" spans="3:11">
      <c r="C1009" s="316" t="s">
        <v>1901</v>
      </c>
      <c r="D1009" s="318"/>
      <c r="E1009" s="318"/>
      <c r="F1009" s="318"/>
      <c r="G1009" s="318"/>
      <c r="H1009" s="318"/>
      <c r="I1009" s="57">
        <f>ROUNDDOWN(H1024,-2)</f>
        <v>48100</v>
      </c>
      <c r="J1009" s="160"/>
      <c r="K1009" s="328"/>
    </row>
    <row r="1010" spans="3:11" ht="28.5">
      <c r="C1010" s="303" t="s">
        <v>1207</v>
      </c>
      <c r="D1010" s="303" t="s">
        <v>1208</v>
      </c>
      <c r="E1010" s="303" t="s">
        <v>1209</v>
      </c>
      <c r="F1010" s="303" t="s">
        <v>1210</v>
      </c>
      <c r="G1010" s="303" t="s">
        <v>1211</v>
      </c>
      <c r="H1010" s="303" t="s">
        <v>1212</v>
      </c>
      <c r="J1010" s="160"/>
      <c r="K1010" s="328"/>
    </row>
    <row r="1011" spans="3:11">
      <c r="C1011" s="73" t="s">
        <v>1213</v>
      </c>
      <c r="D1011" s="60" t="s">
        <v>1214</v>
      </c>
      <c r="E1011" s="74"/>
      <c r="F1011" s="74"/>
      <c r="G1011" s="74"/>
      <c r="H1011" s="74"/>
      <c r="J1011" s="160"/>
      <c r="K1011" s="328"/>
    </row>
    <row r="1012" spans="3:11">
      <c r="C1012" s="304">
        <v>1</v>
      </c>
      <c r="D1012" s="60" t="s">
        <v>5</v>
      </c>
      <c r="E1012" s="305" t="s">
        <v>6</v>
      </c>
      <c r="F1012" s="75">
        <v>2.4E-2</v>
      </c>
      <c r="G1012" s="65">
        <f>VLOOKUP(D1012,upahbahan,3,FALSE)</f>
        <v>100000</v>
      </c>
      <c r="H1012" s="65">
        <f t="shared" ref="H1012:H1015" si="118">F1012*G1012</f>
        <v>2400</v>
      </c>
      <c r="J1012" s="160"/>
      <c r="K1012" s="328"/>
    </row>
    <row r="1013" spans="3:11">
      <c r="C1013" s="304">
        <v>2</v>
      </c>
      <c r="D1013" s="60" t="str">
        <f>D996</f>
        <v>Tukang listrik</v>
      </c>
      <c r="E1013" s="305" t="s">
        <v>6</v>
      </c>
      <c r="F1013" s="75">
        <v>0.04</v>
      </c>
      <c r="G1013" s="65">
        <f>VLOOKUP(D1013,upahbahan,3,FALSE)</f>
        <v>145000</v>
      </c>
      <c r="H1013" s="65">
        <f t="shared" si="118"/>
        <v>5800</v>
      </c>
      <c r="J1013" s="160"/>
      <c r="K1013" s="328"/>
    </row>
    <row r="1014" spans="3:11">
      <c r="C1014" s="304">
        <v>3</v>
      </c>
      <c r="D1014" s="60" t="s">
        <v>18</v>
      </c>
      <c r="E1014" s="305" t="s">
        <v>6</v>
      </c>
      <c r="F1014" s="75">
        <v>4.0000000000000001E-3</v>
      </c>
      <c r="G1014" s="65">
        <f>VLOOKUP(D1014,upahbahan,3,FALSE)</f>
        <v>150000</v>
      </c>
      <c r="H1014" s="65">
        <f t="shared" si="118"/>
        <v>600</v>
      </c>
      <c r="J1014" s="160"/>
      <c r="K1014" s="328"/>
    </row>
    <row r="1015" spans="3:11">
      <c r="C1015" s="304">
        <v>4</v>
      </c>
      <c r="D1015" s="60" t="s">
        <v>19</v>
      </c>
      <c r="E1015" s="305" t="s">
        <v>6</v>
      </c>
      <c r="F1015" s="75">
        <v>1E-3</v>
      </c>
      <c r="G1015" s="65">
        <f>VLOOKUP(D1015,upahbahan,3,FALSE)</f>
        <v>145000</v>
      </c>
      <c r="H1015" s="65">
        <f t="shared" si="118"/>
        <v>145</v>
      </c>
      <c r="J1015" s="160"/>
      <c r="K1015" s="328"/>
    </row>
    <row r="1016" spans="3:11">
      <c r="C1016" s="84" t="s">
        <v>1220</v>
      </c>
      <c r="D1016" s="81"/>
      <c r="E1016" s="81"/>
      <c r="F1016" s="190"/>
      <c r="G1016" s="221"/>
      <c r="H1016" s="65">
        <f>SUM(H1012:H1015)</f>
        <v>8945</v>
      </c>
      <c r="I1016" s="222"/>
      <c r="J1016" s="160"/>
      <c r="K1016" s="328"/>
    </row>
    <row r="1017" spans="3:11">
      <c r="C1017" s="73" t="s">
        <v>1221</v>
      </c>
      <c r="D1017" s="60" t="s">
        <v>1222</v>
      </c>
      <c r="E1017" s="74"/>
      <c r="F1017" s="208"/>
      <c r="G1017" s="74"/>
      <c r="H1017" s="74"/>
      <c r="J1017" s="160"/>
      <c r="K1017" s="328"/>
    </row>
    <row r="1018" spans="3:11">
      <c r="C1018" s="368" t="s">
        <v>1215</v>
      </c>
      <c r="D1018" s="78" t="s">
        <v>896</v>
      </c>
      <c r="E1018" s="69" t="s">
        <v>114</v>
      </c>
      <c r="F1018" s="75">
        <v>1.2</v>
      </c>
      <c r="G1018" s="65">
        <f>VLOOKUP(D1018,upahbahan,3,FALSE)</f>
        <v>29000</v>
      </c>
      <c r="H1018" s="65">
        <f t="shared" ref="H1018" si="119">F1018*G1018</f>
        <v>34800</v>
      </c>
      <c r="J1018" s="160"/>
      <c r="K1018" s="328"/>
    </row>
    <row r="1019" spans="3:11">
      <c r="C1019" s="84" t="s">
        <v>1226</v>
      </c>
      <c r="D1019" s="81"/>
      <c r="E1019" s="81"/>
      <c r="F1019" s="81"/>
      <c r="G1019" s="163"/>
      <c r="H1019" s="65">
        <f>SUM(H1018:H1018)</f>
        <v>34800</v>
      </c>
      <c r="J1019" s="160"/>
      <c r="K1019" s="328"/>
    </row>
    <row r="1020" spans="3:11">
      <c r="C1020" s="73" t="s">
        <v>1227</v>
      </c>
      <c r="D1020" s="60" t="s">
        <v>1228</v>
      </c>
      <c r="E1020" s="74"/>
      <c r="F1020" s="74"/>
      <c r="G1020" s="74"/>
      <c r="H1020" s="74"/>
      <c r="J1020" s="160"/>
      <c r="K1020" s="328"/>
    </row>
    <row r="1021" spans="3:11">
      <c r="C1021" s="84" t="s">
        <v>1229</v>
      </c>
      <c r="D1021" s="81"/>
      <c r="E1021" s="81"/>
      <c r="F1021" s="81"/>
      <c r="G1021" s="163"/>
      <c r="H1021" s="306">
        <v>0</v>
      </c>
      <c r="J1021" s="160"/>
      <c r="K1021" s="328"/>
    </row>
    <row r="1022" spans="3:11">
      <c r="C1022" s="59" t="s">
        <v>1230</v>
      </c>
      <c r="D1022" s="70" t="s">
        <v>1231</v>
      </c>
      <c r="E1022" s="71"/>
      <c r="F1022" s="71"/>
      <c r="G1022" s="72"/>
      <c r="H1022" s="307">
        <f>H1021+H1019+H1016</f>
        <v>43745</v>
      </c>
      <c r="I1022" s="322"/>
      <c r="J1022" s="160"/>
      <c r="K1022" s="328"/>
    </row>
    <row r="1023" spans="3:11">
      <c r="C1023" s="59" t="s">
        <v>1232</v>
      </c>
      <c r="D1023" s="70" t="s">
        <v>1410</v>
      </c>
      <c r="E1023" s="71"/>
      <c r="F1023" s="72"/>
      <c r="G1023" s="96">
        <f>$M$7</f>
        <v>0.1</v>
      </c>
      <c r="H1023" s="65">
        <f>H1022*G1023</f>
        <v>4374.5</v>
      </c>
      <c r="I1023" s="322"/>
      <c r="J1023" s="160"/>
      <c r="K1023" s="328"/>
    </row>
    <row r="1024" spans="3:11">
      <c r="C1024" s="59" t="s">
        <v>1233</v>
      </c>
      <c r="D1024" s="70" t="s">
        <v>1234</v>
      </c>
      <c r="E1024" s="71"/>
      <c r="F1024" s="71"/>
      <c r="G1024" s="72"/>
      <c r="H1024" s="308">
        <f>SUM(H1022:H1023)</f>
        <v>48119.5</v>
      </c>
      <c r="I1024" s="322"/>
      <c r="J1024" s="160"/>
      <c r="K1024" s="328"/>
    </row>
    <row r="1025" spans="3:11">
      <c r="J1025" s="160"/>
      <c r="K1025" s="328"/>
    </row>
    <row r="1026" spans="3:11">
      <c r="C1026" s="316" t="s">
        <v>1902</v>
      </c>
      <c r="D1026" s="318"/>
      <c r="E1026" s="318"/>
      <c r="F1026" s="318"/>
      <c r="G1026" s="318"/>
      <c r="H1026" s="318"/>
      <c r="I1026" s="57">
        <f>ROUNDDOWN(H1041,-2)</f>
        <v>74500</v>
      </c>
      <c r="J1026" s="160"/>
      <c r="K1026" s="328"/>
    </row>
    <row r="1027" spans="3:11" ht="28.5">
      <c r="C1027" s="303" t="s">
        <v>1207</v>
      </c>
      <c r="D1027" s="303" t="s">
        <v>1208</v>
      </c>
      <c r="E1027" s="303" t="s">
        <v>1209</v>
      </c>
      <c r="F1027" s="303" t="s">
        <v>1210</v>
      </c>
      <c r="G1027" s="303" t="s">
        <v>1211</v>
      </c>
      <c r="H1027" s="303" t="s">
        <v>1212</v>
      </c>
      <c r="J1027" s="160"/>
      <c r="K1027" s="328"/>
    </row>
    <row r="1028" spans="3:11">
      <c r="C1028" s="73" t="s">
        <v>1213</v>
      </c>
      <c r="D1028" s="60" t="s">
        <v>1214</v>
      </c>
      <c r="E1028" s="74"/>
      <c r="F1028" s="74"/>
      <c r="G1028" s="74"/>
      <c r="H1028" s="74"/>
      <c r="J1028" s="160"/>
      <c r="K1028" s="328"/>
    </row>
    <row r="1029" spans="3:11">
      <c r="C1029" s="304">
        <v>1</v>
      </c>
      <c r="D1029" s="60" t="s">
        <v>5</v>
      </c>
      <c r="E1029" s="305" t="s">
        <v>6</v>
      </c>
      <c r="F1029" s="75">
        <v>2.4E-2</v>
      </c>
      <c r="G1029" s="65">
        <f>VLOOKUP(D1029,upahbahan,3,FALSE)</f>
        <v>100000</v>
      </c>
      <c r="H1029" s="65">
        <f t="shared" ref="H1029:H1032" si="120">F1029*G1029</f>
        <v>2400</v>
      </c>
      <c r="J1029" s="160"/>
      <c r="K1029" s="328"/>
    </row>
    <row r="1030" spans="3:11">
      <c r="C1030" s="304">
        <v>2</v>
      </c>
      <c r="D1030" s="60" t="str">
        <f>D1013</f>
        <v>Tukang listrik</v>
      </c>
      <c r="E1030" s="305" t="s">
        <v>6</v>
      </c>
      <c r="F1030" s="75">
        <v>0.04</v>
      </c>
      <c r="G1030" s="65">
        <f>VLOOKUP(D1030,upahbahan,3,FALSE)</f>
        <v>145000</v>
      </c>
      <c r="H1030" s="65">
        <f t="shared" si="120"/>
        <v>5800</v>
      </c>
      <c r="J1030" s="160"/>
      <c r="K1030" s="328"/>
    </row>
    <row r="1031" spans="3:11">
      <c r="C1031" s="304">
        <v>3</v>
      </c>
      <c r="D1031" s="60" t="s">
        <v>18</v>
      </c>
      <c r="E1031" s="305" t="s">
        <v>6</v>
      </c>
      <c r="F1031" s="75">
        <v>4.0000000000000001E-3</v>
      </c>
      <c r="G1031" s="65">
        <f>VLOOKUP(D1031,upahbahan,3,FALSE)</f>
        <v>150000</v>
      </c>
      <c r="H1031" s="65">
        <f t="shared" si="120"/>
        <v>600</v>
      </c>
      <c r="J1031" s="160"/>
      <c r="K1031" s="328"/>
    </row>
    <row r="1032" spans="3:11">
      <c r="C1032" s="304">
        <v>4</v>
      </c>
      <c r="D1032" s="60" t="s">
        <v>19</v>
      </c>
      <c r="E1032" s="305" t="s">
        <v>6</v>
      </c>
      <c r="F1032" s="75">
        <v>1E-3</v>
      </c>
      <c r="G1032" s="65">
        <f>VLOOKUP(D1032,upahbahan,3,FALSE)</f>
        <v>145000</v>
      </c>
      <c r="H1032" s="65">
        <f t="shared" si="120"/>
        <v>145</v>
      </c>
      <c r="J1032" s="160"/>
      <c r="K1032" s="328"/>
    </row>
    <row r="1033" spans="3:11">
      <c r="C1033" s="84" t="s">
        <v>1220</v>
      </c>
      <c r="D1033" s="81"/>
      <c r="E1033" s="81"/>
      <c r="F1033" s="190"/>
      <c r="G1033" s="221"/>
      <c r="H1033" s="65">
        <f>SUM(H1029:H1032)</f>
        <v>8945</v>
      </c>
      <c r="I1033" s="222"/>
      <c r="J1033" s="160"/>
      <c r="K1033" s="328"/>
    </row>
    <row r="1034" spans="3:11">
      <c r="C1034" s="73" t="s">
        <v>1221</v>
      </c>
      <c r="D1034" s="60" t="s">
        <v>1222</v>
      </c>
      <c r="E1034" s="74"/>
      <c r="F1034" s="208"/>
      <c r="G1034" s="74"/>
      <c r="H1034" s="74"/>
      <c r="J1034" s="160"/>
      <c r="K1034" s="328"/>
    </row>
    <row r="1035" spans="3:11">
      <c r="C1035" s="368" t="s">
        <v>1215</v>
      </c>
      <c r="D1035" s="78" t="s">
        <v>893</v>
      </c>
      <c r="E1035" s="69" t="s">
        <v>114</v>
      </c>
      <c r="F1035" s="75">
        <v>1.2</v>
      </c>
      <c r="G1035" s="65">
        <f>VLOOKUP(D1035,upahbahan,3,FALSE)</f>
        <v>49000</v>
      </c>
      <c r="H1035" s="65">
        <f t="shared" ref="H1035" si="121">F1035*G1035</f>
        <v>58800</v>
      </c>
      <c r="J1035" s="160"/>
      <c r="K1035" s="328"/>
    </row>
    <row r="1036" spans="3:11">
      <c r="C1036" s="84" t="s">
        <v>1226</v>
      </c>
      <c r="D1036" s="81"/>
      <c r="E1036" s="81"/>
      <c r="F1036" s="81"/>
      <c r="G1036" s="163"/>
      <c r="H1036" s="65">
        <f>SUM(H1035:H1035)</f>
        <v>58800</v>
      </c>
      <c r="J1036" s="160"/>
      <c r="K1036" s="328"/>
    </row>
    <row r="1037" spans="3:11">
      <c r="C1037" s="73" t="s">
        <v>1227</v>
      </c>
      <c r="D1037" s="60" t="s">
        <v>1228</v>
      </c>
      <c r="E1037" s="74"/>
      <c r="F1037" s="74"/>
      <c r="G1037" s="74"/>
      <c r="H1037" s="74"/>
      <c r="J1037" s="160"/>
      <c r="K1037" s="328"/>
    </row>
    <row r="1038" spans="3:11">
      <c r="C1038" s="84" t="s">
        <v>1229</v>
      </c>
      <c r="D1038" s="81"/>
      <c r="E1038" s="81"/>
      <c r="F1038" s="81"/>
      <c r="G1038" s="163"/>
      <c r="H1038" s="306">
        <v>0</v>
      </c>
      <c r="J1038" s="160"/>
      <c r="K1038" s="328"/>
    </row>
    <row r="1039" spans="3:11">
      <c r="C1039" s="59" t="s">
        <v>1230</v>
      </c>
      <c r="D1039" s="70" t="s">
        <v>1231</v>
      </c>
      <c r="E1039" s="71"/>
      <c r="F1039" s="71"/>
      <c r="G1039" s="72"/>
      <c r="H1039" s="307">
        <f>H1038+H1036+H1033</f>
        <v>67745</v>
      </c>
      <c r="I1039" s="322"/>
      <c r="J1039" s="160"/>
      <c r="K1039" s="328"/>
    </row>
    <row r="1040" spans="3:11">
      <c r="C1040" s="59" t="s">
        <v>1232</v>
      </c>
      <c r="D1040" s="70" t="s">
        <v>1410</v>
      </c>
      <c r="E1040" s="71"/>
      <c r="F1040" s="72"/>
      <c r="G1040" s="96">
        <f>$M$7</f>
        <v>0.1</v>
      </c>
      <c r="H1040" s="65">
        <f>H1039*G1040</f>
        <v>6774.5</v>
      </c>
      <c r="I1040" s="322"/>
      <c r="J1040" s="160"/>
      <c r="K1040" s="328"/>
    </row>
    <row r="1041" spans="3:11">
      <c r="C1041" s="59" t="s">
        <v>1233</v>
      </c>
      <c r="D1041" s="70" t="s">
        <v>1234</v>
      </c>
      <c r="E1041" s="71"/>
      <c r="F1041" s="71"/>
      <c r="G1041" s="72"/>
      <c r="H1041" s="308">
        <f>SUM(H1039:H1040)</f>
        <v>74519.5</v>
      </c>
      <c r="I1041" s="322"/>
      <c r="J1041" s="160"/>
      <c r="K1041" s="328"/>
    </row>
    <row r="1042" spans="3:11">
      <c r="J1042" s="160"/>
      <c r="K1042" s="328"/>
    </row>
    <row r="1043" spans="3:11">
      <c r="C1043" s="316" t="s">
        <v>1903</v>
      </c>
      <c r="D1043" s="318"/>
      <c r="E1043" s="318"/>
      <c r="F1043" s="318"/>
      <c r="G1043" s="318"/>
      <c r="H1043" s="318"/>
      <c r="I1043" s="57">
        <f>ROUNDDOWN(H1058,-2)</f>
        <v>24800</v>
      </c>
      <c r="J1043" s="160"/>
      <c r="K1043" s="328"/>
    </row>
    <row r="1044" spans="3:11" ht="28.5">
      <c r="C1044" s="303" t="s">
        <v>1207</v>
      </c>
      <c r="D1044" s="303" t="s">
        <v>1208</v>
      </c>
      <c r="E1044" s="303" t="s">
        <v>1209</v>
      </c>
      <c r="F1044" s="303" t="s">
        <v>1210</v>
      </c>
      <c r="G1044" s="303" t="s">
        <v>1211</v>
      </c>
      <c r="H1044" s="303" t="s">
        <v>1212</v>
      </c>
      <c r="J1044" s="160"/>
      <c r="K1044" s="328"/>
    </row>
    <row r="1045" spans="3:11">
      <c r="C1045" s="73" t="s">
        <v>1213</v>
      </c>
      <c r="D1045" s="60" t="s">
        <v>1214</v>
      </c>
      <c r="E1045" s="74"/>
      <c r="F1045" s="74"/>
      <c r="G1045" s="74"/>
      <c r="H1045" s="74"/>
      <c r="J1045" s="160"/>
      <c r="K1045" s="328"/>
    </row>
    <row r="1046" spans="3:11">
      <c r="C1046" s="304">
        <v>1</v>
      </c>
      <c r="D1046" s="60" t="s">
        <v>5</v>
      </c>
      <c r="E1046" s="305" t="s">
        <v>6</v>
      </c>
      <c r="F1046" s="75">
        <v>2.4E-2</v>
      </c>
      <c r="G1046" s="65">
        <f>VLOOKUP(D1046,upahbahan,3,FALSE)</f>
        <v>100000</v>
      </c>
      <c r="H1046" s="65">
        <f t="shared" ref="H1046:H1049" si="122">F1046*G1046</f>
        <v>2400</v>
      </c>
      <c r="J1046" s="160"/>
      <c r="K1046" s="328"/>
    </row>
    <row r="1047" spans="3:11">
      <c r="C1047" s="304">
        <v>2</v>
      </c>
      <c r="D1047" s="60" t="str">
        <f>D1030</f>
        <v>Tukang listrik</v>
      </c>
      <c r="E1047" s="305" t="s">
        <v>6</v>
      </c>
      <c r="F1047" s="75">
        <v>0.04</v>
      </c>
      <c r="G1047" s="65">
        <f>VLOOKUP(D1047,upahbahan,3,FALSE)</f>
        <v>145000</v>
      </c>
      <c r="H1047" s="65">
        <f t="shared" si="122"/>
        <v>5800</v>
      </c>
      <c r="J1047" s="160"/>
      <c r="K1047" s="328"/>
    </row>
    <row r="1048" spans="3:11">
      <c r="C1048" s="304">
        <v>3</v>
      </c>
      <c r="D1048" s="60" t="s">
        <v>18</v>
      </c>
      <c r="E1048" s="305" t="s">
        <v>6</v>
      </c>
      <c r="F1048" s="75">
        <v>4.0000000000000001E-3</v>
      </c>
      <c r="G1048" s="65">
        <f>VLOOKUP(D1048,upahbahan,3,FALSE)</f>
        <v>150000</v>
      </c>
      <c r="H1048" s="65">
        <f t="shared" si="122"/>
        <v>600</v>
      </c>
      <c r="J1048" s="160"/>
      <c r="K1048" s="328"/>
    </row>
    <row r="1049" spans="3:11">
      <c r="C1049" s="304">
        <v>4</v>
      </c>
      <c r="D1049" s="60" t="s">
        <v>19</v>
      </c>
      <c r="E1049" s="305" t="s">
        <v>6</v>
      </c>
      <c r="F1049" s="75">
        <v>1E-3</v>
      </c>
      <c r="G1049" s="65">
        <f>VLOOKUP(D1049,upahbahan,3,FALSE)</f>
        <v>145000</v>
      </c>
      <c r="H1049" s="65">
        <f t="shared" si="122"/>
        <v>145</v>
      </c>
      <c r="J1049" s="160"/>
      <c r="K1049" s="328"/>
    </row>
    <row r="1050" spans="3:11">
      <c r="C1050" s="84" t="s">
        <v>1220</v>
      </c>
      <c r="D1050" s="81"/>
      <c r="E1050" s="81"/>
      <c r="F1050" s="190"/>
      <c r="G1050" s="221"/>
      <c r="H1050" s="65">
        <f>SUM(H1046:H1049)</f>
        <v>8945</v>
      </c>
      <c r="I1050" s="222"/>
      <c r="J1050" s="160"/>
      <c r="K1050" s="328"/>
    </row>
    <row r="1051" spans="3:11">
      <c r="C1051" s="73" t="s">
        <v>1221</v>
      </c>
      <c r="D1051" s="60" t="s">
        <v>1222</v>
      </c>
      <c r="E1051" s="74"/>
      <c r="F1051" s="208"/>
      <c r="G1051" s="74"/>
      <c r="H1051" s="74"/>
      <c r="J1051" s="160"/>
      <c r="K1051" s="328"/>
    </row>
    <row r="1052" spans="3:11">
      <c r="C1052" s="368" t="s">
        <v>1215</v>
      </c>
      <c r="D1052" s="78" t="s">
        <v>897</v>
      </c>
      <c r="E1052" s="69" t="s">
        <v>114</v>
      </c>
      <c r="F1052" s="75">
        <v>1.2</v>
      </c>
      <c r="G1052" s="65">
        <f>VLOOKUP(D1052,upahbahan,3,FALSE)</f>
        <v>11400</v>
      </c>
      <c r="H1052" s="65">
        <f t="shared" ref="H1052" si="123">F1052*G1052</f>
        <v>13680</v>
      </c>
      <c r="J1052" s="160"/>
      <c r="K1052" s="328"/>
    </row>
    <row r="1053" spans="3:11">
      <c r="C1053" s="84" t="s">
        <v>1226</v>
      </c>
      <c r="D1053" s="81"/>
      <c r="E1053" s="81"/>
      <c r="F1053" s="81"/>
      <c r="G1053" s="163"/>
      <c r="H1053" s="65">
        <f>SUM(H1052:H1052)</f>
        <v>13680</v>
      </c>
      <c r="J1053" s="160"/>
      <c r="K1053" s="328"/>
    </row>
    <row r="1054" spans="3:11">
      <c r="C1054" s="73" t="s">
        <v>1227</v>
      </c>
      <c r="D1054" s="60" t="s">
        <v>1228</v>
      </c>
      <c r="E1054" s="74"/>
      <c r="F1054" s="74"/>
      <c r="G1054" s="74"/>
      <c r="H1054" s="74"/>
      <c r="J1054" s="160"/>
      <c r="K1054" s="328"/>
    </row>
    <row r="1055" spans="3:11">
      <c r="C1055" s="84" t="s">
        <v>1229</v>
      </c>
      <c r="D1055" s="81"/>
      <c r="E1055" s="81"/>
      <c r="F1055" s="81"/>
      <c r="G1055" s="163"/>
      <c r="H1055" s="306">
        <v>0</v>
      </c>
      <c r="J1055" s="160"/>
      <c r="K1055" s="328"/>
    </row>
    <row r="1056" spans="3:11">
      <c r="C1056" s="59" t="s">
        <v>1230</v>
      </c>
      <c r="D1056" s="70" t="s">
        <v>1231</v>
      </c>
      <c r="E1056" s="71"/>
      <c r="F1056" s="71"/>
      <c r="G1056" s="72"/>
      <c r="H1056" s="307">
        <f>H1055+H1053+H1050</f>
        <v>22625</v>
      </c>
      <c r="I1056" s="322"/>
      <c r="J1056" s="160"/>
      <c r="K1056" s="328"/>
    </row>
    <row r="1057" spans="3:11">
      <c r="C1057" s="59" t="s">
        <v>1232</v>
      </c>
      <c r="D1057" s="70" t="s">
        <v>1410</v>
      </c>
      <c r="E1057" s="71"/>
      <c r="F1057" s="72"/>
      <c r="G1057" s="96">
        <f>$M$7</f>
        <v>0.1</v>
      </c>
      <c r="H1057" s="65">
        <f>H1056*G1057</f>
        <v>2262.5</v>
      </c>
      <c r="I1057" s="322"/>
      <c r="J1057" s="160"/>
      <c r="K1057" s="328"/>
    </row>
    <row r="1058" spans="3:11">
      <c r="C1058" s="59" t="s">
        <v>1233</v>
      </c>
      <c r="D1058" s="70" t="s">
        <v>1234</v>
      </c>
      <c r="E1058" s="71"/>
      <c r="F1058" s="71"/>
      <c r="G1058" s="72"/>
      <c r="H1058" s="308">
        <f>SUM(H1056:H1057)</f>
        <v>24887.5</v>
      </c>
      <c r="I1058" s="322"/>
      <c r="J1058" s="160"/>
      <c r="K1058" s="328"/>
    </row>
    <row r="1059" spans="3:11">
      <c r="J1059" s="160"/>
      <c r="K1059" s="328"/>
    </row>
    <row r="1060" spans="3:11">
      <c r="C1060" s="316" t="s">
        <v>1904</v>
      </c>
      <c r="D1060" s="318"/>
      <c r="E1060" s="318"/>
      <c r="F1060" s="318"/>
      <c r="G1060" s="318"/>
      <c r="H1060" s="318"/>
      <c r="I1060" s="57">
        <f>ROUNDDOWN(H1075,-2)</f>
        <v>37900</v>
      </c>
      <c r="J1060" s="160"/>
      <c r="K1060" s="328"/>
    </row>
    <row r="1061" spans="3:11" ht="28.5">
      <c r="C1061" s="303" t="s">
        <v>1207</v>
      </c>
      <c r="D1061" s="303" t="s">
        <v>1208</v>
      </c>
      <c r="E1061" s="303" t="s">
        <v>1209</v>
      </c>
      <c r="F1061" s="303" t="s">
        <v>1210</v>
      </c>
      <c r="G1061" s="303" t="s">
        <v>1211</v>
      </c>
      <c r="H1061" s="303" t="s">
        <v>1212</v>
      </c>
      <c r="J1061" s="160"/>
      <c r="K1061" s="328"/>
    </row>
    <row r="1062" spans="3:11">
      <c r="C1062" s="73" t="s">
        <v>1213</v>
      </c>
      <c r="D1062" s="60" t="s">
        <v>1214</v>
      </c>
      <c r="E1062" s="74"/>
      <c r="F1062" s="74"/>
      <c r="G1062" s="74"/>
      <c r="H1062" s="74"/>
      <c r="J1062" s="160"/>
      <c r="K1062" s="328"/>
    </row>
    <row r="1063" spans="3:11">
      <c r="C1063" s="304">
        <v>1</v>
      </c>
      <c r="D1063" s="60" t="s">
        <v>5</v>
      </c>
      <c r="E1063" s="305" t="s">
        <v>6</v>
      </c>
      <c r="F1063" s="75">
        <v>2.4E-2</v>
      </c>
      <c r="G1063" s="65">
        <f>VLOOKUP(D1063,upahbahan,3,FALSE)</f>
        <v>100000</v>
      </c>
      <c r="H1063" s="65">
        <f t="shared" ref="H1063:H1066" si="124">F1063*G1063</f>
        <v>2400</v>
      </c>
      <c r="J1063" s="160"/>
      <c r="K1063" s="328"/>
    </row>
    <row r="1064" spans="3:11">
      <c r="C1064" s="304">
        <v>2</v>
      </c>
      <c r="D1064" s="60" t="str">
        <f>D1047</f>
        <v>Tukang listrik</v>
      </c>
      <c r="E1064" s="305" t="s">
        <v>6</v>
      </c>
      <c r="F1064" s="75">
        <v>0.04</v>
      </c>
      <c r="G1064" s="65">
        <f>VLOOKUP(D1064,upahbahan,3,FALSE)</f>
        <v>145000</v>
      </c>
      <c r="H1064" s="65">
        <f t="shared" si="124"/>
        <v>5800</v>
      </c>
      <c r="J1064" s="160"/>
      <c r="K1064" s="328"/>
    </row>
    <row r="1065" spans="3:11">
      <c r="C1065" s="304">
        <v>3</v>
      </c>
      <c r="D1065" s="60" t="s">
        <v>18</v>
      </c>
      <c r="E1065" s="305" t="s">
        <v>6</v>
      </c>
      <c r="F1065" s="75">
        <v>4.0000000000000001E-3</v>
      </c>
      <c r="G1065" s="65">
        <f>VLOOKUP(D1065,upahbahan,3,FALSE)</f>
        <v>150000</v>
      </c>
      <c r="H1065" s="65">
        <f t="shared" si="124"/>
        <v>600</v>
      </c>
      <c r="J1065" s="160"/>
      <c r="K1065" s="328"/>
    </row>
    <row r="1066" spans="3:11">
      <c r="C1066" s="304">
        <v>4</v>
      </c>
      <c r="D1066" s="60" t="s">
        <v>19</v>
      </c>
      <c r="E1066" s="305" t="s">
        <v>6</v>
      </c>
      <c r="F1066" s="75">
        <v>1E-3</v>
      </c>
      <c r="G1066" s="65">
        <f>VLOOKUP(D1066,upahbahan,3,FALSE)</f>
        <v>145000</v>
      </c>
      <c r="H1066" s="65">
        <f t="shared" si="124"/>
        <v>145</v>
      </c>
      <c r="J1066" s="160"/>
      <c r="K1066" s="328"/>
    </row>
    <row r="1067" spans="3:11">
      <c r="C1067" s="84" t="s">
        <v>1220</v>
      </c>
      <c r="D1067" s="81"/>
      <c r="E1067" s="81"/>
      <c r="F1067" s="190"/>
      <c r="G1067" s="221"/>
      <c r="H1067" s="65">
        <f>SUM(H1063:H1066)</f>
        <v>8945</v>
      </c>
      <c r="I1067" s="222"/>
      <c r="J1067" s="160"/>
      <c r="K1067" s="328"/>
    </row>
    <row r="1068" spans="3:11">
      <c r="C1068" s="73" t="s">
        <v>1221</v>
      </c>
      <c r="D1068" s="60" t="s">
        <v>1222</v>
      </c>
      <c r="E1068" s="74"/>
      <c r="F1068" s="208"/>
      <c r="G1068" s="74"/>
      <c r="H1068" s="74"/>
      <c r="J1068" s="160"/>
      <c r="K1068" s="328"/>
    </row>
    <row r="1069" spans="3:11">
      <c r="C1069" s="368" t="s">
        <v>1215</v>
      </c>
      <c r="D1069" s="78" t="s">
        <v>899</v>
      </c>
      <c r="E1069" s="69" t="s">
        <v>114</v>
      </c>
      <c r="F1069" s="75">
        <v>1.2</v>
      </c>
      <c r="G1069" s="65">
        <f>VLOOKUP(D1069,upahbahan,3,FALSE)</f>
        <v>21300</v>
      </c>
      <c r="H1069" s="65">
        <f t="shared" ref="H1069" si="125">F1069*G1069</f>
        <v>25560</v>
      </c>
      <c r="J1069" s="160"/>
      <c r="K1069" s="328"/>
    </row>
    <row r="1070" spans="3:11">
      <c r="C1070" s="84" t="s">
        <v>1226</v>
      </c>
      <c r="D1070" s="81"/>
      <c r="E1070" s="81"/>
      <c r="F1070" s="81"/>
      <c r="G1070" s="163"/>
      <c r="H1070" s="65">
        <f>SUM(H1069:H1069)</f>
        <v>25560</v>
      </c>
      <c r="J1070" s="160"/>
      <c r="K1070" s="328"/>
    </row>
    <row r="1071" spans="3:11">
      <c r="C1071" s="73" t="s">
        <v>1227</v>
      </c>
      <c r="D1071" s="60" t="s">
        <v>1228</v>
      </c>
      <c r="E1071" s="74"/>
      <c r="F1071" s="74"/>
      <c r="G1071" s="74"/>
      <c r="H1071" s="74"/>
      <c r="J1071" s="160"/>
      <c r="K1071" s="328"/>
    </row>
    <row r="1072" spans="3:11">
      <c r="C1072" s="84" t="s">
        <v>1229</v>
      </c>
      <c r="D1072" s="81"/>
      <c r="E1072" s="81"/>
      <c r="F1072" s="81"/>
      <c r="G1072" s="163"/>
      <c r="H1072" s="306">
        <v>0</v>
      </c>
      <c r="J1072" s="160"/>
      <c r="K1072" s="328"/>
    </row>
    <row r="1073" spans="3:11">
      <c r="C1073" s="59" t="s">
        <v>1230</v>
      </c>
      <c r="D1073" s="70" t="s">
        <v>1231</v>
      </c>
      <c r="E1073" s="71"/>
      <c r="F1073" s="71"/>
      <c r="G1073" s="72"/>
      <c r="H1073" s="307">
        <f>H1072+H1070+H1067</f>
        <v>34505</v>
      </c>
      <c r="I1073" s="322"/>
      <c r="J1073" s="160"/>
      <c r="K1073" s="328"/>
    </row>
    <row r="1074" spans="3:11">
      <c r="C1074" s="59" t="s">
        <v>1232</v>
      </c>
      <c r="D1074" s="70" t="s">
        <v>1410</v>
      </c>
      <c r="E1074" s="71"/>
      <c r="F1074" s="72"/>
      <c r="G1074" s="96">
        <f>$M$7</f>
        <v>0.1</v>
      </c>
      <c r="H1074" s="65">
        <f>H1073*G1074</f>
        <v>3450.5</v>
      </c>
      <c r="I1074" s="322"/>
      <c r="J1074" s="160"/>
      <c r="K1074" s="328"/>
    </row>
    <row r="1075" spans="3:11">
      <c r="C1075" s="59" t="s">
        <v>1233</v>
      </c>
      <c r="D1075" s="70" t="s">
        <v>1234</v>
      </c>
      <c r="E1075" s="71"/>
      <c r="F1075" s="71"/>
      <c r="G1075" s="72"/>
      <c r="H1075" s="308">
        <f>SUM(H1073:H1074)</f>
        <v>37955.5</v>
      </c>
      <c r="I1075" s="322"/>
      <c r="J1075" s="160"/>
      <c r="K1075" s="328"/>
    </row>
    <row r="1076" spans="3:11">
      <c r="J1076" s="160"/>
      <c r="K1076" s="328"/>
    </row>
    <row r="1077" spans="3:11">
      <c r="C1077" s="316" t="s">
        <v>1905</v>
      </c>
      <c r="D1077" s="318"/>
      <c r="E1077" s="318"/>
      <c r="F1077" s="318"/>
      <c r="G1077" s="318"/>
      <c r="H1077" s="318"/>
      <c r="I1077" s="57">
        <f>ROUNDDOWN(H1092,-2)</f>
        <v>47600</v>
      </c>
      <c r="J1077" s="160"/>
      <c r="K1077" s="328"/>
    </row>
    <row r="1078" spans="3:11" ht="28.5">
      <c r="C1078" s="303" t="s">
        <v>1207</v>
      </c>
      <c r="D1078" s="303" t="s">
        <v>1208</v>
      </c>
      <c r="E1078" s="303" t="s">
        <v>1209</v>
      </c>
      <c r="F1078" s="303" t="s">
        <v>1210</v>
      </c>
      <c r="G1078" s="303" t="s">
        <v>1211</v>
      </c>
      <c r="H1078" s="303" t="s">
        <v>1212</v>
      </c>
      <c r="J1078" s="160"/>
      <c r="K1078" s="328"/>
    </row>
    <row r="1079" spans="3:11">
      <c r="C1079" s="73" t="s">
        <v>1213</v>
      </c>
      <c r="D1079" s="60" t="s">
        <v>1214</v>
      </c>
      <c r="E1079" s="74"/>
      <c r="F1079" s="74"/>
      <c r="G1079" s="74"/>
      <c r="H1079" s="74"/>
      <c r="J1079" s="160"/>
      <c r="K1079" s="328"/>
    </row>
    <row r="1080" spans="3:11">
      <c r="C1080" s="304">
        <v>1</v>
      </c>
      <c r="D1080" s="60" t="s">
        <v>5</v>
      </c>
      <c r="E1080" s="305" t="s">
        <v>6</v>
      </c>
      <c r="F1080" s="184">
        <v>2.9000000000000001E-2</v>
      </c>
      <c r="G1080" s="65">
        <f>VLOOKUP(D1080,upahbahan,3,FALSE)</f>
        <v>100000</v>
      </c>
      <c r="H1080" s="65">
        <f t="shared" ref="H1080:H1083" si="126">F1080*G1080</f>
        <v>2900</v>
      </c>
      <c r="J1080" s="160"/>
      <c r="K1080" s="328"/>
    </row>
    <row r="1081" spans="3:11">
      <c r="C1081" s="304">
        <v>2</v>
      </c>
      <c r="D1081" s="60" t="str">
        <f>D1064</f>
        <v>Tukang listrik</v>
      </c>
      <c r="E1081" s="305" t="s">
        <v>6</v>
      </c>
      <c r="F1081" s="184">
        <v>4.8000000000000001E-2</v>
      </c>
      <c r="G1081" s="65">
        <f>VLOOKUP(D1081,upahbahan,3,FALSE)</f>
        <v>145000</v>
      </c>
      <c r="H1081" s="65">
        <f t="shared" si="126"/>
        <v>6960</v>
      </c>
      <c r="J1081" s="160"/>
      <c r="K1081" s="328"/>
    </row>
    <row r="1082" spans="3:11">
      <c r="C1082" s="304">
        <v>3</v>
      </c>
      <c r="D1082" s="60" t="s">
        <v>18</v>
      </c>
      <c r="E1082" s="305" t="s">
        <v>6</v>
      </c>
      <c r="F1082" s="184">
        <v>5.0000000000000001E-3</v>
      </c>
      <c r="G1082" s="65">
        <f>VLOOKUP(D1082,upahbahan,3,FALSE)</f>
        <v>150000</v>
      </c>
      <c r="H1082" s="65">
        <f t="shared" si="126"/>
        <v>750</v>
      </c>
      <c r="J1082" s="160"/>
      <c r="K1082" s="328"/>
    </row>
    <row r="1083" spans="3:11">
      <c r="C1083" s="304">
        <v>4</v>
      </c>
      <c r="D1083" s="60" t="s">
        <v>19</v>
      </c>
      <c r="E1083" s="305" t="s">
        <v>6</v>
      </c>
      <c r="F1083" s="184">
        <v>2E-3</v>
      </c>
      <c r="G1083" s="65">
        <f>VLOOKUP(D1083,upahbahan,3,FALSE)</f>
        <v>145000</v>
      </c>
      <c r="H1083" s="65">
        <f t="shared" si="126"/>
        <v>290</v>
      </c>
      <c r="J1083" s="160"/>
      <c r="K1083" s="328"/>
    </row>
    <row r="1084" spans="3:11">
      <c r="C1084" s="84" t="s">
        <v>1220</v>
      </c>
      <c r="D1084" s="81"/>
      <c r="E1084" s="81"/>
      <c r="F1084" s="190"/>
      <c r="G1084" s="221"/>
      <c r="H1084" s="65">
        <f>SUM(H1080:H1083)</f>
        <v>10900</v>
      </c>
      <c r="I1084" s="222"/>
      <c r="J1084" s="160"/>
      <c r="K1084" s="328"/>
    </row>
    <row r="1085" spans="3:11">
      <c r="C1085" s="73" t="s">
        <v>1221</v>
      </c>
      <c r="D1085" s="60" t="s">
        <v>1222</v>
      </c>
      <c r="E1085" s="74"/>
      <c r="F1085" s="208"/>
      <c r="G1085" s="74"/>
      <c r="H1085" s="74"/>
      <c r="J1085" s="160"/>
      <c r="K1085" s="328"/>
    </row>
    <row r="1086" spans="3:11">
      <c r="C1086" s="368" t="s">
        <v>1215</v>
      </c>
      <c r="D1086" s="78" t="s">
        <v>900</v>
      </c>
      <c r="E1086" s="69" t="s">
        <v>114</v>
      </c>
      <c r="F1086" s="75">
        <v>1.2</v>
      </c>
      <c r="G1086" s="65">
        <f>VLOOKUP(D1086,upahbahan,3,FALSE)</f>
        <v>27000</v>
      </c>
      <c r="H1086" s="65">
        <f t="shared" ref="H1086" si="127">F1086*G1086</f>
        <v>32400</v>
      </c>
      <c r="J1086" s="160"/>
      <c r="K1086" s="328"/>
    </row>
    <row r="1087" spans="3:11">
      <c r="C1087" s="84" t="s">
        <v>1226</v>
      </c>
      <c r="D1087" s="81"/>
      <c r="E1087" s="81"/>
      <c r="F1087" s="81"/>
      <c r="G1087" s="163"/>
      <c r="H1087" s="65">
        <f>SUM(H1086:H1086)</f>
        <v>32400</v>
      </c>
      <c r="J1087" s="160"/>
      <c r="K1087" s="328"/>
    </row>
    <row r="1088" spans="3:11">
      <c r="C1088" s="73" t="s">
        <v>1227</v>
      </c>
      <c r="D1088" s="60" t="s">
        <v>1228</v>
      </c>
      <c r="E1088" s="74"/>
      <c r="F1088" s="74"/>
      <c r="G1088" s="74"/>
      <c r="H1088" s="74"/>
      <c r="J1088" s="160"/>
      <c r="K1088" s="328"/>
    </row>
    <row r="1089" spans="3:11">
      <c r="C1089" s="84" t="s">
        <v>1229</v>
      </c>
      <c r="D1089" s="81"/>
      <c r="E1089" s="81"/>
      <c r="F1089" s="81"/>
      <c r="G1089" s="163"/>
      <c r="H1089" s="306">
        <v>0</v>
      </c>
      <c r="J1089" s="160"/>
      <c r="K1089" s="328"/>
    </row>
    <row r="1090" spans="3:11">
      <c r="C1090" s="59" t="s">
        <v>1230</v>
      </c>
      <c r="D1090" s="70" t="s">
        <v>1231</v>
      </c>
      <c r="E1090" s="71"/>
      <c r="F1090" s="71"/>
      <c r="G1090" s="72"/>
      <c r="H1090" s="307">
        <f>H1089+H1087+H1084</f>
        <v>43300</v>
      </c>
      <c r="I1090" s="322"/>
      <c r="J1090" s="160"/>
      <c r="K1090" s="328"/>
    </row>
    <row r="1091" spans="3:11">
      <c r="C1091" s="59" t="s">
        <v>1232</v>
      </c>
      <c r="D1091" s="70" t="s">
        <v>1410</v>
      </c>
      <c r="E1091" s="71"/>
      <c r="F1091" s="72"/>
      <c r="G1091" s="96">
        <f>$M$7</f>
        <v>0.1</v>
      </c>
      <c r="H1091" s="65">
        <f>H1090*G1091</f>
        <v>4330</v>
      </c>
      <c r="I1091" s="322"/>
      <c r="J1091" s="160"/>
      <c r="K1091" s="328"/>
    </row>
    <row r="1092" spans="3:11">
      <c r="C1092" s="59" t="s">
        <v>1233</v>
      </c>
      <c r="D1092" s="70" t="s">
        <v>1234</v>
      </c>
      <c r="E1092" s="71"/>
      <c r="F1092" s="71"/>
      <c r="G1092" s="72"/>
      <c r="H1092" s="308">
        <f>SUM(H1090:H1091)</f>
        <v>47630</v>
      </c>
      <c r="I1092" s="322"/>
      <c r="J1092" s="160"/>
      <c r="K1092" s="328"/>
    </row>
    <row r="1093" spans="3:11">
      <c r="J1093" s="160"/>
      <c r="K1093" s="328"/>
    </row>
    <row r="1094" spans="3:11">
      <c r="C1094" s="316" t="s">
        <v>1906</v>
      </c>
      <c r="D1094" s="318"/>
      <c r="E1094" s="318"/>
      <c r="F1094" s="318"/>
      <c r="G1094" s="318"/>
      <c r="H1094" s="318"/>
      <c r="I1094" s="57">
        <f>ROUNDDOWN(H1109,-2)</f>
        <v>68800</v>
      </c>
      <c r="J1094" s="160"/>
      <c r="K1094" s="328"/>
    </row>
    <row r="1095" spans="3:11" ht="28.5">
      <c r="C1095" s="303" t="s">
        <v>1207</v>
      </c>
      <c r="D1095" s="303" t="s">
        <v>1208</v>
      </c>
      <c r="E1095" s="303" t="s">
        <v>1209</v>
      </c>
      <c r="F1095" s="303" t="s">
        <v>1210</v>
      </c>
      <c r="G1095" s="303" t="s">
        <v>1211</v>
      </c>
      <c r="H1095" s="303" t="s">
        <v>1212</v>
      </c>
      <c r="J1095" s="160"/>
      <c r="K1095" s="328"/>
    </row>
    <row r="1096" spans="3:11">
      <c r="C1096" s="73" t="s">
        <v>1213</v>
      </c>
      <c r="D1096" s="60" t="s">
        <v>1214</v>
      </c>
      <c r="E1096" s="74"/>
      <c r="F1096" s="74"/>
      <c r="G1096" s="74"/>
      <c r="H1096" s="74"/>
      <c r="J1096" s="160"/>
      <c r="K1096" s="328"/>
    </row>
    <row r="1097" spans="3:11">
      <c r="C1097" s="304">
        <v>1</v>
      </c>
      <c r="D1097" s="60" t="s">
        <v>5</v>
      </c>
      <c r="E1097" s="305" t="s">
        <v>6</v>
      </c>
      <c r="F1097" s="184">
        <v>2.9000000000000001E-2</v>
      </c>
      <c r="G1097" s="65">
        <f>VLOOKUP(D1097,upahbahan,3,FALSE)</f>
        <v>100000</v>
      </c>
      <c r="H1097" s="65">
        <f t="shared" ref="H1097:H1100" si="128">F1097*G1097</f>
        <v>2900</v>
      </c>
      <c r="J1097" s="160"/>
      <c r="K1097" s="328"/>
    </row>
    <row r="1098" spans="3:11">
      <c r="C1098" s="304">
        <v>2</v>
      </c>
      <c r="D1098" s="60" t="str">
        <f>D1081</f>
        <v>Tukang listrik</v>
      </c>
      <c r="E1098" s="305" t="s">
        <v>6</v>
      </c>
      <c r="F1098" s="184">
        <v>4.8000000000000001E-2</v>
      </c>
      <c r="G1098" s="65">
        <f>VLOOKUP(D1098,upahbahan,3,FALSE)</f>
        <v>145000</v>
      </c>
      <c r="H1098" s="65">
        <f t="shared" si="128"/>
        <v>6960</v>
      </c>
      <c r="J1098" s="160"/>
      <c r="K1098" s="328"/>
    </row>
    <row r="1099" spans="3:11">
      <c r="C1099" s="304">
        <v>3</v>
      </c>
      <c r="D1099" s="60" t="s">
        <v>18</v>
      </c>
      <c r="E1099" s="305" t="s">
        <v>6</v>
      </c>
      <c r="F1099" s="184">
        <v>5.0000000000000001E-3</v>
      </c>
      <c r="G1099" s="65">
        <f>VLOOKUP(D1099,upahbahan,3,FALSE)</f>
        <v>150000</v>
      </c>
      <c r="H1099" s="65">
        <f t="shared" si="128"/>
        <v>750</v>
      </c>
      <c r="J1099" s="160"/>
      <c r="K1099" s="328"/>
    </row>
    <row r="1100" spans="3:11">
      <c r="C1100" s="304">
        <v>4</v>
      </c>
      <c r="D1100" s="60" t="s">
        <v>19</v>
      </c>
      <c r="E1100" s="305" t="s">
        <v>6</v>
      </c>
      <c r="F1100" s="184">
        <v>2E-3</v>
      </c>
      <c r="G1100" s="65">
        <f>VLOOKUP(D1100,upahbahan,3,FALSE)</f>
        <v>145000</v>
      </c>
      <c r="H1100" s="65">
        <f t="shared" si="128"/>
        <v>290</v>
      </c>
      <c r="J1100" s="160"/>
      <c r="K1100" s="328"/>
    </row>
    <row r="1101" spans="3:11">
      <c r="C1101" s="84" t="s">
        <v>1220</v>
      </c>
      <c r="D1101" s="81"/>
      <c r="E1101" s="81"/>
      <c r="F1101" s="190"/>
      <c r="G1101" s="221"/>
      <c r="H1101" s="65">
        <f>SUM(H1097:H1100)</f>
        <v>10900</v>
      </c>
      <c r="I1101" s="222"/>
      <c r="J1101" s="160"/>
      <c r="K1101" s="328"/>
    </row>
    <row r="1102" spans="3:11">
      <c r="C1102" s="73" t="s">
        <v>1221</v>
      </c>
      <c r="D1102" s="60" t="s">
        <v>1222</v>
      </c>
      <c r="E1102" s="74"/>
      <c r="F1102" s="208"/>
      <c r="G1102" s="74"/>
      <c r="H1102" s="74"/>
      <c r="J1102" s="160"/>
      <c r="K1102" s="328"/>
    </row>
    <row r="1103" spans="3:11">
      <c r="C1103" s="368" t="s">
        <v>1215</v>
      </c>
      <c r="D1103" s="78" t="s">
        <v>901</v>
      </c>
      <c r="E1103" s="69" t="s">
        <v>114</v>
      </c>
      <c r="F1103" s="75">
        <v>1.2</v>
      </c>
      <c r="G1103" s="65">
        <f>VLOOKUP(D1103,upahbahan,3,FALSE)</f>
        <v>43100</v>
      </c>
      <c r="H1103" s="65">
        <f t="shared" ref="H1103" si="129">F1103*G1103</f>
        <v>51720</v>
      </c>
      <c r="J1103" s="160"/>
      <c r="K1103" s="328"/>
    </row>
    <row r="1104" spans="3:11">
      <c r="C1104" s="84" t="s">
        <v>1226</v>
      </c>
      <c r="D1104" s="81"/>
      <c r="E1104" s="81"/>
      <c r="F1104" s="81"/>
      <c r="G1104" s="163"/>
      <c r="H1104" s="65">
        <f>SUM(H1103:H1103)</f>
        <v>51720</v>
      </c>
      <c r="J1104" s="160"/>
      <c r="K1104" s="328"/>
    </row>
    <row r="1105" spans="3:11">
      <c r="C1105" s="73" t="s">
        <v>1227</v>
      </c>
      <c r="D1105" s="60" t="s">
        <v>1228</v>
      </c>
      <c r="E1105" s="74"/>
      <c r="F1105" s="74"/>
      <c r="G1105" s="74"/>
      <c r="H1105" s="74"/>
      <c r="J1105" s="160"/>
      <c r="K1105" s="328"/>
    </row>
    <row r="1106" spans="3:11">
      <c r="C1106" s="84" t="s">
        <v>1229</v>
      </c>
      <c r="D1106" s="81"/>
      <c r="E1106" s="81"/>
      <c r="F1106" s="81"/>
      <c r="G1106" s="163"/>
      <c r="H1106" s="306">
        <v>0</v>
      </c>
      <c r="J1106" s="160"/>
      <c r="K1106" s="328"/>
    </row>
    <row r="1107" spans="3:11">
      <c r="C1107" s="59" t="s">
        <v>1230</v>
      </c>
      <c r="D1107" s="70" t="s">
        <v>1231</v>
      </c>
      <c r="E1107" s="71"/>
      <c r="F1107" s="71"/>
      <c r="G1107" s="72"/>
      <c r="H1107" s="307">
        <f>H1106+H1104+H1101</f>
        <v>62620</v>
      </c>
      <c r="I1107" s="322"/>
      <c r="J1107" s="160"/>
      <c r="K1107" s="328"/>
    </row>
    <row r="1108" spans="3:11">
      <c r="C1108" s="59" t="s">
        <v>1232</v>
      </c>
      <c r="D1108" s="70" t="s">
        <v>1410</v>
      </c>
      <c r="E1108" s="71"/>
      <c r="F1108" s="72"/>
      <c r="G1108" s="96">
        <f>$M$7</f>
        <v>0.1</v>
      </c>
      <c r="H1108" s="65">
        <f>H1107*G1108</f>
        <v>6262</v>
      </c>
      <c r="I1108" s="322"/>
      <c r="J1108" s="160"/>
      <c r="K1108" s="328"/>
    </row>
    <row r="1109" spans="3:11">
      <c r="C1109" s="59" t="s">
        <v>1233</v>
      </c>
      <c r="D1109" s="70" t="s">
        <v>1234</v>
      </c>
      <c r="E1109" s="71"/>
      <c r="F1109" s="71"/>
      <c r="G1109" s="72"/>
      <c r="H1109" s="308">
        <f>SUM(H1107:H1108)</f>
        <v>68882</v>
      </c>
      <c r="I1109" s="322"/>
      <c r="J1109" s="160"/>
      <c r="K1109" s="328"/>
    </row>
    <row r="1110" spans="3:11">
      <c r="J1110" s="160"/>
      <c r="K1110" s="328"/>
    </row>
    <row r="1111" spans="3:11">
      <c r="C1111" s="316" t="s">
        <v>1907</v>
      </c>
      <c r="D1111" s="318"/>
      <c r="E1111" s="318"/>
      <c r="F1111" s="318"/>
      <c r="G1111" s="318"/>
      <c r="H1111" s="318"/>
      <c r="I1111" s="57">
        <f>ROUNDDOWN(H1126,-2)</f>
        <v>106100</v>
      </c>
      <c r="J1111" s="160"/>
      <c r="K1111" s="328"/>
    </row>
    <row r="1112" spans="3:11" ht="28.5">
      <c r="C1112" s="303" t="s">
        <v>1207</v>
      </c>
      <c r="D1112" s="303" t="s">
        <v>1208</v>
      </c>
      <c r="E1112" s="303" t="s">
        <v>1209</v>
      </c>
      <c r="F1112" s="303" t="s">
        <v>1210</v>
      </c>
      <c r="G1112" s="303" t="s">
        <v>1211</v>
      </c>
      <c r="H1112" s="303" t="s">
        <v>1212</v>
      </c>
      <c r="J1112" s="160"/>
      <c r="K1112" s="328"/>
    </row>
    <row r="1113" spans="3:11">
      <c r="C1113" s="73" t="s">
        <v>1213</v>
      </c>
      <c r="D1113" s="60" t="s">
        <v>1214</v>
      </c>
      <c r="E1113" s="74"/>
      <c r="F1113" s="74"/>
      <c r="G1113" s="74"/>
      <c r="H1113" s="74"/>
      <c r="J1113" s="160"/>
      <c r="K1113" s="328"/>
    </row>
    <row r="1114" spans="3:11">
      <c r="C1114" s="304">
        <v>1</v>
      </c>
      <c r="D1114" s="60" t="s">
        <v>5</v>
      </c>
      <c r="E1114" s="305" t="s">
        <v>6</v>
      </c>
      <c r="F1114" s="75">
        <v>3.5999999999999997E-2</v>
      </c>
      <c r="G1114" s="65">
        <f>VLOOKUP(D1114,upahbahan,3,FALSE)</f>
        <v>100000</v>
      </c>
      <c r="H1114" s="65">
        <f t="shared" ref="H1114:H1117" si="130">F1114*G1114</f>
        <v>3599.9999999999995</v>
      </c>
      <c r="J1114" s="160"/>
      <c r="K1114" s="328"/>
    </row>
    <row r="1115" spans="3:11">
      <c r="C1115" s="304">
        <v>2</v>
      </c>
      <c r="D1115" s="60" t="str">
        <f>D1098</f>
        <v>Tukang listrik</v>
      </c>
      <c r="E1115" s="305" t="s">
        <v>6</v>
      </c>
      <c r="F1115" s="75">
        <v>0.06</v>
      </c>
      <c r="G1115" s="65">
        <f>VLOOKUP(D1115,upahbahan,3,FALSE)</f>
        <v>145000</v>
      </c>
      <c r="H1115" s="65">
        <f t="shared" si="130"/>
        <v>8700</v>
      </c>
      <c r="J1115" s="160"/>
      <c r="K1115" s="328"/>
    </row>
    <row r="1116" spans="3:11">
      <c r="C1116" s="304">
        <v>3</v>
      </c>
      <c r="D1116" s="60" t="s">
        <v>18</v>
      </c>
      <c r="E1116" s="305" t="s">
        <v>6</v>
      </c>
      <c r="F1116" s="75">
        <v>6.0000000000000001E-3</v>
      </c>
      <c r="G1116" s="65">
        <f>VLOOKUP(D1116,upahbahan,3,FALSE)</f>
        <v>150000</v>
      </c>
      <c r="H1116" s="65">
        <f t="shared" si="130"/>
        <v>900</v>
      </c>
      <c r="J1116" s="160"/>
      <c r="K1116" s="328"/>
    </row>
    <row r="1117" spans="3:11">
      <c r="C1117" s="304">
        <v>4</v>
      </c>
      <c r="D1117" s="60" t="s">
        <v>19</v>
      </c>
      <c r="E1117" s="305" t="s">
        <v>6</v>
      </c>
      <c r="F1117" s="75">
        <v>2E-3</v>
      </c>
      <c r="G1117" s="65">
        <f>VLOOKUP(D1117,upahbahan,3,FALSE)</f>
        <v>145000</v>
      </c>
      <c r="H1117" s="65">
        <f t="shared" si="130"/>
        <v>290</v>
      </c>
      <c r="J1117" s="160"/>
      <c r="K1117" s="328"/>
    </row>
    <row r="1118" spans="3:11">
      <c r="C1118" s="84" t="s">
        <v>1220</v>
      </c>
      <c r="D1118" s="81"/>
      <c r="E1118" s="81"/>
      <c r="F1118" s="190"/>
      <c r="G1118" s="221"/>
      <c r="H1118" s="65">
        <f>SUM(H1114:H1117)</f>
        <v>13490</v>
      </c>
      <c r="I1118" s="222"/>
      <c r="J1118" s="160"/>
      <c r="K1118" s="328"/>
    </row>
    <row r="1119" spans="3:11">
      <c r="C1119" s="73" t="s">
        <v>1221</v>
      </c>
      <c r="D1119" s="60" t="s">
        <v>1222</v>
      </c>
      <c r="E1119" s="74"/>
      <c r="F1119" s="208"/>
      <c r="G1119" s="74"/>
      <c r="H1119" s="74"/>
      <c r="J1119" s="160"/>
      <c r="K1119" s="328"/>
    </row>
    <row r="1120" spans="3:11">
      <c r="C1120" s="368" t="s">
        <v>1215</v>
      </c>
      <c r="D1120" s="78" t="s">
        <v>898</v>
      </c>
      <c r="E1120" s="69" t="s">
        <v>114</v>
      </c>
      <c r="F1120" s="75">
        <v>1.2</v>
      </c>
      <c r="G1120" s="65">
        <f>VLOOKUP(D1120,upahbahan,3,FALSE)</f>
        <v>69200</v>
      </c>
      <c r="H1120" s="65">
        <f t="shared" ref="H1120" si="131">F1120*G1120</f>
        <v>83040</v>
      </c>
      <c r="J1120" s="160"/>
      <c r="K1120" s="328"/>
    </row>
    <row r="1121" spans="3:11">
      <c r="C1121" s="84" t="s">
        <v>1226</v>
      </c>
      <c r="D1121" s="81"/>
      <c r="E1121" s="81"/>
      <c r="F1121" s="81"/>
      <c r="G1121" s="163"/>
      <c r="H1121" s="65">
        <f>SUM(H1120:H1120)</f>
        <v>83040</v>
      </c>
      <c r="J1121" s="160"/>
      <c r="K1121" s="328"/>
    </row>
    <row r="1122" spans="3:11">
      <c r="C1122" s="73" t="s">
        <v>1227</v>
      </c>
      <c r="D1122" s="60" t="s">
        <v>1228</v>
      </c>
      <c r="E1122" s="74"/>
      <c r="F1122" s="74"/>
      <c r="G1122" s="74"/>
      <c r="H1122" s="74"/>
      <c r="J1122" s="160"/>
      <c r="K1122" s="328"/>
    </row>
    <row r="1123" spans="3:11">
      <c r="C1123" s="84" t="s">
        <v>1229</v>
      </c>
      <c r="D1123" s="81"/>
      <c r="E1123" s="81"/>
      <c r="F1123" s="81"/>
      <c r="G1123" s="163"/>
      <c r="H1123" s="306">
        <v>0</v>
      </c>
      <c r="J1123" s="160"/>
      <c r="K1123" s="328"/>
    </row>
    <row r="1124" spans="3:11">
      <c r="C1124" s="59" t="s">
        <v>1230</v>
      </c>
      <c r="D1124" s="70" t="s">
        <v>1231</v>
      </c>
      <c r="E1124" s="71"/>
      <c r="F1124" s="71"/>
      <c r="G1124" s="72"/>
      <c r="H1124" s="307">
        <f>H1123+H1121+H1118</f>
        <v>96530</v>
      </c>
      <c r="I1124" s="322"/>
      <c r="J1124" s="160"/>
      <c r="K1124" s="328"/>
    </row>
    <row r="1125" spans="3:11">
      <c r="C1125" s="59" t="s">
        <v>1232</v>
      </c>
      <c r="D1125" s="70" t="s">
        <v>1410</v>
      </c>
      <c r="E1125" s="71"/>
      <c r="F1125" s="72"/>
      <c r="G1125" s="96">
        <f>$M$7</f>
        <v>0.1</v>
      </c>
      <c r="H1125" s="65">
        <f>H1124*G1125</f>
        <v>9653</v>
      </c>
      <c r="I1125" s="322"/>
      <c r="J1125" s="160"/>
      <c r="K1125" s="328"/>
    </row>
    <row r="1126" spans="3:11">
      <c r="C1126" s="59" t="s">
        <v>1233</v>
      </c>
      <c r="D1126" s="70" t="s">
        <v>1234</v>
      </c>
      <c r="E1126" s="71"/>
      <c r="F1126" s="71"/>
      <c r="G1126" s="72"/>
      <c r="H1126" s="308">
        <f>SUM(H1124:H1125)</f>
        <v>106183</v>
      </c>
      <c r="I1126" s="322"/>
      <c r="J1126" s="160"/>
      <c r="K1126" s="328"/>
    </row>
    <row r="1127" spans="3:11">
      <c r="J1127" s="160"/>
      <c r="K1127" s="328"/>
    </row>
    <row r="1128" spans="3:11">
      <c r="C1128" s="316" t="s">
        <v>1908</v>
      </c>
      <c r="D1128" s="318"/>
      <c r="E1128" s="318"/>
      <c r="F1128" s="318"/>
      <c r="G1128" s="318"/>
      <c r="H1128" s="318"/>
      <c r="I1128" s="57">
        <f>ROUNDDOWN(H1143,-2)</f>
        <v>28800</v>
      </c>
      <c r="J1128" s="160"/>
      <c r="K1128" s="328"/>
    </row>
    <row r="1129" spans="3:11" ht="28.5">
      <c r="C1129" s="303" t="s">
        <v>1207</v>
      </c>
      <c r="D1129" s="303" t="s">
        <v>1208</v>
      </c>
      <c r="E1129" s="303" t="s">
        <v>1209</v>
      </c>
      <c r="F1129" s="303" t="s">
        <v>1210</v>
      </c>
      <c r="G1129" s="303" t="s">
        <v>1211</v>
      </c>
      <c r="H1129" s="303" t="s">
        <v>1212</v>
      </c>
      <c r="J1129" s="160"/>
      <c r="K1129" s="328"/>
    </row>
    <row r="1130" spans="3:11">
      <c r="C1130" s="73" t="s">
        <v>1213</v>
      </c>
      <c r="D1130" s="60" t="s">
        <v>1214</v>
      </c>
      <c r="E1130" s="74"/>
      <c r="F1130" s="74"/>
      <c r="G1130" s="74"/>
      <c r="H1130" s="74"/>
      <c r="J1130" s="160"/>
      <c r="K1130" s="328"/>
    </row>
    <row r="1131" spans="3:11">
      <c r="C1131" s="304">
        <v>1</v>
      </c>
      <c r="D1131" s="60" t="s">
        <v>5</v>
      </c>
      <c r="E1131" s="305" t="s">
        <v>6</v>
      </c>
      <c r="F1131" s="75">
        <v>2.4E-2</v>
      </c>
      <c r="G1131" s="65">
        <f>VLOOKUP(D1131,upahbahan,3,FALSE)</f>
        <v>100000</v>
      </c>
      <c r="H1131" s="65">
        <f t="shared" ref="H1131:H1134" si="132">F1131*G1131</f>
        <v>2400</v>
      </c>
      <c r="J1131" s="160"/>
      <c r="K1131" s="328"/>
    </row>
    <row r="1132" spans="3:11">
      <c r="C1132" s="304">
        <v>2</v>
      </c>
      <c r="D1132" s="60" t="str">
        <f>D1115</f>
        <v>Tukang listrik</v>
      </c>
      <c r="E1132" s="305" t="s">
        <v>6</v>
      </c>
      <c r="F1132" s="75">
        <v>0.04</v>
      </c>
      <c r="G1132" s="65">
        <f>VLOOKUP(D1132,upahbahan,3,FALSE)</f>
        <v>145000</v>
      </c>
      <c r="H1132" s="65">
        <f t="shared" si="132"/>
        <v>5800</v>
      </c>
      <c r="J1132" s="160"/>
      <c r="K1132" s="328"/>
    </row>
    <row r="1133" spans="3:11">
      <c r="C1133" s="304">
        <v>3</v>
      </c>
      <c r="D1133" s="60" t="s">
        <v>18</v>
      </c>
      <c r="E1133" s="305" t="s">
        <v>6</v>
      </c>
      <c r="F1133" s="75">
        <v>4.0000000000000001E-3</v>
      </c>
      <c r="G1133" s="65">
        <f>VLOOKUP(D1133,upahbahan,3,FALSE)</f>
        <v>150000</v>
      </c>
      <c r="H1133" s="65">
        <f t="shared" si="132"/>
        <v>600</v>
      </c>
      <c r="J1133" s="160"/>
      <c r="K1133" s="328"/>
    </row>
    <row r="1134" spans="3:11">
      <c r="C1134" s="304">
        <v>4</v>
      </c>
      <c r="D1134" s="60" t="s">
        <v>19</v>
      </c>
      <c r="E1134" s="305" t="s">
        <v>6</v>
      </c>
      <c r="F1134" s="75">
        <v>1E-3</v>
      </c>
      <c r="G1134" s="65">
        <f>VLOOKUP(D1134,upahbahan,3,FALSE)</f>
        <v>145000</v>
      </c>
      <c r="H1134" s="65">
        <f t="shared" si="132"/>
        <v>145</v>
      </c>
      <c r="J1134" s="160"/>
      <c r="K1134" s="328"/>
    </row>
    <row r="1135" spans="3:11">
      <c r="C1135" s="84" t="s">
        <v>1220</v>
      </c>
      <c r="D1135" s="81"/>
      <c r="E1135" s="81"/>
      <c r="F1135" s="190"/>
      <c r="G1135" s="221"/>
      <c r="H1135" s="65">
        <f>SUM(H1131:H1134)</f>
        <v>8945</v>
      </c>
      <c r="I1135" s="222"/>
      <c r="J1135" s="160"/>
      <c r="K1135" s="328"/>
    </row>
    <row r="1136" spans="3:11">
      <c r="C1136" s="73" t="s">
        <v>1221</v>
      </c>
      <c r="D1136" s="60" t="s">
        <v>1222</v>
      </c>
      <c r="E1136" s="74"/>
      <c r="F1136" s="208"/>
      <c r="G1136" s="74"/>
      <c r="H1136" s="74"/>
      <c r="J1136" s="160"/>
      <c r="K1136" s="328"/>
    </row>
    <row r="1137" spans="3:11">
      <c r="C1137" s="368" t="s">
        <v>1215</v>
      </c>
      <c r="D1137" s="78" t="s">
        <v>902</v>
      </c>
      <c r="E1137" s="69" t="s">
        <v>114</v>
      </c>
      <c r="F1137" s="75">
        <v>1.2</v>
      </c>
      <c r="G1137" s="65">
        <f>VLOOKUP(D1137,upahbahan,3,FALSE)</f>
        <v>14400</v>
      </c>
      <c r="H1137" s="65">
        <f t="shared" ref="H1137" si="133">F1137*G1137</f>
        <v>17280</v>
      </c>
      <c r="J1137" s="160"/>
      <c r="K1137" s="328"/>
    </row>
    <row r="1138" spans="3:11">
      <c r="C1138" s="84" t="s">
        <v>1226</v>
      </c>
      <c r="D1138" s="81"/>
      <c r="E1138" s="81"/>
      <c r="F1138" s="81"/>
      <c r="G1138" s="163"/>
      <c r="H1138" s="65">
        <f>SUM(H1137:H1137)</f>
        <v>17280</v>
      </c>
      <c r="J1138" s="160"/>
      <c r="K1138" s="328"/>
    </row>
    <row r="1139" spans="3:11">
      <c r="C1139" s="73" t="s">
        <v>1227</v>
      </c>
      <c r="D1139" s="60" t="s">
        <v>1228</v>
      </c>
      <c r="E1139" s="74"/>
      <c r="F1139" s="74"/>
      <c r="G1139" s="74"/>
      <c r="H1139" s="74"/>
      <c r="J1139" s="160"/>
      <c r="K1139" s="328"/>
    </row>
    <row r="1140" spans="3:11">
      <c r="C1140" s="84" t="s">
        <v>1229</v>
      </c>
      <c r="D1140" s="81"/>
      <c r="E1140" s="81"/>
      <c r="F1140" s="81"/>
      <c r="G1140" s="163"/>
      <c r="H1140" s="306">
        <v>0</v>
      </c>
      <c r="J1140" s="160"/>
      <c r="K1140" s="328"/>
    </row>
    <row r="1141" spans="3:11">
      <c r="C1141" s="59" t="s">
        <v>1230</v>
      </c>
      <c r="D1141" s="70" t="s">
        <v>1231</v>
      </c>
      <c r="E1141" s="71"/>
      <c r="F1141" s="71"/>
      <c r="G1141" s="72"/>
      <c r="H1141" s="307">
        <f>H1140+H1138+H1135</f>
        <v>26225</v>
      </c>
      <c r="I1141" s="322"/>
      <c r="J1141" s="160"/>
      <c r="K1141" s="328"/>
    </row>
    <row r="1142" spans="3:11">
      <c r="C1142" s="59" t="s">
        <v>1232</v>
      </c>
      <c r="D1142" s="70" t="s">
        <v>1410</v>
      </c>
      <c r="E1142" s="71"/>
      <c r="F1142" s="72"/>
      <c r="G1142" s="96">
        <f>$M$7</f>
        <v>0.1</v>
      </c>
      <c r="H1142" s="65">
        <f>H1141*G1142</f>
        <v>2622.5</v>
      </c>
      <c r="I1142" s="322"/>
      <c r="J1142" s="160"/>
      <c r="K1142" s="328"/>
    </row>
    <row r="1143" spans="3:11">
      <c r="C1143" s="59" t="s">
        <v>1233</v>
      </c>
      <c r="D1143" s="70" t="s">
        <v>1234</v>
      </c>
      <c r="E1143" s="71"/>
      <c r="F1143" s="71"/>
      <c r="G1143" s="72"/>
      <c r="H1143" s="308">
        <f>SUM(H1141:H1142)</f>
        <v>28847.5</v>
      </c>
      <c r="I1143" s="322"/>
      <c r="J1143" s="160"/>
      <c r="K1143" s="328"/>
    </row>
    <row r="1144" spans="3:11">
      <c r="J1144" s="160"/>
      <c r="K1144" s="328"/>
    </row>
    <row r="1145" spans="3:11">
      <c r="C1145" s="316" t="s">
        <v>1909</v>
      </c>
      <c r="D1145" s="318"/>
      <c r="E1145" s="318"/>
      <c r="F1145" s="318"/>
      <c r="G1145" s="318"/>
      <c r="H1145" s="318"/>
      <c r="I1145" s="57">
        <f>ROUNDDOWN(H1160,-2)</f>
        <v>39800</v>
      </c>
      <c r="J1145" s="160"/>
      <c r="K1145" s="328"/>
    </row>
    <row r="1146" spans="3:11" ht="28.5">
      <c r="C1146" s="303" t="s">
        <v>1207</v>
      </c>
      <c r="D1146" s="303" t="s">
        <v>1208</v>
      </c>
      <c r="E1146" s="303" t="s">
        <v>1209</v>
      </c>
      <c r="F1146" s="303" t="s">
        <v>1210</v>
      </c>
      <c r="G1146" s="303" t="s">
        <v>1211</v>
      </c>
      <c r="H1146" s="303" t="s">
        <v>1212</v>
      </c>
      <c r="J1146" s="160"/>
      <c r="K1146" s="328"/>
    </row>
    <row r="1147" spans="3:11">
      <c r="C1147" s="73" t="s">
        <v>1213</v>
      </c>
      <c r="D1147" s="60" t="s">
        <v>1214</v>
      </c>
      <c r="E1147" s="74"/>
      <c r="F1147" s="74"/>
      <c r="G1147" s="74"/>
      <c r="H1147" s="74"/>
      <c r="J1147" s="160"/>
      <c r="K1147" s="328"/>
    </row>
    <row r="1148" spans="3:11">
      <c r="C1148" s="304">
        <v>1</v>
      </c>
      <c r="D1148" s="60" t="s">
        <v>5</v>
      </c>
      <c r="E1148" s="305" t="s">
        <v>6</v>
      </c>
      <c r="F1148" s="75">
        <v>2.4E-2</v>
      </c>
      <c r="G1148" s="65">
        <f>VLOOKUP(D1148,upahbahan,3,FALSE)</f>
        <v>100000</v>
      </c>
      <c r="H1148" s="65">
        <f t="shared" ref="H1148:H1151" si="134">F1148*G1148</f>
        <v>2400</v>
      </c>
      <c r="J1148" s="160"/>
      <c r="K1148" s="328"/>
    </row>
    <row r="1149" spans="3:11">
      <c r="C1149" s="304">
        <v>2</v>
      </c>
      <c r="D1149" s="60" t="str">
        <f>D1132</f>
        <v>Tukang listrik</v>
      </c>
      <c r="E1149" s="305" t="s">
        <v>6</v>
      </c>
      <c r="F1149" s="75">
        <v>0.04</v>
      </c>
      <c r="G1149" s="65">
        <f>VLOOKUP(D1149,upahbahan,3,FALSE)</f>
        <v>145000</v>
      </c>
      <c r="H1149" s="65">
        <f t="shared" si="134"/>
        <v>5800</v>
      </c>
      <c r="J1149" s="160"/>
      <c r="K1149" s="328"/>
    </row>
    <row r="1150" spans="3:11">
      <c r="C1150" s="304">
        <v>3</v>
      </c>
      <c r="D1150" s="60" t="s">
        <v>18</v>
      </c>
      <c r="E1150" s="305" t="s">
        <v>6</v>
      </c>
      <c r="F1150" s="75">
        <v>4.0000000000000001E-3</v>
      </c>
      <c r="G1150" s="65">
        <f>VLOOKUP(D1150,upahbahan,3,FALSE)</f>
        <v>150000</v>
      </c>
      <c r="H1150" s="65">
        <f t="shared" si="134"/>
        <v>600</v>
      </c>
      <c r="J1150" s="160"/>
      <c r="K1150" s="328"/>
    </row>
    <row r="1151" spans="3:11">
      <c r="C1151" s="304">
        <v>4</v>
      </c>
      <c r="D1151" s="60" t="s">
        <v>19</v>
      </c>
      <c r="E1151" s="305" t="s">
        <v>6</v>
      </c>
      <c r="F1151" s="75">
        <v>1E-3</v>
      </c>
      <c r="G1151" s="65">
        <f>VLOOKUP(D1151,upahbahan,3,FALSE)</f>
        <v>145000</v>
      </c>
      <c r="H1151" s="65">
        <f t="shared" si="134"/>
        <v>145</v>
      </c>
      <c r="J1151" s="160"/>
      <c r="K1151" s="328"/>
    </row>
    <row r="1152" spans="3:11">
      <c r="C1152" s="84" t="s">
        <v>1220</v>
      </c>
      <c r="D1152" s="81"/>
      <c r="E1152" s="81"/>
      <c r="F1152" s="190"/>
      <c r="G1152" s="221"/>
      <c r="H1152" s="65">
        <f>SUM(H1148:H1151)</f>
        <v>8945</v>
      </c>
      <c r="I1152" s="222"/>
      <c r="J1152" s="160"/>
      <c r="K1152" s="328"/>
    </row>
    <row r="1153" spans="3:11">
      <c r="C1153" s="73" t="s">
        <v>1221</v>
      </c>
      <c r="D1153" s="60" t="s">
        <v>1222</v>
      </c>
      <c r="E1153" s="74"/>
      <c r="F1153" s="208"/>
      <c r="G1153" s="74"/>
      <c r="H1153" s="74"/>
      <c r="J1153" s="160"/>
      <c r="K1153" s="328"/>
    </row>
    <row r="1154" spans="3:11">
      <c r="C1154" s="368" t="s">
        <v>1215</v>
      </c>
      <c r="D1154" s="78" t="s">
        <v>905</v>
      </c>
      <c r="E1154" s="69" t="s">
        <v>114</v>
      </c>
      <c r="F1154" s="75">
        <v>1.2</v>
      </c>
      <c r="G1154" s="65">
        <f>VLOOKUP(D1154,upahbahan,3,FALSE)</f>
        <v>22700</v>
      </c>
      <c r="H1154" s="65">
        <f t="shared" ref="H1154" si="135">F1154*G1154</f>
        <v>27240</v>
      </c>
      <c r="J1154" s="160"/>
      <c r="K1154" s="328"/>
    </row>
    <row r="1155" spans="3:11">
      <c r="C1155" s="84" t="s">
        <v>1226</v>
      </c>
      <c r="D1155" s="81"/>
      <c r="E1155" s="81"/>
      <c r="F1155" s="81"/>
      <c r="G1155" s="163"/>
      <c r="H1155" s="65">
        <f>SUM(H1154:H1154)</f>
        <v>27240</v>
      </c>
      <c r="J1155" s="160"/>
      <c r="K1155" s="328"/>
    </row>
    <row r="1156" spans="3:11">
      <c r="C1156" s="73" t="s">
        <v>1227</v>
      </c>
      <c r="D1156" s="60" t="s">
        <v>1228</v>
      </c>
      <c r="E1156" s="74"/>
      <c r="F1156" s="74"/>
      <c r="G1156" s="74"/>
      <c r="H1156" s="74"/>
      <c r="J1156" s="160"/>
      <c r="K1156" s="328"/>
    </row>
    <row r="1157" spans="3:11">
      <c r="C1157" s="84" t="s">
        <v>1229</v>
      </c>
      <c r="D1157" s="81"/>
      <c r="E1157" s="81"/>
      <c r="F1157" s="81"/>
      <c r="G1157" s="163"/>
      <c r="H1157" s="306">
        <v>0</v>
      </c>
      <c r="J1157" s="160"/>
      <c r="K1157" s="328"/>
    </row>
    <row r="1158" spans="3:11">
      <c r="C1158" s="59" t="s">
        <v>1230</v>
      </c>
      <c r="D1158" s="70" t="s">
        <v>1231</v>
      </c>
      <c r="E1158" s="71"/>
      <c r="F1158" s="71"/>
      <c r="G1158" s="72"/>
      <c r="H1158" s="307">
        <f>H1157+H1155+H1152</f>
        <v>36185</v>
      </c>
      <c r="I1158" s="322"/>
      <c r="J1158" s="160"/>
      <c r="K1158" s="328"/>
    </row>
    <row r="1159" spans="3:11">
      <c r="C1159" s="59" t="s">
        <v>1232</v>
      </c>
      <c r="D1159" s="70" t="s">
        <v>1410</v>
      </c>
      <c r="E1159" s="71"/>
      <c r="F1159" s="72"/>
      <c r="G1159" s="96">
        <f>$M$7</f>
        <v>0.1</v>
      </c>
      <c r="H1159" s="65">
        <f>H1158*G1159</f>
        <v>3618.5</v>
      </c>
      <c r="I1159" s="322"/>
      <c r="J1159" s="160"/>
      <c r="K1159" s="328"/>
    </row>
    <row r="1160" spans="3:11">
      <c r="C1160" s="59" t="s">
        <v>1233</v>
      </c>
      <c r="D1160" s="70" t="s">
        <v>1234</v>
      </c>
      <c r="E1160" s="71"/>
      <c r="F1160" s="71"/>
      <c r="G1160" s="72"/>
      <c r="H1160" s="308">
        <f>SUM(H1158:H1159)</f>
        <v>39803.5</v>
      </c>
      <c r="I1160" s="322"/>
      <c r="J1160" s="160"/>
      <c r="K1160" s="328"/>
    </row>
    <row r="1161" spans="3:11">
      <c r="J1161" s="160"/>
      <c r="K1161" s="328"/>
    </row>
    <row r="1162" spans="3:11">
      <c r="C1162" s="316" t="s">
        <v>1910</v>
      </c>
      <c r="D1162" s="318"/>
      <c r="E1162" s="318"/>
      <c r="F1162" s="318"/>
      <c r="G1162" s="318"/>
      <c r="H1162" s="318"/>
      <c r="I1162" s="57">
        <f>ROUNDDOWN(H1177,-2)</f>
        <v>60800</v>
      </c>
      <c r="J1162" s="160"/>
      <c r="K1162" s="328"/>
    </row>
    <row r="1163" spans="3:11" ht="28.5">
      <c r="C1163" s="303" t="s">
        <v>1207</v>
      </c>
      <c r="D1163" s="303" t="s">
        <v>1208</v>
      </c>
      <c r="E1163" s="303" t="s">
        <v>1209</v>
      </c>
      <c r="F1163" s="303" t="s">
        <v>1210</v>
      </c>
      <c r="G1163" s="303" t="s">
        <v>1211</v>
      </c>
      <c r="H1163" s="303" t="s">
        <v>1212</v>
      </c>
      <c r="J1163" s="160"/>
      <c r="K1163" s="328"/>
    </row>
    <row r="1164" spans="3:11">
      <c r="C1164" s="73" t="s">
        <v>1213</v>
      </c>
      <c r="D1164" s="60" t="s">
        <v>1214</v>
      </c>
      <c r="E1164" s="74"/>
      <c r="F1164" s="74"/>
      <c r="G1164" s="74"/>
      <c r="H1164" s="74"/>
      <c r="J1164" s="160"/>
      <c r="K1164" s="328"/>
    </row>
    <row r="1165" spans="3:11">
      <c r="C1165" s="304">
        <v>1</v>
      </c>
      <c r="D1165" s="60" t="s">
        <v>5</v>
      </c>
      <c r="E1165" s="305" t="s">
        <v>6</v>
      </c>
      <c r="F1165" s="184">
        <v>2.9000000000000001E-2</v>
      </c>
      <c r="G1165" s="65">
        <f>VLOOKUP(D1165,upahbahan,3,FALSE)</f>
        <v>100000</v>
      </c>
      <c r="H1165" s="65">
        <f t="shared" ref="H1165:H1168" si="136">F1165*G1165</f>
        <v>2900</v>
      </c>
      <c r="J1165" s="160"/>
      <c r="K1165" s="328"/>
    </row>
    <row r="1166" spans="3:11">
      <c r="C1166" s="304">
        <v>2</v>
      </c>
      <c r="D1166" s="60" t="str">
        <f>D1149</f>
        <v>Tukang listrik</v>
      </c>
      <c r="E1166" s="305" t="s">
        <v>6</v>
      </c>
      <c r="F1166" s="184">
        <v>4.8000000000000001E-2</v>
      </c>
      <c r="G1166" s="65">
        <f>VLOOKUP(D1166,upahbahan,3,FALSE)</f>
        <v>145000</v>
      </c>
      <c r="H1166" s="65">
        <f t="shared" si="136"/>
        <v>6960</v>
      </c>
      <c r="J1166" s="160"/>
      <c r="K1166" s="328"/>
    </row>
    <row r="1167" spans="3:11">
      <c r="C1167" s="304">
        <v>3</v>
      </c>
      <c r="D1167" s="60" t="s">
        <v>18</v>
      </c>
      <c r="E1167" s="305" t="s">
        <v>6</v>
      </c>
      <c r="F1167" s="184">
        <v>5.0000000000000001E-3</v>
      </c>
      <c r="G1167" s="65">
        <f>VLOOKUP(D1167,upahbahan,3,FALSE)</f>
        <v>150000</v>
      </c>
      <c r="H1167" s="65">
        <f t="shared" si="136"/>
        <v>750</v>
      </c>
      <c r="J1167" s="160"/>
      <c r="K1167" s="328"/>
    </row>
    <row r="1168" spans="3:11">
      <c r="C1168" s="304">
        <v>4</v>
      </c>
      <c r="D1168" s="60" t="s">
        <v>19</v>
      </c>
      <c r="E1168" s="305" t="s">
        <v>6</v>
      </c>
      <c r="F1168" s="184">
        <v>2E-3</v>
      </c>
      <c r="G1168" s="65">
        <f>VLOOKUP(D1168,upahbahan,3,FALSE)</f>
        <v>145000</v>
      </c>
      <c r="H1168" s="65">
        <f t="shared" si="136"/>
        <v>290</v>
      </c>
      <c r="J1168" s="160"/>
      <c r="K1168" s="328"/>
    </row>
    <row r="1169" spans="3:11">
      <c r="C1169" s="84" t="s">
        <v>1220</v>
      </c>
      <c r="D1169" s="81"/>
      <c r="E1169" s="81"/>
      <c r="F1169" s="190"/>
      <c r="G1169" s="221"/>
      <c r="H1169" s="65">
        <f>SUM(H1165:H1168)</f>
        <v>10900</v>
      </c>
      <c r="I1169" s="222"/>
      <c r="J1169" s="160"/>
      <c r="K1169" s="328"/>
    </row>
    <row r="1170" spans="3:11">
      <c r="C1170" s="73" t="s">
        <v>1221</v>
      </c>
      <c r="D1170" s="60" t="s">
        <v>1222</v>
      </c>
      <c r="E1170" s="74"/>
      <c r="F1170" s="208"/>
      <c r="G1170" s="74"/>
      <c r="H1170" s="74"/>
      <c r="J1170" s="160"/>
      <c r="K1170" s="328"/>
    </row>
    <row r="1171" spans="3:11">
      <c r="C1171" s="368" t="s">
        <v>1215</v>
      </c>
      <c r="D1171" s="78" t="s">
        <v>906</v>
      </c>
      <c r="E1171" s="69" t="s">
        <v>114</v>
      </c>
      <c r="F1171" s="75">
        <v>1.2</v>
      </c>
      <c r="G1171" s="65">
        <f>VLOOKUP(D1171,upahbahan,3,FALSE)</f>
        <v>37000</v>
      </c>
      <c r="H1171" s="65">
        <f t="shared" ref="H1171" si="137">F1171*G1171</f>
        <v>44400</v>
      </c>
      <c r="J1171" s="160"/>
      <c r="K1171" s="328"/>
    </row>
    <row r="1172" spans="3:11">
      <c r="C1172" s="84" t="s">
        <v>1226</v>
      </c>
      <c r="D1172" s="81"/>
      <c r="E1172" s="81"/>
      <c r="F1172" s="81"/>
      <c r="G1172" s="163"/>
      <c r="H1172" s="65">
        <f>SUM(H1171:H1171)</f>
        <v>44400</v>
      </c>
      <c r="J1172" s="160"/>
      <c r="K1172" s="328"/>
    </row>
    <row r="1173" spans="3:11">
      <c r="C1173" s="73" t="s">
        <v>1227</v>
      </c>
      <c r="D1173" s="60" t="s">
        <v>1228</v>
      </c>
      <c r="E1173" s="74"/>
      <c r="F1173" s="74"/>
      <c r="G1173" s="74"/>
      <c r="H1173" s="74"/>
      <c r="J1173" s="160"/>
      <c r="K1173" s="328"/>
    </row>
    <row r="1174" spans="3:11">
      <c r="C1174" s="84" t="s">
        <v>1229</v>
      </c>
      <c r="D1174" s="81"/>
      <c r="E1174" s="81"/>
      <c r="F1174" s="81"/>
      <c r="G1174" s="163"/>
      <c r="H1174" s="306">
        <v>0</v>
      </c>
      <c r="J1174" s="160"/>
      <c r="K1174" s="328"/>
    </row>
    <row r="1175" spans="3:11">
      <c r="C1175" s="59" t="s">
        <v>1230</v>
      </c>
      <c r="D1175" s="70" t="s">
        <v>1231</v>
      </c>
      <c r="E1175" s="71"/>
      <c r="F1175" s="71"/>
      <c r="G1175" s="72"/>
      <c r="H1175" s="307">
        <f>H1174+H1172+H1169</f>
        <v>55300</v>
      </c>
      <c r="I1175" s="322"/>
      <c r="J1175" s="160"/>
      <c r="K1175" s="328"/>
    </row>
    <row r="1176" spans="3:11">
      <c r="C1176" s="59" t="s">
        <v>1232</v>
      </c>
      <c r="D1176" s="70" t="s">
        <v>1410</v>
      </c>
      <c r="E1176" s="71"/>
      <c r="F1176" s="72"/>
      <c r="G1176" s="96">
        <f>$M$7</f>
        <v>0.1</v>
      </c>
      <c r="H1176" s="65">
        <f>H1175*G1176</f>
        <v>5530</v>
      </c>
      <c r="I1176" s="322"/>
      <c r="J1176" s="160"/>
      <c r="K1176" s="328"/>
    </row>
    <row r="1177" spans="3:11">
      <c r="C1177" s="59" t="s">
        <v>1233</v>
      </c>
      <c r="D1177" s="70" t="s">
        <v>1234</v>
      </c>
      <c r="E1177" s="71"/>
      <c r="F1177" s="71"/>
      <c r="G1177" s="72"/>
      <c r="H1177" s="308">
        <f>SUM(H1175:H1176)</f>
        <v>60830</v>
      </c>
      <c r="I1177" s="322"/>
      <c r="J1177" s="160"/>
      <c r="K1177" s="328"/>
    </row>
    <row r="1178" spans="3:11">
      <c r="J1178" s="160"/>
      <c r="K1178" s="328"/>
    </row>
    <row r="1179" spans="3:11">
      <c r="C1179" s="316" t="s">
        <v>1911</v>
      </c>
      <c r="D1179" s="318"/>
      <c r="E1179" s="318"/>
      <c r="F1179" s="318"/>
      <c r="G1179" s="318"/>
      <c r="H1179" s="318"/>
      <c r="I1179" s="57">
        <f>ROUNDDOWN(H1194,-2)</f>
        <v>83700</v>
      </c>
      <c r="J1179" s="160"/>
      <c r="K1179" s="328"/>
    </row>
    <row r="1180" spans="3:11" ht="28.5">
      <c r="C1180" s="303" t="s">
        <v>1207</v>
      </c>
      <c r="D1180" s="303" t="s">
        <v>1208</v>
      </c>
      <c r="E1180" s="303" t="s">
        <v>1209</v>
      </c>
      <c r="F1180" s="303" t="s">
        <v>1210</v>
      </c>
      <c r="G1180" s="303" t="s">
        <v>1211</v>
      </c>
      <c r="H1180" s="303" t="s">
        <v>1212</v>
      </c>
      <c r="J1180" s="160"/>
      <c r="K1180" s="328"/>
    </row>
    <row r="1181" spans="3:11">
      <c r="C1181" s="73" t="s">
        <v>1213</v>
      </c>
      <c r="D1181" s="60" t="s">
        <v>1214</v>
      </c>
      <c r="E1181" s="74"/>
      <c r="F1181" s="74"/>
      <c r="G1181" s="74"/>
      <c r="H1181" s="74"/>
      <c r="J1181" s="160"/>
      <c r="K1181" s="328"/>
    </row>
    <row r="1182" spans="3:11">
      <c r="C1182" s="304">
        <v>1</v>
      </c>
      <c r="D1182" s="60" t="s">
        <v>5</v>
      </c>
      <c r="E1182" s="305" t="s">
        <v>6</v>
      </c>
      <c r="F1182" s="184">
        <v>2.9000000000000001E-2</v>
      </c>
      <c r="G1182" s="65">
        <f>VLOOKUP(D1182,upahbahan,3,FALSE)</f>
        <v>100000</v>
      </c>
      <c r="H1182" s="65">
        <f t="shared" ref="H1182:H1185" si="138">F1182*G1182</f>
        <v>2900</v>
      </c>
      <c r="J1182" s="160"/>
      <c r="K1182" s="328"/>
    </row>
    <row r="1183" spans="3:11">
      <c r="C1183" s="304">
        <v>2</v>
      </c>
      <c r="D1183" s="60" t="str">
        <f>D1166</f>
        <v>Tukang listrik</v>
      </c>
      <c r="E1183" s="305" t="s">
        <v>6</v>
      </c>
      <c r="F1183" s="184">
        <v>4.8000000000000001E-2</v>
      </c>
      <c r="G1183" s="65">
        <f>VLOOKUP(D1183,upahbahan,3,FALSE)</f>
        <v>145000</v>
      </c>
      <c r="H1183" s="65">
        <f t="shared" si="138"/>
        <v>6960</v>
      </c>
      <c r="J1183" s="160"/>
      <c r="K1183" s="328"/>
    </row>
    <row r="1184" spans="3:11">
      <c r="C1184" s="304">
        <v>3</v>
      </c>
      <c r="D1184" s="60" t="s">
        <v>18</v>
      </c>
      <c r="E1184" s="305" t="s">
        <v>6</v>
      </c>
      <c r="F1184" s="184">
        <v>5.0000000000000001E-3</v>
      </c>
      <c r="G1184" s="65">
        <f>VLOOKUP(D1184,upahbahan,3,FALSE)</f>
        <v>150000</v>
      </c>
      <c r="H1184" s="65">
        <f t="shared" si="138"/>
        <v>750</v>
      </c>
      <c r="J1184" s="160"/>
      <c r="K1184" s="328"/>
    </row>
    <row r="1185" spans="3:11">
      <c r="C1185" s="304">
        <v>4</v>
      </c>
      <c r="D1185" s="60" t="s">
        <v>19</v>
      </c>
      <c r="E1185" s="305" t="s">
        <v>6</v>
      </c>
      <c r="F1185" s="184">
        <v>2E-3</v>
      </c>
      <c r="G1185" s="65">
        <f>VLOOKUP(D1185,upahbahan,3,FALSE)</f>
        <v>145000</v>
      </c>
      <c r="H1185" s="65">
        <f t="shared" si="138"/>
        <v>290</v>
      </c>
      <c r="J1185" s="160"/>
      <c r="K1185" s="328"/>
    </row>
    <row r="1186" spans="3:11">
      <c r="C1186" s="84" t="s">
        <v>1220</v>
      </c>
      <c r="D1186" s="81"/>
      <c r="E1186" s="81"/>
      <c r="F1186" s="190"/>
      <c r="G1186" s="221"/>
      <c r="H1186" s="65">
        <f>SUM(H1182:H1185)</f>
        <v>10900</v>
      </c>
      <c r="I1186" s="222"/>
      <c r="J1186" s="160"/>
      <c r="K1186" s="328"/>
    </row>
    <row r="1187" spans="3:11">
      <c r="C1187" s="73" t="s">
        <v>1221</v>
      </c>
      <c r="D1187" s="60" t="s">
        <v>1222</v>
      </c>
      <c r="E1187" s="74"/>
      <c r="F1187" s="208"/>
      <c r="G1187" s="74"/>
      <c r="H1187" s="74"/>
      <c r="J1187" s="160"/>
      <c r="K1187" s="328"/>
    </row>
    <row r="1188" spans="3:11">
      <c r="C1188" s="368" t="s">
        <v>1215</v>
      </c>
      <c r="D1188" s="78" t="s">
        <v>907</v>
      </c>
      <c r="E1188" s="69" t="s">
        <v>114</v>
      </c>
      <c r="F1188" s="75">
        <v>1.2</v>
      </c>
      <c r="G1188" s="65">
        <f>VLOOKUP(D1188,upahbahan,3,FALSE)</f>
        <v>54400</v>
      </c>
      <c r="H1188" s="65">
        <f t="shared" ref="H1188" si="139">F1188*G1188</f>
        <v>65280</v>
      </c>
      <c r="J1188" s="160"/>
      <c r="K1188" s="328"/>
    </row>
    <row r="1189" spans="3:11">
      <c r="C1189" s="84" t="s">
        <v>1226</v>
      </c>
      <c r="D1189" s="81"/>
      <c r="E1189" s="81"/>
      <c r="F1189" s="81"/>
      <c r="G1189" s="163"/>
      <c r="H1189" s="65">
        <f>SUM(H1188:H1188)</f>
        <v>65280</v>
      </c>
      <c r="J1189" s="160"/>
      <c r="K1189" s="328"/>
    </row>
    <row r="1190" spans="3:11">
      <c r="C1190" s="73" t="s">
        <v>1227</v>
      </c>
      <c r="D1190" s="60" t="s">
        <v>1228</v>
      </c>
      <c r="E1190" s="74"/>
      <c r="F1190" s="74"/>
      <c r="G1190" s="74"/>
      <c r="H1190" s="74"/>
      <c r="J1190" s="160"/>
      <c r="K1190" s="328"/>
    </row>
    <row r="1191" spans="3:11">
      <c r="C1191" s="84" t="s">
        <v>1229</v>
      </c>
      <c r="D1191" s="81"/>
      <c r="E1191" s="81"/>
      <c r="F1191" s="81"/>
      <c r="G1191" s="163"/>
      <c r="H1191" s="306">
        <v>0</v>
      </c>
      <c r="J1191" s="160"/>
      <c r="K1191" s="328"/>
    </row>
    <row r="1192" spans="3:11">
      <c r="C1192" s="59" t="s">
        <v>1230</v>
      </c>
      <c r="D1192" s="70" t="s">
        <v>1231</v>
      </c>
      <c r="E1192" s="71"/>
      <c r="F1192" s="71"/>
      <c r="G1192" s="72"/>
      <c r="H1192" s="307">
        <f>H1191+H1189+H1186</f>
        <v>76180</v>
      </c>
      <c r="I1192" s="322"/>
      <c r="J1192" s="160"/>
      <c r="K1192" s="328"/>
    </row>
    <row r="1193" spans="3:11">
      <c r="C1193" s="59" t="s">
        <v>1232</v>
      </c>
      <c r="D1193" s="70" t="s">
        <v>1410</v>
      </c>
      <c r="E1193" s="71"/>
      <c r="F1193" s="72"/>
      <c r="G1193" s="96">
        <f>$M$7</f>
        <v>0.1</v>
      </c>
      <c r="H1193" s="65">
        <f>H1192*G1193</f>
        <v>7618</v>
      </c>
      <c r="I1193" s="322"/>
      <c r="J1193" s="160"/>
      <c r="K1193" s="328"/>
    </row>
    <row r="1194" spans="3:11">
      <c r="C1194" s="59" t="s">
        <v>1233</v>
      </c>
      <c r="D1194" s="70" t="s">
        <v>1234</v>
      </c>
      <c r="E1194" s="71"/>
      <c r="F1194" s="71"/>
      <c r="G1194" s="72"/>
      <c r="H1194" s="308">
        <f>SUM(H1192:H1193)</f>
        <v>83798</v>
      </c>
      <c r="I1194" s="322"/>
      <c r="J1194" s="160"/>
      <c r="K1194" s="328"/>
    </row>
    <row r="1195" spans="3:11">
      <c r="J1195" s="160"/>
      <c r="K1195" s="328"/>
    </row>
    <row r="1196" spans="3:11">
      <c r="C1196" s="316" t="s">
        <v>1912</v>
      </c>
      <c r="D1196" s="318"/>
      <c r="E1196" s="318"/>
      <c r="F1196" s="318"/>
      <c r="G1196" s="318"/>
      <c r="H1196" s="318"/>
      <c r="I1196" s="57">
        <f>ROUNDDOWN(H1211,-2)</f>
        <v>137400</v>
      </c>
      <c r="J1196" s="160"/>
      <c r="K1196" s="328"/>
    </row>
    <row r="1197" spans="3:11" ht="28.5">
      <c r="C1197" s="303" t="s">
        <v>1207</v>
      </c>
      <c r="D1197" s="303" t="s">
        <v>1208</v>
      </c>
      <c r="E1197" s="303" t="s">
        <v>1209</v>
      </c>
      <c r="F1197" s="303" t="s">
        <v>1210</v>
      </c>
      <c r="G1197" s="303" t="s">
        <v>1211</v>
      </c>
      <c r="H1197" s="303" t="s">
        <v>1212</v>
      </c>
      <c r="J1197" s="160"/>
      <c r="K1197" s="328"/>
    </row>
    <row r="1198" spans="3:11">
      <c r="C1198" s="73" t="s">
        <v>1213</v>
      </c>
      <c r="D1198" s="60" t="s">
        <v>1214</v>
      </c>
      <c r="E1198" s="74"/>
      <c r="F1198" s="74"/>
      <c r="G1198" s="74"/>
      <c r="H1198" s="74"/>
      <c r="J1198" s="160"/>
      <c r="K1198" s="328"/>
    </row>
    <row r="1199" spans="3:11">
      <c r="C1199" s="304">
        <v>1</v>
      </c>
      <c r="D1199" s="60" t="s">
        <v>5</v>
      </c>
      <c r="E1199" s="305" t="s">
        <v>6</v>
      </c>
      <c r="F1199" s="75">
        <v>3.5999999999999997E-2</v>
      </c>
      <c r="G1199" s="65">
        <f>VLOOKUP(D1199,upahbahan,3,FALSE)</f>
        <v>100000</v>
      </c>
      <c r="H1199" s="65">
        <f t="shared" ref="H1199:H1202" si="140">F1199*G1199</f>
        <v>3599.9999999999995</v>
      </c>
      <c r="J1199" s="160"/>
      <c r="K1199" s="328"/>
    </row>
    <row r="1200" spans="3:11">
      <c r="C1200" s="304">
        <v>2</v>
      </c>
      <c r="D1200" s="60" t="str">
        <f>D1183</f>
        <v>Tukang listrik</v>
      </c>
      <c r="E1200" s="305" t="s">
        <v>6</v>
      </c>
      <c r="F1200" s="75">
        <v>0.06</v>
      </c>
      <c r="G1200" s="65">
        <f>VLOOKUP(D1200,upahbahan,3,FALSE)</f>
        <v>145000</v>
      </c>
      <c r="H1200" s="65">
        <f t="shared" si="140"/>
        <v>8700</v>
      </c>
      <c r="J1200" s="160"/>
      <c r="K1200" s="328"/>
    </row>
    <row r="1201" spans="3:11">
      <c r="C1201" s="304">
        <v>3</v>
      </c>
      <c r="D1201" s="60" t="s">
        <v>18</v>
      </c>
      <c r="E1201" s="305" t="s">
        <v>6</v>
      </c>
      <c r="F1201" s="75">
        <v>6.0000000000000001E-3</v>
      </c>
      <c r="G1201" s="65">
        <f>VLOOKUP(D1201,upahbahan,3,FALSE)</f>
        <v>150000</v>
      </c>
      <c r="H1201" s="65">
        <f t="shared" si="140"/>
        <v>900</v>
      </c>
      <c r="J1201" s="160"/>
      <c r="K1201" s="328"/>
    </row>
    <row r="1202" spans="3:11">
      <c r="C1202" s="304">
        <v>4</v>
      </c>
      <c r="D1202" s="60" t="s">
        <v>19</v>
      </c>
      <c r="E1202" s="305" t="s">
        <v>6</v>
      </c>
      <c r="F1202" s="75">
        <v>2E-3</v>
      </c>
      <c r="G1202" s="65">
        <f>VLOOKUP(D1202,upahbahan,3,FALSE)</f>
        <v>145000</v>
      </c>
      <c r="H1202" s="65">
        <f t="shared" si="140"/>
        <v>290</v>
      </c>
      <c r="J1202" s="160"/>
      <c r="K1202" s="328"/>
    </row>
    <row r="1203" spans="3:11">
      <c r="C1203" s="84" t="s">
        <v>1220</v>
      </c>
      <c r="D1203" s="81"/>
      <c r="E1203" s="81"/>
      <c r="F1203" s="190"/>
      <c r="G1203" s="221"/>
      <c r="H1203" s="65">
        <f>SUM(H1199:H1202)</f>
        <v>13490</v>
      </c>
      <c r="I1203" s="222"/>
      <c r="J1203" s="160"/>
      <c r="K1203" s="328"/>
    </row>
    <row r="1204" spans="3:11">
      <c r="C1204" s="73" t="s">
        <v>1221</v>
      </c>
      <c r="D1204" s="60" t="s">
        <v>1222</v>
      </c>
      <c r="E1204" s="74"/>
      <c r="F1204" s="208"/>
      <c r="G1204" s="74"/>
      <c r="H1204" s="74"/>
      <c r="J1204" s="160"/>
      <c r="K1204" s="328"/>
    </row>
    <row r="1205" spans="3:11">
      <c r="C1205" s="368" t="s">
        <v>1215</v>
      </c>
      <c r="D1205" s="78" t="s">
        <v>903</v>
      </c>
      <c r="E1205" s="69" t="s">
        <v>114</v>
      </c>
      <c r="F1205" s="75">
        <v>1.2</v>
      </c>
      <c r="G1205" s="65">
        <f>VLOOKUP(D1205,upahbahan,3,FALSE)</f>
        <v>92900</v>
      </c>
      <c r="H1205" s="65">
        <f t="shared" ref="H1205" si="141">F1205*G1205</f>
        <v>111480</v>
      </c>
      <c r="J1205" s="160"/>
      <c r="K1205" s="328"/>
    </row>
    <row r="1206" spans="3:11">
      <c r="C1206" s="84" t="s">
        <v>1226</v>
      </c>
      <c r="D1206" s="81"/>
      <c r="E1206" s="81"/>
      <c r="F1206" s="81"/>
      <c r="G1206" s="163"/>
      <c r="H1206" s="65">
        <f>SUM(H1205:H1205)</f>
        <v>111480</v>
      </c>
      <c r="J1206" s="160"/>
      <c r="K1206" s="328"/>
    </row>
    <row r="1207" spans="3:11">
      <c r="C1207" s="73" t="s">
        <v>1227</v>
      </c>
      <c r="D1207" s="60" t="s">
        <v>1228</v>
      </c>
      <c r="E1207" s="74"/>
      <c r="F1207" s="74"/>
      <c r="G1207" s="74"/>
      <c r="H1207" s="74"/>
      <c r="J1207" s="160"/>
      <c r="K1207" s="328"/>
    </row>
    <row r="1208" spans="3:11">
      <c r="C1208" s="84" t="s">
        <v>1229</v>
      </c>
      <c r="D1208" s="81"/>
      <c r="E1208" s="81"/>
      <c r="F1208" s="81"/>
      <c r="G1208" s="163"/>
      <c r="H1208" s="306">
        <v>0</v>
      </c>
      <c r="J1208" s="160"/>
      <c r="K1208" s="328"/>
    </row>
    <row r="1209" spans="3:11">
      <c r="C1209" s="59" t="s">
        <v>1230</v>
      </c>
      <c r="D1209" s="70" t="s">
        <v>1231</v>
      </c>
      <c r="E1209" s="71"/>
      <c r="F1209" s="71"/>
      <c r="G1209" s="72"/>
      <c r="H1209" s="307">
        <f>H1208+H1206+H1203</f>
        <v>124970</v>
      </c>
      <c r="I1209" s="322"/>
      <c r="J1209" s="160"/>
      <c r="K1209" s="328"/>
    </row>
    <row r="1210" spans="3:11">
      <c r="C1210" s="59" t="s">
        <v>1232</v>
      </c>
      <c r="D1210" s="70" t="s">
        <v>1410</v>
      </c>
      <c r="E1210" s="71"/>
      <c r="F1210" s="72"/>
      <c r="G1210" s="96">
        <f>$M$7</f>
        <v>0.1</v>
      </c>
      <c r="H1210" s="65">
        <f>H1209*G1210</f>
        <v>12497</v>
      </c>
      <c r="I1210" s="322"/>
      <c r="J1210" s="160"/>
      <c r="K1210" s="328"/>
    </row>
    <row r="1211" spans="3:11">
      <c r="C1211" s="59" t="s">
        <v>1233</v>
      </c>
      <c r="D1211" s="70" t="s">
        <v>1234</v>
      </c>
      <c r="E1211" s="71"/>
      <c r="F1211" s="71"/>
      <c r="G1211" s="72"/>
      <c r="H1211" s="308">
        <f>SUM(H1209:H1210)</f>
        <v>137467</v>
      </c>
      <c r="I1211" s="322"/>
      <c r="J1211" s="160"/>
      <c r="K1211" s="328"/>
    </row>
    <row r="1212" spans="3:11">
      <c r="J1212" s="160"/>
      <c r="K1212" s="328"/>
    </row>
    <row r="1213" spans="3:11">
      <c r="C1213" s="316" t="s">
        <v>1913</v>
      </c>
      <c r="D1213" s="318"/>
      <c r="E1213" s="318"/>
      <c r="F1213" s="318"/>
      <c r="G1213" s="318"/>
      <c r="H1213" s="318"/>
      <c r="I1213" s="57">
        <f>ROUNDDOWN(H1228,-2)</f>
        <v>212800</v>
      </c>
      <c r="J1213" s="160"/>
      <c r="K1213" s="328"/>
    </row>
    <row r="1214" spans="3:11" ht="28.5">
      <c r="C1214" s="303" t="s">
        <v>1207</v>
      </c>
      <c r="D1214" s="303" t="s">
        <v>1208</v>
      </c>
      <c r="E1214" s="303" t="s">
        <v>1209</v>
      </c>
      <c r="F1214" s="303" t="s">
        <v>1210</v>
      </c>
      <c r="G1214" s="303" t="s">
        <v>1211</v>
      </c>
      <c r="H1214" s="303" t="s">
        <v>1212</v>
      </c>
      <c r="J1214" s="160"/>
      <c r="K1214" s="328"/>
    </row>
    <row r="1215" spans="3:11">
      <c r="C1215" s="73" t="s">
        <v>1213</v>
      </c>
      <c r="D1215" s="60" t="s">
        <v>1214</v>
      </c>
      <c r="E1215" s="74"/>
      <c r="F1215" s="74"/>
      <c r="G1215" s="74"/>
      <c r="H1215" s="74"/>
      <c r="J1215" s="160"/>
      <c r="K1215" s="328"/>
    </row>
    <row r="1216" spans="3:11">
      <c r="C1216" s="304">
        <v>1</v>
      </c>
      <c r="D1216" s="60" t="s">
        <v>5</v>
      </c>
      <c r="E1216" s="305" t="s">
        <v>6</v>
      </c>
      <c r="F1216" s="75">
        <v>3.5999999999999997E-2</v>
      </c>
      <c r="G1216" s="65">
        <f>VLOOKUP(D1216,upahbahan,3,FALSE)</f>
        <v>100000</v>
      </c>
      <c r="H1216" s="65">
        <f t="shared" ref="H1216:H1219" si="142">F1216*G1216</f>
        <v>3599.9999999999995</v>
      </c>
      <c r="J1216" s="160"/>
      <c r="K1216" s="328"/>
    </row>
    <row r="1217" spans="3:11">
      <c r="C1217" s="304">
        <v>2</v>
      </c>
      <c r="D1217" s="60" t="str">
        <f>D1200</f>
        <v>Tukang listrik</v>
      </c>
      <c r="E1217" s="305" t="s">
        <v>6</v>
      </c>
      <c r="F1217" s="75">
        <v>0.06</v>
      </c>
      <c r="G1217" s="65">
        <f>VLOOKUP(D1217,upahbahan,3,FALSE)</f>
        <v>145000</v>
      </c>
      <c r="H1217" s="65">
        <f t="shared" si="142"/>
        <v>8700</v>
      </c>
      <c r="J1217" s="160"/>
      <c r="K1217" s="328"/>
    </row>
    <row r="1218" spans="3:11">
      <c r="C1218" s="304">
        <v>3</v>
      </c>
      <c r="D1218" s="60" t="s">
        <v>18</v>
      </c>
      <c r="E1218" s="305" t="s">
        <v>6</v>
      </c>
      <c r="F1218" s="75">
        <v>6.0000000000000001E-3</v>
      </c>
      <c r="G1218" s="65">
        <f>VLOOKUP(D1218,upahbahan,3,FALSE)</f>
        <v>150000</v>
      </c>
      <c r="H1218" s="65">
        <f t="shared" si="142"/>
        <v>900</v>
      </c>
      <c r="J1218" s="160"/>
      <c r="K1218" s="328"/>
    </row>
    <row r="1219" spans="3:11">
      <c r="C1219" s="304">
        <v>4</v>
      </c>
      <c r="D1219" s="60" t="s">
        <v>19</v>
      </c>
      <c r="E1219" s="305" t="s">
        <v>6</v>
      </c>
      <c r="F1219" s="75">
        <v>2E-3</v>
      </c>
      <c r="G1219" s="65">
        <f>VLOOKUP(D1219,upahbahan,3,FALSE)</f>
        <v>145000</v>
      </c>
      <c r="H1219" s="65">
        <f t="shared" si="142"/>
        <v>290</v>
      </c>
      <c r="J1219" s="160"/>
      <c r="K1219" s="328"/>
    </row>
    <row r="1220" spans="3:11">
      <c r="C1220" s="84" t="s">
        <v>1220</v>
      </c>
      <c r="D1220" s="81"/>
      <c r="E1220" s="81"/>
      <c r="F1220" s="190"/>
      <c r="G1220" s="221"/>
      <c r="H1220" s="65">
        <f>SUM(H1216:H1219)</f>
        <v>13490</v>
      </c>
      <c r="I1220" s="222"/>
      <c r="J1220" s="160"/>
      <c r="K1220" s="328"/>
    </row>
    <row r="1221" spans="3:11">
      <c r="C1221" s="73" t="s">
        <v>1221</v>
      </c>
      <c r="D1221" s="60" t="s">
        <v>1222</v>
      </c>
      <c r="E1221" s="74"/>
      <c r="F1221" s="208"/>
      <c r="G1221" s="74"/>
      <c r="H1221" s="74"/>
      <c r="J1221" s="160"/>
      <c r="K1221" s="328"/>
    </row>
    <row r="1222" spans="3:11">
      <c r="C1222" s="368" t="s">
        <v>1215</v>
      </c>
      <c r="D1222" s="78" t="s">
        <v>904</v>
      </c>
      <c r="E1222" s="69" t="s">
        <v>114</v>
      </c>
      <c r="F1222" s="75">
        <v>1.2</v>
      </c>
      <c r="G1222" s="65">
        <f>VLOOKUP(D1222,upahbahan,3,FALSE)</f>
        <v>150000</v>
      </c>
      <c r="H1222" s="65">
        <f t="shared" ref="H1222" si="143">F1222*G1222</f>
        <v>180000</v>
      </c>
      <c r="J1222" s="160"/>
      <c r="K1222" s="328"/>
    </row>
    <row r="1223" spans="3:11">
      <c r="C1223" s="84" t="s">
        <v>1226</v>
      </c>
      <c r="D1223" s="81"/>
      <c r="E1223" s="81"/>
      <c r="F1223" s="81"/>
      <c r="G1223" s="163"/>
      <c r="H1223" s="65">
        <f>SUM(H1222:H1222)</f>
        <v>180000</v>
      </c>
      <c r="J1223" s="160"/>
      <c r="K1223" s="328"/>
    </row>
    <row r="1224" spans="3:11">
      <c r="C1224" s="73" t="s">
        <v>1227</v>
      </c>
      <c r="D1224" s="60" t="s">
        <v>1228</v>
      </c>
      <c r="E1224" s="74"/>
      <c r="F1224" s="74"/>
      <c r="G1224" s="74"/>
      <c r="H1224" s="74"/>
      <c r="J1224" s="160"/>
      <c r="K1224" s="328"/>
    </row>
    <row r="1225" spans="3:11">
      <c r="C1225" s="84" t="s">
        <v>1229</v>
      </c>
      <c r="D1225" s="81"/>
      <c r="E1225" s="81"/>
      <c r="F1225" s="81"/>
      <c r="G1225" s="163"/>
      <c r="H1225" s="306">
        <v>0</v>
      </c>
      <c r="J1225" s="160"/>
      <c r="K1225" s="328"/>
    </row>
    <row r="1226" spans="3:11">
      <c r="C1226" s="59" t="s">
        <v>1230</v>
      </c>
      <c r="D1226" s="70" t="s">
        <v>1231</v>
      </c>
      <c r="E1226" s="71"/>
      <c r="F1226" s="71"/>
      <c r="G1226" s="72"/>
      <c r="H1226" s="307">
        <f>H1225+H1223+H1220</f>
        <v>193490</v>
      </c>
      <c r="I1226" s="322"/>
      <c r="J1226" s="160"/>
      <c r="K1226" s="328"/>
    </row>
    <row r="1227" spans="3:11">
      <c r="C1227" s="59" t="s">
        <v>1232</v>
      </c>
      <c r="D1227" s="70" t="s">
        <v>1410</v>
      </c>
      <c r="E1227" s="71"/>
      <c r="F1227" s="72"/>
      <c r="G1227" s="96">
        <f>$M$7</f>
        <v>0.1</v>
      </c>
      <c r="H1227" s="65">
        <f>H1226*G1227</f>
        <v>19349</v>
      </c>
      <c r="I1227" s="322"/>
      <c r="J1227" s="160"/>
      <c r="K1227" s="328"/>
    </row>
    <row r="1228" spans="3:11">
      <c r="C1228" s="59" t="s">
        <v>1233</v>
      </c>
      <c r="D1228" s="70" t="s">
        <v>1234</v>
      </c>
      <c r="E1228" s="71"/>
      <c r="F1228" s="71"/>
      <c r="G1228" s="72"/>
      <c r="H1228" s="308">
        <f>SUM(H1226:H1227)</f>
        <v>212839</v>
      </c>
      <c r="I1228" s="322"/>
      <c r="J1228" s="160"/>
      <c r="K1228" s="328"/>
    </row>
    <row r="1229" spans="3:11">
      <c r="J1229" s="160"/>
      <c r="K1229" s="328"/>
    </row>
    <row r="1230" spans="3:11">
      <c r="C1230" s="316" t="s">
        <v>1914</v>
      </c>
      <c r="D1230" s="318"/>
      <c r="E1230" s="318"/>
      <c r="F1230" s="318"/>
      <c r="G1230" s="318"/>
      <c r="H1230" s="318"/>
      <c r="I1230" s="57">
        <f>ROUNDDOWN(H1245,-2)</f>
        <v>22100</v>
      </c>
      <c r="J1230" s="160"/>
      <c r="K1230" s="328"/>
    </row>
    <row r="1231" spans="3:11" ht="28.5">
      <c r="C1231" s="303" t="s">
        <v>1207</v>
      </c>
      <c r="D1231" s="303" t="s">
        <v>1208</v>
      </c>
      <c r="E1231" s="303" t="s">
        <v>1209</v>
      </c>
      <c r="F1231" s="303" t="s">
        <v>1210</v>
      </c>
      <c r="G1231" s="303" t="s">
        <v>1211</v>
      </c>
      <c r="H1231" s="303" t="s">
        <v>1212</v>
      </c>
      <c r="J1231" s="160"/>
      <c r="K1231" s="328"/>
    </row>
    <row r="1232" spans="3:11">
      <c r="C1232" s="73" t="s">
        <v>1213</v>
      </c>
      <c r="D1232" s="60" t="s">
        <v>1214</v>
      </c>
      <c r="E1232" s="74"/>
      <c r="F1232" s="74"/>
      <c r="G1232" s="74"/>
      <c r="H1232" s="74"/>
      <c r="J1232" s="160"/>
      <c r="K1232" s="328"/>
    </row>
    <row r="1233" spans="3:11">
      <c r="C1233" s="304">
        <v>1</v>
      </c>
      <c r="D1233" s="60" t="s">
        <v>5</v>
      </c>
      <c r="E1233" s="305" t="s">
        <v>6</v>
      </c>
      <c r="F1233" s="75">
        <v>2.4E-2</v>
      </c>
      <c r="G1233" s="65">
        <f>VLOOKUP(D1233,upahbahan,3,FALSE)</f>
        <v>100000</v>
      </c>
      <c r="H1233" s="65">
        <f t="shared" ref="H1233:H1236" si="144">F1233*G1233</f>
        <v>2400</v>
      </c>
      <c r="J1233" s="160"/>
      <c r="K1233" s="328"/>
    </row>
    <row r="1234" spans="3:11">
      <c r="C1234" s="304">
        <v>2</v>
      </c>
      <c r="D1234" s="60" t="str">
        <f>D1217</f>
        <v>Tukang listrik</v>
      </c>
      <c r="E1234" s="305" t="s">
        <v>6</v>
      </c>
      <c r="F1234" s="75">
        <v>0.04</v>
      </c>
      <c r="G1234" s="65">
        <f>VLOOKUP(D1234,upahbahan,3,FALSE)</f>
        <v>145000</v>
      </c>
      <c r="H1234" s="65">
        <f t="shared" si="144"/>
        <v>5800</v>
      </c>
      <c r="J1234" s="160"/>
      <c r="K1234" s="328"/>
    </row>
    <row r="1235" spans="3:11">
      <c r="C1235" s="304">
        <v>3</v>
      </c>
      <c r="D1235" s="60" t="s">
        <v>18</v>
      </c>
      <c r="E1235" s="305" t="s">
        <v>6</v>
      </c>
      <c r="F1235" s="75">
        <v>4.0000000000000001E-3</v>
      </c>
      <c r="G1235" s="65">
        <f>VLOOKUP(D1235,upahbahan,3,FALSE)</f>
        <v>150000</v>
      </c>
      <c r="H1235" s="65">
        <f t="shared" si="144"/>
        <v>600</v>
      </c>
      <c r="J1235" s="160"/>
      <c r="K1235" s="328"/>
    </row>
    <row r="1236" spans="3:11">
      <c r="C1236" s="304">
        <v>4</v>
      </c>
      <c r="D1236" s="60" t="s">
        <v>19</v>
      </c>
      <c r="E1236" s="305" t="s">
        <v>6</v>
      </c>
      <c r="F1236" s="75">
        <v>1E-3</v>
      </c>
      <c r="G1236" s="65">
        <f>VLOOKUP(D1236,upahbahan,3,FALSE)</f>
        <v>145000</v>
      </c>
      <c r="H1236" s="65">
        <f t="shared" si="144"/>
        <v>145</v>
      </c>
      <c r="J1236" s="160"/>
      <c r="K1236" s="328"/>
    </row>
    <row r="1237" spans="3:11">
      <c r="C1237" s="84" t="s">
        <v>1220</v>
      </c>
      <c r="D1237" s="81"/>
      <c r="E1237" s="81"/>
      <c r="F1237" s="190"/>
      <c r="G1237" s="221"/>
      <c r="H1237" s="65">
        <f>SUM(H1233:H1236)</f>
        <v>8945</v>
      </c>
      <c r="I1237" s="222"/>
      <c r="J1237" s="160"/>
      <c r="K1237" s="328"/>
    </row>
    <row r="1238" spans="3:11">
      <c r="C1238" s="73" t="s">
        <v>1221</v>
      </c>
      <c r="D1238" s="60" t="s">
        <v>1222</v>
      </c>
      <c r="E1238" s="74"/>
      <c r="F1238" s="208"/>
      <c r="G1238" s="74"/>
      <c r="H1238" s="74"/>
      <c r="J1238" s="160"/>
      <c r="K1238" s="328"/>
    </row>
    <row r="1239" spans="3:11">
      <c r="C1239" s="368" t="s">
        <v>1215</v>
      </c>
      <c r="D1239" s="78" t="s">
        <v>908</v>
      </c>
      <c r="E1239" s="69" t="s">
        <v>114</v>
      </c>
      <c r="F1239" s="75">
        <v>1.2</v>
      </c>
      <c r="G1239" s="65">
        <f>VLOOKUP(D1239,upahbahan,3,FALSE)</f>
        <v>9300</v>
      </c>
      <c r="H1239" s="65">
        <f t="shared" ref="H1239" si="145">F1239*G1239</f>
        <v>11160</v>
      </c>
      <c r="J1239" s="160"/>
      <c r="K1239" s="328"/>
    </row>
    <row r="1240" spans="3:11">
      <c r="C1240" s="84" t="s">
        <v>1226</v>
      </c>
      <c r="D1240" s="81"/>
      <c r="E1240" s="81"/>
      <c r="F1240" s="81"/>
      <c r="G1240" s="163"/>
      <c r="H1240" s="65">
        <f>SUM(H1239:H1239)</f>
        <v>11160</v>
      </c>
      <c r="J1240" s="160"/>
      <c r="K1240" s="328"/>
    </row>
    <row r="1241" spans="3:11">
      <c r="C1241" s="73" t="s">
        <v>1227</v>
      </c>
      <c r="D1241" s="60" t="s">
        <v>1228</v>
      </c>
      <c r="E1241" s="74"/>
      <c r="F1241" s="74"/>
      <c r="G1241" s="74"/>
      <c r="H1241" s="74"/>
      <c r="J1241" s="160"/>
      <c r="K1241" s="328"/>
    </row>
    <row r="1242" spans="3:11">
      <c r="C1242" s="84" t="s">
        <v>1229</v>
      </c>
      <c r="D1242" s="81"/>
      <c r="E1242" s="81"/>
      <c r="F1242" s="81"/>
      <c r="G1242" s="163"/>
      <c r="H1242" s="306">
        <v>0</v>
      </c>
      <c r="J1242" s="160"/>
      <c r="K1242" s="328"/>
    </row>
    <row r="1243" spans="3:11">
      <c r="C1243" s="59" t="s">
        <v>1230</v>
      </c>
      <c r="D1243" s="70" t="s">
        <v>1231</v>
      </c>
      <c r="E1243" s="71"/>
      <c r="F1243" s="71"/>
      <c r="G1243" s="72"/>
      <c r="H1243" s="307">
        <f>H1242+H1240+H1237</f>
        <v>20105</v>
      </c>
      <c r="I1243" s="322"/>
      <c r="J1243" s="160"/>
      <c r="K1243" s="328"/>
    </row>
    <row r="1244" spans="3:11">
      <c r="C1244" s="59" t="s">
        <v>1232</v>
      </c>
      <c r="D1244" s="70" t="s">
        <v>1410</v>
      </c>
      <c r="E1244" s="71"/>
      <c r="F1244" s="72"/>
      <c r="G1244" s="96">
        <f>$M$7</f>
        <v>0.1</v>
      </c>
      <c r="H1244" s="65">
        <f>H1243*G1244</f>
        <v>2010.5</v>
      </c>
      <c r="I1244" s="322"/>
      <c r="J1244" s="160"/>
      <c r="K1244" s="328"/>
    </row>
    <row r="1245" spans="3:11">
      <c r="C1245" s="59" t="s">
        <v>1233</v>
      </c>
      <c r="D1245" s="70" t="s">
        <v>1234</v>
      </c>
      <c r="E1245" s="71"/>
      <c r="F1245" s="71"/>
      <c r="G1245" s="72"/>
      <c r="H1245" s="308">
        <f>SUM(H1243:H1244)</f>
        <v>22115.5</v>
      </c>
      <c r="I1245" s="322"/>
      <c r="J1245" s="160"/>
      <c r="K1245" s="328"/>
    </row>
    <row r="1246" spans="3:11">
      <c r="J1246" s="160"/>
      <c r="K1246" s="328"/>
    </row>
    <row r="1247" spans="3:11">
      <c r="C1247" s="316" t="s">
        <v>1915</v>
      </c>
      <c r="D1247" s="318"/>
      <c r="E1247" s="318"/>
      <c r="F1247" s="318"/>
      <c r="G1247" s="318"/>
      <c r="H1247" s="318"/>
      <c r="I1247" s="57">
        <f>ROUNDDOWN(H1262,-2)</f>
        <v>28100</v>
      </c>
      <c r="J1247" s="160"/>
      <c r="K1247" s="328"/>
    </row>
    <row r="1248" spans="3:11" ht="28.5">
      <c r="C1248" s="303" t="s">
        <v>1207</v>
      </c>
      <c r="D1248" s="303" t="s">
        <v>1208</v>
      </c>
      <c r="E1248" s="303" t="s">
        <v>1209</v>
      </c>
      <c r="F1248" s="303" t="s">
        <v>1210</v>
      </c>
      <c r="G1248" s="303" t="s">
        <v>1211</v>
      </c>
      <c r="H1248" s="303" t="s">
        <v>1212</v>
      </c>
      <c r="J1248" s="160"/>
      <c r="K1248" s="328"/>
    </row>
    <row r="1249" spans="3:11">
      <c r="C1249" s="73" t="s">
        <v>1213</v>
      </c>
      <c r="D1249" s="60" t="s">
        <v>1214</v>
      </c>
      <c r="E1249" s="74"/>
      <c r="F1249" s="74"/>
      <c r="G1249" s="74"/>
      <c r="H1249" s="74"/>
      <c r="J1249" s="160"/>
      <c r="K1249" s="328"/>
    </row>
    <row r="1250" spans="3:11">
      <c r="C1250" s="304">
        <v>1</v>
      </c>
      <c r="D1250" s="60" t="s">
        <v>5</v>
      </c>
      <c r="E1250" s="305" t="s">
        <v>6</v>
      </c>
      <c r="F1250" s="75">
        <v>2.4E-2</v>
      </c>
      <c r="G1250" s="65">
        <f>VLOOKUP(D1250,upahbahan,3,FALSE)</f>
        <v>100000</v>
      </c>
      <c r="H1250" s="65">
        <f t="shared" ref="H1250:H1253" si="146">F1250*G1250</f>
        <v>2400</v>
      </c>
      <c r="J1250" s="160"/>
      <c r="K1250" s="328"/>
    </row>
    <row r="1251" spans="3:11">
      <c r="C1251" s="304">
        <v>2</v>
      </c>
      <c r="D1251" s="60" t="str">
        <f>D1234</f>
        <v>Tukang listrik</v>
      </c>
      <c r="E1251" s="305" t="s">
        <v>6</v>
      </c>
      <c r="F1251" s="75">
        <v>0.04</v>
      </c>
      <c r="G1251" s="65">
        <f>VLOOKUP(D1251,upahbahan,3,FALSE)</f>
        <v>145000</v>
      </c>
      <c r="H1251" s="65">
        <f t="shared" si="146"/>
        <v>5800</v>
      </c>
      <c r="J1251" s="160"/>
      <c r="K1251" s="328"/>
    </row>
    <row r="1252" spans="3:11">
      <c r="C1252" s="304">
        <v>3</v>
      </c>
      <c r="D1252" s="60" t="s">
        <v>18</v>
      </c>
      <c r="E1252" s="305" t="s">
        <v>6</v>
      </c>
      <c r="F1252" s="75">
        <v>4.0000000000000001E-3</v>
      </c>
      <c r="G1252" s="65">
        <f>VLOOKUP(D1252,upahbahan,3,FALSE)</f>
        <v>150000</v>
      </c>
      <c r="H1252" s="65">
        <f t="shared" si="146"/>
        <v>600</v>
      </c>
      <c r="J1252" s="160"/>
      <c r="K1252" s="328"/>
    </row>
    <row r="1253" spans="3:11">
      <c r="C1253" s="304">
        <v>4</v>
      </c>
      <c r="D1253" s="60" t="s">
        <v>19</v>
      </c>
      <c r="E1253" s="305" t="s">
        <v>6</v>
      </c>
      <c r="F1253" s="75">
        <v>1E-3</v>
      </c>
      <c r="G1253" s="65">
        <f>VLOOKUP(D1253,upahbahan,3,FALSE)</f>
        <v>145000</v>
      </c>
      <c r="H1253" s="65">
        <f t="shared" si="146"/>
        <v>145</v>
      </c>
      <c r="J1253" s="160"/>
      <c r="K1253" s="328"/>
    </row>
    <row r="1254" spans="3:11">
      <c r="C1254" s="84" t="s">
        <v>1220</v>
      </c>
      <c r="D1254" s="81"/>
      <c r="E1254" s="81"/>
      <c r="F1254" s="190"/>
      <c r="G1254" s="221"/>
      <c r="H1254" s="65">
        <f>SUM(H1250:H1253)</f>
        <v>8945</v>
      </c>
      <c r="I1254" s="222"/>
      <c r="J1254" s="160"/>
      <c r="K1254" s="328"/>
    </row>
    <row r="1255" spans="3:11">
      <c r="C1255" s="73" t="s">
        <v>1221</v>
      </c>
      <c r="D1255" s="60" t="s">
        <v>1222</v>
      </c>
      <c r="E1255" s="74"/>
      <c r="F1255" s="208"/>
      <c r="G1255" s="74"/>
      <c r="H1255" s="74"/>
      <c r="J1255" s="160"/>
      <c r="K1255" s="328"/>
    </row>
    <row r="1256" spans="3:11">
      <c r="C1256" s="368" t="s">
        <v>1215</v>
      </c>
      <c r="D1256" s="78" t="s">
        <v>909</v>
      </c>
      <c r="E1256" s="69" t="s">
        <v>114</v>
      </c>
      <c r="F1256" s="75">
        <v>1.2</v>
      </c>
      <c r="G1256" s="65">
        <f>VLOOKUP(D1256,upahbahan,3,FALSE)</f>
        <v>13900</v>
      </c>
      <c r="H1256" s="65">
        <f t="shared" ref="H1256" si="147">F1256*G1256</f>
        <v>16680</v>
      </c>
      <c r="J1256" s="160"/>
      <c r="K1256" s="328"/>
    </row>
    <row r="1257" spans="3:11">
      <c r="C1257" s="84" t="s">
        <v>1226</v>
      </c>
      <c r="D1257" s="81"/>
      <c r="E1257" s="81"/>
      <c r="F1257" s="81"/>
      <c r="G1257" s="163"/>
      <c r="H1257" s="65">
        <f>SUM(H1256:H1256)</f>
        <v>16680</v>
      </c>
      <c r="J1257" s="160"/>
      <c r="K1257" s="328"/>
    </row>
    <row r="1258" spans="3:11">
      <c r="C1258" s="73" t="s">
        <v>1227</v>
      </c>
      <c r="D1258" s="60" t="s">
        <v>1228</v>
      </c>
      <c r="E1258" s="74"/>
      <c r="F1258" s="74"/>
      <c r="G1258" s="74"/>
      <c r="H1258" s="74"/>
      <c r="J1258" s="160"/>
      <c r="K1258" s="328"/>
    </row>
    <row r="1259" spans="3:11">
      <c r="C1259" s="84" t="s">
        <v>1229</v>
      </c>
      <c r="D1259" s="81"/>
      <c r="E1259" s="81"/>
      <c r="F1259" s="81"/>
      <c r="G1259" s="163"/>
      <c r="H1259" s="306">
        <v>0</v>
      </c>
      <c r="J1259" s="160"/>
      <c r="K1259" s="328"/>
    </row>
    <row r="1260" spans="3:11">
      <c r="C1260" s="59" t="s">
        <v>1230</v>
      </c>
      <c r="D1260" s="70" t="s">
        <v>1231</v>
      </c>
      <c r="E1260" s="71"/>
      <c r="F1260" s="71"/>
      <c r="G1260" s="72"/>
      <c r="H1260" s="307">
        <f>H1259+H1257+H1254</f>
        <v>25625</v>
      </c>
      <c r="I1260" s="322"/>
      <c r="J1260" s="160"/>
      <c r="K1260" s="328"/>
    </row>
    <row r="1261" spans="3:11">
      <c r="C1261" s="59" t="s">
        <v>1232</v>
      </c>
      <c r="D1261" s="70" t="s">
        <v>1410</v>
      </c>
      <c r="E1261" s="71"/>
      <c r="F1261" s="72"/>
      <c r="G1261" s="96">
        <f>$M$7</f>
        <v>0.1</v>
      </c>
      <c r="H1261" s="65">
        <f>H1260*G1261</f>
        <v>2562.5</v>
      </c>
      <c r="I1261" s="322"/>
      <c r="J1261" s="160"/>
      <c r="K1261" s="328"/>
    </row>
    <row r="1262" spans="3:11">
      <c r="C1262" s="59" t="s">
        <v>1233</v>
      </c>
      <c r="D1262" s="70" t="s">
        <v>1234</v>
      </c>
      <c r="E1262" s="71"/>
      <c r="F1262" s="71"/>
      <c r="G1262" s="72"/>
      <c r="H1262" s="308">
        <f>SUM(H1260:H1261)</f>
        <v>28187.5</v>
      </c>
      <c r="I1262" s="322"/>
      <c r="J1262" s="160"/>
      <c r="K1262" s="328"/>
    </row>
    <row r="1263" spans="3:11">
      <c r="J1263" s="160"/>
      <c r="K1263" s="328"/>
    </row>
    <row r="1264" spans="3:11">
      <c r="C1264" s="316" t="s">
        <v>1916</v>
      </c>
      <c r="D1264" s="318"/>
      <c r="E1264" s="318"/>
      <c r="F1264" s="318"/>
      <c r="G1264" s="318"/>
      <c r="H1264" s="318"/>
      <c r="I1264" s="57">
        <f>ROUNDDOWN(H1279,-2)</f>
        <v>27500</v>
      </c>
      <c r="J1264" s="160"/>
      <c r="K1264" s="328"/>
    </row>
    <row r="1265" spans="3:11" ht="28.5">
      <c r="C1265" s="303" t="s">
        <v>1207</v>
      </c>
      <c r="D1265" s="303" t="s">
        <v>1208</v>
      </c>
      <c r="E1265" s="303" t="s">
        <v>1209</v>
      </c>
      <c r="F1265" s="303" t="s">
        <v>1210</v>
      </c>
      <c r="G1265" s="303" t="s">
        <v>1211</v>
      </c>
      <c r="H1265" s="303" t="s">
        <v>1212</v>
      </c>
      <c r="J1265" s="160"/>
      <c r="K1265" s="328"/>
    </row>
    <row r="1266" spans="3:11">
      <c r="C1266" s="73" t="s">
        <v>1213</v>
      </c>
      <c r="D1266" s="60" t="s">
        <v>1214</v>
      </c>
      <c r="E1266" s="74"/>
      <c r="F1266" s="74"/>
      <c r="G1266" s="74"/>
      <c r="H1266" s="74"/>
      <c r="J1266" s="160"/>
      <c r="K1266" s="328"/>
    </row>
    <row r="1267" spans="3:11">
      <c r="C1267" s="304">
        <v>1</v>
      </c>
      <c r="D1267" s="60" t="s">
        <v>5</v>
      </c>
      <c r="E1267" s="305" t="s">
        <v>6</v>
      </c>
      <c r="F1267" s="75">
        <v>2.4E-2</v>
      </c>
      <c r="G1267" s="65">
        <f>VLOOKUP(D1267,upahbahan,3,FALSE)</f>
        <v>100000</v>
      </c>
      <c r="H1267" s="65">
        <f t="shared" ref="H1267:H1270" si="148">F1267*G1267</f>
        <v>2400</v>
      </c>
      <c r="J1267" s="160"/>
      <c r="K1267" s="328"/>
    </row>
    <row r="1268" spans="3:11">
      <c r="C1268" s="304">
        <v>2</v>
      </c>
      <c r="D1268" s="60" t="str">
        <f>D1251</f>
        <v>Tukang listrik</v>
      </c>
      <c r="E1268" s="305" t="s">
        <v>6</v>
      </c>
      <c r="F1268" s="75">
        <v>0.04</v>
      </c>
      <c r="G1268" s="65">
        <f>VLOOKUP(D1268,upahbahan,3,FALSE)</f>
        <v>145000</v>
      </c>
      <c r="H1268" s="65">
        <f t="shared" si="148"/>
        <v>5800</v>
      </c>
      <c r="J1268" s="160"/>
      <c r="K1268" s="328"/>
    </row>
    <row r="1269" spans="3:11">
      <c r="C1269" s="304">
        <v>3</v>
      </c>
      <c r="D1269" s="60" t="s">
        <v>18</v>
      </c>
      <c r="E1269" s="305" t="s">
        <v>6</v>
      </c>
      <c r="F1269" s="75">
        <v>4.0000000000000001E-3</v>
      </c>
      <c r="G1269" s="65">
        <f>VLOOKUP(D1269,upahbahan,3,FALSE)</f>
        <v>150000</v>
      </c>
      <c r="H1269" s="65">
        <f t="shared" si="148"/>
        <v>600</v>
      </c>
      <c r="J1269" s="160"/>
      <c r="K1269" s="328"/>
    </row>
    <row r="1270" spans="3:11">
      <c r="C1270" s="304">
        <v>4</v>
      </c>
      <c r="D1270" s="60" t="s">
        <v>19</v>
      </c>
      <c r="E1270" s="305" t="s">
        <v>6</v>
      </c>
      <c r="F1270" s="75">
        <v>1E-3</v>
      </c>
      <c r="G1270" s="65">
        <f>VLOOKUP(D1270,upahbahan,3,FALSE)</f>
        <v>145000</v>
      </c>
      <c r="H1270" s="65">
        <f t="shared" si="148"/>
        <v>145</v>
      </c>
      <c r="J1270" s="160"/>
      <c r="K1270" s="328"/>
    </row>
    <row r="1271" spans="3:11">
      <c r="C1271" s="84" t="s">
        <v>1220</v>
      </c>
      <c r="D1271" s="81"/>
      <c r="E1271" s="81"/>
      <c r="F1271" s="190"/>
      <c r="G1271" s="221"/>
      <c r="H1271" s="65">
        <f>SUM(H1267:H1270)</f>
        <v>8945</v>
      </c>
      <c r="I1271" s="222"/>
      <c r="J1271" s="160"/>
      <c r="K1271" s="328"/>
    </row>
    <row r="1272" spans="3:11">
      <c r="C1272" s="73" t="s">
        <v>1221</v>
      </c>
      <c r="D1272" s="60" t="s">
        <v>1222</v>
      </c>
      <c r="E1272" s="74"/>
      <c r="F1272" s="208"/>
      <c r="G1272" s="74"/>
      <c r="H1272" s="74"/>
      <c r="J1272" s="160"/>
      <c r="K1272" s="328"/>
    </row>
    <row r="1273" spans="3:11">
      <c r="C1273" s="368" t="s">
        <v>1215</v>
      </c>
      <c r="D1273" s="78" t="s">
        <v>910</v>
      </c>
      <c r="E1273" s="69" t="s">
        <v>114</v>
      </c>
      <c r="F1273" s="75">
        <v>1.2</v>
      </c>
      <c r="G1273" s="65">
        <f>VLOOKUP(D1273,upahbahan,3,FALSE)</f>
        <v>13400</v>
      </c>
      <c r="H1273" s="65">
        <f t="shared" ref="H1273" si="149">F1273*G1273</f>
        <v>16080</v>
      </c>
      <c r="J1273" s="160"/>
      <c r="K1273" s="328"/>
    </row>
    <row r="1274" spans="3:11">
      <c r="C1274" s="84" t="s">
        <v>1226</v>
      </c>
      <c r="D1274" s="81"/>
      <c r="E1274" s="81"/>
      <c r="F1274" s="81"/>
      <c r="G1274" s="163"/>
      <c r="H1274" s="65">
        <f>SUM(H1273:H1273)</f>
        <v>16080</v>
      </c>
      <c r="J1274" s="160"/>
      <c r="K1274" s="328"/>
    </row>
    <row r="1275" spans="3:11">
      <c r="C1275" s="73" t="s">
        <v>1227</v>
      </c>
      <c r="D1275" s="60" t="s">
        <v>1228</v>
      </c>
      <c r="E1275" s="74"/>
      <c r="F1275" s="74"/>
      <c r="G1275" s="74"/>
      <c r="H1275" s="74"/>
      <c r="J1275" s="160"/>
      <c r="K1275" s="328"/>
    </row>
    <row r="1276" spans="3:11">
      <c r="C1276" s="84" t="s">
        <v>1229</v>
      </c>
      <c r="D1276" s="81"/>
      <c r="E1276" s="81"/>
      <c r="F1276" s="81"/>
      <c r="G1276" s="163"/>
      <c r="H1276" s="306">
        <v>0</v>
      </c>
      <c r="J1276" s="160"/>
      <c r="K1276" s="328"/>
    </row>
    <row r="1277" spans="3:11">
      <c r="C1277" s="59" t="s">
        <v>1230</v>
      </c>
      <c r="D1277" s="70" t="s">
        <v>1231</v>
      </c>
      <c r="E1277" s="71"/>
      <c r="F1277" s="71"/>
      <c r="G1277" s="72"/>
      <c r="H1277" s="307">
        <f>H1276+H1274+H1271</f>
        <v>25025</v>
      </c>
      <c r="I1277" s="322"/>
      <c r="J1277" s="160"/>
      <c r="K1277" s="328"/>
    </row>
    <row r="1278" spans="3:11">
      <c r="C1278" s="59" t="s">
        <v>1232</v>
      </c>
      <c r="D1278" s="70" t="s">
        <v>1410</v>
      </c>
      <c r="E1278" s="71"/>
      <c r="F1278" s="72"/>
      <c r="G1278" s="96">
        <f>$M$7</f>
        <v>0.1</v>
      </c>
      <c r="H1278" s="65">
        <f>H1277*G1278</f>
        <v>2502.5</v>
      </c>
      <c r="I1278" s="322"/>
      <c r="J1278" s="160"/>
      <c r="K1278" s="328"/>
    </row>
    <row r="1279" spans="3:11">
      <c r="C1279" s="59" t="s">
        <v>1233</v>
      </c>
      <c r="D1279" s="70" t="s">
        <v>1234</v>
      </c>
      <c r="E1279" s="71"/>
      <c r="F1279" s="71"/>
      <c r="G1279" s="72"/>
      <c r="H1279" s="308">
        <f>SUM(H1277:H1278)</f>
        <v>27527.5</v>
      </c>
      <c r="I1279" s="322"/>
      <c r="J1279" s="160"/>
      <c r="K1279" s="328"/>
    </row>
    <row r="1280" spans="3:11">
      <c r="J1280" s="160"/>
      <c r="K1280" s="328"/>
    </row>
    <row r="1281" spans="3:11">
      <c r="C1281" s="316" t="s">
        <v>1917</v>
      </c>
      <c r="D1281" s="318"/>
      <c r="E1281" s="318"/>
      <c r="F1281" s="318"/>
      <c r="G1281" s="318"/>
      <c r="H1281" s="318"/>
      <c r="I1281" s="57">
        <f>ROUNDDOWN(H1296,-2)</f>
        <v>37900</v>
      </c>
      <c r="J1281" s="160"/>
      <c r="K1281" s="328"/>
    </row>
    <row r="1282" spans="3:11" ht="28.5">
      <c r="C1282" s="303" t="s">
        <v>1207</v>
      </c>
      <c r="D1282" s="303" t="s">
        <v>1208</v>
      </c>
      <c r="E1282" s="303" t="s">
        <v>1209</v>
      </c>
      <c r="F1282" s="303" t="s">
        <v>1210</v>
      </c>
      <c r="G1282" s="303" t="s">
        <v>1211</v>
      </c>
      <c r="H1282" s="303" t="s">
        <v>1212</v>
      </c>
      <c r="J1282" s="160"/>
      <c r="K1282" s="328"/>
    </row>
    <row r="1283" spans="3:11">
      <c r="C1283" s="73" t="s">
        <v>1213</v>
      </c>
      <c r="D1283" s="60" t="s">
        <v>1214</v>
      </c>
      <c r="E1283" s="74"/>
      <c r="F1283" s="74"/>
      <c r="G1283" s="74"/>
      <c r="H1283" s="74"/>
      <c r="J1283" s="160"/>
      <c r="K1283" s="328"/>
    </row>
    <row r="1284" spans="3:11">
      <c r="C1284" s="304">
        <v>1</v>
      </c>
      <c r="D1284" s="60" t="s">
        <v>5</v>
      </c>
      <c r="E1284" s="305" t="s">
        <v>6</v>
      </c>
      <c r="F1284" s="75">
        <v>2.4E-2</v>
      </c>
      <c r="G1284" s="65">
        <f>VLOOKUP(D1284,upahbahan,3,FALSE)</f>
        <v>100000</v>
      </c>
      <c r="H1284" s="65">
        <f t="shared" ref="H1284:H1287" si="150">F1284*G1284</f>
        <v>2400</v>
      </c>
      <c r="J1284" s="160"/>
      <c r="K1284" s="328"/>
    </row>
    <row r="1285" spans="3:11">
      <c r="C1285" s="304">
        <v>2</v>
      </c>
      <c r="D1285" s="60" t="str">
        <f>D1268</f>
        <v>Tukang listrik</v>
      </c>
      <c r="E1285" s="305" t="s">
        <v>6</v>
      </c>
      <c r="F1285" s="75">
        <v>0.04</v>
      </c>
      <c r="G1285" s="65">
        <f>VLOOKUP(D1285,upahbahan,3,FALSE)</f>
        <v>145000</v>
      </c>
      <c r="H1285" s="65">
        <f t="shared" si="150"/>
        <v>5800</v>
      </c>
      <c r="J1285" s="160"/>
      <c r="K1285" s="328"/>
    </row>
    <row r="1286" spans="3:11">
      <c r="C1286" s="304">
        <v>3</v>
      </c>
      <c r="D1286" s="60" t="s">
        <v>18</v>
      </c>
      <c r="E1286" s="305" t="s">
        <v>6</v>
      </c>
      <c r="F1286" s="75">
        <v>4.0000000000000001E-3</v>
      </c>
      <c r="G1286" s="65">
        <f>VLOOKUP(D1286,upahbahan,3,FALSE)</f>
        <v>150000</v>
      </c>
      <c r="H1286" s="65">
        <f t="shared" si="150"/>
        <v>600</v>
      </c>
      <c r="J1286" s="160"/>
      <c r="K1286" s="328"/>
    </row>
    <row r="1287" spans="3:11">
      <c r="C1287" s="304">
        <v>4</v>
      </c>
      <c r="D1287" s="60" t="s">
        <v>19</v>
      </c>
      <c r="E1287" s="305" t="s">
        <v>6</v>
      </c>
      <c r="F1287" s="75">
        <v>1E-3</v>
      </c>
      <c r="G1287" s="65">
        <f>VLOOKUP(D1287,upahbahan,3,FALSE)</f>
        <v>145000</v>
      </c>
      <c r="H1287" s="65">
        <f t="shared" si="150"/>
        <v>145</v>
      </c>
      <c r="J1287" s="160"/>
      <c r="K1287" s="328"/>
    </row>
    <row r="1288" spans="3:11">
      <c r="C1288" s="84" t="s">
        <v>1220</v>
      </c>
      <c r="D1288" s="81"/>
      <c r="E1288" s="81"/>
      <c r="F1288" s="190"/>
      <c r="G1288" s="221"/>
      <c r="H1288" s="65">
        <f>SUM(H1284:H1287)</f>
        <v>8945</v>
      </c>
      <c r="I1288" s="222"/>
      <c r="J1288" s="160"/>
      <c r="K1288" s="328"/>
    </row>
    <row r="1289" spans="3:11">
      <c r="C1289" s="73" t="s">
        <v>1221</v>
      </c>
      <c r="D1289" s="60" t="s">
        <v>1222</v>
      </c>
      <c r="E1289" s="74"/>
      <c r="F1289" s="208"/>
      <c r="G1289" s="74"/>
      <c r="H1289" s="74"/>
      <c r="J1289" s="160"/>
      <c r="K1289" s="328"/>
    </row>
    <row r="1290" spans="3:11">
      <c r="C1290" s="368" t="s">
        <v>1215</v>
      </c>
      <c r="D1290" s="78" t="s">
        <v>911</v>
      </c>
      <c r="E1290" s="69" t="s">
        <v>114</v>
      </c>
      <c r="F1290" s="75">
        <v>1.2</v>
      </c>
      <c r="G1290" s="65">
        <f>VLOOKUP(D1290,upahbahan,3,FALSE)</f>
        <v>21300</v>
      </c>
      <c r="H1290" s="65">
        <f t="shared" ref="H1290" si="151">F1290*G1290</f>
        <v>25560</v>
      </c>
      <c r="J1290" s="160"/>
      <c r="K1290" s="328"/>
    </row>
    <row r="1291" spans="3:11">
      <c r="C1291" s="84" t="s">
        <v>1226</v>
      </c>
      <c r="D1291" s="81"/>
      <c r="E1291" s="81"/>
      <c r="F1291" s="81"/>
      <c r="G1291" s="163"/>
      <c r="H1291" s="65">
        <f>SUM(H1290:H1290)</f>
        <v>25560</v>
      </c>
      <c r="J1291" s="160"/>
      <c r="K1291" s="328"/>
    </row>
    <row r="1292" spans="3:11">
      <c r="C1292" s="73" t="s">
        <v>1227</v>
      </c>
      <c r="D1292" s="60" t="s">
        <v>1228</v>
      </c>
      <c r="E1292" s="74"/>
      <c r="F1292" s="74"/>
      <c r="G1292" s="74"/>
      <c r="H1292" s="74"/>
      <c r="J1292" s="160"/>
      <c r="K1292" s="328"/>
    </row>
    <row r="1293" spans="3:11">
      <c r="C1293" s="84" t="s">
        <v>1229</v>
      </c>
      <c r="D1293" s="81"/>
      <c r="E1293" s="81"/>
      <c r="F1293" s="81"/>
      <c r="G1293" s="163"/>
      <c r="H1293" s="306">
        <v>0</v>
      </c>
      <c r="J1293" s="160"/>
      <c r="K1293" s="328"/>
    </row>
    <row r="1294" spans="3:11">
      <c r="C1294" s="59" t="s">
        <v>1230</v>
      </c>
      <c r="D1294" s="70" t="s">
        <v>1231</v>
      </c>
      <c r="E1294" s="71"/>
      <c r="F1294" s="71"/>
      <c r="G1294" s="72"/>
      <c r="H1294" s="307">
        <f>H1293+H1291+H1288</f>
        <v>34505</v>
      </c>
      <c r="I1294" s="322"/>
      <c r="J1294" s="160"/>
      <c r="K1294" s="328"/>
    </row>
    <row r="1295" spans="3:11">
      <c r="C1295" s="59" t="s">
        <v>1232</v>
      </c>
      <c r="D1295" s="70" t="s">
        <v>1410</v>
      </c>
      <c r="E1295" s="71"/>
      <c r="F1295" s="72"/>
      <c r="G1295" s="96">
        <f>$M$7</f>
        <v>0.1</v>
      </c>
      <c r="H1295" s="65">
        <f>H1294*G1295</f>
        <v>3450.5</v>
      </c>
      <c r="I1295" s="322"/>
      <c r="J1295" s="160"/>
      <c r="K1295" s="328"/>
    </row>
    <row r="1296" spans="3:11">
      <c r="C1296" s="59" t="s">
        <v>1233</v>
      </c>
      <c r="D1296" s="70" t="s">
        <v>1234</v>
      </c>
      <c r="E1296" s="71"/>
      <c r="F1296" s="71"/>
      <c r="G1296" s="72"/>
      <c r="H1296" s="308">
        <f>SUM(H1294:H1295)</f>
        <v>37955.5</v>
      </c>
      <c r="I1296" s="322"/>
      <c r="J1296" s="160"/>
      <c r="K1296" s="328"/>
    </row>
    <row r="1297" spans="3:11">
      <c r="J1297" s="160"/>
      <c r="K1297" s="328"/>
    </row>
    <row r="1298" spans="3:11">
      <c r="C1298" s="316" t="s">
        <v>1918</v>
      </c>
      <c r="D1298" s="318"/>
      <c r="E1298" s="318"/>
      <c r="F1298" s="318"/>
      <c r="G1298" s="318"/>
      <c r="H1298" s="318"/>
      <c r="I1298" s="57">
        <f>ROUNDDOWN(H1313,-2)</f>
        <v>47700</v>
      </c>
      <c r="J1298" s="160"/>
      <c r="K1298" s="328"/>
    </row>
    <row r="1299" spans="3:11" ht="28.5">
      <c r="C1299" s="303" t="s">
        <v>1207</v>
      </c>
      <c r="D1299" s="303" t="s">
        <v>1208</v>
      </c>
      <c r="E1299" s="303" t="s">
        <v>1209</v>
      </c>
      <c r="F1299" s="303" t="s">
        <v>1210</v>
      </c>
      <c r="G1299" s="303" t="s">
        <v>1211</v>
      </c>
      <c r="H1299" s="303" t="s">
        <v>1212</v>
      </c>
      <c r="J1299" s="160"/>
      <c r="K1299" s="328"/>
    </row>
    <row r="1300" spans="3:11">
      <c r="C1300" s="73" t="s">
        <v>1213</v>
      </c>
      <c r="D1300" s="60" t="s">
        <v>1214</v>
      </c>
      <c r="E1300" s="74"/>
      <c r="F1300" s="74"/>
      <c r="G1300" s="74"/>
      <c r="H1300" s="74"/>
      <c r="J1300" s="160"/>
      <c r="K1300" s="328"/>
    </row>
    <row r="1301" spans="3:11">
      <c r="C1301" s="304">
        <v>1</v>
      </c>
      <c r="D1301" s="60" t="s">
        <v>5</v>
      </c>
      <c r="E1301" s="305" t="s">
        <v>6</v>
      </c>
      <c r="F1301" s="75">
        <v>2.4E-2</v>
      </c>
      <c r="G1301" s="65">
        <f>VLOOKUP(D1301,upahbahan,3,FALSE)</f>
        <v>100000</v>
      </c>
      <c r="H1301" s="65">
        <f t="shared" ref="H1301:H1304" si="152">F1301*G1301</f>
        <v>2400</v>
      </c>
      <c r="J1301" s="160"/>
      <c r="K1301" s="328"/>
    </row>
    <row r="1302" spans="3:11">
      <c r="C1302" s="304">
        <v>2</v>
      </c>
      <c r="D1302" s="60" t="str">
        <f>D1285</f>
        <v>Tukang listrik</v>
      </c>
      <c r="E1302" s="305" t="s">
        <v>6</v>
      </c>
      <c r="F1302" s="75">
        <v>0.04</v>
      </c>
      <c r="G1302" s="65">
        <f>VLOOKUP(D1302,upahbahan,3,FALSE)</f>
        <v>145000</v>
      </c>
      <c r="H1302" s="65">
        <f t="shared" si="152"/>
        <v>5800</v>
      </c>
      <c r="J1302" s="160"/>
      <c r="K1302" s="328"/>
    </row>
    <row r="1303" spans="3:11">
      <c r="C1303" s="304">
        <v>3</v>
      </c>
      <c r="D1303" s="60" t="s">
        <v>18</v>
      </c>
      <c r="E1303" s="305" t="s">
        <v>6</v>
      </c>
      <c r="F1303" s="75">
        <v>4.0000000000000001E-3</v>
      </c>
      <c r="G1303" s="65">
        <f>VLOOKUP(D1303,upahbahan,3,FALSE)</f>
        <v>150000</v>
      </c>
      <c r="H1303" s="65">
        <f t="shared" si="152"/>
        <v>600</v>
      </c>
      <c r="J1303" s="160"/>
      <c r="K1303" s="328"/>
    </row>
    <row r="1304" spans="3:11">
      <c r="C1304" s="304">
        <v>4</v>
      </c>
      <c r="D1304" s="60" t="s">
        <v>19</v>
      </c>
      <c r="E1304" s="305" t="s">
        <v>6</v>
      </c>
      <c r="F1304" s="75">
        <v>1E-3</v>
      </c>
      <c r="G1304" s="65">
        <f>VLOOKUP(D1304,upahbahan,3,FALSE)</f>
        <v>145000</v>
      </c>
      <c r="H1304" s="65">
        <f t="shared" si="152"/>
        <v>145</v>
      </c>
      <c r="J1304" s="160"/>
      <c r="K1304" s="328"/>
    </row>
    <row r="1305" spans="3:11">
      <c r="C1305" s="84" t="s">
        <v>1220</v>
      </c>
      <c r="D1305" s="81"/>
      <c r="E1305" s="81"/>
      <c r="F1305" s="190"/>
      <c r="G1305" s="221"/>
      <c r="H1305" s="65">
        <f>SUM(H1301:H1304)</f>
        <v>8945</v>
      </c>
      <c r="I1305" s="222"/>
      <c r="J1305" s="160"/>
      <c r="K1305" s="328"/>
    </row>
    <row r="1306" spans="3:11">
      <c r="C1306" s="73" t="s">
        <v>1221</v>
      </c>
      <c r="D1306" s="60" t="s">
        <v>1222</v>
      </c>
      <c r="E1306" s="74"/>
      <c r="F1306" s="208"/>
      <c r="G1306" s="74"/>
      <c r="H1306" s="74"/>
      <c r="J1306" s="160"/>
      <c r="K1306" s="328"/>
    </row>
    <row r="1307" spans="3:11">
      <c r="C1307" s="368" t="s">
        <v>1215</v>
      </c>
      <c r="D1307" s="78" t="s">
        <v>912</v>
      </c>
      <c r="E1307" s="69" t="s">
        <v>114</v>
      </c>
      <c r="F1307" s="75">
        <v>1.2</v>
      </c>
      <c r="G1307" s="65">
        <f>VLOOKUP(D1307,upahbahan,3,FALSE)</f>
        <v>28700</v>
      </c>
      <c r="H1307" s="65">
        <f t="shared" ref="H1307" si="153">F1307*G1307</f>
        <v>34440</v>
      </c>
      <c r="J1307" s="160"/>
      <c r="K1307" s="328"/>
    </row>
    <row r="1308" spans="3:11">
      <c r="C1308" s="84" t="s">
        <v>1226</v>
      </c>
      <c r="D1308" s="81"/>
      <c r="E1308" s="81"/>
      <c r="F1308" s="81"/>
      <c r="G1308" s="163"/>
      <c r="H1308" s="65">
        <f>SUM(H1307:H1307)</f>
        <v>34440</v>
      </c>
      <c r="J1308" s="160"/>
      <c r="K1308" s="328"/>
    </row>
    <row r="1309" spans="3:11">
      <c r="C1309" s="73" t="s">
        <v>1227</v>
      </c>
      <c r="D1309" s="60" t="s">
        <v>1228</v>
      </c>
      <c r="E1309" s="74"/>
      <c r="F1309" s="74"/>
      <c r="G1309" s="74"/>
      <c r="H1309" s="74"/>
      <c r="J1309" s="160"/>
      <c r="K1309" s="328"/>
    </row>
    <row r="1310" spans="3:11">
      <c r="C1310" s="84" t="s">
        <v>1229</v>
      </c>
      <c r="D1310" s="81"/>
      <c r="E1310" s="81"/>
      <c r="F1310" s="81"/>
      <c r="G1310" s="163"/>
      <c r="H1310" s="306">
        <v>0</v>
      </c>
      <c r="J1310" s="160"/>
      <c r="K1310" s="328"/>
    </row>
    <row r="1311" spans="3:11">
      <c r="C1311" s="59" t="s">
        <v>1230</v>
      </c>
      <c r="D1311" s="70" t="s">
        <v>1231</v>
      </c>
      <c r="E1311" s="71"/>
      <c r="F1311" s="71"/>
      <c r="G1311" s="72"/>
      <c r="H1311" s="307">
        <f>H1310+H1308+H1305</f>
        <v>43385</v>
      </c>
      <c r="I1311" s="322"/>
      <c r="J1311" s="160"/>
      <c r="K1311" s="328"/>
    </row>
    <row r="1312" spans="3:11">
      <c r="C1312" s="59" t="s">
        <v>1232</v>
      </c>
      <c r="D1312" s="70" t="s">
        <v>1410</v>
      </c>
      <c r="E1312" s="71"/>
      <c r="F1312" s="72"/>
      <c r="G1312" s="96">
        <f>$M$7</f>
        <v>0.1</v>
      </c>
      <c r="H1312" s="65">
        <f>H1311*G1312</f>
        <v>4338.5</v>
      </c>
      <c r="I1312" s="322"/>
      <c r="J1312" s="160"/>
      <c r="K1312" s="328"/>
    </row>
    <row r="1313" spans="3:11">
      <c r="C1313" s="59" t="s">
        <v>1233</v>
      </c>
      <c r="D1313" s="70" t="s">
        <v>1234</v>
      </c>
      <c r="E1313" s="71"/>
      <c r="F1313" s="71"/>
      <c r="G1313" s="72"/>
      <c r="H1313" s="308">
        <f>SUM(H1311:H1312)</f>
        <v>47723.5</v>
      </c>
      <c r="I1313" s="322"/>
      <c r="J1313" s="160"/>
      <c r="K1313" s="328"/>
    </row>
    <row r="1314" spans="3:11">
      <c r="J1314" s="160"/>
      <c r="K1314" s="328"/>
    </row>
    <row r="1315" spans="3:11">
      <c r="C1315" s="316" t="s">
        <v>1919</v>
      </c>
      <c r="D1315" s="318"/>
      <c r="E1315" s="318"/>
      <c r="F1315" s="318"/>
      <c r="G1315" s="318"/>
      <c r="H1315" s="318"/>
      <c r="I1315" s="57">
        <f>ROUNDDOWN(H1331,-2)</f>
        <v>32900</v>
      </c>
      <c r="J1315" s="160"/>
      <c r="K1315" s="328"/>
    </row>
    <row r="1316" spans="3:11" ht="28.5">
      <c r="C1316" s="303" t="s">
        <v>1207</v>
      </c>
      <c r="D1316" s="303" t="s">
        <v>1208</v>
      </c>
      <c r="E1316" s="303" t="s">
        <v>1209</v>
      </c>
      <c r="F1316" s="303" t="s">
        <v>1210</v>
      </c>
      <c r="G1316" s="303" t="s">
        <v>1211</v>
      </c>
      <c r="H1316" s="303" t="s">
        <v>1212</v>
      </c>
      <c r="J1316" s="160"/>
      <c r="K1316" s="328"/>
    </row>
    <row r="1317" spans="3:11">
      <c r="C1317" s="73" t="s">
        <v>1213</v>
      </c>
      <c r="D1317" s="60" t="s">
        <v>1214</v>
      </c>
      <c r="E1317" s="74"/>
      <c r="F1317" s="74"/>
      <c r="G1317" s="74"/>
      <c r="H1317" s="74"/>
      <c r="J1317" s="160"/>
      <c r="K1317" s="328"/>
    </row>
    <row r="1318" spans="3:11">
      <c r="C1318" s="304">
        <v>1</v>
      </c>
      <c r="D1318" s="60" t="s">
        <v>5</v>
      </c>
      <c r="E1318" s="305" t="s">
        <v>6</v>
      </c>
      <c r="F1318" s="75">
        <v>2.4E-2</v>
      </c>
      <c r="G1318" s="65">
        <f>VLOOKUP(D1318,upahbahan,3,FALSE)</f>
        <v>100000</v>
      </c>
      <c r="H1318" s="65">
        <f t="shared" ref="H1318:H1321" si="154">F1318*G1318</f>
        <v>2400</v>
      </c>
      <c r="J1318" s="160"/>
      <c r="K1318" s="328"/>
    </row>
    <row r="1319" spans="3:11">
      <c r="C1319" s="304">
        <v>2</v>
      </c>
      <c r="D1319" s="60" t="str">
        <f>D1302</f>
        <v>Tukang listrik</v>
      </c>
      <c r="E1319" s="305" t="s">
        <v>6</v>
      </c>
      <c r="F1319" s="75">
        <v>0.04</v>
      </c>
      <c r="G1319" s="65">
        <f>VLOOKUP(D1319,upahbahan,3,FALSE)</f>
        <v>145000</v>
      </c>
      <c r="H1319" s="65">
        <f t="shared" si="154"/>
        <v>5800</v>
      </c>
      <c r="J1319" s="160"/>
      <c r="K1319" s="328"/>
    </row>
    <row r="1320" spans="3:11">
      <c r="C1320" s="304">
        <v>3</v>
      </c>
      <c r="D1320" s="60" t="s">
        <v>18</v>
      </c>
      <c r="E1320" s="305" t="s">
        <v>6</v>
      </c>
      <c r="F1320" s="75">
        <v>4.0000000000000001E-3</v>
      </c>
      <c r="G1320" s="65">
        <f>VLOOKUP(D1320,upahbahan,3,FALSE)</f>
        <v>150000</v>
      </c>
      <c r="H1320" s="65">
        <f t="shared" si="154"/>
        <v>600</v>
      </c>
      <c r="J1320" s="160"/>
      <c r="K1320" s="328"/>
    </row>
    <row r="1321" spans="3:11">
      <c r="C1321" s="304">
        <v>4</v>
      </c>
      <c r="D1321" s="60" t="s">
        <v>19</v>
      </c>
      <c r="E1321" s="305" t="s">
        <v>6</v>
      </c>
      <c r="F1321" s="75">
        <v>1E-3</v>
      </c>
      <c r="G1321" s="65">
        <f>VLOOKUP(D1321,upahbahan,3,FALSE)</f>
        <v>145000</v>
      </c>
      <c r="H1321" s="65">
        <f t="shared" si="154"/>
        <v>145</v>
      </c>
      <c r="J1321" s="160"/>
      <c r="K1321" s="328"/>
    </row>
    <row r="1322" spans="3:11">
      <c r="C1322" s="84" t="s">
        <v>1220</v>
      </c>
      <c r="D1322" s="81"/>
      <c r="E1322" s="81"/>
      <c r="F1322" s="190"/>
      <c r="G1322" s="221"/>
      <c r="H1322" s="65">
        <f>SUM(H1318:H1321)</f>
        <v>8945</v>
      </c>
      <c r="I1322" s="222"/>
      <c r="J1322" s="160"/>
      <c r="K1322" s="328"/>
    </row>
    <row r="1323" spans="3:11">
      <c r="C1323" s="73" t="s">
        <v>1221</v>
      </c>
      <c r="D1323" s="60" t="s">
        <v>1222</v>
      </c>
      <c r="E1323" s="74"/>
      <c r="F1323" s="208"/>
      <c r="G1323" s="74"/>
      <c r="H1323" s="74"/>
      <c r="J1323" s="160"/>
      <c r="K1323" s="328"/>
    </row>
    <row r="1324" spans="3:11">
      <c r="C1324" s="368" t="s">
        <v>1215</v>
      </c>
      <c r="D1324" s="78" t="s">
        <v>910</v>
      </c>
      <c r="E1324" s="69" t="s">
        <v>114</v>
      </c>
      <c r="F1324" s="75">
        <v>1.2</v>
      </c>
      <c r="G1324" s="65">
        <f>VLOOKUP(D1324,upahbahan,3,FALSE)</f>
        <v>13400</v>
      </c>
      <c r="H1324" s="65">
        <f t="shared" ref="H1324:H1325" si="155">F1324*G1324</f>
        <v>16080</v>
      </c>
      <c r="J1324" s="160"/>
      <c r="K1324" s="328"/>
    </row>
    <row r="1325" spans="3:11">
      <c r="C1325" s="368" t="s">
        <v>1216</v>
      </c>
      <c r="D1325" s="78" t="s">
        <v>968</v>
      </c>
      <c r="E1325" s="69" t="s">
        <v>114</v>
      </c>
      <c r="F1325" s="75">
        <v>1.2</v>
      </c>
      <c r="G1325" s="65">
        <f>VLOOKUP(D1325,upahbahan,3,FALSE)</f>
        <v>4100</v>
      </c>
      <c r="H1325" s="65">
        <f t="shared" si="155"/>
        <v>4920</v>
      </c>
      <c r="J1325" s="160"/>
      <c r="K1325" s="328"/>
    </row>
    <row r="1326" spans="3:11">
      <c r="C1326" s="84" t="s">
        <v>1226</v>
      </c>
      <c r="D1326" s="81"/>
      <c r="E1326" s="81"/>
      <c r="F1326" s="81"/>
      <c r="G1326" s="163"/>
      <c r="H1326" s="65">
        <f>SUM(H1324:H1325)</f>
        <v>21000</v>
      </c>
      <c r="J1326" s="160"/>
      <c r="K1326" s="328"/>
    </row>
    <row r="1327" spans="3:11">
      <c r="C1327" s="73" t="s">
        <v>1227</v>
      </c>
      <c r="D1327" s="60" t="s">
        <v>1228</v>
      </c>
      <c r="E1327" s="74"/>
      <c r="F1327" s="74"/>
      <c r="G1327" s="74"/>
      <c r="H1327" s="74"/>
      <c r="J1327" s="160"/>
      <c r="K1327" s="328"/>
    </row>
    <row r="1328" spans="3:11">
      <c r="C1328" s="84" t="s">
        <v>1229</v>
      </c>
      <c r="D1328" s="81"/>
      <c r="E1328" s="81"/>
      <c r="F1328" s="81"/>
      <c r="G1328" s="163"/>
      <c r="H1328" s="306">
        <v>0</v>
      </c>
      <c r="J1328" s="160"/>
      <c r="K1328" s="328"/>
    </row>
    <row r="1329" spans="3:11">
      <c r="C1329" s="59" t="s">
        <v>1230</v>
      </c>
      <c r="D1329" s="70" t="s">
        <v>1231</v>
      </c>
      <c r="E1329" s="71"/>
      <c r="F1329" s="71"/>
      <c r="G1329" s="72"/>
      <c r="H1329" s="307">
        <f>H1328+H1326+H1322</f>
        <v>29945</v>
      </c>
      <c r="I1329" s="322"/>
      <c r="J1329" s="160"/>
      <c r="K1329" s="328"/>
    </row>
    <row r="1330" spans="3:11">
      <c r="C1330" s="59" t="s">
        <v>1232</v>
      </c>
      <c r="D1330" s="70" t="s">
        <v>1410</v>
      </c>
      <c r="E1330" s="71"/>
      <c r="F1330" s="72"/>
      <c r="G1330" s="96">
        <f>$M$7</f>
        <v>0.1</v>
      </c>
      <c r="H1330" s="65">
        <f>H1329*G1330</f>
        <v>2994.5</v>
      </c>
      <c r="I1330" s="322"/>
      <c r="J1330" s="160"/>
      <c r="K1330" s="328"/>
    </row>
    <row r="1331" spans="3:11">
      <c r="C1331" s="59" t="s">
        <v>1233</v>
      </c>
      <c r="D1331" s="70" t="s">
        <v>1234</v>
      </c>
      <c r="E1331" s="71"/>
      <c r="F1331" s="71"/>
      <c r="G1331" s="72"/>
      <c r="H1331" s="308">
        <f>SUM(H1329:H1330)</f>
        <v>32939.5</v>
      </c>
      <c r="I1331" s="322"/>
      <c r="J1331" s="160"/>
      <c r="K1331" s="328"/>
    </row>
    <row r="1332" spans="3:11">
      <c r="J1332" s="160"/>
      <c r="K1332" s="328"/>
    </row>
    <row r="1333" spans="3:11">
      <c r="C1333" s="316" t="s">
        <v>1920</v>
      </c>
      <c r="D1333" s="318"/>
      <c r="E1333" s="318"/>
      <c r="F1333" s="318"/>
      <c r="G1333" s="318"/>
      <c r="H1333" s="318"/>
      <c r="I1333" s="57">
        <f>ROUNDDOWN(H1349,-2)</f>
        <v>35900</v>
      </c>
      <c r="J1333" s="160"/>
      <c r="K1333" s="328"/>
    </row>
    <row r="1334" spans="3:11" ht="28.5">
      <c r="C1334" s="303" t="s">
        <v>1207</v>
      </c>
      <c r="D1334" s="303" t="s">
        <v>1208</v>
      </c>
      <c r="E1334" s="303" t="s">
        <v>1209</v>
      </c>
      <c r="F1334" s="303" t="s">
        <v>1210</v>
      </c>
      <c r="G1334" s="303" t="s">
        <v>1211</v>
      </c>
      <c r="H1334" s="303" t="s">
        <v>1212</v>
      </c>
      <c r="J1334" s="160"/>
      <c r="K1334" s="328"/>
    </row>
    <row r="1335" spans="3:11">
      <c r="C1335" s="73" t="s">
        <v>1213</v>
      </c>
      <c r="D1335" s="60" t="s">
        <v>1214</v>
      </c>
      <c r="E1335" s="74"/>
      <c r="F1335" s="74"/>
      <c r="G1335" s="74"/>
      <c r="H1335" s="74"/>
      <c r="J1335" s="160"/>
      <c r="K1335" s="328"/>
    </row>
    <row r="1336" spans="3:11">
      <c r="C1336" s="304">
        <v>1</v>
      </c>
      <c r="D1336" s="60" t="s">
        <v>5</v>
      </c>
      <c r="E1336" s="305" t="s">
        <v>6</v>
      </c>
      <c r="F1336" s="184">
        <v>3.1E-2</v>
      </c>
      <c r="G1336" s="65">
        <f>VLOOKUP(D1336,upahbahan,3,FALSE)</f>
        <v>100000</v>
      </c>
      <c r="H1336" s="65">
        <f t="shared" ref="H1336:H1339" si="156">F1336*G1336</f>
        <v>3100</v>
      </c>
      <c r="J1336" s="160"/>
      <c r="K1336" s="328"/>
    </row>
    <row r="1337" spans="3:11">
      <c r="C1337" s="304">
        <v>2</v>
      </c>
      <c r="D1337" s="60" t="str">
        <f>D1319</f>
        <v>Tukang listrik</v>
      </c>
      <c r="E1337" s="305" t="s">
        <v>6</v>
      </c>
      <c r="F1337" s="184">
        <v>5.1999999999999998E-2</v>
      </c>
      <c r="G1337" s="65">
        <f>VLOOKUP(D1337,upahbahan,3,FALSE)</f>
        <v>145000</v>
      </c>
      <c r="H1337" s="65">
        <f t="shared" si="156"/>
        <v>7540</v>
      </c>
      <c r="J1337" s="160"/>
      <c r="K1337" s="328"/>
    </row>
    <row r="1338" spans="3:11">
      <c r="C1338" s="304">
        <v>3</v>
      </c>
      <c r="D1338" s="60" t="s">
        <v>18</v>
      </c>
      <c r="E1338" s="305" t="s">
        <v>6</v>
      </c>
      <c r="F1338" s="184">
        <v>5.0000000000000001E-3</v>
      </c>
      <c r="G1338" s="65">
        <f>VLOOKUP(D1338,upahbahan,3,FALSE)</f>
        <v>150000</v>
      </c>
      <c r="H1338" s="65">
        <f t="shared" si="156"/>
        <v>750</v>
      </c>
      <c r="J1338" s="160"/>
      <c r="K1338" s="328"/>
    </row>
    <row r="1339" spans="3:11">
      <c r="C1339" s="304">
        <v>4</v>
      </c>
      <c r="D1339" s="60" t="s">
        <v>19</v>
      </c>
      <c r="E1339" s="305" t="s">
        <v>6</v>
      </c>
      <c r="F1339" s="184">
        <v>2E-3</v>
      </c>
      <c r="G1339" s="65">
        <f>VLOOKUP(D1339,upahbahan,3,FALSE)</f>
        <v>145000</v>
      </c>
      <c r="H1339" s="65">
        <f t="shared" si="156"/>
        <v>290</v>
      </c>
      <c r="J1339" s="160"/>
      <c r="K1339" s="328"/>
    </row>
    <row r="1340" spans="3:11">
      <c r="C1340" s="84" t="s">
        <v>1220</v>
      </c>
      <c r="D1340" s="81"/>
      <c r="E1340" s="81"/>
      <c r="F1340" s="190"/>
      <c r="G1340" s="221"/>
      <c r="H1340" s="65">
        <f>SUM(H1336:H1339)</f>
        <v>11680</v>
      </c>
      <c r="I1340" s="222"/>
      <c r="J1340" s="160"/>
      <c r="K1340" s="328"/>
    </row>
    <row r="1341" spans="3:11">
      <c r="C1341" s="73" t="s">
        <v>1221</v>
      </c>
      <c r="D1341" s="60" t="s">
        <v>1222</v>
      </c>
      <c r="E1341" s="74"/>
      <c r="F1341" s="208"/>
      <c r="G1341" s="74"/>
      <c r="H1341" s="74"/>
      <c r="J1341" s="160"/>
      <c r="K1341" s="328"/>
    </row>
    <row r="1342" spans="3:11">
      <c r="C1342" s="368" t="s">
        <v>1215</v>
      </c>
      <c r="D1342" s="78" t="s">
        <v>910</v>
      </c>
      <c r="E1342" s="69" t="s">
        <v>114</v>
      </c>
      <c r="F1342" s="75">
        <v>1.2</v>
      </c>
      <c r="G1342" s="65">
        <f>VLOOKUP(D1342,upahbahan,3,FALSE)</f>
        <v>13400</v>
      </c>
      <c r="H1342" s="65">
        <f t="shared" ref="H1342:H1343" si="157">F1342*G1342</f>
        <v>16080</v>
      </c>
      <c r="J1342" s="160"/>
      <c r="K1342" s="328"/>
    </row>
    <row r="1343" spans="3:11">
      <c r="C1343" s="368" t="s">
        <v>1216</v>
      </c>
      <c r="D1343" s="78" t="s">
        <v>968</v>
      </c>
      <c r="E1343" s="69" t="s">
        <v>114</v>
      </c>
      <c r="F1343" s="75">
        <v>1.2</v>
      </c>
      <c r="G1343" s="65">
        <f>VLOOKUP(D1343,upahbahan,3,FALSE)</f>
        <v>4100</v>
      </c>
      <c r="H1343" s="65">
        <f t="shared" si="157"/>
        <v>4920</v>
      </c>
      <c r="J1343" s="160"/>
      <c r="K1343" s="328"/>
    </row>
    <row r="1344" spans="3:11">
      <c r="C1344" s="84" t="s">
        <v>1226</v>
      </c>
      <c r="D1344" s="81"/>
      <c r="E1344" s="81"/>
      <c r="F1344" s="81"/>
      <c r="G1344" s="163"/>
      <c r="H1344" s="65">
        <f>SUM(H1342:H1343)</f>
        <v>21000</v>
      </c>
      <c r="J1344" s="160"/>
      <c r="K1344" s="328"/>
    </row>
    <row r="1345" spans="3:11">
      <c r="C1345" s="73" t="s">
        <v>1227</v>
      </c>
      <c r="D1345" s="60" t="s">
        <v>1228</v>
      </c>
      <c r="E1345" s="74"/>
      <c r="F1345" s="74"/>
      <c r="G1345" s="74"/>
      <c r="H1345" s="74"/>
      <c r="J1345" s="160"/>
      <c r="K1345" s="328"/>
    </row>
    <row r="1346" spans="3:11">
      <c r="C1346" s="84" t="s">
        <v>1229</v>
      </c>
      <c r="D1346" s="81"/>
      <c r="E1346" s="81"/>
      <c r="F1346" s="81"/>
      <c r="G1346" s="163"/>
      <c r="H1346" s="306">
        <v>0</v>
      </c>
      <c r="J1346" s="160"/>
      <c r="K1346" s="328"/>
    </row>
    <row r="1347" spans="3:11">
      <c r="C1347" s="59" t="s">
        <v>1230</v>
      </c>
      <c r="D1347" s="70" t="s">
        <v>1231</v>
      </c>
      <c r="E1347" s="71"/>
      <c r="F1347" s="71"/>
      <c r="G1347" s="72"/>
      <c r="H1347" s="307">
        <f>H1346+H1344+H1340</f>
        <v>32680</v>
      </c>
      <c r="I1347" s="322"/>
      <c r="J1347" s="160"/>
      <c r="K1347" s="328"/>
    </row>
    <row r="1348" spans="3:11">
      <c r="C1348" s="59" t="s">
        <v>1232</v>
      </c>
      <c r="D1348" s="70" t="s">
        <v>1410</v>
      </c>
      <c r="E1348" s="71"/>
      <c r="F1348" s="72"/>
      <c r="G1348" s="96">
        <f>$M$7</f>
        <v>0.1</v>
      </c>
      <c r="H1348" s="65">
        <f>H1347*G1348</f>
        <v>3268</v>
      </c>
      <c r="I1348" s="322"/>
      <c r="J1348" s="160"/>
      <c r="K1348" s="328"/>
    </row>
    <row r="1349" spans="3:11">
      <c r="C1349" s="59" t="s">
        <v>1233</v>
      </c>
      <c r="D1349" s="70" t="s">
        <v>1234</v>
      </c>
      <c r="E1349" s="71"/>
      <c r="F1349" s="71"/>
      <c r="G1349" s="72"/>
      <c r="H1349" s="308">
        <f>SUM(H1347:H1348)</f>
        <v>35948</v>
      </c>
      <c r="I1349" s="322"/>
      <c r="J1349" s="160"/>
      <c r="K1349" s="328"/>
    </row>
    <row r="1350" spans="3:11">
      <c r="J1350" s="160"/>
      <c r="K1350" s="328"/>
    </row>
    <row r="1351" spans="3:11">
      <c r="C1351" s="316" t="s">
        <v>1921</v>
      </c>
      <c r="D1351" s="318"/>
      <c r="E1351" s="318"/>
      <c r="F1351" s="318"/>
      <c r="G1351" s="318"/>
      <c r="H1351" s="318"/>
      <c r="I1351" s="57">
        <f>ROUNDDOWN(H1366,-2)</f>
        <v>39800</v>
      </c>
      <c r="J1351" s="160"/>
      <c r="K1351" s="328"/>
    </row>
    <row r="1352" spans="3:11" ht="28.5">
      <c r="C1352" s="303" t="s">
        <v>1207</v>
      </c>
      <c r="D1352" s="303" t="s">
        <v>1208</v>
      </c>
      <c r="E1352" s="303" t="s">
        <v>1209</v>
      </c>
      <c r="F1352" s="303" t="s">
        <v>1210</v>
      </c>
      <c r="G1352" s="303" t="s">
        <v>1211</v>
      </c>
      <c r="H1352" s="303" t="s">
        <v>1212</v>
      </c>
      <c r="J1352" s="160"/>
      <c r="K1352" s="328"/>
    </row>
    <row r="1353" spans="3:11">
      <c r="C1353" s="73" t="s">
        <v>1213</v>
      </c>
      <c r="D1353" s="60" t="s">
        <v>1214</v>
      </c>
      <c r="E1353" s="74"/>
      <c r="F1353" s="74"/>
      <c r="G1353" s="74"/>
      <c r="H1353" s="74"/>
      <c r="J1353" s="160"/>
      <c r="K1353" s="328"/>
    </row>
    <row r="1354" spans="3:11">
      <c r="C1354" s="304">
        <v>1</v>
      </c>
      <c r="D1354" s="60" t="s">
        <v>5</v>
      </c>
      <c r="E1354" s="305" t="s">
        <v>6</v>
      </c>
      <c r="F1354" s="75">
        <v>2.4E-2</v>
      </c>
      <c r="G1354" s="65">
        <f>VLOOKUP(D1354,upahbahan,3,FALSE)</f>
        <v>100000</v>
      </c>
      <c r="H1354" s="65">
        <f t="shared" ref="H1354:H1357" si="158">F1354*G1354</f>
        <v>2400</v>
      </c>
      <c r="J1354" s="160"/>
      <c r="K1354" s="328"/>
    </row>
    <row r="1355" spans="3:11">
      <c r="C1355" s="304">
        <v>2</v>
      </c>
      <c r="D1355" s="60" t="str">
        <f>D1337</f>
        <v>Tukang listrik</v>
      </c>
      <c r="E1355" s="305" t="s">
        <v>6</v>
      </c>
      <c r="F1355" s="75">
        <v>0.04</v>
      </c>
      <c r="G1355" s="65">
        <f>VLOOKUP(D1355,upahbahan,3,FALSE)</f>
        <v>145000</v>
      </c>
      <c r="H1355" s="65">
        <f t="shared" si="158"/>
        <v>5800</v>
      </c>
      <c r="J1355" s="160"/>
      <c r="K1355" s="328"/>
    </row>
    <row r="1356" spans="3:11">
      <c r="C1356" s="304">
        <v>3</v>
      </c>
      <c r="D1356" s="60" t="s">
        <v>18</v>
      </c>
      <c r="E1356" s="305" t="s">
        <v>6</v>
      </c>
      <c r="F1356" s="75">
        <v>4.0000000000000001E-3</v>
      </c>
      <c r="G1356" s="65">
        <f>VLOOKUP(D1356,upahbahan,3,FALSE)</f>
        <v>150000</v>
      </c>
      <c r="H1356" s="65">
        <f t="shared" si="158"/>
        <v>600</v>
      </c>
      <c r="J1356" s="160"/>
      <c r="K1356" s="328"/>
    </row>
    <row r="1357" spans="3:11">
      <c r="C1357" s="304">
        <v>4</v>
      </c>
      <c r="D1357" s="60" t="s">
        <v>19</v>
      </c>
      <c r="E1357" s="305" t="s">
        <v>6</v>
      </c>
      <c r="F1357" s="75">
        <v>1E-3</v>
      </c>
      <c r="G1357" s="65">
        <f>VLOOKUP(D1357,upahbahan,3,FALSE)</f>
        <v>145000</v>
      </c>
      <c r="H1357" s="65">
        <f t="shared" si="158"/>
        <v>145</v>
      </c>
      <c r="J1357" s="160"/>
      <c r="K1357" s="328"/>
    </row>
    <row r="1358" spans="3:11">
      <c r="C1358" s="84" t="s">
        <v>1220</v>
      </c>
      <c r="D1358" s="81"/>
      <c r="E1358" s="81"/>
      <c r="F1358" s="190"/>
      <c r="G1358" s="221"/>
      <c r="H1358" s="65">
        <f>SUM(H1354:H1357)</f>
        <v>8945</v>
      </c>
      <c r="I1358" s="222"/>
      <c r="J1358" s="160"/>
      <c r="K1358" s="328"/>
    </row>
    <row r="1359" spans="3:11">
      <c r="C1359" s="73" t="s">
        <v>1221</v>
      </c>
      <c r="D1359" s="60" t="s">
        <v>1222</v>
      </c>
      <c r="E1359" s="74"/>
      <c r="F1359" s="208"/>
      <c r="G1359" s="74"/>
      <c r="H1359" s="74"/>
      <c r="J1359" s="160"/>
      <c r="K1359" s="328"/>
    </row>
    <row r="1360" spans="3:11">
      <c r="C1360" s="368" t="s">
        <v>1215</v>
      </c>
      <c r="D1360" s="78" t="s">
        <v>864</v>
      </c>
      <c r="E1360" s="69" t="s">
        <v>114</v>
      </c>
      <c r="F1360" s="75">
        <v>1.2</v>
      </c>
      <c r="G1360" s="65">
        <f>VLOOKUP(D1360,upahbahan,3,FALSE)</f>
        <v>22750</v>
      </c>
      <c r="H1360" s="65">
        <f t="shared" ref="H1360" si="159">F1360*G1360</f>
        <v>27300</v>
      </c>
      <c r="J1360" s="160"/>
      <c r="K1360" s="328"/>
    </row>
    <row r="1361" spans="3:11">
      <c r="C1361" s="84" t="s">
        <v>1226</v>
      </c>
      <c r="D1361" s="81"/>
      <c r="E1361" s="81"/>
      <c r="F1361" s="81"/>
      <c r="G1361" s="163"/>
      <c r="H1361" s="65">
        <f>SUM(H1360:H1360)</f>
        <v>27300</v>
      </c>
      <c r="J1361" s="160"/>
      <c r="K1361" s="328"/>
    </row>
    <row r="1362" spans="3:11">
      <c r="C1362" s="73" t="s">
        <v>1227</v>
      </c>
      <c r="D1362" s="60" t="s">
        <v>1228</v>
      </c>
      <c r="E1362" s="74"/>
      <c r="F1362" s="74"/>
      <c r="G1362" s="74"/>
      <c r="H1362" s="74"/>
      <c r="J1362" s="160"/>
      <c r="K1362" s="328"/>
    </row>
    <row r="1363" spans="3:11">
      <c r="C1363" s="84" t="s">
        <v>1229</v>
      </c>
      <c r="D1363" s="81"/>
      <c r="E1363" s="81"/>
      <c r="F1363" s="81"/>
      <c r="G1363" s="163"/>
      <c r="H1363" s="306">
        <v>0</v>
      </c>
      <c r="J1363" s="160"/>
      <c r="K1363" s="328"/>
    </row>
    <row r="1364" spans="3:11">
      <c r="C1364" s="59" t="s">
        <v>1230</v>
      </c>
      <c r="D1364" s="70" t="s">
        <v>1231</v>
      </c>
      <c r="E1364" s="71"/>
      <c r="F1364" s="71"/>
      <c r="G1364" s="72"/>
      <c r="H1364" s="307">
        <f>H1363+H1361+H1358</f>
        <v>36245</v>
      </c>
      <c r="I1364" s="322"/>
      <c r="J1364" s="160"/>
      <c r="K1364" s="328"/>
    </row>
    <row r="1365" spans="3:11">
      <c r="C1365" s="59" t="s">
        <v>1232</v>
      </c>
      <c r="D1365" s="70" t="s">
        <v>1410</v>
      </c>
      <c r="E1365" s="71"/>
      <c r="F1365" s="72"/>
      <c r="G1365" s="96">
        <f>$M$7</f>
        <v>0.1</v>
      </c>
      <c r="H1365" s="65">
        <f>H1364*G1365</f>
        <v>3624.5</v>
      </c>
      <c r="I1365" s="322"/>
      <c r="J1365" s="160"/>
      <c r="K1365" s="328"/>
    </row>
    <row r="1366" spans="3:11">
      <c r="C1366" s="59" t="s">
        <v>1233</v>
      </c>
      <c r="D1366" s="70" t="s">
        <v>1234</v>
      </c>
      <c r="E1366" s="71"/>
      <c r="F1366" s="71"/>
      <c r="G1366" s="72"/>
      <c r="H1366" s="308">
        <f>SUM(H1364:H1365)</f>
        <v>39869.5</v>
      </c>
      <c r="I1366" s="322"/>
      <c r="J1366" s="160"/>
      <c r="K1366" s="328"/>
    </row>
    <row r="1367" spans="3:11">
      <c r="J1367" s="160"/>
      <c r="K1367" s="328"/>
    </row>
    <row r="1368" spans="3:11">
      <c r="C1368" s="316" t="s">
        <v>1922</v>
      </c>
      <c r="D1368" s="318"/>
      <c r="E1368" s="318"/>
      <c r="F1368" s="318"/>
      <c r="G1368" s="318"/>
      <c r="H1368" s="318"/>
      <c r="I1368" s="57">
        <f>ROUNDDOWN(H1383,-2)</f>
        <v>50000</v>
      </c>
      <c r="J1368" s="160"/>
      <c r="K1368" s="328"/>
    </row>
    <row r="1369" spans="3:11" ht="28.5">
      <c r="C1369" s="303" t="s">
        <v>1207</v>
      </c>
      <c r="D1369" s="303" t="s">
        <v>1208</v>
      </c>
      <c r="E1369" s="303" t="s">
        <v>1209</v>
      </c>
      <c r="F1369" s="303" t="s">
        <v>1210</v>
      </c>
      <c r="G1369" s="303" t="s">
        <v>1211</v>
      </c>
      <c r="H1369" s="303" t="s">
        <v>1212</v>
      </c>
      <c r="J1369" s="160"/>
      <c r="K1369" s="328"/>
    </row>
    <row r="1370" spans="3:11">
      <c r="C1370" s="73" t="s">
        <v>1213</v>
      </c>
      <c r="D1370" s="60" t="s">
        <v>1214</v>
      </c>
      <c r="E1370" s="74"/>
      <c r="F1370" s="74"/>
      <c r="G1370" s="74"/>
      <c r="H1370" s="74"/>
      <c r="J1370" s="160"/>
      <c r="K1370" s="328"/>
    </row>
    <row r="1371" spans="3:11">
      <c r="C1371" s="304">
        <v>1</v>
      </c>
      <c r="D1371" s="60" t="s">
        <v>5</v>
      </c>
      <c r="E1371" s="305" t="s">
        <v>6</v>
      </c>
      <c r="F1371" s="75">
        <v>2.4E-2</v>
      </c>
      <c r="G1371" s="65">
        <f>VLOOKUP(D1371,upahbahan,3,FALSE)</f>
        <v>100000</v>
      </c>
      <c r="H1371" s="65">
        <f t="shared" ref="H1371:H1374" si="160">F1371*G1371</f>
        <v>2400</v>
      </c>
      <c r="J1371" s="160"/>
      <c r="K1371" s="328"/>
    </row>
    <row r="1372" spans="3:11">
      <c r="C1372" s="304">
        <v>2</v>
      </c>
      <c r="D1372" s="60" t="str">
        <f>D1355</f>
        <v>Tukang listrik</v>
      </c>
      <c r="E1372" s="305" t="s">
        <v>6</v>
      </c>
      <c r="F1372" s="75">
        <v>0.04</v>
      </c>
      <c r="G1372" s="65">
        <f>VLOOKUP(D1372,upahbahan,3,FALSE)</f>
        <v>145000</v>
      </c>
      <c r="H1372" s="65">
        <f t="shared" si="160"/>
        <v>5800</v>
      </c>
      <c r="J1372" s="160"/>
      <c r="K1372" s="328"/>
    </row>
    <row r="1373" spans="3:11">
      <c r="C1373" s="304">
        <v>3</v>
      </c>
      <c r="D1373" s="60" t="s">
        <v>18</v>
      </c>
      <c r="E1373" s="305" t="s">
        <v>6</v>
      </c>
      <c r="F1373" s="75">
        <v>4.0000000000000001E-3</v>
      </c>
      <c r="G1373" s="65">
        <f>VLOOKUP(D1373,upahbahan,3,FALSE)</f>
        <v>150000</v>
      </c>
      <c r="H1373" s="65">
        <f t="shared" si="160"/>
        <v>600</v>
      </c>
      <c r="J1373" s="160"/>
      <c r="K1373" s="328"/>
    </row>
    <row r="1374" spans="3:11">
      <c r="C1374" s="304">
        <v>4</v>
      </c>
      <c r="D1374" s="60" t="s">
        <v>19</v>
      </c>
      <c r="E1374" s="305" t="s">
        <v>6</v>
      </c>
      <c r="F1374" s="75">
        <v>1E-3</v>
      </c>
      <c r="G1374" s="65">
        <f>VLOOKUP(D1374,upahbahan,3,FALSE)</f>
        <v>145000</v>
      </c>
      <c r="H1374" s="65">
        <f t="shared" si="160"/>
        <v>145</v>
      </c>
      <c r="J1374" s="160"/>
      <c r="K1374" s="328"/>
    </row>
    <row r="1375" spans="3:11">
      <c r="C1375" s="84" t="s">
        <v>1220</v>
      </c>
      <c r="D1375" s="81"/>
      <c r="E1375" s="81"/>
      <c r="F1375" s="190"/>
      <c r="G1375" s="65"/>
      <c r="H1375" s="65">
        <f>SUM(H1371:H1374)</f>
        <v>8945</v>
      </c>
      <c r="I1375" s="222"/>
      <c r="J1375" s="160"/>
      <c r="K1375" s="328"/>
    </row>
    <row r="1376" spans="3:11">
      <c r="C1376" s="73" t="s">
        <v>1221</v>
      </c>
      <c r="D1376" s="60" t="s">
        <v>1222</v>
      </c>
      <c r="E1376" s="74"/>
      <c r="F1376" s="208"/>
      <c r="G1376" s="74"/>
      <c r="H1376" s="74"/>
      <c r="J1376" s="160"/>
      <c r="K1376" s="328"/>
    </row>
    <row r="1377" spans="3:11">
      <c r="C1377" s="368" t="s">
        <v>1215</v>
      </c>
      <c r="D1377" s="78" t="s">
        <v>867</v>
      </c>
      <c r="E1377" s="69" t="s">
        <v>114</v>
      </c>
      <c r="F1377" s="75">
        <v>1.2</v>
      </c>
      <c r="G1377" s="65">
        <f>VLOOKUP(D1377,upahbahan,3,FALSE)</f>
        <v>30500</v>
      </c>
      <c r="H1377" s="65">
        <f t="shared" ref="H1377" si="161">F1377*G1377</f>
        <v>36600</v>
      </c>
      <c r="J1377" s="160"/>
      <c r="K1377" s="328"/>
    </row>
    <row r="1378" spans="3:11">
      <c r="C1378" s="84" t="s">
        <v>1226</v>
      </c>
      <c r="D1378" s="81"/>
      <c r="E1378" s="81"/>
      <c r="F1378" s="81"/>
      <c r="G1378" s="163"/>
      <c r="H1378" s="65">
        <f>SUM(H1377:H1377)</f>
        <v>36600</v>
      </c>
      <c r="J1378" s="160"/>
      <c r="K1378" s="328"/>
    </row>
    <row r="1379" spans="3:11">
      <c r="C1379" s="73" t="s">
        <v>1227</v>
      </c>
      <c r="D1379" s="60" t="s">
        <v>1228</v>
      </c>
      <c r="E1379" s="74"/>
      <c r="F1379" s="74"/>
      <c r="G1379" s="74"/>
      <c r="H1379" s="74"/>
      <c r="J1379" s="160"/>
      <c r="K1379" s="328"/>
    </row>
    <row r="1380" spans="3:11">
      <c r="C1380" s="84" t="s">
        <v>1229</v>
      </c>
      <c r="D1380" s="81"/>
      <c r="E1380" s="81"/>
      <c r="F1380" s="81"/>
      <c r="G1380" s="163"/>
      <c r="H1380" s="306">
        <v>0</v>
      </c>
      <c r="J1380" s="160"/>
      <c r="K1380" s="328"/>
    </row>
    <row r="1381" spans="3:11">
      <c r="C1381" s="59" t="s">
        <v>1230</v>
      </c>
      <c r="D1381" s="70" t="s">
        <v>1231</v>
      </c>
      <c r="E1381" s="71"/>
      <c r="F1381" s="71"/>
      <c r="G1381" s="72"/>
      <c r="H1381" s="307">
        <f>H1380+H1378+H1375</f>
        <v>45545</v>
      </c>
      <c r="I1381" s="322"/>
      <c r="J1381" s="160"/>
      <c r="K1381" s="328"/>
    </row>
    <row r="1382" spans="3:11">
      <c r="C1382" s="59" t="s">
        <v>1232</v>
      </c>
      <c r="D1382" s="70" t="s">
        <v>1410</v>
      </c>
      <c r="E1382" s="71"/>
      <c r="F1382" s="72"/>
      <c r="G1382" s="96">
        <f>$M$7</f>
        <v>0.1</v>
      </c>
      <c r="H1382" s="65">
        <f>H1381*G1382</f>
        <v>4554.5</v>
      </c>
      <c r="I1382" s="322"/>
      <c r="J1382" s="160"/>
      <c r="K1382" s="328"/>
    </row>
    <row r="1383" spans="3:11">
      <c r="C1383" s="59" t="s">
        <v>1233</v>
      </c>
      <c r="D1383" s="70" t="s">
        <v>1234</v>
      </c>
      <c r="E1383" s="71"/>
      <c r="F1383" s="71"/>
      <c r="G1383" s="72"/>
      <c r="H1383" s="308">
        <f>SUM(H1381:H1382)</f>
        <v>50099.5</v>
      </c>
      <c r="I1383" s="322"/>
      <c r="J1383" s="160"/>
      <c r="K1383" s="328"/>
    </row>
    <row r="1384" spans="3:11">
      <c r="J1384" s="160"/>
      <c r="K1384" s="328"/>
    </row>
    <row r="1385" spans="3:11">
      <c r="C1385" s="316" t="s">
        <v>1923</v>
      </c>
      <c r="D1385" s="318"/>
      <c r="E1385" s="318"/>
      <c r="F1385" s="318"/>
      <c r="G1385" s="318"/>
      <c r="H1385" s="318"/>
      <c r="I1385" s="57">
        <f>ROUNDDOWN(H1400,-2)</f>
        <v>56300</v>
      </c>
      <c r="J1385" s="160"/>
      <c r="K1385" s="328"/>
    </row>
    <row r="1386" spans="3:11" ht="28.5">
      <c r="C1386" s="303" t="s">
        <v>1207</v>
      </c>
      <c r="D1386" s="303" t="s">
        <v>1208</v>
      </c>
      <c r="E1386" s="303" t="s">
        <v>1209</v>
      </c>
      <c r="F1386" s="303" t="s">
        <v>1210</v>
      </c>
      <c r="G1386" s="303" t="s">
        <v>1211</v>
      </c>
      <c r="H1386" s="303" t="s">
        <v>1212</v>
      </c>
      <c r="J1386" s="160"/>
      <c r="K1386" s="328"/>
    </row>
    <row r="1387" spans="3:11">
      <c r="C1387" s="73" t="s">
        <v>1213</v>
      </c>
      <c r="D1387" s="60" t="s">
        <v>1214</v>
      </c>
      <c r="E1387" s="74"/>
      <c r="F1387" s="74"/>
      <c r="G1387" s="74"/>
      <c r="H1387" s="74"/>
      <c r="J1387" s="160"/>
      <c r="K1387" s="328"/>
    </row>
    <row r="1388" spans="3:11">
      <c r="C1388" s="304">
        <v>1</v>
      </c>
      <c r="D1388" s="60" t="s">
        <v>5</v>
      </c>
      <c r="E1388" s="305" t="s">
        <v>6</v>
      </c>
      <c r="F1388" s="75">
        <v>2.4E-2</v>
      </c>
      <c r="G1388" s="65">
        <f>VLOOKUP(D1388,upahbahan,3,FALSE)</f>
        <v>100000</v>
      </c>
      <c r="H1388" s="65">
        <f t="shared" ref="H1388:H1391" si="162">F1388*G1388</f>
        <v>2400</v>
      </c>
      <c r="J1388" s="160"/>
      <c r="K1388" s="328"/>
    </row>
    <row r="1389" spans="3:11">
      <c r="C1389" s="304">
        <v>2</v>
      </c>
      <c r="D1389" s="60" t="str">
        <f>D1372</f>
        <v>Tukang listrik</v>
      </c>
      <c r="E1389" s="305" t="s">
        <v>6</v>
      </c>
      <c r="F1389" s="75">
        <v>0.04</v>
      </c>
      <c r="G1389" s="65">
        <f>VLOOKUP(D1389,upahbahan,3,FALSE)</f>
        <v>145000</v>
      </c>
      <c r="H1389" s="65">
        <f t="shared" si="162"/>
        <v>5800</v>
      </c>
      <c r="J1389" s="160"/>
      <c r="K1389" s="328"/>
    </row>
    <row r="1390" spans="3:11">
      <c r="C1390" s="304">
        <v>3</v>
      </c>
      <c r="D1390" s="60" t="s">
        <v>18</v>
      </c>
      <c r="E1390" s="305" t="s">
        <v>6</v>
      </c>
      <c r="F1390" s="75">
        <v>4.0000000000000001E-3</v>
      </c>
      <c r="G1390" s="65">
        <f>VLOOKUP(D1390,upahbahan,3,FALSE)</f>
        <v>150000</v>
      </c>
      <c r="H1390" s="65">
        <f t="shared" si="162"/>
        <v>600</v>
      </c>
      <c r="J1390" s="160"/>
      <c r="K1390" s="328"/>
    </row>
    <row r="1391" spans="3:11">
      <c r="C1391" s="304">
        <v>4</v>
      </c>
      <c r="D1391" s="60" t="s">
        <v>19</v>
      </c>
      <c r="E1391" s="305" t="s">
        <v>6</v>
      </c>
      <c r="F1391" s="75">
        <v>1E-3</v>
      </c>
      <c r="G1391" s="65">
        <f>VLOOKUP(D1391,upahbahan,3,FALSE)</f>
        <v>145000</v>
      </c>
      <c r="H1391" s="65">
        <f t="shared" si="162"/>
        <v>145</v>
      </c>
      <c r="J1391" s="160"/>
      <c r="K1391" s="328"/>
    </row>
    <row r="1392" spans="3:11">
      <c r="C1392" s="84" t="s">
        <v>1220</v>
      </c>
      <c r="D1392" s="81"/>
      <c r="E1392" s="81"/>
      <c r="F1392" s="190"/>
      <c r="G1392" s="221"/>
      <c r="H1392" s="65">
        <f>SUM(H1388:H1391)</f>
        <v>8945</v>
      </c>
      <c r="I1392" s="222"/>
      <c r="J1392" s="160"/>
      <c r="K1392" s="328"/>
    </row>
    <row r="1393" spans="3:11">
      <c r="C1393" s="73" t="s">
        <v>1221</v>
      </c>
      <c r="D1393" s="60" t="s">
        <v>1222</v>
      </c>
      <c r="E1393" s="74"/>
      <c r="F1393" s="208"/>
      <c r="G1393" s="74"/>
      <c r="H1393" s="74"/>
      <c r="J1393" s="160"/>
      <c r="K1393" s="328"/>
    </row>
    <row r="1394" spans="3:11">
      <c r="C1394" s="368" t="s">
        <v>1215</v>
      </c>
      <c r="D1394" s="78" t="s">
        <v>868</v>
      </c>
      <c r="E1394" s="69" t="s">
        <v>114</v>
      </c>
      <c r="F1394" s="75">
        <v>1.2</v>
      </c>
      <c r="G1394" s="65">
        <f>VLOOKUP(D1394,upahbahan,3,FALSE)</f>
        <v>35200</v>
      </c>
      <c r="H1394" s="65">
        <f t="shared" ref="H1394" si="163">F1394*G1394</f>
        <v>42240</v>
      </c>
      <c r="J1394" s="160"/>
      <c r="K1394" s="328"/>
    </row>
    <row r="1395" spans="3:11">
      <c r="C1395" s="84" t="s">
        <v>1226</v>
      </c>
      <c r="D1395" s="81"/>
      <c r="E1395" s="81"/>
      <c r="F1395" s="81"/>
      <c r="G1395" s="163"/>
      <c r="H1395" s="65">
        <f>SUM(H1394:H1394)</f>
        <v>42240</v>
      </c>
      <c r="J1395" s="160"/>
      <c r="K1395" s="328"/>
    </row>
    <row r="1396" spans="3:11">
      <c r="C1396" s="73" t="s">
        <v>1227</v>
      </c>
      <c r="D1396" s="60" t="s">
        <v>1228</v>
      </c>
      <c r="E1396" s="74"/>
      <c r="F1396" s="74"/>
      <c r="G1396" s="74"/>
      <c r="H1396" s="74"/>
      <c r="J1396" s="160"/>
      <c r="K1396" s="328"/>
    </row>
    <row r="1397" spans="3:11">
      <c r="C1397" s="84" t="s">
        <v>1229</v>
      </c>
      <c r="D1397" s="81"/>
      <c r="E1397" s="81"/>
      <c r="F1397" s="81"/>
      <c r="G1397" s="163"/>
      <c r="H1397" s="306">
        <v>0</v>
      </c>
      <c r="J1397" s="160"/>
      <c r="K1397" s="328"/>
    </row>
    <row r="1398" spans="3:11">
      <c r="C1398" s="59" t="s">
        <v>1230</v>
      </c>
      <c r="D1398" s="70" t="s">
        <v>1231</v>
      </c>
      <c r="E1398" s="71"/>
      <c r="F1398" s="71"/>
      <c r="G1398" s="72"/>
      <c r="H1398" s="307">
        <f>H1397+H1395+H1392</f>
        <v>51185</v>
      </c>
      <c r="I1398" s="322"/>
      <c r="J1398" s="160"/>
      <c r="K1398" s="328"/>
    </row>
    <row r="1399" spans="3:11">
      <c r="C1399" s="59" t="s">
        <v>1232</v>
      </c>
      <c r="D1399" s="70" t="s">
        <v>1410</v>
      </c>
      <c r="E1399" s="71"/>
      <c r="F1399" s="72"/>
      <c r="G1399" s="96">
        <f>$M$7</f>
        <v>0.1</v>
      </c>
      <c r="H1399" s="65">
        <f>H1398*G1399</f>
        <v>5118.5</v>
      </c>
      <c r="I1399" s="322"/>
      <c r="J1399" s="160"/>
      <c r="K1399" s="328"/>
    </row>
    <row r="1400" spans="3:11">
      <c r="C1400" s="59" t="s">
        <v>1233</v>
      </c>
      <c r="D1400" s="70" t="s">
        <v>1234</v>
      </c>
      <c r="E1400" s="71"/>
      <c r="F1400" s="71"/>
      <c r="G1400" s="72"/>
      <c r="H1400" s="308">
        <f>SUM(H1398:H1399)</f>
        <v>56303.5</v>
      </c>
      <c r="I1400" s="322"/>
      <c r="J1400" s="160"/>
      <c r="K1400" s="328"/>
    </row>
    <row r="1401" spans="3:11">
      <c r="J1401" s="160"/>
      <c r="K1401" s="328"/>
    </row>
    <row r="1402" spans="3:11">
      <c r="C1402" s="316" t="s">
        <v>1924</v>
      </c>
      <c r="D1402" s="318"/>
      <c r="E1402" s="318"/>
      <c r="F1402" s="318"/>
      <c r="G1402" s="318"/>
      <c r="H1402" s="318"/>
      <c r="I1402" s="57">
        <f>ROUNDDOWN(H1417,-2)</f>
        <v>67000</v>
      </c>
      <c r="J1402" s="160"/>
      <c r="K1402" s="328"/>
    </row>
    <row r="1403" spans="3:11" ht="28.5">
      <c r="C1403" s="303" t="s">
        <v>1207</v>
      </c>
      <c r="D1403" s="303" t="s">
        <v>1208</v>
      </c>
      <c r="E1403" s="303" t="s">
        <v>1209</v>
      </c>
      <c r="F1403" s="303" t="s">
        <v>1210</v>
      </c>
      <c r="G1403" s="303" t="s">
        <v>1211</v>
      </c>
      <c r="H1403" s="303" t="s">
        <v>1212</v>
      </c>
      <c r="J1403" s="160"/>
      <c r="K1403" s="328"/>
    </row>
    <row r="1404" spans="3:11">
      <c r="C1404" s="73" t="s">
        <v>1213</v>
      </c>
      <c r="D1404" s="60" t="s">
        <v>1214</v>
      </c>
      <c r="E1404" s="74"/>
      <c r="F1404" s="74"/>
      <c r="G1404" s="74"/>
      <c r="H1404" s="74"/>
      <c r="J1404" s="160"/>
      <c r="K1404" s="328"/>
    </row>
    <row r="1405" spans="3:11">
      <c r="C1405" s="304">
        <v>1</v>
      </c>
      <c r="D1405" s="60" t="s">
        <v>5</v>
      </c>
      <c r="E1405" s="305" t="s">
        <v>6</v>
      </c>
      <c r="F1405" s="75">
        <v>2.4E-2</v>
      </c>
      <c r="G1405" s="65">
        <f>VLOOKUP(D1405,upahbahan,3,FALSE)</f>
        <v>100000</v>
      </c>
      <c r="H1405" s="65">
        <f t="shared" ref="H1405:H1408" si="164">F1405*G1405</f>
        <v>2400</v>
      </c>
      <c r="J1405" s="160"/>
      <c r="K1405" s="328"/>
    </row>
    <row r="1406" spans="3:11">
      <c r="C1406" s="304">
        <v>2</v>
      </c>
      <c r="D1406" s="60" t="str">
        <f>D1389</f>
        <v>Tukang listrik</v>
      </c>
      <c r="E1406" s="305" t="s">
        <v>6</v>
      </c>
      <c r="F1406" s="75">
        <v>0.04</v>
      </c>
      <c r="G1406" s="65">
        <f>VLOOKUP(D1406,upahbahan,3,FALSE)</f>
        <v>145000</v>
      </c>
      <c r="H1406" s="65">
        <f t="shared" si="164"/>
        <v>5800</v>
      </c>
      <c r="J1406" s="160"/>
      <c r="K1406" s="328"/>
    </row>
    <row r="1407" spans="3:11">
      <c r="C1407" s="304">
        <v>3</v>
      </c>
      <c r="D1407" s="60" t="s">
        <v>18</v>
      </c>
      <c r="E1407" s="305" t="s">
        <v>6</v>
      </c>
      <c r="F1407" s="75">
        <v>4.0000000000000001E-3</v>
      </c>
      <c r="G1407" s="65">
        <f>VLOOKUP(D1407,upahbahan,3,FALSE)</f>
        <v>150000</v>
      </c>
      <c r="H1407" s="65">
        <f t="shared" si="164"/>
        <v>600</v>
      </c>
      <c r="J1407" s="160"/>
      <c r="K1407" s="328"/>
    </row>
    <row r="1408" spans="3:11">
      <c r="C1408" s="304">
        <v>4</v>
      </c>
      <c r="D1408" s="60" t="s">
        <v>19</v>
      </c>
      <c r="E1408" s="305" t="s">
        <v>6</v>
      </c>
      <c r="F1408" s="75">
        <v>1E-3</v>
      </c>
      <c r="G1408" s="65">
        <f>VLOOKUP(D1408,upahbahan,3,FALSE)</f>
        <v>145000</v>
      </c>
      <c r="H1408" s="65">
        <f t="shared" si="164"/>
        <v>145</v>
      </c>
      <c r="J1408" s="160"/>
      <c r="K1408" s="328"/>
    </row>
    <row r="1409" spans="3:11">
      <c r="C1409" s="84" t="s">
        <v>1220</v>
      </c>
      <c r="D1409" s="81"/>
      <c r="E1409" s="81"/>
      <c r="F1409" s="190"/>
      <c r="G1409" s="221"/>
      <c r="H1409" s="65">
        <f>SUM(H1405:H1408)</f>
        <v>8945</v>
      </c>
      <c r="I1409" s="222"/>
      <c r="J1409" s="160"/>
      <c r="K1409" s="328"/>
    </row>
    <row r="1410" spans="3:11">
      <c r="C1410" s="73" t="s">
        <v>1221</v>
      </c>
      <c r="D1410" s="60" t="s">
        <v>1222</v>
      </c>
      <c r="E1410" s="74"/>
      <c r="F1410" s="208"/>
      <c r="G1410" s="74"/>
      <c r="H1410" s="74"/>
      <c r="J1410" s="160"/>
      <c r="K1410" s="328"/>
    </row>
    <row r="1411" spans="3:11">
      <c r="C1411" s="368" t="s">
        <v>1215</v>
      </c>
      <c r="D1411" s="78" t="s">
        <v>869</v>
      </c>
      <c r="E1411" s="69" t="s">
        <v>114</v>
      </c>
      <c r="F1411" s="75">
        <v>1.2</v>
      </c>
      <c r="G1411" s="65">
        <f>VLOOKUP(D1411,upahbahan,3,FALSE)</f>
        <v>43350</v>
      </c>
      <c r="H1411" s="65">
        <f t="shared" ref="H1411" si="165">F1411*G1411</f>
        <v>52020</v>
      </c>
      <c r="J1411" s="160"/>
      <c r="K1411" s="328"/>
    </row>
    <row r="1412" spans="3:11">
      <c r="C1412" s="84" t="s">
        <v>1226</v>
      </c>
      <c r="D1412" s="81"/>
      <c r="E1412" s="81"/>
      <c r="F1412" s="81"/>
      <c r="G1412" s="163"/>
      <c r="H1412" s="65">
        <f>SUM(H1411:H1411)</f>
        <v>52020</v>
      </c>
      <c r="J1412" s="160"/>
      <c r="K1412" s="328"/>
    </row>
    <row r="1413" spans="3:11">
      <c r="C1413" s="73" t="s">
        <v>1227</v>
      </c>
      <c r="D1413" s="60" t="s">
        <v>1228</v>
      </c>
      <c r="E1413" s="74"/>
      <c r="F1413" s="74"/>
      <c r="G1413" s="74"/>
      <c r="H1413" s="74"/>
      <c r="J1413" s="160"/>
      <c r="K1413" s="328"/>
    </row>
    <row r="1414" spans="3:11">
      <c r="C1414" s="84" t="s">
        <v>1229</v>
      </c>
      <c r="D1414" s="81"/>
      <c r="E1414" s="81"/>
      <c r="F1414" s="81"/>
      <c r="G1414" s="163"/>
      <c r="H1414" s="306">
        <v>0</v>
      </c>
      <c r="J1414" s="160"/>
      <c r="K1414" s="328"/>
    </row>
    <row r="1415" spans="3:11">
      <c r="C1415" s="59" t="s">
        <v>1230</v>
      </c>
      <c r="D1415" s="70" t="s">
        <v>1231</v>
      </c>
      <c r="E1415" s="71"/>
      <c r="F1415" s="71"/>
      <c r="G1415" s="72"/>
      <c r="H1415" s="307">
        <f>H1414+H1412+H1409</f>
        <v>60965</v>
      </c>
      <c r="I1415" s="322"/>
      <c r="J1415" s="160"/>
      <c r="K1415" s="328"/>
    </row>
    <row r="1416" spans="3:11">
      <c r="C1416" s="59" t="s">
        <v>1232</v>
      </c>
      <c r="D1416" s="70" t="s">
        <v>1410</v>
      </c>
      <c r="E1416" s="71"/>
      <c r="F1416" s="72"/>
      <c r="G1416" s="96">
        <f>$M$7</f>
        <v>0.1</v>
      </c>
      <c r="H1416" s="65">
        <f>H1415*G1416</f>
        <v>6096.5</v>
      </c>
      <c r="I1416" s="322"/>
      <c r="J1416" s="160"/>
      <c r="K1416" s="328"/>
    </row>
    <row r="1417" spans="3:11">
      <c r="C1417" s="59" t="s">
        <v>1233</v>
      </c>
      <c r="D1417" s="70" t="s">
        <v>1234</v>
      </c>
      <c r="E1417" s="71"/>
      <c r="F1417" s="71"/>
      <c r="G1417" s="72"/>
      <c r="H1417" s="308">
        <f>SUM(H1415:H1416)</f>
        <v>67061.5</v>
      </c>
      <c r="I1417" s="322"/>
      <c r="J1417" s="160"/>
      <c r="K1417" s="328"/>
    </row>
    <row r="1418" spans="3:11">
      <c r="J1418" s="160"/>
      <c r="K1418" s="328"/>
    </row>
    <row r="1419" spans="3:11">
      <c r="C1419" s="316" t="s">
        <v>1925</v>
      </c>
      <c r="D1419" s="318"/>
      <c r="E1419" s="318"/>
      <c r="F1419" s="318"/>
      <c r="G1419" s="318"/>
      <c r="H1419" s="318"/>
      <c r="I1419" s="57">
        <f>ROUNDDOWN(H1434,-2)</f>
        <v>90000</v>
      </c>
      <c r="J1419" s="160"/>
      <c r="K1419" s="328"/>
    </row>
    <row r="1420" spans="3:11" ht="28.5">
      <c r="C1420" s="303" t="s">
        <v>1207</v>
      </c>
      <c r="D1420" s="303" t="s">
        <v>1208</v>
      </c>
      <c r="E1420" s="303" t="s">
        <v>1209</v>
      </c>
      <c r="F1420" s="303" t="s">
        <v>1210</v>
      </c>
      <c r="G1420" s="303" t="s">
        <v>1211</v>
      </c>
      <c r="H1420" s="303" t="s">
        <v>1212</v>
      </c>
      <c r="J1420" s="160"/>
      <c r="K1420" s="328"/>
    </row>
    <row r="1421" spans="3:11">
      <c r="C1421" s="73" t="s">
        <v>1213</v>
      </c>
      <c r="D1421" s="60" t="s">
        <v>1214</v>
      </c>
      <c r="E1421" s="74"/>
      <c r="F1421" s="74"/>
      <c r="G1421" s="74"/>
      <c r="H1421" s="74"/>
      <c r="J1421" s="160"/>
      <c r="K1421" s="328"/>
    </row>
    <row r="1422" spans="3:11">
      <c r="C1422" s="304">
        <v>1</v>
      </c>
      <c r="D1422" s="60" t="s">
        <v>5</v>
      </c>
      <c r="E1422" s="305" t="s">
        <v>6</v>
      </c>
      <c r="F1422" s="75">
        <v>2.4E-2</v>
      </c>
      <c r="G1422" s="65">
        <f>VLOOKUP(D1422,upahbahan,3,FALSE)</f>
        <v>100000</v>
      </c>
      <c r="H1422" s="65">
        <f t="shared" ref="H1422:H1425" si="166">F1422*G1422</f>
        <v>2400</v>
      </c>
      <c r="J1422" s="160"/>
      <c r="K1422" s="328"/>
    </row>
    <row r="1423" spans="3:11">
      <c r="C1423" s="304">
        <v>2</v>
      </c>
      <c r="D1423" s="60" t="str">
        <f>D1406</f>
        <v>Tukang listrik</v>
      </c>
      <c r="E1423" s="305" t="s">
        <v>6</v>
      </c>
      <c r="F1423" s="75">
        <v>0.04</v>
      </c>
      <c r="G1423" s="65">
        <f>VLOOKUP(D1423,upahbahan,3,FALSE)</f>
        <v>145000</v>
      </c>
      <c r="H1423" s="65">
        <f t="shared" si="166"/>
        <v>5800</v>
      </c>
      <c r="J1423" s="160"/>
      <c r="K1423" s="328"/>
    </row>
    <row r="1424" spans="3:11">
      <c r="C1424" s="304">
        <v>3</v>
      </c>
      <c r="D1424" s="60" t="s">
        <v>18</v>
      </c>
      <c r="E1424" s="305" t="s">
        <v>6</v>
      </c>
      <c r="F1424" s="75">
        <v>4.0000000000000001E-3</v>
      </c>
      <c r="G1424" s="65">
        <f>VLOOKUP(D1424,upahbahan,3,FALSE)</f>
        <v>150000</v>
      </c>
      <c r="H1424" s="65">
        <f t="shared" si="166"/>
        <v>600</v>
      </c>
      <c r="J1424" s="160"/>
      <c r="K1424" s="328"/>
    </row>
    <row r="1425" spans="3:11">
      <c r="C1425" s="304">
        <v>4</v>
      </c>
      <c r="D1425" s="60" t="s">
        <v>19</v>
      </c>
      <c r="E1425" s="305" t="s">
        <v>6</v>
      </c>
      <c r="F1425" s="75">
        <v>1E-3</v>
      </c>
      <c r="G1425" s="65">
        <f>VLOOKUP(D1425,upahbahan,3,FALSE)</f>
        <v>145000</v>
      </c>
      <c r="H1425" s="65">
        <f t="shared" si="166"/>
        <v>145</v>
      </c>
      <c r="J1425" s="160"/>
      <c r="K1425" s="328"/>
    </row>
    <row r="1426" spans="3:11">
      <c r="C1426" s="84" t="s">
        <v>1220</v>
      </c>
      <c r="D1426" s="81"/>
      <c r="E1426" s="81"/>
      <c r="F1426" s="190"/>
      <c r="G1426" s="221"/>
      <c r="H1426" s="65">
        <f>SUM(H1422:H1425)</f>
        <v>8945</v>
      </c>
      <c r="I1426" s="222"/>
      <c r="J1426" s="160"/>
      <c r="K1426" s="328"/>
    </row>
    <row r="1427" spans="3:11">
      <c r="C1427" s="73" t="s">
        <v>1221</v>
      </c>
      <c r="D1427" s="60" t="s">
        <v>1222</v>
      </c>
      <c r="E1427" s="74"/>
      <c r="F1427" s="208"/>
      <c r="G1427" s="74"/>
      <c r="H1427" s="74"/>
      <c r="J1427" s="160"/>
      <c r="K1427" s="328"/>
    </row>
    <row r="1428" spans="3:11">
      <c r="C1428" s="368" t="s">
        <v>1215</v>
      </c>
      <c r="D1428" s="78" t="s">
        <v>865</v>
      </c>
      <c r="E1428" s="69" t="s">
        <v>114</v>
      </c>
      <c r="F1428" s="75">
        <v>1.2</v>
      </c>
      <c r="G1428" s="65">
        <f>VLOOKUP(D1428,upahbahan,3,FALSE)</f>
        <v>60750</v>
      </c>
      <c r="H1428" s="65">
        <f t="shared" ref="H1428" si="167">F1428*G1428</f>
        <v>72900</v>
      </c>
      <c r="J1428" s="160"/>
      <c r="K1428" s="328"/>
    </row>
    <row r="1429" spans="3:11">
      <c r="C1429" s="84" t="s">
        <v>1226</v>
      </c>
      <c r="D1429" s="81"/>
      <c r="E1429" s="81"/>
      <c r="F1429" s="81"/>
      <c r="G1429" s="163"/>
      <c r="H1429" s="65">
        <f>SUM(H1428:H1428)</f>
        <v>72900</v>
      </c>
      <c r="J1429" s="160"/>
      <c r="K1429" s="328"/>
    </row>
    <row r="1430" spans="3:11">
      <c r="C1430" s="73" t="s">
        <v>1227</v>
      </c>
      <c r="D1430" s="60" t="s">
        <v>1228</v>
      </c>
      <c r="E1430" s="74"/>
      <c r="F1430" s="74"/>
      <c r="G1430" s="74"/>
      <c r="H1430" s="74"/>
      <c r="J1430" s="160"/>
      <c r="K1430" s="328"/>
    </row>
    <row r="1431" spans="3:11">
      <c r="C1431" s="84" t="s">
        <v>1229</v>
      </c>
      <c r="D1431" s="81"/>
      <c r="E1431" s="81"/>
      <c r="F1431" s="81"/>
      <c r="G1431" s="163"/>
      <c r="H1431" s="306">
        <v>0</v>
      </c>
      <c r="J1431" s="160"/>
      <c r="K1431" s="328"/>
    </row>
    <row r="1432" spans="3:11">
      <c r="C1432" s="59" t="s">
        <v>1230</v>
      </c>
      <c r="D1432" s="70" t="s">
        <v>1231</v>
      </c>
      <c r="E1432" s="71"/>
      <c r="F1432" s="71"/>
      <c r="G1432" s="72"/>
      <c r="H1432" s="307">
        <f>H1431+H1429+H1426</f>
        <v>81845</v>
      </c>
      <c r="I1432" s="322"/>
      <c r="J1432" s="160"/>
      <c r="K1432" s="328"/>
    </row>
    <row r="1433" spans="3:11">
      <c r="C1433" s="59" t="s">
        <v>1232</v>
      </c>
      <c r="D1433" s="70" t="s">
        <v>1410</v>
      </c>
      <c r="E1433" s="71"/>
      <c r="F1433" s="72"/>
      <c r="G1433" s="96">
        <f>$M$7</f>
        <v>0.1</v>
      </c>
      <c r="H1433" s="65">
        <f>H1432*G1433</f>
        <v>8184.5</v>
      </c>
      <c r="I1433" s="322"/>
      <c r="J1433" s="160"/>
      <c r="K1433" s="328"/>
    </row>
    <row r="1434" spans="3:11">
      <c r="C1434" s="59" t="s">
        <v>1233</v>
      </c>
      <c r="D1434" s="70" t="s">
        <v>1234</v>
      </c>
      <c r="E1434" s="71"/>
      <c r="F1434" s="71"/>
      <c r="G1434" s="72"/>
      <c r="H1434" s="308">
        <f>SUM(H1432:H1433)</f>
        <v>90029.5</v>
      </c>
      <c r="I1434" s="322"/>
      <c r="J1434" s="160"/>
      <c r="K1434" s="328"/>
    </row>
    <row r="1435" spans="3:11">
      <c r="J1435" s="160"/>
      <c r="K1435" s="328"/>
    </row>
    <row r="1436" spans="3:11">
      <c r="C1436" s="316" t="s">
        <v>1926</v>
      </c>
      <c r="D1436" s="318"/>
      <c r="E1436" s="318"/>
      <c r="F1436" s="318"/>
      <c r="G1436" s="318"/>
      <c r="H1436" s="318"/>
      <c r="I1436" s="57">
        <f>ROUNDDOWN(H1451,-2)</f>
        <v>118000</v>
      </c>
      <c r="J1436" s="160"/>
      <c r="K1436" s="328"/>
    </row>
    <row r="1437" spans="3:11" ht="28.5">
      <c r="C1437" s="303" t="s">
        <v>1207</v>
      </c>
      <c r="D1437" s="303" t="s">
        <v>1208</v>
      </c>
      <c r="E1437" s="303" t="s">
        <v>1209</v>
      </c>
      <c r="F1437" s="303" t="s">
        <v>1210</v>
      </c>
      <c r="G1437" s="303" t="s">
        <v>1211</v>
      </c>
      <c r="H1437" s="303" t="s">
        <v>1212</v>
      </c>
      <c r="J1437" s="160"/>
      <c r="K1437" s="328"/>
    </row>
    <row r="1438" spans="3:11">
      <c r="C1438" s="73" t="s">
        <v>1213</v>
      </c>
      <c r="D1438" s="60" t="s">
        <v>1214</v>
      </c>
      <c r="E1438" s="74"/>
      <c r="F1438" s="74"/>
      <c r="G1438" s="74"/>
      <c r="H1438" s="74"/>
      <c r="J1438" s="160"/>
      <c r="K1438" s="328"/>
    </row>
    <row r="1439" spans="3:11">
      <c r="C1439" s="304">
        <v>1</v>
      </c>
      <c r="D1439" s="60" t="s">
        <v>5</v>
      </c>
      <c r="E1439" s="305" t="s">
        <v>6</v>
      </c>
      <c r="F1439" s="75">
        <v>2.4E-2</v>
      </c>
      <c r="G1439" s="65">
        <f>VLOOKUP(D1439,upahbahan,3,FALSE)</f>
        <v>100000</v>
      </c>
      <c r="H1439" s="65">
        <f t="shared" ref="H1439:H1442" si="168">F1439*G1439</f>
        <v>2400</v>
      </c>
      <c r="J1439" s="160"/>
      <c r="K1439" s="328"/>
    </row>
    <row r="1440" spans="3:11">
      <c r="C1440" s="304">
        <v>2</v>
      </c>
      <c r="D1440" s="60" t="str">
        <f>D1423</f>
        <v>Tukang listrik</v>
      </c>
      <c r="E1440" s="305" t="s">
        <v>6</v>
      </c>
      <c r="F1440" s="75">
        <v>0.04</v>
      </c>
      <c r="G1440" s="65">
        <f>VLOOKUP(D1440,upahbahan,3,FALSE)</f>
        <v>145000</v>
      </c>
      <c r="H1440" s="65">
        <f t="shared" si="168"/>
        <v>5800</v>
      </c>
      <c r="J1440" s="160"/>
      <c r="K1440" s="328"/>
    </row>
    <row r="1441" spans="3:11">
      <c r="C1441" s="304">
        <v>3</v>
      </c>
      <c r="D1441" s="60" t="s">
        <v>18</v>
      </c>
      <c r="E1441" s="305" t="s">
        <v>6</v>
      </c>
      <c r="F1441" s="75">
        <v>4.0000000000000001E-3</v>
      </c>
      <c r="G1441" s="65">
        <f>VLOOKUP(D1441,upahbahan,3,FALSE)</f>
        <v>150000</v>
      </c>
      <c r="H1441" s="65">
        <f t="shared" si="168"/>
        <v>600</v>
      </c>
      <c r="J1441" s="160"/>
      <c r="K1441" s="328"/>
    </row>
    <row r="1442" spans="3:11">
      <c r="C1442" s="304">
        <v>4</v>
      </c>
      <c r="D1442" s="60" t="s">
        <v>19</v>
      </c>
      <c r="E1442" s="305" t="s">
        <v>6</v>
      </c>
      <c r="F1442" s="75">
        <v>1E-3</v>
      </c>
      <c r="G1442" s="65">
        <f>VLOOKUP(D1442,upahbahan,3,FALSE)</f>
        <v>145000</v>
      </c>
      <c r="H1442" s="65">
        <f t="shared" si="168"/>
        <v>145</v>
      </c>
      <c r="J1442" s="160"/>
      <c r="K1442" s="328"/>
    </row>
    <row r="1443" spans="3:11">
      <c r="C1443" s="84" t="s">
        <v>1220</v>
      </c>
      <c r="D1443" s="81"/>
      <c r="E1443" s="81"/>
      <c r="F1443" s="190"/>
      <c r="G1443" s="221"/>
      <c r="H1443" s="65">
        <f>SUM(H1439:H1442)</f>
        <v>8945</v>
      </c>
      <c r="I1443" s="222"/>
      <c r="J1443" s="160"/>
      <c r="K1443" s="328"/>
    </row>
    <row r="1444" spans="3:11">
      <c r="C1444" s="73" t="s">
        <v>1221</v>
      </c>
      <c r="D1444" s="60" t="s">
        <v>1222</v>
      </c>
      <c r="E1444" s="74"/>
      <c r="F1444" s="208"/>
      <c r="G1444" s="74"/>
      <c r="H1444" s="74"/>
      <c r="J1444" s="160"/>
      <c r="K1444" s="328"/>
    </row>
    <row r="1445" spans="3:11">
      <c r="C1445" s="368" t="s">
        <v>1215</v>
      </c>
      <c r="D1445" s="78" t="s">
        <v>866</v>
      </c>
      <c r="E1445" s="69" t="s">
        <v>114</v>
      </c>
      <c r="F1445" s="75">
        <v>1.2</v>
      </c>
      <c r="G1445" s="65">
        <f>VLOOKUP(D1445,upahbahan,3,FALSE)</f>
        <v>82000</v>
      </c>
      <c r="H1445" s="65">
        <f t="shared" ref="H1445" si="169">F1445*G1445</f>
        <v>98400</v>
      </c>
      <c r="J1445" s="160"/>
      <c r="K1445" s="328"/>
    </row>
    <row r="1446" spans="3:11">
      <c r="C1446" s="84" t="s">
        <v>1226</v>
      </c>
      <c r="D1446" s="81"/>
      <c r="E1446" s="81"/>
      <c r="F1446" s="81"/>
      <c r="G1446" s="163"/>
      <c r="H1446" s="65">
        <f>SUM(H1445:H1445)</f>
        <v>98400</v>
      </c>
      <c r="J1446" s="160"/>
      <c r="K1446" s="328"/>
    </row>
    <row r="1447" spans="3:11">
      <c r="C1447" s="73" t="s">
        <v>1227</v>
      </c>
      <c r="D1447" s="60" t="s">
        <v>1228</v>
      </c>
      <c r="E1447" s="74"/>
      <c r="F1447" s="74"/>
      <c r="G1447" s="74"/>
      <c r="H1447" s="74"/>
      <c r="J1447" s="160"/>
      <c r="K1447" s="328"/>
    </row>
    <row r="1448" spans="3:11">
      <c r="C1448" s="84" t="s">
        <v>1229</v>
      </c>
      <c r="D1448" s="81"/>
      <c r="E1448" s="81"/>
      <c r="F1448" s="81"/>
      <c r="G1448" s="163"/>
      <c r="H1448" s="306">
        <v>0</v>
      </c>
      <c r="J1448" s="160"/>
      <c r="K1448" s="328"/>
    </row>
    <row r="1449" spans="3:11">
      <c r="C1449" s="59" t="s">
        <v>1230</v>
      </c>
      <c r="D1449" s="70" t="s">
        <v>1231</v>
      </c>
      <c r="E1449" s="71"/>
      <c r="F1449" s="71"/>
      <c r="G1449" s="72"/>
      <c r="H1449" s="307">
        <f>H1448+H1446+H1443</f>
        <v>107345</v>
      </c>
      <c r="I1449" s="322"/>
      <c r="J1449" s="160"/>
      <c r="K1449" s="328"/>
    </row>
    <row r="1450" spans="3:11">
      <c r="C1450" s="59" t="s">
        <v>1232</v>
      </c>
      <c r="D1450" s="70" t="s">
        <v>1410</v>
      </c>
      <c r="E1450" s="71"/>
      <c r="F1450" s="72"/>
      <c r="G1450" s="96">
        <f>$M$7</f>
        <v>0.1</v>
      </c>
      <c r="H1450" s="65">
        <f>H1449*G1450</f>
        <v>10734.5</v>
      </c>
      <c r="I1450" s="322"/>
      <c r="J1450" s="160"/>
      <c r="K1450" s="328"/>
    </row>
    <row r="1451" spans="3:11">
      <c r="C1451" s="59" t="s">
        <v>1233</v>
      </c>
      <c r="D1451" s="70" t="s">
        <v>1234</v>
      </c>
      <c r="E1451" s="71"/>
      <c r="F1451" s="71"/>
      <c r="G1451" s="72"/>
      <c r="H1451" s="308">
        <f>SUM(H1449:H1450)</f>
        <v>118079.5</v>
      </c>
      <c r="I1451" s="322"/>
      <c r="J1451" s="160"/>
      <c r="K1451" s="328"/>
    </row>
    <row r="1452" spans="3:11">
      <c r="J1452" s="160"/>
      <c r="K1452" s="328"/>
    </row>
    <row r="1453" spans="3:11">
      <c r="C1453" s="316" t="s">
        <v>1927</v>
      </c>
      <c r="D1453" s="318"/>
      <c r="E1453" s="318"/>
      <c r="F1453" s="318"/>
      <c r="G1453" s="318"/>
      <c r="H1453" s="318"/>
      <c r="I1453" s="57">
        <f>ROUNDDOWN(H1468,-2)</f>
        <v>47400</v>
      </c>
      <c r="J1453" s="160"/>
      <c r="K1453" s="328"/>
    </row>
    <row r="1454" spans="3:11" ht="28.5">
      <c r="C1454" s="303" t="s">
        <v>1207</v>
      </c>
      <c r="D1454" s="303" t="s">
        <v>1208</v>
      </c>
      <c r="E1454" s="303" t="s">
        <v>1209</v>
      </c>
      <c r="F1454" s="303" t="s">
        <v>1210</v>
      </c>
      <c r="G1454" s="303" t="s">
        <v>1211</v>
      </c>
      <c r="H1454" s="303" t="s">
        <v>1212</v>
      </c>
      <c r="J1454" s="160"/>
      <c r="K1454" s="328"/>
    </row>
    <row r="1455" spans="3:11">
      <c r="C1455" s="73" t="s">
        <v>1213</v>
      </c>
      <c r="D1455" s="60" t="s">
        <v>1214</v>
      </c>
      <c r="E1455" s="74"/>
      <c r="F1455" s="74"/>
      <c r="G1455" s="74"/>
      <c r="H1455" s="74"/>
      <c r="J1455" s="160"/>
      <c r="K1455" s="328"/>
    </row>
    <row r="1456" spans="3:11">
      <c r="C1456" s="304">
        <v>1</v>
      </c>
      <c r="D1456" s="60" t="s">
        <v>5</v>
      </c>
      <c r="E1456" s="305" t="s">
        <v>6</v>
      </c>
      <c r="F1456" s="75">
        <v>2.4E-2</v>
      </c>
      <c r="G1456" s="65">
        <f>VLOOKUP(D1456,upahbahan,3,FALSE)</f>
        <v>100000</v>
      </c>
      <c r="H1456" s="65">
        <f t="shared" ref="H1456:H1459" si="170">F1456*G1456</f>
        <v>2400</v>
      </c>
      <c r="J1456" s="160"/>
      <c r="K1456" s="328"/>
    </row>
    <row r="1457" spans="3:11">
      <c r="C1457" s="304">
        <v>2</v>
      </c>
      <c r="D1457" s="60" t="str">
        <f>D1440</f>
        <v>Tukang listrik</v>
      </c>
      <c r="E1457" s="305" t="s">
        <v>6</v>
      </c>
      <c r="F1457" s="75">
        <v>0.04</v>
      </c>
      <c r="G1457" s="65">
        <f>VLOOKUP(D1457,upahbahan,3,FALSE)</f>
        <v>145000</v>
      </c>
      <c r="H1457" s="65">
        <f t="shared" si="170"/>
        <v>5800</v>
      </c>
      <c r="J1457" s="160"/>
      <c r="K1457" s="328"/>
    </row>
    <row r="1458" spans="3:11">
      <c r="C1458" s="304">
        <v>3</v>
      </c>
      <c r="D1458" s="60" t="s">
        <v>18</v>
      </c>
      <c r="E1458" s="305" t="s">
        <v>6</v>
      </c>
      <c r="F1458" s="75">
        <v>4.0000000000000001E-3</v>
      </c>
      <c r="G1458" s="65">
        <f>VLOOKUP(D1458,upahbahan,3,FALSE)</f>
        <v>150000</v>
      </c>
      <c r="H1458" s="65">
        <f t="shared" si="170"/>
        <v>600</v>
      </c>
      <c r="J1458" s="160"/>
      <c r="K1458" s="328"/>
    </row>
    <row r="1459" spans="3:11">
      <c r="C1459" s="304">
        <v>4</v>
      </c>
      <c r="D1459" s="60" t="s">
        <v>19</v>
      </c>
      <c r="E1459" s="305" t="s">
        <v>6</v>
      </c>
      <c r="F1459" s="75">
        <v>1E-3</v>
      </c>
      <c r="G1459" s="65">
        <f>VLOOKUP(D1459,upahbahan,3,FALSE)</f>
        <v>145000</v>
      </c>
      <c r="H1459" s="65">
        <f t="shared" si="170"/>
        <v>145</v>
      </c>
      <c r="J1459" s="160"/>
      <c r="K1459" s="328"/>
    </row>
    <row r="1460" spans="3:11">
      <c r="C1460" s="84" t="s">
        <v>1220</v>
      </c>
      <c r="D1460" s="81"/>
      <c r="E1460" s="81"/>
      <c r="F1460" s="190"/>
      <c r="G1460" s="221"/>
      <c r="H1460" s="65">
        <f>SUM(H1456:H1459)</f>
        <v>8945</v>
      </c>
      <c r="I1460" s="222"/>
      <c r="J1460" s="160"/>
      <c r="K1460" s="328"/>
    </row>
    <row r="1461" spans="3:11">
      <c r="C1461" s="73" t="s">
        <v>1221</v>
      </c>
      <c r="D1461" s="60" t="s">
        <v>1222</v>
      </c>
      <c r="E1461" s="74"/>
      <c r="F1461" s="208"/>
      <c r="G1461" s="74"/>
      <c r="H1461" s="74"/>
      <c r="J1461" s="160"/>
      <c r="K1461" s="328"/>
    </row>
    <row r="1462" spans="3:11">
      <c r="C1462" s="368" t="s">
        <v>1215</v>
      </c>
      <c r="D1462" s="78" t="s">
        <v>870</v>
      </c>
      <c r="E1462" s="69" t="s">
        <v>114</v>
      </c>
      <c r="F1462" s="75">
        <v>1.2</v>
      </c>
      <c r="G1462" s="65">
        <f>VLOOKUP(D1462,upahbahan,3,FALSE)</f>
        <v>28500</v>
      </c>
      <c r="H1462" s="65">
        <f t="shared" ref="H1462" si="171">F1462*G1462</f>
        <v>34200</v>
      </c>
      <c r="J1462" s="160"/>
      <c r="K1462" s="328"/>
    </row>
    <row r="1463" spans="3:11">
      <c r="C1463" s="84" t="s">
        <v>1226</v>
      </c>
      <c r="D1463" s="81"/>
      <c r="E1463" s="81"/>
      <c r="F1463" s="81"/>
      <c r="G1463" s="163"/>
      <c r="H1463" s="65">
        <f>SUM(H1462:H1462)</f>
        <v>34200</v>
      </c>
      <c r="J1463" s="160"/>
      <c r="K1463" s="328"/>
    </row>
    <row r="1464" spans="3:11">
      <c r="C1464" s="73" t="s">
        <v>1227</v>
      </c>
      <c r="D1464" s="60" t="s">
        <v>1228</v>
      </c>
      <c r="E1464" s="74"/>
      <c r="F1464" s="74"/>
      <c r="G1464" s="74"/>
      <c r="H1464" s="74"/>
      <c r="J1464" s="160"/>
      <c r="K1464" s="328"/>
    </row>
    <row r="1465" spans="3:11">
      <c r="C1465" s="84" t="s">
        <v>1229</v>
      </c>
      <c r="D1465" s="81"/>
      <c r="E1465" s="81"/>
      <c r="F1465" s="81"/>
      <c r="G1465" s="163"/>
      <c r="H1465" s="306">
        <v>0</v>
      </c>
      <c r="J1465" s="160"/>
      <c r="K1465" s="328"/>
    </row>
    <row r="1466" spans="3:11">
      <c r="C1466" s="59" t="s">
        <v>1230</v>
      </c>
      <c r="D1466" s="70" t="s">
        <v>1231</v>
      </c>
      <c r="E1466" s="71"/>
      <c r="F1466" s="71"/>
      <c r="G1466" s="72"/>
      <c r="H1466" s="307">
        <f>H1465+H1463+H1460</f>
        <v>43145</v>
      </c>
      <c r="I1466" s="322"/>
      <c r="J1466" s="160"/>
      <c r="K1466" s="328"/>
    </row>
    <row r="1467" spans="3:11">
      <c r="C1467" s="59" t="s">
        <v>1232</v>
      </c>
      <c r="D1467" s="70" t="s">
        <v>1410</v>
      </c>
      <c r="E1467" s="71"/>
      <c r="F1467" s="72"/>
      <c r="G1467" s="96">
        <f>$M$7</f>
        <v>0.1</v>
      </c>
      <c r="H1467" s="65">
        <f>H1466*G1467</f>
        <v>4314.5</v>
      </c>
      <c r="I1467" s="322"/>
      <c r="J1467" s="160"/>
      <c r="K1467" s="328"/>
    </row>
    <row r="1468" spans="3:11">
      <c r="C1468" s="59" t="s">
        <v>1233</v>
      </c>
      <c r="D1468" s="70" t="s">
        <v>1234</v>
      </c>
      <c r="E1468" s="71"/>
      <c r="F1468" s="71"/>
      <c r="G1468" s="72"/>
      <c r="H1468" s="308">
        <f>SUM(H1466:H1467)</f>
        <v>47459.5</v>
      </c>
      <c r="I1468" s="322"/>
      <c r="J1468" s="160"/>
      <c r="K1468" s="328"/>
    </row>
    <row r="1469" spans="3:11">
      <c r="J1469" s="160"/>
      <c r="K1469" s="328"/>
    </row>
    <row r="1470" spans="3:11">
      <c r="C1470" s="316" t="s">
        <v>1928</v>
      </c>
      <c r="D1470" s="318"/>
      <c r="E1470" s="318"/>
      <c r="F1470" s="318"/>
      <c r="G1470" s="318"/>
      <c r="H1470" s="318"/>
      <c r="I1470" s="57">
        <f>ROUNDDOWN(H1485,-2)</f>
        <v>55400</v>
      </c>
      <c r="J1470" s="160"/>
      <c r="K1470" s="328"/>
    </row>
    <row r="1471" spans="3:11" ht="28.5">
      <c r="C1471" s="303" t="s">
        <v>1207</v>
      </c>
      <c r="D1471" s="303" t="s">
        <v>1208</v>
      </c>
      <c r="E1471" s="303" t="s">
        <v>1209</v>
      </c>
      <c r="F1471" s="303" t="s">
        <v>1210</v>
      </c>
      <c r="G1471" s="303" t="s">
        <v>1211</v>
      </c>
      <c r="H1471" s="303" t="s">
        <v>1212</v>
      </c>
      <c r="J1471" s="160"/>
      <c r="K1471" s="328"/>
    </row>
    <row r="1472" spans="3:11">
      <c r="C1472" s="73" t="s">
        <v>1213</v>
      </c>
      <c r="D1472" s="60" t="s">
        <v>1214</v>
      </c>
      <c r="E1472" s="74"/>
      <c r="F1472" s="74"/>
      <c r="G1472" s="74"/>
      <c r="H1472" s="74"/>
      <c r="J1472" s="160"/>
      <c r="K1472" s="328"/>
    </row>
    <row r="1473" spans="3:11">
      <c r="C1473" s="304">
        <v>1</v>
      </c>
      <c r="D1473" s="60" t="s">
        <v>5</v>
      </c>
      <c r="E1473" s="305" t="s">
        <v>6</v>
      </c>
      <c r="F1473" s="184">
        <v>2.9000000000000001E-2</v>
      </c>
      <c r="G1473" s="65">
        <f>VLOOKUP(D1473,upahbahan,3,FALSE)</f>
        <v>100000</v>
      </c>
      <c r="H1473" s="65">
        <f t="shared" ref="H1473:H1476" si="172">F1473*G1473</f>
        <v>2900</v>
      </c>
      <c r="J1473" s="160"/>
      <c r="K1473" s="328"/>
    </row>
    <row r="1474" spans="3:11">
      <c r="C1474" s="304">
        <v>2</v>
      </c>
      <c r="D1474" s="60" t="str">
        <f>D1457</f>
        <v>Tukang listrik</v>
      </c>
      <c r="E1474" s="305" t="s">
        <v>6</v>
      </c>
      <c r="F1474" s="184">
        <v>4.8000000000000001E-2</v>
      </c>
      <c r="G1474" s="65">
        <f>VLOOKUP(D1474,upahbahan,3,FALSE)</f>
        <v>145000</v>
      </c>
      <c r="H1474" s="65">
        <f t="shared" si="172"/>
        <v>6960</v>
      </c>
      <c r="J1474" s="160"/>
      <c r="K1474" s="328"/>
    </row>
    <row r="1475" spans="3:11">
      <c r="C1475" s="304">
        <v>3</v>
      </c>
      <c r="D1475" s="60" t="s">
        <v>18</v>
      </c>
      <c r="E1475" s="305" t="s">
        <v>6</v>
      </c>
      <c r="F1475" s="184">
        <v>5.0000000000000001E-3</v>
      </c>
      <c r="G1475" s="65">
        <f>VLOOKUP(D1475,upahbahan,3,FALSE)</f>
        <v>150000</v>
      </c>
      <c r="H1475" s="65">
        <f t="shared" si="172"/>
        <v>750</v>
      </c>
      <c r="J1475" s="160"/>
      <c r="K1475" s="328"/>
    </row>
    <row r="1476" spans="3:11">
      <c r="C1476" s="304">
        <v>4</v>
      </c>
      <c r="D1476" s="60" t="s">
        <v>19</v>
      </c>
      <c r="E1476" s="305" t="s">
        <v>6</v>
      </c>
      <c r="F1476" s="184">
        <v>2E-3</v>
      </c>
      <c r="G1476" s="65">
        <f>VLOOKUP(D1476,upahbahan,3,FALSE)</f>
        <v>145000</v>
      </c>
      <c r="H1476" s="65">
        <f t="shared" si="172"/>
        <v>290</v>
      </c>
      <c r="J1476" s="160"/>
      <c r="K1476" s="328"/>
    </row>
    <row r="1477" spans="3:11">
      <c r="C1477" s="84" t="s">
        <v>1220</v>
      </c>
      <c r="D1477" s="81"/>
      <c r="E1477" s="81"/>
      <c r="F1477" s="190"/>
      <c r="G1477" s="221"/>
      <c r="H1477" s="65">
        <f>SUM(H1473:H1476)</f>
        <v>10900</v>
      </c>
      <c r="I1477" s="222"/>
      <c r="J1477" s="160"/>
      <c r="K1477" s="328"/>
    </row>
    <row r="1478" spans="3:11">
      <c r="C1478" s="73" t="s">
        <v>1221</v>
      </c>
      <c r="D1478" s="60" t="s">
        <v>1222</v>
      </c>
      <c r="E1478" s="74"/>
      <c r="F1478" s="208"/>
      <c r="G1478" s="74"/>
      <c r="H1478" s="74"/>
      <c r="J1478" s="160"/>
      <c r="K1478" s="328"/>
    </row>
    <row r="1479" spans="3:11">
      <c r="C1479" s="368" t="s">
        <v>1215</v>
      </c>
      <c r="D1479" s="78" t="s">
        <v>873</v>
      </c>
      <c r="E1479" s="69" t="s">
        <v>114</v>
      </c>
      <c r="F1479" s="75">
        <v>1.2</v>
      </c>
      <c r="G1479" s="65">
        <f>VLOOKUP(D1479,upahbahan,3,FALSE)</f>
        <v>32900</v>
      </c>
      <c r="H1479" s="65">
        <f t="shared" ref="H1479" si="173">F1479*G1479</f>
        <v>39480</v>
      </c>
      <c r="J1479" s="160"/>
      <c r="K1479" s="328"/>
    </row>
    <row r="1480" spans="3:11">
      <c r="C1480" s="84" t="s">
        <v>1226</v>
      </c>
      <c r="D1480" s="81"/>
      <c r="E1480" s="81"/>
      <c r="F1480" s="81"/>
      <c r="G1480" s="163"/>
      <c r="H1480" s="65">
        <f>SUM(H1479:H1479)</f>
        <v>39480</v>
      </c>
      <c r="J1480" s="160"/>
      <c r="K1480" s="328"/>
    </row>
    <row r="1481" spans="3:11">
      <c r="C1481" s="73" t="s">
        <v>1227</v>
      </c>
      <c r="D1481" s="60" t="s">
        <v>1228</v>
      </c>
      <c r="E1481" s="74"/>
      <c r="F1481" s="74"/>
      <c r="G1481" s="74"/>
      <c r="H1481" s="74"/>
      <c r="J1481" s="160"/>
      <c r="K1481" s="328"/>
    </row>
    <row r="1482" spans="3:11">
      <c r="C1482" s="84" t="s">
        <v>1229</v>
      </c>
      <c r="D1482" s="81"/>
      <c r="E1482" s="81"/>
      <c r="F1482" s="81"/>
      <c r="G1482" s="163"/>
      <c r="H1482" s="306">
        <v>0</v>
      </c>
      <c r="J1482" s="160"/>
      <c r="K1482" s="328"/>
    </row>
    <row r="1483" spans="3:11">
      <c r="C1483" s="59" t="s">
        <v>1230</v>
      </c>
      <c r="D1483" s="70" t="s">
        <v>1231</v>
      </c>
      <c r="E1483" s="71"/>
      <c r="F1483" s="71"/>
      <c r="G1483" s="72"/>
      <c r="H1483" s="307">
        <f>H1482+H1480+H1477</f>
        <v>50380</v>
      </c>
      <c r="I1483" s="322"/>
      <c r="J1483" s="160"/>
      <c r="K1483" s="328"/>
    </row>
    <row r="1484" spans="3:11">
      <c r="C1484" s="59" t="s">
        <v>1232</v>
      </c>
      <c r="D1484" s="70" t="s">
        <v>1410</v>
      </c>
      <c r="E1484" s="71"/>
      <c r="F1484" s="72"/>
      <c r="G1484" s="96">
        <f>$M$7</f>
        <v>0.1</v>
      </c>
      <c r="H1484" s="65">
        <f>H1483*G1484</f>
        <v>5038</v>
      </c>
      <c r="I1484" s="322"/>
      <c r="J1484" s="160"/>
      <c r="K1484" s="328"/>
    </row>
    <row r="1485" spans="3:11">
      <c r="C1485" s="59" t="s">
        <v>1233</v>
      </c>
      <c r="D1485" s="70" t="s">
        <v>1234</v>
      </c>
      <c r="E1485" s="71"/>
      <c r="F1485" s="71"/>
      <c r="G1485" s="72"/>
      <c r="H1485" s="308">
        <f>SUM(H1483:H1484)</f>
        <v>55418</v>
      </c>
      <c r="I1485" s="322"/>
      <c r="J1485" s="160"/>
      <c r="K1485" s="328"/>
    </row>
    <row r="1486" spans="3:11">
      <c r="J1486" s="160"/>
      <c r="K1486" s="328"/>
    </row>
    <row r="1487" spans="3:11">
      <c r="C1487" s="316" t="s">
        <v>1929</v>
      </c>
      <c r="D1487" s="318"/>
      <c r="E1487" s="318"/>
      <c r="F1487" s="318"/>
      <c r="G1487" s="318"/>
      <c r="H1487" s="318"/>
      <c r="I1487" s="57">
        <f>ROUNDDOWN(H1502,-2)</f>
        <v>76600</v>
      </c>
      <c r="J1487" s="160"/>
      <c r="K1487" s="328"/>
    </row>
    <row r="1488" spans="3:11" ht="28.5">
      <c r="C1488" s="303" t="s">
        <v>1207</v>
      </c>
      <c r="D1488" s="303" t="s">
        <v>1208</v>
      </c>
      <c r="E1488" s="303" t="s">
        <v>1209</v>
      </c>
      <c r="F1488" s="303" t="s">
        <v>1210</v>
      </c>
      <c r="G1488" s="303" t="s">
        <v>1211</v>
      </c>
      <c r="H1488" s="303" t="s">
        <v>1212</v>
      </c>
      <c r="J1488" s="160"/>
      <c r="K1488" s="328"/>
    </row>
    <row r="1489" spans="3:11">
      <c r="C1489" s="73" t="s">
        <v>1213</v>
      </c>
      <c r="D1489" s="60" t="s">
        <v>1214</v>
      </c>
      <c r="E1489" s="74"/>
      <c r="F1489" s="74"/>
      <c r="G1489" s="74"/>
      <c r="H1489" s="74"/>
      <c r="J1489" s="160"/>
      <c r="K1489" s="328"/>
    </row>
    <row r="1490" spans="3:11">
      <c r="C1490" s="304">
        <v>1</v>
      </c>
      <c r="D1490" s="60" t="s">
        <v>5</v>
      </c>
      <c r="E1490" s="305" t="s">
        <v>6</v>
      </c>
      <c r="F1490" s="184">
        <v>2.9000000000000001E-2</v>
      </c>
      <c r="G1490" s="65">
        <f>VLOOKUP(D1490,upahbahan,3,FALSE)</f>
        <v>100000</v>
      </c>
      <c r="H1490" s="65">
        <f t="shared" ref="H1490:H1493" si="174">F1490*G1490</f>
        <v>2900</v>
      </c>
      <c r="J1490" s="160"/>
      <c r="K1490" s="328"/>
    </row>
    <row r="1491" spans="3:11">
      <c r="C1491" s="304">
        <v>2</v>
      </c>
      <c r="D1491" s="60" t="str">
        <f>D1474</f>
        <v>Tukang listrik</v>
      </c>
      <c r="E1491" s="305" t="s">
        <v>6</v>
      </c>
      <c r="F1491" s="184">
        <v>4.8000000000000001E-2</v>
      </c>
      <c r="G1491" s="65">
        <f>VLOOKUP(D1491,upahbahan,3,FALSE)</f>
        <v>145000</v>
      </c>
      <c r="H1491" s="65">
        <f t="shared" si="174"/>
        <v>6960</v>
      </c>
      <c r="J1491" s="160"/>
      <c r="K1491" s="328"/>
    </row>
    <row r="1492" spans="3:11">
      <c r="C1492" s="304">
        <v>3</v>
      </c>
      <c r="D1492" s="60" t="s">
        <v>18</v>
      </c>
      <c r="E1492" s="305" t="s">
        <v>6</v>
      </c>
      <c r="F1492" s="184">
        <v>5.0000000000000001E-3</v>
      </c>
      <c r="G1492" s="65">
        <f>VLOOKUP(D1492,upahbahan,3,FALSE)</f>
        <v>150000</v>
      </c>
      <c r="H1492" s="65">
        <f t="shared" si="174"/>
        <v>750</v>
      </c>
      <c r="J1492" s="160"/>
      <c r="K1492" s="328"/>
    </row>
    <row r="1493" spans="3:11">
      <c r="C1493" s="304">
        <v>4</v>
      </c>
      <c r="D1493" s="60" t="s">
        <v>19</v>
      </c>
      <c r="E1493" s="305" t="s">
        <v>6</v>
      </c>
      <c r="F1493" s="184">
        <v>2E-3</v>
      </c>
      <c r="G1493" s="65">
        <f>VLOOKUP(D1493,upahbahan,3,FALSE)</f>
        <v>145000</v>
      </c>
      <c r="H1493" s="65">
        <f t="shared" si="174"/>
        <v>290</v>
      </c>
      <c r="J1493" s="160"/>
      <c r="K1493" s="328"/>
    </row>
    <row r="1494" spans="3:11">
      <c r="C1494" s="84" t="s">
        <v>1220</v>
      </c>
      <c r="D1494" s="81"/>
      <c r="E1494" s="81"/>
      <c r="F1494" s="190"/>
      <c r="G1494" s="221"/>
      <c r="H1494" s="65">
        <f>SUM(H1490:H1493)</f>
        <v>10900</v>
      </c>
      <c r="I1494" s="222"/>
      <c r="J1494" s="160"/>
      <c r="K1494" s="328"/>
    </row>
    <row r="1495" spans="3:11">
      <c r="C1495" s="73" t="s">
        <v>1221</v>
      </c>
      <c r="D1495" s="60" t="s">
        <v>1222</v>
      </c>
      <c r="E1495" s="74"/>
      <c r="F1495" s="208"/>
      <c r="G1495" s="74"/>
      <c r="H1495" s="74"/>
      <c r="J1495" s="160"/>
      <c r="K1495" s="328"/>
    </row>
    <row r="1496" spans="3:11">
      <c r="C1496" s="368" t="s">
        <v>1215</v>
      </c>
      <c r="D1496" s="78" t="s">
        <v>874</v>
      </c>
      <c r="E1496" s="69" t="s">
        <v>114</v>
      </c>
      <c r="F1496" s="75">
        <v>1.2</v>
      </c>
      <c r="G1496" s="65">
        <f>VLOOKUP(D1496,upahbahan,3,FALSE)</f>
        <v>49000</v>
      </c>
      <c r="H1496" s="65">
        <f t="shared" ref="H1496" si="175">F1496*G1496</f>
        <v>58800</v>
      </c>
      <c r="J1496" s="160"/>
      <c r="K1496" s="328"/>
    </row>
    <row r="1497" spans="3:11">
      <c r="C1497" s="84" t="s">
        <v>1226</v>
      </c>
      <c r="D1497" s="81"/>
      <c r="E1497" s="81"/>
      <c r="F1497" s="81"/>
      <c r="G1497" s="163"/>
      <c r="H1497" s="65">
        <f>SUM(H1496:H1496)</f>
        <v>58800</v>
      </c>
      <c r="J1497" s="160"/>
      <c r="K1497" s="328"/>
    </row>
    <row r="1498" spans="3:11">
      <c r="C1498" s="73" t="s">
        <v>1227</v>
      </c>
      <c r="D1498" s="60" t="s">
        <v>1228</v>
      </c>
      <c r="E1498" s="74"/>
      <c r="F1498" s="74"/>
      <c r="G1498" s="74"/>
      <c r="H1498" s="74"/>
      <c r="J1498" s="160"/>
      <c r="K1498" s="328"/>
    </row>
    <row r="1499" spans="3:11">
      <c r="C1499" s="84" t="s">
        <v>1229</v>
      </c>
      <c r="D1499" s="81"/>
      <c r="E1499" s="81"/>
      <c r="F1499" s="81"/>
      <c r="G1499" s="163"/>
      <c r="H1499" s="306">
        <v>0</v>
      </c>
      <c r="J1499" s="160"/>
      <c r="K1499" s="328"/>
    </row>
    <row r="1500" spans="3:11">
      <c r="C1500" s="59" t="s">
        <v>1230</v>
      </c>
      <c r="D1500" s="70" t="s">
        <v>1231</v>
      </c>
      <c r="E1500" s="71"/>
      <c r="F1500" s="71"/>
      <c r="G1500" s="72"/>
      <c r="H1500" s="307">
        <f>H1499+H1497+H1494</f>
        <v>69700</v>
      </c>
      <c r="I1500" s="322"/>
      <c r="J1500" s="160"/>
      <c r="K1500" s="328"/>
    </row>
    <row r="1501" spans="3:11">
      <c r="C1501" s="59" t="s">
        <v>1232</v>
      </c>
      <c r="D1501" s="70" t="s">
        <v>1410</v>
      </c>
      <c r="E1501" s="71"/>
      <c r="F1501" s="72"/>
      <c r="G1501" s="96">
        <f>$M$7</f>
        <v>0.1</v>
      </c>
      <c r="H1501" s="65">
        <f>H1500*G1501</f>
        <v>6970</v>
      </c>
      <c r="I1501" s="322"/>
      <c r="J1501" s="160"/>
      <c r="K1501" s="328"/>
    </row>
    <row r="1502" spans="3:11">
      <c r="C1502" s="59" t="s">
        <v>1233</v>
      </c>
      <c r="D1502" s="70" t="s">
        <v>1234</v>
      </c>
      <c r="E1502" s="71"/>
      <c r="F1502" s="71"/>
      <c r="G1502" s="72"/>
      <c r="H1502" s="308">
        <f>SUM(H1500:H1501)</f>
        <v>76670</v>
      </c>
      <c r="I1502" s="322"/>
      <c r="J1502" s="160"/>
      <c r="K1502" s="328"/>
    </row>
    <row r="1503" spans="3:11">
      <c r="J1503" s="160"/>
      <c r="K1503" s="328"/>
    </row>
    <row r="1504" spans="3:11">
      <c r="C1504" s="316" t="s">
        <v>1930</v>
      </c>
      <c r="D1504" s="318"/>
      <c r="E1504" s="318"/>
      <c r="F1504" s="318"/>
      <c r="G1504" s="318"/>
      <c r="H1504" s="318"/>
      <c r="I1504" s="57">
        <f>ROUNDDOWN(H1519,-2)</f>
        <v>98600</v>
      </c>
      <c r="J1504" s="160"/>
      <c r="K1504" s="328"/>
    </row>
    <row r="1505" spans="3:11" ht="28.5">
      <c r="C1505" s="303" t="s">
        <v>1207</v>
      </c>
      <c r="D1505" s="303" t="s">
        <v>1208</v>
      </c>
      <c r="E1505" s="303" t="s">
        <v>1209</v>
      </c>
      <c r="F1505" s="303" t="s">
        <v>1210</v>
      </c>
      <c r="G1505" s="303" t="s">
        <v>1211</v>
      </c>
      <c r="H1505" s="303" t="s">
        <v>1212</v>
      </c>
      <c r="J1505" s="160"/>
      <c r="K1505" s="328"/>
    </row>
    <row r="1506" spans="3:11">
      <c r="C1506" s="73" t="s">
        <v>1213</v>
      </c>
      <c r="D1506" s="60" t="s">
        <v>1214</v>
      </c>
      <c r="E1506" s="74"/>
      <c r="F1506" s="74"/>
      <c r="G1506" s="74"/>
      <c r="H1506" s="74"/>
      <c r="J1506" s="160"/>
      <c r="K1506" s="328"/>
    </row>
    <row r="1507" spans="3:11">
      <c r="C1507" s="304">
        <v>1</v>
      </c>
      <c r="D1507" s="60" t="s">
        <v>5</v>
      </c>
      <c r="E1507" s="305" t="s">
        <v>6</v>
      </c>
      <c r="F1507" s="75">
        <v>3.5999999999999997E-2</v>
      </c>
      <c r="G1507" s="65">
        <f>VLOOKUP(D1507,upahbahan,3,FALSE)</f>
        <v>100000</v>
      </c>
      <c r="H1507" s="65">
        <f t="shared" ref="H1507:H1510" si="176">F1507*G1507</f>
        <v>3599.9999999999995</v>
      </c>
      <c r="J1507" s="160"/>
      <c r="K1507" s="328"/>
    </row>
    <row r="1508" spans="3:11">
      <c r="C1508" s="304">
        <v>2</v>
      </c>
      <c r="D1508" s="60" t="str">
        <f>D1491</f>
        <v>Tukang listrik</v>
      </c>
      <c r="E1508" s="305" t="s">
        <v>6</v>
      </c>
      <c r="F1508" s="75">
        <v>0.06</v>
      </c>
      <c r="G1508" s="65">
        <f>VLOOKUP(D1508,upahbahan,3,FALSE)</f>
        <v>145000</v>
      </c>
      <c r="H1508" s="65">
        <f t="shared" si="176"/>
        <v>8700</v>
      </c>
      <c r="J1508" s="160"/>
      <c r="K1508" s="328"/>
    </row>
    <row r="1509" spans="3:11">
      <c r="C1509" s="304">
        <v>3</v>
      </c>
      <c r="D1509" s="60" t="s">
        <v>18</v>
      </c>
      <c r="E1509" s="305" t="s">
        <v>6</v>
      </c>
      <c r="F1509" s="75">
        <v>6.0000000000000001E-3</v>
      </c>
      <c r="G1509" s="65">
        <f>VLOOKUP(D1509,upahbahan,3,FALSE)</f>
        <v>150000</v>
      </c>
      <c r="H1509" s="65">
        <f t="shared" si="176"/>
        <v>900</v>
      </c>
      <c r="J1509" s="160"/>
      <c r="K1509" s="328"/>
    </row>
    <row r="1510" spans="3:11">
      <c r="C1510" s="304">
        <v>4</v>
      </c>
      <c r="D1510" s="60" t="s">
        <v>19</v>
      </c>
      <c r="E1510" s="305" t="s">
        <v>6</v>
      </c>
      <c r="F1510" s="75">
        <v>2E-3</v>
      </c>
      <c r="G1510" s="65">
        <f>VLOOKUP(D1510,upahbahan,3,FALSE)</f>
        <v>145000</v>
      </c>
      <c r="H1510" s="65">
        <f t="shared" si="176"/>
        <v>290</v>
      </c>
      <c r="J1510" s="160"/>
      <c r="K1510" s="328"/>
    </row>
    <row r="1511" spans="3:11">
      <c r="C1511" s="84" t="s">
        <v>1220</v>
      </c>
      <c r="D1511" s="81"/>
      <c r="E1511" s="81"/>
      <c r="F1511" s="190"/>
      <c r="G1511" s="221"/>
      <c r="H1511" s="65">
        <f>SUM(H1507:H1510)</f>
        <v>13490</v>
      </c>
      <c r="I1511" s="222"/>
      <c r="J1511" s="160"/>
      <c r="K1511" s="328"/>
    </row>
    <row r="1512" spans="3:11">
      <c r="C1512" s="73" t="s">
        <v>1221</v>
      </c>
      <c r="D1512" s="60" t="s">
        <v>1222</v>
      </c>
      <c r="E1512" s="74"/>
      <c r="F1512" s="208"/>
      <c r="G1512" s="74"/>
      <c r="H1512" s="74"/>
      <c r="J1512" s="160"/>
      <c r="K1512" s="328"/>
    </row>
    <row r="1513" spans="3:11">
      <c r="C1513" s="368" t="s">
        <v>1215</v>
      </c>
      <c r="D1513" s="78" t="s">
        <v>875</v>
      </c>
      <c r="E1513" s="69" t="s">
        <v>114</v>
      </c>
      <c r="F1513" s="75">
        <v>1.2</v>
      </c>
      <c r="G1513" s="65">
        <f>VLOOKUP(D1513,upahbahan,3,FALSE)</f>
        <v>63500</v>
      </c>
      <c r="H1513" s="65">
        <f t="shared" ref="H1513" si="177">F1513*G1513</f>
        <v>76200</v>
      </c>
      <c r="J1513" s="160"/>
      <c r="K1513" s="328"/>
    </row>
    <row r="1514" spans="3:11">
      <c r="C1514" s="84" t="s">
        <v>1226</v>
      </c>
      <c r="D1514" s="81"/>
      <c r="E1514" s="81"/>
      <c r="F1514" s="81"/>
      <c r="G1514" s="163"/>
      <c r="H1514" s="65">
        <f>SUM(H1513:H1513)</f>
        <v>76200</v>
      </c>
      <c r="J1514" s="160"/>
      <c r="K1514" s="328"/>
    </row>
    <row r="1515" spans="3:11">
      <c r="C1515" s="73" t="s">
        <v>1227</v>
      </c>
      <c r="D1515" s="60" t="s">
        <v>1228</v>
      </c>
      <c r="E1515" s="74"/>
      <c r="F1515" s="74"/>
      <c r="G1515" s="74"/>
      <c r="H1515" s="74"/>
      <c r="J1515" s="160"/>
      <c r="K1515" s="328"/>
    </row>
    <row r="1516" spans="3:11">
      <c r="C1516" s="84" t="s">
        <v>1229</v>
      </c>
      <c r="D1516" s="81"/>
      <c r="E1516" s="81"/>
      <c r="F1516" s="81"/>
      <c r="G1516" s="163"/>
      <c r="H1516" s="306">
        <v>0</v>
      </c>
      <c r="J1516" s="160"/>
      <c r="K1516" s="328"/>
    </row>
    <row r="1517" spans="3:11">
      <c r="C1517" s="59" t="s">
        <v>1230</v>
      </c>
      <c r="D1517" s="70" t="s">
        <v>1231</v>
      </c>
      <c r="E1517" s="71"/>
      <c r="F1517" s="71"/>
      <c r="G1517" s="72"/>
      <c r="H1517" s="307">
        <f>H1516+H1514+H1511</f>
        <v>89690</v>
      </c>
      <c r="I1517" s="322"/>
      <c r="J1517" s="160"/>
      <c r="K1517" s="328"/>
    </row>
    <row r="1518" spans="3:11">
      <c r="C1518" s="59" t="s">
        <v>1232</v>
      </c>
      <c r="D1518" s="70" t="s">
        <v>1410</v>
      </c>
      <c r="E1518" s="71"/>
      <c r="F1518" s="72"/>
      <c r="G1518" s="96">
        <f>$M$7</f>
        <v>0.1</v>
      </c>
      <c r="H1518" s="65">
        <f>H1517*G1518</f>
        <v>8969</v>
      </c>
      <c r="I1518" s="322"/>
      <c r="J1518" s="160"/>
      <c r="K1518" s="328"/>
    </row>
    <row r="1519" spans="3:11">
      <c r="C1519" s="59" t="s">
        <v>1233</v>
      </c>
      <c r="D1519" s="70" t="s">
        <v>1234</v>
      </c>
      <c r="E1519" s="71"/>
      <c r="F1519" s="71"/>
      <c r="G1519" s="72"/>
      <c r="H1519" s="308">
        <f>SUM(H1517:H1518)</f>
        <v>98659</v>
      </c>
      <c r="I1519" s="322"/>
      <c r="J1519" s="160"/>
      <c r="K1519" s="328"/>
    </row>
    <row r="1520" spans="3:11">
      <c r="J1520" s="160"/>
      <c r="K1520" s="328"/>
    </row>
    <row r="1521" spans="3:11">
      <c r="C1521" s="316" t="s">
        <v>1931</v>
      </c>
      <c r="D1521" s="318"/>
      <c r="E1521" s="318"/>
      <c r="F1521" s="318"/>
      <c r="G1521" s="318"/>
      <c r="H1521" s="318"/>
      <c r="I1521" s="57">
        <f>ROUNDDOWN(H1536,-2)</f>
        <v>119900</v>
      </c>
      <c r="J1521" s="160"/>
      <c r="K1521" s="328"/>
    </row>
    <row r="1522" spans="3:11" ht="28.5">
      <c r="C1522" s="303" t="s">
        <v>1207</v>
      </c>
      <c r="D1522" s="303" t="s">
        <v>1208</v>
      </c>
      <c r="E1522" s="303" t="s">
        <v>1209</v>
      </c>
      <c r="F1522" s="303" t="s">
        <v>1210</v>
      </c>
      <c r="G1522" s="303" t="s">
        <v>1211</v>
      </c>
      <c r="H1522" s="303" t="s">
        <v>1212</v>
      </c>
      <c r="J1522" s="160"/>
      <c r="K1522" s="328"/>
    </row>
    <row r="1523" spans="3:11">
      <c r="C1523" s="73" t="s">
        <v>1213</v>
      </c>
      <c r="D1523" s="60" t="s">
        <v>1214</v>
      </c>
      <c r="E1523" s="74"/>
      <c r="F1523" s="74"/>
      <c r="G1523" s="74"/>
      <c r="H1523" s="74"/>
      <c r="J1523" s="160"/>
      <c r="K1523" s="328"/>
    </row>
    <row r="1524" spans="3:11">
      <c r="C1524" s="304">
        <v>1</v>
      </c>
      <c r="D1524" s="60" t="s">
        <v>5</v>
      </c>
      <c r="E1524" s="305" t="s">
        <v>6</v>
      </c>
      <c r="F1524" s="75">
        <v>3.5999999999999997E-2</v>
      </c>
      <c r="G1524" s="65">
        <f>VLOOKUP(D1524,upahbahan,3,FALSE)</f>
        <v>100000</v>
      </c>
      <c r="H1524" s="65">
        <f t="shared" ref="H1524:H1527" si="178">F1524*G1524</f>
        <v>3599.9999999999995</v>
      </c>
      <c r="J1524" s="160"/>
      <c r="K1524" s="328"/>
    </row>
    <row r="1525" spans="3:11">
      <c r="C1525" s="304">
        <v>2</v>
      </c>
      <c r="D1525" s="60" t="str">
        <f>D1508</f>
        <v>Tukang listrik</v>
      </c>
      <c r="E1525" s="305" t="s">
        <v>6</v>
      </c>
      <c r="F1525" s="75">
        <v>0.06</v>
      </c>
      <c r="G1525" s="65">
        <f>VLOOKUP(D1525,upahbahan,3,FALSE)</f>
        <v>145000</v>
      </c>
      <c r="H1525" s="65">
        <f t="shared" si="178"/>
        <v>8700</v>
      </c>
      <c r="J1525" s="160"/>
      <c r="K1525" s="328"/>
    </row>
    <row r="1526" spans="3:11">
      <c r="C1526" s="304">
        <v>3</v>
      </c>
      <c r="D1526" s="60" t="s">
        <v>18</v>
      </c>
      <c r="E1526" s="305" t="s">
        <v>6</v>
      </c>
      <c r="F1526" s="75">
        <v>6.0000000000000001E-3</v>
      </c>
      <c r="G1526" s="65">
        <f>VLOOKUP(D1526,upahbahan,3,FALSE)</f>
        <v>150000</v>
      </c>
      <c r="H1526" s="65">
        <f t="shared" si="178"/>
        <v>900</v>
      </c>
      <c r="J1526" s="160"/>
      <c r="K1526" s="328"/>
    </row>
    <row r="1527" spans="3:11">
      <c r="C1527" s="304">
        <v>4</v>
      </c>
      <c r="D1527" s="60" t="s">
        <v>19</v>
      </c>
      <c r="E1527" s="305" t="s">
        <v>6</v>
      </c>
      <c r="F1527" s="75">
        <v>2E-3</v>
      </c>
      <c r="G1527" s="65">
        <f>VLOOKUP(D1527,upahbahan,3,FALSE)</f>
        <v>145000</v>
      </c>
      <c r="H1527" s="65">
        <f t="shared" si="178"/>
        <v>290</v>
      </c>
      <c r="J1527" s="160"/>
      <c r="K1527" s="328"/>
    </row>
    <row r="1528" spans="3:11">
      <c r="C1528" s="84" t="s">
        <v>1220</v>
      </c>
      <c r="D1528" s="81"/>
      <c r="E1528" s="81"/>
      <c r="F1528" s="190"/>
      <c r="G1528" s="221"/>
      <c r="H1528" s="65">
        <f>SUM(H1524:H1527)</f>
        <v>13490</v>
      </c>
      <c r="I1528" s="222"/>
      <c r="J1528" s="160"/>
      <c r="K1528" s="328"/>
    </row>
    <row r="1529" spans="3:11">
      <c r="C1529" s="73" t="s">
        <v>1221</v>
      </c>
      <c r="D1529" s="60" t="s">
        <v>1222</v>
      </c>
      <c r="E1529" s="74"/>
      <c r="F1529" s="208"/>
      <c r="G1529" s="74"/>
      <c r="H1529" s="74"/>
      <c r="J1529" s="160"/>
      <c r="K1529" s="328"/>
    </row>
    <row r="1530" spans="3:11">
      <c r="C1530" s="368" t="s">
        <v>1215</v>
      </c>
      <c r="D1530" s="78" t="s">
        <v>871</v>
      </c>
      <c r="E1530" s="69" t="s">
        <v>114</v>
      </c>
      <c r="F1530" s="75">
        <v>1.2</v>
      </c>
      <c r="G1530" s="65">
        <f>VLOOKUP(D1530,upahbahan,3,FALSE)</f>
        <v>79600</v>
      </c>
      <c r="H1530" s="65">
        <f t="shared" ref="H1530" si="179">F1530*G1530</f>
        <v>95520</v>
      </c>
      <c r="J1530" s="160"/>
      <c r="K1530" s="328"/>
    </row>
    <row r="1531" spans="3:11">
      <c r="C1531" s="84" t="s">
        <v>1226</v>
      </c>
      <c r="D1531" s="81"/>
      <c r="E1531" s="81"/>
      <c r="F1531" s="81"/>
      <c r="G1531" s="163"/>
      <c r="H1531" s="65">
        <f>SUM(H1530:H1530)</f>
        <v>95520</v>
      </c>
      <c r="J1531" s="160"/>
      <c r="K1531" s="328"/>
    </row>
    <row r="1532" spans="3:11">
      <c r="C1532" s="73" t="s">
        <v>1227</v>
      </c>
      <c r="D1532" s="60" t="s">
        <v>1228</v>
      </c>
      <c r="E1532" s="74"/>
      <c r="F1532" s="74"/>
      <c r="G1532" s="74"/>
      <c r="H1532" s="74"/>
      <c r="J1532" s="160"/>
      <c r="K1532" s="328"/>
    </row>
    <row r="1533" spans="3:11">
      <c r="C1533" s="84" t="s">
        <v>1229</v>
      </c>
      <c r="D1533" s="81"/>
      <c r="E1533" s="81"/>
      <c r="F1533" s="81"/>
      <c r="G1533" s="163"/>
      <c r="H1533" s="306">
        <v>0</v>
      </c>
      <c r="J1533" s="160"/>
      <c r="K1533" s="328"/>
    </row>
    <row r="1534" spans="3:11">
      <c r="C1534" s="59" t="s">
        <v>1230</v>
      </c>
      <c r="D1534" s="70" t="s">
        <v>1231</v>
      </c>
      <c r="E1534" s="71"/>
      <c r="F1534" s="71"/>
      <c r="G1534" s="72"/>
      <c r="H1534" s="307">
        <f>H1533+H1531+H1528</f>
        <v>109010</v>
      </c>
      <c r="I1534" s="322"/>
      <c r="J1534" s="160"/>
      <c r="K1534" s="328"/>
    </row>
    <row r="1535" spans="3:11">
      <c r="C1535" s="59" t="s">
        <v>1232</v>
      </c>
      <c r="D1535" s="70" t="s">
        <v>1410</v>
      </c>
      <c r="E1535" s="71"/>
      <c r="F1535" s="72"/>
      <c r="G1535" s="96">
        <f>$M$7</f>
        <v>0.1</v>
      </c>
      <c r="H1535" s="65">
        <f>H1534*G1535</f>
        <v>10901</v>
      </c>
      <c r="I1535" s="322"/>
      <c r="J1535" s="160"/>
      <c r="K1535" s="328"/>
    </row>
    <row r="1536" spans="3:11">
      <c r="C1536" s="59" t="s">
        <v>1233</v>
      </c>
      <c r="D1536" s="70" t="s">
        <v>1234</v>
      </c>
      <c r="E1536" s="71"/>
      <c r="F1536" s="71"/>
      <c r="G1536" s="72"/>
      <c r="H1536" s="308">
        <f>SUM(H1534:H1535)</f>
        <v>119911</v>
      </c>
      <c r="I1536" s="322"/>
      <c r="J1536" s="160"/>
      <c r="K1536" s="328"/>
    </row>
    <row r="1537" spans="3:11">
      <c r="J1537" s="160"/>
      <c r="K1537" s="328"/>
    </row>
    <row r="1538" spans="3:11">
      <c r="C1538" s="316" t="s">
        <v>1932</v>
      </c>
      <c r="D1538" s="318"/>
      <c r="E1538" s="318"/>
      <c r="F1538" s="318"/>
      <c r="G1538" s="318"/>
      <c r="H1538" s="318"/>
      <c r="I1538" s="57">
        <f>ROUNDDOWN(H1553,-2)</f>
        <v>184900</v>
      </c>
      <c r="J1538" s="160"/>
      <c r="K1538" s="328"/>
    </row>
    <row r="1539" spans="3:11" ht="28.5">
      <c r="C1539" s="303" t="s">
        <v>1207</v>
      </c>
      <c r="D1539" s="303" t="s">
        <v>1208</v>
      </c>
      <c r="E1539" s="303" t="s">
        <v>1209</v>
      </c>
      <c r="F1539" s="303" t="s">
        <v>1210</v>
      </c>
      <c r="G1539" s="303" t="s">
        <v>1211</v>
      </c>
      <c r="H1539" s="303" t="s">
        <v>1212</v>
      </c>
      <c r="J1539" s="160"/>
      <c r="K1539" s="328"/>
    </row>
    <row r="1540" spans="3:11">
      <c r="C1540" s="73" t="s">
        <v>1213</v>
      </c>
      <c r="D1540" s="60" t="s">
        <v>1214</v>
      </c>
      <c r="E1540" s="74"/>
      <c r="F1540" s="74"/>
      <c r="G1540" s="74"/>
      <c r="H1540" s="74"/>
      <c r="J1540" s="160"/>
      <c r="K1540" s="328"/>
    </row>
    <row r="1541" spans="3:11">
      <c r="C1541" s="304">
        <v>1</v>
      </c>
      <c r="D1541" s="60" t="s">
        <v>5</v>
      </c>
      <c r="E1541" s="305" t="s">
        <v>6</v>
      </c>
      <c r="F1541" s="75">
        <v>3.5999999999999997E-2</v>
      </c>
      <c r="G1541" s="65">
        <f>VLOOKUP(D1541,upahbahan,3,FALSE)</f>
        <v>100000</v>
      </c>
      <c r="H1541" s="65">
        <f t="shared" ref="H1541:H1544" si="180">F1541*G1541</f>
        <v>3599.9999999999995</v>
      </c>
      <c r="J1541" s="160"/>
      <c r="K1541" s="328"/>
    </row>
    <row r="1542" spans="3:11">
      <c r="C1542" s="304">
        <v>2</v>
      </c>
      <c r="D1542" s="60" t="str">
        <f>D1525</f>
        <v>Tukang listrik</v>
      </c>
      <c r="E1542" s="305" t="s">
        <v>6</v>
      </c>
      <c r="F1542" s="75">
        <v>0.06</v>
      </c>
      <c r="G1542" s="65">
        <f>VLOOKUP(D1542,upahbahan,3,FALSE)</f>
        <v>145000</v>
      </c>
      <c r="H1542" s="65">
        <f t="shared" si="180"/>
        <v>8700</v>
      </c>
      <c r="J1542" s="160"/>
      <c r="K1542" s="328"/>
    </row>
    <row r="1543" spans="3:11">
      <c r="C1543" s="304">
        <v>3</v>
      </c>
      <c r="D1543" s="60" t="s">
        <v>18</v>
      </c>
      <c r="E1543" s="305" t="s">
        <v>6</v>
      </c>
      <c r="F1543" s="75">
        <v>6.0000000000000001E-3</v>
      </c>
      <c r="G1543" s="65">
        <f>VLOOKUP(D1543,upahbahan,3,FALSE)</f>
        <v>150000</v>
      </c>
      <c r="H1543" s="65">
        <f t="shared" si="180"/>
        <v>900</v>
      </c>
      <c r="J1543" s="160"/>
      <c r="K1543" s="328"/>
    </row>
    <row r="1544" spans="3:11">
      <c r="C1544" s="304">
        <v>4</v>
      </c>
      <c r="D1544" s="60" t="s">
        <v>19</v>
      </c>
      <c r="E1544" s="305" t="s">
        <v>6</v>
      </c>
      <c r="F1544" s="75">
        <v>2E-3</v>
      </c>
      <c r="G1544" s="65">
        <f>VLOOKUP(D1544,upahbahan,3,FALSE)</f>
        <v>145000</v>
      </c>
      <c r="H1544" s="65">
        <f t="shared" si="180"/>
        <v>290</v>
      </c>
      <c r="J1544" s="160"/>
      <c r="K1544" s="328"/>
    </row>
    <row r="1545" spans="3:11">
      <c r="C1545" s="84" t="s">
        <v>1220</v>
      </c>
      <c r="D1545" s="81"/>
      <c r="E1545" s="81"/>
      <c r="F1545" s="190"/>
      <c r="G1545" s="221"/>
      <c r="H1545" s="65">
        <f>SUM(H1541:H1544)</f>
        <v>13490</v>
      </c>
      <c r="I1545" s="222"/>
      <c r="J1545" s="160"/>
      <c r="K1545" s="328"/>
    </row>
    <row r="1546" spans="3:11">
      <c r="C1546" s="73" t="s">
        <v>1221</v>
      </c>
      <c r="D1546" s="60" t="s">
        <v>1222</v>
      </c>
      <c r="E1546" s="74"/>
      <c r="F1546" s="208"/>
      <c r="G1546" s="74"/>
      <c r="H1546" s="74"/>
      <c r="J1546" s="160"/>
      <c r="K1546" s="328"/>
    </row>
    <row r="1547" spans="3:11">
      <c r="C1547" s="368" t="s">
        <v>1215</v>
      </c>
      <c r="D1547" s="78" t="s">
        <v>872</v>
      </c>
      <c r="E1547" s="69" t="s">
        <v>114</v>
      </c>
      <c r="F1547" s="75">
        <v>1.2</v>
      </c>
      <c r="G1547" s="65">
        <f>VLOOKUP(D1547,upahbahan,3,FALSE)</f>
        <v>128900</v>
      </c>
      <c r="H1547" s="65">
        <f t="shared" ref="H1547" si="181">F1547*G1547</f>
        <v>154680</v>
      </c>
      <c r="J1547" s="160"/>
      <c r="K1547" s="328"/>
    </row>
    <row r="1548" spans="3:11">
      <c r="C1548" s="84" t="s">
        <v>1226</v>
      </c>
      <c r="D1548" s="81"/>
      <c r="E1548" s="81"/>
      <c r="F1548" s="81"/>
      <c r="G1548" s="163"/>
      <c r="H1548" s="65">
        <f>SUM(H1547:H1547)</f>
        <v>154680</v>
      </c>
      <c r="J1548" s="160"/>
      <c r="K1548" s="328"/>
    </row>
    <row r="1549" spans="3:11">
      <c r="C1549" s="73" t="s">
        <v>1227</v>
      </c>
      <c r="D1549" s="60" t="s">
        <v>1228</v>
      </c>
      <c r="E1549" s="74"/>
      <c r="F1549" s="74"/>
      <c r="G1549" s="74"/>
      <c r="H1549" s="74"/>
      <c r="J1549" s="160"/>
      <c r="K1549" s="328"/>
    </row>
    <row r="1550" spans="3:11">
      <c r="C1550" s="84" t="s">
        <v>1229</v>
      </c>
      <c r="D1550" s="81"/>
      <c r="E1550" s="81"/>
      <c r="F1550" s="81"/>
      <c r="G1550" s="163"/>
      <c r="H1550" s="306">
        <v>0</v>
      </c>
      <c r="J1550" s="160"/>
      <c r="K1550" s="328"/>
    </row>
    <row r="1551" spans="3:11">
      <c r="C1551" s="59" t="s">
        <v>1230</v>
      </c>
      <c r="D1551" s="70" t="s">
        <v>1231</v>
      </c>
      <c r="E1551" s="71"/>
      <c r="F1551" s="71"/>
      <c r="G1551" s="72"/>
      <c r="H1551" s="307">
        <f>H1550+H1548+H1545</f>
        <v>168170</v>
      </c>
      <c r="I1551" s="322"/>
      <c r="J1551" s="160"/>
      <c r="K1551" s="328"/>
    </row>
    <row r="1552" spans="3:11">
      <c r="C1552" s="59" t="s">
        <v>1232</v>
      </c>
      <c r="D1552" s="70" t="s">
        <v>1410</v>
      </c>
      <c r="E1552" s="71"/>
      <c r="F1552" s="72"/>
      <c r="G1552" s="96">
        <f>$M$7</f>
        <v>0.1</v>
      </c>
      <c r="H1552" s="65">
        <f>H1551*G1552</f>
        <v>16817</v>
      </c>
      <c r="I1552" s="322"/>
      <c r="J1552" s="160"/>
      <c r="K1552" s="328"/>
    </row>
    <row r="1553" spans="3:11">
      <c r="C1553" s="59" t="s">
        <v>1233</v>
      </c>
      <c r="D1553" s="70" t="s">
        <v>1234</v>
      </c>
      <c r="E1553" s="71"/>
      <c r="F1553" s="71"/>
      <c r="G1553" s="72"/>
      <c r="H1553" s="308">
        <f>SUM(H1551:H1552)</f>
        <v>184987</v>
      </c>
      <c r="I1553" s="322"/>
      <c r="J1553" s="160"/>
      <c r="K1553" s="328"/>
    </row>
    <row r="1554" spans="3:11">
      <c r="J1554" s="160"/>
      <c r="K1554" s="328"/>
    </row>
    <row r="1555" spans="3:11">
      <c r="C1555" s="316" t="s">
        <v>1933</v>
      </c>
      <c r="D1555" s="318"/>
      <c r="E1555" s="318"/>
      <c r="F1555" s="318"/>
      <c r="G1555" s="318"/>
      <c r="H1555" s="318"/>
      <c r="I1555" s="57">
        <f>ROUNDDOWN(H1570,-2)</f>
        <v>48600</v>
      </c>
      <c r="J1555" s="160"/>
      <c r="K1555" s="328"/>
    </row>
    <row r="1556" spans="3:11" ht="28.5">
      <c r="C1556" s="303" t="s">
        <v>1207</v>
      </c>
      <c r="D1556" s="303" t="s">
        <v>1208</v>
      </c>
      <c r="E1556" s="303" t="s">
        <v>1209</v>
      </c>
      <c r="F1556" s="303" t="s">
        <v>1210</v>
      </c>
      <c r="G1556" s="303" t="s">
        <v>1211</v>
      </c>
      <c r="H1556" s="303" t="s">
        <v>1212</v>
      </c>
      <c r="J1556" s="160"/>
      <c r="K1556" s="328"/>
    </row>
    <row r="1557" spans="3:11">
      <c r="C1557" s="73" t="s">
        <v>1213</v>
      </c>
      <c r="D1557" s="60" t="s">
        <v>1214</v>
      </c>
      <c r="E1557" s="74"/>
      <c r="F1557" s="74"/>
      <c r="G1557" s="74"/>
      <c r="H1557" s="74"/>
      <c r="J1557" s="160"/>
      <c r="K1557" s="328"/>
    </row>
    <row r="1558" spans="3:11">
      <c r="C1558" s="304">
        <v>1</v>
      </c>
      <c r="D1558" s="60" t="s">
        <v>5</v>
      </c>
      <c r="E1558" s="305" t="s">
        <v>6</v>
      </c>
      <c r="F1558" s="75">
        <v>2.4E-2</v>
      </c>
      <c r="G1558" s="65">
        <f>VLOOKUP(D1558,upahbahan,3,FALSE)</f>
        <v>100000</v>
      </c>
      <c r="H1558" s="65">
        <f t="shared" ref="H1558:H1561" si="182">F1558*G1558</f>
        <v>2400</v>
      </c>
      <c r="J1558" s="160"/>
      <c r="K1558" s="328"/>
    </row>
    <row r="1559" spans="3:11">
      <c r="C1559" s="304">
        <v>2</v>
      </c>
      <c r="D1559" s="60" t="str">
        <f>D1542</f>
        <v>Tukang listrik</v>
      </c>
      <c r="E1559" s="305" t="s">
        <v>6</v>
      </c>
      <c r="F1559" s="75">
        <v>0.04</v>
      </c>
      <c r="G1559" s="65">
        <f>VLOOKUP(D1559,upahbahan,3,FALSE)</f>
        <v>145000</v>
      </c>
      <c r="H1559" s="65">
        <f t="shared" si="182"/>
        <v>5800</v>
      </c>
      <c r="J1559" s="160"/>
      <c r="K1559" s="328"/>
    </row>
    <row r="1560" spans="3:11">
      <c r="C1560" s="304">
        <v>3</v>
      </c>
      <c r="D1560" s="60" t="s">
        <v>18</v>
      </c>
      <c r="E1560" s="305" t="s">
        <v>6</v>
      </c>
      <c r="F1560" s="75">
        <v>4.0000000000000001E-3</v>
      </c>
      <c r="G1560" s="65">
        <f>VLOOKUP(D1560,upahbahan,3,FALSE)</f>
        <v>150000</v>
      </c>
      <c r="H1560" s="65">
        <f t="shared" si="182"/>
        <v>600</v>
      </c>
      <c r="J1560" s="160"/>
      <c r="K1560" s="328"/>
    </row>
    <row r="1561" spans="3:11">
      <c r="C1561" s="304">
        <v>4</v>
      </c>
      <c r="D1561" s="60" t="s">
        <v>19</v>
      </c>
      <c r="E1561" s="305" t="s">
        <v>6</v>
      </c>
      <c r="F1561" s="75">
        <v>1E-3</v>
      </c>
      <c r="G1561" s="65">
        <f>VLOOKUP(D1561,upahbahan,3,FALSE)</f>
        <v>145000</v>
      </c>
      <c r="H1561" s="65">
        <f t="shared" si="182"/>
        <v>145</v>
      </c>
      <c r="J1561" s="160"/>
      <c r="K1561" s="328"/>
    </row>
    <row r="1562" spans="3:11">
      <c r="C1562" s="84" t="s">
        <v>1220</v>
      </c>
      <c r="D1562" s="81"/>
      <c r="E1562" s="81"/>
      <c r="F1562" s="190"/>
      <c r="G1562" s="221"/>
      <c r="H1562" s="65">
        <f>SUM(H1558:H1561)</f>
        <v>8945</v>
      </c>
      <c r="I1562" s="222"/>
      <c r="J1562" s="160"/>
      <c r="K1562" s="328"/>
    </row>
    <row r="1563" spans="3:11">
      <c r="C1563" s="73" t="s">
        <v>1221</v>
      </c>
      <c r="D1563" s="60" t="s">
        <v>1222</v>
      </c>
      <c r="E1563" s="74"/>
      <c r="F1563" s="208"/>
      <c r="G1563" s="74"/>
      <c r="H1563" s="74"/>
      <c r="J1563" s="160"/>
      <c r="K1563" s="328"/>
    </row>
    <row r="1564" spans="3:11">
      <c r="C1564" s="368" t="s">
        <v>1215</v>
      </c>
      <c r="D1564" s="78" t="s">
        <v>876</v>
      </c>
      <c r="E1564" s="69" t="s">
        <v>114</v>
      </c>
      <c r="F1564" s="75">
        <v>1.2</v>
      </c>
      <c r="G1564" s="65">
        <f>VLOOKUP(D1564,upahbahan,3,FALSE)</f>
        <v>29400</v>
      </c>
      <c r="H1564" s="65">
        <f t="shared" ref="H1564" si="183">F1564*G1564</f>
        <v>35280</v>
      </c>
      <c r="J1564" s="160"/>
      <c r="K1564" s="328"/>
    </row>
    <row r="1565" spans="3:11">
      <c r="C1565" s="84" t="s">
        <v>1226</v>
      </c>
      <c r="D1565" s="81"/>
      <c r="E1565" s="81"/>
      <c r="F1565" s="81"/>
      <c r="G1565" s="163"/>
      <c r="H1565" s="65">
        <f>SUM(H1564:H1564)</f>
        <v>35280</v>
      </c>
      <c r="J1565" s="160"/>
      <c r="K1565" s="328"/>
    </row>
    <row r="1566" spans="3:11">
      <c r="C1566" s="73" t="s">
        <v>1227</v>
      </c>
      <c r="D1566" s="60" t="s">
        <v>1228</v>
      </c>
      <c r="E1566" s="74"/>
      <c r="F1566" s="74"/>
      <c r="G1566" s="74"/>
      <c r="H1566" s="74"/>
      <c r="J1566" s="160"/>
      <c r="K1566" s="328"/>
    </row>
    <row r="1567" spans="3:11">
      <c r="C1567" s="84" t="s">
        <v>1229</v>
      </c>
      <c r="D1567" s="81"/>
      <c r="E1567" s="81"/>
      <c r="F1567" s="81"/>
      <c r="G1567" s="163"/>
      <c r="H1567" s="306">
        <v>0</v>
      </c>
      <c r="J1567" s="160"/>
      <c r="K1567" s="328"/>
    </row>
    <row r="1568" spans="3:11">
      <c r="C1568" s="59" t="s">
        <v>1230</v>
      </c>
      <c r="D1568" s="70" t="s">
        <v>1231</v>
      </c>
      <c r="E1568" s="71"/>
      <c r="F1568" s="71"/>
      <c r="G1568" s="72"/>
      <c r="H1568" s="307">
        <f>H1567+H1565+H1562</f>
        <v>44225</v>
      </c>
      <c r="I1568" s="322"/>
      <c r="J1568" s="160"/>
      <c r="K1568" s="328"/>
    </row>
    <row r="1569" spans="3:11">
      <c r="C1569" s="59" t="s">
        <v>1232</v>
      </c>
      <c r="D1569" s="70" t="s">
        <v>1410</v>
      </c>
      <c r="E1569" s="71"/>
      <c r="F1569" s="72"/>
      <c r="G1569" s="96">
        <f>$M$7</f>
        <v>0.1</v>
      </c>
      <c r="H1569" s="65">
        <f>H1568*G1569</f>
        <v>4422.5</v>
      </c>
      <c r="I1569" s="322"/>
      <c r="J1569" s="160"/>
      <c r="K1569" s="328"/>
    </row>
    <row r="1570" spans="3:11">
      <c r="C1570" s="59" t="s">
        <v>1233</v>
      </c>
      <c r="D1570" s="70" t="s">
        <v>1234</v>
      </c>
      <c r="E1570" s="71"/>
      <c r="F1570" s="71"/>
      <c r="G1570" s="72"/>
      <c r="H1570" s="308">
        <f>SUM(H1568:H1569)</f>
        <v>48647.5</v>
      </c>
      <c r="I1570" s="322"/>
      <c r="J1570" s="160"/>
      <c r="K1570" s="328"/>
    </row>
    <row r="1571" spans="3:11">
      <c r="J1571" s="160"/>
      <c r="K1571" s="328"/>
    </row>
    <row r="1572" spans="3:11">
      <c r="C1572" s="316" t="s">
        <v>1934</v>
      </c>
      <c r="D1572" s="318"/>
      <c r="E1572" s="318"/>
      <c r="F1572" s="318"/>
      <c r="G1572" s="318"/>
      <c r="H1572" s="318"/>
      <c r="I1572" s="57">
        <f>ROUNDDOWN(H1587,-2)</f>
        <v>62900</v>
      </c>
      <c r="J1572" s="160"/>
      <c r="K1572" s="328"/>
    </row>
    <row r="1573" spans="3:11" ht="28.5">
      <c r="C1573" s="303" t="s">
        <v>1207</v>
      </c>
      <c r="D1573" s="303" t="s">
        <v>1208</v>
      </c>
      <c r="E1573" s="303" t="s">
        <v>1209</v>
      </c>
      <c r="F1573" s="303" t="s">
        <v>1210</v>
      </c>
      <c r="G1573" s="303" t="s">
        <v>1211</v>
      </c>
      <c r="H1573" s="303" t="s">
        <v>1212</v>
      </c>
      <c r="J1573" s="160"/>
      <c r="K1573" s="328"/>
    </row>
    <row r="1574" spans="3:11">
      <c r="C1574" s="73" t="s">
        <v>1213</v>
      </c>
      <c r="D1574" s="60" t="s">
        <v>1214</v>
      </c>
      <c r="E1574" s="74"/>
      <c r="F1574" s="74"/>
      <c r="G1574" s="74"/>
      <c r="H1574" s="74"/>
      <c r="J1574" s="160"/>
      <c r="K1574" s="328"/>
    </row>
    <row r="1575" spans="3:11">
      <c r="C1575" s="304">
        <v>1</v>
      </c>
      <c r="D1575" s="60" t="s">
        <v>5</v>
      </c>
      <c r="E1575" s="305" t="s">
        <v>6</v>
      </c>
      <c r="F1575" s="184">
        <v>2.9000000000000001E-2</v>
      </c>
      <c r="G1575" s="65">
        <f>VLOOKUP(D1575,upahbahan,3,FALSE)</f>
        <v>100000</v>
      </c>
      <c r="H1575" s="65">
        <f t="shared" ref="H1575:H1578" si="184">F1575*G1575</f>
        <v>2900</v>
      </c>
      <c r="J1575" s="160"/>
      <c r="K1575" s="328"/>
    </row>
    <row r="1576" spans="3:11">
      <c r="C1576" s="304">
        <v>2</v>
      </c>
      <c r="D1576" s="60" t="str">
        <f>D1559</f>
        <v>Tukang listrik</v>
      </c>
      <c r="E1576" s="305" t="s">
        <v>6</v>
      </c>
      <c r="F1576" s="184">
        <v>4.8000000000000001E-2</v>
      </c>
      <c r="G1576" s="65">
        <f>VLOOKUP(D1576,upahbahan,3,FALSE)</f>
        <v>145000</v>
      </c>
      <c r="H1576" s="65">
        <f t="shared" si="184"/>
        <v>6960</v>
      </c>
      <c r="J1576" s="160"/>
      <c r="K1576" s="328"/>
    </row>
    <row r="1577" spans="3:11">
      <c r="C1577" s="304">
        <v>3</v>
      </c>
      <c r="D1577" s="60" t="s">
        <v>18</v>
      </c>
      <c r="E1577" s="305" t="s">
        <v>6</v>
      </c>
      <c r="F1577" s="184">
        <v>5.0000000000000001E-3</v>
      </c>
      <c r="G1577" s="65">
        <f>VLOOKUP(D1577,upahbahan,3,FALSE)</f>
        <v>150000</v>
      </c>
      <c r="H1577" s="65">
        <f t="shared" si="184"/>
        <v>750</v>
      </c>
      <c r="J1577" s="160"/>
      <c r="K1577" s="328"/>
    </row>
    <row r="1578" spans="3:11">
      <c r="C1578" s="304">
        <v>4</v>
      </c>
      <c r="D1578" s="60" t="s">
        <v>19</v>
      </c>
      <c r="E1578" s="305" t="s">
        <v>6</v>
      </c>
      <c r="F1578" s="184">
        <v>2E-3</v>
      </c>
      <c r="G1578" s="65">
        <f>VLOOKUP(D1578,upahbahan,3,FALSE)</f>
        <v>145000</v>
      </c>
      <c r="H1578" s="65">
        <f t="shared" si="184"/>
        <v>290</v>
      </c>
      <c r="J1578" s="160"/>
      <c r="K1578" s="328"/>
    </row>
    <row r="1579" spans="3:11">
      <c r="C1579" s="84" t="s">
        <v>1220</v>
      </c>
      <c r="D1579" s="81"/>
      <c r="E1579" s="81"/>
      <c r="F1579" s="190"/>
      <c r="G1579" s="221"/>
      <c r="H1579" s="65">
        <f>SUM(H1575:H1578)</f>
        <v>10900</v>
      </c>
      <c r="I1579" s="222"/>
      <c r="J1579" s="160"/>
      <c r="K1579" s="328"/>
    </row>
    <row r="1580" spans="3:11">
      <c r="C1580" s="73" t="s">
        <v>1221</v>
      </c>
      <c r="D1580" s="60" t="s">
        <v>1222</v>
      </c>
      <c r="E1580" s="74"/>
      <c r="F1580" s="208"/>
      <c r="G1580" s="74"/>
      <c r="H1580" s="74"/>
      <c r="J1580" s="160"/>
      <c r="K1580" s="328"/>
    </row>
    <row r="1581" spans="3:11">
      <c r="C1581" s="368" t="s">
        <v>1215</v>
      </c>
      <c r="D1581" s="78" t="s">
        <v>882</v>
      </c>
      <c r="E1581" s="69" t="s">
        <v>114</v>
      </c>
      <c r="F1581" s="75">
        <v>1.2</v>
      </c>
      <c r="G1581" s="65">
        <f>VLOOKUP(D1581,upahbahan,3,FALSE)</f>
        <v>38600</v>
      </c>
      <c r="H1581" s="65">
        <f t="shared" ref="H1581" si="185">F1581*G1581</f>
        <v>46320</v>
      </c>
      <c r="J1581" s="160"/>
      <c r="K1581" s="328"/>
    </row>
    <row r="1582" spans="3:11">
      <c r="C1582" s="84" t="s">
        <v>1226</v>
      </c>
      <c r="D1582" s="81"/>
      <c r="E1582" s="81"/>
      <c r="F1582" s="81"/>
      <c r="G1582" s="163"/>
      <c r="H1582" s="65">
        <f>SUM(H1581:H1581)</f>
        <v>46320</v>
      </c>
      <c r="J1582" s="160"/>
      <c r="K1582" s="328"/>
    </row>
    <row r="1583" spans="3:11">
      <c r="C1583" s="73" t="s">
        <v>1227</v>
      </c>
      <c r="D1583" s="60" t="s">
        <v>1228</v>
      </c>
      <c r="E1583" s="74"/>
      <c r="F1583" s="74"/>
      <c r="G1583" s="74"/>
      <c r="H1583" s="74"/>
      <c r="J1583" s="160"/>
      <c r="K1583" s="328"/>
    </row>
    <row r="1584" spans="3:11">
      <c r="C1584" s="84" t="s">
        <v>1229</v>
      </c>
      <c r="D1584" s="81"/>
      <c r="E1584" s="81"/>
      <c r="F1584" s="81"/>
      <c r="G1584" s="163"/>
      <c r="H1584" s="306">
        <v>0</v>
      </c>
      <c r="J1584" s="160"/>
      <c r="K1584" s="328"/>
    </row>
    <row r="1585" spans="3:11">
      <c r="C1585" s="59" t="s">
        <v>1230</v>
      </c>
      <c r="D1585" s="70" t="s">
        <v>1231</v>
      </c>
      <c r="E1585" s="71"/>
      <c r="F1585" s="71"/>
      <c r="G1585" s="72"/>
      <c r="H1585" s="307">
        <f>H1584+H1582+H1579</f>
        <v>57220</v>
      </c>
      <c r="I1585" s="322"/>
      <c r="J1585" s="160"/>
      <c r="K1585" s="328"/>
    </row>
    <row r="1586" spans="3:11">
      <c r="C1586" s="59" t="s">
        <v>1232</v>
      </c>
      <c r="D1586" s="70" t="s">
        <v>1410</v>
      </c>
      <c r="E1586" s="71"/>
      <c r="F1586" s="72"/>
      <c r="G1586" s="96">
        <f>$M$7</f>
        <v>0.1</v>
      </c>
      <c r="H1586" s="65">
        <f>H1585*G1586</f>
        <v>5722</v>
      </c>
      <c r="I1586" s="322"/>
      <c r="J1586" s="160"/>
      <c r="K1586" s="328"/>
    </row>
    <row r="1587" spans="3:11">
      <c r="C1587" s="59" t="s">
        <v>1233</v>
      </c>
      <c r="D1587" s="70" t="s">
        <v>1234</v>
      </c>
      <c r="E1587" s="71"/>
      <c r="F1587" s="71"/>
      <c r="G1587" s="72"/>
      <c r="H1587" s="308">
        <f>SUM(H1585:H1586)</f>
        <v>62942</v>
      </c>
      <c r="I1587" s="322"/>
      <c r="J1587" s="160"/>
      <c r="K1587" s="328"/>
    </row>
    <row r="1588" spans="3:11">
      <c r="J1588" s="160"/>
      <c r="K1588" s="328"/>
    </row>
    <row r="1589" spans="3:11">
      <c r="C1589" s="316" t="s">
        <v>1935</v>
      </c>
      <c r="D1589" s="318"/>
      <c r="E1589" s="318"/>
      <c r="F1589" s="318"/>
      <c r="G1589" s="318"/>
      <c r="H1589" s="318"/>
      <c r="I1589" s="57">
        <f>ROUNDDOWN(H1604,-2)</f>
        <v>99100</v>
      </c>
      <c r="J1589" s="160"/>
      <c r="K1589" s="328"/>
    </row>
    <row r="1590" spans="3:11" ht="28.5">
      <c r="C1590" s="303" t="s">
        <v>1207</v>
      </c>
      <c r="D1590" s="303" t="s">
        <v>1208</v>
      </c>
      <c r="E1590" s="303" t="s">
        <v>1209</v>
      </c>
      <c r="F1590" s="303" t="s">
        <v>1210</v>
      </c>
      <c r="G1590" s="303" t="s">
        <v>1211</v>
      </c>
      <c r="H1590" s="303" t="s">
        <v>1212</v>
      </c>
      <c r="J1590" s="160"/>
      <c r="K1590" s="328"/>
    </row>
    <row r="1591" spans="3:11">
      <c r="C1591" s="73" t="s">
        <v>1213</v>
      </c>
      <c r="D1591" s="60" t="s">
        <v>1214</v>
      </c>
      <c r="E1591" s="74"/>
      <c r="F1591" s="74"/>
      <c r="G1591" s="74"/>
      <c r="H1591" s="74"/>
      <c r="J1591" s="160"/>
      <c r="K1591" s="328"/>
    </row>
    <row r="1592" spans="3:11">
      <c r="C1592" s="304">
        <v>1</v>
      </c>
      <c r="D1592" s="60" t="s">
        <v>5</v>
      </c>
      <c r="E1592" s="305" t="s">
        <v>6</v>
      </c>
      <c r="F1592" s="184">
        <v>2.9000000000000001E-2</v>
      </c>
      <c r="G1592" s="65">
        <f>VLOOKUP(D1592,upahbahan,3,FALSE)</f>
        <v>100000</v>
      </c>
      <c r="H1592" s="65">
        <f t="shared" ref="H1592:H1595" si="186">F1592*G1592</f>
        <v>2900</v>
      </c>
      <c r="J1592" s="160"/>
      <c r="K1592" s="328"/>
    </row>
    <row r="1593" spans="3:11">
      <c r="C1593" s="304">
        <v>2</v>
      </c>
      <c r="D1593" s="60" t="str">
        <f>D1576</f>
        <v>Tukang listrik</v>
      </c>
      <c r="E1593" s="305" t="s">
        <v>6</v>
      </c>
      <c r="F1593" s="184">
        <v>4.8000000000000001E-2</v>
      </c>
      <c r="G1593" s="65">
        <f>VLOOKUP(D1593,upahbahan,3,FALSE)</f>
        <v>145000</v>
      </c>
      <c r="H1593" s="65">
        <f t="shared" si="186"/>
        <v>6960</v>
      </c>
      <c r="J1593" s="160"/>
      <c r="K1593" s="328"/>
    </row>
    <row r="1594" spans="3:11">
      <c r="C1594" s="304">
        <v>3</v>
      </c>
      <c r="D1594" s="60" t="s">
        <v>18</v>
      </c>
      <c r="E1594" s="305" t="s">
        <v>6</v>
      </c>
      <c r="F1594" s="184">
        <v>5.0000000000000001E-3</v>
      </c>
      <c r="G1594" s="65">
        <f>VLOOKUP(D1594,upahbahan,3,FALSE)</f>
        <v>150000</v>
      </c>
      <c r="H1594" s="65">
        <f t="shared" si="186"/>
        <v>750</v>
      </c>
      <c r="J1594" s="160"/>
      <c r="K1594" s="328"/>
    </row>
    <row r="1595" spans="3:11">
      <c r="C1595" s="304">
        <v>4</v>
      </c>
      <c r="D1595" s="60" t="s">
        <v>19</v>
      </c>
      <c r="E1595" s="305" t="s">
        <v>6</v>
      </c>
      <c r="F1595" s="184">
        <v>2E-3</v>
      </c>
      <c r="G1595" s="65">
        <f>VLOOKUP(D1595,upahbahan,3,FALSE)</f>
        <v>145000</v>
      </c>
      <c r="H1595" s="65">
        <f t="shared" si="186"/>
        <v>290</v>
      </c>
      <c r="J1595" s="160"/>
      <c r="K1595" s="328"/>
    </row>
    <row r="1596" spans="3:11">
      <c r="C1596" s="84" t="s">
        <v>1220</v>
      </c>
      <c r="D1596" s="81"/>
      <c r="E1596" s="81"/>
      <c r="F1596" s="190"/>
      <c r="G1596" s="221"/>
      <c r="H1596" s="65">
        <f>SUM(H1592:H1595)</f>
        <v>10900</v>
      </c>
      <c r="I1596" s="222"/>
      <c r="J1596" s="160"/>
      <c r="K1596" s="328"/>
    </row>
    <row r="1597" spans="3:11">
      <c r="C1597" s="73" t="s">
        <v>1221</v>
      </c>
      <c r="D1597" s="60" t="s">
        <v>1222</v>
      </c>
      <c r="E1597" s="74"/>
      <c r="F1597" s="208"/>
      <c r="G1597" s="74"/>
      <c r="H1597" s="74"/>
      <c r="J1597" s="160"/>
      <c r="K1597" s="328"/>
    </row>
    <row r="1598" spans="3:11">
      <c r="C1598" s="368" t="s">
        <v>1215</v>
      </c>
      <c r="D1598" s="78" t="s">
        <v>887</v>
      </c>
      <c r="E1598" s="69" t="s">
        <v>114</v>
      </c>
      <c r="F1598" s="75">
        <v>1.2</v>
      </c>
      <c r="G1598" s="65">
        <f>VLOOKUP(D1598,upahbahan,3,FALSE)</f>
        <v>66000</v>
      </c>
      <c r="H1598" s="65">
        <f t="shared" ref="H1598" si="187">F1598*G1598</f>
        <v>79200</v>
      </c>
      <c r="J1598" s="160"/>
      <c r="K1598" s="328"/>
    </row>
    <row r="1599" spans="3:11">
      <c r="C1599" s="84" t="s">
        <v>1226</v>
      </c>
      <c r="D1599" s="81"/>
      <c r="E1599" s="81"/>
      <c r="F1599" s="81"/>
      <c r="G1599" s="163"/>
      <c r="H1599" s="65">
        <f>SUM(H1598:H1598)</f>
        <v>79200</v>
      </c>
      <c r="J1599" s="160"/>
      <c r="K1599" s="328"/>
    </row>
    <row r="1600" spans="3:11">
      <c r="C1600" s="73" t="s">
        <v>1227</v>
      </c>
      <c r="D1600" s="60" t="s">
        <v>1228</v>
      </c>
      <c r="E1600" s="74"/>
      <c r="F1600" s="74"/>
      <c r="G1600" s="74"/>
      <c r="H1600" s="74"/>
      <c r="J1600" s="160"/>
      <c r="K1600" s="328"/>
    </row>
    <row r="1601" spans="3:11">
      <c r="C1601" s="84" t="s">
        <v>1229</v>
      </c>
      <c r="D1601" s="81"/>
      <c r="E1601" s="81"/>
      <c r="F1601" s="81"/>
      <c r="G1601" s="163"/>
      <c r="H1601" s="306">
        <v>0</v>
      </c>
      <c r="J1601" s="160"/>
      <c r="K1601" s="328"/>
    </row>
    <row r="1602" spans="3:11">
      <c r="C1602" s="59" t="s">
        <v>1230</v>
      </c>
      <c r="D1602" s="70" t="s">
        <v>1231</v>
      </c>
      <c r="E1602" s="71"/>
      <c r="F1602" s="71"/>
      <c r="G1602" s="72"/>
      <c r="H1602" s="307">
        <f>H1601+H1599+H1596</f>
        <v>90100</v>
      </c>
      <c r="I1602" s="322"/>
      <c r="J1602" s="160"/>
      <c r="K1602" s="328"/>
    </row>
    <row r="1603" spans="3:11">
      <c r="C1603" s="59" t="s">
        <v>1232</v>
      </c>
      <c r="D1603" s="70" t="s">
        <v>1410</v>
      </c>
      <c r="E1603" s="71"/>
      <c r="F1603" s="72"/>
      <c r="G1603" s="96">
        <f>$M$7</f>
        <v>0.1</v>
      </c>
      <c r="H1603" s="65">
        <f>H1602*G1603</f>
        <v>9010</v>
      </c>
      <c r="I1603" s="322"/>
      <c r="J1603" s="160"/>
      <c r="K1603" s="328"/>
    </row>
    <row r="1604" spans="3:11">
      <c r="C1604" s="59" t="s">
        <v>1233</v>
      </c>
      <c r="D1604" s="70" t="s">
        <v>1234</v>
      </c>
      <c r="E1604" s="71"/>
      <c r="F1604" s="71"/>
      <c r="G1604" s="72"/>
      <c r="H1604" s="308">
        <f>SUM(H1602:H1603)</f>
        <v>99110</v>
      </c>
      <c r="I1604" s="322"/>
      <c r="J1604" s="160"/>
      <c r="K1604" s="328"/>
    </row>
    <row r="1605" spans="3:11">
      <c r="J1605" s="160"/>
      <c r="K1605" s="328"/>
    </row>
    <row r="1606" spans="3:11">
      <c r="C1606" s="316" t="s">
        <v>1936</v>
      </c>
      <c r="D1606" s="318"/>
      <c r="E1606" s="318"/>
      <c r="F1606" s="318"/>
      <c r="G1606" s="318"/>
      <c r="H1606" s="318"/>
      <c r="I1606" s="57">
        <f>ROUNDDOWN(H1621,-2)</f>
        <v>107500</v>
      </c>
      <c r="J1606" s="160"/>
      <c r="K1606" s="328"/>
    </row>
    <row r="1607" spans="3:11" ht="28.5">
      <c r="C1607" s="303" t="s">
        <v>1207</v>
      </c>
      <c r="D1607" s="303" t="s">
        <v>1208</v>
      </c>
      <c r="E1607" s="303" t="s">
        <v>1209</v>
      </c>
      <c r="F1607" s="303" t="s">
        <v>1210</v>
      </c>
      <c r="G1607" s="303" t="s">
        <v>1211</v>
      </c>
      <c r="H1607" s="303" t="s">
        <v>1212</v>
      </c>
      <c r="J1607" s="160"/>
      <c r="K1607" s="328"/>
    </row>
    <row r="1608" spans="3:11">
      <c r="C1608" s="73" t="s">
        <v>1213</v>
      </c>
      <c r="D1608" s="60" t="s">
        <v>1214</v>
      </c>
      <c r="E1608" s="74"/>
      <c r="F1608" s="74"/>
      <c r="G1608" s="74"/>
      <c r="H1608" s="74"/>
      <c r="J1608" s="160"/>
      <c r="K1608" s="328"/>
    </row>
    <row r="1609" spans="3:11">
      <c r="C1609" s="304">
        <v>1</v>
      </c>
      <c r="D1609" s="60" t="s">
        <v>5</v>
      </c>
      <c r="E1609" s="305" t="s">
        <v>6</v>
      </c>
      <c r="F1609" s="75">
        <v>3.5999999999999997E-2</v>
      </c>
      <c r="G1609" s="65">
        <f>VLOOKUP(D1609,upahbahan,3,FALSE)</f>
        <v>100000</v>
      </c>
      <c r="H1609" s="65">
        <f t="shared" ref="H1609:H1612" si="188">F1609*G1609</f>
        <v>3599.9999999999995</v>
      </c>
      <c r="J1609" s="160"/>
      <c r="K1609" s="328"/>
    </row>
    <row r="1610" spans="3:11">
      <c r="C1610" s="304">
        <v>2</v>
      </c>
      <c r="D1610" s="60" t="str">
        <f>D1593</f>
        <v>Tukang listrik</v>
      </c>
      <c r="E1610" s="305" t="s">
        <v>6</v>
      </c>
      <c r="F1610" s="75">
        <v>0.06</v>
      </c>
      <c r="G1610" s="65">
        <f>VLOOKUP(D1610,upahbahan,3,FALSE)</f>
        <v>145000</v>
      </c>
      <c r="H1610" s="65">
        <f t="shared" si="188"/>
        <v>8700</v>
      </c>
      <c r="J1610" s="160"/>
      <c r="K1610" s="328"/>
    </row>
    <row r="1611" spans="3:11">
      <c r="C1611" s="304">
        <v>3</v>
      </c>
      <c r="D1611" s="60" t="s">
        <v>18</v>
      </c>
      <c r="E1611" s="305" t="s">
        <v>6</v>
      </c>
      <c r="F1611" s="75">
        <v>6.0000000000000001E-3</v>
      </c>
      <c r="G1611" s="65">
        <f>VLOOKUP(D1611,upahbahan,3,FALSE)</f>
        <v>150000</v>
      </c>
      <c r="H1611" s="65">
        <f t="shared" si="188"/>
        <v>900</v>
      </c>
      <c r="J1611" s="160"/>
      <c r="K1611" s="328"/>
    </row>
    <row r="1612" spans="3:11">
      <c r="C1612" s="304">
        <v>4</v>
      </c>
      <c r="D1612" s="60" t="s">
        <v>19</v>
      </c>
      <c r="E1612" s="305" t="s">
        <v>6</v>
      </c>
      <c r="F1612" s="75">
        <v>2E-3</v>
      </c>
      <c r="G1612" s="65">
        <f>VLOOKUP(D1612,upahbahan,3,FALSE)</f>
        <v>145000</v>
      </c>
      <c r="H1612" s="65">
        <f t="shared" si="188"/>
        <v>290</v>
      </c>
      <c r="J1612" s="160"/>
      <c r="K1612" s="328"/>
    </row>
    <row r="1613" spans="3:11">
      <c r="C1613" s="84" t="s">
        <v>1220</v>
      </c>
      <c r="D1613" s="81"/>
      <c r="E1613" s="81"/>
      <c r="F1613" s="190"/>
      <c r="G1613" s="221"/>
      <c r="H1613" s="65">
        <f>SUM(H1609:H1612)</f>
        <v>13490</v>
      </c>
      <c r="I1613" s="222"/>
      <c r="J1613" s="160"/>
      <c r="K1613" s="328"/>
    </row>
    <row r="1614" spans="3:11">
      <c r="C1614" s="73" t="s">
        <v>1221</v>
      </c>
      <c r="D1614" s="60" t="s">
        <v>1222</v>
      </c>
      <c r="E1614" s="74"/>
      <c r="F1614" s="208"/>
      <c r="G1614" s="74"/>
      <c r="H1614" s="74"/>
      <c r="J1614" s="160"/>
      <c r="K1614" s="328"/>
    </row>
    <row r="1615" spans="3:11">
      <c r="C1615" s="368" t="s">
        <v>1215</v>
      </c>
      <c r="D1615" s="78" t="s">
        <v>889</v>
      </c>
      <c r="E1615" s="69" t="s">
        <v>114</v>
      </c>
      <c r="F1615" s="75">
        <v>1.2</v>
      </c>
      <c r="G1615" s="65">
        <f>VLOOKUP(D1615,upahbahan,3,FALSE)</f>
        <v>70200</v>
      </c>
      <c r="H1615" s="65">
        <f t="shared" ref="H1615" si="189">F1615*G1615</f>
        <v>84240</v>
      </c>
      <c r="J1615" s="160"/>
      <c r="K1615" s="328"/>
    </row>
    <row r="1616" spans="3:11">
      <c r="C1616" s="84" t="s">
        <v>1226</v>
      </c>
      <c r="D1616" s="81"/>
      <c r="E1616" s="81"/>
      <c r="F1616" s="81"/>
      <c r="G1616" s="163"/>
      <c r="H1616" s="65">
        <f>SUM(H1615:H1615)</f>
        <v>84240</v>
      </c>
      <c r="J1616" s="160"/>
      <c r="K1616" s="328"/>
    </row>
    <row r="1617" spans="3:11">
      <c r="C1617" s="73" t="s">
        <v>1227</v>
      </c>
      <c r="D1617" s="60" t="s">
        <v>1228</v>
      </c>
      <c r="E1617" s="74"/>
      <c r="F1617" s="74"/>
      <c r="G1617" s="74"/>
      <c r="H1617" s="74"/>
      <c r="J1617" s="160"/>
      <c r="K1617" s="328"/>
    </row>
    <row r="1618" spans="3:11">
      <c r="C1618" s="84" t="s">
        <v>1229</v>
      </c>
      <c r="D1618" s="81"/>
      <c r="E1618" s="81"/>
      <c r="F1618" s="81"/>
      <c r="G1618" s="163"/>
      <c r="H1618" s="306">
        <v>0</v>
      </c>
      <c r="J1618" s="160"/>
      <c r="K1618" s="328"/>
    </row>
    <row r="1619" spans="3:11">
      <c r="C1619" s="59" t="s">
        <v>1230</v>
      </c>
      <c r="D1619" s="70" t="s">
        <v>1231</v>
      </c>
      <c r="E1619" s="71"/>
      <c r="F1619" s="71"/>
      <c r="G1619" s="72"/>
      <c r="H1619" s="307">
        <f>H1618+H1616+H1613</f>
        <v>97730</v>
      </c>
      <c r="I1619" s="322"/>
      <c r="J1619" s="160"/>
      <c r="K1619" s="328"/>
    </row>
    <row r="1620" spans="3:11">
      <c r="C1620" s="59" t="s">
        <v>1232</v>
      </c>
      <c r="D1620" s="70" t="s">
        <v>1410</v>
      </c>
      <c r="E1620" s="71"/>
      <c r="F1620" s="72"/>
      <c r="G1620" s="96">
        <f>$M$7</f>
        <v>0.1</v>
      </c>
      <c r="H1620" s="65">
        <f>H1619*G1620</f>
        <v>9773</v>
      </c>
      <c r="I1620" s="322"/>
      <c r="J1620" s="160"/>
      <c r="K1620" s="328"/>
    </row>
    <row r="1621" spans="3:11">
      <c r="C1621" s="59" t="s">
        <v>1233</v>
      </c>
      <c r="D1621" s="70" t="s">
        <v>1234</v>
      </c>
      <c r="E1621" s="71"/>
      <c r="F1621" s="71"/>
      <c r="G1621" s="72"/>
      <c r="H1621" s="308">
        <f>SUM(H1619:H1620)</f>
        <v>107503</v>
      </c>
      <c r="I1621" s="322"/>
      <c r="J1621" s="160"/>
      <c r="K1621" s="328"/>
    </row>
    <row r="1622" spans="3:11">
      <c r="J1622" s="160"/>
      <c r="K1622" s="328"/>
    </row>
    <row r="1623" spans="3:11">
      <c r="C1623" s="371" t="s">
        <v>1937</v>
      </c>
      <c r="D1623" s="318"/>
      <c r="E1623" s="318"/>
      <c r="F1623" s="318"/>
      <c r="G1623" s="318"/>
      <c r="H1623" s="318"/>
      <c r="I1623" s="57">
        <f>ROUNDDOWN(H1638,-2)</f>
        <v>147600</v>
      </c>
      <c r="J1623" s="160"/>
      <c r="K1623" s="328"/>
    </row>
    <row r="1624" spans="3:11" ht="28.5">
      <c r="C1624" s="303" t="s">
        <v>1207</v>
      </c>
      <c r="D1624" s="303" t="s">
        <v>1208</v>
      </c>
      <c r="E1624" s="303" t="s">
        <v>1209</v>
      </c>
      <c r="F1624" s="303" t="s">
        <v>1210</v>
      </c>
      <c r="G1624" s="303" t="s">
        <v>1211</v>
      </c>
      <c r="H1624" s="303" t="s">
        <v>1212</v>
      </c>
      <c r="J1624" s="160"/>
      <c r="K1624" s="328"/>
    </row>
    <row r="1625" spans="3:11">
      <c r="C1625" s="73" t="s">
        <v>1213</v>
      </c>
      <c r="D1625" s="60" t="s">
        <v>1214</v>
      </c>
      <c r="E1625" s="74"/>
      <c r="F1625" s="74"/>
      <c r="G1625" s="74"/>
      <c r="H1625" s="74"/>
      <c r="J1625" s="160"/>
      <c r="K1625" s="328"/>
    </row>
    <row r="1626" spans="3:11">
      <c r="C1626" s="304">
        <v>1</v>
      </c>
      <c r="D1626" s="60" t="s">
        <v>5</v>
      </c>
      <c r="E1626" s="305" t="s">
        <v>6</v>
      </c>
      <c r="F1626" s="75">
        <v>3.5999999999999997E-2</v>
      </c>
      <c r="G1626" s="65">
        <f>VLOOKUP(D1626,upahbahan,3,FALSE)</f>
        <v>100000</v>
      </c>
      <c r="H1626" s="65">
        <f t="shared" ref="H1626:H1629" si="190">F1626*G1626</f>
        <v>3599.9999999999995</v>
      </c>
      <c r="J1626" s="160"/>
      <c r="K1626" s="328"/>
    </row>
    <row r="1627" spans="3:11">
      <c r="C1627" s="304">
        <v>2</v>
      </c>
      <c r="D1627" s="60" t="str">
        <f>D1610</f>
        <v>Tukang listrik</v>
      </c>
      <c r="E1627" s="305" t="s">
        <v>6</v>
      </c>
      <c r="F1627" s="75">
        <v>0.06</v>
      </c>
      <c r="G1627" s="65">
        <f>VLOOKUP(D1627,upahbahan,3,FALSE)</f>
        <v>145000</v>
      </c>
      <c r="H1627" s="65">
        <f t="shared" si="190"/>
        <v>8700</v>
      </c>
      <c r="J1627" s="160"/>
      <c r="K1627" s="328"/>
    </row>
    <row r="1628" spans="3:11">
      <c r="C1628" s="304">
        <v>3</v>
      </c>
      <c r="D1628" s="60" t="s">
        <v>18</v>
      </c>
      <c r="E1628" s="305" t="s">
        <v>6</v>
      </c>
      <c r="F1628" s="75">
        <v>6.0000000000000001E-3</v>
      </c>
      <c r="G1628" s="65">
        <f>VLOOKUP(D1628,upahbahan,3,FALSE)</f>
        <v>150000</v>
      </c>
      <c r="H1628" s="65">
        <f t="shared" si="190"/>
        <v>900</v>
      </c>
      <c r="J1628" s="160"/>
      <c r="K1628" s="328"/>
    </row>
    <row r="1629" spans="3:11">
      <c r="C1629" s="304">
        <v>4</v>
      </c>
      <c r="D1629" s="60" t="s">
        <v>19</v>
      </c>
      <c r="E1629" s="305" t="s">
        <v>6</v>
      </c>
      <c r="F1629" s="75">
        <v>2E-3</v>
      </c>
      <c r="G1629" s="65">
        <f>VLOOKUP(D1629,upahbahan,3,FALSE)</f>
        <v>145000</v>
      </c>
      <c r="H1629" s="65">
        <f t="shared" si="190"/>
        <v>290</v>
      </c>
      <c r="J1629" s="160"/>
      <c r="K1629" s="328"/>
    </row>
    <row r="1630" spans="3:11">
      <c r="C1630" s="84" t="s">
        <v>1220</v>
      </c>
      <c r="D1630" s="81"/>
      <c r="E1630" s="81"/>
      <c r="F1630" s="190"/>
      <c r="G1630" s="221"/>
      <c r="H1630" s="65">
        <f>SUM(H1626:H1629)</f>
        <v>13490</v>
      </c>
      <c r="I1630" s="222"/>
      <c r="J1630" s="160"/>
      <c r="K1630" s="328"/>
    </row>
    <row r="1631" spans="3:11">
      <c r="C1631" s="73" t="s">
        <v>1221</v>
      </c>
      <c r="D1631" s="60" t="s">
        <v>1222</v>
      </c>
      <c r="E1631" s="74"/>
      <c r="F1631" s="208"/>
      <c r="G1631" s="74"/>
      <c r="H1631" s="74"/>
      <c r="J1631" s="160"/>
      <c r="K1631" s="328"/>
    </row>
    <row r="1632" spans="3:11">
      <c r="C1632" s="368" t="s">
        <v>1215</v>
      </c>
      <c r="D1632" s="78" t="s">
        <v>877</v>
      </c>
      <c r="E1632" s="69" t="s">
        <v>114</v>
      </c>
      <c r="F1632" s="75">
        <v>1.2</v>
      </c>
      <c r="G1632" s="65">
        <f>VLOOKUP(D1632,upahbahan,3,FALSE)</f>
        <v>100600</v>
      </c>
      <c r="H1632" s="65">
        <f t="shared" ref="H1632" si="191">F1632*G1632</f>
        <v>120720</v>
      </c>
      <c r="J1632" s="160"/>
      <c r="K1632" s="328"/>
    </row>
    <row r="1633" spans="3:11">
      <c r="C1633" s="84" t="s">
        <v>1226</v>
      </c>
      <c r="D1633" s="81"/>
      <c r="E1633" s="81"/>
      <c r="F1633" s="81"/>
      <c r="G1633" s="163"/>
      <c r="H1633" s="65">
        <f>SUM(H1632:H1632)</f>
        <v>120720</v>
      </c>
      <c r="J1633" s="160"/>
      <c r="K1633" s="328"/>
    </row>
    <row r="1634" spans="3:11">
      <c r="C1634" s="73" t="s">
        <v>1227</v>
      </c>
      <c r="D1634" s="60" t="s">
        <v>1228</v>
      </c>
      <c r="E1634" s="74"/>
      <c r="F1634" s="74"/>
      <c r="G1634" s="74"/>
      <c r="H1634" s="74"/>
      <c r="J1634" s="160"/>
      <c r="K1634" s="328"/>
    </row>
    <row r="1635" spans="3:11">
      <c r="C1635" s="84" t="s">
        <v>1229</v>
      </c>
      <c r="D1635" s="81"/>
      <c r="E1635" s="81"/>
      <c r="F1635" s="81"/>
      <c r="G1635" s="163"/>
      <c r="H1635" s="306">
        <v>0</v>
      </c>
      <c r="J1635" s="160"/>
      <c r="K1635" s="328"/>
    </row>
    <row r="1636" spans="3:11">
      <c r="C1636" s="59" t="s">
        <v>1230</v>
      </c>
      <c r="D1636" s="70" t="s">
        <v>1231</v>
      </c>
      <c r="E1636" s="71"/>
      <c r="F1636" s="71"/>
      <c r="G1636" s="72"/>
      <c r="H1636" s="307">
        <f>H1635+H1633+H1630</f>
        <v>134210</v>
      </c>
      <c r="I1636" s="322"/>
      <c r="J1636" s="160"/>
      <c r="K1636" s="328"/>
    </row>
    <row r="1637" spans="3:11">
      <c r="C1637" s="59" t="s">
        <v>1232</v>
      </c>
      <c r="D1637" s="70" t="s">
        <v>1410</v>
      </c>
      <c r="E1637" s="71"/>
      <c r="F1637" s="72"/>
      <c r="G1637" s="96">
        <f>$M$7</f>
        <v>0.1</v>
      </c>
      <c r="H1637" s="65">
        <f>H1636*G1637</f>
        <v>13421</v>
      </c>
      <c r="I1637" s="322"/>
      <c r="J1637" s="160"/>
      <c r="K1637" s="328"/>
    </row>
    <row r="1638" spans="3:11">
      <c r="C1638" s="59" t="s">
        <v>1233</v>
      </c>
      <c r="D1638" s="70" t="s">
        <v>1234</v>
      </c>
      <c r="E1638" s="71"/>
      <c r="F1638" s="71"/>
      <c r="G1638" s="72"/>
      <c r="H1638" s="308">
        <f>SUM(H1636:H1637)</f>
        <v>147631</v>
      </c>
      <c r="I1638" s="322"/>
      <c r="J1638" s="160"/>
      <c r="K1638" s="328"/>
    </row>
    <row r="1639" spans="3:11">
      <c r="J1639" s="160"/>
      <c r="K1639" s="328"/>
    </row>
    <row r="1640" spans="3:11">
      <c r="C1640" s="371" t="s">
        <v>1938</v>
      </c>
      <c r="D1640" s="318"/>
      <c r="E1640" s="318"/>
      <c r="F1640" s="318"/>
      <c r="G1640" s="318"/>
      <c r="H1640" s="318"/>
      <c r="I1640" s="57">
        <f>ROUNDDOWN(H1655,-2)</f>
        <v>230100</v>
      </c>
      <c r="J1640" s="160"/>
      <c r="K1640" s="328"/>
    </row>
    <row r="1641" spans="3:11" ht="28.5">
      <c r="C1641" s="303" t="s">
        <v>1207</v>
      </c>
      <c r="D1641" s="303" t="s">
        <v>1208</v>
      </c>
      <c r="E1641" s="303" t="s">
        <v>1209</v>
      </c>
      <c r="F1641" s="303" t="s">
        <v>1210</v>
      </c>
      <c r="G1641" s="303" t="s">
        <v>1211</v>
      </c>
      <c r="H1641" s="303" t="s">
        <v>1212</v>
      </c>
      <c r="J1641" s="160"/>
      <c r="K1641" s="328"/>
    </row>
    <row r="1642" spans="3:11">
      <c r="C1642" s="73" t="s">
        <v>1213</v>
      </c>
      <c r="D1642" s="60" t="s">
        <v>1214</v>
      </c>
      <c r="E1642" s="74"/>
      <c r="F1642" s="74"/>
      <c r="G1642" s="74"/>
      <c r="H1642" s="74"/>
      <c r="J1642" s="160"/>
      <c r="K1642" s="328"/>
    </row>
    <row r="1643" spans="3:11">
      <c r="C1643" s="304">
        <v>1</v>
      </c>
      <c r="D1643" s="60" t="s">
        <v>5</v>
      </c>
      <c r="E1643" s="305" t="s">
        <v>6</v>
      </c>
      <c r="F1643" s="75">
        <v>4.8000000000000001E-2</v>
      </c>
      <c r="G1643" s="65">
        <f>VLOOKUP(D1643,upahbahan,3,FALSE)</f>
        <v>100000</v>
      </c>
      <c r="H1643" s="65">
        <f t="shared" ref="H1643:H1646" si="192">F1643*G1643</f>
        <v>4800</v>
      </c>
      <c r="J1643" s="160"/>
      <c r="K1643" s="328"/>
    </row>
    <row r="1644" spans="3:11">
      <c r="C1644" s="304">
        <v>2</v>
      </c>
      <c r="D1644" s="60" t="str">
        <f>D1627</f>
        <v>Tukang listrik</v>
      </c>
      <c r="E1644" s="305" t="s">
        <v>6</v>
      </c>
      <c r="F1644" s="75">
        <v>0.08</v>
      </c>
      <c r="G1644" s="65">
        <f>VLOOKUP(D1644,upahbahan,3,FALSE)</f>
        <v>145000</v>
      </c>
      <c r="H1644" s="65">
        <f t="shared" si="192"/>
        <v>11600</v>
      </c>
      <c r="J1644" s="160"/>
      <c r="K1644" s="328"/>
    </row>
    <row r="1645" spans="3:11">
      <c r="C1645" s="304">
        <v>3</v>
      </c>
      <c r="D1645" s="60" t="s">
        <v>18</v>
      </c>
      <c r="E1645" s="305" t="s">
        <v>6</v>
      </c>
      <c r="F1645" s="75">
        <v>8.0000000000000002E-3</v>
      </c>
      <c r="G1645" s="65">
        <f>VLOOKUP(D1645,upahbahan,3,FALSE)</f>
        <v>150000</v>
      </c>
      <c r="H1645" s="65">
        <f t="shared" si="192"/>
        <v>1200</v>
      </c>
      <c r="J1645" s="160"/>
      <c r="K1645" s="328"/>
    </row>
    <row r="1646" spans="3:11">
      <c r="C1646" s="304">
        <v>4</v>
      </c>
      <c r="D1646" s="60" t="s">
        <v>19</v>
      </c>
      <c r="E1646" s="305" t="s">
        <v>6</v>
      </c>
      <c r="F1646" s="75">
        <v>3.0000000000000001E-3</v>
      </c>
      <c r="G1646" s="65">
        <f>VLOOKUP(D1646,upahbahan,3,FALSE)</f>
        <v>145000</v>
      </c>
      <c r="H1646" s="65">
        <f t="shared" si="192"/>
        <v>435</v>
      </c>
      <c r="J1646" s="160"/>
      <c r="K1646" s="328"/>
    </row>
    <row r="1647" spans="3:11">
      <c r="C1647" s="84" t="s">
        <v>1220</v>
      </c>
      <c r="D1647" s="81"/>
      <c r="E1647" s="81"/>
      <c r="F1647" s="190"/>
      <c r="G1647" s="221"/>
      <c r="H1647" s="65">
        <f>SUM(H1643:H1646)</f>
        <v>18035</v>
      </c>
      <c r="I1647" s="222"/>
      <c r="J1647" s="160"/>
      <c r="K1647" s="328"/>
    </row>
    <row r="1648" spans="3:11">
      <c r="C1648" s="73" t="s">
        <v>1221</v>
      </c>
      <c r="D1648" s="60" t="s">
        <v>1222</v>
      </c>
      <c r="E1648" s="74"/>
      <c r="F1648" s="208"/>
      <c r="G1648" s="74"/>
      <c r="H1648" s="74"/>
      <c r="J1648" s="160"/>
      <c r="K1648" s="328"/>
    </row>
    <row r="1649" spans="3:11">
      <c r="C1649" s="368" t="s">
        <v>1215</v>
      </c>
      <c r="D1649" s="78" t="s">
        <v>880</v>
      </c>
      <c r="E1649" s="69" t="s">
        <v>114</v>
      </c>
      <c r="F1649" s="75">
        <v>1.2</v>
      </c>
      <c r="G1649" s="65">
        <f>VLOOKUP(D1649,upahbahan,3,FALSE)</f>
        <v>159300</v>
      </c>
      <c r="H1649" s="65">
        <f t="shared" ref="H1649" si="193">F1649*G1649</f>
        <v>191160</v>
      </c>
      <c r="J1649" s="160"/>
      <c r="K1649" s="328"/>
    </row>
    <row r="1650" spans="3:11">
      <c r="C1650" s="84" t="s">
        <v>1226</v>
      </c>
      <c r="D1650" s="81"/>
      <c r="E1650" s="81"/>
      <c r="F1650" s="81"/>
      <c r="G1650" s="163"/>
      <c r="H1650" s="65">
        <f>SUM(H1649:H1649)</f>
        <v>191160</v>
      </c>
      <c r="J1650" s="160"/>
      <c r="K1650" s="328"/>
    </row>
    <row r="1651" spans="3:11">
      <c r="C1651" s="73" t="s">
        <v>1227</v>
      </c>
      <c r="D1651" s="60" t="s">
        <v>1228</v>
      </c>
      <c r="E1651" s="74"/>
      <c r="F1651" s="74"/>
      <c r="G1651" s="74"/>
      <c r="H1651" s="74"/>
      <c r="J1651" s="160"/>
      <c r="K1651" s="328"/>
    </row>
    <row r="1652" spans="3:11">
      <c r="C1652" s="84" t="s">
        <v>1229</v>
      </c>
      <c r="D1652" s="81"/>
      <c r="E1652" s="81"/>
      <c r="F1652" s="81"/>
      <c r="G1652" s="163"/>
      <c r="H1652" s="306">
        <v>0</v>
      </c>
      <c r="J1652" s="160"/>
      <c r="K1652" s="328"/>
    </row>
    <row r="1653" spans="3:11">
      <c r="C1653" s="59" t="s">
        <v>1230</v>
      </c>
      <c r="D1653" s="70" t="s">
        <v>1231</v>
      </c>
      <c r="E1653" s="71"/>
      <c r="F1653" s="71"/>
      <c r="G1653" s="72"/>
      <c r="H1653" s="307">
        <f>H1652+H1650+H1647</f>
        <v>209195</v>
      </c>
      <c r="I1653" s="322"/>
      <c r="J1653" s="160"/>
      <c r="K1653" s="328"/>
    </row>
    <row r="1654" spans="3:11">
      <c r="C1654" s="59" t="s">
        <v>1232</v>
      </c>
      <c r="D1654" s="70" t="s">
        <v>1410</v>
      </c>
      <c r="E1654" s="71"/>
      <c r="F1654" s="72"/>
      <c r="G1654" s="96">
        <f>$M$7</f>
        <v>0.1</v>
      </c>
      <c r="H1654" s="65">
        <f>H1653*G1654</f>
        <v>20919.5</v>
      </c>
      <c r="I1654" s="322"/>
      <c r="J1654" s="160"/>
      <c r="K1654" s="328"/>
    </row>
    <row r="1655" spans="3:11">
      <c r="C1655" s="59" t="s">
        <v>1233</v>
      </c>
      <c r="D1655" s="70" t="s">
        <v>1234</v>
      </c>
      <c r="E1655" s="71"/>
      <c r="F1655" s="71"/>
      <c r="G1655" s="72"/>
      <c r="H1655" s="308">
        <f>SUM(H1653:H1654)</f>
        <v>230114.5</v>
      </c>
      <c r="I1655" s="322"/>
      <c r="J1655" s="160"/>
      <c r="K1655" s="328"/>
    </row>
    <row r="1656" spans="3:11">
      <c r="J1656" s="160"/>
      <c r="K1656" s="328"/>
    </row>
    <row r="1657" spans="3:11">
      <c r="C1657" s="371" t="s">
        <v>1939</v>
      </c>
      <c r="D1657" s="318"/>
      <c r="E1657" s="318"/>
      <c r="F1657" s="318"/>
      <c r="G1657" s="318"/>
      <c r="H1657" s="318"/>
      <c r="I1657" s="57">
        <f>ROUNDDOWN(H1672,-2)</f>
        <v>350800</v>
      </c>
      <c r="J1657" s="160"/>
      <c r="K1657" s="328"/>
    </row>
    <row r="1658" spans="3:11" ht="28.5">
      <c r="C1658" s="303" t="s">
        <v>1207</v>
      </c>
      <c r="D1658" s="303" t="s">
        <v>1208</v>
      </c>
      <c r="E1658" s="303" t="s">
        <v>1209</v>
      </c>
      <c r="F1658" s="303" t="s">
        <v>1210</v>
      </c>
      <c r="G1658" s="303" t="s">
        <v>1211</v>
      </c>
      <c r="H1658" s="303" t="s">
        <v>1212</v>
      </c>
      <c r="J1658" s="160"/>
      <c r="K1658" s="328"/>
    </row>
    <row r="1659" spans="3:11">
      <c r="C1659" s="73" t="s">
        <v>1213</v>
      </c>
      <c r="D1659" s="60" t="s">
        <v>1214</v>
      </c>
      <c r="E1659" s="74"/>
      <c r="F1659" s="74"/>
      <c r="G1659" s="74"/>
      <c r="H1659" s="74"/>
      <c r="J1659" s="160"/>
      <c r="K1659" s="328"/>
    </row>
    <row r="1660" spans="3:11">
      <c r="C1660" s="304">
        <v>1</v>
      </c>
      <c r="D1660" s="60" t="s">
        <v>5</v>
      </c>
      <c r="E1660" s="305" t="s">
        <v>6</v>
      </c>
      <c r="F1660" s="75">
        <v>0.06</v>
      </c>
      <c r="G1660" s="65">
        <f>VLOOKUP(D1660,upahbahan,3,FALSE)</f>
        <v>100000</v>
      </c>
      <c r="H1660" s="65">
        <f t="shared" ref="H1660:H1663" si="194">F1660*G1660</f>
        <v>6000</v>
      </c>
      <c r="J1660" s="160"/>
      <c r="K1660" s="328"/>
    </row>
    <row r="1661" spans="3:11">
      <c r="C1661" s="304">
        <v>2</v>
      </c>
      <c r="D1661" s="60" t="str">
        <f>D1644</f>
        <v>Tukang listrik</v>
      </c>
      <c r="E1661" s="305" t="s">
        <v>6</v>
      </c>
      <c r="F1661" s="75">
        <v>9.9000000000000005E-2</v>
      </c>
      <c r="G1661" s="65">
        <f>VLOOKUP(D1661,upahbahan,3,FALSE)</f>
        <v>145000</v>
      </c>
      <c r="H1661" s="65">
        <f t="shared" si="194"/>
        <v>14355</v>
      </c>
      <c r="J1661" s="160"/>
      <c r="K1661" s="328"/>
    </row>
    <row r="1662" spans="3:11">
      <c r="C1662" s="304">
        <v>3</v>
      </c>
      <c r="D1662" s="60" t="s">
        <v>18</v>
      </c>
      <c r="E1662" s="305" t="s">
        <v>6</v>
      </c>
      <c r="F1662" s="75">
        <v>0.01</v>
      </c>
      <c r="G1662" s="65">
        <f>VLOOKUP(D1662,upahbahan,3,FALSE)</f>
        <v>150000</v>
      </c>
      <c r="H1662" s="65">
        <f t="shared" si="194"/>
        <v>1500</v>
      </c>
      <c r="J1662" s="160"/>
      <c r="K1662" s="328"/>
    </row>
    <row r="1663" spans="3:11">
      <c r="C1663" s="304">
        <v>4</v>
      </c>
      <c r="D1663" s="60" t="s">
        <v>19</v>
      </c>
      <c r="E1663" s="305" t="s">
        <v>6</v>
      </c>
      <c r="F1663" s="75">
        <v>3.0000000000000001E-3</v>
      </c>
      <c r="G1663" s="65">
        <f>VLOOKUP(D1663,upahbahan,3,FALSE)</f>
        <v>145000</v>
      </c>
      <c r="H1663" s="65">
        <f t="shared" si="194"/>
        <v>435</v>
      </c>
      <c r="J1663" s="160"/>
      <c r="K1663" s="328"/>
    </row>
    <row r="1664" spans="3:11">
      <c r="C1664" s="84" t="s">
        <v>1220</v>
      </c>
      <c r="D1664" s="81"/>
      <c r="E1664" s="81"/>
      <c r="F1664" s="190"/>
      <c r="G1664" s="221"/>
      <c r="H1664" s="65">
        <f>SUM(H1660:H1663)</f>
        <v>22290</v>
      </c>
      <c r="I1664" s="222"/>
      <c r="J1664" s="160"/>
      <c r="K1664" s="328"/>
    </row>
    <row r="1665" spans="3:11">
      <c r="C1665" s="73" t="s">
        <v>1221</v>
      </c>
      <c r="D1665" s="60" t="s">
        <v>1222</v>
      </c>
      <c r="E1665" s="74"/>
      <c r="F1665" s="208"/>
      <c r="G1665" s="74"/>
      <c r="H1665" s="74"/>
      <c r="J1665" s="160"/>
      <c r="K1665" s="328"/>
    </row>
    <row r="1666" spans="3:11">
      <c r="C1666" s="368" t="s">
        <v>1215</v>
      </c>
      <c r="D1666" s="78" t="s">
        <v>884</v>
      </c>
      <c r="E1666" s="69" t="s">
        <v>114</v>
      </c>
      <c r="F1666" s="75">
        <v>1.2</v>
      </c>
      <c r="G1666" s="65">
        <f>VLOOKUP(D1666,upahbahan,3,FALSE)</f>
        <v>247200</v>
      </c>
      <c r="H1666" s="65">
        <f t="shared" ref="H1666" si="195">F1666*G1666</f>
        <v>296640</v>
      </c>
      <c r="J1666" s="160"/>
      <c r="K1666" s="328"/>
    </row>
    <row r="1667" spans="3:11">
      <c r="C1667" s="84" t="s">
        <v>1226</v>
      </c>
      <c r="D1667" s="81"/>
      <c r="E1667" s="81"/>
      <c r="F1667" s="81"/>
      <c r="G1667" s="163"/>
      <c r="H1667" s="65">
        <f>SUM(H1666:H1666)</f>
        <v>296640</v>
      </c>
      <c r="J1667" s="160"/>
      <c r="K1667" s="328"/>
    </row>
    <row r="1668" spans="3:11">
      <c r="C1668" s="73" t="s">
        <v>1227</v>
      </c>
      <c r="D1668" s="60" t="s">
        <v>1228</v>
      </c>
      <c r="E1668" s="74"/>
      <c r="F1668" s="74"/>
      <c r="G1668" s="74"/>
      <c r="H1668" s="74"/>
      <c r="J1668" s="160"/>
      <c r="K1668" s="328"/>
    </row>
    <row r="1669" spans="3:11">
      <c r="C1669" s="84" t="s">
        <v>1229</v>
      </c>
      <c r="D1669" s="81"/>
      <c r="E1669" s="81"/>
      <c r="F1669" s="81"/>
      <c r="G1669" s="163"/>
      <c r="H1669" s="306">
        <v>0</v>
      </c>
      <c r="J1669" s="160"/>
      <c r="K1669" s="328"/>
    </row>
    <row r="1670" spans="3:11">
      <c r="C1670" s="59" t="s">
        <v>1230</v>
      </c>
      <c r="D1670" s="70" t="s">
        <v>1231</v>
      </c>
      <c r="E1670" s="71"/>
      <c r="F1670" s="71"/>
      <c r="G1670" s="72"/>
      <c r="H1670" s="307">
        <f>H1669+H1667+H1664</f>
        <v>318930</v>
      </c>
      <c r="I1670" s="322"/>
      <c r="J1670" s="160"/>
      <c r="K1670" s="328"/>
    </row>
    <row r="1671" spans="3:11">
      <c r="C1671" s="59" t="s">
        <v>1232</v>
      </c>
      <c r="D1671" s="70" t="s">
        <v>1410</v>
      </c>
      <c r="E1671" s="71"/>
      <c r="F1671" s="72"/>
      <c r="G1671" s="96">
        <f>$M$7</f>
        <v>0.1</v>
      </c>
      <c r="H1671" s="65">
        <f>H1670*G1671</f>
        <v>31893</v>
      </c>
      <c r="I1671" s="322"/>
      <c r="J1671" s="160"/>
      <c r="K1671" s="328"/>
    </row>
    <row r="1672" spans="3:11">
      <c r="C1672" s="59" t="s">
        <v>1233</v>
      </c>
      <c r="D1672" s="70" t="s">
        <v>1234</v>
      </c>
      <c r="E1672" s="71"/>
      <c r="F1672" s="71"/>
      <c r="G1672" s="72"/>
      <c r="H1672" s="308">
        <f>SUM(H1670:H1671)</f>
        <v>350823</v>
      </c>
      <c r="I1672" s="322"/>
      <c r="J1672" s="160"/>
      <c r="K1672" s="328"/>
    </row>
    <row r="1673" spans="3:11">
      <c r="J1673" s="160"/>
      <c r="K1673" s="328"/>
    </row>
    <row r="1674" spans="3:11">
      <c r="C1674" s="371" t="s">
        <v>1940</v>
      </c>
      <c r="D1674" s="318"/>
      <c r="E1674" s="318"/>
      <c r="F1674" s="318"/>
      <c r="G1674" s="318"/>
      <c r="H1674" s="318"/>
      <c r="I1674" s="57">
        <f>ROUNDDOWN(H1689,-2)</f>
        <v>444800</v>
      </c>
      <c r="J1674" s="160"/>
      <c r="K1674" s="328"/>
    </row>
    <row r="1675" spans="3:11" ht="28.5">
      <c r="C1675" s="303" t="s">
        <v>1207</v>
      </c>
      <c r="D1675" s="303" t="s">
        <v>1208</v>
      </c>
      <c r="E1675" s="303" t="s">
        <v>1209</v>
      </c>
      <c r="F1675" s="303" t="s">
        <v>1210</v>
      </c>
      <c r="G1675" s="303" t="s">
        <v>1211</v>
      </c>
      <c r="H1675" s="303" t="s">
        <v>1212</v>
      </c>
      <c r="J1675" s="160"/>
      <c r="K1675" s="328"/>
    </row>
    <row r="1676" spans="3:11">
      <c r="C1676" s="73" t="s">
        <v>1213</v>
      </c>
      <c r="D1676" s="60" t="s">
        <v>1214</v>
      </c>
      <c r="E1676" s="74"/>
      <c r="F1676" s="74"/>
      <c r="G1676" s="74"/>
      <c r="H1676" s="74"/>
      <c r="J1676" s="160"/>
      <c r="K1676" s="328"/>
    </row>
    <row r="1677" spans="3:11">
      <c r="C1677" s="304">
        <v>1</v>
      </c>
      <c r="D1677" s="60" t="s">
        <v>5</v>
      </c>
      <c r="E1677" s="305" t="s">
        <v>6</v>
      </c>
      <c r="F1677" s="184">
        <v>7.0999999999999994E-2</v>
      </c>
      <c r="G1677" s="65">
        <f>VLOOKUP(D1677,upahbahan,3,FALSE)</f>
        <v>100000</v>
      </c>
      <c r="H1677" s="65">
        <f t="shared" ref="H1677:H1680" si="196">F1677*G1677</f>
        <v>7099.9999999999991</v>
      </c>
      <c r="J1677" s="160"/>
      <c r="K1677" s="328"/>
    </row>
    <row r="1678" spans="3:11">
      <c r="C1678" s="304">
        <v>2</v>
      </c>
      <c r="D1678" s="60" t="str">
        <f>D1661</f>
        <v>Tukang listrik</v>
      </c>
      <c r="E1678" s="305" t="s">
        <v>6</v>
      </c>
      <c r="F1678" s="184">
        <v>0.11899999999999999</v>
      </c>
      <c r="G1678" s="65">
        <f>VLOOKUP(D1678,upahbahan,3,FALSE)</f>
        <v>145000</v>
      </c>
      <c r="H1678" s="65">
        <f t="shared" si="196"/>
        <v>17255</v>
      </c>
      <c r="J1678" s="160"/>
      <c r="K1678" s="328"/>
    </row>
    <row r="1679" spans="3:11">
      <c r="C1679" s="304">
        <v>3</v>
      </c>
      <c r="D1679" s="60" t="s">
        <v>18</v>
      </c>
      <c r="E1679" s="305" t="s">
        <v>6</v>
      </c>
      <c r="F1679" s="184">
        <v>1.2E-2</v>
      </c>
      <c r="G1679" s="65">
        <f>VLOOKUP(D1679,upahbahan,3,FALSE)</f>
        <v>150000</v>
      </c>
      <c r="H1679" s="65">
        <f t="shared" si="196"/>
        <v>1800</v>
      </c>
      <c r="J1679" s="160"/>
      <c r="K1679" s="328"/>
    </row>
    <row r="1680" spans="3:11">
      <c r="C1680" s="304">
        <v>4</v>
      </c>
      <c r="D1680" s="60" t="s">
        <v>19</v>
      </c>
      <c r="E1680" s="305" t="s">
        <v>6</v>
      </c>
      <c r="F1680" s="184">
        <v>4.0000000000000001E-3</v>
      </c>
      <c r="G1680" s="65">
        <f>VLOOKUP(D1680,upahbahan,3,FALSE)</f>
        <v>145000</v>
      </c>
      <c r="H1680" s="65">
        <f t="shared" si="196"/>
        <v>580</v>
      </c>
      <c r="J1680" s="160"/>
      <c r="K1680" s="328"/>
    </row>
    <row r="1681" spans="3:11">
      <c r="C1681" s="84" t="s">
        <v>1220</v>
      </c>
      <c r="D1681" s="81"/>
      <c r="E1681" s="81"/>
      <c r="F1681" s="190"/>
      <c r="G1681" s="221"/>
      <c r="H1681" s="65">
        <f>SUM(H1677:H1680)</f>
        <v>26735</v>
      </c>
      <c r="I1681" s="222"/>
      <c r="J1681" s="160"/>
      <c r="K1681" s="328"/>
    </row>
    <row r="1682" spans="3:11">
      <c r="C1682" s="73" t="s">
        <v>1221</v>
      </c>
      <c r="D1682" s="60" t="s">
        <v>1222</v>
      </c>
      <c r="E1682" s="74"/>
      <c r="F1682" s="208"/>
      <c r="G1682" s="74"/>
      <c r="H1682" s="74"/>
      <c r="J1682" s="160"/>
      <c r="K1682" s="328"/>
    </row>
    <row r="1683" spans="3:11">
      <c r="C1683" s="368" t="s">
        <v>1215</v>
      </c>
      <c r="D1683" s="78" t="s">
        <v>886</v>
      </c>
      <c r="E1683" s="69" t="s">
        <v>114</v>
      </c>
      <c r="F1683" s="75">
        <v>1.2</v>
      </c>
      <c r="G1683" s="65">
        <f>VLOOKUP(D1683,upahbahan,3,FALSE)</f>
        <v>314750</v>
      </c>
      <c r="H1683" s="65">
        <f t="shared" ref="H1683" si="197">F1683*G1683</f>
        <v>377700</v>
      </c>
      <c r="J1683" s="160"/>
      <c r="K1683" s="328"/>
    </row>
    <row r="1684" spans="3:11">
      <c r="C1684" s="84" t="s">
        <v>1226</v>
      </c>
      <c r="D1684" s="81"/>
      <c r="E1684" s="81"/>
      <c r="F1684" s="81"/>
      <c r="G1684" s="163"/>
      <c r="H1684" s="65">
        <f>SUM(H1683:H1683)</f>
        <v>377700</v>
      </c>
      <c r="J1684" s="160"/>
      <c r="K1684" s="328"/>
    </row>
    <row r="1685" spans="3:11">
      <c r="C1685" s="73" t="s">
        <v>1227</v>
      </c>
      <c r="D1685" s="60" t="s">
        <v>1228</v>
      </c>
      <c r="E1685" s="74"/>
      <c r="F1685" s="74"/>
      <c r="G1685" s="74"/>
      <c r="H1685" s="74"/>
      <c r="J1685" s="160"/>
      <c r="K1685" s="328"/>
    </row>
    <row r="1686" spans="3:11">
      <c r="C1686" s="84" t="s">
        <v>1229</v>
      </c>
      <c r="D1686" s="81"/>
      <c r="E1686" s="81"/>
      <c r="F1686" s="81"/>
      <c r="G1686" s="163"/>
      <c r="H1686" s="306">
        <v>0</v>
      </c>
      <c r="J1686" s="160"/>
      <c r="K1686" s="328"/>
    </row>
    <row r="1687" spans="3:11">
      <c r="C1687" s="59" t="s">
        <v>1230</v>
      </c>
      <c r="D1687" s="70" t="s">
        <v>1231</v>
      </c>
      <c r="E1687" s="71"/>
      <c r="F1687" s="71"/>
      <c r="G1687" s="72"/>
      <c r="H1687" s="307">
        <f>H1686+H1684+H1681</f>
        <v>404435</v>
      </c>
      <c r="I1687" s="322"/>
      <c r="J1687" s="160"/>
      <c r="K1687" s="328"/>
    </row>
    <row r="1688" spans="3:11">
      <c r="C1688" s="59" t="s">
        <v>1232</v>
      </c>
      <c r="D1688" s="70" t="s">
        <v>1410</v>
      </c>
      <c r="E1688" s="71"/>
      <c r="F1688" s="72"/>
      <c r="G1688" s="96">
        <f>$M$7</f>
        <v>0.1</v>
      </c>
      <c r="H1688" s="65">
        <f>H1687*G1688</f>
        <v>40443.5</v>
      </c>
      <c r="I1688" s="322"/>
      <c r="J1688" s="160"/>
      <c r="K1688" s="328"/>
    </row>
    <row r="1689" spans="3:11">
      <c r="C1689" s="59" t="s">
        <v>1233</v>
      </c>
      <c r="D1689" s="70" t="s">
        <v>1234</v>
      </c>
      <c r="E1689" s="71"/>
      <c r="F1689" s="71"/>
      <c r="G1689" s="72"/>
      <c r="H1689" s="308">
        <f>SUM(H1687:H1688)</f>
        <v>444878.5</v>
      </c>
      <c r="I1689" s="322"/>
      <c r="J1689" s="160"/>
      <c r="K1689" s="328"/>
    </row>
    <row r="1690" spans="3:11">
      <c r="J1690" s="160"/>
      <c r="K1690" s="328"/>
    </row>
    <row r="1691" spans="3:11">
      <c r="C1691" s="371" t="s">
        <v>1941</v>
      </c>
      <c r="D1691" s="318"/>
      <c r="E1691" s="318"/>
      <c r="F1691" s="318"/>
      <c r="G1691" s="318"/>
      <c r="H1691" s="318"/>
      <c r="I1691" s="57">
        <f>ROUNDDOWN(H1706,-2)</f>
        <v>587500</v>
      </c>
      <c r="J1691" s="160"/>
      <c r="K1691" s="328"/>
    </row>
    <row r="1692" spans="3:11" ht="28.5">
      <c r="C1692" s="303" t="s">
        <v>1207</v>
      </c>
      <c r="D1692" s="303" t="s">
        <v>1208</v>
      </c>
      <c r="E1692" s="303" t="s">
        <v>1209</v>
      </c>
      <c r="F1692" s="303" t="s">
        <v>1210</v>
      </c>
      <c r="G1692" s="303" t="s">
        <v>1211</v>
      </c>
      <c r="H1692" s="303" t="s">
        <v>1212</v>
      </c>
      <c r="J1692" s="160"/>
      <c r="K1692" s="328"/>
    </row>
    <row r="1693" spans="3:11">
      <c r="C1693" s="73" t="s">
        <v>1213</v>
      </c>
      <c r="D1693" s="60" t="s">
        <v>1214</v>
      </c>
      <c r="E1693" s="74"/>
      <c r="F1693" s="74"/>
      <c r="G1693" s="74"/>
      <c r="H1693" s="74"/>
      <c r="J1693" s="160"/>
      <c r="K1693" s="328"/>
    </row>
    <row r="1694" spans="3:11">
      <c r="C1694" s="304">
        <v>1</v>
      </c>
      <c r="D1694" s="60" t="s">
        <v>5</v>
      </c>
      <c r="E1694" s="305" t="s">
        <v>6</v>
      </c>
      <c r="F1694" s="184">
        <v>0.107</v>
      </c>
      <c r="G1694" s="65">
        <f>VLOOKUP(D1694,upahbahan,3,FALSE)</f>
        <v>100000</v>
      </c>
      <c r="H1694" s="65">
        <f t="shared" ref="H1694:H1697" si="198">F1694*G1694</f>
        <v>10700</v>
      </c>
      <c r="J1694" s="160"/>
      <c r="K1694" s="328"/>
    </row>
    <row r="1695" spans="3:11">
      <c r="C1695" s="304">
        <v>2</v>
      </c>
      <c r="D1695" s="60" t="str">
        <f>D1678</f>
        <v>Tukang listrik</v>
      </c>
      <c r="E1695" s="305" t="s">
        <v>6</v>
      </c>
      <c r="F1695" s="184">
        <v>0.17899999999999999</v>
      </c>
      <c r="G1695" s="65">
        <f>VLOOKUP(D1695,upahbahan,3,FALSE)</f>
        <v>145000</v>
      </c>
      <c r="H1695" s="65">
        <f t="shared" si="198"/>
        <v>25955</v>
      </c>
      <c r="J1695" s="160"/>
      <c r="K1695" s="328"/>
    </row>
    <row r="1696" spans="3:11">
      <c r="C1696" s="304">
        <v>3</v>
      </c>
      <c r="D1696" s="60" t="s">
        <v>18</v>
      </c>
      <c r="E1696" s="305" t="s">
        <v>6</v>
      </c>
      <c r="F1696" s="184">
        <v>1.7999999999999999E-2</v>
      </c>
      <c r="G1696" s="65">
        <f>VLOOKUP(D1696,upahbahan,3,FALSE)</f>
        <v>150000</v>
      </c>
      <c r="H1696" s="65">
        <f t="shared" si="198"/>
        <v>2700</v>
      </c>
      <c r="J1696" s="160"/>
      <c r="K1696" s="328"/>
    </row>
    <row r="1697" spans="3:11">
      <c r="C1697" s="304">
        <v>4</v>
      </c>
      <c r="D1697" s="60" t="s">
        <v>19</v>
      </c>
      <c r="E1697" s="305" t="s">
        <v>6</v>
      </c>
      <c r="F1697" s="184">
        <v>6.0000000000000001E-3</v>
      </c>
      <c r="G1697" s="65">
        <f>VLOOKUP(D1697,upahbahan,3,FALSE)</f>
        <v>145000</v>
      </c>
      <c r="H1697" s="65">
        <f t="shared" si="198"/>
        <v>870</v>
      </c>
      <c r="J1697" s="160"/>
      <c r="K1697" s="328"/>
    </row>
    <row r="1698" spans="3:11">
      <c r="C1698" s="84" t="s">
        <v>1220</v>
      </c>
      <c r="D1698" s="81"/>
      <c r="E1698" s="81"/>
      <c r="F1698" s="190"/>
      <c r="G1698" s="221"/>
      <c r="H1698" s="65">
        <f>SUM(H1694:H1697)</f>
        <v>40225</v>
      </c>
      <c r="I1698" s="222"/>
      <c r="J1698" s="160"/>
      <c r="K1698" s="328"/>
    </row>
    <row r="1699" spans="3:11">
      <c r="C1699" s="73" t="s">
        <v>1221</v>
      </c>
      <c r="D1699" s="60" t="s">
        <v>1222</v>
      </c>
      <c r="E1699" s="74"/>
      <c r="F1699" s="208"/>
      <c r="G1699" s="74"/>
      <c r="H1699" s="74"/>
      <c r="J1699" s="160"/>
      <c r="K1699" s="328"/>
    </row>
    <row r="1700" spans="3:11">
      <c r="C1700" s="368" t="s">
        <v>1215</v>
      </c>
      <c r="D1700" s="78" t="s">
        <v>888</v>
      </c>
      <c r="E1700" s="69" t="s">
        <v>114</v>
      </c>
      <c r="F1700" s="75">
        <v>1.2</v>
      </c>
      <c r="G1700" s="65">
        <f>VLOOKUP(D1700,upahbahan,3,FALSE)</f>
        <v>411600</v>
      </c>
      <c r="H1700" s="65">
        <f t="shared" ref="H1700" si="199">F1700*G1700</f>
        <v>493920</v>
      </c>
      <c r="J1700" s="160"/>
      <c r="K1700" s="328"/>
    </row>
    <row r="1701" spans="3:11">
      <c r="C1701" s="84" t="s">
        <v>1226</v>
      </c>
      <c r="D1701" s="81"/>
      <c r="E1701" s="81"/>
      <c r="F1701" s="81"/>
      <c r="G1701" s="163"/>
      <c r="H1701" s="65">
        <f>SUM(H1700:H1700)</f>
        <v>493920</v>
      </c>
      <c r="J1701" s="160"/>
      <c r="K1701" s="328"/>
    </row>
    <row r="1702" spans="3:11">
      <c r="C1702" s="73" t="s">
        <v>1227</v>
      </c>
      <c r="D1702" s="60" t="s">
        <v>1228</v>
      </c>
      <c r="E1702" s="74"/>
      <c r="F1702" s="74"/>
      <c r="G1702" s="74"/>
      <c r="H1702" s="74"/>
      <c r="J1702" s="160"/>
      <c r="K1702" s="328"/>
    </row>
    <row r="1703" spans="3:11">
      <c r="C1703" s="84" t="s">
        <v>1229</v>
      </c>
      <c r="D1703" s="81"/>
      <c r="E1703" s="81"/>
      <c r="F1703" s="81"/>
      <c r="G1703" s="163"/>
      <c r="H1703" s="306">
        <v>0</v>
      </c>
      <c r="J1703" s="160"/>
      <c r="K1703" s="328"/>
    </row>
    <row r="1704" spans="3:11">
      <c r="C1704" s="59" t="s">
        <v>1230</v>
      </c>
      <c r="D1704" s="70" t="s">
        <v>1231</v>
      </c>
      <c r="E1704" s="71"/>
      <c r="F1704" s="71"/>
      <c r="G1704" s="72"/>
      <c r="H1704" s="307">
        <f>H1703+H1701+H1698</f>
        <v>534145</v>
      </c>
      <c r="I1704" s="322"/>
      <c r="J1704" s="160"/>
      <c r="K1704" s="328"/>
    </row>
    <row r="1705" spans="3:11">
      <c r="C1705" s="59" t="s">
        <v>1232</v>
      </c>
      <c r="D1705" s="70" t="s">
        <v>1410</v>
      </c>
      <c r="E1705" s="71"/>
      <c r="F1705" s="72"/>
      <c r="G1705" s="96">
        <f>$M$7</f>
        <v>0.1</v>
      </c>
      <c r="H1705" s="65">
        <f>H1704*G1705</f>
        <v>53414.5</v>
      </c>
      <c r="I1705" s="322"/>
      <c r="J1705" s="160"/>
      <c r="K1705" s="328"/>
    </row>
    <row r="1706" spans="3:11">
      <c r="C1706" s="59" t="s">
        <v>1233</v>
      </c>
      <c r="D1706" s="70" t="s">
        <v>1234</v>
      </c>
      <c r="E1706" s="71"/>
      <c r="F1706" s="71"/>
      <c r="G1706" s="72"/>
      <c r="H1706" s="308">
        <f>SUM(H1704:H1705)</f>
        <v>587559.5</v>
      </c>
      <c r="I1706" s="322"/>
      <c r="J1706" s="160"/>
      <c r="K1706" s="328"/>
    </row>
    <row r="1707" spans="3:11">
      <c r="J1707" s="160"/>
      <c r="K1707" s="328"/>
    </row>
    <row r="1708" spans="3:11">
      <c r="C1708" s="371" t="s">
        <v>1942</v>
      </c>
      <c r="D1708" s="318"/>
      <c r="E1708" s="318"/>
      <c r="F1708" s="318"/>
      <c r="G1708" s="318"/>
      <c r="H1708" s="318"/>
      <c r="I1708" s="57">
        <f>ROUNDDOWN(H1723,-2)</f>
        <v>818400</v>
      </c>
      <c r="J1708" s="160"/>
      <c r="K1708" s="328"/>
    </row>
    <row r="1709" spans="3:11" ht="28.5">
      <c r="C1709" s="303" t="s">
        <v>1207</v>
      </c>
      <c r="D1709" s="303" t="s">
        <v>1208</v>
      </c>
      <c r="E1709" s="303" t="s">
        <v>1209</v>
      </c>
      <c r="F1709" s="303" t="s">
        <v>1210</v>
      </c>
      <c r="G1709" s="303" t="s">
        <v>1211</v>
      </c>
      <c r="H1709" s="303" t="s">
        <v>1212</v>
      </c>
      <c r="J1709" s="160"/>
      <c r="K1709" s="328"/>
    </row>
    <row r="1710" spans="3:11">
      <c r="C1710" s="73" t="s">
        <v>1213</v>
      </c>
      <c r="D1710" s="60" t="s">
        <v>1214</v>
      </c>
      <c r="E1710" s="74"/>
      <c r="F1710" s="74"/>
      <c r="G1710" s="74"/>
      <c r="H1710" s="74"/>
      <c r="J1710" s="160"/>
      <c r="K1710" s="328"/>
    </row>
    <row r="1711" spans="3:11">
      <c r="C1711" s="304">
        <v>1</v>
      </c>
      <c r="D1711" s="60" t="s">
        <v>5</v>
      </c>
      <c r="E1711" s="305" t="s">
        <v>6</v>
      </c>
      <c r="F1711" s="184">
        <v>0.14299999999999999</v>
      </c>
      <c r="G1711" s="65">
        <f>VLOOKUP(D1711,upahbahan,3,FALSE)</f>
        <v>100000</v>
      </c>
      <c r="H1711" s="65">
        <f t="shared" ref="H1711:H1714" si="200">F1711*G1711</f>
        <v>14299.999999999998</v>
      </c>
      <c r="J1711" s="160"/>
      <c r="K1711" s="328"/>
    </row>
    <row r="1712" spans="3:11">
      <c r="C1712" s="304">
        <v>2</v>
      </c>
      <c r="D1712" s="60" t="str">
        <f>D1695</f>
        <v>Tukang listrik</v>
      </c>
      <c r="E1712" s="305" t="s">
        <v>6</v>
      </c>
      <c r="F1712" s="184">
        <v>0.23899999999999999</v>
      </c>
      <c r="G1712" s="65">
        <f>VLOOKUP(D1712,upahbahan,3,FALSE)</f>
        <v>145000</v>
      </c>
      <c r="H1712" s="65">
        <f t="shared" si="200"/>
        <v>34655</v>
      </c>
      <c r="J1712" s="160"/>
      <c r="K1712" s="328"/>
    </row>
    <row r="1713" spans="3:11">
      <c r="C1713" s="304">
        <v>3</v>
      </c>
      <c r="D1713" s="60" t="s">
        <v>18</v>
      </c>
      <c r="E1713" s="305" t="s">
        <v>6</v>
      </c>
      <c r="F1713" s="184">
        <v>2.4E-2</v>
      </c>
      <c r="G1713" s="65">
        <f>VLOOKUP(D1713,upahbahan,3,FALSE)</f>
        <v>150000</v>
      </c>
      <c r="H1713" s="65">
        <f t="shared" si="200"/>
        <v>3600</v>
      </c>
      <c r="J1713" s="160"/>
      <c r="K1713" s="328"/>
    </row>
    <row r="1714" spans="3:11">
      <c r="C1714" s="304">
        <v>4</v>
      </c>
      <c r="D1714" s="60" t="s">
        <v>19</v>
      </c>
      <c r="E1714" s="305" t="s">
        <v>6</v>
      </c>
      <c r="F1714" s="184">
        <v>8.0000000000000002E-3</v>
      </c>
      <c r="G1714" s="65">
        <f>VLOOKUP(D1714,upahbahan,3,FALSE)</f>
        <v>145000</v>
      </c>
      <c r="H1714" s="65">
        <f t="shared" si="200"/>
        <v>1160</v>
      </c>
      <c r="J1714" s="160"/>
      <c r="K1714" s="328"/>
    </row>
    <row r="1715" spans="3:11">
      <c r="C1715" s="84" t="s">
        <v>1220</v>
      </c>
      <c r="D1715" s="81"/>
      <c r="E1715" s="81"/>
      <c r="F1715" s="190"/>
      <c r="G1715" s="221"/>
      <c r="H1715" s="65">
        <f>SUM(H1711:H1714)</f>
        <v>53715</v>
      </c>
      <c r="I1715" s="222"/>
      <c r="J1715" s="160"/>
      <c r="K1715" s="328"/>
    </row>
    <row r="1716" spans="3:11">
      <c r="C1716" s="73" t="s">
        <v>1221</v>
      </c>
      <c r="D1716" s="60" t="s">
        <v>1222</v>
      </c>
      <c r="E1716" s="74"/>
      <c r="F1716" s="208"/>
      <c r="G1716" s="74"/>
      <c r="H1716" s="74"/>
      <c r="J1716" s="160"/>
      <c r="K1716" s="328"/>
    </row>
    <row r="1717" spans="3:11">
      <c r="C1717" s="368" t="s">
        <v>1215</v>
      </c>
      <c r="D1717" s="78" t="s">
        <v>890</v>
      </c>
      <c r="E1717" s="69" t="s">
        <v>114</v>
      </c>
      <c r="F1717" s="75">
        <v>1.2</v>
      </c>
      <c r="G1717" s="65">
        <f>VLOOKUP(D1717,upahbahan,3,FALSE)</f>
        <v>575250</v>
      </c>
      <c r="H1717" s="65">
        <f t="shared" ref="H1717" si="201">F1717*G1717</f>
        <v>690300</v>
      </c>
      <c r="J1717" s="160"/>
      <c r="K1717" s="328"/>
    </row>
    <row r="1718" spans="3:11">
      <c r="C1718" s="84" t="s">
        <v>1226</v>
      </c>
      <c r="D1718" s="81"/>
      <c r="E1718" s="81"/>
      <c r="F1718" s="81"/>
      <c r="G1718" s="163"/>
      <c r="H1718" s="65">
        <f>SUM(H1717:H1717)</f>
        <v>690300</v>
      </c>
      <c r="J1718" s="160"/>
      <c r="K1718" s="328"/>
    </row>
    <row r="1719" spans="3:11">
      <c r="C1719" s="73" t="s">
        <v>1227</v>
      </c>
      <c r="D1719" s="60" t="s">
        <v>1228</v>
      </c>
      <c r="E1719" s="74"/>
      <c r="F1719" s="74"/>
      <c r="G1719" s="74"/>
      <c r="H1719" s="74"/>
      <c r="J1719" s="160"/>
      <c r="K1719" s="328"/>
    </row>
    <row r="1720" spans="3:11">
      <c r="C1720" s="84" t="s">
        <v>1229</v>
      </c>
      <c r="D1720" s="81"/>
      <c r="E1720" s="81"/>
      <c r="F1720" s="81"/>
      <c r="G1720" s="163"/>
      <c r="H1720" s="306">
        <v>0</v>
      </c>
      <c r="J1720" s="160"/>
      <c r="K1720" s="328"/>
    </row>
    <row r="1721" spans="3:11">
      <c r="C1721" s="59" t="s">
        <v>1230</v>
      </c>
      <c r="D1721" s="70" t="s">
        <v>1231</v>
      </c>
      <c r="E1721" s="71"/>
      <c r="F1721" s="71"/>
      <c r="G1721" s="72"/>
      <c r="H1721" s="307">
        <f>H1720+H1718+H1715</f>
        <v>744015</v>
      </c>
      <c r="I1721" s="322"/>
      <c r="J1721" s="160"/>
      <c r="K1721" s="328"/>
    </row>
    <row r="1722" spans="3:11">
      <c r="C1722" s="59" t="s">
        <v>1232</v>
      </c>
      <c r="D1722" s="70" t="s">
        <v>1410</v>
      </c>
      <c r="E1722" s="71"/>
      <c r="F1722" s="72"/>
      <c r="G1722" s="96">
        <f>$M$7</f>
        <v>0.1</v>
      </c>
      <c r="H1722" s="65">
        <f>H1721*G1722</f>
        <v>74401.5</v>
      </c>
      <c r="I1722" s="322"/>
      <c r="J1722" s="160"/>
      <c r="K1722" s="328"/>
    </row>
    <row r="1723" spans="3:11">
      <c r="C1723" s="59" t="s">
        <v>1233</v>
      </c>
      <c r="D1723" s="70" t="s">
        <v>1234</v>
      </c>
      <c r="E1723" s="71"/>
      <c r="F1723" s="71"/>
      <c r="G1723" s="72"/>
      <c r="H1723" s="308">
        <f>SUM(H1721:H1722)</f>
        <v>818416.5</v>
      </c>
      <c r="I1723" s="322"/>
      <c r="J1723" s="160"/>
      <c r="K1723" s="328"/>
    </row>
    <row r="1724" spans="3:11">
      <c r="J1724" s="160"/>
      <c r="K1724" s="328"/>
    </row>
    <row r="1725" spans="3:11">
      <c r="C1725" s="371" t="s">
        <v>1943</v>
      </c>
      <c r="D1725" s="318"/>
      <c r="E1725" s="318"/>
      <c r="F1725" s="318"/>
      <c r="G1725" s="318"/>
      <c r="H1725" s="318"/>
      <c r="I1725" s="57">
        <f>ROUNDDOWN(H1740,-2)</f>
        <v>1040800</v>
      </c>
      <c r="J1725" s="160"/>
      <c r="K1725" s="328"/>
    </row>
    <row r="1726" spans="3:11" ht="28.5">
      <c r="C1726" s="303" t="s">
        <v>1207</v>
      </c>
      <c r="D1726" s="303" t="s">
        <v>1208</v>
      </c>
      <c r="E1726" s="303" t="s">
        <v>1209</v>
      </c>
      <c r="F1726" s="303" t="s">
        <v>1210</v>
      </c>
      <c r="G1726" s="303" t="s">
        <v>1211</v>
      </c>
      <c r="H1726" s="303" t="s">
        <v>1212</v>
      </c>
      <c r="J1726" s="160"/>
      <c r="K1726" s="328"/>
    </row>
    <row r="1727" spans="3:11">
      <c r="C1727" s="73" t="s">
        <v>1213</v>
      </c>
      <c r="D1727" s="60" t="s">
        <v>1214</v>
      </c>
      <c r="E1727" s="74"/>
      <c r="F1727" s="74"/>
      <c r="G1727" s="74"/>
      <c r="H1727" s="74"/>
      <c r="J1727" s="160"/>
      <c r="K1727" s="328"/>
    </row>
    <row r="1728" spans="3:11">
      <c r="C1728" s="304">
        <v>1</v>
      </c>
      <c r="D1728" s="60" t="s">
        <v>5</v>
      </c>
      <c r="E1728" s="305" t="s">
        <v>6</v>
      </c>
      <c r="F1728" s="184">
        <v>0.14299999999999999</v>
      </c>
      <c r="G1728" s="65">
        <f>VLOOKUP(D1728,upahbahan,3,FALSE)</f>
        <v>100000</v>
      </c>
      <c r="H1728" s="65">
        <f t="shared" ref="H1728:H1731" si="202">F1728*G1728</f>
        <v>14299.999999999998</v>
      </c>
      <c r="J1728" s="160"/>
      <c r="K1728" s="328"/>
    </row>
    <row r="1729" spans="3:11">
      <c r="C1729" s="304">
        <v>2</v>
      </c>
      <c r="D1729" s="60" t="str">
        <f>D1712</f>
        <v>Tukang listrik</v>
      </c>
      <c r="E1729" s="305" t="s">
        <v>6</v>
      </c>
      <c r="F1729" s="184">
        <v>0.23899999999999999</v>
      </c>
      <c r="G1729" s="65">
        <f>VLOOKUP(D1729,upahbahan,3,FALSE)</f>
        <v>145000</v>
      </c>
      <c r="H1729" s="65">
        <f t="shared" si="202"/>
        <v>34655</v>
      </c>
      <c r="J1729" s="160"/>
      <c r="K1729" s="328"/>
    </row>
    <row r="1730" spans="3:11">
      <c r="C1730" s="304">
        <v>3</v>
      </c>
      <c r="D1730" s="60" t="s">
        <v>18</v>
      </c>
      <c r="E1730" s="305" t="s">
        <v>6</v>
      </c>
      <c r="F1730" s="184">
        <v>2.4E-2</v>
      </c>
      <c r="G1730" s="65">
        <f>VLOOKUP(D1730,upahbahan,3,FALSE)</f>
        <v>150000</v>
      </c>
      <c r="H1730" s="65">
        <f t="shared" si="202"/>
        <v>3600</v>
      </c>
      <c r="J1730" s="160"/>
      <c r="K1730" s="328"/>
    </row>
    <row r="1731" spans="3:11">
      <c r="C1731" s="304">
        <v>4</v>
      </c>
      <c r="D1731" s="60" t="s">
        <v>19</v>
      </c>
      <c r="E1731" s="305" t="s">
        <v>6</v>
      </c>
      <c r="F1731" s="184">
        <v>8.0000000000000002E-3</v>
      </c>
      <c r="G1731" s="65">
        <f>VLOOKUP(D1731,upahbahan,3,FALSE)</f>
        <v>145000</v>
      </c>
      <c r="H1731" s="65">
        <f t="shared" si="202"/>
        <v>1160</v>
      </c>
      <c r="J1731" s="160"/>
      <c r="K1731" s="328"/>
    </row>
    <row r="1732" spans="3:11">
      <c r="C1732" s="84" t="s">
        <v>1220</v>
      </c>
      <c r="D1732" s="81"/>
      <c r="E1732" s="81"/>
      <c r="F1732" s="190"/>
      <c r="G1732" s="221"/>
      <c r="H1732" s="65">
        <f>SUM(H1728:H1731)</f>
        <v>53715</v>
      </c>
      <c r="I1732" s="222"/>
      <c r="J1732" s="160"/>
      <c r="K1732" s="328"/>
    </row>
    <row r="1733" spans="3:11">
      <c r="C1733" s="73" t="s">
        <v>1221</v>
      </c>
      <c r="D1733" s="60" t="s">
        <v>1222</v>
      </c>
      <c r="E1733" s="74"/>
      <c r="F1733" s="208"/>
      <c r="G1733" s="74"/>
      <c r="H1733" s="74"/>
      <c r="J1733" s="160"/>
      <c r="K1733" s="328"/>
    </row>
    <row r="1734" spans="3:11">
      <c r="C1734" s="368" t="s">
        <v>1215</v>
      </c>
      <c r="D1734" s="78" t="s">
        <v>891</v>
      </c>
      <c r="E1734" s="69" t="s">
        <v>114</v>
      </c>
      <c r="F1734" s="75">
        <v>1.2</v>
      </c>
      <c r="G1734" s="65">
        <f>VLOOKUP(D1734,upahbahan,3,FALSE)</f>
        <v>743750</v>
      </c>
      <c r="H1734" s="65">
        <f t="shared" ref="H1734" si="203">F1734*G1734</f>
        <v>892500</v>
      </c>
      <c r="J1734" s="160"/>
      <c r="K1734" s="328"/>
    </row>
    <row r="1735" spans="3:11">
      <c r="C1735" s="84" t="s">
        <v>1226</v>
      </c>
      <c r="D1735" s="81"/>
      <c r="E1735" s="81"/>
      <c r="F1735" s="81"/>
      <c r="G1735" s="163"/>
      <c r="H1735" s="65">
        <f>SUM(H1734:H1734)</f>
        <v>892500</v>
      </c>
      <c r="J1735" s="160"/>
      <c r="K1735" s="328"/>
    </row>
    <row r="1736" spans="3:11">
      <c r="C1736" s="73" t="s">
        <v>1227</v>
      </c>
      <c r="D1736" s="60" t="s">
        <v>1228</v>
      </c>
      <c r="E1736" s="74"/>
      <c r="F1736" s="74"/>
      <c r="G1736" s="74"/>
      <c r="H1736" s="74"/>
      <c r="J1736" s="160"/>
      <c r="K1736" s="328"/>
    </row>
    <row r="1737" spans="3:11">
      <c r="C1737" s="84" t="s">
        <v>1229</v>
      </c>
      <c r="D1737" s="81"/>
      <c r="E1737" s="81"/>
      <c r="F1737" s="81"/>
      <c r="G1737" s="163"/>
      <c r="H1737" s="306">
        <v>0</v>
      </c>
      <c r="J1737" s="160"/>
      <c r="K1737" s="328"/>
    </row>
    <row r="1738" spans="3:11">
      <c r="C1738" s="59" t="s">
        <v>1230</v>
      </c>
      <c r="D1738" s="70" t="s">
        <v>1231</v>
      </c>
      <c r="E1738" s="71"/>
      <c r="F1738" s="71"/>
      <c r="G1738" s="72"/>
      <c r="H1738" s="307">
        <f>H1737+H1735+H1732</f>
        <v>946215</v>
      </c>
      <c r="I1738" s="322"/>
      <c r="J1738" s="160"/>
      <c r="K1738" s="328"/>
    </row>
    <row r="1739" spans="3:11">
      <c r="C1739" s="59" t="s">
        <v>1232</v>
      </c>
      <c r="D1739" s="70" t="s">
        <v>1410</v>
      </c>
      <c r="E1739" s="71"/>
      <c r="F1739" s="72"/>
      <c r="G1739" s="96">
        <f>$M$7</f>
        <v>0.1</v>
      </c>
      <c r="H1739" s="65">
        <f>H1738*G1739</f>
        <v>94621.5</v>
      </c>
      <c r="I1739" s="322"/>
      <c r="J1739" s="160"/>
      <c r="K1739" s="328"/>
    </row>
    <row r="1740" spans="3:11">
      <c r="C1740" s="59" t="s">
        <v>1233</v>
      </c>
      <c r="D1740" s="70" t="s">
        <v>1234</v>
      </c>
      <c r="E1740" s="71"/>
      <c r="F1740" s="71"/>
      <c r="G1740" s="72"/>
      <c r="H1740" s="308">
        <f>SUM(H1738:H1739)</f>
        <v>1040836.5</v>
      </c>
      <c r="I1740" s="322"/>
      <c r="J1740" s="160"/>
      <c r="K1740" s="328"/>
    </row>
    <row r="1741" spans="3:11">
      <c r="J1741" s="160"/>
      <c r="K1741" s="328"/>
    </row>
    <row r="1742" spans="3:11">
      <c r="C1742" s="371" t="s">
        <v>1944</v>
      </c>
      <c r="D1742" s="318"/>
      <c r="E1742" s="318"/>
      <c r="F1742" s="318"/>
      <c r="G1742" s="318"/>
      <c r="H1742" s="318"/>
      <c r="I1742" s="57">
        <f>ROUNDDOWN(H1757,-2)</f>
        <v>1353500</v>
      </c>
      <c r="J1742" s="160"/>
      <c r="K1742" s="328"/>
    </row>
    <row r="1743" spans="3:11" ht="28.5">
      <c r="C1743" s="303" t="s">
        <v>1207</v>
      </c>
      <c r="D1743" s="303" t="s">
        <v>1208</v>
      </c>
      <c r="E1743" s="303" t="s">
        <v>1209</v>
      </c>
      <c r="F1743" s="303" t="s">
        <v>1210</v>
      </c>
      <c r="G1743" s="303" t="s">
        <v>1211</v>
      </c>
      <c r="H1743" s="303" t="s">
        <v>1212</v>
      </c>
      <c r="J1743" s="160"/>
      <c r="K1743" s="328"/>
    </row>
    <row r="1744" spans="3:11">
      <c r="C1744" s="73" t="s">
        <v>1213</v>
      </c>
      <c r="D1744" s="60" t="s">
        <v>1214</v>
      </c>
      <c r="E1744" s="74"/>
      <c r="F1744" s="74"/>
      <c r="G1744" s="74"/>
      <c r="H1744" s="74"/>
      <c r="J1744" s="160"/>
      <c r="K1744" s="328"/>
    </row>
    <row r="1745" spans="3:11">
      <c r="C1745" s="304">
        <v>1</v>
      </c>
      <c r="D1745" s="60" t="s">
        <v>5</v>
      </c>
      <c r="E1745" s="305" t="s">
        <v>6</v>
      </c>
      <c r="F1745" s="75">
        <v>0.17899999999999999</v>
      </c>
      <c r="G1745" s="65">
        <f>VLOOKUP(D1745,upahbahan,3,FALSE)</f>
        <v>100000</v>
      </c>
      <c r="H1745" s="65">
        <f t="shared" ref="H1745:H1748" si="204">F1745*G1745</f>
        <v>17900</v>
      </c>
      <c r="J1745" s="160"/>
      <c r="K1745" s="328"/>
    </row>
    <row r="1746" spans="3:11">
      <c r="C1746" s="304">
        <v>2</v>
      </c>
      <c r="D1746" s="60" t="str">
        <f>D1729</f>
        <v>Tukang listrik</v>
      </c>
      <c r="E1746" s="305" t="s">
        <v>6</v>
      </c>
      <c r="F1746" s="75">
        <v>0.29799999999999999</v>
      </c>
      <c r="G1746" s="65">
        <f>VLOOKUP(D1746,upahbahan,3,FALSE)</f>
        <v>145000</v>
      </c>
      <c r="H1746" s="65">
        <f t="shared" si="204"/>
        <v>43210</v>
      </c>
      <c r="J1746" s="160"/>
      <c r="K1746" s="328"/>
    </row>
    <row r="1747" spans="3:11">
      <c r="C1747" s="304">
        <v>3</v>
      </c>
      <c r="D1747" s="60" t="s">
        <v>18</v>
      </c>
      <c r="E1747" s="305" t="s">
        <v>6</v>
      </c>
      <c r="F1747" s="75">
        <v>0.03</v>
      </c>
      <c r="G1747" s="65">
        <f>VLOOKUP(D1747,upahbahan,3,FALSE)</f>
        <v>150000</v>
      </c>
      <c r="H1747" s="65">
        <f t="shared" si="204"/>
        <v>4500</v>
      </c>
      <c r="J1747" s="160"/>
      <c r="K1747" s="328"/>
    </row>
    <row r="1748" spans="3:11">
      <c r="C1748" s="304">
        <v>4</v>
      </c>
      <c r="D1748" s="60" t="s">
        <v>19</v>
      </c>
      <c r="E1748" s="305" t="s">
        <v>6</v>
      </c>
      <c r="F1748" s="75">
        <v>0.01</v>
      </c>
      <c r="G1748" s="65">
        <f>VLOOKUP(D1748,upahbahan,3,FALSE)</f>
        <v>145000</v>
      </c>
      <c r="H1748" s="65">
        <f t="shared" si="204"/>
        <v>1450</v>
      </c>
      <c r="J1748" s="160"/>
      <c r="K1748" s="328"/>
    </row>
    <row r="1749" spans="3:11">
      <c r="C1749" s="84" t="s">
        <v>1220</v>
      </c>
      <c r="D1749" s="81"/>
      <c r="E1749" s="81"/>
      <c r="F1749" s="190"/>
      <c r="G1749" s="221"/>
      <c r="H1749" s="65">
        <f>SUM(H1745:H1748)</f>
        <v>67060</v>
      </c>
      <c r="I1749" s="222"/>
      <c r="J1749" s="160"/>
      <c r="K1749" s="328"/>
    </row>
    <row r="1750" spans="3:11">
      <c r="C1750" s="73" t="s">
        <v>1221</v>
      </c>
      <c r="D1750" s="60" t="s">
        <v>1222</v>
      </c>
      <c r="E1750" s="74"/>
      <c r="F1750" s="208"/>
      <c r="G1750" s="74"/>
      <c r="H1750" s="74"/>
      <c r="J1750" s="160"/>
      <c r="K1750" s="328"/>
    </row>
    <row r="1751" spans="3:11">
      <c r="C1751" s="368" t="s">
        <v>1215</v>
      </c>
      <c r="D1751" s="78" t="s">
        <v>878</v>
      </c>
      <c r="E1751" s="69" t="s">
        <v>114</v>
      </c>
      <c r="F1751" s="75">
        <v>1.2</v>
      </c>
      <c r="G1751" s="65">
        <f>VLOOKUP(D1751,upahbahan,3,FALSE)</f>
        <v>969500</v>
      </c>
      <c r="H1751" s="65">
        <f t="shared" ref="H1751" si="205">F1751*G1751</f>
        <v>1163400</v>
      </c>
      <c r="J1751" s="160"/>
      <c r="K1751" s="328"/>
    </row>
    <row r="1752" spans="3:11">
      <c r="C1752" s="84" t="s">
        <v>1226</v>
      </c>
      <c r="D1752" s="81"/>
      <c r="E1752" s="81"/>
      <c r="F1752" s="81"/>
      <c r="G1752" s="163"/>
      <c r="H1752" s="65">
        <f>SUM(H1751:H1751)</f>
        <v>1163400</v>
      </c>
      <c r="J1752" s="160"/>
      <c r="K1752" s="328"/>
    </row>
    <row r="1753" spans="3:11">
      <c r="C1753" s="73" t="s">
        <v>1227</v>
      </c>
      <c r="D1753" s="60" t="s">
        <v>1228</v>
      </c>
      <c r="E1753" s="74"/>
      <c r="F1753" s="74"/>
      <c r="G1753" s="74"/>
      <c r="H1753" s="74"/>
      <c r="J1753" s="160"/>
      <c r="K1753" s="328"/>
    </row>
    <row r="1754" spans="3:11">
      <c r="C1754" s="84" t="s">
        <v>1229</v>
      </c>
      <c r="D1754" s="81"/>
      <c r="E1754" s="81"/>
      <c r="F1754" s="81"/>
      <c r="G1754" s="163"/>
      <c r="H1754" s="306">
        <v>0</v>
      </c>
      <c r="J1754" s="160"/>
      <c r="K1754" s="328"/>
    </row>
    <row r="1755" spans="3:11">
      <c r="C1755" s="59" t="s">
        <v>1230</v>
      </c>
      <c r="D1755" s="70" t="s">
        <v>1231</v>
      </c>
      <c r="E1755" s="71"/>
      <c r="F1755" s="71"/>
      <c r="G1755" s="72"/>
      <c r="H1755" s="307">
        <f>H1754+H1752+H1749</f>
        <v>1230460</v>
      </c>
      <c r="I1755" s="322"/>
      <c r="J1755" s="160"/>
      <c r="K1755" s="328"/>
    </row>
    <row r="1756" spans="3:11">
      <c r="C1756" s="59" t="s">
        <v>1232</v>
      </c>
      <c r="D1756" s="70" t="s">
        <v>1410</v>
      </c>
      <c r="E1756" s="71"/>
      <c r="F1756" s="72"/>
      <c r="G1756" s="96">
        <f>$M$7</f>
        <v>0.1</v>
      </c>
      <c r="H1756" s="65">
        <f>H1755*G1756</f>
        <v>123046</v>
      </c>
      <c r="I1756" s="322"/>
      <c r="J1756" s="160"/>
      <c r="K1756" s="328"/>
    </row>
    <row r="1757" spans="3:11">
      <c r="C1757" s="59" t="s">
        <v>1233</v>
      </c>
      <c r="D1757" s="70" t="s">
        <v>1234</v>
      </c>
      <c r="E1757" s="71"/>
      <c r="F1757" s="71"/>
      <c r="G1757" s="72"/>
      <c r="H1757" s="308">
        <f>SUM(H1755:H1756)</f>
        <v>1353506</v>
      </c>
      <c r="I1757" s="322"/>
      <c r="J1757" s="160"/>
      <c r="K1757" s="328"/>
    </row>
    <row r="1758" spans="3:11">
      <c r="J1758" s="160"/>
      <c r="K1758" s="328"/>
    </row>
    <row r="1759" spans="3:11">
      <c r="C1759" s="371" t="s">
        <v>1945</v>
      </c>
      <c r="D1759" s="318"/>
      <c r="E1759" s="318"/>
      <c r="F1759" s="318"/>
      <c r="G1759" s="318"/>
      <c r="H1759" s="318"/>
      <c r="I1759" s="57">
        <f>ROUNDDOWN(H1774,-2)</f>
        <v>1641400</v>
      </c>
      <c r="J1759" s="160"/>
      <c r="K1759" s="328"/>
    </row>
    <row r="1760" spans="3:11" ht="28.5">
      <c r="C1760" s="303" t="s">
        <v>1207</v>
      </c>
      <c r="D1760" s="303" t="s">
        <v>1208</v>
      </c>
      <c r="E1760" s="303" t="s">
        <v>1209</v>
      </c>
      <c r="F1760" s="303" t="s">
        <v>1210</v>
      </c>
      <c r="G1760" s="303" t="s">
        <v>1211</v>
      </c>
      <c r="H1760" s="303" t="s">
        <v>1212</v>
      </c>
      <c r="J1760" s="160"/>
      <c r="K1760" s="328"/>
    </row>
    <row r="1761" spans="3:11">
      <c r="C1761" s="73" t="s">
        <v>1213</v>
      </c>
      <c r="D1761" s="60" t="s">
        <v>1214</v>
      </c>
      <c r="E1761" s="74"/>
      <c r="F1761" s="74"/>
      <c r="G1761" s="74"/>
      <c r="H1761" s="74"/>
      <c r="J1761" s="160"/>
      <c r="K1761" s="328"/>
    </row>
    <row r="1762" spans="3:11">
      <c r="C1762" s="304">
        <v>1</v>
      </c>
      <c r="D1762" s="60" t="s">
        <v>5</v>
      </c>
      <c r="E1762" s="305" t="s">
        <v>6</v>
      </c>
      <c r="F1762" s="75">
        <v>0.17899999999999999</v>
      </c>
      <c r="G1762" s="65">
        <f>VLOOKUP(D1762,upahbahan,3,FALSE)</f>
        <v>100000</v>
      </c>
      <c r="H1762" s="65">
        <f t="shared" ref="H1762:H1765" si="206">F1762*G1762</f>
        <v>17900</v>
      </c>
      <c r="J1762" s="160"/>
      <c r="K1762" s="328"/>
    </row>
    <row r="1763" spans="3:11">
      <c r="C1763" s="304">
        <v>2</v>
      </c>
      <c r="D1763" s="60" t="str">
        <f>D1746</f>
        <v>Tukang listrik</v>
      </c>
      <c r="E1763" s="305" t="s">
        <v>6</v>
      </c>
      <c r="F1763" s="75">
        <v>0.29799999999999999</v>
      </c>
      <c r="G1763" s="65">
        <f>VLOOKUP(D1763,upahbahan,3,FALSE)</f>
        <v>145000</v>
      </c>
      <c r="H1763" s="65">
        <f t="shared" si="206"/>
        <v>43210</v>
      </c>
      <c r="J1763" s="160"/>
      <c r="K1763" s="328"/>
    </row>
    <row r="1764" spans="3:11">
      <c r="C1764" s="304">
        <v>3</v>
      </c>
      <c r="D1764" s="60" t="s">
        <v>18</v>
      </c>
      <c r="E1764" s="305" t="s">
        <v>6</v>
      </c>
      <c r="F1764" s="75">
        <v>0.03</v>
      </c>
      <c r="G1764" s="65">
        <f>VLOOKUP(D1764,upahbahan,3,FALSE)</f>
        <v>150000</v>
      </c>
      <c r="H1764" s="65">
        <f t="shared" si="206"/>
        <v>4500</v>
      </c>
      <c r="J1764" s="160"/>
      <c r="K1764" s="328"/>
    </row>
    <row r="1765" spans="3:11">
      <c r="C1765" s="304">
        <v>4</v>
      </c>
      <c r="D1765" s="60" t="s">
        <v>19</v>
      </c>
      <c r="E1765" s="305" t="s">
        <v>6</v>
      </c>
      <c r="F1765" s="75">
        <v>0.01</v>
      </c>
      <c r="G1765" s="65">
        <f>VLOOKUP(D1765,upahbahan,3,FALSE)</f>
        <v>145000</v>
      </c>
      <c r="H1765" s="65">
        <f t="shared" si="206"/>
        <v>1450</v>
      </c>
      <c r="J1765" s="160"/>
      <c r="K1765" s="328"/>
    </row>
    <row r="1766" spans="3:11">
      <c r="C1766" s="84" t="s">
        <v>1220</v>
      </c>
      <c r="D1766" s="81"/>
      <c r="E1766" s="81"/>
      <c r="F1766" s="190"/>
      <c r="G1766" s="221"/>
      <c r="H1766" s="65">
        <f>SUM(H1762:H1765)</f>
        <v>67060</v>
      </c>
      <c r="I1766" s="222"/>
      <c r="J1766" s="160"/>
      <c r="K1766" s="328"/>
    </row>
    <row r="1767" spans="3:11">
      <c r="C1767" s="73" t="s">
        <v>1221</v>
      </c>
      <c r="D1767" s="60" t="s">
        <v>1222</v>
      </c>
      <c r="E1767" s="74"/>
      <c r="F1767" s="208"/>
      <c r="G1767" s="74"/>
      <c r="H1767" s="74"/>
      <c r="J1767" s="160"/>
      <c r="K1767" s="328"/>
    </row>
    <row r="1768" spans="3:11">
      <c r="C1768" s="368" t="s">
        <v>1215</v>
      </c>
      <c r="D1768" s="78" t="s">
        <v>879</v>
      </c>
      <c r="E1768" s="69" t="s">
        <v>114</v>
      </c>
      <c r="F1768" s="75">
        <v>1.2</v>
      </c>
      <c r="G1768" s="65">
        <f>VLOOKUP(D1768,upahbahan,3,FALSE)</f>
        <v>1187650</v>
      </c>
      <c r="H1768" s="65">
        <f t="shared" ref="H1768" si="207">F1768*G1768</f>
        <v>1425180</v>
      </c>
      <c r="J1768" s="160"/>
      <c r="K1768" s="328"/>
    </row>
    <row r="1769" spans="3:11">
      <c r="C1769" s="84" t="s">
        <v>1226</v>
      </c>
      <c r="D1769" s="81"/>
      <c r="E1769" s="81"/>
      <c r="F1769" s="81"/>
      <c r="G1769" s="163"/>
      <c r="H1769" s="65">
        <f>SUM(H1768:H1768)</f>
        <v>1425180</v>
      </c>
      <c r="J1769" s="160"/>
      <c r="K1769" s="328"/>
    </row>
    <row r="1770" spans="3:11">
      <c r="C1770" s="73" t="s">
        <v>1227</v>
      </c>
      <c r="D1770" s="60" t="s">
        <v>1228</v>
      </c>
      <c r="E1770" s="74"/>
      <c r="F1770" s="74"/>
      <c r="G1770" s="74"/>
      <c r="H1770" s="74"/>
      <c r="J1770" s="160"/>
      <c r="K1770" s="328"/>
    </row>
    <row r="1771" spans="3:11">
      <c r="C1771" s="84" t="s">
        <v>1229</v>
      </c>
      <c r="D1771" s="81"/>
      <c r="E1771" s="81"/>
      <c r="F1771" s="81"/>
      <c r="G1771" s="163"/>
      <c r="H1771" s="306">
        <v>0</v>
      </c>
      <c r="J1771" s="160"/>
      <c r="K1771" s="328"/>
    </row>
    <row r="1772" spans="3:11">
      <c r="C1772" s="59" t="s">
        <v>1230</v>
      </c>
      <c r="D1772" s="70" t="s">
        <v>1231</v>
      </c>
      <c r="E1772" s="71"/>
      <c r="F1772" s="71"/>
      <c r="G1772" s="72"/>
      <c r="H1772" s="307">
        <f>H1771+H1769+H1766</f>
        <v>1492240</v>
      </c>
      <c r="I1772" s="322"/>
      <c r="J1772" s="160"/>
      <c r="K1772" s="328"/>
    </row>
    <row r="1773" spans="3:11">
      <c r="C1773" s="59" t="s">
        <v>1232</v>
      </c>
      <c r="D1773" s="70" t="s">
        <v>1410</v>
      </c>
      <c r="E1773" s="71"/>
      <c r="F1773" s="72"/>
      <c r="G1773" s="96">
        <f>$M$7</f>
        <v>0.1</v>
      </c>
      <c r="H1773" s="65">
        <f>H1772*G1773</f>
        <v>149224</v>
      </c>
      <c r="I1773" s="322"/>
      <c r="J1773" s="160"/>
      <c r="K1773" s="328"/>
    </row>
    <row r="1774" spans="3:11">
      <c r="C1774" s="59" t="s">
        <v>1233</v>
      </c>
      <c r="D1774" s="70" t="s">
        <v>1234</v>
      </c>
      <c r="E1774" s="71"/>
      <c r="F1774" s="71"/>
      <c r="G1774" s="72"/>
      <c r="H1774" s="308">
        <f>SUM(H1772:H1773)</f>
        <v>1641464</v>
      </c>
      <c r="I1774" s="322"/>
      <c r="J1774" s="160"/>
      <c r="K1774" s="328"/>
    </row>
    <row r="1775" spans="3:11">
      <c r="J1775" s="160"/>
      <c r="K1775" s="328"/>
    </row>
    <row r="1776" spans="3:11">
      <c r="C1776" s="371" t="s">
        <v>1946</v>
      </c>
      <c r="D1776" s="318"/>
      <c r="E1776" s="318"/>
      <c r="F1776" s="318"/>
      <c r="G1776" s="318"/>
      <c r="H1776" s="318"/>
      <c r="I1776" s="57">
        <f>ROUNDDOWN(H1791,-2)</f>
        <v>2039500</v>
      </c>
      <c r="J1776" s="160"/>
      <c r="K1776" s="328"/>
    </row>
    <row r="1777" spans="3:11" ht="28.5">
      <c r="C1777" s="303" t="s">
        <v>1207</v>
      </c>
      <c r="D1777" s="303" t="s">
        <v>1208</v>
      </c>
      <c r="E1777" s="303" t="s">
        <v>1209</v>
      </c>
      <c r="F1777" s="303" t="s">
        <v>1210</v>
      </c>
      <c r="G1777" s="303" t="s">
        <v>1211</v>
      </c>
      <c r="H1777" s="303" t="s">
        <v>1212</v>
      </c>
      <c r="J1777" s="160"/>
      <c r="K1777" s="328"/>
    </row>
    <row r="1778" spans="3:11">
      <c r="C1778" s="73" t="s">
        <v>1213</v>
      </c>
      <c r="D1778" s="60" t="s">
        <v>1214</v>
      </c>
      <c r="E1778" s="74"/>
      <c r="F1778" s="74"/>
      <c r="G1778" s="74"/>
      <c r="H1778" s="74"/>
      <c r="J1778" s="160"/>
      <c r="K1778" s="328"/>
    </row>
    <row r="1779" spans="3:11">
      <c r="C1779" s="304">
        <v>1</v>
      </c>
      <c r="D1779" s="60" t="s">
        <v>5</v>
      </c>
      <c r="E1779" s="305" t="s">
        <v>6</v>
      </c>
      <c r="F1779" s="75">
        <v>0.23799999999999999</v>
      </c>
      <c r="G1779" s="65">
        <f>VLOOKUP(D1779,upahbahan,3,FALSE)</f>
        <v>100000</v>
      </c>
      <c r="H1779" s="65">
        <f t="shared" ref="H1779:H1782" si="208">F1779*G1779</f>
        <v>23800</v>
      </c>
      <c r="J1779" s="160"/>
      <c r="K1779" s="328"/>
    </row>
    <row r="1780" spans="3:11">
      <c r="C1780" s="304">
        <v>2</v>
      </c>
      <c r="D1780" s="60" t="str">
        <f>D1763</f>
        <v>Tukang listrik</v>
      </c>
      <c r="E1780" s="305" t="s">
        <v>6</v>
      </c>
      <c r="F1780" s="75">
        <v>0.39800000000000002</v>
      </c>
      <c r="G1780" s="65">
        <f>VLOOKUP(D1780,upahbahan,3,FALSE)</f>
        <v>145000</v>
      </c>
      <c r="H1780" s="65">
        <f t="shared" si="208"/>
        <v>57710</v>
      </c>
      <c r="J1780" s="160"/>
      <c r="K1780" s="328"/>
    </row>
    <row r="1781" spans="3:11">
      <c r="C1781" s="304">
        <v>3</v>
      </c>
      <c r="D1781" s="60" t="s">
        <v>18</v>
      </c>
      <c r="E1781" s="305" t="s">
        <v>6</v>
      </c>
      <c r="F1781" s="75">
        <v>0.04</v>
      </c>
      <c r="G1781" s="65">
        <f>VLOOKUP(D1781,upahbahan,3,FALSE)</f>
        <v>150000</v>
      </c>
      <c r="H1781" s="65">
        <f t="shared" si="208"/>
        <v>6000</v>
      </c>
      <c r="J1781" s="160"/>
      <c r="K1781" s="328"/>
    </row>
    <row r="1782" spans="3:11">
      <c r="C1782" s="304">
        <v>4</v>
      </c>
      <c r="D1782" s="60" t="s">
        <v>19</v>
      </c>
      <c r="E1782" s="305" t="s">
        <v>6</v>
      </c>
      <c r="F1782" s="75">
        <v>1.2999999999999999E-2</v>
      </c>
      <c r="G1782" s="65">
        <f>VLOOKUP(D1782,upahbahan,3,FALSE)</f>
        <v>145000</v>
      </c>
      <c r="H1782" s="65">
        <f t="shared" si="208"/>
        <v>1885</v>
      </c>
      <c r="J1782" s="160"/>
      <c r="K1782" s="328"/>
    </row>
    <row r="1783" spans="3:11">
      <c r="C1783" s="84" t="s">
        <v>1220</v>
      </c>
      <c r="D1783" s="81"/>
      <c r="E1783" s="81"/>
      <c r="F1783" s="190"/>
      <c r="G1783" s="221"/>
      <c r="H1783" s="65">
        <f>SUM(H1779:H1782)</f>
        <v>89395</v>
      </c>
      <c r="I1783" s="222"/>
      <c r="J1783" s="160"/>
      <c r="K1783" s="328"/>
    </row>
    <row r="1784" spans="3:11">
      <c r="C1784" s="73" t="s">
        <v>1221</v>
      </c>
      <c r="D1784" s="60" t="s">
        <v>1222</v>
      </c>
      <c r="E1784" s="74"/>
      <c r="F1784" s="208"/>
      <c r="G1784" s="74"/>
      <c r="H1784" s="74"/>
      <c r="J1784" s="160"/>
      <c r="K1784" s="328"/>
    </row>
    <row r="1785" spans="3:11">
      <c r="C1785" s="368" t="s">
        <v>1215</v>
      </c>
      <c r="D1785" s="78" t="s">
        <v>881</v>
      </c>
      <c r="E1785" s="69" t="s">
        <v>114</v>
      </c>
      <c r="F1785" s="75">
        <v>1.2</v>
      </c>
      <c r="G1785" s="65">
        <f>VLOOKUP(D1785,upahbahan,3,FALSE)</f>
        <v>1470650</v>
      </c>
      <c r="H1785" s="65">
        <f t="shared" ref="H1785" si="209">F1785*G1785</f>
        <v>1764780</v>
      </c>
      <c r="J1785" s="160"/>
      <c r="K1785" s="328"/>
    </row>
    <row r="1786" spans="3:11">
      <c r="C1786" s="84" t="s">
        <v>1226</v>
      </c>
      <c r="D1786" s="81"/>
      <c r="E1786" s="81"/>
      <c r="F1786" s="81"/>
      <c r="G1786" s="163"/>
      <c r="H1786" s="65">
        <f>SUM(H1785:H1785)</f>
        <v>1764780</v>
      </c>
      <c r="J1786" s="160"/>
      <c r="K1786" s="328"/>
    </row>
    <row r="1787" spans="3:11">
      <c r="C1787" s="73" t="s">
        <v>1227</v>
      </c>
      <c r="D1787" s="60" t="s">
        <v>1228</v>
      </c>
      <c r="E1787" s="74"/>
      <c r="F1787" s="74"/>
      <c r="G1787" s="74"/>
      <c r="H1787" s="74"/>
      <c r="J1787" s="160"/>
      <c r="K1787" s="328"/>
    </row>
    <row r="1788" spans="3:11">
      <c r="C1788" s="84" t="s">
        <v>1229</v>
      </c>
      <c r="D1788" s="81"/>
      <c r="E1788" s="81"/>
      <c r="F1788" s="81"/>
      <c r="G1788" s="163"/>
      <c r="H1788" s="306">
        <v>0</v>
      </c>
      <c r="J1788" s="160"/>
      <c r="K1788" s="328"/>
    </row>
    <row r="1789" spans="3:11">
      <c r="C1789" s="59" t="s">
        <v>1230</v>
      </c>
      <c r="D1789" s="70" t="s">
        <v>1231</v>
      </c>
      <c r="E1789" s="71"/>
      <c r="F1789" s="71"/>
      <c r="G1789" s="72"/>
      <c r="H1789" s="307">
        <f>H1788+H1786+H1783</f>
        <v>1854175</v>
      </c>
      <c r="I1789" s="322"/>
      <c r="J1789" s="160"/>
      <c r="K1789" s="328"/>
    </row>
    <row r="1790" spans="3:11">
      <c r="C1790" s="59" t="s">
        <v>1232</v>
      </c>
      <c r="D1790" s="70" t="s">
        <v>1410</v>
      </c>
      <c r="E1790" s="71"/>
      <c r="F1790" s="72"/>
      <c r="G1790" s="96">
        <f>$M$7</f>
        <v>0.1</v>
      </c>
      <c r="H1790" s="65">
        <f>H1789*G1790</f>
        <v>185417.5</v>
      </c>
      <c r="I1790" s="322"/>
      <c r="J1790" s="160"/>
      <c r="K1790" s="328"/>
    </row>
    <row r="1791" spans="3:11">
      <c r="C1791" s="59" t="s">
        <v>1233</v>
      </c>
      <c r="D1791" s="70" t="s">
        <v>1234</v>
      </c>
      <c r="E1791" s="71"/>
      <c r="F1791" s="71"/>
      <c r="G1791" s="72"/>
      <c r="H1791" s="308">
        <f>SUM(H1789:H1790)</f>
        <v>2039592.5</v>
      </c>
      <c r="I1791" s="322"/>
      <c r="J1791" s="160"/>
      <c r="K1791" s="328"/>
    </row>
    <row r="1792" spans="3:11">
      <c r="J1792" s="160"/>
      <c r="K1792" s="328"/>
    </row>
    <row r="1793" spans="3:11">
      <c r="C1793" s="371" t="s">
        <v>1947</v>
      </c>
      <c r="D1793" s="318"/>
      <c r="E1793" s="318"/>
      <c r="F1793" s="318"/>
      <c r="G1793" s="318"/>
      <c r="H1793" s="318"/>
      <c r="I1793" s="57">
        <f>ROUNDDOWN(H1808,-2)</f>
        <v>2634700</v>
      </c>
      <c r="J1793" s="160"/>
      <c r="K1793" s="328"/>
    </row>
    <row r="1794" spans="3:11" ht="28.5">
      <c r="C1794" s="303" t="s">
        <v>1207</v>
      </c>
      <c r="D1794" s="303" t="s">
        <v>1208</v>
      </c>
      <c r="E1794" s="303" t="s">
        <v>1209</v>
      </c>
      <c r="F1794" s="303" t="s">
        <v>1210</v>
      </c>
      <c r="G1794" s="303" t="s">
        <v>1211</v>
      </c>
      <c r="H1794" s="303" t="s">
        <v>1212</v>
      </c>
      <c r="J1794" s="160"/>
      <c r="K1794" s="328"/>
    </row>
    <row r="1795" spans="3:11">
      <c r="C1795" s="73" t="s">
        <v>1213</v>
      </c>
      <c r="D1795" s="60" t="s">
        <v>1214</v>
      </c>
      <c r="E1795" s="74"/>
      <c r="F1795" s="74"/>
      <c r="G1795" s="74"/>
      <c r="H1795" s="74"/>
      <c r="J1795" s="160"/>
      <c r="K1795" s="328"/>
    </row>
    <row r="1796" spans="3:11">
      <c r="C1796" s="304">
        <v>1</v>
      </c>
      <c r="D1796" s="60" t="s">
        <v>5</v>
      </c>
      <c r="E1796" s="305" t="s">
        <v>6</v>
      </c>
      <c r="F1796" s="75">
        <v>0.23799999999999999</v>
      </c>
      <c r="G1796" s="65">
        <f>VLOOKUP(D1796,upahbahan,3,FALSE)</f>
        <v>100000</v>
      </c>
      <c r="H1796" s="65">
        <f t="shared" ref="H1796:H1799" si="210">F1796*G1796</f>
        <v>23800</v>
      </c>
      <c r="J1796" s="160"/>
      <c r="K1796" s="328"/>
    </row>
    <row r="1797" spans="3:11">
      <c r="C1797" s="304">
        <v>2</v>
      </c>
      <c r="D1797" s="60" t="str">
        <f>D1780</f>
        <v>Tukang listrik</v>
      </c>
      <c r="E1797" s="305" t="s">
        <v>6</v>
      </c>
      <c r="F1797" s="75">
        <v>0.39800000000000002</v>
      </c>
      <c r="G1797" s="65">
        <f>VLOOKUP(D1797,upahbahan,3,FALSE)</f>
        <v>145000</v>
      </c>
      <c r="H1797" s="65">
        <f t="shared" si="210"/>
        <v>57710</v>
      </c>
      <c r="J1797" s="160"/>
      <c r="K1797" s="328"/>
    </row>
    <row r="1798" spans="3:11">
      <c r="C1798" s="304">
        <v>3</v>
      </c>
      <c r="D1798" s="60" t="s">
        <v>18</v>
      </c>
      <c r="E1798" s="305" t="s">
        <v>6</v>
      </c>
      <c r="F1798" s="75">
        <v>0.04</v>
      </c>
      <c r="G1798" s="65">
        <f>VLOOKUP(D1798,upahbahan,3,FALSE)</f>
        <v>150000</v>
      </c>
      <c r="H1798" s="65">
        <f t="shared" si="210"/>
        <v>6000</v>
      </c>
      <c r="J1798" s="160"/>
      <c r="K1798" s="328"/>
    </row>
    <row r="1799" spans="3:11">
      <c r="C1799" s="304">
        <v>4</v>
      </c>
      <c r="D1799" s="60" t="s">
        <v>19</v>
      </c>
      <c r="E1799" s="305" t="s">
        <v>6</v>
      </c>
      <c r="F1799" s="75">
        <v>1.2999999999999999E-2</v>
      </c>
      <c r="G1799" s="65">
        <f>VLOOKUP(D1799,upahbahan,3,FALSE)</f>
        <v>145000</v>
      </c>
      <c r="H1799" s="65">
        <f t="shared" si="210"/>
        <v>1885</v>
      </c>
      <c r="J1799" s="160"/>
      <c r="K1799" s="328"/>
    </row>
    <row r="1800" spans="3:11">
      <c r="C1800" s="84" t="s">
        <v>1220</v>
      </c>
      <c r="D1800" s="81"/>
      <c r="E1800" s="81"/>
      <c r="F1800" s="190"/>
      <c r="G1800" s="221"/>
      <c r="H1800" s="65">
        <f>SUM(H1796:H1799)</f>
        <v>89395</v>
      </c>
      <c r="I1800" s="222"/>
      <c r="J1800" s="160"/>
      <c r="K1800" s="328"/>
    </row>
    <row r="1801" spans="3:11">
      <c r="C1801" s="73" t="s">
        <v>1221</v>
      </c>
      <c r="D1801" s="60" t="s">
        <v>1222</v>
      </c>
      <c r="E1801" s="74"/>
      <c r="F1801" s="208"/>
      <c r="G1801" s="74"/>
      <c r="H1801" s="74"/>
      <c r="J1801" s="160"/>
      <c r="K1801" s="328"/>
    </row>
    <row r="1802" spans="3:11">
      <c r="C1802" s="368" t="s">
        <v>1215</v>
      </c>
      <c r="D1802" s="78" t="s">
        <v>883</v>
      </c>
      <c r="E1802" s="69" t="s">
        <v>114</v>
      </c>
      <c r="F1802" s="75">
        <v>1.2</v>
      </c>
      <c r="G1802" s="65">
        <f>VLOOKUP(D1802,upahbahan,3,FALSE)</f>
        <v>1921500</v>
      </c>
      <c r="H1802" s="65">
        <f t="shared" ref="H1802" si="211">F1802*G1802</f>
        <v>2305800</v>
      </c>
      <c r="J1802" s="160"/>
      <c r="K1802" s="328"/>
    </row>
    <row r="1803" spans="3:11">
      <c r="C1803" s="84" t="s">
        <v>1226</v>
      </c>
      <c r="D1803" s="81"/>
      <c r="E1803" s="81"/>
      <c r="F1803" s="81"/>
      <c r="G1803" s="163"/>
      <c r="H1803" s="65">
        <f>SUM(H1802:H1802)</f>
        <v>2305800</v>
      </c>
      <c r="J1803" s="160"/>
      <c r="K1803" s="328"/>
    </row>
    <row r="1804" spans="3:11">
      <c r="C1804" s="73" t="s">
        <v>1227</v>
      </c>
      <c r="D1804" s="60" t="s">
        <v>1228</v>
      </c>
      <c r="E1804" s="74"/>
      <c r="F1804" s="74"/>
      <c r="G1804" s="74"/>
      <c r="H1804" s="74"/>
      <c r="J1804" s="160"/>
      <c r="K1804" s="328"/>
    </row>
    <row r="1805" spans="3:11">
      <c r="C1805" s="84" t="s">
        <v>1229</v>
      </c>
      <c r="D1805" s="81"/>
      <c r="E1805" s="81"/>
      <c r="F1805" s="81"/>
      <c r="G1805" s="163"/>
      <c r="H1805" s="306">
        <v>0</v>
      </c>
      <c r="J1805" s="160"/>
      <c r="K1805" s="328"/>
    </row>
    <row r="1806" spans="3:11">
      <c r="C1806" s="59" t="s">
        <v>1230</v>
      </c>
      <c r="D1806" s="70" t="s">
        <v>1231</v>
      </c>
      <c r="E1806" s="71"/>
      <c r="F1806" s="71"/>
      <c r="G1806" s="72"/>
      <c r="H1806" s="307">
        <f>H1805+H1803+H1800</f>
        <v>2395195</v>
      </c>
      <c r="I1806" s="322"/>
      <c r="J1806" s="160"/>
      <c r="K1806" s="328"/>
    </row>
    <row r="1807" spans="3:11">
      <c r="C1807" s="59" t="s">
        <v>1232</v>
      </c>
      <c r="D1807" s="70" t="s">
        <v>1410</v>
      </c>
      <c r="E1807" s="71"/>
      <c r="F1807" s="72"/>
      <c r="G1807" s="96">
        <f>$M$7</f>
        <v>0.1</v>
      </c>
      <c r="H1807" s="65">
        <f>H1806*G1807</f>
        <v>239519.5</v>
      </c>
      <c r="I1807" s="322"/>
      <c r="J1807" s="160"/>
      <c r="K1807" s="328"/>
    </row>
    <row r="1808" spans="3:11">
      <c r="C1808" s="59" t="s">
        <v>1233</v>
      </c>
      <c r="D1808" s="70" t="s">
        <v>1234</v>
      </c>
      <c r="E1808" s="71"/>
      <c r="F1808" s="71"/>
      <c r="G1808" s="72"/>
      <c r="H1808" s="308">
        <f>SUM(H1806:H1807)</f>
        <v>2634714.5</v>
      </c>
      <c r="I1808" s="322"/>
      <c r="J1808" s="160"/>
      <c r="K1808" s="328"/>
    </row>
    <row r="1809" spans="3:11">
      <c r="J1809" s="160"/>
      <c r="K1809" s="328"/>
    </row>
    <row r="1810" spans="3:11">
      <c r="C1810" s="371" t="s">
        <v>1948</v>
      </c>
      <c r="D1810" s="318"/>
      <c r="E1810" s="318"/>
      <c r="F1810" s="318"/>
      <c r="G1810" s="318"/>
      <c r="H1810" s="318"/>
      <c r="I1810" s="57">
        <f>ROUNDDOWN(H1825,-2)</f>
        <v>3256100</v>
      </c>
      <c r="J1810" s="160"/>
      <c r="K1810" s="328"/>
    </row>
    <row r="1811" spans="3:11" ht="28.5">
      <c r="C1811" s="303" t="s">
        <v>1207</v>
      </c>
      <c r="D1811" s="303" t="s">
        <v>1208</v>
      </c>
      <c r="E1811" s="303" t="s">
        <v>1209</v>
      </c>
      <c r="F1811" s="303" t="s">
        <v>1210</v>
      </c>
      <c r="G1811" s="303" t="s">
        <v>1211</v>
      </c>
      <c r="H1811" s="303" t="s">
        <v>1212</v>
      </c>
      <c r="J1811" s="160"/>
      <c r="K1811" s="328"/>
    </row>
    <row r="1812" spans="3:11">
      <c r="C1812" s="73" t="s">
        <v>1213</v>
      </c>
      <c r="D1812" s="60" t="s">
        <v>1214</v>
      </c>
      <c r="E1812" s="74"/>
      <c r="F1812" s="74"/>
      <c r="G1812" s="74"/>
      <c r="H1812" s="74"/>
      <c r="J1812" s="160"/>
      <c r="K1812" s="328"/>
    </row>
    <row r="1813" spans="3:11">
      <c r="C1813" s="304">
        <v>1</v>
      </c>
      <c r="D1813" s="60" t="s">
        <v>5</v>
      </c>
      <c r="E1813" s="305" t="s">
        <v>6</v>
      </c>
      <c r="F1813" s="75">
        <v>0.23799999999999999</v>
      </c>
      <c r="G1813" s="65">
        <f>VLOOKUP(D1813,upahbahan,3,FALSE)</f>
        <v>100000</v>
      </c>
      <c r="H1813" s="65">
        <f t="shared" ref="H1813:H1816" si="212">F1813*G1813</f>
        <v>23800</v>
      </c>
      <c r="J1813" s="160"/>
      <c r="K1813" s="328"/>
    </row>
    <row r="1814" spans="3:11">
      <c r="C1814" s="304">
        <v>2</v>
      </c>
      <c r="D1814" s="60" t="str">
        <f>D1797</f>
        <v>Tukang listrik</v>
      </c>
      <c r="E1814" s="305" t="s">
        <v>6</v>
      </c>
      <c r="F1814" s="75">
        <v>0.39800000000000002</v>
      </c>
      <c r="G1814" s="65">
        <f>VLOOKUP(D1814,upahbahan,3,FALSE)</f>
        <v>145000</v>
      </c>
      <c r="H1814" s="65">
        <f t="shared" si="212"/>
        <v>57710</v>
      </c>
      <c r="J1814" s="160"/>
      <c r="K1814" s="328"/>
    </row>
    <row r="1815" spans="3:11">
      <c r="C1815" s="304">
        <v>3</v>
      </c>
      <c r="D1815" s="60" t="s">
        <v>18</v>
      </c>
      <c r="E1815" s="305" t="s">
        <v>6</v>
      </c>
      <c r="F1815" s="75">
        <v>0.04</v>
      </c>
      <c r="G1815" s="65">
        <f>VLOOKUP(D1815,upahbahan,3,FALSE)</f>
        <v>150000</v>
      </c>
      <c r="H1815" s="65">
        <f t="shared" si="212"/>
        <v>6000</v>
      </c>
      <c r="J1815" s="160"/>
      <c r="K1815" s="328"/>
    </row>
    <row r="1816" spans="3:11">
      <c r="C1816" s="304">
        <v>4</v>
      </c>
      <c r="D1816" s="60" t="s">
        <v>19</v>
      </c>
      <c r="E1816" s="305" t="s">
        <v>6</v>
      </c>
      <c r="F1816" s="75">
        <v>1.2999999999999999E-2</v>
      </c>
      <c r="G1816" s="65">
        <f>VLOOKUP(D1816,upahbahan,3,FALSE)</f>
        <v>145000</v>
      </c>
      <c r="H1816" s="65">
        <f t="shared" si="212"/>
        <v>1885</v>
      </c>
      <c r="J1816" s="160"/>
      <c r="K1816" s="328"/>
    </row>
    <row r="1817" spans="3:11">
      <c r="C1817" s="84" t="s">
        <v>1220</v>
      </c>
      <c r="D1817" s="81"/>
      <c r="E1817" s="81"/>
      <c r="F1817" s="190"/>
      <c r="G1817" s="221"/>
      <c r="H1817" s="65">
        <f>SUM(H1813:H1816)</f>
        <v>89395</v>
      </c>
      <c r="I1817" s="222"/>
      <c r="J1817" s="160"/>
      <c r="K1817" s="328"/>
    </row>
    <row r="1818" spans="3:11">
      <c r="C1818" s="73" t="s">
        <v>1221</v>
      </c>
      <c r="D1818" s="60" t="s">
        <v>1222</v>
      </c>
      <c r="E1818" s="74"/>
      <c r="F1818" s="208"/>
      <c r="G1818" s="74"/>
      <c r="H1818" s="74"/>
      <c r="J1818" s="160"/>
      <c r="K1818" s="328"/>
    </row>
    <row r="1819" spans="3:11">
      <c r="C1819" s="368" t="s">
        <v>1215</v>
      </c>
      <c r="D1819" s="78" t="s">
        <v>885</v>
      </c>
      <c r="E1819" s="69" t="s">
        <v>114</v>
      </c>
      <c r="F1819" s="75">
        <v>1.2</v>
      </c>
      <c r="G1819" s="65">
        <f>VLOOKUP(D1819,upahbahan,3,FALSE)</f>
        <v>2392250</v>
      </c>
      <c r="H1819" s="65">
        <f t="shared" ref="H1819" si="213">F1819*G1819</f>
        <v>2870700</v>
      </c>
      <c r="J1819" s="160"/>
      <c r="K1819" s="328"/>
    </row>
    <row r="1820" spans="3:11">
      <c r="C1820" s="84" t="s">
        <v>1226</v>
      </c>
      <c r="D1820" s="81"/>
      <c r="E1820" s="81"/>
      <c r="F1820" s="81"/>
      <c r="G1820" s="163"/>
      <c r="H1820" s="65">
        <f>SUM(H1819:H1819)</f>
        <v>2870700</v>
      </c>
      <c r="J1820" s="160"/>
      <c r="K1820" s="328"/>
    </row>
    <row r="1821" spans="3:11">
      <c r="C1821" s="73" t="s">
        <v>1227</v>
      </c>
      <c r="D1821" s="60" t="s">
        <v>1228</v>
      </c>
      <c r="E1821" s="74"/>
      <c r="F1821" s="74"/>
      <c r="G1821" s="74"/>
      <c r="H1821" s="74"/>
      <c r="J1821" s="160"/>
      <c r="K1821" s="328"/>
    </row>
    <row r="1822" spans="3:11">
      <c r="C1822" s="84" t="s">
        <v>1229</v>
      </c>
      <c r="D1822" s="81"/>
      <c r="E1822" s="81"/>
      <c r="F1822" s="81"/>
      <c r="G1822" s="163"/>
      <c r="H1822" s="306">
        <v>0</v>
      </c>
      <c r="J1822" s="160"/>
      <c r="K1822" s="328"/>
    </row>
    <row r="1823" spans="3:11">
      <c r="C1823" s="59" t="s">
        <v>1230</v>
      </c>
      <c r="D1823" s="70" t="s">
        <v>1231</v>
      </c>
      <c r="E1823" s="71"/>
      <c r="F1823" s="71"/>
      <c r="G1823" s="72"/>
      <c r="H1823" s="307">
        <f>H1822+H1820+H1817</f>
        <v>2960095</v>
      </c>
      <c r="I1823" s="322"/>
      <c r="J1823" s="160"/>
      <c r="K1823" s="328"/>
    </row>
    <row r="1824" spans="3:11">
      <c r="C1824" s="59" t="s">
        <v>1232</v>
      </c>
      <c r="D1824" s="70" t="s">
        <v>1410</v>
      </c>
      <c r="E1824" s="71"/>
      <c r="F1824" s="72"/>
      <c r="G1824" s="96">
        <f>$M$7</f>
        <v>0.1</v>
      </c>
      <c r="H1824" s="65">
        <f>H1823*G1824</f>
        <v>296009.5</v>
      </c>
      <c r="I1824" s="322"/>
      <c r="J1824" s="160"/>
      <c r="K1824" s="328"/>
    </row>
    <row r="1825" spans="3:11">
      <c r="C1825" s="59" t="s">
        <v>1233</v>
      </c>
      <c r="D1825" s="70" t="s">
        <v>1234</v>
      </c>
      <c r="E1825" s="71"/>
      <c r="F1825" s="71"/>
      <c r="G1825" s="72"/>
      <c r="H1825" s="308">
        <f>SUM(H1823:H1824)</f>
        <v>3256104.5</v>
      </c>
      <c r="I1825" s="322"/>
      <c r="J1825" s="160"/>
      <c r="K1825" s="328"/>
    </row>
    <row r="1826" spans="3:11">
      <c r="J1826" s="160"/>
      <c r="K1826" s="328"/>
    </row>
    <row r="1827" spans="3:11">
      <c r="C1827" s="371" t="s">
        <v>1949</v>
      </c>
      <c r="D1827" s="318"/>
      <c r="E1827" s="318"/>
      <c r="F1827" s="318"/>
      <c r="G1827" s="318"/>
      <c r="H1827" s="318"/>
      <c r="I1827" s="57">
        <f>ROUNDDOWN(H1842,-2)</f>
        <v>60400</v>
      </c>
      <c r="J1827" s="160"/>
      <c r="K1827" s="328"/>
    </row>
    <row r="1828" spans="3:11" ht="28.5">
      <c r="C1828" s="303" t="s">
        <v>1207</v>
      </c>
      <c r="D1828" s="303" t="s">
        <v>1208</v>
      </c>
      <c r="E1828" s="303" t="s">
        <v>1209</v>
      </c>
      <c r="F1828" s="303" t="s">
        <v>1210</v>
      </c>
      <c r="G1828" s="303" t="s">
        <v>1211</v>
      </c>
      <c r="H1828" s="303" t="s">
        <v>1212</v>
      </c>
      <c r="J1828" s="160"/>
      <c r="K1828" s="328"/>
    </row>
    <row r="1829" spans="3:11">
      <c r="C1829" s="73" t="s">
        <v>1213</v>
      </c>
      <c r="D1829" s="60" t="s">
        <v>1214</v>
      </c>
      <c r="E1829" s="74"/>
      <c r="F1829" s="74"/>
      <c r="G1829" s="74"/>
      <c r="H1829" s="74"/>
      <c r="J1829" s="160"/>
      <c r="K1829" s="328"/>
    </row>
    <row r="1830" spans="3:11">
      <c r="C1830" s="304">
        <v>1</v>
      </c>
      <c r="D1830" s="60" t="s">
        <v>5</v>
      </c>
      <c r="E1830" s="305" t="s">
        <v>6</v>
      </c>
      <c r="F1830" s="75">
        <v>2.4E-2</v>
      </c>
      <c r="G1830" s="65">
        <f>VLOOKUP(D1830,upahbahan,3,FALSE)</f>
        <v>100000</v>
      </c>
      <c r="H1830" s="65">
        <f t="shared" ref="H1830:H1833" si="214">F1830*G1830</f>
        <v>2400</v>
      </c>
      <c r="J1830" s="160"/>
      <c r="K1830" s="328"/>
    </row>
    <row r="1831" spans="3:11">
      <c r="C1831" s="304">
        <v>2</v>
      </c>
      <c r="D1831" s="60" t="str">
        <f>D1814</f>
        <v>Tukang listrik</v>
      </c>
      <c r="E1831" s="305" t="s">
        <v>6</v>
      </c>
      <c r="F1831" s="75">
        <v>0.04</v>
      </c>
      <c r="G1831" s="65">
        <f>VLOOKUP(D1831,upahbahan,3,FALSE)</f>
        <v>145000</v>
      </c>
      <c r="H1831" s="65">
        <f t="shared" si="214"/>
        <v>5800</v>
      </c>
      <c r="J1831" s="160"/>
      <c r="K1831" s="328"/>
    </row>
    <row r="1832" spans="3:11">
      <c r="C1832" s="304">
        <v>3</v>
      </c>
      <c r="D1832" s="60" t="s">
        <v>18</v>
      </c>
      <c r="E1832" s="305" t="s">
        <v>6</v>
      </c>
      <c r="F1832" s="75">
        <v>4.0000000000000001E-3</v>
      </c>
      <c r="G1832" s="65">
        <f>VLOOKUP(D1832,upahbahan,3,FALSE)</f>
        <v>150000</v>
      </c>
      <c r="H1832" s="65">
        <f t="shared" si="214"/>
        <v>600</v>
      </c>
      <c r="J1832" s="160"/>
      <c r="K1832" s="328"/>
    </row>
    <row r="1833" spans="3:11">
      <c r="C1833" s="304">
        <v>4</v>
      </c>
      <c r="D1833" s="60" t="s">
        <v>19</v>
      </c>
      <c r="E1833" s="305" t="s">
        <v>6</v>
      </c>
      <c r="F1833" s="75">
        <v>1E-3</v>
      </c>
      <c r="G1833" s="65">
        <f>VLOOKUP(D1833,upahbahan,3,FALSE)</f>
        <v>145000</v>
      </c>
      <c r="H1833" s="65">
        <f t="shared" si="214"/>
        <v>145</v>
      </c>
      <c r="J1833" s="160"/>
      <c r="K1833" s="328"/>
    </row>
    <row r="1834" spans="3:11">
      <c r="C1834" s="84" t="s">
        <v>1220</v>
      </c>
      <c r="D1834" s="81"/>
      <c r="E1834" s="81"/>
      <c r="F1834" s="190"/>
      <c r="G1834" s="221"/>
      <c r="H1834" s="65">
        <f>SUM(H1830:H1833)</f>
        <v>8945</v>
      </c>
      <c r="I1834" s="222"/>
      <c r="J1834" s="160"/>
      <c r="K1834" s="328"/>
    </row>
    <row r="1835" spans="3:11">
      <c r="C1835" s="73" t="s">
        <v>1221</v>
      </c>
      <c r="D1835" s="60" t="s">
        <v>1222</v>
      </c>
      <c r="E1835" s="74"/>
      <c r="F1835" s="208"/>
      <c r="G1835" s="74"/>
      <c r="H1835" s="74"/>
      <c r="J1835" s="160"/>
      <c r="K1835" s="328"/>
    </row>
    <row r="1836" spans="3:11">
      <c r="C1836" s="368" t="s">
        <v>1215</v>
      </c>
      <c r="D1836" s="78" t="s">
        <v>852</v>
      </c>
      <c r="E1836" s="69" t="s">
        <v>114</v>
      </c>
      <c r="F1836" s="75">
        <v>1.1499999999999999</v>
      </c>
      <c r="G1836" s="65">
        <f>VLOOKUP(D1836,upahbahan,3,FALSE)</f>
        <v>40000</v>
      </c>
      <c r="H1836" s="65">
        <f t="shared" ref="H1836" si="215">F1836*G1836</f>
        <v>46000</v>
      </c>
      <c r="J1836" s="160"/>
      <c r="K1836" s="328"/>
    </row>
    <row r="1837" spans="3:11">
      <c r="C1837" s="84" t="s">
        <v>1226</v>
      </c>
      <c r="D1837" s="81"/>
      <c r="E1837" s="81"/>
      <c r="F1837" s="81"/>
      <c r="G1837" s="163"/>
      <c r="H1837" s="65">
        <f>SUM(H1836:H1836)</f>
        <v>46000</v>
      </c>
      <c r="J1837" s="160"/>
      <c r="K1837" s="328"/>
    </row>
    <row r="1838" spans="3:11">
      <c r="C1838" s="73" t="s">
        <v>1227</v>
      </c>
      <c r="D1838" s="60" t="s">
        <v>1228</v>
      </c>
      <c r="E1838" s="74"/>
      <c r="F1838" s="74"/>
      <c r="G1838" s="74"/>
      <c r="H1838" s="74"/>
      <c r="J1838" s="160"/>
      <c r="K1838" s="328"/>
    </row>
    <row r="1839" spans="3:11">
      <c r="C1839" s="84" t="s">
        <v>1229</v>
      </c>
      <c r="D1839" s="81"/>
      <c r="E1839" s="81"/>
      <c r="F1839" s="81"/>
      <c r="G1839" s="163"/>
      <c r="H1839" s="306">
        <v>0</v>
      </c>
      <c r="J1839" s="160"/>
      <c r="K1839" s="328"/>
    </row>
    <row r="1840" spans="3:11">
      <c r="C1840" s="59" t="s">
        <v>1230</v>
      </c>
      <c r="D1840" s="70" t="s">
        <v>1231</v>
      </c>
      <c r="E1840" s="71"/>
      <c r="F1840" s="71"/>
      <c r="G1840" s="72"/>
      <c r="H1840" s="307">
        <f>H1839+H1837+H1834</f>
        <v>54945</v>
      </c>
      <c r="I1840" s="322"/>
      <c r="J1840" s="160"/>
      <c r="K1840" s="328"/>
    </row>
    <row r="1841" spans="3:11">
      <c r="C1841" s="59" t="s">
        <v>1232</v>
      </c>
      <c r="D1841" s="70" t="s">
        <v>1410</v>
      </c>
      <c r="E1841" s="71"/>
      <c r="F1841" s="72"/>
      <c r="G1841" s="96">
        <f>$M$7</f>
        <v>0.1</v>
      </c>
      <c r="H1841" s="65">
        <f>H1840*G1841</f>
        <v>5494.5</v>
      </c>
      <c r="I1841" s="322"/>
      <c r="J1841" s="160"/>
      <c r="K1841" s="328"/>
    </row>
    <row r="1842" spans="3:11">
      <c r="C1842" s="59" t="s">
        <v>1233</v>
      </c>
      <c r="D1842" s="70" t="s">
        <v>1234</v>
      </c>
      <c r="E1842" s="71"/>
      <c r="F1842" s="71"/>
      <c r="G1842" s="72"/>
      <c r="H1842" s="308">
        <f>SUM(H1840:H1841)</f>
        <v>60439.5</v>
      </c>
      <c r="I1842" s="322"/>
      <c r="J1842" s="160"/>
      <c r="K1842" s="328"/>
    </row>
    <row r="1843" spans="3:11">
      <c r="J1843" s="160"/>
      <c r="K1843" s="328"/>
    </row>
    <row r="1844" spans="3:11">
      <c r="C1844" s="371" t="s">
        <v>1950</v>
      </c>
      <c r="D1844" s="318"/>
      <c r="E1844" s="318"/>
      <c r="F1844" s="318"/>
      <c r="G1844" s="318"/>
      <c r="H1844" s="318"/>
      <c r="I1844" s="57">
        <f>ROUNDDOWN(H1859,-2)</f>
        <v>125800</v>
      </c>
      <c r="J1844" s="160"/>
      <c r="K1844" s="328"/>
    </row>
    <row r="1845" spans="3:11" ht="28.5">
      <c r="C1845" s="303" t="s">
        <v>1207</v>
      </c>
      <c r="D1845" s="303" t="s">
        <v>1208</v>
      </c>
      <c r="E1845" s="303" t="s">
        <v>1209</v>
      </c>
      <c r="F1845" s="303" t="s">
        <v>1210</v>
      </c>
      <c r="G1845" s="303" t="s">
        <v>1211</v>
      </c>
      <c r="H1845" s="303" t="s">
        <v>1212</v>
      </c>
      <c r="J1845" s="160"/>
      <c r="K1845" s="328"/>
    </row>
    <row r="1846" spans="3:11">
      <c r="C1846" s="73" t="s">
        <v>1213</v>
      </c>
      <c r="D1846" s="60" t="s">
        <v>1214</v>
      </c>
      <c r="E1846" s="74"/>
      <c r="F1846" s="74"/>
      <c r="G1846" s="74"/>
      <c r="H1846" s="74"/>
      <c r="J1846" s="160"/>
      <c r="K1846" s="328"/>
    </row>
    <row r="1847" spans="3:11">
      <c r="C1847" s="304">
        <v>1</v>
      </c>
      <c r="D1847" s="60" t="s">
        <v>5</v>
      </c>
      <c r="E1847" s="305" t="s">
        <v>6</v>
      </c>
      <c r="F1847" s="184">
        <v>2.9000000000000001E-2</v>
      </c>
      <c r="G1847" s="65">
        <f>VLOOKUP(D1847,upahbahan,3,FALSE)</f>
        <v>100000</v>
      </c>
      <c r="H1847" s="65">
        <f t="shared" ref="H1847:H1850" si="216">F1847*G1847</f>
        <v>2900</v>
      </c>
      <c r="J1847" s="160"/>
      <c r="K1847" s="328"/>
    </row>
    <row r="1848" spans="3:11">
      <c r="C1848" s="304">
        <v>2</v>
      </c>
      <c r="D1848" s="60" t="str">
        <f>D1831</f>
        <v>Tukang listrik</v>
      </c>
      <c r="E1848" s="305" t="s">
        <v>6</v>
      </c>
      <c r="F1848" s="184">
        <v>4.8000000000000001E-2</v>
      </c>
      <c r="G1848" s="65">
        <f>VLOOKUP(D1848,upahbahan,3,FALSE)</f>
        <v>145000</v>
      </c>
      <c r="H1848" s="65">
        <f t="shared" si="216"/>
        <v>6960</v>
      </c>
      <c r="J1848" s="160"/>
      <c r="K1848" s="328"/>
    </row>
    <row r="1849" spans="3:11">
      <c r="C1849" s="304">
        <v>3</v>
      </c>
      <c r="D1849" s="60" t="s">
        <v>18</v>
      </c>
      <c r="E1849" s="305" t="s">
        <v>6</v>
      </c>
      <c r="F1849" s="184">
        <v>5.0000000000000001E-3</v>
      </c>
      <c r="G1849" s="65">
        <f>VLOOKUP(D1849,upahbahan,3,FALSE)</f>
        <v>150000</v>
      </c>
      <c r="H1849" s="65">
        <f t="shared" si="216"/>
        <v>750</v>
      </c>
      <c r="J1849" s="160"/>
      <c r="K1849" s="328"/>
    </row>
    <row r="1850" spans="3:11">
      <c r="C1850" s="304">
        <v>4</v>
      </c>
      <c r="D1850" s="60" t="s">
        <v>19</v>
      </c>
      <c r="E1850" s="305" t="s">
        <v>6</v>
      </c>
      <c r="F1850" s="184">
        <v>2E-3</v>
      </c>
      <c r="G1850" s="65">
        <f>VLOOKUP(D1850,upahbahan,3,FALSE)</f>
        <v>145000</v>
      </c>
      <c r="H1850" s="65">
        <f t="shared" si="216"/>
        <v>290</v>
      </c>
      <c r="J1850" s="160"/>
      <c r="K1850" s="328"/>
    </row>
    <row r="1851" spans="3:11">
      <c r="C1851" s="84" t="s">
        <v>1220</v>
      </c>
      <c r="D1851" s="81"/>
      <c r="E1851" s="81"/>
      <c r="F1851" s="190"/>
      <c r="G1851" s="221"/>
      <c r="H1851" s="65">
        <f>SUM(H1847:H1850)</f>
        <v>10900</v>
      </c>
      <c r="I1851" s="222"/>
      <c r="J1851" s="160"/>
      <c r="K1851" s="328"/>
    </row>
    <row r="1852" spans="3:11">
      <c r="C1852" s="73" t="s">
        <v>1221</v>
      </c>
      <c r="D1852" s="60" t="s">
        <v>1222</v>
      </c>
      <c r="E1852" s="74"/>
      <c r="F1852" s="208"/>
      <c r="G1852" s="74"/>
      <c r="H1852" s="74"/>
      <c r="J1852" s="160"/>
      <c r="K1852" s="328"/>
    </row>
    <row r="1853" spans="3:11">
      <c r="C1853" s="368" t="s">
        <v>1215</v>
      </c>
      <c r="D1853" s="78" t="s">
        <v>854</v>
      </c>
      <c r="E1853" s="69" t="s">
        <v>114</v>
      </c>
      <c r="F1853" s="184">
        <v>1.1499999999999999</v>
      </c>
      <c r="G1853" s="65">
        <f>VLOOKUP(D1853,upahbahan,3,FALSE)</f>
        <v>90000</v>
      </c>
      <c r="H1853" s="65">
        <f t="shared" ref="H1853" si="217">F1853*G1853</f>
        <v>103499.99999999999</v>
      </c>
      <c r="J1853" s="160"/>
      <c r="K1853" s="328"/>
    </row>
    <row r="1854" spans="3:11">
      <c r="C1854" s="84" t="s">
        <v>1226</v>
      </c>
      <c r="D1854" s="81"/>
      <c r="E1854" s="81"/>
      <c r="F1854" s="81"/>
      <c r="G1854" s="163"/>
      <c r="H1854" s="65">
        <f>SUM(H1853:H1853)</f>
        <v>103499.99999999999</v>
      </c>
      <c r="J1854" s="160"/>
      <c r="K1854" s="328"/>
    </row>
    <row r="1855" spans="3:11">
      <c r="C1855" s="73" t="s">
        <v>1227</v>
      </c>
      <c r="D1855" s="60" t="s">
        <v>1228</v>
      </c>
      <c r="E1855" s="74"/>
      <c r="F1855" s="74"/>
      <c r="G1855" s="74"/>
      <c r="H1855" s="74"/>
      <c r="J1855" s="160"/>
      <c r="K1855" s="328"/>
    </row>
    <row r="1856" spans="3:11">
      <c r="C1856" s="84" t="s">
        <v>1229</v>
      </c>
      <c r="D1856" s="81"/>
      <c r="E1856" s="81"/>
      <c r="F1856" s="81"/>
      <c r="G1856" s="163"/>
      <c r="H1856" s="306">
        <v>0</v>
      </c>
      <c r="J1856" s="160"/>
      <c r="K1856" s="328"/>
    </row>
    <row r="1857" spans="3:11">
      <c r="C1857" s="59" t="s">
        <v>1230</v>
      </c>
      <c r="D1857" s="70" t="s">
        <v>1231</v>
      </c>
      <c r="E1857" s="71"/>
      <c r="F1857" s="71"/>
      <c r="G1857" s="72"/>
      <c r="H1857" s="307">
        <f>H1856+H1854+H1851</f>
        <v>114399.99999999999</v>
      </c>
      <c r="I1857" s="322"/>
      <c r="J1857" s="160"/>
      <c r="K1857" s="328"/>
    </row>
    <row r="1858" spans="3:11">
      <c r="C1858" s="59" t="s">
        <v>1232</v>
      </c>
      <c r="D1858" s="70" t="s">
        <v>1410</v>
      </c>
      <c r="E1858" s="71"/>
      <c r="F1858" s="72"/>
      <c r="G1858" s="96">
        <f>$M$7</f>
        <v>0.1</v>
      </c>
      <c r="H1858" s="65">
        <f>H1857*G1858</f>
        <v>11440</v>
      </c>
      <c r="I1858" s="322"/>
      <c r="J1858" s="160"/>
      <c r="K1858" s="328"/>
    </row>
    <row r="1859" spans="3:11">
      <c r="C1859" s="59" t="s">
        <v>1233</v>
      </c>
      <c r="D1859" s="70" t="s">
        <v>1234</v>
      </c>
      <c r="E1859" s="71"/>
      <c r="F1859" s="71"/>
      <c r="G1859" s="72"/>
      <c r="H1859" s="308">
        <f>SUM(H1857:H1858)</f>
        <v>125839.99999999999</v>
      </c>
      <c r="I1859" s="322"/>
      <c r="J1859" s="160"/>
      <c r="K1859" s="328"/>
    </row>
    <row r="1860" spans="3:11">
      <c r="J1860" s="160"/>
      <c r="K1860" s="328"/>
    </row>
    <row r="1861" spans="3:11">
      <c r="C1861" s="371" t="s">
        <v>1951</v>
      </c>
      <c r="D1861" s="318"/>
      <c r="E1861" s="318"/>
      <c r="F1861" s="318"/>
      <c r="G1861" s="318"/>
      <c r="H1861" s="318"/>
      <c r="I1861" s="57">
        <f>ROUNDDOWN(H1876,-2)</f>
        <v>151100</v>
      </c>
      <c r="J1861" s="160"/>
      <c r="K1861" s="328"/>
    </row>
    <row r="1862" spans="3:11" ht="28.5">
      <c r="C1862" s="303" t="s">
        <v>1207</v>
      </c>
      <c r="D1862" s="303" t="s">
        <v>1208</v>
      </c>
      <c r="E1862" s="303" t="s">
        <v>1209</v>
      </c>
      <c r="F1862" s="303" t="s">
        <v>1210</v>
      </c>
      <c r="G1862" s="303" t="s">
        <v>1211</v>
      </c>
      <c r="H1862" s="303" t="s">
        <v>1212</v>
      </c>
      <c r="J1862" s="160"/>
      <c r="K1862" s="328"/>
    </row>
    <row r="1863" spans="3:11">
      <c r="C1863" s="73" t="s">
        <v>1213</v>
      </c>
      <c r="D1863" s="60" t="s">
        <v>1214</v>
      </c>
      <c r="E1863" s="74"/>
      <c r="F1863" s="74"/>
      <c r="G1863" s="74"/>
      <c r="H1863" s="74"/>
      <c r="J1863" s="160"/>
      <c r="K1863" s="328"/>
    </row>
    <row r="1864" spans="3:11">
      <c r="C1864" s="304">
        <v>1</v>
      </c>
      <c r="D1864" s="60" t="s">
        <v>5</v>
      </c>
      <c r="E1864" s="305" t="s">
        <v>6</v>
      </c>
      <c r="F1864" s="184">
        <v>2.9000000000000001E-2</v>
      </c>
      <c r="G1864" s="65">
        <f>VLOOKUP(D1864,upahbahan,3,FALSE)</f>
        <v>100000</v>
      </c>
      <c r="H1864" s="65">
        <f t="shared" ref="H1864:H1867" si="218">F1864*G1864</f>
        <v>2900</v>
      </c>
      <c r="J1864" s="160"/>
      <c r="K1864" s="328"/>
    </row>
    <row r="1865" spans="3:11">
      <c r="C1865" s="304">
        <v>2</v>
      </c>
      <c r="D1865" s="60" t="str">
        <f>D1848</f>
        <v>Tukang listrik</v>
      </c>
      <c r="E1865" s="305" t="s">
        <v>6</v>
      </c>
      <c r="F1865" s="184">
        <v>4.8000000000000001E-2</v>
      </c>
      <c r="G1865" s="65">
        <f>VLOOKUP(D1865,upahbahan,3,FALSE)</f>
        <v>145000</v>
      </c>
      <c r="H1865" s="65">
        <f t="shared" si="218"/>
        <v>6960</v>
      </c>
      <c r="J1865" s="160"/>
      <c r="K1865" s="328"/>
    </row>
    <row r="1866" spans="3:11">
      <c r="C1866" s="304">
        <v>3</v>
      </c>
      <c r="D1866" s="60" t="s">
        <v>18</v>
      </c>
      <c r="E1866" s="305" t="s">
        <v>6</v>
      </c>
      <c r="F1866" s="184">
        <v>5.0000000000000001E-3</v>
      </c>
      <c r="G1866" s="65">
        <f>VLOOKUP(D1866,upahbahan,3,FALSE)</f>
        <v>150000</v>
      </c>
      <c r="H1866" s="65">
        <f t="shared" si="218"/>
        <v>750</v>
      </c>
      <c r="J1866" s="160"/>
      <c r="K1866" s="328"/>
    </row>
    <row r="1867" spans="3:11">
      <c r="C1867" s="304">
        <v>4</v>
      </c>
      <c r="D1867" s="60" t="s">
        <v>19</v>
      </c>
      <c r="E1867" s="305" t="s">
        <v>6</v>
      </c>
      <c r="F1867" s="184">
        <v>2E-3</v>
      </c>
      <c r="G1867" s="65">
        <f>VLOOKUP(D1867,upahbahan,3,FALSE)</f>
        <v>145000</v>
      </c>
      <c r="H1867" s="65">
        <f t="shared" si="218"/>
        <v>290</v>
      </c>
      <c r="J1867" s="160"/>
      <c r="K1867" s="328"/>
    </row>
    <row r="1868" spans="3:11">
      <c r="C1868" s="84" t="s">
        <v>1220</v>
      </c>
      <c r="D1868" s="81"/>
      <c r="E1868" s="81"/>
      <c r="F1868" s="190"/>
      <c r="G1868" s="221"/>
      <c r="H1868" s="65">
        <f>SUM(H1864:H1867)</f>
        <v>10900</v>
      </c>
      <c r="I1868" s="222"/>
      <c r="J1868" s="160"/>
      <c r="K1868" s="328"/>
    </row>
    <row r="1869" spans="3:11">
      <c r="C1869" s="73" t="s">
        <v>1221</v>
      </c>
      <c r="D1869" s="60" t="s">
        <v>1222</v>
      </c>
      <c r="E1869" s="74"/>
      <c r="F1869" s="208"/>
      <c r="G1869" s="74"/>
      <c r="H1869" s="74"/>
      <c r="J1869" s="160"/>
      <c r="K1869" s="328"/>
    </row>
    <row r="1870" spans="3:11">
      <c r="C1870" s="368" t="s">
        <v>1215</v>
      </c>
      <c r="D1870" s="78" t="s">
        <v>855</v>
      </c>
      <c r="E1870" s="69" t="s">
        <v>114</v>
      </c>
      <c r="F1870" s="184">
        <v>1.1499999999999999</v>
      </c>
      <c r="G1870" s="65">
        <f>VLOOKUP(D1870,upahbahan,3,FALSE)</f>
        <v>110000</v>
      </c>
      <c r="H1870" s="65">
        <f t="shared" ref="H1870" si="219">F1870*G1870</f>
        <v>126499.99999999999</v>
      </c>
      <c r="J1870" s="160"/>
      <c r="K1870" s="328"/>
    </row>
    <row r="1871" spans="3:11">
      <c r="C1871" s="84" t="s">
        <v>1226</v>
      </c>
      <c r="D1871" s="81"/>
      <c r="E1871" s="81"/>
      <c r="F1871" s="81"/>
      <c r="G1871" s="163"/>
      <c r="H1871" s="65">
        <f>SUM(H1870:H1870)</f>
        <v>126499.99999999999</v>
      </c>
      <c r="J1871" s="160"/>
      <c r="K1871" s="328"/>
    </row>
    <row r="1872" spans="3:11">
      <c r="C1872" s="73" t="s">
        <v>1227</v>
      </c>
      <c r="D1872" s="60" t="s">
        <v>1228</v>
      </c>
      <c r="E1872" s="74"/>
      <c r="F1872" s="74"/>
      <c r="G1872" s="74"/>
      <c r="H1872" s="74"/>
      <c r="J1872" s="160"/>
      <c r="K1872" s="328"/>
    </row>
    <row r="1873" spans="3:11">
      <c r="C1873" s="84" t="s">
        <v>1229</v>
      </c>
      <c r="D1873" s="81"/>
      <c r="E1873" s="81"/>
      <c r="F1873" s="81"/>
      <c r="G1873" s="163"/>
      <c r="H1873" s="306">
        <v>0</v>
      </c>
      <c r="J1873" s="160"/>
      <c r="K1873" s="328"/>
    </row>
    <row r="1874" spans="3:11">
      <c r="C1874" s="59" t="s">
        <v>1230</v>
      </c>
      <c r="D1874" s="70" t="s">
        <v>1231</v>
      </c>
      <c r="E1874" s="71"/>
      <c r="F1874" s="71"/>
      <c r="G1874" s="72"/>
      <c r="H1874" s="307">
        <f>H1873+H1871+H1868</f>
        <v>137400</v>
      </c>
      <c r="I1874" s="322"/>
      <c r="J1874" s="160"/>
      <c r="K1874" s="328"/>
    </row>
    <row r="1875" spans="3:11">
      <c r="C1875" s="59" t="s">
        <v>1232</v>
      </c>
      <c r="D1875" s="70" t="s">
        <v>1410</v>
      </c>
      <c r="E1875" s="71"/>
      <c r="F1875" s="72"/>
      <c r="G1875" s="96">
        <f>$M$7</f>
        <v>0.1</v>
      </c>
      <c r="H1875" s="65">
        <f>H1874*G1875</f>
        <v>13740</v>
      </c>
      <c r="I1875" s="322"/>
      <c r="J1875" s="160"/>
      <c r="K1875" s="328"/>
    </row>
    <row r="1876" spans="3:11">
      <c r="C1876" s="59" t="s">
        <v>1233</v>
      </c>
      <c r="D1876" s="70" t="s">
        <v>1234</v>
      </c>
      <c r="E1876" s="71"/>
      <c r="F1876" s="71"/>
      <c r="G1876" s="72"/>
      <c r="H1876" s="308">
        <f>SUM(H1874:H1875)</f>
        <v>151140</v>
      </c>
      <c r="I1876" s="322"/>
      <c r="J1876" s="160"/>
      <c r="K1876" s="328"/>
    </row>
    <row r="1877" spans="3:11">
      <c r="J1877" s="160"/>
      <c r="K1877" s="328"/>
    </row>
    <row r="1878" spans="3:11">
      <c r="C1878" s="371" t="s">
        <v>1952</v>
      </c>
      <c r="D1878" s="318"/>
      <c r="E1878" s="318"/>
      <c r="F1878" s="318"/>
      <c r="G1878" s="318"/>
      <c r="H1878" s="318"/>
      <c r="I1878" s="57">
        <f>ROUNDDOWN(H1893,-2)</f>
        <v>2107100</v>
      </c>
      <c r="J1878" s="160"/>
      <c r="K1878" s="328"/>
    </row>
    <row r="1879" spans="3:11" ht="28.5">
      <c r="C1879" s="303" t="s">
        <v>1207</v>
      </c>
      <c r="D1879" s="303" t="s">
        <v>1208</v>
      </c>
      <c r="E1879" s="303" t="s">
        <v>1209</v>
      </c>
      <c r="F1879" s="303" t="s">
        <v>1210</v>
      </c>
      <c r="G1879" s="303" t="s">
        <v>1211</v>
      </c>
      <c r="H1879" s="303" t="s">
        <v>1212</v>
      </c>
      <c r="J1879" s="160"/>
      <c r="K1879" s="328"/>
    </row>
    <row r="1880" spans="3:11">
      <c r="C1880" s="73" t="s">
        <v>1213</v>
      </c>
      <c r="D1880" s="60" t="s">
        <v>1214</v>
      </c>
      <c r="E1880" s="74"/>
      <c r="F1880" s="74"/>
      <c r="G1880" s="74"/>
      <c r="H1880" s="74"/>
      <c r="J1880" s="160"/>
      <c r="K1880" s="328"/>
    </row>
    <row r="1881" spans="3:11">
      <c r="C1881" s="304">
        <v>1</v>
      </c>
      <c r="D1881" s="60" t="s">
        <v>5</v>
      </c>
      <c r="E1881" s="305" t="s">
        <v>6</v>
      </c>
      <c r="F1881" s="75">
        <v>0.17899999999999999</v>
      </c>
      <c r="G1881" s="65">
        <f>VLOOKUP(D1881,upahbahan,3,FALSE)</f>
        <v>100000</v>
      </c>
      <c r="H1881" s="65">
        <f t="shared" ref="H1881:H1884" si="220">F1881*G1881</f>
        <v>17900</v>
      </c>
      <c r="J1881" s="160"/>
      <c r="K1881" s="328"/>
    </row>
    <row r="1882" spans="3:11">
      <c r="C1882" s="304">
        <v>2</v>
      </c>
      <c r="D1882" s="60" t="str">
        <f>D1865</f>
        <v>Tukang listrik</v>
      </c>
      <c r="E1882" s="305" t="s">
        <v>6</v>
      </c>
      <c r="F1882" s="75">
        <v>0.29799999999999999</v>
      </c>
      <c r="G1882" s="65">
        <f>VLOOKUP(D1882,upahbahan,3,FALSE)</f>
        <v>145000</v>
      </c>
      <c r="H1882" s="65">
        <f t="shared" si="220"/>
        <v>43210</v>
      </c>
      <c r="J1882" s="160"/>
      <c r="K1882" s="328"/>
    </row>
    <row r="1883" spans="3:11">
      <c r="C1883" s="304">
        <v>3</v>
      </c>
      <c r="D1883" s="60" t="s">
        <v>18</v>
      </c>
      <c r="E1883" s="305" t="s">
        <v>6</v>
      </c>
      <c r="F1883" s="75">
        <v>0.03</v>
      </c>
      <c r="G1883" s="65">
        <f>VLOOKUP(D1883,upahbahan,3,FALSE)</f>
        <v>150000</v>
      </c>
      <c r="H1883" s="65">
        <f t="shared" si="220"/>
        <v>4500</v>
      </c>
      <c r="J1883" s="160"/>
      <c r="K1883" s="328"/>
    </row>
    <row r="1884" spans="3:11">
      <c r="C1884" s="304">
        <v>4</v>
      </c>
      <c r="D1884" s="60" t="s">
        <v>19</v>
      </c>
      <c r="E1884" s="305" t="s">
        <v>6</v>
      </c>
      <c r="F1884" s="75">
        <v>0.01</v>
      </c>
      <c r="G1884" s="65">
        <f>VLOOKUP(D1884,upahbahan,3,FALSE)</f>
        <v>145000</v>
      </c>
      <c r="H1884" s="65">
        <f t="shared" si="220"/>
        <v>1450</v>
      </c>
      <c r="J1884" s="160"/>
      <c r="K1884" s="328"/>
    </row>
    <row r="1885" spans="3:11">
      <c r="C1885" s="84" t="s">
        <v>1220</v>
      </c>
      <c r="D1885" s="81"/>
      <c r="E1885" s="81"/>
      <c r="F1885" s="190"/>
      <c r="G1885" s="221"/>
      <c r="H1885" s="65">
        <f>SUM(H1881:H1884)</f>
        <v>67060</v>
      </c>
      <c r="I1885" s="222"/>
      <c r="J1885" s="160"/>
      <c r="K1885" s="328"/>
    </row>
    <row r="1886" spans="3:11">
      <c r="C1886" s="73" t="s">
        <v>1221</v>
      </c>
      <c r="D1886" s="60" t="s">
        <v>1222</v>
      </c>
      <c r="E1886" s="74"/>
      <c r="F1886" s="208"/>
      <c r="G1886" s="74"/>
      <c r="H1886" s="74"/>
      <c r="J1886" s="160"/>
      <c r="K1886" s="328"/>
    </row>
    <row r="1887" spans="3:11">
      <c r="C1887" s="368" t="s">
        <v>1215</v>
      </c>
      <c r="D1887" s="78" t="s">
        <v>853</v>
      </c>
      <c r="E1887" s="69" t="s">
        <v>114</v>
      </c>
      <c r="F1887" s="184">
        <v>1.1499999999999999</v>
      </c>
      <c r="G1887" s="65">
        <f>VLOOKUP(D1887,upahbahan,3,FALSE)</f>
        <v>1607400</v>
      </c>
      <c r="H1887" s="65">
        <f t="shared" ref="H1887" si="221">F1887*G1887</f>
        <v>1848509.9999999998</v>
      </c>
      <c r="J1887" s="160"/>
      <c r="K1887" s="328"/>
    </row>
    <row r="1888" spans="3:11">
      <c r="C1888" s="84" t="s">
        <v>1226</v>
      </c>
      <c r="D1888" s="81"/>
      <c r="E1888" s="81"/>
      <c r="F1888" s="81"/>
      <c r="G1888" s="163"/>
      <c r="H1888" s="65">
        <f>SUM(H1887:H1887)</f>
        <v>1848509.9999999998</v>
      </c>
      <c r="J1888" s="160"/>
      <c r="K1888" s="328"/>
    </row>
    <row r="1889" spans="3:11">
      <c r="C1889" s="73" t="s">
        <v>1227</v>
      </c>
      <c r="D1889" s="60" t="s">
        <v>1228</v>
      </c>
      <c r="E1889" s="74"/>
      <c r="F1889" s="74"/>
      <c r="G1889" s="74"/>
      <c r="H1889" s="74"/>
      <c r="J1889" s="160"/>
      <c r="K1889" s="328"/>
    </row>
    <row r="1890" spans="3:11">
      <c r="C1890" s="84" t="s">
        <v>1229</v>
      </c>
      <c r="D1890" s="81"/>
      <c r="E1890" s="81"/>
      <c r="F1890" s="81"/>
      <c r="G1890" s="163"/>
      <c r="H1890" s="306">
        <v>0</v>
      </c>
      <c r="J1890" s="160"/>
      <c r="K1890" s="328"/>
    </row>
    <row r="1891" spans="3:11">
      <c r="C1891" s="59" t="s">
        <v>1230</v>
      </c>
      <c r="D1891" s="70" t="s">
        <v>1231</v>
      </c>
      <c r="E1891" s="71"/>
      <c r="F1891" s="71"/>
      <c r="G1891" s="72"/>
      <c r="H1891" s="307">
        <f>H1890+H1888+H1885</f>
        <v>1915569.9999999998</v>
      </c>
      <c r="I1891" s="322"/>
      <c r="J1891" s="160"/>
      <c r="K1891" s="328"/>
    </row>
    <row r="1892" spans="3:11">
      <c r="C1892" s="59" t="s">
        <v>1232</v>
      </c>
      <c r="D1892" s="70" t="s">
        <v>1410</v>
      </c>
      <c r="E1892" s="71"/>
      <c r="F1892" s="72"/>
      <c r="G1892" s="96">
        <f>$M$7</f>
        <v>0.1</v>
      </c>
      <c r="H1892" s="65">
        <f>H1891*G1892</f>
        <v>191557</v>
      </c>
      <c r="I1892" s="322"/>
      <c r="J1892" s="160"/>
      <c r="K1892" s="328"/>
    </row>
    <row r="1893" spans="3:11">
      <c r="C1893" s="59" t="s">
        <v>1233</v>
      </c>
      <c r="D1893" s="70" t="s">
        <v>1234</v>
      </c>
      <c r="E1893" s="71"/>
      <c r="F1893" s="71"/>
      <c r="G1893" s="72"/>
      <c r="H1893" s="308">
        <f>SUM(H1891:H1892)</f>
        <v>2107127</v>
      </c>
      <c r="I1893" s="322"/>
      <c r="J1893" s="160"/>
      <c r="K1893" s="328"/>
    </row>
    <row r="1894" spans="3:11">
      <c r="J1894" s="160"/>
      <c r="K1894" s="328"/>
    </row>
    <row r="1895" spans="3:11">
      <c r="C1895" s="371" t="s">
        <v>1953</v>
      </c>
      <c r="D1895" s="318"/>
      <c r="E1895" s="318"/>
      <c r="F1895" s="318"/>
      <c r="G1895" s="318"/>
      <c r="H1895" s="318"/>
      <c r="I1895" s="57">
        <f>ROUNDDOWN(H1910,-2)</f>
        <v>406900</v>
      </c>
      <c r="J1895" s="160"/>
      <c r="K1895" s="328"/>
    </row>
    <row r="1896" spans="3:11" ht="28.5">
      <c r="C1896" s="303" t="s">
        <v>1207</v>
      </c>
      <c r="D1896" s="303" t="s">
        <v>1208</v>
      </c>
      <c r="E1896" s="303" t="s">
        <v>1209</v>
      </c>
      <c r="F1896" s="303" t="s">
        <v>1210</v>
      </c>
      <c r="G1896" s="303" t="s">
        <v>1211</v>
      </c>
      <c r="H1896" s="303" t="s">
        <v>1212</v>
      </c>
      <c r="J1896" s="160"/>
      <c r="K1896" s="328"/>
    </row>
    <row r="1897" spans="3:11">
      <c r="C1897" s="73" t="s">
        <v>1213</v>
      </c>
      <c r="D1897" s="60" t="s">
        <v>1214</v>
      </c>
      <c r="E1897" s="74"/>
      <c r="F1897" s="74"/>
      <c r="G1897" s="74"/>
      <c r="H1897" s="74"/>
      <c r="J1897" s="160"/>
      <c r="K1897" s="328"/>
    </row>
    <row r="1898" spans="3:11">
      <c r="C1898" s="304">
        <v>1</v>
      </c>
      <c r="D1898" s="60" t="s">
        <v>5</v>
      </c>
      <c r="E1898" s="305" t="s">
        <v>6</v>
      </c>
      <c r="F1898" s="184">
        <v>0.14299999999999999</v>
      </c>
      <c r="G1898" s="65">
        <f>VLOOKUP(D1898,upahbahan,3,FALSE)</f>
        <v>100000</v>
      </c>
      <c r="H1898" s="65">
        <f t="shared" ref="H1898:H1901" si="222">F1898*G1898</f>
        <v>14299.999999999998</v>
      </c>
      <c r="J1898" s="160"/>
      <c r="K1898" s="328"/>
    </row>
    <row r="1899" spans="3:11">
      <c r="C1899" s="304">
        <v>2</v>
      </c>
      <c r="D1899" s="60" t="str">
        <f>D1882</f>
        <v>Tukang listrik</v>
      </c>
      <c r="E1899" s="305" t="s">
        <v>6</v>
      </c>
      <c r="F1899" s="184">
        <v>0.23899999999999999</v>
      </c>
      <c r="G1899" s="65">
        <f>VLOOKUP(D1899,upahbahan,3,FALSE)</f>
        <v>145000</v>
      </c>
      <c r="H1899" s="65">
        <f t="shared" si="222"/>
        <v>34655</v>
      </c>
      <c r="J1899" s="160"/>
      <c r="K1899" s="328"/>
    </row>
    <row r="1900" spans="3:11">
      <c r="C1900" s="304">
        <v>3</v>
      </c>
      <c r="D1900" s="60" t="s">
        <v>18</v>
      </c>
      <c r="E1900" s="305" t="s">
        <v>6</v>
      </c>
      <c r="F1900" s="184">
        <v>2.4E-2</v>
      </c>
      <c r="G1900" s="65">
        <f>VLOOKUP(D1900,upahbahan,3,FALSE)</f>
        <v>150000</v>
      </c>
      <c r="H1900" s="65">
        <f t="shared" si="222"/>
        <v>3600</v>
      </c>
      <c r="J1900" s="160"/>
      <c r="K1900" s="328"/>
    </row>
    <row r="1901" spans="3:11">
      <c r="C1901" s="304">
        <v>4</v>
      </c>
      <c r="D1901" s="60" t="s">
        <v>19</v>
      </c>
      <c r="E1901" s="305" t="s">
        <v>6</v>
      </c>
      <c r="F1901" s="184">
        <v>8.0000000000000002E-3</v>
      </c>
      <c r="G1901" s="65">
        <f>VLOOKUP(D1901,upahbahan,3,FALSE)</f>
        <v>145000</v>
      </c>
      <c r="H1901" s="65">
        <f t="shared" si="222"/>
        <v>1160</v>
      </c>
      <c r="J1901" s="160"/>
      <c r="K1901" s="328"/>
    </row>
    <row r="1902" spans="3:11">
      <c r="C1902" s="84" t="s">
        <v>1220</v>
      </c>
      <c r="D1902" s="81"/>
      <c r="E1902" s="81"/>
      <c r="F1902" s="190"/>
      <c r="G1902" s="221"/>
      <c r="H1902" s="65">
        <f>SUM(H1898:H1901)</f>
        <v>53715</v>
      </c>
      <c r="I1902" s="222"/>
      <c r="J1902" s="160"/>
      <c r="K1902" s="328"/>
    </row>
    <row r="1903" spans="3:11">
      <c r="C1903" s="73" t="s">
        <v>1221</v>
      </c>
      <c r="D1903" s="60" t="s">
        <v>1222</v>
      </c>
      <c r="E1903" s="74"/>
      <c r="F1903" s="208"/>
      <c r="G1903" s="74"/>
      <c r="H1903" s="74"/>
      <c r="J1903" s="160"/>
      <c r="K1903" s="328"/>
    </row>
    <row r="1904" spans="3:11">
      <c r="C1904" s="368" t="s">
        <v>1215</v>
      </c>
      <c r="D1904" s="78" t="s">
        <v>849</v>
      </c>
      <c r="E1904" s="69" t="s">
        <v>114</v>
      </c>
      <c r="F1904" s="184">
        <v>1.1499999999999999</v>
      </c>
      <c r="G1904" s="65">
        <f>VLOOKUP(D1904,upahbahan,3,FALSE)</f>
        <v>275000</v>
      </c>
      <c r="H1904" s="65">
        <f t="shared" ref="H1904" si="223">F1904*G1904</f>
        <v>316250</v>
      </c>
      <c r="J1904" s="160"/>
      <c r="K1904" s="328"/>
    </row>
    <row r="1905" spans="3:11">
      <c r="C1905" s="84" t="s">
        <v>1226</v>
      </c>
      <c r="D1905" s="81"/>
      <c r="E1905" s="81"/>
      <c r="F1905" s="81"/>
      <c r="G1905" s="163"/>
      <c r="H1905" s="65">
        <f>SUM(H1904:H1904)</f>
        <v>316250</v>
      </c>
      <c r="J1905" s="160"/>
      <c r="K1905" s="328"/>
    </row>
    <row r="1906" spans="3:11">
      <c r="C1906" s="73" t="s">
        <v>1227</v>
      </c>
      <c r="D1906" s="60" t="s">
        <v>1228</v>
      </c>
      <c r="E1906" s="74"/>
      <c r="F1906" s="74"/>
      <c r="G1906" s="74"/>
      <c r="H1906" s="74"/>
      <c r="J1906" s="160"/>
      <c r="K1906" s="328"/>
    </row>
    <row r="1907" spans="3:11">
      <c r="C1907" s="84" t="s">
        <v>1229</v>
      </c>
      <c r="D1907" s="81"/>
      <c r="E1907" s="81"/>
      <c r="F1907" s="81"/>
      <c r="G1907" s="163"/>
      <c r="H1907" s="306">
        <v>0</v>
      </c>
      <c r="J1907" s="160"/>
      <c r="K1907" s="328"/>
    </row>
    <row r="1908" spans="3:11">
      <c r="C1908" s="59" t="s">
        <v>1230</v>
      </c>
      <c r="D1908" s="70" t="s">
        <v>1231</v>
      </c>
      <c r="E1908" s="71"/>
      <c r="F1908" s="71"/>
      <c r="G1908" s="72"/>
      <c r="H1908" s="307">
        <f>H1907+H1905+H1902</f>
        <v>369965</v>
      </c>
      <c r="I1908" s="322"/>
      <c r="J1908" s="160"/>
      <c r="K1908" s="328"/>
    </row>
    <row r="1909" spans="3:11">
      <c r="C1909" s="59" t="s">
        <v>1232</v>
      </c>
      <c r="D1909" s="70" t="s">
        <v>1410</v>
      </c>
      <c r="E1909" s="71"/>
      <c r="F1909" s="72"/>
      <c r="G1909" s="96">
        <f>$M$7</f>
        <v>0.1</v>
      </c>
      <c r="H1909" s="65">
        <f>H1908*G1909</f>
        <v>36996.5</v>
      </c>
      <c r="I1909" s="322"/>
      <c r="J1909" s="160"/>
      <c r="K1909" s="328"/>
    </row>
    <row r="1910" spans="3:11">
      <c r="C1910" s="59" t="s">
        <v>1233</v>
      </c>
      <c r="D1910" s="70" t="s">
        <v>1234</v>
      </c>
      <c r="E1910" s="71"/>
      <c r="F1910" s="71"/>
      <c r="G1910" s="72"/>
      <c r="H1910" s="308">
        <f>SUM(H1908:H1909)</f>
        <v>406961.5</v>
      </c>
      <c r="I1910" s="322"/>
      <c r="J1910" s="160"/>
      <c r="K1910" s="328"/>
    </row>
    <row r="1911" spans="3:11">
      <c r="J1911" s="160"/>
      <c r="K1911" s="328"/>
    </row>
    <row r="1912" spans="3:11" ht="17.25">
      <c r="C1912" s="371" t="s">
        <v>1974</v>
      </c>
      <c r="D1912" s="318"/>
      <c r="E1912" s="318"/>
      <c r="F1912" s="318"/>
      <c r="G1912" s="318"/>
      <c r="H1912" s="318"/>
      <c r="I1912" s="57">
        <f>ROUNDDOWN(H1928,-2)</f>
        <v>44100</v>
      </c>
      <c r="J1912" s="160"/>
      <c r="K1912" s="328"/>
    </row>
    <row r="1913" spans="3:11" ht="28.5">
      <c r="C1913" s="303" t="s">
        <v>1207</v>
      </c>
      <c r="D1913" s="303" t="s">
        <v>1208</v>
      </c>
      <c r="E1913" s="303" t="s">
        <v>1209</v>
      </c>
      <c r="F1913" s="303" t="s">
        <v>1210</v>
      </c>
      <c r="G1913" s="303" t="s">
        <v>1211</v>
      </c>
      <c r="H1913" s="303" t="s">
        <v>1212</v>
      </c>
      <c r="J1913" s="160"/>
      <c r="K1913" s="328"/>
    </row>
    <row r="1914" spans="3:11">
      <c r="C1914" s="73" t="s">
        <v>1213</v>
      </c>
      <c r="D1914" s="60" t="s">
        <v>1214</v>
      </c>
      <c r="E1914" s="74"/>
      <c r="F1914" s="74"/>
      <c r="G1914" s="74"/>
      <c r="H1914" s="74"/>
      <c r="J1914" s="160"/>
      <c r="K1914" s="328"/>
    </row>
    <row r="1915" spans="3:11">
      <c r="C1915" s="304">
        <v>1</v>
      </c>
      <c r="D1915" s="60" t="s">
        <v>5</v>
      </c>
      <c r="E1915" s="305" t="s">
        <v>6</v>
      </c>
      <c r="F1915" s="75">
        <v>2.4E-2</v>
      </c>
      <c r="G1915" s="65">
        <f>VLOOKUP(D1915,upahbahan,3,FALSE)</f>
        <v>100000</v>
      </c>
      <c r="H1915" s="65">
        <f t="shared" ref="H1915:H1918" si="224">F1915*G1915</f>
        <v>2400</v>
      </c>
      <c r="J1915" s="160"/>
      <c r="K1915" s="328"/>
    </row>
    <row r="1916" spans="3:11">
      <c r="C1916" s="304">
        <v>2</v>
      </c>
      <c r="D1916" s="60" t="str">
        <f>D1899</f>
        <v>Tukang listrik</v>
      </c>
      <c r="E1916" s="305" t="s">
        <v>6</v>
      </c>
      <c r="F1916" s="75">
        <v>0.04</v>
      </c>
      <c r="G1916" s="65">
        <f>VLOOKUP(D1916,upahbahan,3,FALSE)</f>
        <v>145000</v>
      </c>
      <c r="H1916" s="65">
        <f t="shared" si="224"/>
        <v>5800</v>
      </c>
      <c r="J1916" s="160"/>
      <c r="K1916" s="328"/>
    </row>
    <row r="1917" spans="3:11">
      <c r="C1917" s="304">
        <v>3</v>
      </c>
      <c r="D1917" s="60" t="s">
        <v>18</v>
      </c>
      <c r="E1917" s="305" t="s">
        <v>6</v>
      </c>
      <c r="F1917" s="75">
        <v>4.0000000000000001E-3</v>
      </c>
      <c r="G1917" s="65">
        <f>VLOOKUP(D1917,upahbahan,3,FALSE)</f>
        <v>150000</v>
      </c>
      <c r="H1917" s="65">
        <f t="shared" si="224"/>
        <v>600</v>
      </c>
      <c r="J1917" s="160"/>
      <c r="K1917" s="328"/>
    </row>
    <row r="1918" spans="3:11">
      <c r="C1918" s="304">
        <v>4</v>
      </c>
      <c r="D1918" s="60" t="s">
        <v>19</v>
      </c>
      <c r="E1918" s="305" t="s">
        <v>6</v>
      </c>
      <c r="F1918" s="75">
        <v>1E-3</v>
      </c>
      <c r="G1918" s="65">
        <f>VLOOKUP(D1918,upahbahan,3,FALSE)</f>
        <v>145000</v>
      </c>
      <c r="H1918" s="65">
        <f t="shared" si="224"/>
        <v>145</v>
      </c>
      <c r="J1918" s="160"/>
      <c r="K1918" s="328"/>
    </row>
    <row r="1919" spans="3:11">
      <c r="C1919" s="84" t="s">
        <v>1220</v>
      </c>
      <c r="D1919" s="81"/>
      <c r="E1919" s="81"/>
      <c r="F1919" s="190"/>
      <c r="G1919" s="221"/>
      <c r="H1919" s="65">
        <f>SUM(H1915:H1918)</f>
        <v>8945</v>
      </c>
      <c r="I1919" s="222"/>
      <c r="J1919" s="160"/>
      <c r="K1919" s="328"/>
    </row>
    <row r="1920" spans="3:11">
      <c r="C1920" s="73" t="s">
        <v>1221</v>
      </c>
      <c r="D1920" s="60" t="s">
        <v>1222</v>
      </c>
      <c r="E1920" s="74"/>
      <c r="F1920" s="208"/>
      <c r="G1920" s="74"/>
      <c r="H1920" s="74"/>
      <c r="J1920" s="160"/>
      <c r="K1920" s="328"/>
    </row>
    <row r="1921" spans="3:11">
      <c r="C1921" s="368" t="s">
        <v>1215</v>
      </c>
      <c r="D1921" s="78" t="s">
        <v>850</v>
      </c>
      <c r="E1921" s="69" t="s">
        <v>114</v>
      </c>
      <c r="F1921" s="184">
        <v>1.1499999999999999</v>
      </c>
      <c r="G1921" s="65">
        <f>VLOOKUP(D1921,upahbahan,3,FALSE)</f>
        <v>23000</v>
      </c>
      <c r="H1921" s="65">
        <f t="shared" ref="H1921:H1922" si="225">F1921*G1921</f>
        <v>26449.999999999996</v>
      </c>
      <c r="J1921" s="160"/>
      <c r="K1921" s="328"/>
    </row>
    <row r="1922" spans="3:11">
      <c r="C1922" s="368" t="s">
        <v>1216</v>
      </c>
      <c r="D1922" s="78" t="s">
        <v>968</v>
      </c>
      <c r="E1922" s="69" t="s">
        <v>114</v>
      </c>
      <c r="F1922" s="184">
        <v>1.1499999999999999</v>
      </c>
      <c r="G1922" s="65">
        <f>VLOOKUP(D1922,upahbahan,3,FALSE)</f>
        <v>4100</v>
      </c>
      <c r="H1922" s="65">
        <f t="shared" si="225"/>
        <v>4715</v>
      </c>
      <c r="J1922" s="160"/>
      <c r="K1922" s="328"/>
    </row>
    <row r="1923" spans="3:11">
      <c r="C1923" s="84" t="s">
        <v>1226</v>
      </c>
      <c r="D1923" s="81"/>
      <c r="E1923" s="81"/>
      <c r="F1923" s="81"/>
      <c r="G1923" s="163"/>
      <c r="H1923" s="65">
        <f>SUM(H1921:H1922)</f>
        <v>31164.999999999996</v>
      </c>
      <c r="J1923" s="160"/>
      <c r="K1923" s="328"/>
    </row>
    <row r="1924" spans="3:11">
      <c r="C1924" s="73" t="s">
        <v>1227</v>
      </c>
      <c r="D1924" s="60" t="s">
        <v>1228</v>
      </c>
      <c r="E1924" s="74"/>
      <c r="F1924" s="74"/>
      <c r="G1924" s="74"/>
      <c r="H1924" s="74"/>
      <c r="J1924" s="160"/>
      <c r="K1924" s="328"/>
    </row>
    <row r="1925" spans="3:11">
      <c r="C1925" s="84" t="s">
        <v>1229</v>
      </c>
      <c r="D1925" s="81"/>
      <c r="E1925" s="81"/>
      <c r="F1925" s="81"/>
      <c r="G1925" s="163"/>
      <c r="H1925" s="306">
        <v>0</v>
      </c>
      <c r="J1925" s="160"/>
      <c r="K1925" s="328"/>
    </row>
    <row r="1926" spans="3:11">
      <c r="C1926" s="59" t="s">
        <v>1230</v>
      </c>
      <c r="D1926" s="70" t="s">
        <v>1231</v>
      </c>
      <c r="E1926" s="71"/>
      <c r="F1926" s="71"/>
      <c r="G1926" s="72"/>
      <c r="H1926" s="307">
        <f>H1925+H1923+H1919</f>
        <v>40110</v>
      </c>
      <c r="I1926" s="322"/>
      <c r="J1926" s="160"/>
      <c r="K1926" s="328"/>
    </row>
    <row r="1927" spans="3:11">
      <c r="C1927" s="59" t="s">
        <v>1232</v>
      </c>
      <c r="D1927" s="70" t="s">
        <v>1410</v>
      </c>
      <c r="E1927" s="71"/>
      <c r="F1927" s="72"/>
      <c r="G1927" s="96">
        <f>$M$7</f>
        <v>0.1</v>
      </c>
      <c r="H1927" s="65">
        <f>H1926*G1927</f>
        <v>4011</v>
      </c>
      <c r="I1927" s="322"/>
      <c r="J1927" s="160"/>
      <c r="K1927" s="328"/>
    </row>
    <row r="1928" spans="3:11">
      <c r="C1928" s="59" t="s">
        <v>1233</v>
      </c>
      <c r="D1928" s="70" t="s">
        <v>1234</v>
      </c>
      <c r="E1928" s="71"/>
      <c r="F1928" s="71"/>
      <c r="G1928" s="72"/>
      <c r="H1928" s="308">
        <f>SUM(H1926:H1927)</f>
        <v>44121</v>
      </c>
      <c r="I1928" s="322"/>
      <c r="J1928" s="160"/>
      <c r="K1928" s="328"/>
    </row>
    <row r="1929" spans="3:11">
      <c r="J1929" s="160"/>
      <c r="K1929" s="328"/>
    </row>
    <row r="1930" spans="3:11" ht="17.25">
      <c r="C1930" s="371" t="s">
        <v>1975</v>
      </c>
      <c r="D1930" s="318"/>
      <c r="E1930" s="318"/>
      <c r="F1930" s="318"/>
      <c r="G1930" s="318"/>
      <c r="H1930" s="318"/>
      <c r="I1930" s="57">
        <f>ROUNDDOWN(H1946,-2)</f>
        <v>86800</v>
      </c>
      <c r="J1930" s="160"/>
      <c r="K1930" s="328"/>
    </row>
    <row r="1931" spans="3:11" ht="28.5">
      <c r="C1931" s="303" t="s">
        <v>1207</v>
      </c>
      <c r="D1931" s="303" t="s">
        <v>1208</v>
      </c>
      <c r="E1931" s="303" t="s">
        <v>1209</v>
      </c>
      <c r="F1931" s="303" t="s">
        <v>1210</v>
      </c>
      <c r="G1931" s="303" t="s">
        <v>1211</v>
      </c>
      <c r="H1931" s="303" t="s">
        <v>1212</v>
      </c>
      <c r="J1931" s="160"/>
      <c r="K1931" s="328"/>
    </row>
    <row r="1932" spans="3:11">
      <c r="C1932" s="73" t="s">
        <v>1213</v>
      </c>
      <c r="D1932" s="60" t="s">
        <v>1214</v>
      </c>
      <c r="E1932" s="74"/>
      <c r="F1932" s="74"/>
      <c r="G1932" s="74"/>
      <c r="H1932" s="74"/>
      <c r="J1932" s="160"/>
      <c r="K1932" s="328"/>
    </row>
    <row r="1933" spans="3:11">
      <c r="C1933" s="304">
        <v>1</v>
      </c>
      <c r="D1933" s="60" t="s">
        <v>5</v>
      </c>
      <c r="E1933" s="305" t="s">
        <v>6</v>
      </c>
      <c r="F1933" s="184">
        <v>9.5000000000000001E-2</v>
      </c>
      <c r="G1933" s="65">
        <f>VLOOKUP(D1933,upahbahan,3,FALSE)</f>
        <v>100000</v>
      </c>
      <c r="H1933" s="65">
        <f t="shared" ref="H1933:H1936" si="226">F1933*G1933</f>
        <v>9500</v>
      </c>
      <c r="J1933" s="160"/>
      <c r="K1933" s="328"/>
    </row>
    <row r="1934" spans="3:11">
      <c r="C1934" s="304">
        <v>2</v>
      </c>
      <c r="D1934" s="60" t="str">
        <f>D1916</f>
        <v>Tukang listrik</v>
      </c>
      <c r="E1934" s="305" t="s">
        <v>6</v>
      </c>
      <c r="F1934" s="184">
        <v>0.159</v>
      </c>
      <c r="G1934" s="65">
        <f>VLOOKUP(D1934,upahbahan,3,FALSE)</f>
        <v>145000</v>
      </c>
      <c r="H1934" s="65">
        <f t="shared" si="226"/>
        <v>23055</v>
      </c>
      <c r="J1934" s="160"/>
      <c r="K1934" s="328"/>
    </row>
    <row r="1935" spans="3:11">
      <c r="C1935" s="304">
        <v>3</v>
      </c>
      <c r="D1935" s="60" t="s">
        <v>18</v>
      </c>
      <c r="E1935" s="305" t="s">
        <v>6</v>
      </c>
      <c r="F1935" s="184">
        <v>1.6E-2</v>
      </c>
      <c r="G1935" s="65">
        <f>VLOOKUP(D1935,upahbahan,3,FALSE)</f>
        <v>150000</v>
      </c>
      <c r="H1935" s="65">
        <f t="shared" si="226"/>
        <v>2400</v>
      </c>
      <c r="J1935" s="160"/>
      <c r="K1935" s="328"/>
    </row>
    <row r="1936" spans="3:11">
      <c r="C1936" s="304">
        <v>4</v>
      </c>
      <c r="D1936" s="60" t="s">
        <v>19</v>
      </c>
      <c r="E1936" s="305" t="s">
        <v>6</v>
      </c>
      <c r="F1936" s="184">
        <v>5.0000000000000001E-3</v>
      </c>
      <c r="G1936" s="65">
        <f>VLOOKUP(D1936,upahbahan,3,FALSE)</f>
        <v>145000</v>
      </c>
      <c r="H1936" s="65">
        <f t="shared" si="226"/>
        <v>725</v>
      </c>
      <c r="J1936" s="160"/>
      <c r="K1936" s="328"/>
    </row>
    <row r="1937" spans="3:11">
      <c r="C1937" s="84" t="s">
        <v>1220</v>
      </c>
      <c r="D1937" s="81"/>
      <c r="E1937" s="81"/>
      <c r="F1937" s="190"/>
      <c r="G1937" s="221"/>
      <c r="H1937" s="65">
        <f>SUM(H1933:H1936)</f>
        <v>35680</v>
      </c>
      <c r="I1937" s="222"/>
      <c r="J1937" s="160"/>
      <c r="K1937" s="328"/>
    </row>
    <row r="1938" spans="3:11">
      <c r="C1938" s="73" t="s">
        <v>1221</v>
      </c>
      <c r="D1938" s="60" t="s">
        <v>1222</v>
      </c>
      <c r="E1938" s="74"/>
      <c r="F1938" s="208"/>
      <c r="G1938" s="74"/>
      <c r="H1938" s="74"/>
      <c r="J1938" s="160"/>
      <c r="K1938" s="328"/>
    </row>
    <row r="1939" spans="3:11">
      <c r="C1939" s="368" t="s">
        <v>1215</v>
      </c>
      <c r="D1939" s="78" t="s">
        <v>851</v>
      </c>
      <c r="E1939" s="69" t="s">
        <v>114</v>
      </c>
      <c r="F1939" s="184">
        <v>1.1499999999999999</v>
      </c>
      <c r="G1939" s="65">
        <f>VLOOKUP(D1939,upahbahan,3,FALSE)</f>
        <v>33500</v>
      </c>
      <c r="H1939" s="65">
        <f t="shared" ref="H1939:H1940" si="227">F1939*G1939</f>
        <v>38525</v>
      </c>
      <c r="J1939" s="160"/>
      <c r="K1939" s="328"/>
    </row>
    <row r="1940" spans="3:11">
      <c r="C1940" s="368" t="s">
        <v>1216</v>
      </c>
      <c r="D1940" s="78" t="s">
        <v>968</v>
      </c>
      <c r="E1940" s="69" t="s">
        <v>114</v>
      </c>
      <c r="F1940" s="184">
        <v>1.1499999999999999</v>
      </c>
      <c r="G1940" s="65">
        <f>VLOOKUP(D1940,upahbahan,3,FALSE)</f>
        <v>4100</v>
      </c>
      <c r="H1940" s="65">
        <f t="shared" si="227"/>
        <v>4715</v>
      </c>
      <c r="J1940" s="160"/>
      <c r="K1940" s="328"/>
    </row>
    <row r="1941" spans="3:11">
      <c r="C1941" s="84" t="s">
        <v>1226</v>
      </c>
      <c r="D1941" s="81"/>
      <c r="E1941" s="81"/>
      <c r="F1941" s="81"/>
      <c r="G1941" s="163"/>
      <c r="H1941" s="65">
        <f>SUM(H1939:H1940)</f>
        <v>43240</v>
      </c>
      <c r="J1941" s="160"/>
      <c r="K1941" s="328"/>
    </row>
    <row r="1942" spans="3:11">
      <c r="C1942" s="73" t="s">
        <v>1227</v>
      </c>
      <c r="D1942" s="60" t="s">
        <v>1228</v>
      </c>
      <c r="E1942" s="74"/>
      <c r="F1942" s="74"/>
      <c r="G1942" s="74"/>
      <c r="H1942" s="74"/>
      <c r="J1942" s="160"/>
      <c r="K1942" s="328"/>
    </row>
    <row r="1943" spans="3:11">
      <c r="C1943" s="84" t="s">
        <v>1229</v>
      </c>
      <c r="D1943" s="81"/>
      <c r="E1943" s="81"/>
      <c r="F1943" s="81"/>
      <c r="G1943" s="163"/>
      <c r="H1943" s="306">
        <v>0</v>
      </c>
      <c r="J1943" s="160"/>
      <c r="K1943" s="328"/>
    </row>
    <row r="1944" spans="3:11">
      <c r="C1944" s="59" t="s">
        <v>1230</v>
      </c>
      <c r="D1944" s="70" t="s">
        <v>1231</v>
      </c>
      <c r="E1944" s="71"/>
      <c r="F1944" s="71"/>
      <c r="G1944" s="72"/>
      <c r="H1944" s="307">
        <f>H1943+H1941+H1937</f>
        <v>78920</v>
      </c>
      <c r="I1944" s="322"/>
      <c r="J1944" s="160"/>
      <c r="K1944" s="328"/>
    </row>
    <row r="1945" spans="3:11">
      <c r="C1945" s="59" t="s">
        <v>1232</v>
      </c>
      <c r="D1945" s="70" t="s">
        <v>1410</v>
      </c>
      <c r="E1945" s="71"/>
      <c r="F1945" s="72"/>
      <c r="G1945" s="96">
        <f>$M$7</f>
        <v>0.1</v>
      </c>
      <c r="H1945" s="65">
        <f>H1944*G1945</f>
        <v>7892</v>
      </c>
      <c r="I1945" s="322"/>
      <c r="J1945" s="160"/>
      <c r="K1945" s="328"/>
    </row>
    <row r="1946" spans="3:11">
      <c r="C1946" s="59" t="s">
        <v>1233</v>
      </c>
      <c r="D1946" s="70" t="s">
        <v>1234</v>
      </c>
      <c r="E1946" s="71"/>
      <c r="F1946" s="71"/>
      <c r="G1946" s="72"/>
      <c r="H1946" s="308">
        <f>SUM(H1944:H1945)</f>
        <v>86812</v>
      </c>
      <c r="I1946" s="322"/>
      <c r="J1946" s="160"/>
      <c r="K1946" s="328"/>
    </row>
    <row r="1947" spans="3:11">
      <c r="J1947" s="160"/>
      <c r="K1947" s="328"/>
    </row>
    <row r="1948" spans="3:11">
      <c r="C1948" s="371" t="s">
        <v>1954</v>
      </c>
      <c r="D1948" s="318"/>
      <c r="E1948" s="318"/>
      <c r="F1948" s="318"/>
      <c r="G1948" s="318"/>
      <c r="H1948" s="318"/>
      <c r="I1948" s="57">
        <f>ROUNDDOWN(H1963,-2)</f>
        <v>23000</v>
      </c>
      <c r="J1948" s="160"/>
      <c r="K1948" s="328"/>
    </row>
    <row r="1949" spans="3:11" ht="28.5">
      <c r="C1949" s="303" t="s">
        <v>1207</v>
      </c>
      <c r="D1949" s="303" t="s">
        <v>1208</v>
      </c>
      <c r="E1949" s="303" t="s">
        <v>1209</v>
      </c>
      <c r="F1949" s="303" t="s">
        <v>1210</v>
      </c>
      <c r="G1949" s="303" t="s">
        <v>1211</v>
      </c>
      <c r="H1949" s="303" t="s">
        <v>1212</v>
      </c>
      <c r="J1949" s="160"/>
      <c r="K1949" s="328"/>
    </row>
    <row r="1950" spans="3:11">
      <c r="C1950" s="73" t="s">
        <v>1213</v>
      </c>
      <c r="D1950" s="60" t="s">
        <v>1214</v>
      </c>
      <c r="E1950" s="74"/>
      <c r="F1950" s="74"/>
      <c r="G1950" s="74"/>
      <c r="H1950" s="74"/>
      <c r="J1950" s="160"/>
      <c r="K1950" s="328"/>
    </row>
    <row r="1951" spans="3:11">
      <c r="C1951" s="304">
        <v>1</v>
      </c>
      <c r="D1951" s="60" t="s">
        <v>5</v>
      </c>
      <c r="E1951" s="305" t="s">
        <v>6</v>
      </c>
      <c r="F1951" s="184">
        <v>1.9E-2</v>
      </c>
      <c r="G1951" s="65">
        <f>VLOOKUP(D1951,upahbahan,3,FALSE)</f>
        <v>100000</v>
      </c>
      <c r="H1951" s="65">
        <f t="shared" ref="H1951:H1954" si="228">F1951*G1951</f>
        <v>1900</v>
      </c>
      <c r="J1951" s="160"/>
      <c r="K1951" s="328"/>
    </row>
    <row r="1952" spans="3:11">
      <c r="C1952" s="304">
        <v>2</v>
      </c>
      <c r="D1952" s="60" t="str">
        <f>D1934</f>
        <v>Tukang listrik</v>
      </c>
      <c r="E1952" s="305" t="s">
        <v>6</v>
      </c>
      <c r="F1952" s="184">
        <v>3.2000000000000001E-2</v>
      </c>
      <c r="G1952" s="65">
        <f>VLOOKUP(D1952,upahbahan,3,FALSE)</f>
        <v>145000</v>
      </c>
      <c r="H1952" s="65">
        <f t="shared" si="228"/>
        <v>4640</v>
      </c>
      <c r="J1952" s="160"/>
      <c r="K1952" s="328"/>
    </row>
    <row r="1953" spans="3:11">
      <c r="C1953" s="304">
        <v>3</v>
      </c>
      <c r="D1953" s="60" t="s">
        <v>18</v>
      </c>
      <c r="E1953" s="305" t="s">
        <v>6</v>
      </c>
      <c r="F1953" s="184">
        <v>3.0000000000000001E-3</v>
      </c>
      <c r="G1953" s="65">
        <f>VLOOKUP(D1953,upahbahan,3,FALSE)</f>
        <v>150000</v>
      </c>
      <c r="H1953" s="65">
        <f t="shared" si="228"/>
        <v>450</v>
      </c>
      <c r="J1953" s="160"/>
      <c r="K1953" s="328"/>
    </row>
    <row r="1954" spans="3:11">
      <c r="C1954" s="304">
        <v>4</v>
      </c>
      <c r="D1954" s="60" t="s">
        <v>19</v>
      </c>
      <c r="E1954" s="305" t="s">
        <v>6</v>
      </c>
      <c r="F1954" s="184">
        <v>1E-3</v>
      </c>
      <c r="G1954" s="65">
        <f>VLOOKUP(D1954,upahbahan,3,FALSE)</f>
        <v>145000</v>
      </c>
      <c r="H1954" s="65">
        <f t="shared" si="228"/>
        <v>145</v>
      </c>
      <c r="J1954" s="160"/>
      <c r="K1954" s="328"/>
    </row>
    <row r="1955" spans="3:11">
      <c r="C1955" s="84" t="s">
        <v>1220</v>
      </c>
      <c r="D1955" s="81"/>
      <c r="E1955" s="81"/>
      <c r="F1955" s="190"/>
      <c r="G1955" s="221"/>
      <c r="H1955" s="65">
        <f>SUM(H1951:H1954)</f>
        <v>7135</v>
      </c>
      <c r="I1955" s="222"/>
      <c r="J1955" s="160"/>
      <c r="K1955" s="328"/>
    </row>
    <row r="1956" spans="3:11">
      <c r="C1956" s="73" t="s">
        <v>1221</v>
      </c>
      <c r="D1956" s="60" t="s">
        <v>1222</v>
      </c>
      <c r="E1956" s="74"/>
      <c r="F1956" s="208"/>
      <c r="G1956" s="74"/>
      <c r="H1956" s="74"/>
      <c r="J1956" s="160"/>
      <c r="K1956" s="328"/>
    </row>
    <row r="1957" spans="3:11">
      <c r="C1957" s="368" t="s">
        <v>1215</v>
      </c>
      <c r="D1957" s="78" t="s">
        <v>844</v>
      </c>
      <c r="E1957" s="69" t="s">
        <v>114</v>
      </c>
      <c r="F1957" s="184">
        <v>1.1499999999999999</v>
      </c>
      <c r="G1957" s="65">
        <f>VLOOKUP(D1957,upahbahan,3,FALSE)</f>
        <v>12000</v>
      </c>
      <c r="H1957" s="65">
        <f t="shared" ref="H1957" si="229">F1957*G1957</f>
        <v>13799.999999999998</v>
      </c>
      <c r="J1957" s="160"/>
      <c r="K1957" s="328"/>
    </row>
    <row r="1958" spans="3:11">
      <c r="C1958" s="84" t="s">
        <v>1226</v>
      </c>
      <c r="D1958" s="81"/>
      <c r="E1958" s="81"/>
      <c r="F1958" s="81"/>
      <c r="G1958" s="163"/>
      <c r="H1958" s="65">
        <f>SUM(H1957:H1957)</f>
        <v>13799.999999999998</v>
      </c>
      <c r="J1958" s="160"/>
      <c r="K1958" s="328"/>
    </row>
    <row r="1959" spans="3:11">
      <c r="C1959" s="73" t="s">
        <v>1227</v>
      </c>
      <c r="D1959" s="60" t="s">
        <v>1228</v>
      </c>
      <c r="E1959" s="74"/>
      <c r="F1959" s="74"/>
      <c r="G1959" s="74"/>
      <c r="H1959" s="74"/>
      <c r="J1959" s="160"/>
      <c r="K1959" s="328"/>
    </row>
    <row r="1960" spans="3:11">
      <c r="C1960" s="84" t="s">
        <v>1229</v>
      </c>
      <c r="D1960" s="81"/>
      <c r="E1960" s="81"/>
      <c r="F1960" s="81"/>
      <c r="G1960" s="163"/>
      <c r="H1960" s="306">
        <v>0</v>
      </c>
      <c r="J1960" s="160"/>
      <c r="K1960" s="328"/>
    </row>
    <row r="1961" spans="3:11">
      <c r="C1961" s="59" t="s">
        <v>1230</v>
      </c>
      <c r="D1961" s="70" t="s">
        <v>1231</v>
      </c>
      <c r="E1961" s="71"/>
      <c r="F1961" s="71"/>
      <c r="G1961" s="72"/>
      <c r="H1961" s="307">
        <f>H1960+H1958+H1955</f>
        <v>20935</v>
      </c>
      <c r="I1961" s="322"/>
      <c r="J1961" s="160"/>
      <c r="K1961" s="328"/>
    </row>
    <row r="1962" spans="3:11">
      <c r="C1962" s="59" t="s">
        <v>1232</v>
      </c>
      <c r="D1962" s="70" t="s">
        <v>1410</v>
      </c>
      <c r="E1962" s="71"/>
      <c r="F1962" s="72"/>
      <c r="G1962" s="96">
        <f>$M$7</f>
        <v>0.1</v>
      </c>
      <c r="H1962" s="65">
        <f>H1961*G1962</f>
        <v>2093.5</v>
      </c>
      <c r="I1962" s="322"/>
      <c r="J1962" s="160"/>
      <c r="K1962" s="328"/>
    </row>
    <row r="1963" spans="3:11">
      <c r="C1963" s="59" t="s">
        <v>1233</v>
      </c>
      <c r="D1963" s="70" t="s">
        <v>1234</v>
      </c>
      <c r="E1963" s="71"/>
      <c r="F1963" s="71"/>
      <c r="G1963" s="72"/>
      <c r="H1963" s="308">
        <f>SUM(H1961:H1962)</f>
        <v>23028.5</v>
      </c>
      <c r="I1963" s="322"/>
      <c r="J1963" s="160"/>
      <c r="K1963" s="328"/>
    </row>
    <row r="1964" spans="3:11">
      <c r="J1964" s="160"/>
      <c r="K1964" s="328"/>
    </row>
    <row r="1965" spans="3:11">
      <c r="C1965" s="371" t="s">
        <v>1955</v>
      </c>
      <c r="D1965" s="318"/>
      <c r="E1965" s="318"/>
      <c r="F1965" s="318"/>
      <c r="G1965" s="318"/>
      <c r="H1965" s="318"/>
      <c r="I1965" s="57">
        <f>ROUNDDOWN(H1980,-2)</f>
        <v>24500</v>
      </c>
      <c r="J1965" s="160"/>
      <c r="K1965" s="328"/>
    </row>
    <row r="1966" spans="3:11" ht="28.5">
      <c r="C1966" s="303" t="s">
        <v>1207</v>
      </c>
      <c r="D1966" s="303" t="s">
        <v>1208</v>
      </c>
      <c r="E1966" s="303" t="s">
        <v>1209</v>
      </c>
      <c r="F1966" s="303" t="s">
        <v>1210</v>
      </c>
      <c r="G1966" s="303" t="s">
        <v>1211</v>
      </c>
      <c r="H1966" s="303" t="s">
        <v>1212</v>
      </c>
      <c r="J1966" s="160"/>
      <c r="K1966" s="328"/>
    </row>
    <row r="1967" spans="3:11">
      <c r="C1967" s="73" t="s">
        <v>1213</v>
      </c>
      <c r="D1967" s="60" t="s">
        <v>1214</v>
      </c>
      <c r="E1967" s="74"/>
      <c r="F1967" s="74"/>
      <c r="G1967" s="74"/>
      <c r="H1967" s="74"/>
      <c r="J1967" s="160"/>
      <c r="K1967" s="328"/>
    </row>
    <row r="1968" spans="3:11">
      <c r="C1968" s="304">
        <v>1</v>
      </c>
      <c r="D1968" s="60" t="s">
        <v>5</v>
      </c>
      <c r="E1968" s="305" t="s">
        <v>6</v>
      </c>
      <c r="F1968" s="184">
        <v>1.9E-2</v>
      </c>
      <c r="G1968" s="65">
        <f>VLOOKUP(D1968,upahbahan,3,FALSE)</f>
        <v>100000</v>
      </c>
      <c r="H1968" s="65">
        <f t="shared" ref="H1968:H1971" si="230">F1968*G1968</f>
        <v>1900</v>
      </c>
      <c r="J1968" s="160"/>
      <c r="K1968" s="328"/>
    </row>
    <row r="1969" spans="3:11">
      <c r="C1969" s="304">
        <v>2</v>
      </c>
      <c r="D1969" s="60" t="str">
        <f>D1952</f>
        <v>Tukang listrik</v>
      </c>
      <c r="E1969" s="305" t="s">
        <v>6</v>
      </c>
      <c r="F1969" s="184">
        <v>3.2000000000000001E-2</v>
      </c>
      <c r="G1969" s="65">
        <f>VLOOKUP(D1969,upahbahan,3,FALSE)</f>
        <v>145000</v>
      </c>
      <c r="H1969" s="65">
        <f t="shared" si="230"/>
        <v>4640</v>
      </c>
      <c r="J1969" s="160"/>
      <c r="K1969" s="328"/>
    </row>
    <row r="1970" spans="3:11">
      <c r="C1970" s="304">
        <v>3</v>
      </c>
      <c r="D1970" s="60" t="s">
        <v>18</v>
      </c>
      <c r="E1970" s="305" t="s">
        <v>6</v>
      </c>
      <c r="F1970" s="184">
        <v>3.0000000000000001E-3</v>
      </c>
      <c r="G1970" s="65">
        <f>VLOOKUP(D1970,upahbahan,3,FALSE)</f>
        <v>150000</v>
      </c>
      <c r="H1970" s="65">
        <f t="shared" si="230"/>
        <v>450</v>
      </c>
      <c r="J1970" s="160"/>
      <c r="K1970" s="328"/>
    </row>
    <row r="1971" spans="3:11">
      <c r="C1971" s="304">
        <v>4</v>
      </c>
      <c r="D1971" s="60" t="s">
        <v>19</v>
      </c>
      <c r="E1971" s="305" t="s">
        <v>6</v>
      </c>
      <c r="F1971" s="184">
        <v>1E-3</v>
      </c>
      <c r="G1971" s="65">
        <f>VLOOKUP(D1971,upahbahan,3,FALSE)</f>
        <v>145000</v>
      </c>
      <c r="H1971" s="65">
        <f t="shared" si="230"/>
        <v>145</v>
      </c>
      <c r="J1971" s="160"/>
      <c r="K1971" s="328"/>
    </row>
    <row r="1972" spans="3:11">
      <c r="C1972" s="84" t="s">
        <v>1220</v>
      </c>
      <c r="D1972" s="81"/>
      <c r="E1972" s="81"/>
      <c r="F1972" s="190"/>
      <c r="G1972" s="221"/>
      <c r="H1972" s="65">
        <f>SUM(H1968:H1971)</f>
        <v>7135</v>
      </c>
      <c r="I1972" s="222"/>
      <c r="J1972" s="160"/>
      <c r="K1972" s="328"/>
    </row>
    <row r="1973" spans="3:11">
      <c r="C1973" s="73" t="s">
        <v>1221</v>
      </c>
      <c r="D1973" s="60" t="s">
        <v>1222</v>
      </c>
      <c r="E1973" s="74"/>
      <c r="F1973" s="208"/>
      <c r="G1973" s="74"/>
      <c r="H1973" s="74"/>
      <c r="J1973" s="160"/>
      <c r="K1973" s="328"/>
    </row>
    <row r="1974" spans="3:11">
      <c r="C1974" s="368" t="s">
        <v>1215</v>
      </c>
      <c r="D1974" s="78" t="s">
        <v>846</v>
      </c>
      <c r="E1974" s="69" t="s">
        <v>114</v>
      </c>
      <c r="F1974" s="184">
        <v>1.1499999999999999</v>
      </c>
      <c r="G1974" s="65">
        <f>VLOOKUP(D1974,upahbahan,3,FALSE)</f>
        <v>13200</v>
      </c>
      <c r="H1974" s="65">
        <f t="shared" ref="H1974" si="231">F1974*G1974</f>
        <v>15179.999999999998</v>
      </c>
      <c r="J1974" s="160"/>
      <c r="K1974" s="328"/>
    </row>
    <row r="1975" spans="3:11">
      <c r="C1975" s="84" t="s">
        <v>1226</v>
      </c>
      <c r="D1975" s="81"/>
      <c r="E1975" s="81"/>
      <c r="F1975" s="81"/>
      <c r="G1975" s="163"/>
      <c r="H1975" s="65">
        <f>SUM(H1974:H1974)</f>
        <v>15179.999999999998</v>
      </c>
      <c r="J1975" s="160"/>
      <c r="K1975" s="328"/>
    </row>
    <row r="1976" spans="3:11">
      <c r="C1976" s="73" t="s">
        <v>1227</v>
      </c>
      <c r="D1976" s="60" t="s">
        <v>1228</v>
      </c>
      <c r="E1976" s="74"/>
      <c r="F1976" s="74"/>
      <c r="G1976" s="74"/>
      <c r="H1976" s="74"/>
      <c r="J1976" s="160"/>
      <c r="K1976" s="328"/>
    </row>
    <row r="1977" spans="3:11">
      <c r="C1977" s="84" t="s">
        <v>1229</v>
      </c>
      <c r="D1977" s="81"/>
      <c r="E1977" s="81"/>
      <c r="F1977" s="81"/>
      <c r="G1977" s="163"/>
      <c r="H1977" s="306">
        <v>0</v>
      </c>
      <c r="J1977" s="160"/>
      <c r="K1977" s="328"/>
    </row>
    <row r="1978" spans="3:11">
      <c r="C1978" s="59" t="s">
        <v>1230</v>
      </c>
      <c r="D1978" s="70" t="s">
        <v>1231</v>
      </c>
      <c r="E1978" s="71"/>
      <c r="F1978" s="71"/>
      <c r="G1978" s="72"/>
      <c r="H1978" s="307">
        <f>H1977+H1975+H1972</f>
        <v>22315</v>
      </c>
      <c r="I1978" s="322"/>
      <c r="J1978" s="160"/>
      <c r="K1978" s="328"/>
    </row>
    <row r="1979" spans="3:11">
      <c r="C1979" s="59" t="s">
        <v>1232</v>
      </c>
      <c r="D1979" s="70" t="s">
        <v>1410</v>
      </c>
      <c r="E1979" s="71"/>
      <c r="F1979" s="72"/>
      <c r="G1979" s="96">
        <f>$M$7</f>
        <v>0.1</v>
      </c>
      <c r="H1979" s="65">
        <f>H1978*G1979</f>
        <v>2231.5</v>
      </c>
      <c r="I1979" s="322"/>
      <c r="J1979" s="160"/>
      <c r="K1979" s="328"/>
    </row>
    <row r="1980" spans="3:11">
      <c r="C1980" s="59" t="s">
        <v>1233</v>
      </c>
      <c r="D1980" s="70" t="s">
        <v>1234</v>
      </c>
      <c r="E1980" s="71"/>
      <c r="F1980" s="71"/>
      <c r="G1980" s="72"/>
      <c r="H1980" s="308">
        <f>SUM(H1978:H1979)</f>
        <v>24546.5</v>
      </c>
      <c r="I1980" s="322"/>
      <c r="J1980" s="160"/>
      <c r="K1980" s="328"/>
    </row>
    <row r="1981" spans="3:11">
      <c r="J1981" s="160"/>
      <c r="K1981" s="328"/>
    </row>
    <row r="1982" spans="3:11">
      <c r="C1982" s="371" t="s">
        <v>1956</v>
      </c>
      <c r="D1982" s="318"/>
      <c r="E1982" s="318"/>
      <c r="F1982" s="318"/>
      <c r="G1982" s="318"/>
      <c r="H1982" s="318"/>
      <c r="I1982" s="57">
        <f>ROUNDDOWN(H1997,-2)</f>
        <v>46500</v>
      </c>
      <c r="J1982" s="160"/>
      <c r="K1982" s="328"/>
    </row>
    <row r="1983" spans="3:11" ht="28.5">
      <c r="C1983" s="303" t="s">
        <v>1207</v>
      </c>
      <c r="D1983" s="303" t="s">
        <v>1208</v>
      </c>
      <c r="E1983" s="303" t="s">
        <v>1209</v>
      </c>
      <c r="F1983" s="303" t="s">
        <v>1210</v>
      </c>
      <c r="G1983" s="303" t="s">
        <v>1211</v>
      </c>
      <c r="H1983" s="303" t="s">
        <v>1212</v>
      </c>
      <c r="J1983" s="160"/>
      <c r="K1983" s="328"/>
    </row>
    <row r="1984" spans="3:11">
      <c r="C1984" s="73" t="s">
        <v>1213</v>
      </c>
      <c r="D1984" s="60" t="s">
        <v>1214</v>
      </c>
      <c r="E1984" s="74"/>
      <c r="F1984" s="74"/>
      <c r="G1984" s="74"/>
      <c r="H1984" s="74"/>
      <c r="J1984" s="160"/>
      <c r="K1984" s="328"/>
    </row>
    <row r="1985" spans="3:11">
      <c r="C1985" s="304">
        <v>1</v>
      </c>
      <c r="D1985" s="60" t="s">
        <v>5</v>
      </c>
      <c r="E1985" s="305" t="s">
        <v>6</v>
      </c>
      <c r="F1985" s="75">
        <v>2.4E-2</v>
      </c>
      <c r="G1985" s="65">
        <f>VLOOKUP(D1985,upahbahan,3,FALSE)</f>
        <v>100000</v>
      </c>
      <c r="H1985" s="65">
        <f t="shared" ref="H1985:H1988" si="232">F1985*G1985</f>
        <v>2400</v>
      </c>
      <c r="J1985" s="160"/>
      <c r="K1985" s="328"/>
    </row>
    <row r="1986" spans="3:11">
      <c r="C1986" s="304">
        <v>2</v>
      </c>
      <c r="D1986" s="60" t="str">
        <f>D1969</f>
        <v>Tukang listrik</v>
      </c>
      <c r="E1986" s="305" t="s">
        <v>6</v>
      </c>
      <c r="F1986" s="75">
        <v>0.04</v>
      </c>
      <c r="G1986" s="65">
        <f>VLOOKUP(D1986,upahbahan,3,FALSE)</f>
        <v>145000</v>
      </c>
      <c r="H1986" s="65">
        <f t="shared" si="232"/>
        <v>5800</v>
      </c>
      <c r="J1986" s="160"/>
      <c r="K1986" s="328"/>
    </row>
    <row r="1987" spans="3:11">
      <c r="C1987" s="304">
        <v>3</v>
      </c>
      <c r="D1987" s="60" t="s">
        <v>18</v>
      </c>
      <c r="E1987" s="305" t="s">
        <v>6</v>
      </c>
      <c r="F1987" s="75">
        <v>4.0000000000000001E-3</v>
      </c>
      <c r="G1987" s="65">
        <f>VLOOKUP(D1987,upahbahan,3,FALSE)</f>
        <v>150000</v>
      </c>
      <c r="H1987" s="65">
        <f t="shared" si="232"/>
        <v>600</v>
      </c>
      <c r="J1987" s="160"/>
      <c r="K1987" s="328"/>
    </row>
    <row r="1988" spans="3:11">
      <c r="C1988" s="304">
        <v>4</v>
      </c>
      <c r="D1988" s="60" t="s">
        <v>19</v>
      </c>
      <c r="E1988" s="305" t="s">
        <v>6</v>
      </c>
      <c r="F1988" s="75">
        <v>1E-3</v>
      </c>
      <c r="G1988" s="65">
        <f>VLOOKUP(D1988,upahbahan,3,FALSE)</f>
        <v>145000</v>
      </c>
      <c r="H1988" s="65">
        <f t="shared" si="232"/>
        <v>145</v>
      </c>
      <c r="J1988" s="160"/>
      <c r="K1988" s="328"/>
    </row>
    <row r="1989" spans="3:11">
      <c r="C1989" s="84" t="s">
        <v>1220</v>
      </c>
      <c r="D1989" s="81"/>
      <c r="E1989" s="81"/>
      <c r="F1989" s="190"/>
      <c r="G1989" s="221"/>
      <c r="H1989" s="65">
        <f>SUM(H1985:H1988)</f>
        <v>8945</v>
      </c>
      <c r="I1989" s="222"/>
      <c r="J1989" s="160"/>
      <c r="K1989" s="328"/>
    </row>
    <row r="1990" spans="3:11">
      <c r="C1990" s="73" t="s">
        <v>1221</v>
      </c>
      <c r="D1990" s="60" t="s">
        <v>1222</v>
      </c>
      <c r="E1990" s="74"/>
      <c r="F1990" s="208"/>
      <c r="G1990" s="74"/>
      <c r="H1990" s="74"/>
      <c r="J1990" s="160"/>
      <c r="K1990" s="328"/>
    </row>
    <row r="1991" spans="3:11">
      <c r="C1991" s="368" t="s">
        <v>1215</v>
      </c>
      <c r="D1991" s="78" t="s">
        <v>840</v>
      </c>
      <c r="E1991" s="69" t="s">
        <v>114</v>
      </c>
      <c r="F1991" s="184">
        <v>1.1499999999999999</v>
      </c>
      <c r="G1991" s="65">
        <f>VLOOKUP(D1991,upahbahan,3,FALSE)</f>
        <v>29000</v>
      </c>
      <c r="H1991" s="65">
        <f t="shared" ref="H1991" si="233">F1991*G1991</f>
        <v>33350</v>
      </c>
      <c r="J1991" s="160"/>
      <c r="K1991" s="328"/>
    </row>
    <row r="1992" spans="3:11">
      <c r="C1992" s="84" t="s">
        <v>1226</v>
      </c>
      <c r="D1992" s="81"/>
      <c r="E1992" s="81"/>
      <c r="F1992" s="81"/>
      <c r="G1992" s="163"/>
      <c r="H1992" s="65">
        <f>SUM(H1991:H1991)</f>
        <v>33350</v>
      </c>
      <c r="J1992" s="160"/>
      <c r="K1992" s="328"/>
    </row>
    <row r="1993" spans="3:11">
      <c r="C1993" s="73" t="s">
        <v>1227</v>
      </c>
      <c r="D1993" s="60" t="s">
        <v>1228</v>
      </c>
      <c r="E1993" s="74"/>
      <c r="F1993" s="74"/>
      <c r="G1993" s="74"/>
      <c r="H1993" s="74"/>
      <c r="J1993" s="160"/>
      <c r="K1993" s="328"/>
    </row>
    <row r="1994" spans="3:11">
      <c r="C1994" s="84" t="s">
        <v>1229</v>
      </c>
      <c r="D1994" s="81"/>
      <c r="E1994" s="81"/>
      <c r="F1994" s="81"/>
      <c r="G1994" s="163"/>
      <c r="H1994" s="306">
        <v>0</v>
      </c>
      <c r="J1994" s="160"/>
      <c r="K1994" s="328"/>
    </row>
    <row r="1995" spans="3:11">
      <c r="C1995" s="59" t="s">
        <v>1230</v>
      </c>
      <c r="D1995" s="70" t="s">
        <v>1231</v>
      </c>
      <c r="E1995" s="71"/>
      <c r="F1995" s="71"/>
      <c r="G1995" s="72"/>
      <c r="H1995" s="307">
        <f>H1994+H1992+H1989</f>
        <v>42295</v>
      </c>
      <c r="I1995" s="322"/>
      <c r="J1995" s="160"/>
      <c r="K1995" s="328"/>
    </row>
    <row r="1996" spans="3:11">
      <c r="C1996" s="59" t="s">
        <v>1232</v>
      </c>
      <c r="D1996" s="70" t="s">
        <v>1410</v>
      </c>
      <c r="E1996" s="71"/>
      <c r="F1996" s="72"/>
      <c r="G1996" s="96">
        <f>$M$7</f>
        <v>0.1</v>
      </c>
      <c r="H1996" s="65">
        <f>H1995*G1996</f>
        <v>4229.5</v>
      </c>
      <c r="I1996" s="322"/>
      <c r="J1996" s="160"/>
      <c r="K1996" s="328"/>
    </row>
    <row r="1997" spans="3:11">
      <c r="C1997" s="59" t="s">
        <v>1233</v>
      </c>
      <c r="D1997" s="70" t="s">
        <v>1234</v>
      </c>
      <c r="E1997" s="71"/>
      <c r="F1997" s="71"/>
      <c r="G1997" s="72"/>
      <c r="H1997" s="308">
        <f>SUM(H1995:H1996)</f>
        <v>46524.5</v>
      </c>
      <c r="I1997" s="322"/>
      <c r="J1997" s="160"/>
      <c r="K1997" s="328"/>
    </row>
    <row r="1998" spans="3:11">
      <c r="J1998" s="160"/>
      <c r="K1998" s="328"/>
    </row>
    <row r="1999" spans="3:11">
      <c r="C1999" s="371" t="s">
        <v>1957</v>
      </c>
      <c r="D1999" s="318"/>
      <c r="E1999" s="318"/>
      <c r="F1999" s="318"/>
      <c r="G1999" s="318"/>
      <c r="H1999" s="318"/>
      <c r="I1999" s="57">
        <f>ROUNDDOWN(H2014,-2)</f>
        <v>51500</v>
      </c>
      <c r="J1999" s="160"/>
      <c r="K1999" s="328"/>
    </row>
    <row r="2000" spans="3:11" ht="28.5">
      <c r="C2000" s="303" t="s">
        <v>1207</v>
      </c>
      <c r="D2000" s="303" t="s">
        <v>1208</v>
      </c>
      <c r="E2000" s="303" t="s">
        <v>1209</v>
      </c>
      <c r="F2000" s="303" t="s">
        <v>1210</v>
      </c>
      <c r="G2000" s="303" t="s">
        <v>1211</v>
      </c>
      <c r="H2000" s="303" t="s">
        <v>1212</v>
      </c>
      <c r="J2000" s="160"/>
      <c r="K2000" s="328"/>
    </row>
    <row r="2001" spans="3:11">
      <c r="C2001" s="73" t="s">
        <v>1213</v>
      </c>
      <c r="D2001" s="60" t="s">
        <v>1214</v>
      </c>
      <c r="E2001" s="74"/>
      <c r="F2001" s="74"/>
      <c r="G2001" s="74"/>
      <c r="H2001" s="74"/>
      <c r="J2001" s="160"/>
      <c r="K2001" s="328"/>
    </row>
    <row r="2002" spans="3:11">
      <c r="C2002" s="304">
        <v>1</v>
      </c>
      <c r="D2002" s="60" t="s">
        <v>5</v>
      </c>
      <c r="E2002" s="305" t="s">
        <v>6</v>
      </c>
      <c r="F2002" s="75">
        <v>2.4E-2</v>
      </c>
      <c r="G2002" s="65">
        <f>VLOOKUP(D2002,upahbahan,3,FALSE)</f>
        <v>100000</v>
      </c>
      <c r="H2002" s="65">
        <f t="shared" ref="H2002:H2005" si="234">F2002*G2002</f>
        <v>2400</v>
      </c>
      <c r="J2002" s="160"/>
      <c r="K2002" s="328"/>
    </row>
    <row r="2003" spans="3:11">
      <c r="C2003" s="304">
        <v>2</v>
      </c>
      <c r="D2003" s="60" t="str">
        <f>D1986</f>
        <v>Tukang listrik</v>
      </c>
      <c r="E2003" s="305" t="s">
        <v>6</v>
      </c>
      <c r="F2003" s="75">
        <v>0.04</v>
      </c>
      <c r="G2003" s="65">
        <f>VLOOKUP(D2003,upahbahan,3,FALSE)</f>
        <v>145000</v>
      </c>
      <c r="H2003" s="65">
        <f t="shared" si="234"/>
        <v>5800</v>
      </c>
      <c r="J2003" s="160"/>
      <c r="K2003" s="328"/>
    </row>
    <row r="2004" spans="3:11">
      <c r="C2004" s="304">
        <v>3</v>
      </c>
      <c r="D2004" s="60" t="s">
        <v>18</v>
      </c>
      <c r="E2004" s="305" t="s">
        <v>6</v>
      </c>
      <c r="F2004" s="75">
        <v>4.0000000000000001E-3</v>
      </c>
      <c r="G2004" s="65">
        <f>VLOOKUP(D2004,upahbahan,3,FALSE)</f>
        <v>150000</v>
      </c>
      <c r="H2004" s="65">
        <f t="shared" si="234"/>
        <v>600</v>
      </c>
      <c r="J2004" s="160"/>
      <c r="K2004" s="328"/>
    </row>
    <row r="2005" spans="3:11">
      <c r="C2005" s="304">
        <v>4</v>
      </c>
      <c r="D2005" s="60" t="s">
        <v>19</v>
      </c>
      <c r="E2005" s="305" t="s">
        <v>6</v>
      </c>
      <c r="F2005" s="75">
        <v>1E-3</v>
      </c>
      <c r="G2005" s="65">
        <f>VLOOKUP(D2005,upahbahan,3,FALSE)</f>
        <v>145000</v>
      </c>
      <c r="H2005" s="65">
        <f t="shared" si="234"/>
        <v>145</v>
      </c>
      <c r="J2005" s="160"/>
      <c r="K2005" s="328"/>
    </row>
    <row r="2006" spans="3:11">
      <c r="C2006" s="84" t="s">
        <v>1220</v>
      </c>
      <c r="D2006" s="81"/>
      <c r="E2006" s="81"/>
      <c r="F2006" s="190"/>
      <c r="G2006" s="221"/>
      <c r="H2006" s="65">
        <f>SUM(H2002:H2005)</f>
        <v>8945</v>
      </c>
      <c r="I2006" s="222"/>
      <c r="J2006" s="160"/>
      <c r="K2006" s="328"/>
    </row>
    <row r="2007" spans="3:11">
      <c r="C2007" s="73" t="s">
        <v>1221</v>
      </c>
      <c r="D2007" s="60" t="s">
        <v>1222</v>
      </c>
      <c r="E2007" s="74"/>
      <c r="F2007" s="208"/>
      <c r="G2007" s="74"/>
      <c r="H2007" s="74"/>
      <c r="J2007" s="160"/>
      <c r="K2007" s="328"/>
    </row>
    <row r="2008" spans="3:11">
      <c r="C2008" s="368" t="s">
        <v>1215</v>
      </c>
      <c r="D2008" s="78" t="s">
        <v>841</v>
      </c>
      <c r="E2008" s="69" t="s">
        <v>114</v>
      </c>
      <c r="F2008" s="184">
        <v>1.1499999999999999</v>
      </c>
      <c r="G2008" s="65">
        <f>VLOOKUP(D2008,upahbahan,3,FALSE)</f>
        <v>33000</v>
      </c>
      <c r="H2008" s="65">
        <f t="shared" ref="H2008" si="235">F2008*G2008</f>
        <v>37950</v>
      </c>
      <c r="J2008" s="160"/>
      <c r="K2008" s="328"/>
    </row>
    <row r="2009" spans="3:11">
      <c r="C2009" s="84" t="s">
        <v>1226</v>
      </c>
      <c r="D2009" s="81"/>
      <c r="E2009" s="81"/>
      <c r="F2009" s="81"/>
      <c r="G2009" s="163"/>
      <c r="H2009" s="65">
        <f>SUM(H2008:H2008)</f>
        <v>37950</v>
      </c>
      <c r="J2009" s="160"/>
      <c r="K2009" s="328"/>
    </row>
    <row r="2010" spans="3:11">
      <c r="C2010" s="73" t="s">
        <v>1227</v>
      </c>
      <c r="D2010" s="60" t="s">
        <v>1228</v>
      </c>
      <c r="E2010" s="74"/>
      <c r="F2010" s="74"/>
      <c r="G2010" s="74"/>
      <c r="H2010" s="74"/>
      <c r="J2010" s="160"/>
      <c r="K2010" s="328"/>
    </row>
    <row r="2011" spans="3:11">
      <c r="C2011" s="84" t="s">
        <v>1229</v>
      </c>
      <c r="D2011" s="81"/>
      <c r="E2011" s="81"/>
      <c r="F2011" s="81"/>
      <c r="G2011" s="163"/>
      <c r="H2011" s="306">
        <v>0</v>
      </c>
      <c r="J2011" s="160"/>
      <c r="K2011" s="328"/>
    </row>
    <row r="2012" spans="3:11">
      <c r="C2012" s="59" t="s">
        <v>1230</v>
      </c>
      <c r="D2012" s="70" t="s">
        <v>1231</v>
      </c>
      <c r="E2012" s="71"/>
      <c r="F2012" s="71"/>
      <c r="G2012" s="72"/>
      <c r="H2012" s="307">
        <f>H2011+H2009+H2006</f>
        <v>46895</v>
      </c>
      <c r="I2012" s="322"/>
      <c r="J2012" s="160"/>
      <c r="K2012" s="328"/>
    </row>
    <row r="2013" spans="3:11">
      <c r="C2013" s="59" t="s">
        <v>1232</v>
      </c>
      <c r="D2013" s="70" t="s">
        <v>1410</v>
      </c>
      <c r="E2013" s="71"/>
      <c r="F2013" s="72"/>
      <c r="G2013" s="96">
        <f>$M$7</f>
        <v>0.1</v>
      </c>
      <c r="H2013" s="65">
        <f>H2012*G2013</f>
        <v>4689.5</v>
      </c>
      <c r="I2013" s="322"/>
      <c r="J2013" s="160"/>
      <c r="K2013" s="328"/>
    </row>
    <row r="2014" spans="3:11">
      <c r="C2014" s="59" t="s">
        <v>1233</v>
      </c>
      <c r="D2014" s="70" t="s">
        <v>1234</v>
      </c>
      <c r="E2014" s="71"/>
      <c r="F2014" s="71"/>
      <c r="G2014" s="72"/>
      <c r="H2014" s="308">
        <f>SUM(H2012:H2013)</f>
        <v>51584.5</v>
      </c>
      <c r="I2014" s="322"/>
      <c r="J2014" s="160"/>
      <c r="K2014" s="328"/>
    </row>
    <row r="2015" spans="3:11">
      <c r="J2015" s="160"/>
      <c r="K2015" s="328"/>
    </row>
    <row r="2016" spans="3:11">
      <c r="C2016" s="371" t="s">
        <v>1958</v>
      </c>
      <c r="D2016" s="318"/>
      <c r="E2016" s="318"/>
      <c r="F2016" s="318"/>
      <c r="G2016" s="318"/>
      <c r="H2016" s="318"/>
      <c r="I2016" s="57">
        <f>ROUNDDOWN(H2031,-2)</f>
        <v>79000</v>
      </c>
      <c r="J2016" s="160"/>
      <c r="K2016" s="328"/>
    </row>
    <row r="2017" spans="3:11" ht="28.5">
      <c r="C2017" s="303" t="s">
        <v>1207</v>
      </c>
      <c r="D2017" s="303" t="s">
        <v>1208</v>
      </c>
      <c r="E2017" s="303" t="s">
        <v>1209</v>
      </c>
      <c r="F2017" s="303" t="s">
        <v>1210</v>
      </c>
      <c r="G2017" s="303" t="s">
        <v>1211</v>
      </c>
      <c r="H2017" s="303" t="s">
        <v>1212</v>
      </c>
      <c r="J2017" s="160"/>
      <c r="K2017" s="328"/>
    </row>
    <row r="2018" spans="3:11">
      <c r="C2018" s="73" t="s">
        <v>1213</v>
      </c>
      <c r="D2018" s="60" t="s">
        <v>1214</v>
      </c>
      <c r="E2018" s="74"/>
      <c r="F2018" s="74"/>
      <c r="G2018" s="74"/>
      <c r="H2018" s="74"/>
      <c r="J2018" s="160"/>
      <c r="K2018" s="328"/>
    </row>
    <row r="2019" spans="3:11">
      <c r="C2019" s="304">
        <v>1</v>
      </c>
      <c r="D2019" s="60" t="s">
        <v>5</v>
      </c>
      <c r="E2019" s="305" t="s">
        <v>6</v>
      </c>
      <c r="F2019" s="184">
        <v>2.9000000000000001E-2</v>
      </c>
      <c r="G2019" s="65">
        <f>VLOOKUP(D2019,upahbahan,3,FALSE)</f>
        <v>100000</v>
      </c>
      <c r="H2019" s="65">
        <f t="shared" ref="H2019:H2022" si="236">F2019*G2019</f>
        <v>2900</v>
      </c>
      <c r="J2019" s="160"/>
      <c r="K2019" s="328"/>
    </row>
    <row r="2020" spans="3:11">
      <c r="C2020" s="304">
        <v>2</v>
      </c>
      <c r="D2020" s="60" t="str">
        <f>D2003</f>
        <v>Tukang listrik</v>
      </c>
      <c r="E2020" s="305" t="s">
        <v>6</v>
      </c>
      <c r="F2020" s="184">
        <v>4.8000000000000001E-2</v>
      </c>
      <c r="G2020" s="65">
        <f>VLOOKUP(D2020,upahbahan,3,FALSE)</f>
        <v>145000</v>
      </c>
      <c r="H2020" s="65">
        <f t="shared" si="236"/>
        <v>6960</v>
      </c>
      <c r="J2020" s="160"/>
      <c r="K2020" s="328"/>
    </row>
    <row r="2021" spans="3:11">
      <c r="C2021" s="304">
        <v>3</v>
      </c>
      <c r="D2021" s="60" t="s">
        <v>18</v>
      </c>
      <c r="E2021" s="305" t="s">
        <v>6</v>
      </c>
      <c r="F2021" s="184">
        <v>5.0000000000000001E-3</v>
      </c>
      <c r="G2021" s="65">
        <f>VLOOKUP(D2021,upahbahan,3,FALSE)</f>
        <v>150000</v>
      </c>
      <c r="H2021" s="65">
        <f t="shared" si="236"/>
        <v>750</v>
      </c>
      <c r="J2021" s="160"/>
      <c r="K2021" s="328"/>
    </row>
    <row r="2022" spans="3:11">
      <c r="C2022" s="304">
        <v>4</v>
      </c>
      <c r="D2022" s="60" t="s">
        <v>19</v>
      </c>
      <c r="E2022" s="305" t="s">
        <v>6</v>
      </c>
      <c r="F2022" s="184">
        <v>2E-3</v>
      </c>
      <c r="G2022" s="65">
        <f>VLOOKUP(D2022,upahbahan,3,FALSE)</f>
        <v>145000</v>
      </c>
      <c r="H2022" s="65">
        <f t="shared" si="236"/>
        <v>290</v>
      </c>
      <c r="J2022" s="160"/>
      <c r="K2022" s="328"/>
    </row>
    <row r="2023" spans="3:11">
      <c r="C2023" s="84" t="s">
        <v>1220</v>
      </c>
      <c r="D2023" s="81"/>
      <c r="E2023" s="81"/>
      <c r="F2023" s="190"/>
      <c r="G2023" s="221"/>
      <c r="H2023" s="65">
        <f>SUM(H2019:H2022)</f>
        <v>10900</v>
      </c>
      <c r="I2023" s="222"/>
      <c r="J2023" s="160"/>
      <c r="K2023" s="328"/>
    </row>
    <row r="2024" spans="3:11">
      <c r="C2024" s="73" t="s">
        <v>1221</v>
      </c>
      <c r="D2024" s="60" t="s">
        <v>1222</v>
      </c>
      <c r="E2024" s="74"/>
      <c r="F2024" s="208"/>
      <c r="G2024" s="74"/>
      <c r="H2024" s="74"/>
      <c r="J2024" s="160"/>
      <c r="K2024" s="328"/>
    </row>
    <row r="2025" spans="3:11">
      <c r="C2025" s="368" t="s">
        <v>1215</v>
      </c>
      <c r="D2025" s="78" t="s">
        <v>842</v>
      </c>
      <c r="E2025" s="69" t="s">
        <v>114</v>
      </c>
      <c r="F2025" s="184">
        <v>1.1499999999999999</v>
      </c>
      <c r="G2025" s="65">
        <f>VLOOKUP(D2025,upahbahan,3,FALSE)</f>
        <v>53000</v>
      </c>
      <c r="H2025" s="65">
        <f t="shared" ref="H2025" si="237">F2025*G2025</f>
        <v>60949.999999999993</v>
      </c>
      <c r="J2025" s="160"/>
      <c r="K2025" s="328"/>
    </row>
    <row r="2026" spans="3:11">
      <c r="C2026" s="84" t="s">
        <v>1226</v>
      </c>
      <c r="D2026" s="81"/>
      <c r="E2026" s="81"/>
      <c r="F2026" s="81"/>
      <c r="G2026" s="163"/>
      <c r="H2026" s="65">
        <f>SUM(H2025:H2025)</f>
        <v>60949.999999999993</v>
      </c>
      <c r="J2026" s="160"/>
      <c r="K2026" s="328"/>
    </row>
    <row r="2027" spans="3:11">
      <c r="C2027" s="73" t="s">
        <v>1227</v>
      </c>
      <c r="D2027" s="60" t="s">
        <v>1228</v>
      </c>
      <c r="E2027" s="74"/>
      <c r="F2027" s="74"/>
      <c r="G2027" s="74"/>
      <c r="H2027" s="74"/>
      <c r="J2027" s="160"/>
      <c r="K2027" s="328"/>
    </row>
    <row r="2028" spans="3:11">
      <c r="C2028" s="84" t="s">
        <v>1229</v>
      </c>
      <c r="D2028" s="81"/>
      <c r="E2028" s="81"/>
      <c r="F2028" s="81"/>
      <c r="G2028" s="163"/>
      <c r="H2028" s="306">
        <v>0</v>
      </c>
      <c r="J2028" s="160"/>
      <c r="K2028" s="328"/>
    </row>
    <row r="2029" spans="3:11">
      <c r="C2029" s="59" t="s">
        <v>1230</v>
      </c>
      <c r="D2029" s="70" t="s">
        <v>1231</v>
      </c>
      <c r="E2029" s="71"/>
      <c r="F2029" s="71"/>
      <c r="G2029" s="72"/>
      <c r="H2029" s="307">
        <f>H2028+H2026+H2023</f>
        <v>71850</v>
      </c>
      <c r="I2029" s="322"/>
      <c r="J2029" s="160"/>
      <c r="K2029" s="328"/>
    </row>
    <row r="2030" spans="3:11">
      <c r="C2030" s="59" t="s">
        <v>1232</v>
      </c>
      <c r="D2030" s="70" t="s">
        <v>1410</v>
      </c>
      <c r="E2030" s="71"/>
      <c r="F2030" s="72"/>
      <c r="G2030" s="96">
        <f>$M$7</f>
        <v>0.1</v>
      </c>
      <c r="H2030" s="65">
        <f>H2029*G2030</f>
        <v>7185</v>
      </c>
      <c r="I2030" s="322"/>
      <c r="J2030" s="160"/>
      <c r="K2030" s="328"/>
    </row>
    <row r="2031" spans="3:11">
      <c r="C2031" s="59" t="s">
        <v>1233</v>
      </c>
      <c r="D2031" s="70" t="s">
        <v>1234</v>
      </c>
      <c r="E2031" s="71"/>
      <c r="F2031" s="71"/>
      <c r="G2031" s="72"/>
      <c r="H2031" s="308">
        <f>SUM(H2029:H2030)</f>
        <v>79035</v>
      </c>
      <c r="I2031" s="322"/>
      <c r="J2031" s="160"/>
      <c r="K2031" s="328"/>
    </row>
    <row r="2032" spans="3:11">
      <c r="J2032" s="160"/>
      <c r="K2032" s="328"/>
    </row>
    <row r="2033" spans="3:11">
      <c r="C2033" s="371" t="s">
        <v>1959</v>
      </c>
      <c r="D2033" s="318"/>
      <c r="E2033" s="318"/>
      <c r="F2033" s="318"/>
      <c r="G2033" s="318"/>
      <c r="H2033" s="318"/>
      <c r="I2033" s="57">
        <f>ROUNDDOWN(H2048,-2)</f>
        <v>105900</v>
      </c>
      <c r="J2033" s="160"/>
      <c r="K2033" s="328"/>
    </row>
    <row r="2034" spans="3:11" ht="28.5">
      <c r="C2034" s="303" t="s">
        <v>1207</v>
      </c>
      <c r="D2034" s="303" t="s">
        <v>1208</v>
      </c>
      <c r="E2034" s="303" t="s">
        <v>1209</v>
      </c>
      <c r="F2034" s="303" t="s">
        <v>1210</v>
      </c>
      <c r="G2034" s="303" t="s">
        <v>1211</v>
      </c>
      <c r="H2034" s="303" t="s">
        <v>1212</v>
      </c>
      <c r="J2034" s="160"/>
      <c r="K2034" s="328"/>
    </row>
    <row r="2035" spans="3:11">
      <c r="C2035" s="73" t="s">
        <v>1213</v>
      </c>
      <c r="D2035" s="60" t="s">
        <v>1214</v>
      </c>
      <c r="E2035" s="74"/>
      <c r="F2035" s="74"/>
      <c r="G2035" s="74"/>
      <c r="H2035" s="74"/>
      <c r="J2035" s="160"/>
      <c r="K2035" s="328"/>
    </row>
    <row r="2036" spans="3:11">
      <c r="C2036" s="304">
        <v>1</v>
      </c>
      <c r="D2036" s="60" t="s">
        <v>5</v>
      </c>
      <c r="E2036" s="305" t="s">
        <v>6</v>
      </c>
      <c r="F2036" s="75">
        <v>3.5999999999999997E-2</v>
      </c>
      <c r="G2036" s="65">
        <f>VLOOKUP(D2036,upahbahan,3,FALSE)</f>
        <v>100000</v>
      </c>
      <c r="H2036" s="65">
        <f t="shared" ref="H2036:H2039" si="238">F2036*G2036</f>
        <v>3599.9999999999995</v>
      </c>
      <c r="J2036" s="160"/>
      <c r="K2036" s="328"/>
    </row>
    <row r="2037" spans="3:11">
      <c r="C2037" s="304">
        <v>2</v>
      </c>
      <c r="D2037" s="60" t="str">
        <f>D2020</f>
        <v>Tukang listrik</v>
      </c>
      <c r="E2037" s="305" t="s">
        <v>6</v>
      </c>
      <c r="F2037" s="75">
        <v>0.06</v>
      </c>
      <c r="G2037" s="65">
        <f>VLOOKUP(D2037,upahbahan,3,FALSE)</f>
        <v>145000</v>
      </c>
      <c r="H2037" s="65">
        <f t="shared" si="238"/>
        <v>8700</v>
      </c>
      <c r="J2037" s="160"/>
      <c r="K2037" s="328"/>
    </row>
    <row r="2038" spans="3:11">
      <c r="C2038" s="304">
        <v>3</v>
      </c>
      <c r="D2038" s="60" t="s">
        <v>18</v>
      </c>
      <c r="E2038" s="305" t="s">
        <v>6</v>
      </c>
      <c r="F2038" s="75">
        <v>6.0000000000000001E-3</v>
      </c>
      <c r="G2038" s="65">
        <f>VLOOKUP(D2038,upahbahan,3,FALSE)</f>
        <v>150000</v>
      </c>
      <c r="H2038" s="65">
        <f t="shared" si="238"/>
        <v>900</v>
      </c>
      <c r="J2038" s="160"/>
      <c r="K2038" s="328"/>
    </row>
    <row r="2039" spans="3:11">
      <c r="C2039" s="304">
        <v>4</v>
      </c>
      <c r="D2039" s="60" t="s">
        <v>19</v>
      </c>
      <c r="E2039" s="305" t="s">
        <v>6</v>
      </c>
      <c r="F2039" s="75">
        <v>2E-3</v>
      </c>
      <c r="G2039" s="65">
        <f>VLOOKUP(D2039,upahbahan,3,FALSE)</f>
        <v>145000</v>
      </c>
      <c r="H2039" s="65">
        <f t="shared" si="238"/>
        <v>290</v>
      </c>
      <c r="J2039" s="160"/>
      <c r="K2039" s="328"/>
    </row>
    <row r="2040" spans="3:11">
      <c r="C2040" s="84" t="s">
        <v>1220</v>
      </c>
      <c r="D2040" s="81"/>
      <c r="E2040" s="81"/>
      <c r="F2040" s="190"/>
      <c r="G2040" s="221"/>
      <c r="H2040" s="65">
        <f>SUM(H2036:H2039)</f>
        <v>13490</v>
      </c>
      <c r="I2040" s="222"/>
      <c r="J2040" s="160"/>
      <c r="K2040" s="328"/>
    </row>
    <row r="2041" spans="3:11">
      <c r="C2041" s="73" t="s">
        <v>1221</v>
      </c>
      <c r="D2041" s="60" t="s">
        <v>1222</v>
      </c>
      <c r="E2041" s="74"/>
      <c r="F2041" s="208"/>
      <c r="G2041" s="74"/>
      <c r="H2041" s="74"/>
      <c r="J2041" s="160"/>
      <c r="K2041" s="328"/>
    </row>
    <row r="2042" spans="3:11">
      <c r="C2042" s="368" t="s">
        <v>1215</v>
      </c>
      <c r="D2042" s="78" t="s">
        <v>843</v>
      </c>
      <c r="E2042" s="69" t="s">
        <v>114</v>
      </c>
      <c r="F2042" s="184">
        <v>1.1499999999999999</v>
      </c>
      <c r="G2042" s="65">
        <f>VLOOKUP(D2042,upahbahan,3,FALSE)</f>
        <v>72000</v>
      </c>
      <c r="H2042" s="65">
        <f t="shared" ref="H2042" si="239">F2042*G2042</f>
        <v>82800</v>
      </c>
      <c r="J2042" s="160"/>
      <c r="K2042" s="328"/>
    </row>
    <row r="2043" spans="3:11">
      <c r="C2043" s="84" t="s">
        <v>1226</v>
      </c>
      <c r="D2043" s="81"/>
      <c r="E2043" s="81"/>
      <c r="F2043" s="81"/>
      <c r="G2043" s="163"/>
      <c r="H2043" s="65">
        <f>SUM(H2042:H2042)</f>
        <v>82800</v>
      </c>
      <c r="J2043" s="160"/>
      <c r="K2043" s="328"/>
    </row>
    <row r="2044" spans="3:11">
      <c r="C2044" s="73" t="s">
        <v>1227</v>
      </c>
      <c r="D2044" s="60" t="s">
        <v>1228</v>
      </c>
      <c r="E2044" s="74"/>
      <c r="F2044" s="74"/>
      <c r="G2044" s="74"/>
      <c r="H2044" s="74"/>
      <c r="J2044" s="160"/>
      <c r="K2044" s="328"/>
    </row>
    <row r="2045" spans="3:11">
      <c r="C2045" s="84" t="s">
        <v>1229</v>
      </c>
      <c r="D2045" s="81"/>
      <c r="E2045" s="81"/>
      <c r="F2045" s="81"/>
      <c r="G2045" s="163"/>
      <c r="H2045" s="306">
        <v>0</v>
      </c>
      <c r="J2045" s="160"/>
      <c r="K2045" s="328"/>
    </row>
    <row r="2046" spans="3:11">
      <c r="C2046" s="59" t="s">
        <v>1230</v>
      </c>
      <c r="D2046" s="70" t="s">
        <v>1231</v>
      </c>
      <c r="E2046" s="71"/>
      <c r="F2046" s="71"/>
      <c r="G2046" s="72"/>
      <c r="H2046" s="307">
        <f>H2045+H2043+H2040</f>
        <v>96290</v>
      </c>
      <c r="I2046" s="322"/>
      <c r="J2046" s="160"/>
      <c r="K2046" s="328"/>
    </row>
    <row r="2047" spans="3:11">
      <c r="C2047" s="59" t="s">
        <v>1232</v>
      </c>
      <c r="D2047" s="70" t="s">
        <v>1410</v>
      </c>
      <c r="E2047" s="71"/>
      <c r="F2047" s="72"/>
      <c r="G2047" s="96">
        <f>$M$7</f>
        <v>0.1</v>
      </c>
      <c r="H2047" s="65">
        <f>H2046*G2047</f>
        <v>9629</v>
      </c>
      <c r="I2047" s="322"/>
      <c r="J2047" s="160"/>
      <c r="K2047" s="328"/>
    </row>
    <row r="2048" spans="3:11">
      <c r="C2048" s="59" t="s">
        <v>1233</v>
      </c>
      <c r="D2048" s="70" t="s">
        <v>1234</v>
      </c>
      <c r="E2048" s="71"/>
      <c r="F2048" s="71"/>
      <c r="G2048" s="72"/>
      <c r="H2048" s="308">
        <f>SUM(H2046:H2047)</f>
        <v>105919</v>
      </c>
      <c r="I2048" s="322"/>
      <c r="J2048" s="160"/>
      <c r="K2048" s="328"/>
    </row>
    <row r="2049" spans="3:11">
      <c r="J2049" s="160"/>
      <c r="K2049" s="328"/>
    </row>
    <row r="2050" spans="3:11">
      <c r="C2050" s="371" t="s">
        <v>1960</v>
      </c>
      <c r="D2050" s="318"/>
      <c r="E2050" s="318"/>
      <c r="F2050" s="318"/>
      <c r="G2050" s="318"/>
      <c r="H2050" s="318"/>
      <c r="I2050" s="57">
        <f>ROUNDDOWN(H2065,-2)</f>
        <v>135600</v>
      </c>
      <c r="J2050" s="160"/>
      <c r="K2050" s="328"/>
    </row>
    <row r="2051" spans="3:11" ht="28.5">
      <c r="C2051" s="303" t="s">
        <v>1207</v>
      </c>
      <c r="D2051" s="303" t="s">
        <v>1208</v>
      </c>
      <c r="E2051" s="303" t="s">
        <v>1209</v>
      </c>
      <c r="F2051" s="303" t="s">
        <v>1210</v>
      </c>
      <c r="G2051" s="303" t="s">
        <v>1211</v>
      </c>
      <c r="H2051" s="303" t="s">
        <v>1212</v>
      </c>
      <c r="J2051" s="160"/>
      <c r="K2051" s="328"/>
    </row>
    <row r="2052" spans="3:11">
      <c r="C2052" s="73" t="s">
        <v>1213</v>
      </c>
      <c r="D2052" s="60" t="s">
        <v>1214</v>
      </c>
      <c r="E2052" s="74"/>
      <c r="F2052" s="74"/>
      <c r="G2052" s="74"/>
      <c r="H2052" s="74"/>
      <c r="J2052" s="160"/>
      <c r="K2052" s="328"/>
    </row>
    <row r="2053" spans="3:11">
      <c r="C2053" s="304">
        <v>1</v>
      </c>
      <c r="D2053" s="60" t="s">
        <v>5</v>
      </c>
      <c r="E2053" s="305" t="s">
        <v>6</v>
      </c>
      <c r="F2053" s="75">
        <v>3.5999999999999997E-2</v>
      </c>
      <c r="G2053" s="65">
        <f>VLOOKUP(D2053,upahbahan,3,FALSE)</f>
        <v>100000</v>
      </c>
      <c r="H2053" s="65">
        <f t="shared" ref="H2053:H2056" si="240">F2053*G2053</f>
        <v>3599.9999999999995</v>
      </c>
      <c r="J2053" s="160"/>
      <c r="K2053" s="328"/>
    </row>
    <row r="2054" spans="3:11">
      <c r="C2054" s="304">
        <v>2</v>
      </c>
      <c r="D2054" s="60" t="str">
        <f>D2037</f>
        <v>Tukang listrik</v>
      </c>
      <c r="E2054" s="305" t="s">
        <v>6</v>
      </c>
      <c r="F2054" s="75">
        <v>0.06</v>
      </c>
      <c r="G2054" s="65">
        <f>VLOOKUP(D2054,upahbahan,3,FALSE)</f>
        <v>145000</v>
      </c>
      <c r="H2054" s="65">
        <f t="shared" si="240"/>
        <v>8700</v>
      </c>
      <c r="J2054" s="160"/>
      <c r="K2054" s="328"/>
    </row>
    <row r="2055" spans="3:11">
      <c r="C2055" s="304">
        <v>3</v>
      </c>
      <c r="D2055" s="60" t="s">
        <v>18</v>
      </c>
      <c r="E2055" s="305" t="s">
        <v>6</v>
      </c>
      <c r="F2055" s="75">
        <v>6.0000000000000001E-3</v>
      </c>
      <c r="G2055" s="65">
        <f>VLOOKUP(D2055,upahbahan,3,FALSE)</f>
        <v>150000</v>
      </c>
      <c r="H2055" s="65">
        <f t="shared" si="240"/>
        <v>900</v>
      </c>
      <c r="J2055" s="160"/>
      <c r="K2055" s="328"/>
    </row>
    <row r="2056" spans="3:11">
      <c r="C2056" s="304">
        <v>4</v>
      </c>
      <c r="D2056" s="60" t="s">
        <v>19</v>
      </c>
      <c r="E2056" s="305" t="s">
        <v>6</v>
      </c>
      <c r="F2056" s="75">
        <v>2E-3</v>
      </c>
      <c r="G2056" s="65">
        <f>VLOOKUP(D2056,upahbahan,3,FALSE)</f>
        <v>145000</v>
      </c>
      <c r="H2056" s="65">
        <f t="shared" si="240"/>
        <v>290</v>
      </c>
      <c r="J2056" s="160"/>
      <c r="K2056" s="328"/>
    </row>
    <row r="2057" spans="3:11">
      <c r="C2057" s="84" t="s">
        <v>1220</v>
      </c>
      <c r="D2057" s="81"/>
      <c r="E2057" s="81"/>
      <c r="F2057" s="190"/>
      <c r="G2057" s="221"/>
      <c r="H2057" s="65">
        <f>SUM(H2053:H2056)</f>
        <v>13490</v>
      </c>
      <c r="I2057" s="222"/>
      <c r="J2057" s="160"/>
      <c r="K2057" s="328"/>
    </row>
    <row r="2058" spans="3:11">
      <c r="C2058" s="73" t="s">
        <v>1221</v>
      </c>
      <c r="D2058" s="60" t="s">
        <v>1222</v>
      </c>
      <c r="E2058" s="74"/>
      <c r="F2058" s="208"/>
      <c r="G2058" s="74"/>
      <c r="H2058" s="74"/>
      <c r="J2058" s="160"/>
      <c r="K2058" s="328"/>
    </row>
    <row r="2059" spans="3:11">
      <c r="C2059" s="368" t="s">
        <v>1215</v>
      </c>
      <c r="D2059" s="78" t="s">
        <v>845</v>
      </c>
      <c r="E2059" s="69" t="s">
        <v>114</v>
      </c>
      <c r="F2059" s="184">
        <v>1.1499999999999999</v>
      </c>
      <c r="G2059" s="65">
        <f>VLOOKUP(D2059,upahbahan,3,FALSE)</f>
        <v>95500</v>
      </c>
      <c r="H2059" s="65">
        <f t="shared" ref="H2059" si="241">F2059*G2059</f>
        <v>109824.99999999999</v>
      </c>
      <c r="J2059" s="160"/>
      <c r="K2059" s="328"/>
    </row>
    <row r="2060" spans="3:11">
      <c r="C2060" s="84" t="s">
        <v>1226</v>
      </c>
      <c r="D2060" s="81"/>
      <c r="E2060" s="81"/>
      <c r="F2060" s="81"/>
      <c r="G2060" s="163"/>
      <c r="H2060" s="65">
        <f>SUM(H2059:H2059)</f>
        <v>109824.99999999999</v>
      </c>
      <c r="J2060" s="160"/>
      <c r="K2060" s="328"/>
    </row>
    <row r="2061" spans="3:11">
      <c r="C2061" s="73" t="s">
        <v>1227</v>
      </c>
      <c r="D2061" s="60" t="s">
        <v>1228</v>
      </c>
      <c r="E2061" s="74"/>
      <c r="F2061" s="74"/>
      <c r="G2061" s="74"/>
      <c r="H2061" s="74"/>
      <c r="J2061" s="160"/>
      <c r="K2061" s="328"/>
    </row>
    <row r="2062" spans="3:11">
      <c r="C2062" s="84" t="s">
        <v>1229</v>
      </c>
      <c r="D2062" s="81"/>
      <c r="E2062" s="81"/>
      <c r="F2062" s="81"/>
      <c r="G2062" s="163"/>
      <c r="H2062" s="306">
        <v>0</v>
      </c>
      <c r="J2062" s="160"/>
      <c r="K2062" s="328"/>
    </row>
    <row r="2063" spans="3:11">
      <c r="C2063" s="59" t="s">
        <v>1230</v>
      </c>
      <c r="D2063" s="70" t="s">
        <v>1231</v>
      </c>
      <c r="E2063" s="71"/>
      <c r="F2063" s="71"/>
      <c r="G2063" s="72"/>
      <c r="H2063" s="307">
        <f>H2062+H2060+H2057</f>
        <v>123314.99999999999</v>
      </c>
      <c r="I2063" s="322"/>
      <c r="J2063" s="160"/>
      <c r="K2063" s="328"/>
    </row>
    <row r="2064" spans="3:11">
      <c r="C2064" s="59" t="s">
        <v>1232</v>
      </c>
      <c r="D2064" s="70" t="s">
        <v>1410</v>
      </c>
      <c r="E2064" s="71"/>
      <c r="F2064" s="72"/>
      <c r="G2064" s="96">
        <f>$M$7</f>
        <v>0.1</v>
      </c>
      <c r="H2064" s="65">
        <f>H2063*G2064</f>
        <v>12331.5</v>
      </c>
      <c r="I2064" s="322"/>
      <c r="J2064" s="160"/>
      <c r="K2064" s="328"/>
    </row>
    <row r="2065" spans="3:11">
      <c r="C2065" s="59" t="s">
        <v>1233</v>
      </c>
      <c r="D2065" s="70" t="s">
        <v>1234</v>
      </c>
      <c r="E2065" s="71"/>
      <c r="F2065" s="71"/>
      <c r="G2065" s="72"/>
      <c r="H2065" s="308">
        <f>SUM(H2063:H2064)</f>
        <v>135646.5</v>
      </c>
      <c r="I2065" s="322"/>
      <c r="J2065" s="160"/>
      <c r="K2065" s="328"/>
    </row>
    <row r="2066" spans="3:11">
      <c r="J2066" s="160"/>
      <c r="K2066" s="328"/>
    </row>
    <row r="2067" spans="3:11">
      <c r="C2067" s="371" t="s">
        <v>1961</v>
      </c>
      <c r="D2067" s="318"/>
      <c r="E2067" s="318"/>
      <c r="F2067" s="318"/>
      <c r="G2067" s="318"/>
      <c r="H2067" s="318"/>
      <c r="I2067" s="57">
        <f>ROUNDDOWN(H2082,-2)</f>
        <v>196500</v>
      </c>
      <c r="J2067" s="160"/>
      <c r="K2067" s="328"/>
    </row>
    <row r="2068" spans="3:11" ht="28.5">
      <c r="C2068" s="303" t="s">
        <v>1207</v>
      </c>
      <c r="D2068" s="303" t="s">
        <v>1208</v>
      </c>
      <c r="E2068" s="303" t="s">
        <v>1209</v>
      </c>
      <c r="F2068" s="303" t="s">
        <v>1210</v>
      </c>
      <c r="G2068" s="303" t="s">
        <v>1211</v>
      </c>
      <c r="H2068" s="303" t="s">
        <v>1212</v>
      </c>
      <c r="J2068" s="160"/>
      <c r="K2068" s="328"/>
    </row>
    <row r="2069" spans="3:11">
      <c r="C2069" s="73" t="s">
        <v>1213</v>
      </c>
      <c r="D2069" s="60" t="s">
        <v>1214</v>
      </c>
      <c r="E2069" s="74"/>
      <c r="F2069" s="74"/>
      <c r="G2069" s="74"/>
      <c r="H2069" s="74"/>
      <c r="J2069" s="160"/>
      <c r="K2069" s="328"/>
    </row>
    <row r="2070" spans="3:11">
      <c r="C2070" s="304">
        <v>1</v>
      </c>
      <c r="D2070" s="60" t="s">
        <v>5</v>
      </c>
      <c r="E2070" s="305" t="s">
        <v>6</v>
      </c>
      <c r="F2070" s="75">
        <v>0.06</v>
      </c>
      <c r="G2070" s="65">
        <f>VLOOKUP(D2070,upahbahan,3,FALSE)</f>
        <v>100000</v>
      </c>
      <c r="H2070" s="65">
        <f t="shared" ref="H2070:H2073" si="242">F2070*G2070</f>
        <v>6000</v>
      </c>
      <c r="J2070" s="160"/>
      <c r="K2070" s="328"/>
    </row>
    <row r="2071" spans="3:11">
      <c r="C2071" s="304">
        <v>2</v>
      </c>
      <c r="D2071" s="60" t="str">
        <f>D2054</f>
        <v>Tukang listrik</v>
      </c>
      <c r="E2071" s="305" t="s">
        <v>6</v>
      </c>
      <c r="F2071" s="75">
        <v>9.9000000000000005E-2</v>
      </c>
      <c r="G2071" s="65">
        <f>VLOOKUP(D2071,upahbahan,3,FALSE)</f>
        <v>145000</v>
      </c>
      <c r="H2071" s="65">
        <f t="shared" si="242"/>
        <v>14355</v>
      </c>
      <c r="J2071" s="160"/>
      <c r="K2071" s="328"/>
    </row>
    <row r="2072" spans="3:11">
      <c r="C2072" s="304">
        <v>3</v>
      </c>
      <c r="D2072" s="60" t="s">
        <v>18</v>
      </c>
      <c r="E2072" s="305" t="s">
        <v>6</v>
      </c>
      <c r="F2072" s="75">
        <v>0.01</v>
      </c>
      <c r="G2072" s="65">
        <f>VLOOKUP(D2072,upahbahan,3,FALSE)</f>
        <v>150000</v>
      </c>
      <c r="H2072" s="65">
        <f t="shared" si="242"/>
        <v>1500</v>
      </c>
      <c r="J2072" s="160"/>
      <c r="K2072" s="328"/>
    </row>
    <row r="2073" spans="3:11">
      <c r="C2073" s="304">
        <v>4</v>
      </c>
      <c r="D2073" s="60" t="s">
        <v>19</v>
      </c>
      <c r="E2073" s="305" t="s">
        <v>6</v>
      </c>
      <c r="F2073" s="75">
        <v>3.0000000000000001E-3</v>
      </c>
      <c r="G2073" s="65">
        <f>VLOOKUP(D2073,upahbahan,3,FALSE)</f>
        <v>145000</v>
      </c>
      <c r="H2073" s="65">
        <f t="shared" si="242"/>
        <v>435</v>
      </c>
      <c r="J2073" s="160"/>
      <c r="K2073" s="328"/>
    </row>
    <row r="2074" spans="3:11">
      <c r="C2074" s="84" t="s">
        <v>1220</v>
      </c>
      <c r="D2074" s="81"/>
      <c r="E2074" s="81"/>
      <c r="F2074" s="190"/>
      <c r="G2074" s="221"/>
      <c r="H2074" s="65">
        <f>SUM(H2070:H2073)</f>
        <v>22290</v>
      </c>
      <c r="I2074" s="222"/>
      <c r="J2074" s="160"/>
      <c r="K2074" s="328"/>
    </row>
    <row r="2075" spans="3:11">
      <c r="C2075" s="73" t="s">
        <v>1221</v>
      </c>
      <c r="D2075" s="60" t="s">
        <v>1222</v>
      </c>
      <c r="E2075" s="74"/>
      <c r="F2075" s="208"/>
      <c r="G2075" s="74"/>
      <c r="H2075" s="74"/>
      <c r="J2075" s="160"/>
      <c r="K2075" s="328"/>
    </row>
    <row r="2076" spans="3:11">
      <c r="C2076" s="368" t="s">
        <v>1215</v>
      </c>
      <c r="D2076" s="78" t="s">
        <v>847</v>
      </c>
      <c r="E2076" s="69" t="s">
        <v>114</v>
      </c>
      <c r="F2076" s="184">
        <v>1.1499999999999999</v>
      </c>
      <c r="G2076" s="65">
        <f>VLOOKUP(D2076,upahbahan,3,FALSE)</f>
        <v>136000</v>
      </c>
      <c r="H2076" s="65">
        <f t="shared" ref="H2076" si="243">F2076*G2076</f>
        <v>156400</v>
      </c>
      <c r="J2076" s="160"/>
      <c r="K2076" s="328"/>
    </row>
    <row r="2077" spans="3:11">
      <c r="C2077" s="84" t="s">
        <v>1226</v>
      </c>
      <c r="D2077" s="81"/>
      <c r="E2077" s="81"/>
      <c r="F2077" s="81"/>
      <c r="G2077" s="163"/>
      <c r="H2077" s="65">
        <f>SUM(H2076:H2076)</f>
        <v>156400</v>
      </c>
      <c r="J2077" s="160"/>
      <c r="K2077" s="328"/>
    </row>
    <row r="2078" spans="3:11">
      <c r="C2078" s="73" t="s">
        <v>1227</v>
      </c>
      <c r="D2078" s="60" t="s">
        <v>1228</v>
      </c>
      <c r="E2078" s="74"/>
      <c r="F2078" s="74"/>
      <c r="G2078" s="74"/>
      <c r="H2078" s="74"/>
      <c r="J2078" s="160"/>
      <c r="K2078" s="328"/>
    </row>
    <row r="2079" spans="3:11">
      <c r="C2079" s="84" t="s">
        <v>1229</v>
      </c>
      <c r="D2079" s="81"/>
      <c r="E2079" s="81"/>
      <c r="F2079" s="81"/>
      <c r="G2079" s="163"/>
      <c r="H2079" s="306">
        <v>0</v>
      </c>
      <c r="J2079" s="160"/>
      <c r="K2079" s="328"/>
    </row>
    <row r="2080" spans="3:11">
      <c r="C2080" s="59" t="s">
        <v>1230</v>
      </c>
      <c r="D2080" s="70" t="s">
        <v>1231</v>
      </c>
      <c r="E2080" s="71"/>
      <c r="F2080" s="71"/>
      <c r="G2080" s="72"/>
      <c r="H2080" s="307">
        <f>H2079+H2077+H2074</f>
        <v>178690</v>
      </c>
      <c r="I2080" s="322"/>
      <c r="J2080" s="160"/>
      <c r="K2080" s="328"/>
    </row>
    <row r="2081" spans="3:11">
      <c r="C2081" s="59" t="s">
        <v>1232</v>
      </c>
      <c r="D2081" s="70" t="s">
        <v>1540</v>
      </c>
      <c r="E2081" s="71"/>
      <c r="F2081" s="72"/>
      <c r="G2081" s="62" t="s">
        <v>1541</v>
      </c>
      <c r="H2081" s="307">
        <f>H2080*10%</f>
        <v>17869</v>
      </c>
      <c r="I2081" s="322"/>
      <c r="J2081" s="160"/>
      <c r="K2081" s="328"/>
    </row>
    <row r="2082" spans="3:11">
      <c r="C2082" s="59" t="s">
        <v>1233</v>
      </c>
      <c r="D2082" s="70" t="s">
        <v>1234</v>
      </c>
      <c r="E2082" s="71"/>
      <c r="F2082" s="71"/>
      <c r="G2082" s="72"/>
      <c r="H2082" s="308">
        <f>SUM(H2080:H2081)</f>
        <v>196559</v>
      </c>
      <c r="I2082" s="322"/>
      <c r="J2082" s="160"/>
      <c r="K2082" s="328"/>
    </row>
    <row r="2083" spans="3:11">
      <c r="J2083" s="160"/>
      <c r="K2083" s="328"/>
    </row>
    <row r="2084" spans="3:11">
      <c r="C2084" s="371" t="s">
        <v>1962</v>
      </c>
      <c r="D2084" s="318"/>
      <c r="E2084" s="318"/>
      <c r="F2084" s="318"/>
      <c r="G2084" s="318"/>
      <c r="H2084" s="318"/>
      <c r="I2084" s="57">
        <f>ROUNDDOWN(H2099,-2)</f>
        <v>258500</v>
      </c>
      <c r="J2084" s="160"/>
      <c r="K2084" s="328"/>
    </row>
    <row r="2085" spans="3:11" ht="28.5">
      <c r="C2085" s="303" t="s">
        <v>1207</v>
      </c>
      <c r="D2085" s="303" t="s">
        <v>1208</v>
      </c>
      <c r="E2085" s="303" t="s">
        <v>1209</v>
      </c>
      <c r="F2085" s="303" t="s">
        <v>1210</v>
      </c>
      <c r="G2085" s="303" t="s">
        <v>1211</v>
      </c>
      <c r="H2085" s="303" t="s">
        <v>1212</v>
      </c>
      <c r="J2085" s="160"/>
      <c r="K2085" s="328"/>
    </row>
    <row r="2086" spans="3:11">
      <c r="C2086" s="73" t="s">
        <v>1213</v>
      </c>
      <c r="D2086" s="60" t="s">
        <v>1214</v>
      </c>
      <c r="E2086" s="74"/>
      <c r="F2086" s="74"/>
      <c r="G2086" s="74"/>
      <c r="H2086" s="74"/>
      <c r="J2086" s="160"/>
      <c r="K2086" s="328"/>
    </row>
    <row r="2087" spans="3:11">
      <c r="C2087" s="304">
        <v>1</v>
      </c>
      <c r="D2087" s="60" t="s">
        <v>5</v>
      </c>
      <c r="E2087" s="305" t="s">
        <v>6</v>
      </c>
      <c r="F2087" s="75">
        <v>0.06</v>
      </c>
      <c r="G2087" s="65">
        <f>VLOOKUP(D2087,upahbahan,3,FALSE)</f>
        <v>100000</v>
      </c>
      <c r="H2087" s="65">
        <f t="shared" ref="H2087:H2090" si="244">F2087*G2087</f>
        <v>6000</v>
      </c>
      <c r="J2087" s="160"/>
      <c r="K2087" s="328"/>
    </row>
    <row r="2088" spans="3:11">
      <c r="C2088" s="304">
        <v>2</v>
      </c>
      <c r="D2088" s="60" t="str">
        <f>D2071</f>
        <v>Tukang listrik</v>
      </c>
      <c r="E2088" s="305" t="s">
        <v>6</v>
      </c>
      <c r="F2088" s="75">
        <v>9.9000000000000005E-2</v>
      </c>
      <c r="G2088" s="65">
        <f>VLOOKUP(D2088,upahbahan,3,FALSE)</f>
        <v>145000</v>
      </c>
      <c r="H2088" s="65">
        <f t="shared" si="244"/>
        <v>14355</v>
      </c>
      <c r="J2088" s="160"/>
      <c r="K2088" s="328"/>
    </row>
    <row r="2089" spans="3:11">
      <c r="C2089" s="304">
        <v>3</v>
      </c>
      <c r="D2089" s="60" t="s">
        <v>18</v>
      </c>
      <c r="E2089" s="305" t="s">
        <v>6</v>
      </c>
      <c r="F2089" s="75">
        <v>0.01</v>
      </c>
      <c r="G2089" s="65">
        <f>VLOOKUP(D2089,upahbahan,3,FALSE)</f>
        <v>150000</v>
      </c>
      <c r="H2089" s="65">
        <f t="shared" si="244"/>
        <v>1500</v>
      </c>
      <c r="J2089" s="160"/>
      <c r="K2089" s="328"/>
    </row>
    <row r="2090" spans="3:11">
      <c r="C2090" s="304">
        <v>4</v>
      </c>
      <c r="D2090" s="60" t="s">
        <v>19</v>
      </c>
      <c r="E2090" s="305" t="s">
        <v>6</v>
      </c>
      <c r="F2090" s="75">
        <v>3.0000000000000001E-3</v>
      </c>
      <c r="G2090" s="65">
        <f>VLOOKUP(D2090,upahbahan,3,FALSE)</f>
        <v>145000</v>
      </c>
      <c r="H2090" s="65">
        <f t="shared" si="244"/>
        <v>435</v>
      </c>
      <c r="J2090" s="160"/>
      <c r="K2090" s="328"/>
    </row>
    <row r="2091" spans="3:11">
      <c r="C2091" s="84" t="s">
        <v>1220</v>
      </c>
      <c r="D2091" s="81"/>
      <c r="E2091" s="81"/>
      <c r="F2091" s="190"/>
      <c r="G2091" s="221"/>
      <c r="H2091" s="65">
        <f>SUM(H2087:H2090)</f>
        <v>22290</v>
      </c>
      <c r="I2091" s="222"/>
      <c r="J2091" s="160"/>
      <c r="K2091" s="328"/>
    </row>
    <row r="2092" spans="3:11">
      <c r="C2092" s="73" t="s">
        <v>1221</v>
      </c>
      <c r="D2092" s="60" t="s">
        <v>1222</v>
      </c>
      <c r="E2092" s="74"/>
      <c r="F2092" s="208"/>
      <c r="G2092" s="74"/>
      <c r="H2092" s="74"/>
      <c r="J2092" s="160"/>
      <c r="K2092" s="328"/>
    </row>
    <row r="2093" spans="3:11">
      <c r="C2093" s="368" t="s">
        <v>1215</v>
      </c>
      <c r="D2093" s="78" t="s">
        <v>848</v>
      </c>
      <c r="E2093" s="69" t="s">
        <v>114</v>
      </c>
      <c r="F2093" s="184">
        <v>1.1499999999999999</v>
      </c>
      <c r="G2093" s="65">
        <f>VLOOKUP(D2093,upahbahan,3,FALSE)</f>
        <v>185000</v>
      </c>
      <c r="H2093" s="65">
        <f t="shared" ref="H2093" si="245">F2093*G2093</f>
        <v>212749.99999999997</v>
      </c>
      <c r="J2093" s="160"/>
      <c r="K2093" s="328"/>
    </row>
    <row r="2094" spans="3:11">
      <c r="C2094" s="84" t="s">
        <v>1226</v>
      </c>
      <c r="D2094" s="81"/>
      <c r="E2094" s="81"/>
      <c r="F2094" s="81"/>
      <c r="G2094" s="163"/>
      <c r="H2094" s="65">
        <f>SUM(H2093:H2093)</f>
        <v>212749.99999999997</v>
      </c>
      <c r="J2094" s="160"/>
      <c r="K2094" s="328"/>
    </row>
    <row r="2095" spans="3:11">
      <c r="C2095" s="73" t="s">
        <v>1227</v>
      </c>
      <c r="D2095" s="60" t="s">
        <v>1228</v>
      </c>
      <c r="E2095" s="74"/>
      <c r="F2095" s="74"/>
      <c r="G2095" s="74"/>
      <c r="H2095" s="74"/>
      <c r="J2095" s="160"/>
      <c r="K2095" s="328"/>
    </row>
    <row r="2096" spans="3:11">
      <c r="C2096" s="84" t="s">
        <v>1229</v>
      </c>
      <c r="D2096" s="81"/>
      <c r="E2096" s="81"/>
      <c r="F2096" s="81"/>
      <c r="G2096" s="163"/>
      <c r="H2096" s="306">
        <v>0</v>
      </c>
      <c r="J2096" s="160"/>
      <c r="K2096" s="328"/>
    </row>
    <row r="2097" spans="3:11">
      <c r="C2097" s="59" t="s">
        <v>1230</v>
      </c>
      <c r="D2097" s="70" t="s">
        <v>1231</v>
      </c>
      <c r="E2097" s="71"/>
      <c r="F2097" s="71"/>
      <c r="G2097" s="72"/>
      <c r="H2097" s="307">
        <f>H2096+H2094+H2091</f>
        <v>235039.99999999997</v>
      </c>
      <c r="I2097" s="322"/>
      <c r="J2097" s="160"/>
      <c r="K2097" s="328"/>
    </row>
    <row r="2098" spans="3:11">
      <c r="C2098" s="59" t="s">
        <v>1232</v>
      </c>
      <c r="D2098" s="70" t="s">
        <v>1410</v>
      </c>
      <c r="E2098" s="71"/>
      <c r="F2098" s="72"/>
      <c r="G2098" s="96">
        <f>$M$7</f>
        <v>0.1</v>
      </c>
      <c r="H2098" s="65">
        <f>H2097*G2098</f>
        <v>23504</v>
      </c>
      <c r="I2098" s="322"/>
      <c r="J2098" s="160"/>
      <c r="K2098" s="328"/>
    </row>
    <row r="2099" spans="3:11">
      <c r="C2099" s="59" t="s">
        <v>1233</v>
      </c>
      <c r="D2099" s="70" t="s">
        <v>1234</v>
      </c>
      <c r="E2099" s="71"/>
      <c r="F2099" s="71"/>
      <c r="G2099" s="72"/>
      <c r="H2099" s="308">
        <f>SUM(H2097:H2098)</f>
        <v>258543.99999999997</v>
      </c>
      <c r="I2099" s="322"/>
      <c r="J2099" s="160"/>
      <c r="K2099" s="328"/>
    </row>
    <row r="2100" spans="3:11">
      <c r="J2100" s="160"/>
      <c r="K2100" s="328"/>
    </row>
    <row r="2101" spans="3:11">
      <c r="C2101" s="371" t="s">
        <v>1963</v>
      </c>
      <c r="D2101" s="318"/>
      <c r="E2101" s="318"/>
      <c r="F2101" s="318"/>
      <c r="G2101" s="318"/>
      <c r="H2101" s="318"/>
      <c r="I2101" s="57">
        <f>ROUNDDOWN(H2116,-2)</f>
        <v>533200</v>
      </c>
      <c r="J2101" s="160"/>
      <c r="K2101" s="328"/>
    </row>
    <row r="2102" spans="3:11" ht="28.5">
      <c r="C2102" s="303" t="s">
        <v>1207</v>
      </c>
      <c r="D2102" s="303" t="s">
        <v>1208</v>
      </c>
      <c r="E2102" s="303" t="s">
        <v>1209</v>
      </c>
      <c r="F2102" s="303" t="s">
        <v>1210</v>
      </c>
      <c r="G2102" s="303" t="s">
        <v>1211</v>
      </c>
      <c r="H2102" s="303" t="s">
        <v>1212</v>
      </c>
      <c r="J2102" s="160"/>
      <c r="K2102" s="328"/>
    </row>
    <row r="2103" spans="3:11">
      <c r="C2103" s="73" t="s">
        <v>1213</v>
      </c>
      <c r="D2103" s="60" t="s">
        <v>1214</v>
      </c>
      <c r="E2103" s="74"/>
      <c r="F2103" s="74"/>
      <c r="G2103" s="74"/>
      <c r="H2103" s="74"/>
      <c r="J2103" s="160"/>
      <c r="K2103" s="328"/>
    </row>
    <row r="2104" spans="3:11">
      <c r="C2104" s="304">
        <v>1</v>
      </c>
      <c r="D2104" s="60" t="s">
        <v>5</v>
      </c>
      <c r="E2104" s="305" t="s">
        <v>6</v>
      </c>
      <c r="F2104" s="75">
        <v>0.11899999999999999</v>
      </c>
      <c r="G2104" s="65">
        <f>VLOOKUP(D2104,upahbahan,3,FALSE)</f>
        <v>100000</v>
      </c>
      <c r="H2104" s="65">
        <f t="shared" ref="H2104:H2107" si="246">F2104*G2104</f>
        <v>11900</v>
      </c>
      <c r="J2104" s="160"/>
      <c r="K2104" s="328"/>
    </row>
    <row r="2105" spans="3:11">
      <c r="C2105" s="304">
        <v>2</v>
      </c>
      <c r="D2105" s="60" t="str">
        <f>D2088</f>
        <v>Tukang listrik</v>
      </c>
      <c r="E2105" s="305" t="s">
        <v>6</v>
      </c>
      <c r="F2105" s="75">
        <v>0.19900000000000001</v>
      </c>
      <c r="G2105" s="65">
        <f>VLOOKUP(D2105,upahbahan,3,FALSE)</f>
        <v>145000</v>
      </c>
      <c r="H2105" s="65">
        <f t="shared" si="246"/>
        <v>28855</v>
      </c>
      <c r="J2105" s="160"/>
      <c r="K2105" s="328"/>
    </row>
    <row r="2106" spans="3:11">
      <c r="C2106" s="304">
        <v>3</v>
      </c>
      <c r="D2106" s="60" t="s">
        <v>18</v>
      </c>
      <c r="E2106" s="305" t="s">
        <v>6</v>
      </c>
      <c r="F2106" s="75">
        <v>0.02</v>
      </c>
      <c r="G2106" s="65">
        <f>VLOOKUP(D2106,upahbahan,3,FALSE)</f>
        <v>150000</v>
      </c>
      <c r="H2106" s="65">
        <f t="shared" si="246"/>
        <v>3000</v>
      </c>
      <c r="J2106" s="160"/>
      <c r="K2106" s="328"/>
    </row>
    <row r="2107" spans="3:11">
      <c r="C2107" s="304">
        <v>4</v>
      </c>
      <c r="D2107" s="60" t="s">
        <v>19</v>
      </c>
      <c r="E2107" s="305" t="s">
        <v>6</v>
      </c>
      <c r="F2107" s="75">
        <v>7.0000000000000001E-3</v>
      </c>
      <c r="G2107" s="65">
        <f>VLOOKUP(D2107,upahbahan,3,FALSE)</f>
        <v>145000</v>
      </c>
      <c r="H2107" s="65">
        <f t="shared" si="246"/>
        <v>1015</v>
      </c>
      <c r="J2107" s="160"/>
      <c r="K2107" s="328"/>
    </row>
    <row r="2108" spans="3:11">
      <c r="C2108" s="84" t="s">
        <v>1220</v>
      </c>
      <c r="D2108" s="81"/>
      <c r="E2108" s="81"/>
      <c r="F2108" s="190"/>
      <c r="G2108" s="221"/>
      <c r="H2108" s="65">
        <f>SUM(H2104:H2107)</f>
        <v>44770</v>
      </c>
      <c r="I2108" s="222"/>
      <c r="J2108" s="160"/>
      <c r="K2108" s="328"/>
    </row>
    <row r="2109" spans="3:11">
      <c r="C2109" s="73" t="s">
        <v>1221</v>
      </c>
      <c r="D2109" s="60" t="s">
        <v>1222</v>
      </c>
      <c r="E2109" s="74"/>
      <c r="F2109" s="208"/>
      <c r="G2109" s="74"/>
      <c r="H2109" s="74"/>
      <c r="J2109" s="160"/>
      <c r="K2109" s="328"/>
    </row>
    <row r="2110" spans="3:11">
      <c r="C2110" s="368" t="s">
        <v>1215</v>
      </c>
      <c r="D2110" s="78" t="s">
        <v>965</v>
      </c>
      <c r="E2110" s="69" t="s">
        <v>114</v>
      </c>
      <c r="F2110" s="184">
        <v>1.25</v>
      </c>
      <c r="G2110" s="65">
        <f>VLOOKUP(D2110,upahbahan,3,FALSE)</f>
        <v>352000</v>
      </c>
      <c r="H2110" s="65">
        <f t="shared" ref="H2110" si="247">F2110*G2110</f>
        <v>440000</v>
      </c>
      <c r="J2110" s="160"/>
      <c r="K2110" s="328"/>
    </row>
    <row r="2111" spans="3:11">
      <c r="C2111" s="84" t="s">
        <v>1226</v>
      </c>
      <c r="D2111" s="81"/>
      <c r="E2111" s="81"/>
      <c r="F2111" s="81"/>
      <c r="G2111" s="163"/>
      <c r="H2111" s="65">
        <f>SUM(H2110:H2110)</f>
        <v>440000</v>
      </c>
      <c r="J2111" s="160"/>
      <c r="K2111" s="328"/>
    </row>
    <row r="2112" spans="3:11">
      <c r="C2112" s="73" t="s">
        <v>1227</v>
      </c>
      <c r="D2112" s="60" t="s">
        <v>1228</v>
      </c>
      <c r="E2112" s="74"/>
      <c r="F2112" s="74"/>
      <c r="G2112" s="74"/>
      <c r="H2112" s="74"/>
      <c r="J2112" s="160"/>
      <c r="K2112" s="328"/>
    </row>
    <row r="2113" spans="3:11">
      <c r="C2113" s="84" t="s">
        <v>1229</v>
      </c>
      <c r="D2113" s="81"/>
      <c r="E2113" s="81"/>
      <c r="F2113" s="81"/>
      <c r="G2113" s="163"/>
      <c r="H2113" s="306">
        <v>0</v>
      </c>
      <c r="J2113" s="160"/>
      <c r="K2113" s="328"/>
    </row>
    <row r="2114" spans="3:11">
      <c r="C2114" s="59" t="s">
        <v>1230</v>
      </c>
      <c r="D2114" s="70" t="s">
        <v>1231</v>
      </c>
      <c r="E2114" s="71"/>
      <c r="F2114" s="71"/>
      <c r="G2114" s="72"/>
      <c r="H2114" s="307">
        <f>H2113+H2111+H2108</f>
        <v>484770</v>
      </c>
      <c r="I2114" s="322"/>
      <c r="J2114" s="160"/>
      <c r="K2114" s="328"/>
    </row>
    <row r="2115" spans="3:11">
      <c r="C2115" s="59" t="s">
        <v>1232</v>
      </c>
      <c r="D2115" s="70" t="s">
        <v>1410</v>
      </c>
      <c r="E2115" s="71"/>
      <c r="F2115" s="72"/>
      <c r="G2115" s="96">
        <f>$M$7</f>
        <v>0.1</v>
      </c>
      <c r="H2115" s="65">
        <f>H2114*G2115</f>
        <v>48477</v>
      </c>
      <c r="I2115" s="322"/>
      <c r="J2115" s="160"/>
      <c r="K2115" s="328"/>
    </row>
    <row r="2116" spans="3:11">
      <c r="C2116" s="59" t="s">
        <v>1233</v>
      </c>
      <c r="D2116" s="70" t="s">
        <v>1234</v>
      </c>
      <c r="E2116" s="71"/>
      <c r="F2116" s="71"/>
      <c r="G2116" s="72"/>
      <c r="H2116" s="308">
        <f>SUM(H2114:H2115)</f>
        <v>533247</v>
      </c>
      <c r="I2116" s="322"/>
      <c r="J2116" s="160"/>
      <c r="K2116" s="328"/>
    </row>
    <row r="2117" spans="3:11">
      <c r="J2117" s="160"/>
      <c r="K2117" s="328"/>
    </row>
    <row r="2118" spans="3:11">
      <c r="C2118" s="371" t="s">
        <v>1964</v>
      </c>
      <c r="D2118" s="318"/>
      <c r="E2118" s="318"/>
      <c r="F2118" s="318"/>
      <c r="G2118" s="318"/>
      <c r="H2118" s="318"/>
      <c r="I2118" s="57">
        <f>ROUNDDOWN(H2133,-2)</f>
        <v>474100</v>
      </c>
      <c r="J2118" s="160"/>
      <c r="K2118" s="328"/>
    </row>
    <row r="2119" spans="3:11" ht="28.5">
      <c r="C2119" s="303" t="s">
        <v>1207</v>
      </c>
      <c r="D2119" s="303" t="s">
        <v>1208</v>
      </c>
      <c r="E2119" s="303" t="s">
        <v>1209</v>
      </c>
      <c r="F2119" s="303" t="s">
        <v>1210</v>
      </c>
      <c r="G2119" s="303" t="s">
        <v>1211</v>
      </c>
      <c r="H2119" s="303" t="s">
        <v>1212</v>
      </c>
      <c r="J2119" s="160"/>
      <c r="K2119" s="328"/>
    </row>
    <row r="2120" spans="3:11">
      <c r="C2120" s="73" t="s">
        <v>1213</v>
      </c>
      <c r="D2120" s="60" t="s">
        <v>1214</v>
      </c>
      <c r="E2120" s="74"/>
      <c r="F2120" s="74"/>
      <c r="G2120" s="74"/>
      <c r="H2120" s="74"/>
      <c r="J2120" s="160"/>
      <c r="K2120" s="328"/>
    </row>
    <row r="2121" spans="3:11">
      <c r="C2121" s="304">
        <v>1</v>
      </c>
      <c r="D2121" s="60" t="s">
        <v>5</v>
      </c>
      <c r="E2121" s="305" t="s">
        <v>6</v>
      </c>
      <c r="F2121" s="75">
        <v>0.11899999999999999</v>
      </c>
      <c r="G2121" s="65">
        <f>VLOOKUP(D2121,upahbahan,3,FALSE)</f>
        <v>100000</v>
      </c>
      <c r="H2121" s="65">
        <f t="shared" ref="H2121:H2124" si="248">F2121*G2121</f>
        <v>11900</v>
      </c>
      <c r="J2121" s="160"/>
      <c r="K2121" s="328"/>
    </row>
    <row r="2122" spans="3:11">
      <c r="C2122" s="304">
        <v>2</v>
      </c>
      <c r="D2122" s="60" t="str">
        <f>D2105</f>
        <v>Tukang listrik</v>
      </c>
      <c r="E2122" s="305" t="s">
        <v>6</v>
      </c>
      <c r="F2122" s="75">
        <v>0.19900000000000001</v>
      </c>
      <c r="G2122" s="65">
        <f>VLOOKUP(D2122,upahbahan,3,FALSE)</f>
        <v>145000</v>
      </c>
      <c r="H2122" s="65">
        <f t="shared" si="248"/>
        <v>28855</v>
      </c>
      <c r="J2122" s="160"/>
      <c r="K2122" s="328"/>
    </row>
    <row r="2123" spans="3:11">
      <c r="C2123" s="304">
        <v>3</v>
      </c>
      <c r="D2123" s="60" t="s">
        <v>18</v>
      </c>
      <c r="E2123" s="305" t="s">
        <v>6</v>
      </c>
      <c r="F2123" s="75">
        <v>0.02</v>
      </c>
      <c r="G2123" s="65">
        <f>VLOOKUP(D2123,upahbahan,3,FALSE)</f>
        <v>150000</v>
      </c>
      <c r="H2123" s="65">
        <f t="shared" si="248"/>
        <v>3000</v>
      </c>
      <c r="J2123" s="160"/>
      <c r="K2123" s="328"/>
    </row>
    <row r="2124" spans="3:11">
      <c r="C2124" s="304">
        <v>4</v>
      </c>
      <c r="D2124" s="60" t="s">
        <v>19</v>
      </c>
      <c r="E2124" s="305" t="s">
        <v>6</v>
      </c>
      <c r="F2124" s="75">
        <v>7.0000000000000001E-3</v>
      </c>
      <c r="G2124" s="65">
        <f>VLOOKUP(D2124,upahbahan,3,FALSE)</f>
        <v>145000</v>
      </c>
      <c r="H2124" s="65">
        <f t="shared" si="248"/>
        <v>1015</v>
      </c>
      <c r="J2124" s="160"/>
      <c r="K2124" s="328"/>
    </row>
    <row r="2125" spans="3:11">
      <c r="C2125" s="84" t="s">
        <v>1220</v>
      </c>
      <c r="D2125" s="81"/>
      <c r="E2125" s="81"/>
      <c r="F2125" s="190"/>
      <c r="G2125" s="221"/>
      <c r="H2125" s="65">
        <f>SUM(H2121:H2124)</f>
        <v>44770</v>
      </c>
      <c r="I2125" s="222"/>
      <c r="J2125" s="160"/>
      <c r="K2125" s="328"/>
    </row>
    <row r="2126" spans="3:11">
      <c r="C2126" s="73" t="s">
        <v>1221</v>
      </c>
      <c r="D2126" s="60" t="s">
        <v>1222</v>
      </c>
      <c r="E2126" s="74"/>
      <c r="F2126" s="208"/>
      <c r="G2126" s="74"/>
      <c r="H2126" s="74"/>
      <c r="J2126" s="160"/>
      <c r="K2126" s="328"/>
    </row>
    <row r="2127" spans="3:11">
      <c r="C2127" s="368" t="s">
        <v>1215</v>
      </c>
      <c r="D2127" s="78" t="s">
        <v>964</v>
      </c>
      <c r="E2127" s="69" t="s">
        <v>114</v>
      </c>
      <c r="F2127" s="184">
        <v>1.25</v>
      </c>
      <c r="G2127" s="65">
        <f>VLOOKUP(D2127,upahbahan,3,FALSE)</f>
        <v>309000</v>
      </c>
      <c r="H2127" s="65">
        <f t="shared" ref="H2127" si="249">F2127*G2127</f>
        <v>386250</v>
      </c>
      <c r="J2127" s="160"/>
      <c r="K2127" s="328"/>
    </row>
    <row r="2128" spans="3:11">
      <c r="C2128" s="84" t="s">
        <v>1226</v>
      </c>
      <c r="D2128" s="81"/>
      <c r="E2128" s="81"/>
      <c r="F2128" s="81"/>
      <c r="G2128" s="163"/>
      <c r="H2128" s="65">
        <f>SUM(H2127:H2127)</f>
        <v>386250</v>
      </c>
      <c r="J2128" s="160"/>
      <c r="K2128" s="328"/>
    </row>
    <row r="2129" spans="3:11">
      <c r="C2129" s="73" t="s">
        <v>1227</v>
      </c>
      <c r="D2129" s="60" t="s">
        <v>1228</v>
      </c>
      <c r="E2129" s="74"/>
      <c r="F2129" s="74"/>
      <c r="G2129" s="74"/>
      <c r="H2129" s="74"/>
      <c r="J2129" s="160"/>
      <c r="K2129" s="328"/>
    </row>
    <row r="2130" spans="3:11">
      <c r="C2130" s="84" t="s">
        <v>1229</v>
      </c>
      <c r="D2130" s="81"/>
      <c r="E2130" s="81"/>
      <c r="F2130" s="81"/>
      <c r="G2130" s="163"/>
      <c r="H2130" s="306">
        <v>0</v>
      </c>
      <c r="J2130" s="160"/>
      <c r="K2130" s="328"/>
    </row>
    <row r="2131" spans="3:11">
      <c r="C2131" s="59" t="s">
        <v>1230</v>
      </c>
      <c r="D2131" s="70" t="s">
        <v>1231</v>
      </c>
      <c r="E2131" s="71"/>
      <c r="F2131" s="71"/>
      <c r="G2131" s="72"/>
      <c r="H2131" s="307">
        <f>H2130+H2128+H2125</f>
        <v>431020</v>
      </c>
      <c r="I2131" s="322"/>
      <c r="J2131" s="160"/>
      <c r="K2131" s="328"/>
    </row>
    <row r="2132" spans="3:11">
      <c r="C2132" s="59" t="s">
        <v>1232</v>
      </c>
      <c r="D2132" s="70" t="s">
        <v>1410</v>
      </c>
      <c r="E2132" s="71"/>
      <c r="F2132" s="72"/>
      <c r="G2132" s="96">
        <f>$M$7</f>
        <v>0.1</v>
      </c>
      <c r="H2132" s="65">
        <f>H2131*G2132</f>
        <v>43102</v>
      </c>
      <c r="I2132" s="322"/>
      <c r="J2132" s="160"/>
      <c r="K2132" s="328"/>
    </row>
    <row r="2133" spans="3:11">
      <c r="C2133" s="59" t="s">
        <v>1233</v>
      </c>
      <c r="D2133" s="70" t="s">
        <v>1234</v>
      </c>
      <c r="E2133" s="71"/>
      <c r="F2133" s="71"/>
      <c r="G2133" s="72"/>
      <c r="H2133" s="308">
        <f>SUM(H2131:H2132)</f>
        <v>474122</v>
      </c>
      <c r="I2133" s="322"/>
      <c r="J2133" s="160"/>
      <c r="K2133" s="328"/>
    </row>
    <row r="2134" spans="3:11">
      <c r="J2134" s="160"/>
      <c r="K2134" s="328"/>
    </row>
    <row r="2135" spans="3:11">
      <c r="C2135" s="371" t="s">
        <v>1965</v>
      </c>
      <c r="D2135" s="318"/>
      <c r="E2135" s="318"/>
      <c r="F2135" s="318"/>
      <c r="G2135" s="318"/>
      <c r="H2135" s="318"/>
      <c r="I2135" s="57">
        <f>ROUNDDOWN(H2150,-2)</f>
        <v>413600</v>
      </c>
      <c r="J2135" s="160"/>
      <c r="K2135" s="328"/>
    </row>
    <row r="2136" spans="3:11" ht="28.5">
      <c r="C2136" s="303" t="s">
        <v>1207</v>
      </c>
      <c r="D2136" s="303" t="s">
        <v>1208</v>
      </c>
      <c r="E2136" s="303" t="s">
        <v>1209</v>
      </c>
      <c r="F2136" s="303" t="s">
        <v>1210</v>
      </c>
      <c r="G2136" s="303" t="s">
        <v>1211</v>
      </c>
      <c r="H2136" s="303" t="s">
        <v>1212</v>
      </c>
      <c r="J2136" s="160"/>
      <c r="K2136" s="328"/>
    </row>
    <row r="2137" spans="3:11">
      <c r="C2137" s="73" t="s">
        <v>1213</v>
      </c>
      <c r="D2137" s="60" t="s">
        <v>1214</v>
      </c>
      <c r="E2137" s="74"/>
      <c r="F2137" s="74"/>
      <c r="G2137" s="74"/>
      <c r="H2137" s="74"/>
      <c r="J2137" s="160"/>
      <c r="K2137" s="328"/>
    </row>
    <row r="2138" spans="3:11">
      <c r="C2138" s="304">
        <v>1</v>
      </c>
      <c r="D2138" s="60" t="s">
        <v>5</v>
      </c>
      <c r="E2138" s="305" t="s">
        <v>6</v>
      </c>
      <c r="F2138" s="75">
        <v>0.11899999999999999</v>
      </c>
      <c r="G2138" s="65">
        <f>VLOOKUP(D2138,upahbahan,3,FALSE)</f>
        <v>100000</v>
      </c>
      <c r="H2138" s="65">
        <f t="shared" ref="H2138:H2141" si="250">F2138*G2138</f>
        <v>11900</v>
      </c>
      <c r="J2138" s="160"/>
      <c r="K2138" s="328"/>
    </row>
    <row r="2139" spans="3:11">
      <c r="C2139" s="304">
        <v>2</v>
      </c>
      <c r="D2139" s="60" t="str">
        <f>D2122</f>
        <v>Tukang listrik</v>
      </c>
      <c r="E2139" s="305" t="s">
        <v>6</v>
      </c>
      <c r="F2139" s="75">
        <v>0.19900000000000001</v>
      </c>
      <c r="G2139" s="65">
        <f>VLOOKUP(D2139,upahbahan,3,FALSE)</f>
        <v>145000</v>
      </c>
      <c r="H2139" s="65">
        <f t="shared" si="250"/>
        <v>28855</v>
      </c>
      <c r="J2139" s="160"/>
      <c r="K2139" s="328"/>
    </row>
    <row r="2140" spans="3:11">
      <c r="C2140" s="304">
        <v>3</v>
      </c>
      <c r="D2140" s="60" t="s">
        <v>18</v>
      </c>
      <c r="E2140" s="305" t="s">
        <v>6</v>
      </c>
      <c r="F2140" s="75">
        <v>0.02</v>
      </c>
      <c r="G2140" s="65">
        <f>VLOOKUP(D2140,upahbahan,3,FALSE)</f>
        <v>150000</v>
      </c>
      <c r="H2140" s="65">
        <f t="shared" si="250"/>
        <v>3000</v>
      </c>
      <c r="J2140" s="160"/>
      <c r="K2140" s="328"/>
    </row>
    <row r="2141" spans="3:11">
      <c r="C2141" s="304">
        <v>4</v>
      </c>
      <c r="D2141" s="60" t="s">
        <v>19</v>
      </c>
      <c r="E2141" s="305" t="s">
        <v>6</v>
      </c>
      <c r="F2141" s="75">
        <v>7.0000000000000001E-3</v>
      </c>
      <c r="G2141" s="65">
        <f>VLOOKUP(D2141,upahbahan,3,FALSE)</f>
        <v>145000</v>
      </c>
      <c r="H2141" s="65">
        <f t="shared" si="250"/>
        <v>1015</v>
      </c>
      <c r="J2141" s="160"/>
      <c r="K2141" s="328"/>
    </row>
    <row r="2142" spans="3:11">
      <c r="C2142" s="84" t="s">
        <v>1220</v>
      </c>
      <c r="D2142" s="81"/>
      <c r="E2142" s="81"/>
      <c r="F2142" s="190"/>
      <c r="G2142" s="221"/>
      <c r="H2142" s="65">
        <f>SUM(H2138:H2141)</f>
        <v>44770</v>
      </c>
      <c r="I2142" s="222"/>
      <c r="J2142" s="160"/>
      <c r="K2142" s="328"/>
    </row>
    <row r="2143" spans="3:11">
      <c r="C2143" s="73" t="s">
        <v>1221</v>
      </c>
      <c r="D2143" s="60" t="s">
        <v>1222</v>
      </c>
      <c r="E2143" s="74"/>
      <c r="F2143" s="208"/>
      <c r="G2143" s="74"/>
      <c r="H2143" s="74"/>
      <c r="J2143" s="160"/>
      <c r="K2143" s="328"/>
    </row>
    <row r="2144" spans="3:11">
      <c r="C2144" s="368" t="s">
        <v>1215</v>
      </c>
      <c r="D2144" s="78" t="s">
        <v>963</v>
      </c>
      <c r="E2144" s="69" t="s">
        <v>114</v>
      </c>
      <c r="F2144" s="184">
        <v>1.25</v>
      </c>
      <c r="G2144" s="65">
        <f>VLOOKUP(D2144,upahbahan,3,FALSE)</f>
        <v>265000</v>
      </c>
      <c r="H2144" s="65">
        <f t="shared" ref="H2144" si="251">F2144*G2144</f>
        <v>331250</v>
      </c>
      <c r="J2144" s="160"/>
      <c r="K2144" s="328"/>
    </row>
    <row r="2145" spans="3:11">
      <c r="C2145" s="84" t="s">
        <v>1226</v>
      </c>
      <c r="D2145" s="81"/>
      <c r="E2145" s="81"/>
      <c r="F2145" s="81"/>
      <c r="G2145" s="163"/>
      <c r="H2145" s="65">
        <f>SUM(H2144:H2144)</f>
        <v>331250</v>
      </c>
      <c r="J2145" s="160"/>
      <c r="K2145" s="328"/>
    </row>
    <row r="2146" spans="3:11">
      <c r="C2146" s="73" t="s">
        <v>1227</v>
      </c>
      <c r="D2146" s="60" t="s">
        <v>1228</v>
      </c>
      <c r="E2146" s="74"/>
      <c r="F2146" s="74"/>
      <c r="G2146" s="74"/>
      <c r="H2146" s="74"/>
      <c r="J2146" s="160"/>
      <c r="K2146" s="328"/>
    </row>
    <row r="2147" spans="3:11">
      <c r="C2147" s="84" t="s">
        <v>1229</v>
      </c>
      <c r="D2147" s="81"/>
      <c r="E2147" s="81"/>
      <c r="F2147" s="81"/>
      <c r="G2147" s="163"/>
      <c r="H2147" s="306">
        <v>0</v>
      </c>
      <c r="J2147" s="160"/>
      <c r="K2147" s="328"/>
    </row>
    <row r="2148" spans="3:11">
      <c r="C2148" s="59" t="s">
        <v>1230</v>
      </c>
      <c r="D2148" s="70" t="s">
        <v>1231</v>
      </c>
      <c r="E2148" s="71"/>
      <c r="F2148" s="71"/>
      <c r="G2148" s="72"/>
      <c r="H2148" s="307">
        <f>H2147+H2145+H2142</f>
        <v>376020</v>
      </c>
      <c r="I2148" s="322"/>
      <c r="J2148" s="160"/>
      <c r="K2148" s="328"/>
    </row>
    <row r="2149" spans="3:11">
      <c r="C2149" s="59" t="s">
        <v>1232</v>
      </c>
      <c r="D2149" s="70" t="s">
        <v>1410</v>
      </c>
      <c r="E2149" s="71"/>
      <c r="F2149" s="72"/>
      <c r="G2149" s="96">
        <f>$M$7</f>
        <v>0.1</v>
      </c>
      <c r="H2149" s="65">
        <f>H2148*G2149</f>
        <v>37602</v>
      </c>
      <c r="I2149" s="322"/>
      <c r="J2149" s="160"/>
      <c r="K2149" s="328"/>
    </row>
    <row r="2150" spans="3:11">
      <c r="C2150" s="59" t="s">
        <v>1233</v>
      </c>
      <c r="D2150" s="70" t="s">
        <v>1234</v>
      </c>
      <c r="E2150" s="71"/>
      <c r="F2150" s="71"/>
      <c r="G2150" s="72"/>
      <c r="H2150" s="308">
        <f>SUM(H2148:H2149)</f>
        <v>413622</v>
      </c>
      <c r="I2150" s="322"/>
      <c r="J2150" s="160"/>
      <c r="K2150" s="328"/>
    </row>
    <row r="2151" spans="3:11">
      <c r="J2151" s="160"/>
      <c r="K2151" s="328"/>
    </row>
    <row r="2152" spans="3:11">
      <c r="C2152" s="371" t="s">
        <v>1966</v>
      </c>
      <c r="D2152" s="318"/>
      <c r="E2152" s="318"/>
      <c r="F2152" s="318"/>
      <c r="G2152" s="318"/>
      <c r="H2152" s="318"/>
      <c r="I2152" s="57">
        <f>ROUNDDOWN(H2167,-2)</f>
        <v>350300</v>
      </c>
      <c r="J2152" s="160"/>
      <c r="K2152" s="328"/>
    </row>
    <row r="2153" spans="3:11" ht="28.5">
      <c r="C2153" s="303" t="s">
        <v>1207</v>
      </c>
      <c r="D2153" s="303" t="s">
        <v>1208</v>
      </c>
      <c r="E2153" s="303" t="s">
        <v>1209</v>
      </c>
      <c r="F2153" s="303" t="s">
        <v>1210</v>
      </c>
      <c r="G2153" s="303" t="s">
        <v>1211</v>
      </c>
      <c r="H2153" s="303" t="s">
        <v>1212</v>
      </c>
      <c r="J2153" s="160"/>
      <c r="K2153" s="328"/>
    </row>
    <row r="2154" spans="3:11">
      <c r="C2154" s="73" t="s">
        <v>1213</v>
      </c>
      <c r="D2154" s="60" t="s">
        <v>1214</v>
      </c>
      <c r="E2154" s="74"/>
      <c r="F2154" s="74"/>
      <c r="G2154" s="74"/>
      <c r="H2154" s="74"/>
      <c r="J2154" s="160"/>
      <c r="K2154" s="328"/>
    </row>
    <row r="2155" spans="3:11">
      <c r="C2155" s="304">
        <v>1</v>
      </c>
      <c r="D2155" s="60" t="s">
        <v>5</v>
      </c>
      <c r="E2155" s="305" t="s">
        <v>6</v>
      </c>
      <c r="F2155" s="75">
        <v>0.11899999999999999</v>
      </c>
      <c r="G2155" s="65">
        <f>VLOOKUP(D2155,upahbahan,3,FALSE)</f>
        <v>100000</v>
      </c>
      <c r="H2155" s="65">
        <f t="shared" ref="H2155:H2158" si="252">F2155*G2155</f>
        <v>11900</v>
      </c>
      <c r="J2155" s="160"/>
      <c r="K2155" s="328"/>
    </row>
    <row r="2156" spans="3:11">
      <c r="C2156" s="304">
        <v>2</v>
      </c>
      <c r="D2156" s="60" t="str">
        <f>D2139</f>
        <v>Tukang listrik</v>
      </c>
      <c r="E2156" s="305" t="s">
        <v>6</v>
      </c>
      <c r="F2156" s="75">
        <v>0.19900000000000001</v>
      </c>
      <c r="G2156" s="65">
        <f>VLOOKUP(D2156,upahbahan,3,FALSE)</f>
        <v>145000</v>
      </c>
      <c r="H2156" s="65">
        <f t="shared" si="252"/>
        <v>28855</v>
      </c>
      <c r="J2156" s="160"/>
      <c r="K2156" s="328"/>
    </row>
    <row r="2157" spans="3:11">
      <c r="C2157" s="304">
        <v>3</v>
      </c>
      <c r="D2157" s="60" t="s">
        <v>18</v>
      </c>
      <c r="E2157" s="305" t="s">
        <v>6</v>
      </c>
      <c r="F2157" s="75">
        <v>0.02</v>
      </c>
      <c r="G2157" s="65">
        <f>VLOOKUP(D2157,upahbahan,3,FALSE)</f>
        <v>150000</v>
      </c>
      <c r="H2157" s="65">
        <f t="shared" si="252"/>
        <v>3000</v>
      </c>
      <c r="J2157" s="160"/>
      <c r="K2157" s="328"/>
    </row>
    <row r="2158" spans="3:11">
      <c r="C2158" s="304">
        <v>4</v>
      </c>
      <c r="D2158" s="60" t="s">
        <v>19</v>
      </c>
      <c r="E2158" s="305" t="s">
        <v>6</v>
      </c>
      <c r="F2158" s="75">
        <v>7.0000000000000001E-3</v>
      </c>
      <c r="G2158" s="65">
        <f>VLOOKUP(D2158,upahbahan,3,FALSE)</f>
        <v>145000</v>
      </c>
      <c r="H2158" s="65">
        <f t="shared" si="252"/>
        <v>1015</v>
      </c>
      <c r="J2158" s="160"/>
      <c r="K2158" s="328"/>
    </row>
    <row r="2159" spans="3:11">
      <c r="C2159" s="84" t="s">
        <v>1220</v>
      </c>
      <c r="D2159" s="81"/>
      <c r="E2159" s="81"/>
      <c r="F2159" s="190"/>
      <c r="G2159" s="221"/>
      <c r="H2159" s="65">
        <f>SUM(H2155:H2158)</f>
        <v>44770</v>
      </c>
      <c r="I2159" s="222"/>
      <c r="J2159" s="160"/>
      <c r="K2159" s="328"/>
    </row>
    <row r="2160" spans="3:11">
      <c r="C2160" s="73" t="s">
        <v>1221</v>
      </c>
      <c r="D2160" s="60" t="s">
        <v>1222</v>
      </c>
      <c r="E2160" s="74"/>
      <c r="F2160" s="208"/>
      <c r="G2160" s="74"/>
      <c r="H2160" s="74"/>
      <c r="J2160" s="160"/>
      <c r="K2160" s="328"/>
    </row>
    <row r="2161" spans="3:11">
      <c r="C2161" s="368" t="s">
        <v>1215</v>
      </c>
      <c r="D2161" s="78" t="s">
        <v>962</v>
      </c>
      <c r="E2161" s="69" t="s">
        <v>114</v>
      </c>
      <c r="F2161" s="184">
        <v>1.25</v>
      </c>
      <c r="G2161" s="65">
        <f>VLOOKUP(D2161,upahbahan,3,FALSE)</f>
        <v>219000</v>
      </c>
      <c r="H2161" s="65">
        <f t="shared" ref="H2161" si="253">F2161*G2161</f>
        <v>273750</v>
      </c>
      <c r="J2161" s="160"/>
      <c r="K2161" s="328"/>
    </row>
    <row r="2162" spans="3:11">
      <c r="C2162" s="84" t="s">
        <v>1226</v>
      </c>
      <c r="D2162" s="81"/>
      <c r="E2162" s="81"/>
      <c r="F2162" s="81"/>
      <c r="G2162" s="163"/>
      <c r="H2162" s="65">
        <f>SUM(H2161:H2161)</f>
        <v>273750</v>
      </c>
      <c r="J2162" s="160"/>
      <c r="K2162" s="328"/>
    </row>
    <row r="2163" spans="3:11">
      <c r="C2163" s="73" t="s">
        <v>1227</v>
      </c>
      <c r="D2163" s="60" t="s">
        <v>1228</v>
      </c>
      <c r="E2163" s="74"/>
      <c r="F2163" s="74"/>
      <c r="G2163" s="74"/>
      <c r="H2163" s="74"/>
      <c r="J2163" s="160"/>
      <c r="K2163" s="328"/>
    </row>
    <row r="2164" spans="3:11">
      <c r="C2164" s="84" t="s">
        <v>1229</v>
      </c>
      <c r="D2164" s="81"/>
      <c r="E2164" s="81"/>
      <c r="F2164" s="81"/>
      <c r="G2164" s="163"/>
      <c r="H2164" s="306">
        <v>0</v>
      </c>
      <c r="J2164" s="160"/>
      <c r="K2164" s="328"/>
    </row>
    <row r="2165" spans="3:11">
      <c r="C2165" s="59" t="s">
        <v>1230</v>
      </c>
      <c r="D2165" s="70" t="s">
        <v>1231</v>
      </c>
      <c r="E2165" s="71"/>
      <c r="F2165" s="71"/>
      <c r="G2165" s="72"/>
      <c r="H2165" s="307">
        <f>H2164+H2162+H2159</f>
        <v>318520</v>
      </c>
      <c r="I2165" s="322"/>
      <c r="J2165" s="160"/>
      <c r="K2165" s="328"/>
    </row>
    <row r="2166" spans="3:11">
      <c r="C2166" s="59" t="s">
        <v>1232</v>
      </c>
      <c r="D2166" s="70" t="s">
        <v>1410</v>
      </c>
      <c r="E2166" s="71"/>
      <c r="F2166" s="72"/>
      <c r="G2166" s="96">
        <f>$M$7</f>
        <v>0.1</v>
      </c>
      <c r="H2166" s="65">
        <f>H2165*G2166</f>
        <v>31852</v>
      </c>
      <c r="I2166" s="322"/>
      <c r="J2166" s="160"/>
      <c r="K2166" s="328"/>
    </row>
    <row r="2167" spans="3:11">
      <c r="C2167" s="59" t="s">
        <v>1233</v>
      </c>
      <c r="D2167" s="70" t="s">
        <v>1234</v>
      </c>
      <c r="E2167" s="71"/>
      <c r="F2167" s="71"/>
      <c r="G2167" s="72"/>
      <c r="H2167" s="308">
        <f>SUM(H2165:H2166)</f>
        <v>350372</v>
      </c>
      <c r="I2167" s="322"/>
      <c r="J2167" s="160"/>
      <c r="K2167" s="328"/>
    </row>
    <row r="2168" spans="3:11">
      <c r="C2168" s="58"/>
      <c r="D2168" s="82"/>
      <c r="E2168" s="82"/>
      <c r="F2168" s="82"/>
      <c r="G2168" s="82"/>
      <c r="H2168" s="83"/>
      <c r="J2168" s="160"/>
      <c r="K2168" s="328"/>
    </row>
    <row r="2169" spans="3:11">
      <c r="C2169" s="371" t="s">
        <v>1967</v>
      </c>
      <c r="D2169" s="318"/>
      <c r="E2169" s="318"/>
      <c r="F2169" s="318"/>
      <c r="G2169" s="318"/>
      <c r="H2169" s="318"/>
      <c r="I2169" s="57">
        <f>ROUNDDOWN(H2184,-2)</f>
        <v>289800</v>
      </c>
      <c r="J2169" s="160"/>
      <c r="K2169" s="328"/>
    </row>
    <row r="2170" spans="3:11" ht="28.5">
      <c r="C2170" s="303" t="s">
        <v>1207</v>
      </c>
      <c r="D2170" s="303" t="s">
        <v>1208</v>
      </c>
      <c r="E2170" s="303" t="s">
        <v>1209</v>
      </c>
      <c r="F2170" s="303" t="s">
        <v>1210</v>
      </c>
      <c r="G2170" s="303" t="s">
        <v>1211</v>
      </c>
      <c r="H2170" s="303" t="s">
        <v>1212</v>
      </c>
      <c r="J2170" s="160"/>
      <c r="K2170" s="328"/>
    </row>
    <row r="2171" spans="3:11">
      <c r="C2171" s="73" t="s">
        <v>1213</v>
      </c>
      <c r="D2171" s="60" t="s">
        <v>1214</v>
      </c>
      <c r="E2171" s="74"/>
      <c r="F2171" s="74"/>
      <c r="G2171" s="74"/>
      <c r="H2171" s="74"/>
      <c r="J2171" s="160"/>
      <c r="K2171" s="328"/>
    </row>
    <row r="2172" spans="3:11">
      <c r="C2172" s="304">
        <v>1</v>
      </c>
      <c r="D2172" s="60" t="s">
        <v>5</v>
      </c>
      <c r="E2172" s="305" t="s">
        <v>6</v>
      </c>
      <c r="F2172" s="75">
        <v>0.11899999999999999</v>
      </c>
      <c r="G2172" s="65">
        <f>VLOOKUP(D2172,upahbahan,3,FALSE)</f>
        <v>100000</v>
      </c>
      <c r="H2172" s="65">
        <f t="shared" ref="H2172:H2175" si="254">F2172*G2172</f>
        <v>11900</v>
      </c>
      <c r="J2172" s="160"/>
      <c r="K2172" s="328"/>
    </row>
    <row r="2173" spans="3:11">
      <c r="C2173" s="304">
        <v>2</v>
      </c>
      <c r="D2173" s="60" t="str">
        <f>D2156</f>
        <v>Tukang listrik</v>
      </c>
      <c r="E2173" s="305" t="s">
        <v>6</v>
      </c>
      <c r="F2173" s="75">
        <v>0.19900000000000001</v>
      </c>
      <c r="G2173" s="65">
        <f>VLOOKUP(D2173,upahbahan,3,FALSE)</f>
        <v>145000</v>
      </c>
      <c r="H2173" s="65">
        <f t="shared" si="254"/>
        <v>28855</v>
      </c>
      <c r="J2173" s="160"/>
      <c r="K2173" s="328"/>
    </row>
    <row r="2174" spans="3:11">
      <c r="C2174" s="304">
        <v>3</v>
      </c>
      <c r="D2174" s="60" t="s">
        <v>18</v>
      </c>
      <c r="E2174" s="305" t="s">
        <v>6</v>
      </c>
      <c r="F2174" s="75">
        <v>0.02</v>
      </c>
      <c r="G2174" s="65">
        <f>VLOOKUP(D2174,upahbahan,3,FALSE)</f>
        <v>150000</v>
      </c>
      <c r="H2174" s="65">
        <f t="shared" si="254"/>
        <v>3000</v>
      </c>
      <c r="J2174" s="160"/>
      <c r="K2174" s="328"/>
    </row>
    <row r="2175" spans="3:11">
      <c r="C2175" s="304">
        <v>4</v>
      </c>
      <c r="D2175" s="60" t="s">
        <v>19</v>
      </c>
      <c r="E2175" s="305" t="s">
        <v>6</v>
      </c>
      <c r="F2175" s="75">
        <v>7.0000000000000001E-3</v>
      </c>
      <c r="G2175" s="65">
        <f>VLOOKUP(D2175,upahbahan,3,FALSE)</f>
        <v>145000</v>
      </c>
      <c r="H2175" s="65">
        <f t="shared" si="254"/>
        <v>1015</v>
      </c>
      <c r="J2175" s="160"/>
      <c r="K2175" s="328"/>
    </row>
    <row r="2176" spans="3:11">
      <c r="C2176" s="84" t="s">
        <v>1220</v>
      </c>
      <c r="D2176" s="81"/>
      <c r="E2176" s="81"/>
      <c r="F2176" s="190"/>
      <c r="G2176" s="221"/>
      <c r="H2176" s="65">
        <f>SUM(H2172:H2175)</f>
        <v>44770</v>
      </c>
      <c r="I2176" s="222"/>
      <c r="J2176" s="160"/>
      <c r="K2176" s="328"/>
    </row>
    <row r="2177" spans="3:11">
      <c r="C2177" s="73" t="s">
        <v>1221</v>
      </c>
      <c r="D2177" s="60" t="s">
        <v>1222</v>
      </c>
      <c r="E2177" s="74"/>
      <c r="F2177" s="208"/>
      <c r="G2177" s="74"/>
      <c r="H2177" s="74"/>
      <c r="J2177" s="160"/>
      <c r="K2177" s="328"/>
    </row>
    <row r="2178" spans="3:11">
      <c r="C2178" s="368" t="s">
        <v>1215</v>
      </c>
      <c r="D2178" s="78" t="s">
        <v>961</v>
      </c>
      <c r="E2178" s="69" t="s">
        <v>114</v>
      </c>
      <c r="F2178" s="184">
        <v>1.25</v>
      </c>
      <c r="G2178" s="65">
        <f>VLOOKUP(D2178,upahbahan,3,FALSE)</f>
        <v>175000</v>
      </c>
      <c r="H2178" s="65">
        <f t="shared" ref="H2178" si="255">F2178*G2178</f>
        <v>218750</v>
      </c>
      <c r="J2178" s="160"/>
      <c r="K2178" s="328"/>
    </row>
    <row r="2179" spans="3:11">
      <c r="C2179" s="84" t="s">
        <v>1226</v>
      </c>
      <c r="D2179" s="81"/>
      <c r="E2179" s="81"/>
      <c r="F2179" s="81"/>
      <c r="G2179" s="163"/>
      <c r="H2179" s="65">
        <f>SUM(H2178:H2178)</f>
        <v>218750</v>
      </c>
      <c r="J2179" s="160"/>
      <c r="K2179" s="328"/>
    </row>
    <row r="2180" spans="3:11">
      <c r="C2180" s="73" t="s">
        <v>1227</v>
      </c>
      <c r="D2180" s="60" t="s">
        <v>1228</v>
      </c>
      <c r="E2180" s="74"/>
      <c r="F2180" s="74"/>
      <c r="G2180" s="74"/>
      <c r="H2180" s="74"/>
      <c r="J2180" s="160"/>
      <c r="K2180" s="328"/>
    </row>
    <row r="2181" spans="3:11">
      <c r="C2181" s="84" t="s">
        <v>1229</v>
      </c>
      <c r="D2181" s="81"/>
      <c r="E2181" s="81"/>
      <c r="F2181" s="81"/>
      <c r="G2181" s="163"/>
      <c r="H2181" s="306">
        <v>0</v>
      </c>
      <c r="J2181" s="160"/>
      <c r="K2181" s="328"/>
    </row>
    <row r="2182" spans="3:11">
      <c r="C2182" s="59" t="s">
        <v>1230</v>
      </c>
      <c r="D2182" s="70" t="s">
        <v>1231</v>
      </c>
      <c r="E2182" s="71"/>
      <c r="F2182" s="71"/>
      <c r="G2182" s="72"/>
      <c r="H2182" s="307">
        <f>H2181+H2179+H2176</f>
        <v>263520</v>
      </c>
      <c r="I2182" s="322"/>
      <c r="J2182" s="160"/>
      <c r="K2182" s="328"/>
    </row>
    <row r="2183" spans="3:11">
      <c r="C2183" s="59" t="s">
        <v>1232</v>
      </c>
      <c r="D2183" s="70" t="s">
        <v>1410</v>
      </c>
      <c r="E2183" s="71"/>
      <c r="F2183" s="72"/>
      <c r="G2183" s="96">
        <f>$M$7</f>
        <v>0.1</v>
      </c>
      <c r="H2183" s="65">
        <f>H2182*G2183</f>
        <v>26352</v>
      </c>
      <c r="I2183" s="322"/>
      <c r="J2183" s="160"/>
      <c r="K2183" s="328"/>
    </row>
    <row r="2184" spans="3:11">
      <c r="C2184" s="59" t="s">
        <v>1233</v>
      </c>
      <c r="D2184" s="70" t="s">
        <v>1234</v>
      </c>
      <c r="E2184" s="71"/>
      <c r="F2184" s="71"/>
      <c r="G2184" s="72"/>
      <c r="H2184" s="308">
        <f>SUM(H2182:H2183)</f>
        <v>289872</v>
      </c>
      <c r="I2184" s="322"/>
      <c r="J2184" s="160"/>
      <c r="K2184" s="328"/>
    </row>
    <row r="2185" spans="3:11">
      <c r="C2185" s="58"/>
      <c r="D2185" s="82"/>
      <c r="E2185" s="82"/>
      <c r="F2185" s="82"/>
      <c r="G2185" s="82"/>
      <c r="H2185" s="83"/>
      <c r="J2185" s="160"/>
      <c r="K2185" s="328"/>
    </row>
    <row r="2186" spans="3:11">
      <c r="C2186" s="371" t="s">
        <v>1968</v>
      </c>
      <c r="D2186" s="318"/>
      <c r="E2186" s="318"/>
      <c r="F2186" s="318"/>
      <c r="G2186" s="318"/>
      <c r="H2186" s="318"/>
      <c r="I2186" s="57">
        <f>ROUNDDOWN(H2201,-2)</f>
        <v>513800</v>
      </c>
      <c r="J2186" s="160"/>
      <c r="K2186" s="328"/>
    </row>
    <row r="2187" spans="3:11" ht="28.5">
      <c r="C2187" s="303" t="s">
        <v>1207</v>
      </c>
      <c r="D2187" s="303" t="s">
        <v>1208</v>
      </c>
      <c r="E2187" s="303" t="s">
        <v>1209</v>
      </c>
      <c r="F2187" s="303" t="s">
        <v>1210</v>
      </c>
      <c r="G2187" s="303" t="s">
        <v>1211</v>
      </c>
      <c r="H2187" s="303" t="s">
        <v>1212</v>
      </c>
      <c r="J2187" s="160"/>
      <c r="K2187" s="328"/>
    </row>
    <row r="2188" spans="3:11">
      <c r="C2188" s="73" t="s">
        <v>1213</v>
      </c>
      <c r="D2188" s="60" t="s">
        <v>1214</v>
      </c>
      <c r="E2188" s="74"/>
      <c r="F2188" s="74"/>
      <c r="G2188" s="74"/>
      <c r="H2188" s="74"/>
      <c r="J2188" s="160"/>
      <c r="K2188" s="328"/>
    </row>
    <row r="2189" spans="3:11">
      <c r="C2189" s="304">
        <v>1</v>
      </c>
      <c r="D2189" s="60" t="s">
        <v>5</v>
      </c>
      <c r="E2189" s="305" t="s">
        <v>6</v>
      </c>
      <c r="F2189" s="75">
        <v>0.11899999999999999</v>
      </c>
      <c r="G2189" s="65">
        <f>VLOOKUP(D2189,upahbahan,3,FALSE)</f>
        <v>100000</v>
      </c>
      <c r="H2189" s="65">
        <f t="shared" ref="H2189:H2192" si="256">F2189*G2189</f>
        <v>11900</v>
      </c>
      <c r="J2189" s="160"/>
      <c r="K2189" s="328"/>
    </row>
    <row r="2190" spans="3:11">
      <c r="C2190" s="304">
        <v>2</v>
      </c>
      <c r="D2190" s="60" t="str">
        <f>D2139</f>
        <v>Tukang listrik</v>
      </c>
      <c r="E2190" s="305" t="s">
        <v>6</v>
      </c>
      <c r="F2190" s="75">
        <v>0.19900000000000001</v>
      </c>
      <c r="G2190" s="65">
        <f>VLOOKUP(D2190,upahbahan,3,FALSE)</f>
        <v>145000</v>
      </c>
      <c r="H2190" s="65">
        <f t="shared" si="256"/>
        <v>28855</v>
      </c>
      <c r="J2190" s="160"/>
      <c r="K2190" s="328"/>
    </row>
    <row r="2191" spans="3:11">
      <c r="C2191" s="304">
        <v>3</v>
      </c>
      <c r="D2191" s="60" t="s">
        <v>18</v>
      </c>
      <c r="E2191" s="305" t="s">
        <v>6</v>
      </c>
      <c r="F2191" s="75">
        <v>0.02</v>
      </c>
      <c r="G2191" s="65">
        <f>VLOOKUP(D2191,upahbahan,3,FALSE)</f>
        <v>150000</v>
      </c>
      <c r="H2191" s="65">
        <f t="shared" si="256"/>
        <v>3000</v>
      </c>
      <c r="J2191" s="160"/>
      <c r="K2191" s="328"/>
    </row>
    <row r="2192" spans="3:11">
      <c r="C2192" s="304">
        <v>4</v>
      </c>
      <c r="D2192" s="60" t="s">
        <v>19</v>
      </c>
      <c r="E2192" s="305" t="s">
        <v>6</v>
      </c>
      <c r="F2192" s="75">
        <v>7.0000000000000001E-3</v>
      </c>
      <c r="G2192" s="65">
        <f>VLOOKUP(D2192,upahbahan,3,FALSE)</f>
        <v>145000</v>
      </c>
      <c r="H2192" s="65">
        <f t="shared" si="256"/>
        <v>1015</v>
      </c>
      <c r="J2192" s="160"/>
      <c r="K2192" s="328"/>
    </row>
    <row r="2193" spans="3:11">
      <c r="C2193" s="84" t="s">
        <v>1220</v>
      </c>
      <c r="D2193" s="81"/>
      <c r="E2193" s="81"/>
      <c r="F2193" s="190"/>
      <c r="G2193" s="221"/>
      <c r="H2193" s="65">
        <f>SUM(H2189:H2192)</f>
        <v>44770</v>
      </c>
      <c r="I2193" s="222"/>
      <c r="J2193" s="160"/>
      <c r="K2193" s="328"/>
    </row>
    <row r="2194" spans="3:11">
      <c r="C2194" s="73" t="s">
        <v>1221</v>
      </c>
      <c r="D2194" s="60" t="s">
        <v>1222</v>
      </c>
      <c r="E2194" s="74"/>
      <c r="F2194" s="208"/>
      <c r="G2194" s="74"/>
      <c r="H2194" s="74"/>
      <c r="J2194" s="160"/>
      <c r="K2194" s="328"/>
    </row>
    <row r="2195" spans="3:11">
      <c r="C2195" s="368" t="s">
        <v>1215</v>
      </c>
      <c r="D2195" s="78" t="s">
        <v>965</v>
      </c>
      <c r="E2195" s="69" t="s">
        <v>114</v>
      </c>
      <c r="F2195" s="230">
        <v>1.2</v>
      </c>
      <c r="G2195" s="65">
        <f>VLOOKUP(D2195,upahbahan,3,FALSE)</f>
        <v>352000</v>
      </c>
      <c r="H2195" s="65">
        <f t="shared" ref="H2195" si="257">F2195*G2195</f>
        <v>422400</v>
      </c>
      <c r="J2195" s="160"/>
      <c r="K2195" s="328"/>
    </row>
    <row r="2196" spans="3:11">
      <c r="C2196" s="84" t="s">
        <v>1226</v>
      </c>
      <c r="D2196" s="81"/>
      <c r="E2196" s="81"/>
      <c r="F2196" s="81"/>
      <c r="G2196" s="163"/>
      <c r="H2196" s="65">
        <f>SUM(H2195:H2195)</f>
        <v>422400</v>
      </c>
      <c r="J2196" s="160"/>
      <c r="K2196" s="328"/>
    </row>
    <row r="2197" spans="3:11">
      <c r="C2197" s="73" t="s">
        <v>1227</v>
      </c>
      <c r="D2197" s="60" t="s">
        <v>1228</v>
      </c>
      <c r="E2197" s="74"/>
      <c r="F2197" s="74"/>
      <c r="G2197" s="74"/>
      <c r="H2197" s="74"/>
      <c r="J2197" s="160"/>
      <c r="K2197" s="328"/>
    </row>
    <row r="2198" spans="3:11">
      <c r="C2198" s="84" t="s">
        <v>1229</v>
      </c>
      <c r="D2198" s="81"/>
      <c r="E2198" s="81"/>
      <c r="F2198" s="81"/>
      <c r="G2198" s="163"/>
      <c r="H2198" s="306">
        <v>0</v>
      </c>
      <c r="J2198" s="160"/>
      <c r="K2198" s="328"/>
    </row>
    <row r="2199" spans="3:11">
      <c r="C2199" s="59" t="s">
        <v>1230</v>
      </c>
      <c r="D2199" s="70" t="s">
        <v>1231</v>
      </c>
      <c r="E2199" s="71"/>
      <c r="F2199" s="71"/>
      <c r="G2199" s="72"/>
      <c r="H2199" s="307">
        <f>H2198+H2196+H2193</f>
        <v>467170</v>
      </c>
      <c r="I2199" s="322"/>
      <c r="J2199" s="160"/>
      <c r="K2199" s="328"/>
    </row>
    <row r="2200" spans="3:11">
      <c r="C2200" s="59" t="s">
        <v>1232</v>
      </c>
      <c r="D2200" s="70" t="s">
        <v>1410</v>
      </c>
      <c r="E2200" s="71"/>
      <c r="F2200" s="72"/>
      <c r="G2200" s="96">
        <f>$M$7</f>
        <v>0.1</v>
      </c>
      <c r="H2200" s="65">
        <f>H2199*G2200</f>
        <v>46717</v>
      </c>
      <c r="I2200" s="322"/>
      <c r="J2200" s="160"/>
      <c r="K2200" s="328"/>
    </row>
    <row r="2201" spans="3:11">
      <c r="C2201" s="59" t="s">
        <v>1233</v>
      </c>
      <c r="D2201" s="70" t="s">
        <v>1234</v>
      </c>
      <c r="E2201" s="71"/>
      <c r="F2201" s="71"/>
      <c r="G2201" s="72"/>
      <c r="H2201" s="308">
        <f>SUM(H2199:H2200)</f>
        <v>513887</v>
      </c>
      <c r="I2201" s="322"/>
      <c r="J2201" s="160"/>
      <c r="K2201" s="328"/>
    </row>
    <row r="2202" spans="3:11">
      <c r="J2202" s="160"/>
      <c r="K2202" s="328"/>
    </row>
    <row r="2203" spans="3:11">
      <c r="C2203" s="371" t="s">
        <v>1969</v>
      </c>
      <c r="D2203" s="318"/>
      <c r="E2203" s="318"/>
      <c r="F2203" s="318"/>
      <c r="G2203" s="318"/>
      <c r="H2203" s="318"/>
      <c r="I2203" s="57">
        <f>ROUNDDOWN(H2218,-2)</f>
        <v>457100</v>
      </c>
      <c r="J2203" s="160"/>
      <c r="K2203" s="328"/>
    </row>
    <row r="2204" spans="3:11" ht="28.5">
      <c r="C2204" s="303" t="s">
        <v>1207</v>
      </c>
      <c r="D2204" s="303" t="s">
        <v>1208</v>
      </c>
      <c r="E2204" s="303" t="s">
        <v>1209</v>
      </c>
      <c r="F2204" s="303" t="s">
        <v>1210</v>
      </c>
      <c r="G2204" s="303" t="s">
        <v>1211</v>
      </c>
      <c r="H2204" s="303" t="s">
        <v>1212</v>
      </c>
      <c r="J2204" s="160"/>
      <c r="K2204" s="328"/>
    </row>
    <row r="2205" spans="3:11">
      <c r="C2205" s="73" t="s">
        <v>1213</v>
      </c>
      <c r="D2205" s="60" t="s">
        <v>1214</v>
      </c>
      <c r="E2205" s="74"/>
      <c r="F2205" s="74"/>
      <c r="G2205" s="74"/>
      <c r="H2205" s="74"/>
      <c r="J2205" s="160"/>
      <c r="K2205" s="328"/>
    </row>
    <row r="2206" spans="3:11">
      <c r="C2206" s="304">
        <v>1</v>
      </c>
      <c r="D2206" s="60" t="s">
        <v>5</v>
      </c>
      <c r="E2206" s="305" t="s">
        <v>6</v>
      </c>
      <c r="F2206" s="75">
        <v>0.11899999999999999</v>
      </c>
      <c r="G2206" s="65">
        <f>VLOOKUP(D2206,upahbahan,3,FALSE)</f>
        <v>100000</v>
      </c>
      <c r="H2206" s="65">
        <f t="shared" ref="H2206:H2209" si="258">F2206*G2206</f>
        <v>11900</v>
      </c>
      <c r="J2206" s="160"/>
      <c r="K2206" s="328"/>
    </row>
    <row r="2207" spans="3:11">
      <c r="C2207" s="304">
        <v>2</v>
      </c>
      <c r="D2207" s="60" t="str">
        <f>D2156</f>
        <v>Tukang listrik</v>
      </c>
      <c r="E2207" s="305" t="s">
        <v>6</v>
      </c>
      <c r="F2207" s="75">
        <v>0.19900000000000001</v>
      </c>
      <c r="G2207" s="65">
        <f>VLOOKUP(D2207,upahbahan,3,FALSE)</f>
        <v>145000</v>
      </c>
      <c r="H2207" s="65">
        <f t="shared" si="258"/>
        <v>28855</v>
      </c>
      <c r="J2207" s="160"/>
      <c r="K2207" s="328"/>
    </row>
    <row r="2208" spans="3:11">
      <c r="C2208" s="304">
        <v>3</v>
      </c>
      <c r="D2208" s="60" t="s">
        <v>18</v>
      </c>
      <c r="E2208" s="305" t="s">
        <v>6</v>
      </c>
      <c r="F2208" s="75">
        <v>0.02</v>
      </c>
      <c r="G2208" s="65">
        <f>VLOOKUP(D2208,upahbahan,3,FALSE)</f>
        <v>150000</v>
      </c>
      <c r="H2208" s="65">
        <f t="shared" si="258"/>
        <v>3000</v>
      </c>
      <c r="J2208" s="160"/>
      <c r="K2208" s="328"/>
    </row>
    <row r="2209" spans="3:11">
      <c r="C2209" s="304">
        <v>4</v>
      </c>
      <c r="D2209" s="60" t="s">
        <v>19</v>
      </c>
      <c r="E2209" s="305" t="s">
        <v>6</v>
      </c>
      <c r="F2209" s="75">
        <v>7.0000000000000001E-3</v>
      </c>
      <c r="G2209" s="65">
        <f>VLOOKUP(D2209,upahbahan,3,FALSE)</f>
        <v>145000</v>
      </c>
      <c r="H2209" s="65">
        <f t="shared" si="258"/>
        <v>1015</v>
      </c>
      <c r="J2209" s="160"/>
      <c r="K2209" s="328"/>
    </row>
    <row r="2210" spans="3:11">
      <c r="C2210" s="84" t="s">
        <v>1220</v>
      </c>
      <c r="D2210" s="81"/>
      <c r="E2210" s="81"/>
      <c r="F2210" s="190"/>
      <c r="G2210" s="221"/>
      <c r="H2210" s="65">
        <f>SUM(H2206:H2209)</f>
        <v>44770</v>
      </c>
      <c r="I2210" s="222"/>
      <c r="J2210" s="160"/>
      <c r="K2210" s="328"/>
    </row>
    <row r="2211" spans="3:11">
      <c r="C2211" s="73" t="s">
        <v>1221</v>
      </c>
      <c r="D2211" s="60" t="s">
        <v>1222</v>
      </c>
      <c r="E2211" s="74"/>
      <c r="F2211" s="208"/>
      <c r="G2211" s="74"/>
      <c r="H2211" s="74"/>
      <c r="J2211" s="160"/>
      <c r="K2211" s="328"/>
    </row>
    <row r="2212" spans="3:11">
      <c r="C2212" s="368" t="s">
        <v>1215</v>
      </c>
      <c r="D2212" s="78" t="s">
        <v>964</v>
      </c>
      <c r="E2212" s="69" t="s">
        <v>114</v>
      </c>
      <c r="F2212" s="230">
        <v>1.2</v>
      </c>
      <c r="G2212" s="65">
        <f>VLOOKUP(D2212,upahbahan,3,FALSE)</f>
        <v>309000</v>
      </c>
      <c r="H2212" s="65">
        <f t="shared" ref="H2212" si="259">F2212*G2212</f>
        <v>370800</v>
      </c>
      <c r="J2212" s="160"/>
      <c r="K2212" s="328"/>
    </row>
    <row r="2213" spans="3:11">
      <c r="C2213" s="84" t="s">
        <v>1226</v>
      </c>
      <c r="D2213" s="81"/>
      <c r="E2213" s="81"/>
      <c r="F2213" s="81"/>
      <c r="G2213" s="163"/>
      <c r="H2213" s="65">
        <f>SUM(H2212:H2212)</f>
        <v>370800</v>
      </c>
      <c r="J2213" s="160"/>
      <c r="K2213" s="328"/>
    </row>
    <row r="2214" spans="3:11">
      <c r="C2214" s="73" t="s">
        <v>1227</v>
      </c>
      <c r="D2214" s="60" t="s">
        <v>1228</v>
      </c>
      <c r="E2214" s="74"/>
      <c r="F2214" s="74"/>
      <c r="G2214" s="74"/>
      <c r="H2214" s="74"/>
      <c r="J2214" s="160"/>
      <c r="K2214" s="328"/>
    </row>
    <row r="2215" spans="3:11">
      <c r="C2215" s="84" t="s">
        <v>1229</v>
      </c>
      <c r="D2215" s="81"/>
      <c r="E2215" s="81"/>
      <c r="F2215" s="81"/>
      <c r="G2215" s="163"/>
      <c r="H2215" s="306">
        <v>0</v>
      </c>
      <c r="J2215" s="160"/>
      <c r="K2215" s="328"/>
    </row>
    <row r="2216" spans="3:11">
      <c r="C2216" s="59" t="s">
        <v>1230</v>
      </c>
      <c r="D2216" s="70" t="s">
        <v>1231</v>
      </c>
      <c r="E2216" s="71"/>
      <c r="F2216" s="71"/>
      <c r="G2216" s="72"/>
      <c r="H2216" s="307">
        <f>H2215+H2213+H2210</f>
        <v>415570</v>
      </c>
      <c r="I2216" s="322"/>
      <c r="J2216" s="160"/>
      <c r="K2216" s="328"/>
    </row>
    <row r="2217" spans="3:11">
      <c r="C2217" s="59" t="s">
        <v>1232</v>
      </c>
      <c r="D2217" s="70" t="s">
        <v>1410</v>
      </c>
      <c r="E2217" s="71"/>
      <c r="F2217" s="72"/>
      <c r="G2217" s="96">
        <f>$M$7</f>
        <v>0.1</v>
      </c>
      <c r="H2217" s="65">
        <f>H2216*G2217</f>
        <v>41557</v>
      </c>
      <c r="I2217" s="322"/>
      <c r="J2217" s="160"/>
      <c r="K2217" s="328"/>
    </row>
    <row r="2218" spans="3:11">
      <c r="C2218" s="59" t="s">
        <v>1233</v>
      </c>
      <c r="D2218" s="70" t="s">
        <v>1234</v>
      </c>
      <c r="E2218" s="71"/>
      <c r="F2218" s="71"/>
      <c r="G2218" s="72"/>
      <c r="H2218" s="308">
        <f>SUM(H2216:H2217)</f>
        <v>457127</v>
      </c>
      <c r="I2218" s="322"/>
      <c r="J2218" s="160"/>
      <c r="K2218" s="328"/>
    </row>
    <row r="2219" spans="3:11">
      <c r="J2219" s="160"/>
      <c r="K2219" s="328"/>
    </row>
    <row r="2220" spans="3:11">
      <c r="C2220" s="371" t="s">
        <v>1970</v>
      </c>
      <c r="D2220" s="318"/>
      <c r="E2220" s="318"/>
      <c r="F2220" s="318"/>
      <c r="G2220" s="318"/>
      <c r="H2220" s="318"/>
      <c r="I2220" s="57">
        <f>ROUNDDOWN(H2235,-2)</f>
        <v>399000</v>
      </c>
      <c r="J2220" s="160"/>
      <c r="K2220" s="328"/>
    </row>
    <row r="2221" spans="3:11" ht="28.5">
      <c r="C2221" s="303" t="s">
        <v>1207</v>
      </c>
      <c r="D2221" s="303" t="s">
        <v>1208</v>
      </c>
      <c r="E2221" s="303" t="s">
        <v>1209</v>
      </c>
      <c r="F2221" s="303" t="s">
        <v>1210</v>
      </c>
      <c r="G2221" s="303" t="s">
        <v>1211</v>
      </c>
      <c r="H2221" s="303" t="s">
        <v>1212</v>
      </c>
      <c r="J2221" s="160"/>
      <c r="K2221" s="328"/>
    </row>
    <row r="2222" spans="3:11">
      <c r="C2222" s="73" t="s">
        <v>1213</v>
      </c>
      <c r="D2222" s="60" t="s">
        <v>1214</v>
      </c>
      <c r="E2222" s="74"/>
      <c r="F2222" s="74"/>
      <c r="G2222" s="74"/>
      <c r="H2222" s="74"/>
      <c r="J2222" s="160"/>
      <c r="K2222" s="328"/>
    </row>
    <row r="2223" spans="3:11">
      <c r="C2223" s="304">
        <v>1</v>
      </c>
      <c r="D2223" s="60" t="s">
        <v>5</v>
      </c>
      <c r="E2223" s="305" t="s">
        <v>6</v>
      </c>
      <c r="F2223" s="75">
        <v>0.11899999999999999</v>
      </c>
      <c r="G2223" s="65">
        <f>VLOOKUP(D2223,upahbahan,3,FALSE)</f>
        <v>100000</v>
      </c>
      <c r="H2223" s="65">
        <f t="shared" ref="H2223:H2226" si="260">F2223*G2223</f>
        <v>11900</v>
      </c>
      <c r="J2223" s="160"/>
      <c r="K2223" s="328"/>
    </row>
    <row r="2224" spans="3:11">
      <c r="C2224" s="304">
        <v>2</v>
      </c>
      <c r="D2224" s="60" t="str">
        <f>D2173</f>
        <v>Tukang listrik</v>
      </c>
      <c r="E2224" s="305" t="s">
        <v>6</v>
      </c>
      <c r="F2224" s="75">
        <v>0.19900000000000001</v>
      </c>
      <c r="G2224" s="65">
        <f>VLOOKUP(D2224,upahbahan,3,FALSE)</f>
        <v>145000</v>
      </c>
      <c r="H2224" s="65">
        <f t="shared" si="260"/>
        <v>28855</v>
      </c>
      <c r="J2224" s="160"/>
      <c r="K2224" s="328"/>
    </row>
    <row r="2225" spans="3:11">
      <c r="C2225" s="304">
        <v>3</v>
      </c>
      <c r="D2225" s="60" t="s">
        <v>18</v>
      </c>
      <c r="E2225" s="305" t="s">
        <v>6</v>
      </c>
      <c r="F2225" s="75">
        <v>0.02</v>
      </c>
      <c r="G2225" s="65">
        <f>VLOOKUP(D2225,upahbahan,3,FALSE)</f>
        <v>150000</v>
      </c>
      <c r="H2225" s="65">
        <f t="shared" si="260"/>
        <v>3000</v>
      </c>
      <c r="J2225" s="160"/>
      <c r="K2225" s="328"/>
    </row>
    <row r="2226" spans="3:11">
      <c r="C2226" s="304">
        <v>4</v>
      </c>
      <c r="D2226" s="60" t="s">
        <v>19</v>
      </c>
      <c r="E2226" s="305" t="s">
        <v>6</v>
      </c>
      <c r="F2226" s="75">
        <v>7.0000000000000001E-3</v>
      </c>
      <c r="G2226" s="65">
        <f>VLOOKUP(D2226,upahbahan,3,FALSE)</f>
        <v>145000</v>
      </c>
      <c r="H2226" s="65">
        <f t="shared" si="260"/>
        <v>1015</v>
      </c>
      <c r="J2226" s="160"/>
      <c r="K2226" s="328"/>
    </row>
    <row r="2227" spans="3:11">
      <c r="C2227" s="84" t="s">
        <v>1220</v>
      </c>
      <c r="D2227" s="81"/>
      <c r="E2227" s="81"/>
      <c r="F2227" s="190"/>
      <c r="G2227" s="221"/>
      <c r="H2227" s="65">
        <f>SUM(H2223:H2226)</f>
        <v>44770</v>
      </c>
      <c r="I2227" s="222"/>
      <c r="J2227" s="160"/>
      <c r="K2227" s="328"/>
    </row>
    <row r="2228" spans="3:11">
      <c r="C2228" s="73" t="s">
        <v>1221</v>
      </c>
      <c r="D2228" s="60" t="s">
        <v>1222</v>
      </c>
      <c r="E2228" s="74"/>
      <c r="F2228" s="208"/>
      <c r="G2228" s="74"/>
      <c r="H2228" s="74"/>
      <c r="J2228" s="160"/>
      <c r="K2228" s="328"/>
    </row>
    <row r="2229" spans="3:11">
      <c r="C2229" s="368" t="s">
        <v>1215</v>
      </c>
      <c r="D2229" s="78" t="s">
        <v>963</v>
      </c>
      <c r="E2229" s="69" t="s">
        <v>114</v>
      </c>
      <c r="F2229" s="230">
        <v>1.2</v>
      </c>
      <c r="G2229" s="65">
        <f>VLOOKUP(D2229,upahbahan,3,FALSE)</f>
        <v>265000</v>
      </c>
      <c r="H2229" s="65">
        <f t="shared" ref="H2229" si="261">F2229*G2229</f>
        <v>318000</v>
      </c>
      <c r="J2229" s="160"/>
      <c r="K2229" s="328"/>
    </row>
    <row r="2230" spans="3:11">
      <c r="C2230" s="84" t="s">
        <v>1226</v>
      </c>
      <c r="D2230" s="81"/>
      <c r="E2230" s="81"/>
      <c r="F2230" s="81"/>
      <c r="G2230" s="163"/>
      <c r="H2230" s="65">
        <f>SUM(H2229:H2229)</f>
        <v>318000</v>
      </c>
      <c r="J2230" s="160"/>
      <c r="K2230" s="328"/>
    </row>
    <row r="2231" spans="3:11">
      <c r="C2231" s="73" t="s">
        <v>1227</v>
      </c>
      <c r="D2231" s="60" t="s">
        <v>1228</v>
      </c>
      <c r="E2231" s="74"/>
      <c r="F2231" s="74"/>
      <c r="G2231" s="74"/>
      <c r="H2231" s="74"/>
      <c r="J2231" s="160"/>
      <c r="K2231" s="328"/>
    </row>
    <row r="2232" spans="3:11">
      <c r="C2232" s="84" t="s">
        <v>1229</v>
      </c>
      <c r="D2232" s="81"/>
      <c r="E2232" s="81"/>
      <c r="F2232" s="81"/>
      <c r="G2232" s="163"/>
      <c r="H2232" s="306">
        <v>0</v>
      </c>
      <c r="J2232" s="160"/>
      <c r="K2232" s="328"/>
    </row>
    <row r="2233" spans="3:11">
      <c r="C2233" s="59" t="s">
        <v>1230</v>
      </c>
      <c r="D2233" s="70" t="s">
        <v>1231</v>
      </c>
      <c r="E2233" s="71"/>
      <c r="F2233" s="71"/>
      <c r="G2233" s="72"/>
      <c r="H2233" s="307">
        <f>H2232+H2230+H2227</f>
        <v>362770</v>
      </c>
      <c r="I2233" s="322"/>
      <c r="J2233" s="160"/>
      <c r="K2233" s="328"/>
    </row>
    <row r="2234" spans="3:11">
      <c r="C2234" s="59" t="s">
        <v>1232</v>
      </c>
      <c r="D2234" s="70" t="s">
        <v>1410</v>
      </c>
      <c r="E2234" s="71"/>
      <c r="F2234" s="72"/>
      <c r="G2234" s="96">
        <f>$M$7</f>
        <v>0.1</v>
      </c>
      <c r="H2234" s="65">
        <f>H2233*G2234</f>
        <v>36277</v>
      </c>
      <c r="I2234" s="322"/>
      <c r="J2234" s="160"/>
      <c r="K2234" s="328"/>
    </row>
    <row r="2235" spans="3:11">
      <c r="C2235" s="59" t="s">
        <v>1233</v>
      </c>
      <c r="D2235" s="70" t="s">
        <v>1234</v>
      </c>
      <c r="E2235" s="71"/>
      <c r="F2235" s="71"/>
      <c r="G2235" s="72"/>
      <c r="H2235" s="308">
        <f>SUM(H2233:H2234)</f>
        <v>399047</v>
      </c>
      <c r="I2235" s="322"/>
      <c r="J2235" s="160"/>
      <c r="K2235" s="328"/>
    </row>
    <row r="2236" spans="3:11">
      <c r="J2236" s="160"/>
      <c r="K2236" s="328"/>
    </row>
    <row r="2237" spans="3:11">
      <c r="C2237" s="371" t="s">
        <v>1971</v>
      </c>
      <c r="D2237" s="318"/>
      <c r="E2237" s="318"/>
      <c r="F2237" s="318"/>
      <c r="G2237" s="318"/>
      <c r="H2237" s="318"/>
      <c r="I2237" s="57">
        <f>ROUNDDOWN(H2252,-2)</f>
        <v>338300</v>
      </c>
      <c r="J2237" s="160"/>
      <c r="K2237" s="328"/>
    </row>
    <row r="2238" spans="3:11" ht="28.5">
      <c r="C2238" s="303" t="s">
        <v>1207</v>
      </c>
      <c r="D2238" s="303" t="s">
        <v>1208</v>
      </c>
      <c r="E2238" s="303" t="s">
        <v>1209</v>
      </c>
      <c r="F2238" s="303" t="s">
        <v>1210</v>
      </c>
      <c r="G2238" s="303" t="s">
        <v>1211</v>
      </c>
      <c r="H2238" s="303" t="s">
        <v>1212</v>
      </c>
      <c r="J2238" s="160"/>
      <c r="K2238" s="328"/>
    </row>
    <row r="2239" spans="3:11">
      <c r="C2239" s="73" t="s">
        <v>1213</v>
      </c>
      <c r="D2239" s="60" t="s">
        <v>1214</v>
      </c>
      <c r="E2239" s="74"/>
      <c r="F2239" s="74"/>
      <c r="G2239" s="74"/>
      <c r="H2239" s="74"/>
      <c r="J2239" s="160"/>
      <c r="K2239" s="328"/>
    </row>
    <row r="2240" spans="3:11">
      <c r="C2240" s="304">
        <v>1</v>
      </c>
      <c r="D2240" s="60" t="s">
        <v>5</v>
      </c>
      <c r="E2240" s="305" t="s">
        <v>6</v>
      </c>
      <c r="F2240" s="75">
        <v>0.11899999999999999</v>
      </c>
      <c r="G2240" s="65">
        <f>VLOOKUP(D2240,upahbahan,3,FALSE)</f>
        <v>100000</v>
      </c>
      <c r="H2240" s="65">
        <f t="shared" ref="H2240:H2243" si="262">F2240*G2240</f>
        <v>11900</v>
      </c>
      <c r="J2240" s="160"/>
      <c r="K2240" s="328"/>
    </row>
    <row r="2241" spans="3:11">
      <c r="C2241" s="304">
        <v>2</v>
      </c>
      <c r="D2241" s="60" t="str">
        <f>D2190</f>
        <v>Tukang listrik</v>
      </c>
      <c r="E2241" s="305" t="s">
        <v>6</v>
      </c>
      <c r="F2241" s="75">
        <v>0.19900000000000001</v>
      </c>
      <c r="G2241" s="65">
        <f>VLOOKUP(D2241,upahbahan,3,FALSE)</f>
        <v>145000</v>
      </c>
      <c r="H2241" s="65">
        <f t="shared" si="262"/>
        <v>28855</v>
      </c>
      <c r="J2241" s="160"/>
      <c r="K2241" s="328"/>
    </row>
    <row r="2242" spans="3:11">
      <c r="C2242" s="304">
        <v>3</v>
      </c>
      <c r="D2242" s="60" t="s">
        <v>18</v>
      </c>
      <c r="E2242" s="305" t="s">
        <v>6</v>
      </c>
      <c r="F2242" s="75">
        <v>0.02</v>
      </c>
      <c r="G2242" s="65">
        <f>VLOOKUP(D2242,upahbahan,3,FALSE)</f>
        <v>150000</v>
      </c>
      <c r="H2242" s="65">
        <f t="shared" si="262"/>
        <v>3000</v>
      </c>
      <c r="J2242" s="160"/>
      <c r="K2242" s="328"/>
    </row>
    <row r="2243" spans="3:11">
      <c r="C2243" s="304">
        <v>4</v>
      </c>
      <c r="D2243" s="60" t="s">
        <v>19</v>
      </c>
      <c r="E2243" s="305" t="s">
        <v>6</v>
      </c>
      <c r="F2243" s="75">
        <v>7.0000000000000001E-3</v>
      </c>
      <c r="G2243" s="65">
        <f>VLOOKUP(D2243,upahbahan,3,FALSE)</f>
        <v>145000</v>
      </c>
      <c r="H2243" s="65">
        <f t="shared" si="262"/>
        <v>1015</v>
      </c>
      <c r="J2243" s="160"/>
      <c r="K2243" s="328"/>
    </row>
    <row r="2244" spans="3:11">
      <c r="C2244" s="84" t="s">
        <v>1220</v>
      </c>
      <c r="D2244" s="81"/>
      <c r="E2244" s="81"/>
      <c r="F2244" s="190"/>
      <c r="G2244" s="221"/>
      <c r="H2244" s="65">
        <f>SUM(H2240:H2243)</f>
        <v>44770</v>
      </c>
      <c r="I2244" s="222"/>
      <c r="J2244" s="160"/>
      <c r="K2244" s="328"/>
    </row>
    <row r="2245" spans="3:11">
      <c r="C2245" s="73" t="s">
        <v>1221</v>
      </c>
      <c r="D2245" s="60" t="s">
        <v>1222</v>
      </c>
      <c r="E2245" s="74"/>
      <c r="F2245" s="208"/>
      <c r="G2245" s="74"/>
      <c r="H2245" s="74"/>
      <c r="J2245" s="160"/>
      <c r="K2245" s="328"/>
    </row>
    <row r="2246" spans="3:11">
      <c r="C2246" s="368" t="s">
        <v>1215</v>
      </c>
      <c r="D2246" s="78" t="s">
        <v>962</v>
      </c>
      <c r="E2246" s="69" t="s">
        <v>114</v>
      </c>
      <c r="F2246" s="230">
        <v>1.2</v>
      </c>
      <c r="G2246" s="65">
        <f>VLOOKUP(D2246,upahbahan,3,FALSE)</f>
        <v>219000</v>
      </c>
      <c r="H2246" s="65">
        <f t="shared" ref="H2246" si="263">F2246*G2246</f>
        <v>262800</v>
      </c>
      <c r="J2246" s="160"/>
      <c r="K2246" s="328"/>
    </row>
    <row r="2247" spans="3:11">
      <c r="C2247" s="84" t="s">
        <v>1226</v>
      </c>
      <c r="D2247" s="81"/>
      <c r="E2247" s="81"/>
      <c r="F2247" s="81"/>
      <c r="G2247" s="163"/>
      <c r="H2247" s="65">
        <f>SUM(H2246:H2246)</f>
        <v>262800</v>
      </c>
      <c r="J2247" s="160"/>
      <c r="K2247" s="328"/>
    </row>
    <row r="2248" spans="3:11">
      <c r="C2248" s="73" t="s">
        <v>1227</v>
      </c>
      <c r="D2248" s="60" t="s">
        <v>1228</v>
      </c>
      <c r="E2248" s="74"/>
      <c r="F2248" s="74"/>
      <c r="G2248" s="74"/>
      <c r="H2248" s="74"/>
      <c r="J2248" s="160"/>
      <c r="K2248" s="328"/>
    </row>
    <row r="2249" spans="3:11">
      <c r="C2249" s="84" t="s">
        <v>1229</v>
      </c>
      <c r="D2249" s="81"/>
      <c r="E2249" s="81"/>
      <c r="F2249" s="81"/>
      <c r="G2249" s="163"/>
      <c r="H2249" s="306">
        <v>0</v>
      </c>
      <c r="J2249" s="160"/>
      <c r="K2249" s="328"/>
    </row>
    <row r="2250" spans="3:11">
      <c r="C2250" s="59" t="s">
        <v>1230</v>
      </c>
      <c r="D2250" s="70" t="s">
        <v>1231</v>
      </c>
      <c r="E2250" s="71"/>
      <c r="F2250" s="71"/>
      <c r="G2250" s="72"/>
      <c r="H2250" s="307">
        <f>H2249+H2247+H2244</f>
        <v>307570</v>
      </c>
      <c r="I2250" s="322"/>
      <c r="J2250" s="160"/>
      <c r="K2250" s="328"/>
    </row>
    <row r="2251" spans="3:11">
      <c r="C2251" s="59" t="s">
        <v>1232</v>
      </c>
      <c r="D2251" s="70" t="s">
        <v>1410</v>
      </c>
      <c r="E2251" s="71"/>
      <c r="F2251" s="72"/>
      <c r="G2251" s="96">
        <f>$M$7</f>
        <v>0.1</v>
      </c>
      <c r="H2251" s="65">
        <f>H2250*G2251</f>
        <v>30757</v>
      </c>
      <c r="I2251" s="322"/>
      <c r="J2251" s="160"/>
      <c r="K2251" s="328"/>
    </row>
    <row r="2252" spans="3:11">
      <c r="C2252" s="59" t="s">
        <v>1233</v>
      </c>
      <c r="D2252" s="70" t="s">
        <v>1234</v>
      </c>
      <c r="E2252" s="71"/>
      <c r="F2252" s="71"/>
      <c r="G2252" s="72"/>
      <c r="H2252" s="308">
        <f>SUM(H2250:H2251)</f>
        <v>338327</v>
      </c>
      <c r="I2252" s="322"/>
      <c r="J2252" s="160"/>
      <c r="K2252" s="328"/>
    </row>
    <row r="2253" spans="3:11">
      <c r="J2253" s="160"/>
      <c r="K2253" s="328"/>
    </row>
    <row r="2254" spans="3:11">
      <c r="C2254" s="371" t="s">
        <v>1972</v>
      </c>
      <c r="D2254" s="318"/>
      <c r="E2254" s="318"/>
      <c r="F2254" s="318"/>
      <c r="G2254" s="318"/>
      <c r="H2254" s="318"/>
      <c r="I2254" s="57">
        <f>ROUNDDOWN(H2269,-2)</f>
        <v>280200</v>
      </c>
      <c r="J2254" s="160"/>
      <c r="K2254" s="328"/>
    </row>
    <row r="2255" spans="3:11" ht="28.5">
      <c r="C2255" s="303" t="s">
        <v>1207</v>
      </c>
      <c r="D2255" s="303" t="s">
        <v>1208</v>
      </c>
      <c r="E2255" s="303" t="s">
        <v>1209</v>
      </c>
      <c r="F2255" s="303" t="s">
        <v>1210</v>
      </c>
      <c r="G2255" s="303" t="s">
        <v>1211</v>
      </c>
      <c r="H2255" s="303" t="s">
        <v>1212</v>
      </c>
      <c r="J2255" s="160"/>
      <c r="K2255" s="328"/>
    </row>
    <row r="2256" spans="3:11">
      <c r="C2256" s="73" t="s">
        <v>1213</v>
      </c>
      <c r="D2256" s="60" t="s">
        <v>1214</v>
      </c>
      <c r="E2256" s="74"/>
      <c r="F2256" s="74"/>
      <c r="G2256" s="74"/>
      <c r="H2256" s="74"/>
      <c r="J2256" s="160"/>
      <c r="K2256" s="328"/>
    </row>
    <row r="2257" spans="3:11">
      <c r="C2257" s="304">
        <v>1</v>
      </c>
      <c r="D2257" s="60" t="s">
        <v>5</v>
      </c>
      <c r="E2257" s="305" t="s">
        <v>6</v>
      </c>
      <c r="F2257" s="75">
        <v>0.11899999999999999</v>
      </c>
      <c r="G2257" s="65">
        <f>VLOOKUP(D2257,upahbahan,3,FALSE)</f>
        <v>100000</v>
      </c>
      <c r="H2257" s="65">
        <f t="shared" ref="H2257:H2260" si="264">F2257*G2257</f>
        <v>11900</v>
      </c>
      <c r="J2257" s="160"/>
      <c r="K2257" s="328"/>
    </row>
    <row r="2258" spans="3:11">
      <c r="C2258" s="304">
        <v>2</v>
      </c>
      <c r="D2258" s="60" t="str">
        <f>D2207</f>
        <v>Tukang listrik</v>
      </c>
      <c r="E2258" s="305" t="s">
        <v>6</v>
      </c>
      <c r="F2258" s="75">
        <v>0.19900000000000001</v>
      </c>
      <c r="G2258" s="65">
        <f>VLOOKUP(D2258,upahbahan,3,FALSE)</f>
        <v>145000</v>
      </c>
      <c r="H2258" s="65">
        <f t="shared" si="264"/>
        <v>28855</v>
      </c>
      <c r="J2258" s="160"/>
      <c r="K2258" s="328"/>
    </row>
    <row r="2259" spans="3:11">
      <c r="C2259" s="304">
        <v>3</v>
      </c>
      <c r="D2259" s="60" t="s">
        <v>18</v>
      </c>
      <c r="E2259" s="305" t="s">
        <v>6</v>
      </c>
      <c r="F2259" s="75">
        <v>0.02</v>
      </c>
      <c r="G2259" s="65">
        <f>VLOOKUP(D2259,upahbahan,3,FALSE)</f>
        <v>150000</v>
      </c>
      <c r="H2259" s="65">
        <f t="shared" si="264"/>
        <v>3000</v>
      </c>
      <c r="J2259" s="160"/>
      <c r="K2259" s="328"/>
    </row>
    <row r="2260" spans="3:11">
      <c r="C2260" s="304">
        <v>4</v>
      </c>
      <c r="D2260" s="60" t="s">
        <v>19</v>
      </c>
      <c r="E2260" s="305" t="s">
        <v>6</v>
      </c>
      <c r="F2260" s="75">
        <v>7.0000000000000001E-3</v>
      </c>
      <c r="G2260" s="65">
        <f>VLOOKUP(D2260,upahbahan,3,FALSE)</f>
        <v>145000</v>
      </c>
      <c r="H2260" s="65">
        <f t="shared" si="264"/>
        <v>1015</v>
      </c>
      <c r="J2260" s="160"/>
      <c r="K2260" s="328"/>
    </row>
    <row r="2261" spans="3:11">
      <c r="C2261" s="84" t="s">
        <v>1220</v>
      </c>
      <c r="D2261" s="81"/>
      <c r="E2261" s="81"/>
      <c r="F2261" s="190"/>
      <c r="G2261" s="221"/>
      <c r="H2261" s="65">
        <f>SUM(H2257:H2260)</f>
        <v>44770</v>
      </c>
      <c r="I2261" s="222"/>
      <c r="J2261" s="160"/>
      <c r="K2261" s="328"/>
    </row>
    <row r="2262" spans="3:11">
      <c r="C2262" s="73" t="s">
        <v>1221</v>
      </c>
      <c r="D2262" s="60" t="s">
        <v>1222</v>
      </c>
      <c r="E2262" s="74"/>
      <c r="F2262" s="208"/>
      <c r="G2262" s="74"/>
      <c r="H2262" s="74"/>
      <c r="J2262" s="160"/>
      <c r="K2262" s="328"/>
    </row>
    <row r="2263" spans="3:11">
      <c r="C2263" s="368" t="s">
        <v>1215</v>
      </c>
      <c r="D2263" s="78" t="s">
        <v>961</v>
      </c>
      <c r="E2263" s="69" t="s">
        <v>114</v>
      </c>
      <c r="F2263" s="230">
        <v>1.2</v>
      </c>
      <c r="G2263" s="65">
        <f>VLOOKUP(D2263,upahbahan,3,FALSE)</f>
        <v>175000</v>
      </c>
      <c r="H2263" s="65">
        <f t="shared" ref="H2263" si="265">F2263*G2263</f>
        <v>210000</v>
      </c>
      <c r="J2263" s="160"/>
      <c r="K2263" s="328"/>
    </row>
    <row r="2264" spans="3:11">
      <c r="C2264" s="84" t="s">
        <v>1226</v>
      </c>
      <c r="D2264" s="81"/>
      <c r="E2264" s="81"/>
      <c r="F2264" s="81"/>
      <c r="G2264" s="163"/>
      <c r="H2264" s="65">
        <f>SUM(H2263:H2263)</f>
        <v>210000</v>
      </c>
      <c r="J2264" s="160"/>
      <c r="K2264" s="328"/>
    </row>
    <row r="2265" spans="3:11">
      <c r="C2265" s="73" t="s">
        <v>1227</v>
      </c>
      <c r="D2265" s="60" t="s">
        <v>1228</v>
      </c>
      <c r="E2265" s="74"/>
      <c r="F2265" s="74"/>
      <c r="G2265" s="74"/>
      <c r="H2265" s="74"/>
      <c r="J2265" s="160"/>
      <c r="K2265" s="328"/>
    </row>
    <row r="2266" spans="3:11">
      <c r="C2266" s="84" t="s">
        <v>1229</v>
      </c>
      <c r="D2266" s="81"/>
      <c r="E2266" s="81"/>
      <c r="F2266" s="81"/>
      <c r="G2266" s="163"/>
      <c r="H2266" s="306">
        <v>0</v>
      </c>
      <c r="J2266" s="160"/>
      <c r="K2266" s="328"/>
    </row>
    <row r="2267" spans="3:11">
      <c r="C2267" s="59" t="s">
        <v>1230</v>
      </c>
      <c r="D2267" s="70" t="s">
        <v>1231</v>
      </c>
      <c r="E2267" s="71"/>
      <c r="F2267" s="71"/>
      <c r="G2267" s="72"/>
      <c r="H2267" s="307">
        <f>H2266+H2264+H2261</f>
        <v>254770</v>
      </c>
      <c r="I2267" s="322"/>
      <c r="J2267" s="160"/>
      <c r="K2267" s="328"/>
    </row>
    <row r="2268" spans="3:11">
      <c r="C2268" s="59" t="s">
        <v>1232</v>
      </c>
      <c r="D2268" s="70" t="s">
        <v>1410</v>
      </c>
      <c r="E2268" s="71"/>
      <c r="F2268" s="72"/>
      <c r="G2268" s="96">
        <f>$M$7</f>
        <v>0.1</v>
      </c>
      <c r="H2268" s="65">
        <f>H2267*G2268</f>
        <v>25477</v>
      </c>
      <c r="I2268" s="322"/>
      <c r="J2268" s="160"/>
      <c r="K2268" s="328"/>
    </row>
    <row r="2269" spans="3:11">
      <c r="C2269" s="59" t="s">
        <v>1233</v>
      </c>
      <c r="D2269" s="70" t="s">
        <v>1234</v>
      </c>
      <c r="E2269" s="71"/>
      <c r="F2269" s="71"/>
      <c r="G2269" s="72"/>
      <c r="H2269" s="308">
        <f>SUM(H2267:H2268)</f>
        <v>280247</v>
      </c>
      <c r="I2269" s="322"/>
      <c r="J2269" s="160"/>
      <c r="K2269" s="328"/>
    </row>
    <row r="2270" spans="3:11">
      <c r="J2270" s="160"/>
      <c r="K2270" s="328"/>
    </row>
    <row r="2271" spans="3:11">
      <c r="C2271" s="371" t="s">
        <v>1973</v>
      </c>
      <c r="D2271" s="318"/>
      <c r="E2271" s="318"/>
      <c r="F2271" s="318"/>
      <c r="G2271" s="318"/>
      <c r="H2271" s="318"/>
      <c r="I2271" s="57">
        <f>ROUNDDOWN(H2289,-2)</f>
        <v>475400</v>
      </c>
      <c r="J2271" s="160"/>
      <c r="K2271" s="328"/>
    </row>
    <row r="2272" spans="3:11" ht="28.5">
      <c r="C2272" s="303" t="s">
        <v>1207</v>
      </c>
      <c r="D2272" s="303" t="s">
        <v>1208</v>
      </c>
      <c r="E2272" s="303" t="s">
        <v>1209</v>
      </c>
      <c r="F2272" s="303" t="s">
        <v>1210</v>
      </c>
      <c r="G2272" s="303" t="s">
        <v>1211</v>
      </c>
      <c r="H2272" s="303" t="s">
        <v>1212</v>
      </c>
    </row>
    <row r="2273" spans="3:9">
      <c r="C2273" s="73" t="s">
        <v>1213</v>
      </c>
      <c r="D2273" s="60" t="s">
        <v>1214</v>
      </c>
      <c r="E2273" s="74"/>
      <c r="F2273" s="74"/>
      <c r="G2273" s="74"/>
      <c r="H2273" s="74"/>
    </row>
    <row r="2274" spans="3:9">
      <c r="C2274" s="304">
        <v>1</v>
      </c>
      <c r="D2274" s="60" t="s">
        <v>5</v>
      </c>
      <c r="E2274" s="305" t="s">
        <v>6</v>
      </c>
      <c r="F2274" s="75">
        <v>0.11899999999999999</v>
      </c>
      <c r="G2274" s="65">
        <f>VLOOKUP(D2274,upahbahan,3,FALSE)</f>
        <v>100000</v>
      </c>
      <c r="H2274" s="65">
        <f t="shared" ref="H2274:H2277" si="266">F2274*G2274</f>
        <v>11900</v>
      </c>
    </row>
    <row r="2275" spans="3:9">
      <c r="C2275" s="304">
        <v>2</v>
      </c>
      <c r="D2275" s="60" t="str">
        <f>D2224</f>
        <v>Tukang listrik</v>
      </c>
      <c r="E2275" s="305" t="s">
        <v>6</v>
      </c>
      <c r="F2275" s="75">
        <v>0.19900000000000001</v>
      </c>
      <c r="G2275" s="65">
        <f>VLOOKUP(D2275,upahbahan,3,FALSE)</f>
        <v>145000</v>
      </c>
      <c r="H2275" s="65">
        <f t="shared" si="266"/>
        <v>28855</v>
      </c>
    </row>
    <row r="2276" spans="3:9">
      <c r="C2276" s="304">
        <v>3</v>
      </c>
      <c r="D2276" s="60" t="s">
        <v>18</v>
      </c>
      <c r="E2276" s="305" t="s">
        <v>6</v>
      </c>
      <c r="F2276" s="75">
        <v>0.02</v>
      </c>
      <c r="G2276" s="65">
        <f>VLOOKUP(D2276,upahbahan,3,FALSE)</f>
        <v>150000</v>
      </c>
      <c r="H2276" s="65">
        <f t="shared" si="266"/>
        <v>3000</v>
      </c>
    </row>
    <row r="2277" spans="3:9">
      <c r="C2277" s="304">
        <v>4</v>
      </c>
      <c r="D2277" s="60" t="s">
        <v>19</v>
      </c>
      <c r="E2277" s="305" t="s">
        <v>6</v>
      </c>
      <c r="F2277" s="75">
        <v>7.0000000000000001E-3</v>
      </c>
      <c r="G2277" s="65">
        <f>VLOOKUP(D2277,upahbahan,3,FALSE)</f>
        <v>145000</v>
      </c>
      <c r="H2277" s="65">
        <f t="shared" si="266"/>
        <v>1015</v>
      </c>
    </row>
    <row r="2278" spans="3:9">
      <c r="C2278" s="84" t="s">
        <v>1220</v>
      </c>
      <c r="D2278" s="81"/>
      <c r="E2278" s="81"/>
      <c r="F2278" s="190"/>
      <c r="G2278" s="221"/>
      <c r="H2278" s="65">
        <f>SUM(H2274:H2277)</f>
        <v>44770</v>
      </c>
      <c r="I2278" s="222"/>
    </row>
    <row r="2279" spans="3:9">
      <c r="C2279" s="73" t="s">
        <v>1221</v>
      </c>
      <c r="D2279" s="60" t="s">
        <v>1222</v>
      </c>
      <c r="E2279" s="74"/>
      <c r="F2279" s="208"/>
      <c r="G2279" s="74"/>
      <c r="H2279" s="74"/>
    </row>
    <row r="2280" spans="3:9">
      <c r="C2280" s="368" t="s">
        <v>1215</v>
      </c>
      <c r="D2280" s="78" t="s">
        <v>1976</v>
      </c>
      <c r="E2280" s="69" t="s">
        <v>114</v>
      </c>
      <c r="F2280" s="230">
        <v>1.1000000000000001</v>
      </c>
      <c r="G2280" s="65">
        <f>VLOOKUP(D2280,upahbahan,3,FALSE)</f>
        <v>17667</v>
      </c>
      <c r="H2280" s="65">
        <f t="shared" ref="H2280:H2283" si="267">F2280*G2280</f>
        <v>19433.7</v>
      </c>
    </row>
    <row r="2281" spans="3:9">
      <c r="C2281" s="368" t="s">
        <v>1216</v>
      </c>
      <c r="D2281" s="78" t="s">
        <v>839</v>
      </c>
      <c r="E2281" s="69" t="s">
        <v>44</v>
      </c>
      <c r="F2281" s="230">
        <v>1.2</v>
      </c>
      <c r="G2281" s="65">
        <f>VLOOKUP(D2281,upahbahan,3,FALSE)</f>
        <v>300000</v>
      </c>
      <c r="H2281" s="65">
        <f t="shared" si="267"/>
        <v>360000</v>
      </c>
    </row>
    <row r="2282" spans="3:9">
      <c r="C2282" s="368" t="s">
        <v>1217</v>
      </c>
      <c r="D2282" s="78" t="s">
        <v>967</v>
      </c>
      <c r="E2282" s="69" t="s">
        <v>44</v>
      </c>
      <c r="F2282" s="230">
        <v>2</v>
      </c>
      <c r="G2282" s="65">
        <f>VLOOKUP(D2282,upahbahan,3,FALSE)</f>
        <v>1000</v>
      </c>
      <c r="H2282" s="65">
        <f t="shared" si="267"/>
        <v>2000</v>
      </c>
    </row>
    <row r="2283" spans="3:9">
      <c r="C2283" s="368" t="s">
        <v>1218</v>
      </c>
      <c r="D2283" s="78" t="s">
        <v>966</v>
      </c>
      <c r="E2283" s="69" t="s">
        <v>44</v>
      </c>
      <c r="F2283" s="230">
        <v>1</v>
      </c>
      <c r="G2283" s="65">
        <f>VLOOKUP(D2283,upahbahan,3,FALSE)</f>
        <v>6000</v>
      </c>
      <c r="H2283" s="65">
        <f t="shared" si="267"/>
        <v>6000</v>
      </c>
    </row>
    <row r="2284" spans="3:9">
      <c r="C2284" s="84" t="s">
        <v>1226</v>
      </c>
      <c r="D2284" s="81"/>
      <c r="E2284" s="81"/>
      <c r="F2284" s="81"/>
      <c r="G2284" s="163"/>
      <c r="H2284" s="65">
        <f>SUM(H2280:H2283)</f>
        <v>387433.7</v>
      </c>
    </row>
    <row r="2285" spans="3:9">
      <c r="C2285" s="73" t="s">
        <v>1227</v>
      </c>
      <c r="D2285" s="60" t="s">
        <v>1228</v>
      </c>
      <c r="E2285" s="74"/>
      <c r="F2285" s="74"/>
      <c r="G2285" s="74"/>
      <c r="H2285" s="74"/>
    </row>
    <row r="2286" spans="3:9">
      <c r="C2286" s="84" t="s">
        <v>1229</v>
      </c>
      <c r="D2286" s="81"/>
      <c r="E2286" s="81"/>
      <c r="F2286" s="81"/>
      <c r="G2286" s="163"/>
      <c r="H2286" s="306">
        <v>0</v>
      </c>
    </row>
    <row r="2287" spans="3:9">
      <c r="C2287" s="59" t="s">
        <v>1230</v>
      </c>
      <c r="D2287" s="70" t="s">
        <v>1231</v>
      </c>
      <c r="E2287" s="71"/>
      <c r="F2287" s="71"/>
      <c r="G2287" s="72"/>
      <c r="H2287" s="307">
        <f>H2286+H2284+H2278</f>
        <v>432203.7</v>
      </c>
      <c r="I2287" s="322"/>
    </row>
    <row r="2288" spans="3:9">
      <c r="C2288" s="59" t="s">
        <v>1232</v>
      </c>
      <c r="D2288" s="70" t="s">
        <v>1410</v>
      </c>
      <c r="E2288" s="71"/>
      <c r="F2288" s="72"/>
      <c r="G2288" s="96">
        <f>$M$7</f>
        <v>0.1</v>
      </c>
      <c r="H2288" s="65">
        <f>H2287*G2288</f>
        <v>43220.37</v>
      </c>
      <c r="I2288" s="322"/>
    </row>
    <row r="2289" spans="3:9">
      <c r="C2289" s="59" t="s">
        <v>1233</v>
      </c>
      <c r="D2289" s="70" t="s">
        <v>1234</v>
      </c>
      <c r="E2289" s="71"/>
      <c r="F2289" s="71"/>
      <c r="G2289" s="72"/>
      <c r="H2289" s="308">
        <f>SUM(H2287:H2288)</f>
        <v>475424.07</v>
      </c>
      <c r="I2289" s="322"/>
    </row>
  </sheetData>
  <dataValidations count="1">
    <dataValidation type="list" allowBlank="1" showInputMessage="1" showErrorMessage="1" sqref="D7:D10" xr:uid="{217B2255-7207-42D9-BABD-CC6D6AC3AFE3}">
      <formula1>TENAGA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02FE-F83B-4602-B774-B37F5EFDD37F}">
  <dimension ref="A1:L354"/>
  <sheetViews>
    <sheetView zoomScale="70" zoomScaleNormal="70" workbookViewId="0">
      <selection activeCell="E13" sqref="E12:E13"/>
    </sheetView>
    <sheetView workbookViewId="1"/>
  </sheetViews>
  <sheetFormatPr defaultRowHeight="15.75"/>
  <cols>
    <col min="1" max="1" width="1.140625" style="432" customWidth="1"/>
    <col min="2" max="2" width="7" style="432" customWidth="1"/>
    <col min="3" max="3" width="2.28515625" style="432" customWidth="1"/>
    <col min="4" max="4" width="7" style="432" customWidth="1"/>
    <col min="5" max="5" width="71.85546875" style="432" customWidth="1"/>
    <col min="6" max="6" width="11.85546875" style="432" customWidth="1"/>
    <col min="7" max="7" width="16.42578125" style="432" customWidth="1"/>
    <col min="8" max="8" width="14.42578125" style="432" customWidth="1"/>
    <col min="9" max="9" width="14" style="432" customWidth="1"/>
    <col min="10" max="10" width="24.28515625" style="432" customWidth="1"/>
    <col min="11" max="11" width="1" style="433" customWidth="1"/>
    <col min="12" max="12" width="54.85546875" style="432" customWidth="1"/>
    <col min="13" max="258" width="9.140625" style="432"/>
    <col min="259" max="259" width="2.140625" style="432" customWidth="1"/>
    <col min="260" max="260" width="7" style="432" customWidth="1"/>
    <col min="261" max="261" width="2.28515625" style="432" customWidth="1"/>
    <col min="262" max="262" width="7" style="432" customWidth="1"/>
    <col min="263" max="263" width="84.28515625" style="432" customWidth="1"/>
    <col min="264" max="264" width="11.85546875" style="432" customWidth="1"/>
    <col min="265" max="265" width="17" style="432" customWidth="1"/>
    <col min="266" max="266" width="19" style="432" customWidth="1"/>
    <col min="267" max="267" width="22.85546875" style="432" customWidth="1"/>
    <col min="268" max="268" width="16.7109375" style="432" customWidth="1"/>
    <col min="269" max="514" width="9.140625" style="432"/>
    <col min="515" max="515" width="2.140625" style="432" customWidth="1"/>
    <col min="516" max="516" width="7" style="432" customWidth="1"/>
    <col min="517" max="517" width="2.28515625" style="432" customWidth="1"/>
    <col min="518" max="518" width="7" style="432" customWidth="1"/>
    <col min="519" max="519" width="84.28515625" style="432" customWidth="1"/>
    <col min="520" max="520" width="11.85546875" style="432" customWidth="1"/>
    <col min="521" max="521" width="17" style="432" customWidth="1"/>
    <col min="522" max="522" width="19" style="432" customWidth="1"/>
    <col min="523" max="523" width="22.85546875" style="432" customWidth="1"/>
    <col min="524" max="524" width="16.7109375" style="432" customWidth="1"/>
    <col min="525" max="770" width="9.140625" style="432"/>
    <col min="771" max="771" width="2.140625" style="432" customWidth="1"/>
    <col min="772" max="772" width="7" style="432" customWidth="1"/>
    <col min="773" max="773" width="2.28515625" style="432" customWidth="1"/>
    <col min="774" max="774" width="7" style="432" customWidth="1"/>
    <col min="775" max="775" width="84.28515625" style="432" customWidth="1"/>
    <col min="776" max="776" width="11.85546875" style="432" customWidth="1"/>
    <col min="777" max="777" width="17" style="432" customWidth="1"/>
    <col min="778" max="778" width="19" style="432" customWidth="1"/>
    <col min="779" max="779" width="22.85546875" style="432" customWidth="1"/>
    <col min="780" max="780" width="16.7109375" style="432" customWidth="1"/>
    <col min="781" max="1026" width="9.140625" style="432"/>
    <col min="1027" max="1027" width="2.140625" style="432" customWidth="1"/>
    <col min="1028" max="1028" width="7" style="432" customWidth="1"/>
    <col min="1029" max="1029" width="2.28515625" style="432" customWidth="1"/>
    <col min="1030" max="1030" width="7" style="432" customWidth="1"/>
    <col min="1031" max="1031" width="84.28515625" style="432" customWidth="1"/>
    <col min="1032" max="1032" width="11.85546875" style="432" customWidth="1"/>
    <col min="1033" max="1033" width="17" style="432" customWidth="1"/>
    <col min="1034" max="1034" width="19" style="432" customWidth="1"/>
    <col min="1035" max="1035" width="22.85546875" style="432" customWidth="1"/>
    <col min="1036" max="1036" width="16.7109375" style="432" customWidth="1"/>
    <col min="1037" max="1282" width="9.140625" style="432"/>
    <col min="1283" max="1283" width="2.140625" style="432" customWidth="1"/>
    <col min="1284" max="1284" width="7" style="432" customWidth="1"/>
    <col min="1285" max="1285" width="2.28515625" style="432" customWidth="1"/>
    <col min="1286" max="1286" width="7" style="432" customWidth="1"/>
    <col min="1287" max="1287" width="84.28515625" style="432" customWidth="1"/>
    <col min="1288" max="1288" width="11.85546875" style="432" customWidth="1"/>
    <col min="1289" max="1289" width="17" style="432" customWidth="1"/>
    <col min="1290" max="1290" width="19" style="432" customWidth="1"/>
    <col min="1291" max="1291" width="22.85546875" style="432" customWidth="1"/>
    <col min="1292" max="1292" width="16.7109375" style="432" customWidth="1"/>
    <col min="1293" max="1538" width="9.140625" style="432"/>
    <col min="1539" max="1539" width="2.140625" style="432" customWidth="1"/>
    <col min="1540" max="1540" width="7" style="432" customWidth="1"/>
    <col min="1541" max="1541" width="2.28515625" style="432" customWidth="1"/>
    <col min="1542" max="1542" width="7" style="432" customWidth="1"/>
    <col min="1543" max="1543" width="84.28515625" style="432" customWidth="1"/>
    <col min="1544" max="1544" width="11.85546875" style="432" customWidth="1"/>
    <col min="1545" max="1545" width="17" style="432" customWidth="1"/>
    <col min="1546" max="1546" width="19" style="432" customWidth="1"/>
    <col min="1547" max="1547" width="22.85546875" style="432" customWidth="1"/>
    <col min="1548" max="1548" width="16.7109375" style="432" customWidth="1"/>
    <col min="1549" max="1794" width="9.140625" style="432"/>
    <col min="1795" max="1795" width="2.140625" style="432" customWidth="1"/>
    <col min="1796" max="1796" width="7" style="432" customWidth="1"/>
    <col min="1797" max="1797" width="2.28515625" style="432" customWidth="1"/>
    <col min="1798" max="1798" width="7" style="432" customWidth="1"/>
    <col min="1799" max="1799" width="84.28515625" style="432" customWidth="1"/>
    <col min="1800" max="1800" width="11.85546875" style="432" customWidth="1"/>
    <col min="1801" max="1801" width="17" style="432" customWidth="1"/>
    <col min="1802" max="1802" width="19" style="432" customWidth="1"/>
    <col min="1803" max="1803" width="22.85546875" style="432" customWidth="1"/>
    <col min="1804" max="1804" width="16.7109375" style="432" customWidth="1"/>
    <col min="1805" max="2050" width="9.140625" style="432"/>
    <col min="2051" max="2051" width="2.140625" style="432" customWidth="1"/>
    <col min="2052" max="2052" width="7" style="432" customWidth="1"/>
    <col min="2053" max="2053" width="2.28515625" style="432" customWidth="1"/>
    <col min="2054" max="2054" width="7" style="432" customWidth="1"/>
    <col min="2055" max="2055" width="84.28515625" style="432" customWidth="1"/>
    <col min="2056" max="2056" width="11.85546875" style="432" customWidth="1"/>
    <col min="2057" max="2057" width="17" style="432" customWidth="1"/>
    <col min="2058" max="2058" width="19" style="432" customWidth="1"/>
    <col min="2059" max="2059" width="22.85546875" style="432" customWidth="1"/>
    <col min="2060" max="2060" width="16.7109375" style="432" customWidth="1"/>
    <col min="2061" max="2306" width="9.140625" style="432"/>
    <col min="2307" max="2307" width="2.140625" style="432" customWidth="1"/>
    <col min="2308" max="2308" width="7" style="432" customWidth="1"/>
    <col min="2309" max="2309" width="2.28515625" style="432" customWidth="1"/>
    <col min="2310" max="2310" width="7" style="432" customWidth="1"/>
    <col min="2311" max="2311" width="84.28515625" style="432" customWidth="1"/>
    <col min="2312" max="2312" width="11.85546875" style="432" customWidth="1"/>
    <col min="2313" max="2313" width="17" style="432" customWidth="1"/>
    <col min="2314" max="2314" width="19" style="432" customWidth="1"/>
    <col min="2315" max="2315" width="22.85546875" style="432" customWidth="1"/>
    <col min="2316" max="2316" width="16.7109375" style="432" customWidth="1"/>
    <col min="2317" max="2562" width="9.140625" style="432"/>
    <col min="2563" max="2563" width="2.140625" style="432" customWidth="1"/>
    <col min="2564" max="2564" width="7" style="432" customWidth="1"/>
    <col min="2565" max="2565" width="2.28515625" style="432" customWidth="1"/>
    <col min="2566" max="2566" width="7" style="432" customWidth="1"/>
    <col min="2567" max="2567" width="84.28515625" style="432" customWidth="1"/>
    <col min="2568" max="2568" width="11.85546875" style="432" customWidth="1"/>
    <col min="2569" max="2569" width="17" style="432" customWidth="1"/>
    <col min="2570" max="2570" width="19" style="432" customWidth="1"/>
    <col min="2571" max="2571" width="22.85546875" style="432" customWidth="1"/>
    <col min="2572" max="2572" width="16.7109375" style="432" customWidth="1"/>
    <col min="2573" max="2818" width="9.140625" style="432"/>
    <col min="2819" max="2819" width="2.140625" style="432" customWidth="1"/>
    <col min="2820" max="2820" width="7" style="432" customWidth="1"/>
    <col min="2821" max="2821" width="2.28515625" style="432" customWidth="1"/>
    <col min="2822" max="2822" width="7" style="432" customWidth="1"/>
    <col min="2823" max="2823" width="84.28515625" style="432" customWidth="1"/>
    <col min="2824" max="2824" width="11.85546875" style="432" customWidth="1"/>
    <col min="2825" max="2825" width="17" style="432" customWidth="1"/>
    <col min="2826" max="2826" width="19" style="432" customWidth="1"/>
    <col min="2827" max="2827" width="22.85546875" style="432" customWidth="1"/>
    <col min="2828" max="2828" width="16.7109375" style="432" customWidth="1"/>
    <col min="2829" max="3074" width="9.140625" style="432"/>
    <col min="3075" max="3075" width="2.140625" style="432" customWidth="1"/>
    <col min="3076" max="3076" width="7" style="432" customWidth="1"/>
    <col min="3077" max="3077" width="2.28515625" style="432" customWidth="1"/>
    <col min="3078" max="3078" width="7" style="432" customWidth="1"/>
    <col min="3079" max="3079" width="84.28515625" style="432" customWidth="1"/>
    <col min="3080" max="3080" width="11.85546875" style="432" customWidth="1"/>
    <col min="3081" max="3081" width="17" style="432" customWidth="1"/>
    <col min="3082" max="3082" width="19" style="432" customWidth="1"/>
    <col min="3083" max="3083" width="22.85546875" style="432" customWidth="1"/>
    <col min="3084" max="3084" width="16.7109375" style="432" customWidth="1"/>
    <col min="3085" max="3330" width="9.140625" style="432"/>
    <col min="3331" max="3331" width="2.140625" style="432" customWidth="1"/>
    <col min="3332" max="3332" width="7" style="432" customWidth="1"/>
    <col min="3333" max="3333" width="2.28515625" style="432" customWidth="1"/>
    <col min="3334" max="3334" width="7" style="432" customWidth="1"/>
    <col min="3335" max="3335" width="84.28515625" style="432" customWidth="1"/>
    <col min="3336" max="3336" width="11.85546875" style="432" customWidth="1"/>
    <col min="3337" max="3337" width="17" style="432" customWidth="1"/>
    <col min="3338" max="3338" width="19" style="432" customWidth="1"/>
    <col min="3339" max="3339" width="22.85546875" style="432" customWidth="1"/>
    <col min="3340" max="3340" width="16.7109375" style="432" customWidth="1"/>
    <col min="3341" max="3586" width="9.140625" style="432"/>
    <col min="3587" max="3587" width="2.140625" style="432" customWidth="1"/>
    <col min="3588" max="3588" width="7" style="432" customWidth="1"/>
    <col min="3589" max="3589" width="2.28515625" style="432" customWidth="1"/>
    <col min="3590" max="3590" width="7" style="432" customWidth="1"/>
    <col min="3591" max="3591" width="84.28515625" style="432" customWidth="1"/>
    <col min="3592" max="3592" width="11.85546875" style="432" customWidth="1"/>
    <col min="3593" max="3593" width="17" style="432" customWidth="1"/>
    <col min="3594" max="3594" width="19" style="432" customWidth="1"/>
    <col min="3595" max="3595" width="22.85546875" style="432" customWidth="1"/>
    <col min="3596" max="3596" width="16.7109375" style="432" customWidth="1"/>
    <col min="3597" max="3842" width="9.140625" style="432"/>
    <col min="3843" max="3843" width="2.140625" style="432" customWidth="1"/>
    <col min="3844" max="3844" width="7" style="432" customWidth="1"/>
    <col min="3845" max="3845" width="2.28515625" style="432" customWidth="1"/>
    <col min="3846" max="3846" width="7" style="432" customWidth="1"/>
    <col min="3847" max="3847" width="84.28515625" style="432" customWidth="1"/>
    <col min="3848" max="3848" width="11.85546875" style="432" customWidth="1"/>
    <col min="3849" max="3849" width="17" style="432" customWidth="1"/>
    <col min="3850" max="3850" width="19" style="432" customWidth="1"/>
    <col min="3851" max="3851" width="22.85546875" style="432" customWidth="1"/>
    <col min="3852" max="3852" width="16.7109375" style="432" customWidth="1"/>
    <col min="3853" max="4098" width="9.140625" style="432"/>
    <col min="4099" max="4099" width="2.140625" style="432" customWidth="1"/>
    <col min="4100" max="4100" width="7" style="432" customWidth="1"/>
    <col min="4101" max="4101" width="2.28515625" style="432" customWidth="1"/>
    <col min="4102" max="4102" width="7" style="432" customWidth="1"/>
    <col min="4103" max="4103" width="84.28515625" style="432" customWidth="1"/>
    <col min="4104" max="4104" width="11.85546875" style="432" customWidth="1"/>
    <col min="4105" max="4105" width="17" style="432" customWidth="1"/>
    <col min="4106" max="4106" width="19" style="432" customWidth="1"/>
    <col min="4107" max="4107" width="22.85546875" style="432" customWidth="1"/>
    <col min="4108" max="4108" width="16.7109375" style="432" customWidth="1"/>
    <col min="4109" max="4354" width="9.140625" style="432"/>
    <col min="4355" max="4355" width="2.140625" style="432" customWidth="1"/>
    <col min="4356" max="4356" width="7" style="432" customWidth="1"/>
    <col min="4357" max="4357" width="2.28515625" style="432" customWidth="1"/>
    <col min="4358" max="4358" width="7" style="432" customWidth="1"/>
    <col min="4359" max="4359" width="84.28515625" style="432" customWidth="1"/>
    <col min="4360" max="4360" width="11.85546875" style="432" customWidth="1"/>
    <col min="4361" max="4361" width="17" style="432" customWidth="1"/>
    <col min="4362" max="4362" width="19" style="432" customWidth="1"/>
    <col min="4363" max="4363" width="22.85546875" style="432" customWidth="1"/>
    <col min="4364" max="4364" width="16.7109375" style="432" customWidth="1"/>
    <col min="4365" max="4610" width="9.140625" style="432"/>
    <col min="4611" max="4611" width="2.140625" style="432" customWidth="1"/>
    <col min="4612" max="4612" width="7" style="432" customWidth="1"/>
    <col min="4613" max="4613" width="2.28515625" style="432" customWidth="1"/>
    <col min="4614" max="4614" width="7" style="432" customWidth="1"/>
    <col min="4615" max="4615" width="84.28515625" style="432" customWidth="1"/>
    <col min="4616" max="4616" width="11.85546875" style="432" customWidth="1"/>
    <col min="4617" max="4617" width="17" style="432" customWidth="1"/>
    <col min="4618" max="4618" width="19" style="432" customWidth="1"/>
    <col min="4619" max="4619" width="22.85546875" style="432" customWidth="1"/>
    <col min="4620" max="4620" width="16.7109375" style="432" customWidth="1"/>
    <col min="4621" max="4866" width="9.140625" style="432"/>
    <col min="4867" max="4867" width="2.140625" style="432" customWidth="1"/>
    <col min="4868" max="4868" width="7" style="432" customWidth="1"/>
    <col min="4869" max="4869" width="2.28515625" style="432" customWidth="1"/>
    <col min="4870" max="4870" width="7" style="432" customWidth="1"/>
    <col min="4871" max="4871" width="84.28515625" style="432" customWidth="1"/>
    <col min="4872" max="4872" width="11.85546875" style="432" customWidth="1"/>
    <col min="4873" max="4873" width="17" style="432" customWidth="1"/>
    <col min="4874" max="4874" width="19" style="432" customWidth="1"/>
    <col min="4875" max="4875" width="22.85546875" style="432" customWidth="1"/>
    <col min="4876" max="4876" width="16.7109375" style="432" customWidth="1"/>
    <col min="4877" max="5122" width="9.140625" style="432"/>
    <col min="5123" max="5123" width="2.140625" style="432" customWidth="1"/>
    <col min="5124" max="5124" width="7" style="432" customWidth="1"/>
    <col min="5125" max="5125" width="2.28515625" style="432" customWidth="1"/>
    <col min="5126" max="5126" width="7" style="432" customWidth="1"/>
    <col min="5127" max="5127" width="84.28515625" style="432" customWidth="1"/>
    <col min="5128" max="5128" width="11.85546875" style="432" customWidth="1"/>
    <col min="5129" max="5129" width="17" style="432" customWidth="1"/>
    <col min="5130" max="5130" width="19" style="432" customWidth="1"/>
    <col min="5131" max="5131" width="22.85546875" style="432" customWidth="1"/>
    <col min="5132" max="5132" width="16.7109375" style="432" customWidth="1"/>
    <col min="5133" max="5378" width="9.140625" style="432"/>
    <col min="5379" max="5379" width="2.140625" style="432" customWidth="1"/>
    <col min="5380" max="5380" width="7" style="432" customWidth="1"/>
    <col min="5381" max="5381" width="2.28515625" style="432" customWidth="1"/>
    <col min="5382" max="5382" width="7" style="432" customWidth="1"/>
    <col min="5383" max="5383" width="84.28515625" style="432" customWidth="1"/>
    <col min="5384" max="5384" width="11.85546875" style="432" customWidth="1"/>
    <col min="5385" max="5385" width="17" style="432" customWidth="1"/>
    <col min="5386" max="5386" width="19" style="432" customWidth="1"/>
    <col min="5387" max="5387" width="22.85546875" style="432" customWidth="1"/>
    <col min="5388" max="5388" width="16.7109375" style="432" customWidth="1"/>
    <col min="5389" max="5634" width="9.140625" style="432"/>
    <col min="5635" max="5635" width="2.140625" style="432" customWidth="1"/>
    <col min="5636" max="5636" width="7" style="432" customWidth="1"/>
    <col min="5637" max="5637" width="2.28515625" style="432" customWidth="1"/>
    <col min="5638" max="5638" width="7" style="432" customWidth="1"/>
    <col min="5639" max="5639" width="84.28515625" style="432" customWidth="1"/>
    <col min="5640" max="5640" width="11.85546875" style="432" customWidth="1"/>
    <col min="5641" max="5641" width="17" style="432" customWidth="1"/>
    <col min="5642" max="5642" width="19" style="432" customWidth="1"/>
    <col min="5643" max="5643" width="22.85546875" style="432" customWidth="1"/>
    <col min="5644" max="5644" width="16.7109375" style="432" customWidth="1"/>
    <col min="5645" max="5890" width="9.140625" style="432"/>
    <col min="5891" max="5891" width="2.140625" style="432" customWidth="1"/>
    <col min="5892" max="5892" width="7" style="432" customWidth="1"/>
    <col min="5893" max="5893" width="2.28515625" style="432" customWidth="1"/>
    <col min="5894" max="5894" width="7" style="432" customWidth="1"/>
    <col min="5895" max="5895" width="84.28515625" style="432" customWidth="1"/>
    <col min="5896" max="5896" width="11.85546875" style="432" customWidth="1"/>
    <col min="5897" max="5897" width="17" style="432" customWidth="1"/>
    <col min="5898" max="5898" width="19" style="432" customWidth="1"/>
    <col min="5899" max="5899" width="22.85546875" style="432" customWidth="1"/>
    <col min="5900" max="5900" width="16.7109375" style="432" customWidth="1"/>
    <col min="5901" max="6146" width="9.140625" style="432"/>
    <col min="6147" max="6147" width="2.140625" style="432" customWidth="1"/>
    <col min="6148" max="6148" width="7" style="432" customWidth="1"/>
    <col min="6149" max="6149" width="2.28515625" style="432" customWidth="1"/>
    <col min="6150" max="6150" width="7" style="432" customWidth="1"/>
    <col min="6151" max="6151" width="84.28515625" style="432" customWidth="1"/>
    <col min="6152" max="6152" width="11.85546875" style="432" customWidth="1"/>
    <col min="6153" max="6153" width="17" style="432" customWidth="1"/>
    <col min="6154" max="6154" width="19" style="432" customWidth="1"/>
    <col min="6155" max="6155" width="22.85546875" style="432" customWidth="1"/>
    <col min="6156" max="6156" width="16.7109375" style="432" customWidth="1"/>
    <col min="6157" max="6402" width="9.140625" style="432"/>
    <col min="6403" max="6403" width="2.140625" style="432" customWidth="1"/>
    <col min="6404" max="6404" width="7" style="432" customWidth="1"/>
    <col min="6405" max="6405" width="2.28515625" style="432" customWidth="1"/>
    <col min="6406" max="6406" width="7" style="432" customWidth="1"/>
    <col min="6407" max="6407" width="84.28515625" style="432" customWidth="1"/>
    <col min="6408" max="6408" width="11.85546875" style="432" customWidth="1"/>
    <col min="6409" max="6409" width="17" style="432" customWidth="1"/>
    <col min="6410" max="6410" width="19" style="432" customWidth="1"/>
    <col min="6411" max="6411" width="22.85546875" style="432" customWidth="1"/>
    <col min="6412" max="6412" width="16.7109375" style="432" customWidth="1"/>
    <col min="6413" max="6658" width="9.140625" style="432"/>
    <col min="6659" max="6659" width="2.140625" style="432" customWidth="1"/>
    <col min="6660" max="6660" width="7" style="432" customWidth="1"/>
    <col min="6661" max="6661" width="2.28515625" style="432" customWidth="1"/>
    <col min="6662" max="6662" width="7" style="432" customWidth="1"/>
    <col min="6663" max="6663" width="84.28515625" style="432" customWidth="1"/>
    <col min="6664" max="6664" width="11.85546875" style="432" customWidth="1"/>
    <col min="6665" max="6665" width="17" style="432" customWidth="1"/>
    <col min="6666" max="6666" width="19" style="432" customWidth="1"/>
    <col min="6667" max="6667" width="22.85546875" style="432" customWidth="1"/>
    <col min="6668" max="6668" width="16.7109375" style="432" customWidth="1"/>
    <col min="6669" max="6914" width="9.140625" style="432"/>
    <col min="6915" max="6915" width="2.140625" style="432" customWidth="1"/>
    <col min="6916" max="6916" width="7" style="432" customWidth="1"/>
    <col min="6917" max="6917" width="2.28515625" style="432" customWidth="1"/>
    <col min="6918" max="6918" width="7" style="432" customWidth="1"/>
    <col min="6919" max="6919" width="84.28515625" style="432" customWidth="1"/>
    <col min="6920" max="6920" width="11.85546875" style="432" customWidth="1"/>
    <col min="6921" max="6921" width="17" style="432" customWidth="1"/>
    <col min="6922" max="6922" width="19" style="432" customWidth="1"/>
    <col min="6923" max="6923" width="22.85546875" style="432" customWidth="1"/>
    <col min="6924" max="6924" width="16.7109375" style="432" customWidth="1"/>
    <col min="6925" max="7170" width="9.140625" style="432"/>
    <col min="7171" max="7171" width="2.140625" style="432" customWidth="1"/>
    <col min="7172" max="7172" width="7" style="432" customWidth="1"/>
    <col min="7173" max="7173" width="2.28515625" style="432" customWidth="1"/>
    <col min="7174" max="7174" width="7" style="432" customWidth="1"/>
    <col min="7175" max="7175" width="84.28515625" style="432" customWidth="1"/>
    <col min="7176" max="7176" width="11.85546875" style="432" customWidth="1"/>
    <col min="7177" max="7177" width="17" style="432" customWidth="1"/>
    <col min="7178" max="7178" width="19" style="432" customWidth="1"/>
    <col min="7179" max="7179" width="22.85546875" style="432" customWidth="1"/>
    <col min="7180" max="7180" width="16.7109375" style="432" customWidth="1"/>
    <col min="7181" max="7426" width="9.140625" style="432"/>
    <col min="7427" max="7427" width="2.140625" style="432" customWidth="1"/>
    <col min="7428" max="7428" width="7" style="432" customWidth="1"/>
    <col min="7429" max="7429" width="2.28515625" style="432" customWidth="1"/>
    <col min="7430" max="7430" width="7" style="432" customWidth="1"/>
    <col min="7431" max="7431" width="84.28515625" style="432" customWidth="1"/>
    <col min="7432" max="7432" width="11.85546875" style="432" customWidth="1"/>
    <col min="7433" max="7433" width="17" style="432" customWidth="1"/>
    <col min="7434" max="7434" width="19" style="432" customWidth="1"/>
    <col min="7435" max="7435" width="22.85546875" style="432" customWidth="1"/>
    <col min="7436" max="7436" width="16.7109375" style="432" customWidth="1"/>
    <col min="7437" max="7682" width="9.140625" style="432"/>
    <col min="7683" max="7683" width="2.140625" style="432" customWidth="1"/>
    <col min="7684" max="7684" width="7" style="432" customWidth="1"/>
    <col min="7685" max="7685" width="2.28515625" style="432" customWidth="1"/>
    <col min="7686" max="7686" width="7" style="432" customWidth="1"/>
    <col min="7687" max="7687" width="84.28515625" style="432" customWidth="1"/>
    <col min="7688" max="7688" width="11.85546875" style="432" customWidth="1"/>
    <col min="7689" max="7689" width="17" style="432" customWidth="1"/>
    <col min="7690" max="7690" width="19" style="432" customWidth="1"/>
    <col min="7691" max="7691" width="22.85546875" style="432" customWidth="1"/>
    <col min="7692" max="7692" width="16.7109375" style="432" customWidth="1"/>
    <col min="7693" max="7938" width="9.140625" style="432"/>
    <col min="7939" max="7939" width="2.140625" style="432" customWidth="1"/>
    <col min="7940" max="7940" width="7" style="432" customWidth="1"/>
    <col min="7941" max="7941" width="2.28515625" style="432" customWidth="1"/>
    <col min="7942" max="7942" width="7" style="432" customWidth="1"/>
    <col min="7943" max="7943" width="84.28515625" style="432" customWidth="1"/>
    <col min="7944" max="7944" width="11.85546875" style="432" customWidth="1"/>
    <col min="7945" max="7945" width="17" style="432" customWidth="1"/>
    <col min="7946" max="7946" width="19" style="432" customWidth="1"/>
    <col min="7947" max="7947" width="22.85546875" style="432" customWidth="1"/>
    <col min="7948" max="7948" width="16.7109375" style="432" customWidth="1"/>
    <col min="7949" max="8194" width="9.140625" style="432"/>
    <col min="8195" max="8195" width="2.140625" style="432" customWidth="1"/>
    <col min="8196" max="8196" width="7" style="432" customWidth="1"/>
    <col min="8197" max="8197" width="2.28515625" style="432" customWidth="1"/>
    <col min="8198" max="8198" width="7" style="432" customWidth="1"/>
    <col min="8199" max="8199" width="84.28515625" style="432" customWidth="1"/>
    <col min="8200" max="8200" width="11.85546875" style="432" customWidth="1"/>
    <col min="8201" max="8201" width="17" style="432" customWidth="1"/>
    <col min="8202" max="8202" width="19" style="432" customWidth="1"/>
    <col min="8203" max="8203" width="22.85546875" style="432" customWidth="1"/>
    <col min="8204" max="8204" width="16.7109375" style="432" customWidth="1"/>
    <col min="8205" max="8450" width="9.140625" style="432"/>
    <col min="8451" max="8451" width="2.140625" style="432" customWidth="1"/>
    <col min="8452" max="8452" width="7" style="432" customWidth="1"/>
    <col min="8453" max="8453" width="2.28515625" style="432" customWidth="1"/>
    <col min="8454" max="8454" width="7" style="432" customWidth="1"/>
    <col min="8455" max="8455" width="84.28515625" style="432" customWidth="1"/>
    <col min="8456" max="8456" width="11.85546875" style="432" customWidth="1"/>
    <col min="8457" max="8457" width="17" style="432" customWidth="1"/>
    <col min="8458" max="8458" width="19" style="432" customWidth="1"/>
    <col min="8459" max="8459" width="22.85546875" style="432" customWidth="1"/>
    <col min="8460" max="8460" width="16.7109375" style="432" customWidth="1"/>
    <col min="8461" max="8706" width="9.140625" style="432"/>
    <col min="8707" max="8707" width="2.140625" style="432" customWidth="1"/>
    <col min="8708" max="8708" width="7" style="432" customWidth="1"/>
    <col min="8709" max="8709" width="2.28515625" style="432" customWidth="1"/>
    <col min="8710" max="8710" width="7" style="432" customWidth="1"/>
    <col min="8711" max="8711" width="84.28515625" style="432" customWidth="1"/>
    <col min="8712" max="8712" width="11.85546875" style="432" customWidth="1"/>
    <col min="8713" max="8713" width="17" style="432" customWidth="1"/>
    <col min="8714" max="8714" width="19" style="432" customWidth="1"/>
    <col min="8715" max="8715" width="22.85546875" style="432" customWidth="1"/>
    <col min="8716" max="8716" width="16.7109375" style="432" customWidth="1"/>
    <col min="8717" max="8962" width="9.140625" style="432"/>
    <col min="8963" max="8963" width="2.140625" style="432" customWidth="1"/>
    <col min="8964" max="8964" width="7" style="432" customWidth="1"/>
    <col min="8965" max="8965" width="2.28515625" style="432" customWidth="1"/>
    <col min="8966" max="8966" width="7" style="432" customWidth="1"/>
    <col min="8967" max="8967" width="84.28515625" style="432" customWidth="1"/>
    <col min="8968" max="8968" width="11.85546875" style="432" customWidth="1"/>
    <col min="8969" max="8969" width="17" style="432" customWidth="1"/>
    <col min="8970" max="8970" width="19" style="432" customWidth="1"/>
    <col min="8971" max="8971" width="22.85546875" style="432" customWidth="1"/>
    <col min="8972" max="8972" width="16.7109375" style="432" customWidth="1"/>
    <col min="8973" max="9218" width="9.140625" style="432"/>
    <col min="9219" max="9219" width="2.140625" style="432" customWidth="1"/>
    <col min="9220" max="9220" width="7" style="432" customWidth="1"/>
    <col min="9221" max="9221" width="2.28515625" style="432" customWidth="1"/>
    <col min="9222" max="9222" width="7" style="432" customWidth="1"/>
    <col min="9223" max="9223" width="84.28515625" style="432" customWidth="1"/>
    <col min="9224" max="9224" width="11.85546875" style="432" customWidth="1"/>
    <col min="9225" max="9225" width="17" style="432" customWidth="1"/>
    <col min="9226" max="9226" width="19" style="432" customWidth="1"/>
    <col min="9227" max="9227" width="22.85546875" style="432" customWidth="1"/>
    <col min="9228" max="9228" width="16.7109375" style="432" customWidth="1"/>
    <col min="9229" max="9474" width="9.140625" style="432"/>
    <col min="9475" max="9475" width="2.140625" style="432" customWidth="1"/>
    <col min="9476" max="9476" width="7" style="432" customWidth="1"/>
    <col min="9477" max="9477" width="2.28515625" style="432" customWidth="1"/>
    <col min="9478" max="9478" width="7" style="432" customWidth="1"/>
    <col min="9479" max="9479" width="84.28515625" style="432" customWidth="1"/>
    <col min="9480" max="9480" width="11.85546875" style="432" customWidth="1"/>
    <col min="9481" max="9481" width="17" style="432" customWidth="1"/>
    <col min="9482" max="9482" width="19" style="432" customWidth="1"/>
    <col min="9483" max="9483" width="22.85546875" style="432" customWidth="1"/>
    <col min="9484" max="9484" width="16.7109375" style="432" customWidth="1"/>
    <col min="9485" max="9730" width="9.140625" style="432"/>
    <col min="9731" max="9731" width="2.140625" style="432" customWidth="1"/>
    <col min="9732" max="9732" width="7" style="432" customWidth="1"/>
    <col min="9733" max="9733" width="2.28515625" style="432" customWidth="1"/>
    <col min="9734" max="9734" width="7" style="432" customWidth="1"/>
    <col min="9735" max="9735" width="84.28515625" style="432" customWidth="1"/>
    <col min="9736" max="9736" width="11.85546875" style="432" customWidth="1"/>
    <col min="9737" max="9737" width="17" style="432" customWidth="1"/>
    <col min="9738" max="9738" width="19" style="432" customWidth="1"/>
    <col min="9739" max="9739" width="22.85546875" style="432" customWidth="1"/>
    <col min="9740" max="9740" width="16.7109375" style="432" customWidth="1"/>
    <col min="9741" max="9986" width="9.140625" style="432"/>
    <col min="9987" max="9987" width="2.140625" style="432" customWidth="1"/>
    <col min="9988" max="9988" width="7" style="432" customWidth="1"/>
    <col min="9989" max="9989" width="2.28515625" style="432" customWidth="1"/>
    <col min="9990" max="9990" width="7" style="432" customWidth="1"/>
    <col min="9991" max="9991" width="84.28515625" style="432" customWidth="1"/>
    <col min="9992" max="9992" width="11.85546875" style="432" customWidth="1"/>
    <col min="9993" max="9993" width="17" style="432" customWidth="1"/>
    <col min="9994" max="9994" width="19" style="432" customWidth="1"/>
    <col min="9995" max="9995" width="22.85546875" style="432" customWidth="1"/>
    <col min="9996" max="9996" width="16.7109375" style="432" customWidth="1"/>
    <col min="9997" max="10242" width="9.140625" style="432"/>
    <col min="10243" max="10243" width="2.140625" style="432" customWidth="1"/>
    <col min="10244" max="10244" width="7" style="432" customWidth="1"/>
    <col min="10245" max="10245" width="2.28515625" style="432" customWidth="1"/>
    <col min="10246" max="10246" width="7" style="432" customWidth="1"/>
    <col min="10247" max="10247" width="84.28515625" style="432" customWidth="1"/>
    <col min="10248" max="10248" width="11.85546875" style="432" customWidth="1"/>
    <col min="10249" max="10249" width="17" style="432" customWidth="1"/>
    <col min="10250" max="10250" width="19" style="432" customWidth="1"/>
    <col min="10251" max="10251" width="22.85546875" style="432" customWidth="1"/>
    <col min="10252" max="10252" width="16.7109375" style="432" customWidth="1"/>
    <col min="10253" max="10498" width="9.140625" style="432"/>
    <col min="10499" max="10499" width="2.140625" style="432" customWidth="1"/>
    <col min="10500" max="10500" width="7" style="432" customWidth="1"/>
    <col min="10501" max="10501" width="2.28515625" style="432" customWidth="1"/>
    <col min="10502" max="10502" width="7" style="432" customWidth="1"/>
    <col min="10503" max="10503" width="84.28515625" style="432" customWidth="1"/>
    <col min="10504" max="10504" width="11.85546875" style="432" customWidth="1"/>
    <col min="10505" max="10505" width="17" style="432" customWidth="1"/>
    <col min="10506" max="10506" width="19" style="432" customWidth="1"/>
    <col min="10507" max="10507" width="22.85546875" style="432" customWidth="1"/>
    <col min="10508" max="10508" width="16.7109375" style="432" customWidth="1"/>
    <col min="10509" max="10754" width="9.140625" style="432"/>
    <col min="10755" max="10755" width="2.140625" style="432" customWidth="1"/>
    <col min="10756" max="10756" width="7" style="432" customWidth="1"/>
    <col min="10757" max="10757" width="2.28515625" style="432" customWidth="1"/>
    <col min="10758" max="10758" width="7" style="432" customWidth="1"/>
    <col min="10759" max="10759" width="84.28515625" style="432" customWidth="1"/>
    <col min="10760" max="10760" width="11.85546875" style="432" customWidth="1"/>
    <col min="10761" max="10761" width="17" style="432" customWidth="1"/>
    <col min="10762" max="10762" width="19" style="432" customWidth="1"/>
    <col min="10763" max="10763" width="22.85546875" style="432" customWidth="1"/>
    <col min="10764" max="10764" width="16.7109375" style="432" customWidth="1"/>
    <col min="10765" max="11010" width="9.140625" style="432"/>
    <col min="11011" max="11011" width="2.140625" style="432" customWidth="1"/>
    <col min="11012" max="11012" width="7" style="432" customWidth="1"/>
    <col min="11013" max="11013" width="2.28515625" style="432" customWidth="1"/>
    <col min="11014" max="11014" width="7" style="432" customWidth="1"/>
    <col min="11015" max="11015" width="84.28515625" style="432" customWidth="1"/>
    <col min="11016" max="11016" width="11.85546875" style="432" customWidth="1"/>
    <col min="11017" max="11017" width="17" style="432" customWidth="1"/>
    <col min="11018" max="11018" width="19" style="432" customWidth="1"/>
    <col min="11019" max="11019" width="22.85546875" style="432" customWidth="1"/>
    <col min="11020" max="11020" width="16.7109375" style="432" customWidth="1"/>
    <col min="11021" max="11266" width="9.140625" style="432"/>
    <col min="11267" max="11267" width="2.140625" style="432" customWidth="1"/>
    <col min="11268" max="11268" width="7" style="432" customWidth="1"/>
    <col min="11269" max="11269" width="2.28515625" style="432" customWidth="1"/>
    <col min="11270" max="11270" width="7" style="432" customWidth="1"/>
    <col min="11271" max="11271" width="84.28515625" style="432" customWidth="1"/>
    <col min="11272" max="11272" width="11.85546875" style="432" customWidth="1"/>
    <col min="11273" max="11273" width="17" style="432" customWidth="1"/>
    <col min="11274" max="11274" width="19" style="432" customWidth="1"/>
    <col min="11275" max="11275" width="22.85546875" style="432" customWidth="1"/>
    <col min="11276" max="11276" width="16.7109375" style="432" customWidth="1"/>
    <col min="11277" max="11522" width="9.140625" style="432"/>
    <col min="11523" max="11523" width="2.140625" style="432" customWidth="1"/>
    <col min="11524" max="11524" width="7" style="432" customWidth="1"/>
    <col min="11525" max="11525" width="2.28515625" style="432" customWidth="1"/>
    <col min="11526" max="11526" width="7" style="432" customWidth="1"/>
    <col min="11527" max="11527" width="84.28515625" style="432" customWidth="1"/>
    <col min="11528" max="11528" width="11.85546875" style="432" customWidth="1"/>
    <col min="11529" max="11529" width="17" style="432" customWidth="1"/>
    <col min="11530" max="11530" width="19" style="432" customWidth="1"/>
    <col min="11531" max="11531" width="22.85546875" style="432" customWidth="1"/>
    <col min="11532" max="11532" width="16.7109375" style="432" customWidth="1"/>
    <col min="11533" max="11778" width="9.140625" style="432"/>
    <col min="11779" max="11779" width="2.140625" style="432" customWidth="1"/>
    <col min="11780" max="11780" width="7" style="432" customWidth="1"/>
    <col min="11781" max="11781" width="2.28515625" style="432" customWidth="1"/>
    <col min="11782" max="11782" width="7" style="432" customWidth="1"/>
    <col min="11783" max="11783" width="84.28515625" style="432" customWidth="1"/>
    <col min="11784" max="11784" width="11.85546875" style="432" customWidth="1"/>
    <col min="11785" max="11785" width="17" style="432" customWidth="1"/>
    <col min="11786" max="11786" width="19" style="432" customWidth="1"/>
    <col min="11787" max="11787" width="22.85546875" style="432" customWidth="1"/>
    <col min="11788" max="11788" width="16.7109375" style="432" customWidth="1"/>
    <col min="11789" max="12034" width="9.140625" style="432"/>
    <col min="12035" max="12035" width="2.140625" style="432" customWidth="1"/>
    <col min="12036" max="12036" width="7" style="432" customWidth="1"/>
    <col min="12037" max="12037" width="2.28515625" style="432" customWidth="1"/>
    <col min="12038" max="12038" width="7" style="432" customWidth="1"/>
    <col min="12039" max="12039" width="84.28515625" style="432" customWidth="1"/>
    <col min="12040" max="12040" width="11.85546875" style="432" customWidth="1"/>
    <col min="12041" max="12041" width="17" style="432" customWidth="1"/>
    <col min="12042" max="12042" width="19" style="432" customWidth="1"/>
    <col min="12043" max="12043" width="22.85546875" style="432" customWidth="1"/>
    <col min="12044" max="12044" width="16.7109375" style="432" customWidth="1"/>
    <col min="12045" max="12290" width="9.140625" style="432"/>
    <col min="12291" max="12291" width="2.140625" style="432" customWidth="1"/>
    <col min="12292" max="12292" width="7" style="432" customWidth="1"/>
    <col min="12293" max="12293" width="2.28515625" style="432" customWidth="1"/>
    <col min="12294" max="12294" width="7" style="432" customWidth="1"/>
    <col min="12295" max="12295" width="84.28515625" style="432" customWidth="1"/>
    <col min="12296" max="12296" width="11.85546875" style="432" customWidth="1"/>
    <col min="12297" max="12297" width="17" style="432" customWidth="1"/>
    <col min="12298" max="12298" width="19" style="432" customWidth="1"/>
    <col min="12299" max="12299" width="22.85546875" style="432" customWidth="1"/>
    <col min="12300" max="12300" width="16.7109375" style="432" customWidth="1"/>
    <col min="12301" max="12546" width="9.140625" style="432"/>
    <col min="12547" max="12547" width="2.140625" style="432" customWidth="1"/>
    <col min="12548" max="12548" width="7" style="432" customWidth="1"/>
    <col min="12549" max="12549" width="2.28515625" style="432" customWidth="1"/>
    <col min="12550" max="12550" width="7" style="432" customWidth="1"/>
    <col min="12551" max="12551" width="84.28515625" style="432" customWidth="1"/>
    <col min="12552" max="12552" width="11.85546875" style="432" customWidth="1"/>
    <col min="12553" max="12553" width="17" style="432" customWidth="1"/>
    <col min="12554" max="12554" width="19" style="432" customWidth="1"/>
    <col min="12555" max="12555" width="22.85546875" style="432" customWidth="1"/>
    <col min="12556" max="12556" width="16.7109375" style="432" customWidth="1"/>
    <col min="12557" max="12802" width="9.140625" style="432"/>
    <col min="12803" max="12803" width="2.140625" style="432" customWidth="1"/>
    <col min="12804" max="12804" width="7" style="432" customWidth="1"/>
    <col min="12805" max="12805" width="2.28515625" style="432" customWidth="1"/>
    <col min="12806" max="12806" width="7" style="432" customWidth="1"/>
    <col min="12807" max="12807" width="84.28515625" style="432" customWidth="1"/>
    <col min="12808" max="12808" width="11.85546875" style="432" customWidth="1"/>
    <col min="12809" max="12809" width="17" style="432" customWidth="1"/>
    <col min="12810" max="12810" width="19" style="432" customWidth="1"/>
    <col min="12811" max="12811" width="22.85546875" style="432" customWidth="1"/>
    <col min="12812" max="12812" width="16.7109375" style="432" customWidth="1"/>
    <col min="12813" max="13058" width="9.140625" style="432"/>
    <col min="13059" max="13059" width="2.140625" style="432" customWidth="1"/>
    <col min="13060" max="13060" width="7" style="432" customWidth="1"/>
    <col min="13061" max="13061" width="2.28515625" style="432" customWidth="1"/>
    <col min="13062" max="13062" width="7" style="432" customWidth="1"/>
    <col min="13063" max="13063" width="84.28515625" style="432" customWidth="1"/>
    <col min="13064" max="13064" width="11.85546875" style="432" customWidth="1"/>
    <col min="13065" max="13065" width="17" style="432" customWidth="1"/>
    <col min="13066" max="13066" width="19" style="432" customWidth="1"/>
    <col min="13067" max="13067" width="22.85546875" style="432" customWidth="1"/>
    <col min="13068" max="13068" width="16.7109375" style="432" customWidth="1"/>
    <col min="13069" max="13314" width="9.140625" style="432"/>
    <col min="13315" max="13315" width="2.140625" style="432" customWidth="1"/>
    <col min="13316" max="13316" width="7" style="432" customWidth="1"/>
    <col min="13317" max="13317" width="2.28515625" style="432" customWidth="1"/>
    <col min="13318" max="13318" width="7" style="432" customWidth="1"/>
    <col min="13319" max="13319" width="84.28515625" style="432" customWidth="1"/>
    <col min="13320" max="13320" width="11.85546875" style="432" customWidth="1"/>
    <col min="13321" max="13321" width="17" style="432" customWidth="1"/>
    <col min="13322" max="13322" width="19" style="432" customWidth="1"/>
    <col min="13323" max="13323" width="22.85546875" style="432" customWidth="1"/>
    <col min="13324" max="13324" width="16.7109375" style="432" customWidth="1"/>
    <col min="13325" max="13570" width="9.140625" style="432"/>
    <col min="13571" max="13571" width="2.140625" style="432" customWidth="1"/>
    <col min="13572" max="13572" width="7" style="432" customWidth="1"/>
    <col min="13573" max="13573" width="2.28515625" style="432" customWidth="1"/>
    <col min="13574" max="13574" width="7" style="432" customWidth="1"/>
    <col min="13575" max="13575" width="84.28515625" style="432" customWidth="1"/>
    <col min="13576" max="13576" width="11.85546875" style="432" customWidth="1"/>
    <col min="13577" max="13577" width="17" style="432" customWidth="1"/>
    <col min="13578" max="13578" width="19" style="432" customWidth="1"/>
    <col min="13579" max="13579" width="22.85546875" style="432" customWidth="1"/>
    <col min="13580" max="13580" width="16.7109375" style="432" customWidth="1"/>
    <col min="13581" max="13826" width="9.140625" style="432"/>
    <col min="13827" max="13827" width="2.140625" style="432" customWidth="1"/>
    <col min="13828" max="13828" width="7" style="432" customWidth="1"/>
    <col min="13829" max="13829" width="2.28515625" style="432" customWidth="1"/>
    <col min="13830" max="13830" width="7" style="432" customWidth="1"/>
    <col min="13831" max="13831" width="84.28515625" style="432" customWidth="1"/>
    <col min="13832" max="13832" width="11.85546875" style="432" customWidth="1"/>
    <col min="13833" max="13833" width="17" style="432" customWidth="1"/>
    <col min="13834" max="13834" width="19" style="432" customWidth="1"/>
    <col min="13835" max="13835" width="22.85546875" style="432" customWidth="1"/>
    <col min="13836" max="13836" width="16.7109375" style="432" customWidth="1"/>
    <col min="13837" max="14082" width="9.140625" style="432"/>
    <col min="14083" max="14083" width="2.140625" style="432" customWidth="1"/>
    <col min="14084" max="14084" width="7" style="432" customWidth="1"/>
    <col min="14085" max="14085" width="2.28515625" style="432" customWidth="1"/>
    <col min="14086" max="14086" width="7" style="432" customWidth="1"/>
    <col min="14087" max="14087" width="84.28515625" style="432" customWidth="1"/>
    <col min="14088" max="14088" width="11.85546875" style="432" customWidth="1"/>
    <col min="14089" max="14089" width="17" style="432" customWidth="1"/>
    <col min="14090" max="14090" width="19" style="432" customWidth="1"/>
    <col min="14091" max="14091" width="22.85546875" style="432" customWidth="1"/>
    <col min="14092" max="14092" width="16.7109375" style="432" customWidth="1"/>
    <col min="14093" max="14338" width="9.140625" style="432"/>
    <col min="14339" max="14339" width="2.140625" style="432" customWidth="1"/>
    <col min="14340" max="14340" width="7" style="432" customWidth="1"/>
    <col min="14341" max="14341" width="2.28515625" style="432" customWidth="1"/>
    <col min="14342" max="14342" width="7" style="432" customWidth="1"/>
    <col min="14343" max="14343" width="84.28515625" style="432" customWidth="1"/>
    <col min="14344" max="14344" width="11.85546875" style="432" customWidth="1"/>
    <col min="14345" max="14345" width="17" style="432" customWidth="1"/>
    <col min="14346" max="14346" width="19" style="432" customWidth="1"/>
    <col min="14347" max="14347" width="22.85546875" style="432" customWidth="1"/>
    <col min="14348" max="14348" width="16.7109375" style="432" customWidth="1"/>
    <col min="14349" max="14594" width="9.140625" style="432"/>
    <col min="14595" max="14595" width="2.140625" style="432" customWidth="1"/>
    <col min="14596" max="14596" width="7" style="432" customWidth="1"/>
    <col min="14597" max="14597" width="2.28515625" style="432" customWidth="1"/>
    <col min="14598" max="14598" width="7" style="432" customWidth="1"/>
    <col min="14599" max="14599" width="84.28515625" style="432" customWidth="1"/>
    <col min="14600" max="14600" width="11.85546875" style="432" customWidth="1"/>
    <col min="14601" max="14601" width="17" style="432" customWidth="1"/>
    <col min="14602" max="14602" width="19" style="432" customWidth="1"/>
    <col min="14603" max="14603" width="22.85546875" style="432" customWidth="1"/>
    <col min="14604" max="14604" width="16.7109375" style="432" customWidth="1"/>
    <col min="14605" max="14850" width="9.140625" style="432"/>
    <col min="14851" max="14851" width="2.140625" style="432" customWidth="1"/>
    <col min="14852" max="14852" width="7" style="432" customWidth="1"/>
    <col min="14853" max="14853" width="2.28515625" style="432" customWidth="1"/>
    <col min="14854" max="14854" width="7" style="432" customWidth="1"/>
    <col min="14855" max="14855" width="84.28515625" style="432" customWidth="1"/>
    <col min="14856" max="14856" width="11.85546875" style="432" customWidth="1"/>
    <col min="14857" max="14857" width="17" style="432" customWidth="1"/>
    <col min="14858" max="14858" width="19" style="432" customWidth="1"/>
    <col min="14859" max="14859" width="22.85546875" style="432" customWidth="1"/>
    <col min="14860" max="14860" width="16.7109375" style="432" customWidth="1"/>
    <col min="14861" max="15106" width="9.140625" style="432"/>
    <col min="15107" max="15107" width="2.140625" style="432" customWidth="1"/>
    <col min="15108" max="15108" width="7" style="432" customWidth="1"/>
    <col min="15109" max="15109" width="2.28515625" style="432" customWidth="1"/>
    <col min="15110" max="15110" width="7" style="432" customWidth="1"/>
    <col min="15111" max="15111" width="84.28515625" style="432" customWidth="1"/>
    <col min="15112" max="15112" width="11.85546875" style="432" customWidth="1"/>
    <col min="15113" max="15113" width="17" style="432" customWidth="1"/>
    <col min="15114" max="15114" width="19" style="432" customWidth="1"/>
    <col min="15115" max="15115" width="22.85546875" style="432" customWidth="1"/>
    <col min="15116" max="15116" width="16.7109375" style="432" customWidth="1"/>
    <col min="15117" max="15362" width="9.140625" style="432"/>
    <col min="15363" max="15363" width="2.140625" style="432" customWidth="1"/>
    <col min="15364" max="15364" width="7" style="432" customWidth="1"/>
    <col min="15365" max="15365" width="2.28515625" style="432" customWidth="1"/>
    <col min="15366" max="15366" width="7" style="432" customWidth="1"/>
    <col min="15367" max="15367" width="84.28515625" style="432" customWidth="1"/>
    <col min="15368" max="15368" width="11.85546875" style="432" customWidth="1"/>
    <col min="15369" max="15369" width="17" style="432" customWidth="1"/>
    <col min="15370" max="15370" width="19" style="432" customWidth="1"/>
    <col min="15371" max="15371" width="22.85546875" style="432" customWidth="1"/>
    <col min="15372" max="15372" width="16.7109375" style="432" customWidth="1"/>
    <col min="15373" max="15618" width="9.140625" style="432"/>
    <col min="15619" max="15619" width="2.140625" style="432" customWidth="1"/>
    <col min="15620" max="15620" width="7" style="432" customWidth="1"/>
    <col min="15621" max="15621" width="2.28515625" style="432" customWidth="1"/>
    <col min="15622" max="15622" width="7" style="432" customWidth="1"/>
    <col min="15623" max="15623" width="84.28515625" style="432" customWidth="1"/>
    <col min="15624" max="15624" width="11.85546875" style="432" customWidth="1"/>
    <col min="15625" max="15625" width="17" style="432" customWidth="1"/>
    <col min="15626" max="15626" width="19" style="432" customWidth="1"/>
    <col min="15627" max="15627" width="22.85546875" style="432" customWidth="1"/>
    <col min="15628" max="15628" width="16.7109375" style="432" customWidth="1"/>
    <col min="15629" max="15874" width="9.140625" style="432"/>
    <col min="15875" max="15875" width="2.140625" style="432" customWidth="1"/>
    <col min="15876" max="15876" width="7" style="432" customWidth="1"/>
    <col min="15877" max="15877" width="2.28515625" style="432" customWidth="1"/>
    <col min="15878" max="15878" width="7" style="432" customWidth="1"/>
    <col min="15879" max="15879" width="84.28515625" style="432" customWidth="1"/>
    <col min="15880" max="15880" width="11.85546875" style="432" customWidth="1"/>
    <col min="15881" max="15881" width="17" style="432" customWidth="1"/>
    <col min="15882" max="15882" width="19" style="432" customWidth="1"/>
    <col min="15883" max="15883" width="22.85546875" style="432" customWidth="1"/>
    <col min="15884" max="15884" width="16.7109375" style="432" customWidth="1"/>
    <col min="15885" max="16130" width="9.140625" style="432"/>
    <col min="16131" max="16131" width="2.140625" style="432" customWidth="1"/>
    <col min="16132" max="16132" width="7" style="432" customWidth="1"/>
    <col min="16133" max="16133" width="2.28515625" style="432" customWidth="1"/>
    <col min="16134" max="16134" width="7" style="432" customWidth="1"/>
    <col min="16135" max="16135" width="84.28515625" style="432" customWidth="1"/>
    <col min="16136" max="16136" width="11.85546875" style="432" customWidth="1"/>
    <col min="16137" max="16137" width="17" style="432" customWidth="1"/>
    <col min="16138" max="16138" width="19" style="432" customWidth="1"/>
    <col min="16139" max="16139" width="22.85546875" style="432" customWidth="1"/>
    <col min="16140" max="16140" width="16.7109375" style="432" customWidth="1"/>
    <col min="16141" max="16384" width="9.140625" style="432"/>
  </cols>
  <sheetData>
    <row r="1" spans="1:12" ht="18">
      <c r="B1" s="538" t="s">
        <v>2153</v>
      </c>
      <c r="C1" s="538"/>
      <c r="D1" s="538"/>
      <c r="E1" s="538"/>
      <c r="F1" s="538"/>
      <c r="G1" s="538"/>
      <c r="H1" s="538"/>
      <c r="I1" s="538"/>
      <c r="J1" s="538"/>
    </row>
    <row r="2" spans="1:12" s="439" customFormat="1" ht="21.95" customHeight="1">
      <c r="A2" s="434"/>
      <c r="B2" s="435" t="s">
        <v>2419</v>
      </c>
      <c r="C2" s="436"/>
      <c r="D2" s="436"/>
      <c r="E2" s="436"/>
      <c r="F2" s="436"/>
      <c r="G2" s="436"/>
      <c r="H2" s="436"/>
      <c r="I2" s="436"/>
      <c r="J2" s="437"/>
      <c r="K2" s="438"/>
    </row>
    <row r="3" spans="1:12" ht="31.5" customHeight="1">
      <c r="B3" s="440" t="s">
        <v>0</v>
      </c>
      <c r="C3" s="539" t="s">
        <v>2154</v>
      </c>
      <c r="D3" s="540"/>
      <c r="E3" s="540"/>
      <c r="F3" s="441" t="s">
        <v>1204</v>
      </c>
      <c r="G3" s="443" t="s">
        <v>2156</v>
      </c>
      <c r="H3" s="442" t="s">
        <v>2155</v>
      </c>
      <c r="I3" s="442" t="s">
        <v>2157</v>
      </c>
      <c r="J3" s="441" t="s">
        <v>2</v>
      </c>
    </row>
    <row r="4" spans="1:12" ht="18" customHeight="1">
      <c r="B4" s="444">
        <v>1</v>
      </c>
      <c r="C4" s="445"/>
      <c r="D4" s="446" t="s">
        <v>1206</v>
      </c>
      <c r="E4" s="446"/>
      <c r="F4" s="447" t="s">
        <v>2420</v>
      </c>
      <c r="G4" s="448"/>
      <c r="H4" s="448"/>
      <c r="I4" s="449"/>
      <c r="J4" s="450"/>
    </row>
    <row r="5" spans="1:12" ht="18" customHeight="1">
      <c r="B5" s="444">
        <f>B4+1</f>
        <v>2</v>
      </c>
      <c r="C5" s="445"/>
      <c r="D5" s="446"/>
      <c r="E5" s="446"/>
      <c r="F5" s="447"/>
      <c r="G5" s="448"/>
      <c r="H5" s="448"/>
      <c r="I5" s="449"/>
      <c r="J5" s="450"/>
    </row>
    <row r="6" spans="1:12" ht="18" customHeight="1">
      <c r="B6" s="444">
        <f>1+B5</f>
        <v>3</v>
      </c>
      <c r="C6" s="445"/>
      <c r="D6" s="446"/>
      <c r="E6" s="446"/>
      <c r="F6" s="447"/>
      <c r="G6" s="448"/>
      <c r="H6" s="448"/>
      <c r="I6" s="449"/>
      <c r="J6" s="450"/>
      <c r="L6" s="451">
        <f>SUM(G6:H6)</f>
        <v>0</v>
      </c>
    </row>
    <row r="7" spans="1:12" ht="18" customHeight="1">
      <c r="B7" s="444">
        <f t="shared" ref="B7:B16" si="0">B6+1</f>
        <v>4</v>
      </c>
      <c r="C7" s="445"/>
      <c r="D7" s="446"/>
      <c r="E7" s="446"/>
      <c r="F7" s="447"/>
      <c r="G7" s="448"/>
      <c r="H7" s="448"/>
      <c r="I7" s="449"/>
      <c r="J7" s="450"/>
    </row>
    <row r="8" spans="1:12" ht="18" customHeight="1">
      <c r="B8" s="444">
        <f t="shared" si="0"/>
        <v>5</v>
      </c>
      <c r="C8" s="445"/>
      <c r="D8" s="446"/>
      <c r="E8" s="446"/>
      <c r="F8" s="447"/>
      <c r="G8" s="448"/>
      <c r="H8" s="448"/>
      <c r="I8" s="449"/>
      <c r="J8" s="450"/>
      <c r="L8" s="443" t="s">
        <v>2156</v>
      </c>
    </row>
    <row r="9" spans="1:12" ht="18" customHeight="1">
      <c r="B9" s="444">
        <f t="shared" si="0"/>
        <v>6</v>
      </c>
      <c r="C9" s="445"/>
      <c r="D9" s="452"/>
      <c r="E9" s="446"/>
      <c r="F9" s="447"/>
      <c r="G9" s="448"/>
      <c r="H9" s="448"/>
      <c r="I9" s="449"/>
      <c r="J9" s="450"/>
    </row>
    <row r="10" spans="1:12" ht="18" customHeight="1">
      <c r="B10" s="444">
        <f t="shared" si="0"/>
        <v>7</v>
      </c>
      <c r="C10" s="445"/>
      <c r="D10" s="452"/>
      <c r="E10" s="446"/>
      <c r="F10" s="447"/>
      <c r="G10" s="448"/>
      <c r="H10" s="448"/>
      <c r="I10" s="449"/>
      <c r="J10" s="450"/>
    </row>
    <row r="11" spans="1:12" ht="18" customHeight="1">
      <c r="B11" s="444">
        <f t="shared" si="0"/>
        <v>8</v>
      </c>
      <c r="C11" s="445"/>
      <c r="D11" s="452"/>
      <c r="E11" s="446"/>
      <c r="F11" s="447"/>
      <c r="G11" s="448"/>
      <c r="H11" s="448"/>
      <c r="I11" s="449"/>
      <c r="J11" s="450"/>
    </row>
    <row r="12" spans="1:12" ht="18" customHeight="1">
      <c r="B12" s="444">
        <f t="shared" si="0"/>
        <v>9</v>
      </c>
      <c r="C12" s="453"/>
      <c r="D12" s="452"/>
      <c r="E12" s="446"/>
      <c r="F12" s="447"/>
      <c r="G12" s="448"/>
      <c r="H12" s="448"/>
      <c r="I12" s="449"/>
      <c r="J12" s="450"/>
    </row>
    <row r="13" spans="1:12" ht="18" customHeight="1">
      <c r="B13" s="444">
        <f t="shared" si="0"/>
        <v>10</v>
      </c>
      <c r="C13" s="453"/>
      <c r="D13" s="446"/>
      <c r="E13" s="454"/>
      <c r="F13" s="447"/>
      <c r="G13" s="448"/>
      <c r="H13" s="448"/>
      <c r="I13" s="449"/>
      <c r="J13" s="450"/>
    </row>
    <row r="14" spans="1:12" ht="18" customHeight="1">
      <c r="B14" s="444">
        <f t="shared" si="0"/>
        <v>11</v>
      </c>
      <c r="C14" s="453"/>
      <c r="D14" s="446"/>
      <c r="E14" s="454"/>
      <c r="F14" s="447"/>
      <c r="G14" s="448"/>
      <c r="H14" s="448"/>
      <c r="I14" s="449"/>
      <c r="J14" s="450"/>
    </row>
    <row r="15" spans="1:12" ht="18" customHeight="1">
      <c r="B15" s="444">
        <f t="shared" si="0"/>
        <v>12</v>
      </c>
      <c r="C15" s="453"/>
      <c r="D15" s="452"/>
      <c r="E15" s="446"/>
      <c r="F15" s="447"/>
      <c r="G15" s="448"/>
      <c r="H15" s="448"/>
      <c r="I15" s="449"/>
      <c r="J15" s="450"/>
    </row>
    <row r="16" spans="1:12" ht="18" customHeight="1">
      <c r="B16" s="444">
        <f t="shared" si="0"/>
        <v>13</v>
      </c>
      <c r="C16" s="453"/>
      <c r="D16" s="446"/>
      <c r="E16" s="446"/>
      <c r="F16" s="447"/>
      <c r="G16" s="448"/>
      <c r="H16" s="448"/>
      <c r="I16" s="449"/>
      <c r="J16" s="450"/>
    </row>
    <row r="17" spans="1:10" ht="18" customHeight="1">
      <c r="B17" s="444">
        <f>B16+1</f>
        <v>14</v>
      </c>
      <c r="C17" s="453"/>
      <c r="D17" s="446"/>
      <c r="E17" s="446"/>
      <c r="F17" s="447"/>
      <c r="G17" s="448"/>
      <c r="H17" s="448"/>
      <c r="I17" s="449"/>
      <c r="J17" s="450"/>
    </row>
    <row r="18" spans="1:10" ht="18" customHeight="1">
      <c r="B18" s="444">
        <f t="shared" ref="B18:B21" si="1">B17+1</f>
        <v>15</v>
      </c>
      <c r="C18" s="453"/>
      <c r="D18" s="446"/>
      <c r="E18" s="446"/>
      <c r="F18" s="447"/>
      <c r="G18" s="448"/>
      <c r="H18" s="448"/>
      <c r="I18" s="449"/>
      <c r="J18" s="450"/>
    </row>
    <row r="19" spans="1:10" ht="18" customHeight="1">
      <c r="B19" s="444">
        <f t="shared" si="1"/>
        <v>16</v>
      </c>
      <c r="C19" s="453"/>
      <c r="D19" s="452"/>
      <c r="E19" s="446"/>
      <c r="F19" s="447"/>
      <c r="G19" s="448"/>
      <c r="H19" s="448"/>
      <c r="I19" s="449"/>
      <c r="J19" s="450"/>
    </row>
    <row r="20" spans="1:10" ht="18" customHeight="1">
      <c r="B20" s="444">
        <f t="shared" si="1"/>
        <v>17</v>
      </c>
      <c r="C20" s="453"/>
      <c r="D20" s="446"/>
      <c r="E20" s="446"/>
      <c r="F20" s="447"/>
      <c r="G20" s="448"/>
      <c r="H20" s="448"/>
      <c r="I20" s="449"/>
      <c r="J20" s="450"/>
    </row>
    <row r="21" spans="1:10" ht="18" customHeight="1">
      <c r="B21" s="444">
        <f t="shared" si="1"/>
        <v>18</v>
      </c>
      <c r="C21" s="453"/>
      <c r="D21" s="446"/>
      <c r="E21" s="446"/>
      <c r="F21" s="447"/>
      <c r="G21" s="448"/>
      <c r="H21" s="448"/>
      <c r="I21" s="449"/>
      <c r="J21" s="450"/>
    </row>
    <row r="22" spans="1:10" ht="18" customHeight="1">
      <c r="B22" s="535"/>
      <c r="C22" s="536"/>
      <c r="D22" s="536"/>
      <c r="E22" s="536"/>
      <c r="F22" s="536"/>
      <c r="G22" s="536"/>
      <c r="H22" s="536"/>
      <c r="I22" s="536"/>
      <c r="J22" s="537"/>
    </row>
    <row r="23" spans="1:10" ht="21.95" customHeight="1">
      <c r="A23" s="456"/>
      <c r="B23" s="435" t="s">
        <v>2158</v>
      </c>
      <c r="C23" s="436"/>
      <c r="D23" s="436"/>
      <c r="E23" s="436"/>
      <c r="F23" s="436"/>
      <c r="G23" s="436"/>
      <c r="H23" s="436"/>
      <c r="I23" s="436"/>
      <c r="J23" s="437"/>
    </row>
    <row r="24" spans="1:10" ht="18" customHeight="1">
      <c r="B24" s="445">
        <v>1</v>
      </c>
      <c r="C24" s="445"/>
      <c r="D24" s="446"/>
      <c r="E24" s="446"/>
      <c r="F24" s="457"/>
      <c r="G24" s="448"/>
      <c r="H24" s="458"/>
      <c r="I24" s="449"/>
      <c r="J24" s="450"/>
    </row>
    <row r="25" spans="1:10" ht="18" customHeight="1">
      <c r="B25" s="445">
        <f>B24+1</f>
        <v>2</v>
      </c>
      <c r="C25" s="445"/>
      <c r="D25" s="446"/>
      <c r="E25" s="446"/>
      <c r="F25" s="457"/>
      <c r="G25" s="448"/>
      <c r="H25" s="458"/>
      <c r="I25" s="449"/>
      <c r="J25" s="450"/>
    </row>
    <row r="26" spans="1:10" ht="18" customHeight="1">
      <c r="B26" s="445">
        <f>B25+1</f>
        <v>3</v>
      </c>
      <c r="C26" s="445"/>
      <c r="D26" s="446"/>
      <c r="E26" s="446"/>
      <c r="F26" s="457"/>
      <c r="G26" s="448"/>
      <c r="H26" s="458"/>
      <c r="I26" s="449"/>
      <c r="J26" s="450"/>
    </row>
    <row r="27" spans="1:10" ht="18" customHeight="1">
      <c r="B27" s="445">
        <f t="shared" ref="B27:B32" si="2">1+B26</f>
        <v>4</v>
      </c>
      <c r="C27" s="445"/>
      <c r="D27" s="446"/>
      <c r="E27" s="446"/>
      <c r="F27" s="457"/>
      <c r="G27" s="448"/>
      <c r="H27" s="458"/>
      <c r="I27" s="449"/>
      <c r="J27" s="450"/>
    </row>
    <row r="28" spans="1:10" ht="18" customHeight="1">
      <c r="B28" s="445">
        <f t="shared" si="2"/>
        <v>5</v>
      </c>
      <c r="C28" s="445"/>
      <c r="D28" s="446"/>
      <c r="E28" s="446"/>
      <c r="F28" s="457"/>
      <c r="G28" s="448"/>
      <c r="H28" s="458"/>
      <c r="I28" s="449"/>
      <c r="J28" s="450"/>
    </row>
    <row r="29" spans="1:10" ht="18" customHeight="1">
      <c r="B29" s="445">
        <f t="shared" si="2"/>
        <v>6</v>
      </c>
      <c r="C29" s="445"/>
      <c r="D29" s="446"/>
      <c r="E29" s="446"/>
      <c r="F29" s="457"/>
      <c r="G29" s="448"/>
      <c r="H29" s="458"/>
      <c r="I29" s="449"/>
      <c r="J29" s="450"/>
    </row>
    <row r="30" spans="1:10" ht="18" customHeight="1">
      <c r="B30" s="445">
        <f t="shared" si="2"/>
        <v>7</v>
      </c>
      <c r="C30" s="453"/>
      <c r="D30" s="446"/>
      <c r="E30" s="446"/>
      <c r="F30" s="457"/>
      <c r="G30" s="448"/>
      <c r="H30" s="458"/>
      <c r="I30" s="449"/>
      <c r="J30" s="450"/>
    </row>
    <row r="31" spans="1:10" ht="18" customHeight="1">
      <c r="B31" s="445">
        <f t="shared" si="2"/>
        <v>8</v>
      </c>
      <c r="C31" s="453"/>
      <c r="D31" s="446"/>
      <c r="E31" s="446"/>
      <c r="F31" s="457"/>
      <c r="G31" s="448"/>
      <c r="H31" s="458"/>
      <c r="I31" s="449"/>
      <c r="J31" s="450"/>
    </row>
    <row r="32" spans="1:10" ht="18" customHeight="1">
      <c r="B32" s="445">
        <f t="shared" si="2"/>
        <v>9</v>
      </c>
      <c r="C32" s="453"/>
      <c r="D32" s="446"/>
      <c r="E32" s="446"/>
      <c r="F32" s="457"/>
      <c r="G32" s="448"/>
      <c r="H32" s="458"/>
      <c r="I32" s="449"/>
      <c r="J32" s="450"/>
    </row>
    <row r="33" spans="1:10" ht="18" customHeight="1">
      <c r="B33" s="445">
        <v>10</v>
      </c>
      <c r="C33" s="453"/>
      <c r="D33" s="446"/>
      <c r="E33" s="446"/>
      <c r="F33" s="457"/>
      <c r="G33" s="448"/>
      <c r="H33" s="458"/>
      <c r="I33" s="449"/>
      <c r="J33" s="450"/>
    </row>
    <row r="34" spans="1:10" ht="18" customHeight="1">
      <c r="B34" s="445">
        <v>11</v>
      </c>
      <c r="C34" s="453"/>
      <c r="D34" s="446"/>
      <c r="E34" s="446"/>
      <c r="F34" s="457"/>
      <c r="G34" s="448"/>
      <c r="H34" s="458"/>
      <c r="I34" s="449"/>
      <c r="J34" s="446"/>
    </row>
    <row r="35" spans="1:10" ht="18" customHeight="1">
      <c r="B35" s="535"/>
      <c r="C35" s="536"/>
      <c r="D35" s="536"/>
      <c r="E35" s="536"/>
      <c r="F35" s="536"/>
      <c r="G35" s="536"/>
      <c r="H35" s="536"/>
      <c r="I35" s="536"/>
      <c r="J35" s="537"/>
    </row>
    <row r="36" spans="1:10" ht="21.95" customHeight="1">
      <c r="A36" s="456"/>
      <c r="B36" s="459" t="s">
        <v>2159</v>
      </c>
      <c r="C36" s="460"/>
      <c r="D36" s="460"/>
      <c r="E36" s="460"/>
      <c r="F36" s="460"/>
      <c r="G36" s="460"/>
      <c r="H36" s="460"/>
      <c r="I36" s="460"/>
      <c r="J36" s="461"/>
    </row>
    <row r="37" spans="1:10" ht="18" customHeight="1">
      <c r="B37" s="445">
        <v>1</v>
      </c>
      <c r="C37" s="445"/>
      <c r="D37" s="446"/>
      <c r="E37" s="446"/>
      <c r="F37" s="457"/>
      <c r="G37" s="458"/>
      <c r="H37" s="458"/>
      <c r="I37" s="449"/>
      <c r="J37" s="450"/>
    </row>
    <row r="38" spans="1:10" ht="18" customHeight="1">
      <c r="B38" s="445">
        <f t="shared" ref="B38:B47" si="3">B37+1</f>
        <v>2</v>
      </c>
      <c r="C38" s="445"/>
      <c r="D38" s="446"/>
      <c r="E38" s="446"/>
      <c r="F38" s="457"/>
      <c r="G38" s="458"/>
      <c r="H38" s="458"/>
      <c r="I38" s="449"/>
      <c r="J38" s="450"/>
    </row>
    <row r="39" spans="1:10" ht="18" customHeight="1">
      <c r="B39" s="445">
        <f t="shared" si="3"/>
        <v>3</v>
      </c>
      <c r="C39" s="445"/>
      <c r="D39" s="446"/>
      <c r="E39" s="446"/>
      <c r="F39" s="457"/>
      <c r="G39" s="458"/>
      <c r="H39" s="458"/>
      <c r="I39" s="449"/>
      <c r="J39" s="450"/>
    </row>
    <row r="40" spans="1:10" ht="18" customHeight="1">
      <c r="B40" s="445">
        <f t="shared" si="3"/>
        <v>4</v>
      </c>
      <c r="C40" s="453"/>
      <c r="D40" s="446"/>
      <c r="E40" s="454"/>
      <c r="F40" s="457"/>
      <c r="G40" s="458"/>
      <c r="H40" s="458"/>
      <c r="I40" s="449"/>
      <c r="J40" s="450"/>
    </row>
    <row r="41" spans="1:10" ht="18" customHeight="1">
      <c r="B41" s="445">
        <v>5</v>
      </c>
      <c r="C41" s="453"/>
      <c r="D41" s="446"/>
      <c r="E41" s="454"/>
      <c r="F41" s="457"/>
      <c r="G41" s="458"/>
      <c r="H41" s="458"/>
      <c r="I41" s="449"/>
      <c r="J41" s="450"/>
    </row>
    <row r="42" spans="1:10" ht="18" customHeight="1">
      <c r="B42" s="445">
        <f t="shared" si="3"/>
        <v>6</v>
      </c>
      <c r="C42" s="453"/>
      <c r="D42" s="446"/>
      <c r="E42" s="454"/>
      <c r="F42" s="445"/>
      <c r="G42" s="462"/>
      <c r="H42" s="462"/>
      <c r="I42" s="449"/>
      <c r="J42" s="450"/>
    </row>
    <row r="43" spans="1:10" ht="18" customHeight="1">
      <c r="B43" s="445">
        <f t="shared" si="3"/>
        <v>7</v>
      </c>
      <c r="C43" s="453"/>
      <c r="D43" s="446"/>
      <c r="E43" s="454"/>
      <c r="F43" s="457"/>
      <c r="G43" s="458"/>
      <c r="H43" s="458"/>
      <c r="I43" s="449"/>
      <c r="J43" s="450"/>
    </row>
    <row r="44" spans="1:10" ht="18" customHeight="1">
      <c r="B44" s="445">
        <f t="shared" si="3"/>
        <v>8</v>
      </c>
      <c r="C44" s="453"/>
      <c r="D44" s="446"/>
      <c r="E44" s="446"/>
      <c r="F44" s="457"/>
      <c r="G44" s="458"/>
      <c r="H44" s="458"/>
      <c r="I44" s="449"/>
      <c r="J44" s="450"/>
    </row>
    <row r="45" spans="1:10" ht="18" customHeight="1">
      <c r="B45" s="445">
        <f t="shared" si="3"/>
        <v>9</v>
      </c>
      <c r="C45" s="453"/>
      <c r="D45" s="446"/>
      <c r="E45" s="446"/>
      <c r="F45" s="457"/>
      <c r="G45" s="458"/>
      <c r="H45" s="458"/>
      <c r="I45" s="449"/>
      <c r="J45" s="450"/>
    </row>
    <row r="46" spans="1:10" ht="18" customHeight="1">
      <c r="B46" s="445">
        <f t="shared" si="3"/>
        <v>10</v>
      </c>
      <c r="C46" s="453"/>
      <c r="D46" s="446"/>
      <c r="E46" s="446"/>
      <c r="F46" s="457"/>
      <c r="G46" s="458"/>
      <c r="H46" s="458"/>
      <c r="I46" s="449"/>
      <c r="J46" s="450"/>
    </row>
    <row r="47" spans="1:10" ht="18" customHeight="1">
      <c r="B47" s="445">
        <f t="shared" si="3"/>
        <v>11</v>
      </c>
      <c r="C47" s="453"/>
      <c r="D47" s="446"/>
      <c r="E47" s="446"/>
      <c r="F47" s="457"/>
      <c r="G47" s="458"/>
      <c r="H47" s="458"/>
      <c r="I47" s="449"/>
      <c r="J47" s="450"/>
    </row>
    <row r="48" spans="1:10" ht="18" customHeight="1">
      <c r="B48" s="445">
        <v>12</v>
      </c>
      <c r="C48" s="453"/>
      <c r="D48" s="446"/>
      <c r="E48" s="446"/>
      <c r="F48" s="457"/>
      <c r="G48" s="458"/>
      <c r="H48" s="458"/>
      <c r="I48" s="449"/>
      <c r="J48" s="450"/>
    </row>
    <row r="49" spans="1:11" ht="18" customHeight="1">
      <c r="B49" s="445">
        <v>13</v>
      </c>
      <c r="C49" s="453"/>
      <c r="D49" s="446"/>
      <c r="E49" s="446"/>
      <c r="F49" s="457"/>
      <c r="G49" s="458"/>
      <c r="H49" s="458"/>
      <c r="I49" s="449"/>
      <c r="J49" s="450"/>
    </row>
    <row r="50" spans="1:11" ht="18" customHeight="1">
      <c r="B50" s="445">
        <v>14</v>
      </c>
      <c r="C50" s="453"/>
      <c r="D50" s="446"/>
      <c r="E50" s="446"/>
      <c r="F50" s="457"/>
      <c r="G50" s="458"/>
      <c r="H50" s="458"/>
      <c r="I50" s="449"/>
      <c r="J50" s="450"/>
    </row>
    <row r="51" spans="1:11" ht="18" customHeight="1">
      <c r="B51" s="445">
        <v>15</v>
      </c>
      <c r="C51" s="453"/>
      <c r="D51" s="446"/>
      <c r="E51" s="446"/>
      <c r="F51" s="457"/>
      <c r="G51" s="458"/>
      <c r="H51" s="458"/>
      <c r="I51" s="449"/>
      <c r="J51" s="450"/>
    </row>
    <row r="52" spans="1:11" ht="18" customHeight="1">
      <c r="B52" s="445">
        <v>16</v>
      </c>
      <c r="C52" s="446"/>
      <c r="D52" s="446"/>
      <c r="E52" s="446"/>
      <c r="F52" s="457"/>
      <c r="G52" s="458"/>
      <c r="H52" s="458"/>
      <c r="I52" s="449"/>
      <c r="J52" s="446"/>
    </row>
    <row r="53" spans="1:11" ht="18" customHeight="1">
      <c r="B53" s="535"/>
      <c r="C53" s="536"/>
      <c r="D53" s="536"/>
      <c r="E53" s="536"/>
      <c r="F53" s="536"/>
      <c r="G53" s="536"/>
      <c r="H53" s="536"/>
      <c r="I53" s="536"/>
      <c r="J53" s="537"/>
    </row>
    <row r="54" spans="1:11" ht="21.95" customHeight="1" thickBot="1">
      <c r="A54" s="456"/>
      <c r="B54" s="435" t="s">
        <v>2160</v>
      </c>
      <c r="C54" s="436"/>
      <c r="D54" s="436"/>
      <c r="E54" s="436"/>
      <c r="F54" s="436"/>
      <c r="G54" s="436"/>
      <c r="H54" s="436"/>
      <c r="I54" s="436"/>
      <c r="J54" s="437"/>
    </row>
    <row r="55" spans="1:11" ht="18" customHeight="1" thickTop="1">
      <c r="B55" s="463" t="s">
        <v>1213</v>
      </c>
      <c r="C55" s="464"/>
      <c r="D55" s="465" t="s">
        <v>2161</v>
      </c>
      <c r="E55" s="466"/>
      <c r="F55" s="463"/>
      <c r="G55" s="463"/>
      <c r="H55" s="463"/>
      <c r="I55" s="463"/>
      <c r="J55" s="463"/>
    </row>
    <row r="56" spans="1:11" ht="18" customHeight="1">
      <c r="B56" s="445">
        <v>1</v>
      </c>
      <c r="C56" s="445"/>
      <c r="D56" s="467" t="s">
        <v>2162</v>
      </c>
      <c r="E56" s="446"/>
      <c r="F56" s="457" t="s">
        <v>42</v>
      </c>
      <c r="G56" s="458">
        <f>'[2]Analisis Pekerjaan SNI'!H424</f>
        <v>798900</v>
      </c>
      <c r="H56" s="458">
        <f>'[2]Analisis Pekerjaan SNI'!H428</f>
        <v>269000</v>
      </c>
      <c r="I56" s="449">
        <f t="shared" ref="I56:I60" si="4">SUM(G56:H56)</f>
        <v>1067900</v>
      </c>
      <c r="J56" s="446"/>
      <c r="K56" s="468"/>
    </row>
    <row r="57" spans="1:11" ht="18" customHeight="1">
      <c r="B57" s="445">
        <f>B56+1</f>
        <v>2</v>
      </c>
      <c r="C57" s="445"/>
      <c r="D57" s="467" t="s">
        <v>2163</v>
      </c>
      <c r="E57" s="446"/>
      <c r="F57" s="457" t="s">
        <v>42</v>
      </c>
      <c r="G57" s="458">
        <f>'[2]Analisis Pekerjaan SNI'!H434</f>
        <v>789800</v>
      </c>
      <c r="H57" s="458">
        <f>'[2]Analisis Pekerjaan SNI'!H438</f>
        <v>269000</v>
      </c>
      <c r="I57" s="449">
        <f t="shared" si="4"/>
        <v>1058800</v>
      </c>
      <c r="J57" s="469"/>
      <c r="K57" s="470"/>
    </row>
    <row r="58" spans="1:11" ht="18" customHeight="1">
      <c r="B58" s="445">
        <f t="shared" ref="B58:B101" si="5">B57+1</f>
        <v>3</v>
      </c>
      <c r="C58" s="471"/>
      <c r="D58" s="467" t="s">
        <v>2164</v>
      </c>
      <c r="E58" s="446"/>
      <c r="F58" s="457" t="s">
        <v>42</v>
      </c>
      <c r="G58" s="458">
        <f>'[2]Analisis Pekerjaan SNI'!H444</f>
        <v>972300</v>
      </c>
      <c r="H58" s="458">
        <f>'[2]Analisis Pekerjaan SNI'!H448</f>
        <v>269000</v>
      </c>
      <c r="I58" s="449">
        <f t="shared" si="4"/>
        <v>1241300</v>
      </c>
      <c r="J58" s="469"/>
      <c r="K58" s="470"/>
    </row>
    <row r="59" spans="1:11" ht="18" customHeight="1">
      <c r="B59" s="445">
        <f t="shared" si="5"/>
        <v>4</v>
      </c>
      <c r="C59" s="453"/>
      <c r="D59" s="467" t="s">
        <v>2165</v>
      </c>
      <c r="E59" s="446"/>
      <c r="F59" s="457" t="s">
        <v>42</v>
      </c>
      <c r="G59" s="458">
        <f>'[2]Analisis Pekerjaan SNI'!H454</f>
        <v>1030300</v>
      </c>
      <c r="H59" s="458">
        <f>'[2]Analisis Pekerjaan SNI'!H458</f>
        <v>269000</v>
      </c>
      <c r="I59" s="449">
        <f t="shared" si="4"/>
        <v>1299300</v>
      </c>
      <c r="J59" s="469"/>
      <c r="K59" s="470"/>
    </row>
    <row r="60" spans="1:11" ht="18" customHeight="1">
      <c r="B60" s="445">
        <f t="shared" si="5"/>
        <v>5</v>
      </c>
      <c r="C60" s="453"/>
      <c r="D60" s="467" t="s">
        <v>2166</v>
      </c>
      <c r="E60" s="446"/>
      <c r="F60" s="457" t="s">
        <v>42</v>
      </c>
      <c r="G60" s="458">
        <f>'[2]Analisis Pekerjaan SNI'!H464</f>
        <v>1039000</v>
      </c>
      <c r="H60" s="458">
        <f>'[2]Analisis Pekerjaan SNI'!H468</f>
        <v>278200</v>
      </c>
      <c r="I60" s="449">
        <f t="shared" si="4"/>
        <v>1317200</v>
      </c>
      <c r="J60" s="469"/>
      <c r="K60" s="470"/>
    </row>
    <row r="61" spans="1:11" ht="18" customHeight="1">
      <c r="B61" s="535"/>
      <c r="C61" s="536"/>
      <c r="D61" s="536"/>
      <c r="E61" s="536"/>
      <c r="F61" s="536"/>
      <c r="G61" s="536"/>
      <c r="H61" s="536"/>
      <c r="I61" s="536"/>
      <c r="J61" s="536"/>
      <c r="K61" s="470"/>
    </row>
    <row r="62" spans="1:11" ht="18" customHeight="1">
      <c r="B62" s="472" t="s">
        <v>1221</v>
      </c>
      <c r="C62" s="472"/>
      <c r="D62" s="473" t="s">
        <v>2167</v>
      </c>
      <c r="E62" s="446"/>
      <c r="F62" s="457"/>
      <c r="G62" s="457"/>
      <c r="H62" s="457"/>
      <c r="I62" s="449"/>
      <c r="J62" s="469"/>
      <c r="K62" s="470"/>
    </row>
    <row r="63" spans="1:11" ht="18" customHeight="1">
      <c r="B63" s="445">
        <v>1</v>
      </c>
      <c r="C63" s="453"/>
      <c r="D63" s="467" t="s">
        <v>2168</v>
      </c>
      <c r="E63" s="446"/>
      <c r="F63" s="457" t="s">
        <v>1978</v>
      </c>
      <c r="G63" s="458">
        <v>220000</v>
      </c>
      <c r="H63" s="458">
        <f>G63*20/100</f>
        <v>44000</v>
      </c>
      <c r="I63" s="449">
        <f t="shared" ref="I63:I73" si="6">SUM(G63:H63)</f>
        <v>264000</v>
      </c>
      <c r="J63" s="469"/>
      <c r="K63" s="470"/>
    </row>
    <row r="64" spans="1:11" ht="18" customHeight="1">
      <c r="B64" s="445">
        <f t="shared" ref="B64:B73" si="7">B63+1</f>
        <v>2</v>
      </c>
      <c r="C64" s="453"/>
      <c r="D64" s="467" t="s">
        <v>2169</v>
      </c>
      <c r="E64" s="446"/>
      <c r="F64" s="457" t="s">
        <v>1978</v>
      </c>
      <c r="G64" s="458">
        <v>145000</v>
      </c>
      <c r="H64" s="458">
        <f t="shared" ref="H64:H71" si="8">G64*20/100</f>
        <v>29000</v>
      </c>
      <c r="I64" s="449">
        <f t="shared" si="6"/>
        <v>174000</v>
      </c>
      <c r="J64" s="469"/>
      <c r="K64" s="470"/>
    </row>
    <row r="65" spans="2:11" ht="18" customHeight="1">
      <c r="B65" s="445">
        <f t="shared" si="7"/>
        <v>3</v>
      </c>
      <c r="C65" s="453"/>
      <c r="D65" s="467" t="s">
        <v>2170</v>
      </c>
      <c r="E65" s="446"/>
      <c r="F65" s="457" t="s">
        <v>1978</v>
      </c>
      <c r="G65" s="458">
        <v>85000</v>
      </c>
      <c r="H65" s="458">
        <f t="shared" si="8"/>
        <v>17000</v>
      </c>
      <c r="I65" s="449">
        <f t="shared" si="6"/>
        <v>102000</v>
      </c>
      <c r="J65" s="469"/>
      <c r="K65" s="470"/>
    </row>
    <row r="66" spans="2:11" ht="18" customHeight="1">
      <c r="B66" s="445">
        <f t="shared" si="7"/>
        <v>4</v>
      </c>
      <c r="C66" s="453"/>
      <c r="D66" s="467" t="s">
        <v>2171</v>
      </c>
      <c r="E66" s="446"/>
      <c r="F66" s="457" t="s">
        <v>1978</v>
      </c>
      <c r="G66" s="458">
        <v>75000</v>
      </c>
      <c r="H66" s="458">
        <f t="shared" si="8"/>
        <v>15000</v>
      </c>
      <c r="I66" s="449">
        <f t="shared" si="6"/>
        <v>90000</v>
      </c>
      <c r="J66" s="469"/>
      <c r="K66" s="470"/>
    </row>
    <row r="67" spans="2:11" ht="18" customHeight="1">
      <c r="B67" s="445">
        <f t="shared" si="7"/>
        <v>5</v>
      </c>
      <c r="C67" s="453"/>
      <c r="D67" s="467" t="s">
        <v>2172</v>
      </c>
      <c r="E67" s="446"/>
      <c r="F67" s="457" t="s">
        <v>1978</v>
      </c>
      <c r="G67" s="458">
        <v>50000</v>
      </c>
      <c r="H67" s="458">
        <f t="shared" si="8"/>
        <v>10000</v>
      </c>
      <c r="I67" s="449">
        <f t="shared" si="6"/>
        <v>60000</v>
      </c>
      <c r="J67" s="469"/>
      <c r="K67" s="470"/>
    </row>
    <row r="68" spans="2:11" ht="18" customHeight="1">
      <c r="B68" s="445">
        <f t="shared" si="7"/>
        <v>6</v>
      </c>
      <c r="C68" s="453"/>
      <c r="D68" s="467" t="s">
        <v>2173</v>
      </c>
      <c r="E68" s="446"/>
      <c r="F68" s="457" t="s">
        <v>66</v>
      </c>
      <c r="G68" s="458">
        <v>35000</v>
      </c>
      <c r="H68" s="458">
        <f t="shared" si="8"/>
        <v>7000</v>
      </c>
      <c r="I68" s="449">
        <f t="shared" si="6"/>
        <v>42000</v>
      </c>
      <c r="J68" s="469"/>
      <c r="K68" s="470"/>
    </row>
    <row r="69" spans="2:11" ht="18" customHeight="1">
      <c r="B69" s="445">
        <f t="shared" si="7"/>
        <v>7</v>
      </c>
      <c r="C69" s="453"/>
      <c r="D69" s="467" t="s">
        <v>2174</v>
      </c>
      <c r="E69" s="446"/>
      <c r="F69" s="457" t="s">
        <v>63</v>
      </c>
      <c r="G69" s="448">
        <v>150000</v>
      </c>
      <c r="H69" s="448">
        <f t="shared" si="8"/>
        <v>30000</v>
      </c>
      <c r="I69" s="449">
        <f t="shared" si="6"/>
        <v>180000</v>
      </c>
      <c r="J69" s="469"/>
      <c r="K69" s="470"/>
    </row>
    <row r="70" spans="2:11" ht="18" customHeight="1">
      <c r="B70" s="445">
        <f t="shared" si="7"/>
        <v>8</v>
      </c>
      <c r="C70" s="453"/>
      <c r="D70" s="474" t="s">
        <v>2175</v>
      </c>
      <c r="E70" s="446"/>
      <c r="F70" s="457" t="s">
        <v>63</v>
      </c>
      <c r="G70" s="448">
        <v>40500</v>
      </c>
      <c r="H70" s="448">
        <f t="shared" si="8"/>
        <v>8100</v>
      </c>
      <c r="I70" s="449">
        <f t="shared" si="6"/>
        <v>48600</v>
      </c>
      <c r="J70" s="469"/>
      <c r="K70" s="470"/>
    </row>
    <row r="71" spans="2:11" ht="18" customHeight="1">
      <c r="B71" s="445">
        <f t="shared" si="7"/>
        <v>9</v>
      </c>
      <c r="C71" s="475"/>
      <c r="D71" s="476" t="s">
        <v>2176</v>
      </c>
      <c r="E71" s="477"/>
      <c r="F71" s="457" t="s">
        <v>63</v>
      </c>
      <c r="G71" s="448">
        <v>65000</v>
      </c>
      <c r="H71" s="448">
        <f t="shared" si="8"/>
        <v>13000</v>
      </c>
      <c r="I71" s="449">
        <f t="shared" si="6"/>
        <v>78000</v>
      </c>
      <c r="J71" s="469"/>
      <c r="K71" s="470"/>
    </row>
    <row r="72" spans="2:11" ht="18" customHeight="1">
      <c r="B72" s="445">
        <f t="shared" si="7"/>
        <v>10</v>
      </c>
      <c r="C72" s="453"/>
      <c r="D72" s="467" t="s">
        <v>2177</v>
      </c>
      <c r="E72" s="446"/>
      <c r="F72" s="457" t="s">
        <v>66</v>
      </c>
      <c r="G72" s="458">
        <f>'[2]Analisis Pekerjaan SNI'!H474</f>
        <v>11360</v>
      </c>
      <c r="H72" s="458">
        <f>'[2]Analisis Pekerjaan SNI'!H478</f>
        <v>2500</v>
      </c>
      <c r="I72" s="449">
        <f t="shared" si="6"/>
        <v>13860</v>
      </c>
      <c r="J72" s="469"/>
      <c r="K72" s="470"/>
    </row>
    <row r="73" spans="2:11" ht="18" customHeight="1">
      <c r="B73" s="445">
        <f t="shared" si="7"/>
        <v>11</v>
      </c>
      <c r="C73" s="453"/>
      <c r="D73" s="467" t="s">
        <v>2178</v>
      </c>
      <c r="E73" s="446"/>
      <c r="F73" s="457" t="s">
        <v>66</v>
      </c>
      <c r="G73" s="458">
        <f>'[2]Analisis Pekerjaan SNI'!H483</f>
        <v>12010</v>
      </c>
      <c r="H73" s="458">
        <f>'[2]Analisis Pekerjaan SNI'!H487</f>
        <v>3900</v>
      </c>
      <c r="I73" s="449">
        <f t="shared" si="6"/>
        <v>15910</v>
      </c>
      <c r="J73" s="469"/>
      <c r="K73" s="470"/>
    </row>
    <row r="74" spans="2:11" ht="18" customHeight="1">
      <c r="B74" s="535"/>
      <c r="C74" s="536"/>
      <c r="D74" s="536"/>
      <c r="E74" s="536"/>
      <c r="F74" s="536"/>
      <c r="G74" s="536"/>
      <c r="H74" s="536"/>
      <c r="I74" s="536"/>
      <c r="J74" s="536"/>
      <c r="K74" s="470"/>
    </row>
    <row r="75" spans="2:11" ht="18" customHeight="1">
      <c r="B75" s="472" t="s">
        <v>1227</v>
      </c>
      <c r="C75" s="472"/>
      <c r="D75" s="473" t="s">
        <v>2179</v>
      </c>
      <c r="E75" s="446"/>
      <c r="F75" s="457"/>
      <c r="G75" s="457"/>
      <c r="H75" s="457"/>
      <c r="I75" s="449"/>
      <c r="J75" s="469"/>
      <c r="K75" s="470"/>
    </row>
    <row r="76" spans="2:11" ht="18" customHeight="1">
      <c r="B76" s="457" t="s">
        <v>1215</v>
      </c>
      <c r="C76" s="453"/>
      <c r="D76" s="467" t="s">
        <v>2180</v>
      </c>
      <c r="E76" s="446"/>
      <c r="F76" s="457" t="s">
        <v>63</v>
      </c>
      <c r="G76" s="458">
        <f>'[2]Analisis Pekerjaan SNI'!H494</f>
        <v>76980</v>
      </c>
      <c r="H76" s="458">
        <f>'[2]Analisis Pekerjaan SNI'!H498</f>
        <v>69400</v>
      </c>
      <c r="I76" s="449">
        <f t="shared" ref="I76:I80" si="9">SUM(G76:H76)</f>
        <v>146380</v>
      </c>
      <c r="J76" s="469"/>
      <c r="K76" s="470"/>
    </row>
    <row r="77" spans="2:11" ht="18" customHeight="1">
      <c r="B77" s="445">
        <f t="shared" si="5"/>
        <v>2</v>
      </c>
      <c r="C77" s="453"/>
      <c r="D77" s="467" t="s">
        <v>2181</v>
      </c>
      <c r="E77" s="446"/>
      <c r="F77" s="457" t="s">
        <v>63</v>
      </c>
      <c r="G77" s="458">
        <f>'[2]Analisis Pekerjaan SNI'!H503</f>
        <v>70800</v>
      </c>
      <c r="H77" s="458">
        <f>'[2]Analisis Pekerjaan SNI'!H507</f>
        <v>79200</v>
      </c>
      <c r="I77" s="449">
        <f t="shared" si="9"/>
        <v>150000</v>
      </c>
      <c r="J77" s="469"/>
      <c r="K77" s="470"/>
    </row>
    <row r="78" spans="2:11" ht="18" customHeight="1">
      <c r="B78" s="445">
        <f t="shared" si="5"/>
        <v>3</v>
      </c>
      <c r="C78" s="453"/>
      <c r="D78" s="467" t="s">
        <v>2182</v>
      </c>
      <c r="E78" s="446"/>
      <c r="F78" s="457" t="s">
        <v>63</v>
      </c>
      <c r="G78" s="458">
        <f>'[2]Analisis Pekerjaan SNI'!H515</f>
        <v>145820</v>
      </c>
      <c r="H78" s="458">
        <f>'[2]Analisis Pekerjaan SNI'!H519</f>
        <v>81400</v>
      </c>
      <c r="I78" s="449">
        <f t="shared" si="9"/>
        <v>227220</v>
      </c>
      <c r="J78" s="469"/>
      <c r="K78" s="470"/>
    </row>
    <row r="79" spans="2:11" ht="18" customHeight="1">
      <c r="B79" s="445">
        <f t="shared" si="5"/>
        <v>4</v>
      </c>
      <c r="C79" s="453"/>
      <c r="D79" s="467" t="s">
        <v>2183</v>
      </c>
      <c r="E79" s="446"/>
      <c r="F79" s="457" t="s">
        <v>63</v>
      </c>
      <c r="G79" s="458">
        <f>'[2]Analisis Pekerjaan SNI'!H527</f>
        <v>175820</v>
      </c>
      <c r="H79" s="458">
        <f>'[2]Analisis Pekerjaan SNI'!H531</f>
        <v>81400</v>
      </c>
      <c r="I79" s="449">
        <f t="shared" si="9"/>
        <v>257220</v>
      </c>
      <c r="J79" s="469"/>
      <c r="K79" s="470"/>
    </row>
    <row r="80" spans="2:11" ht="18" customHeight="1">
      <c r="B80" s="445">
        <f t="shared" si="5"/>
        <v>5</v>
      </c>
      <c r="C80" s="453"/>
      <c r="D80" s="467" t="s">
        <v>2184</v>
      </c>
      <c r="E80" s="446"/>
      <c r="F80" s="457" t="s">
        <v>63</v>
      </c>
      <c r="G80" s="458">
        <f>'[2]Analisis Pekerjaan SNI'!H539</f>
        <v>115130</v>
      </c>
      <c r="H80" s="458">
        <f>'[2]Analisis Pekerjaan SNI'!H543</f>
        <v>81400</v>
      </c>
      <c r="I80" s="449">
        <f t="shared" si="9"/>
        <v>196530</v>
      </c>
      <c r="J80" s="469"/>
      <c r="K80" s="470"/>
    </row>
    <row r="81" spans="2:11" ht="18" customHeight="1">
      <c r="B81" s="535"/>
      <c r="C81" s="536"/>
      <c r="D81" s="536"/>
      <c r="E81" s="536"/>
      <c r="F81" s="536"/>
      <c r="G81" s="536"/>
      <c r="H81" s="536"/>
      <c r="I81" s="536"/>
      <c r="J81" s="536"/>
      <c r="K81" s="470"/>
    </row>
    <row r="82" spans="2:11" ht="18" customHeight="1">
      <c r="B82" s="472" t="s">
        <v>1230</v>
      </c>
      <c r="C82" s="472"/>
      <c r="D82" s="473" t="s">
        <v>2185</v>
      </c>
      <c r="E82" s="446"/>
      <c r="F82" s="457"/>
      <c r="G82" s="457"/>
      <c r="H82" s="457"/>
      <c r="I82" s="449"/>
      <c r="J82" s="469"/>
      <c r="K82" s="470"/>
    </row>
    <row r="83" spans="2:11" ht="18" customHeight="1">
      <c r="B83" s="457" t="s">
        <v>1215</v>
      </c>
      <c r="C83" s="453"/>
      <c r="D83" s="467" t="s">
        <v>2186</v>
      </c>
      <c r="E83" s="446"/>
      <c r="F83" s="457" t="s">
        <v>42</v>
      </c>
      <c r="G83" s="458">
        <f>'[2]Analisis Pekerjaan SNI'!H555</f>
        <v>3670880</v>
      </c>
      <c r="H83" s="458">
        <f>'[2]Analisis Pekerjaan SNI'!H561</f>
        <v>958400</v>
      </c>
      <c r="I83" s="449">
        <f t="shared" ref="I83:I102" si="10">SUM(G83:H83)</f>
        <v>4629280</v>
      </c>
      <c r="J83" s="469"/>
      <c r="K83" s="470"/>
    </row>
    <row r="84" spans="2:11" ht="18" customHeight="1">
      <c r="B84" s="445">
        <f>B83+1</f>
        <v>2</v>
      </c>
      <c r="C84" s="453"/>
      <c r="D84" s="467" t="s">
        <v>2187</v>
      </c>
      <c r="E84" s="446"/>
      <c r="F84" s="457" t="s">
        <v>42</v>
      </c>
      <c r="G84" s="458">
        <f>'[2]Analisis Pekerjaan SNI'!H574</f>
        <v>3724070</v>
      </c>
      <c r="H84" s="458">
        <f>'[2]Analisis Pekerjaan SNI'!H580</f>
        <v>1608000</v>
      </c>
      <c r="I84" s="449">
        <f t="shared" si="10"/>
        <v>5332070</v>
      </c>
      <c r="J84" s="469"/>
      <c r="K84" s="470"/>
    </row>
    <row r="85" spans="2:11" ht="18" customHeight="1">
      <c r="B85" s="445">
        <f t="shared" si="5"/>
        <v>3</v>
      </c>
      <c r="C85" s="453"/>
      <c r="D85" s="467" t="s">
        <v>2188</v>
      </c>
      <c r="E85" s="446"/>
      <c r="F85" s="457" t="s">
        <v>42</v>
      </c>
      <c r="G85" s="458">
        <f>'[2]Analisis Pekerjaan SNI'!H593</f>
        <v>3982820</v>
      </c>
      <c r="H85" s="458">
        <f>'[2]Analisis Pekerjaan SNI'!H599</f>
        <v>1608000</v>
      </c>
      <c r="I85" s="449">
        <f t="shared" si="10"/>
        <v>5590820</v>
      </c>
      <c r="J85" s="469"/>
      <c r="K85" s="470"/>
    </row>
    <row r="86" spans="2:11" ht="18" customHeight="1">
      <c r="B86" s="445">
        <f t="shared" si="5"/>
        <v>4</v>
      </c>
      <c r="C86" s="453"/>
      <c r="D86" s="467" t="s">
        <v>2189</v>
      </c>
      <c r="E86" s="446"/>
      <c r="F86" s="457" t="s">
        <v>42</v>
      </c>
      <c r="G86" s="458">
        <f>'[2]Analisis Pekerjaan SNI'!H612</f>
        <v>4086320</v>
      </c>
      <c r="H86" s="458">
        <f>'[2]Analisis Pekerjaan SNI'!H618</f>
        <v>1608000</v>
      </c>
      <c r="I86" s="449">
        <f t="shared" si="10"/>
        <v>5694320</v>
      </c>
      <c r="J86" s="469"/>
      <c r="K86" s="470"/>
    </row>
    <row r="87" spans="2:11" ht="18" customHeight="1">
      <c r="B87" s="445">
        <f t="shared" si="5"/>
        <v>5</v>
      </c>
      <c r="C87" s="453"/>
      <c r="D87" s="467" t="s">
        <v>2190</v>
      </c>
      <c r="E87" s="446"/>
      <c r="F87" s="457" t="s">
        <v>42</v>
      </c>
      <c r="G87" s="458">
        <f>'[2]Analisis Pekerjaan SNI'!H631</f>
        <v>4241570</v>
      </c>
      <c r="H87" s="458">
        <f>'[2]Analisis Pekerjaan SNI'!H637</f>
        <v>1608000</v>
      </c>
      <c r="I87" s="449">
        <f t="shared" si="10"/>
        <v>5849570</v>
      </c>
      <c r="J87" s="469"/>
      <c r="K87" s="470"/>
    </row>
    <row r="88" spans="2:11" ht="18" customHeight="1">
      <c r="B88" s="445">
        <f t="shared" si="5"/>
        <v>6</v>
      </c>
      <c r="C88" s="453"/>
      <c r="D88" s="467" t="s">
        <v>2191</v>
      </c>
      <c r="E88" s="446"/>
      <c r="F88" s="457" t="s">
        <v>42</v>
      </c>
      <c r="G88" s="458">
        <f>'[2]Analisis Pekerjaan SNI'!H650</f>
        <v>4500320</v>
      </c>
      <c r="H88" s="458">
        <f>'[2]Analisis Pekerjaan SNI'!H656</f>
        <v>1608000</v>
      </c>
      <c r="I88" s="449">
        <f t="shared" si="10"/>
        <v>6108320</v>
      </c>
      <c r="J88" s="469"/>
      <c r="K88" s="470"/>
    </row>
    <row r="89" spans="2:11" ht="18" customHeight="1">
      <c r="B89" s="445">
        <f t="shared" si="5"/>
        <v>7</v>
      </c>
      <c r="C89" s="453"/>
      <c r="D89" s="467" t="s">
        <v>2192</v>
      </c>
      <c r="E89" s="446"/>
      <c r="F89" s="457" t="s">
        <v>42</v>
      </c>
      <c r="G89" s="458">
        <f>'[2]Analisis Pekerjaan SNI'!H669</f>
        <v>5017820</v>
      </c>
      <c r="H89" s="458">
        <f>'[2]Analisis Pekerjaan SNI'!H675</f>
        <v>1608000</v>
      </c>
      <c r="I89" s="449">
        <f t="shared" si="10"/>
        <v>6625820</v>
      </c>
      <c r="J89" s="469"/>
      <c r="K89" s="470"/>
    </row>
    <row r="90" spans="2:11" ht="18" customHeight="1">
      <c r="B90" s="445">
        <f t="shared" si="5"/>
        <v>8</v>
      </c>
      <c r="C90" s="453"/>
      <c r="D90" s="467" t="s">
        <v>2193</v>
      </c>
      <c r="E90" s="446"/>
      <c r="F90" s="457" t="s">
        <v>42</v>
      </c>
      <c r="G90" s="458">
        <f>'[2]Analisis Pekerjaan SNI'!H688</f>
        <v>5535320</v>
      </c>
      <c r="H90" s="458">
        <f>'[2]Analisis Pekerjaan SNI'!H694</f>
        <v>1608000</v>
      </c>
      <c r="I90" s="449">
        <f t="shared" si="10"/>
        <v>7143320</v>
      </c>
      <c r="J90" s="469"/>
      <c r="K90" s="470"/>
    </row>
    <row r="91" spans="2:11" ht="18" customHeight="1">
      <c r="B91" s="445">
        <f t="shared" si="5"/>
        <v>9</v>
      </c>
      <c r="C91" s="453"/>
      <c r="D91" s="467" t="s">
        <v>2194</v>
      </c>
      <c r="E91" s="446"/>
      <c r="F91" s="457" t="s">
        <v>42</v>
      </c>
      <c r="G91" s="458">
        <f>'[2]Analisis Pekerjaan SNI'!H708</f>
        <v>4331580</v>
      </c>
      <c r="H91" s="458">
        <f>'[2]Analisis Pekerjaan SNI'!H714</f>
        <v>1226000</v>
      </c>
      <c r="I91" s="449">
        <f t="shared" si="10"/>
        <v>5557580</v>
      </c>
      <c r="J91" s="469"/>
      <c r="K91" s="470"/>
    </row>
    <row r="92" spans="2:11" ht="18" customHeight="1">
      <c r="B92" s="445">
        <f t="shared" si="5"/>
        <v>10</v>
      </c>
      <c r="C92" s="453"/>
      <c r="D92" s="467" t="s">
        <v>2195</v>
      </c>
      <c r="E92" s="446"/>
      <c r="F92" s="457" t="s">
        <v>42</v>
      </c>
      <c r="G92" s="458">
        <f>'[2]Analisis Pekerjaan SNI'!H728</f>
        <v>4590330</v>
      </c>
      <c r="H92" s="458">
        <f>'[2]Analisis Pekerjaan SNI'!H734</f>
        <v>1226000</v>
      </c>
      <c r="I92" s="449">
        <f t="shared" si="10"/>
        <v>5816330</v>
      </c>
      <c r="J92" s="469"/>
      <c r="K92" s="470"/>
    </row>
    <row r="93" spans="2:11" ht="18" customHeight="1">
      <c r="B93" s="445">
        <f t="shared" si="5"/>
        <v>11</v>
      </c>
      <c r="C93" s="453"/>
      <c r="D93" s="467" t="s">
        <v>2196</v>
      </c>
      <c r="E93" s="446"/>
      <c r="F93" s="457" t="s">
        <v>42</v>
      </c>
      <c r="G93" s="458">
        <f>'[2]Analisis Pekerjaan SNI'!H748</f>
        <v>4626380</v>
      </c>
      <c r="H93" s="458">
        <f>'[2]Analisis Pekerjaan SNI'!H754</f>
        <v>1292600</v>
      </c>
      <c r="I93" s="449">
        <f t="shared" si="10"/>
        <v>5918980</v>
      </c>
      <c r="J93" s="469"/>
      <c r="K93" s="470"/>
    </row>
    <row r="94" spans="2:11" ht="18" customHeight="1">
      <c r="B94" s="445">
        <f t="shared" si="5"/>
        <v>12</v>
      </c>
      <c r="C94" s="453"/>
      <c r="D94" s="467" t="s">
        <v>2197</v>
      </c>
      <c r="E94" s="446"/>
      <c r="F94" s="457" t="s">
        <v>42</v>
      </c>
      <c r="G94" s="458">
        <f>'[2]Analisis Pekerjaan SNI'!H768</f>
        <v>4910130</v>
      </c>
      <c r="H94" s="458">
        <f>'[2]Analisis Pekerjaan SNI'!H774</f>
        <v>1292600</v>
      </c>
      <c r="I94" s="449">
        <f t="shared" si="10"/>
        <v>6202730</v>
      </c>
      <c r="J94" s="469"/>
      <c r="K94" s="470"/>
    </row>
    <row r="95" spans="2:11" ht="18" customHeight="1">
      <c r="B95" s="445">
        <f t="shared" si="5"/>
        <v>13</v>
      </c>
      <c r="C95" s="453"/>
      <c r="D95" s="467" t="s">
        <v>2198</v>
      </c>
      <c r="E95" s="446"/>
      <c r="F95" s="457" t="s">
        <v>42</v>
      </c>
      <c r="G95" s="458">
        <f>'[2]Analisis Pekerjaan SNI'!H788</f>
        <v>5218880</v>
      </c>
      <c r="H95" s="458">
        <f>'[2]Analisis Pekerjaan SNI'!H794</f>
        <v>1292600</v>
      </c>
      <c r="I95" s="449">
        <f t="shared" si="10"/>
        <v>6511480</v>
      </c>
      <c r="J95" s="469"/>
      <c r="K95" s="470"/>
    </row>
    <row r="96" spans="2:11" ht="18" customHeight="1">
      <c r="B96" s="445">
        <f t="shared" si="5"/>
        <v>14</v>
      </c>
      <c r="C96" s="453"/>
      <c r="D96" s="467" t="s">
        <v>2199</v>
      </c>
      <c r="E96" s="446"/>
      <c r="F96" s="457" t="s">
        <v>42</v>
      </c>
      <c r="G96" s="458">
        <f>'[2]Analisis Pekerjaan SNI'!H807</f>
        <v>4079030</v>
      </c>
      <c r="H96" s="458">
        <f>'[2]Analisis Pekerjaan SNI'!H813</f>
        <v>1183000</v>
      </c>
      <c r="I96" s="449">
        <f t="shared" si="10"/>
        <v>5262030</v>
      </c>
      <c r="J96" s="469"/>
      <c r="K96" s="470"/>
    </row>
    <row r="97" spans="1:12" ht="18" customHeight="1">
      <c r="B97" s="445">
        <f t="shared" si="5"/>
        <v>15</v>
      </c>
      <c r="C97" s="453"/>
      <c r="D97" s="467" t="s">
        <v>2200</v>
      </c>
      <c r="E97" s="446"/>
      <c r="F97" s="457" t="s">
        <v>42</v>
      </c>
      <c r="G97" s="448">
        <f>'[2]Analisis Pekerjaan SNI'!H819</f>
        <v>2118000</v>
      </c>
      <c r="H97" s="448"/>
      <c r="I97" s="449">
        <f>SUM(G97:H97)</f>
        <v>2118000</v>
      </c>
      <c r="J97" s="469"/>
      <c r="K97" s="470"/>
    </row>
    <row r="98" spans="1:12" ht="18" customHeight="1">
      <c r="B98" s="445">
        <f t="shared" si="5"/>
        <v>16</v>
      </c>
      <c r="C98" s="453"/>
      <c r="D98" s="467" t="s">
        <v>2201</v>
      </c>
      <c r="E98" s="446"/>
      <c r="F98" s="457" t="s">
        <v>42</v>
      </c>
      <c r="G98" s="448">
        <f>'[2]Analisis Pekerjaan SNI'!H825</f>
        <v>1234560</v>
      </c>
      <c r="H98" s="448"/>
      <c r="I98" s="449">
        <f t="shared" si="10"/>
        <v>1234560</v>
      </c>
      <c r="J98" s="469"/>
      <c r="K98" s="470"/>
    </row>
    <row r="99" spans="1:12" ht="18" customHeight="1">
      <c r="B99" s="445">
        <f t="shared" si="5"/>
        <v>17</v>
      </c>
      <c r="C99" s="453"/>
      <c r="D99" s="467" t="s">
        <v>2202</v>
      </c>
      <c r="E99" s="446"/>
      <c r="F99" s="457" t="s">
        <v>42</v>
      </c>
      <c r="G99" s="448">
        <f>'[2]Analisis Pekerjaan SNI'!H831</f>
        <v>1259560</v>
      </c>
      <c r="H99" s="448"/>
      <c r="I99" s="449">
        <f t="shared" si="10"/>
        <v>1259560</v>
      </c>
      <c r="J99" s="469"/>
      <c r="K99" s="470"/>
    </row>
    <row r="100" spans="1:12" ht="18" customHeight="1">
      <c r="B100" s="445">
        <f t="shared" si="5"/>
        <v>18</v>
      </c>
      <c r="C100" s="453"/>
      <c r="D100" s="467" t="s">
        <v>2203</v>
      </c>
      <c r="E100" s="446"/>
      <c r="F100" s="457" t="s">
        <v>42</v>
      </c>
      <c r="G100" s="448">
        <f>'[2]Analisis Pekerjaan SNI'!H837</f>
        <v>1061930</v>
      </c>
      <c r="H100" s="448"/>
      <c r="I100" s="449">
        <f t="shared" si="10"/>
        <v>1061930</v>
      </c>
      <c r="J100" s="469"/>
      <c r="K100" s="470"/>
    </row>
    <row r="101" spans="1:12" ht="18" customHeight="1">
      <c r="B101" s="445">
        <f t="shared" si="5"/>
        <v>19</v>
      </c>
      <c r="C101" s="453"/>
      <c r="D101" s="467" t="s">
        <v>2204</v>
      </c>
      <c r="E101" s="446"/>
      <c r="F101" s="457" t="s">
        <v>42</v>
      </c>
      <c r="G101" s="448">
        <f>'[2]Analisis Pekerjaan SNI'!H843</f>
        <v>1167000</v>
      </c>
      <c r="H101" s="448"/>
      <c r="I101" s="449">
        <f t="shared" si="10"/>
        <v>1167000</v>
      </c>
      <c r="J101" s="469"/>
      <c r="K101" s="470"/>
    </row>
    <row r="102" spans="1:12" ht="18" customHeight="1">
      <c r="B102" s="445">
        <f>B101+1</f>
        <v>20</v>
      </c>
      <c r="C102" s="453"/>
      <c r="D102" s="467" t="s">
        <v>2205</v>
      </c>
      <c r="E102" s="446"/>
      <c r="F102" s="457" t="s">
        <v>42</v>
      </c>
      <c r="G102" s="448">
        <f>'[2]Analisis Pekerjaan SNI'!H855</f>
        <v>3945630</v>
      </c>
      <c r="H102" s="448">
        <f>'[2]Analisis Pekerjaan SNI'!H860</f>
        <v>504000</v>
      </c>
      <c r="I102" s="449">
        <f t="shared" si="10"/>
        <v>4449630</v>
      </c>
      <c r="J102" s="469"/>
      <c r="K102" s="470"/>
      <c r="L102" s="432" t="e">
        <f>1/#REF!</f>
        <v>#REF!</v>
      </c>
    </row>
    <row r="103" spans="1:12" ht="18" customHeight="1">
      <c r="B103" s="535"/>
      <c r="C103" s="536"/>
      <c r="D103" s="536"/>
      <c r="E103" s="536"/>
      <c r="F103" s="536"/>
      <c r="G103" s="536"/>
      <c r="H103" s="536"/>
      <c r="I103" s="536"/>
      <c r="J103" s="537"/>
      <c r="L103" s="478" t="e">
        <f>+L102*41900</f>
        <v>#REF!</v>
      </c>
    </row>
    <row r="104" spans="1:12" ht="21.95" customHeight="1">
      <c r="A104" s="456"/>
      <c r="B104" s="435" t="s">
        <v>2206</v>
      </c>
      <c r="C104" s="479"/>
      <c r="D104" s="479"/>
      <c r="E104" s="479"/>
      <c r="F104" s="479"/>
      <c r="G104" s="479"/>
      <c r="H104" s="479"/>
      <c r="I104" s="479"/>
      <c r="J104" s="480"/>
    </row>
    <row r="105" spans="1:12" ht="18" customHeight="1">
      <c r="B105" s="445">
        <v>1</v>
      </c>
      <c r="C105" s="445"/>
      <c r="D105" s="467" t="s">
        <v>2207</v>
      </c>
      <c r="E105" s="446"/>
      <c r="F105" s="457" t="s">
        <v>63</v>
      </c>
      <c r="G105" s="458">
        <f>'[2]Analisis Pekerjaan SNI'!H870</f>
        <v>165500</v>
      </c>
      <c r="H105" s="458">
        <f>'[2]Analisis Pekerjaan SNI'!H874</f>
        <v>99500</v>
      </c>
      <c r="I105" s="449">
        <f t="shared" ref="I105:I115" si="11">SUM(G105:H105)</f>
        <v>265000</v>
      </c>
      <c r="J105" s="469"/>
      <c r="K105" s="470"/>
    </row>
    <row r="106" spans="1:12" ht="18" customHeight="1">
      <c r="B106" s="445">
        <f>1+B105</f>
        <v>2</v>
      </c>
      <c r="C106" s="445"/>
      <c r="D106" s="467" t="s">
        <v>2208</v>
      </c>
      <c r="E106" s="446"/>
      <c r="F106" s="457" t="s">
        <v>63</v>
      </c>
      <c r="G106" s="458">
        <f>'[2]Analisis Pekerjaan SNI'!H880</f>
        <v>157500</v>
      </c>
      <c r="H106" s="458">
        <f>'[2]Analisis Pekerjaan SNI'!H884</f>
        <v>99500</v>
      </c>
      <c r="I106" s="449">
        <f t="shared" si="11"/>
        <v>257000</v>
      </c>
      <c r="J106" s="469"/>
      <c r="K106" s="470"/>
    </row>
    <row r="107" spans="1:12" ht="18" customHeight="1">
      <c r="B107" s="445">
        <f t="shared" ref="B107:B115" si="12">B106+1</f>
        <v>3</v>
      </c>
      <c r="C107" s="445"/>
      <c r="D107" s="467" t="s">
        <v>2209</v>
      </c>
      <c r="E107" s="446"/>
      <c r="F107" s="457" t="s">
        <v>63</v>
      </c>
      <c r="G107" s="458">
        <f>'[2]Analisis Pekerjaan SNI'!H890</f>
        <v>152000</v>
      </c>
      <c r="H107" s="458">
        <f>'[2]Analisis Pekerjaan SNI'!H894</f>
        <v>99500</v>
      </c>
      <c r="I107" s="449">
        <f t="shared" si="11"/>
        <v>251500</v>
      </c>
      <c r="J107" s="469"/>
      <c r="K107" s="470"/>
    </row>
    <row r="108" spans="1:12" ht="18" customHeight="1">
      <c r="B108" s="445">
        <f t="shared" si="12"/>
        <v>4</v>
      </c>
      <c r="C108" s="453"/>
      <c r="D108" s="467" t="s">
        <v>2210</v>
      </c>
      <c r="E108" s="446"/>
      <c r="F108" s="457" t="s">
        <v>63</v>
      </c>
      <c r="G108" s="458">
        <f>'[2]Analisis Pekerjaan SNI'!H900</f>
        <v>78700</v>
      </c>
      <c r="H108" s="458">
        <f>'[2]Analisis Pekerjaan SNI'!H904</f>
        <v>49200</v>
      </c>
      <c r="I108" s="449">
        <f t="shared" si="11"/>
        <v>127900</v>
      </c>
      <c r="J108" s="469"/>
      <c r="K108" s="470"/>
    </row>
    <row r="109" spans="1:12" ht="18" customHeight="1">
      <c r="B109" s="445">
        <f t="shared" si="12"/>
        <v>5</v>
      </c>
      <c r="C109" s="453"/>
      <c r="D109" s="467" t="s">
        <v>2211</v>
      </c>
      <c r="E109" s="446"/>
      <c r="F109" s="457" t="s">
        <v>63</v>
      </c>
      <c r="G109" s="458">
        <f>'[2]Analisis Pekerjaan SNI'!H910</f>
        <v>78000</v>
      </c>
      <c r="H109" s="458">
        <f>'[2]Analisis Pekerjaan SNI'!H914</f>
        <v>49200</v>
      </c>
      <c r="I109" s="449">
        <f t="shared" si="11"/>
        <v>127200</v>
      </c>
      <c r="J109" s="469"/>
      <c r="K109" s="470"/>
    </row>
    <row r="110" spans="1:12" ht="18" customHeight="1">
      <c r="B110" s="445">
        <f t="shared" si="12"/>
        <v>6</v>
      </c>
      <c r="C110" s="453"/>
      <c r="D110" s="467" t="s">
        <v>2212</v>
      </c>
      <c r="E110" s="446"/>
      <c r="F110" s="457" t="s">
        <v>63</v>
      </c>
      <c r="G110" s="458">
        <f>'[2]Analisis Pekerjaan SNI'!H920</f>
        <v>75600</v>
      </c>
      <c r="H110" s="458">
        <f>'[2]Analisis Pekerjaan SNI'!H924</f>
        <v>49200</v>
      </c>
      <c r="I110" s="449">
        <f t="shared" si="11"/>
        <v>124800</v>
      </c>
      <c r="J110" s="469"/>
      <c r="K110" s="470"/>
    </row>
    <row r="111" spans="1:12" ht="18" customHeight="1">
      <c r="B111" s="445">
        <f t="shared" si="12"/>
        <v>7</v>
      </c>
      <c r="C111" s="453"/>
      <c r="D111" s="467" t="s">
        <v>2213</v>
      </c>
      <c r="E111" s="446"/>
      <c r="F111" s="457" t="s">
        <v>63</v>
      </c>
      <c r="G111" s="458">
        <f>'[2]Analisis Pekerjaan SNI'!H930</f>
        <v>180520</v>
      </c>
      <c r="H111" s="458">
        <f>'[2]Analisis Pekerjaan SNI'!H934</f>
        <v>47000</v>
      </c>
      <c r="I111" s="449">
        <f t="shared" si="11"/>
        <v>227520</v>
      </c>
      <c r="J111" s="469"/>
      <c r="K111" s="470"/>
    </row>
    <row r="112" spans="1:12" ht="18" customHeight="1">
      <c r="B112" s="445">
        <f t="shared" si="12"/>
        <v>8</v>
      </c>
      <c r="C112" s="453"/>
      <c r="D112" s="467" t="s">
        <v>2214</v>
      </c>
      <c r="E112" s="446"/>
      <c r="F112" s="457" t="s">
        <v>63</v>
      </c>
      <c r="G112" s="458">
        <f>'[2]Analisis Pekerjaan SNI'!H939</f>
        <v>605050</v>
      </c>
      <c r="H112" s="458">
        <f>'[2]Analisis Pekerjaan SNI'!H943</f>
        <v>47000</v>
      </c>
      <c r="I112" s="449">
        <f t="shared" si="11"/>
        <v>652050</v>
      </c>
      <c r="J112" s="469"/>
      <c r="K112" s="470"/>
    </row>
    <row r="113" spans="1:11" ht="18" customHeight="1">
      <c r="B113" s="445">
        <f t="shared" si="12"/>
        <v>9</v>
      </c>
      <c r="C113" s="453"/>
      <c r="D113" s="467" t="s">
        <v>2215</v>
      </c>
      <c r="E113" s="446"/>
      <c r="F113" s="457" t="s">
        <v>63</v>
      </c>
      <c r="G113" s="458">
        <f>'[2]Analisis Pekerjaan SNI'!H949</f>
        <v>65450</v>
      </c>
      <c r="H113" s="458">
        <f>'[2]Analisis Pekerjaan SNI'!H953</f>
        <v>54000</v>
      </c>
      <c r="I113" s="449">
        <f t="shared" si="11"/>
        <v>119450</v>
      </c>
      <c r="J113" s="469"/>
      <c r="K113" s="470"/>
    </row>
    <row r="114" spans="1:11" ht="18" customHeight="1">
      <c r="B114" s="445">
        <f t="shared" si="12"/>
        <v>10</v>
      </c>
      <c r="C114" s="453"/>
      <c r="D114" s="467" t="s">
        <v>2216</v>
      </c>
      <c r="E114" s="446"/>
      <c r="F114" s="457" t="s">
        <v>63</v>
      </c>
      <c r="G114" s="458">
        <f>'[2]Analisis Pekerjaan SNI'!H959</f>
        <v>64120</v>
      </c>
      <c r="H114" s="458">
        <f>'[2]Analisis Pekerjaan SNI'!H963</f>
        <v>54000</v>
      </c>
      <c r="I114" s="449">
        <f t="shared" si="11"/>
        <v>118120</v>
      </c>
      <c r="J114" s="469"/>
      <c r="K114" s="470"/>
    </row>
    <row r="115" spans="1:11" ht="18" customHeight="1">
      <c r="B115" s="445">
        <f t="shared" si="12"/>
        <v>11</v>
      </c>
      <c r="C115" s="453"/>
      <c r="D115" s="467" t="s">
        <v>2217</v>
      </c>
      <c r="E115" s="446"/>
      <c r="F115" s="457" t="s">
        <v>63</v>
      </c>
      <c r="G115" s="458">
        <f>'[2]Analisis Pekerjaan SNI'!H968</f>
        <v>99400</v>
      </c>
      <c r="H115" s="458">
        <f>'[2]Analisis Pekerjaan SNI'!H972</f>
        <v>61000</v>
      </c>
      <c r="I115" s="449">
        <f t="shared" si="11"/>
        <v>160400</v>
      </c>
      <c r="J115" s="469"/>
      <c r="K115" s="470"/>
    </row>
    <row r="116" spans="1:11" ht="18" customHeight="1">
      <c r="B116" s="535"/>
      <c r="C116" s="536"/>
      <c r="D116" s="536"/>
      <c r="E116" s="536"/>
      <c r="F116" s="536"/>
      <c r="G116" s="536"/>
      <c r="H116" s="536"/>
      <c r="I116" s="536"/>
      <c r="J116" s="536"/>
      <c r="K116" s="481"/>
    </row>
    <row r="117" spans="1:11" ht="21.95" customHeight="1">
      <c r="A117" s="456"/>
      <c r="B117" s="435" t="s">
        <v>2218</v>
      </c>
      <c r="C117" s="436"/>
      <c r="D117" s="436"/>
      <c r="E117" s="436"/>
      <c r="F117" s="436"/>
      <c r="G117" s="436"/>
      <c r="H117" s="436"/>
      <c r="I117" s="436"/>
      <c r="J117" s="436"/>
      <c r="K117" s="481"/>
    </row>
    <row r="118" spans="1:11" ht="18" customHeight="1">
      <c r="B118" s="445">
        <v>1</v>
      </c>
      <c r="C118" s="445"/>
      <c r="D118" s="467" t="s">
        <v>2219</v>
      </c>
      <c r="E118" s="446"/>
      <c r="F118" s="457" t="s">
        <v>63</v>
      </c>
      <c r="G118" s="458">
        <f>'[2]Analisis Pekerjaan SNI'!H989</f>
        <v>16200</v>
      </c>
      <c r="H118" s="458">
        <f>'[2]Analisis Pekerjaan SNI'!H993</f>
        <v>43000</v>
      </c>
      <c r="I118" s="449">
        <f t="shared" ref="I118:I131" si="13">SUM(G118:H118)</f>
        <v>59200</v>
      </c>
      <c r="J118" s="469"/>
      <c r="K118" s="470"/>
    </row>
    <row r="119" spans="1:11" ht="18" customHeight="1">
      <c r="B119" s="445">
        <f>B118+1</f>
        <v>2</v>
      </c>
      <c r="C119" s="445"/>
      <c r="D119" s="467" t="s">
        <v>2220</v>
      </c>
      <c r="E119" s="446"/>
      <c r="F119" s="457" t="s">
        <v>63</v>
      </c>
      <c r="G119" s="458">
        <f>'[2]Analisis Pekerjaan SNI'!H998</f>
        <v>15400</v>
      </c>
      <c r="H119" s="458">
        <f>'[2]Analisis Pekerjaan SNI'!H1002</f>
        <v>43000</v>
      </c>
      <c r="I119" s="449">
        <f t="shared" si="13"/>
        <v>58400</v>
      </c>
      <c r="J119" s="469"/>
      <c r="K119" s="470"/>
    </row>
    <row r="120" spans="1:11" ht="18" customHeight="1">
      <c r="B120" s="445">
        <f>B119+1</f>
        <v>3</v>
      </c>
      <c r="C120" s="445"/>
      <c r="D120" s="467" t="s">
        <v>2221</v>
      </c>
      <c r="E120" s="446"/>
      <c r="F120" s="457" t="s">
        <v>63</v>
      </c>
      <c r="G120" s="458">
        <f>'[2]Analisis Pekerjaan SNI'!H1007</f>
        <v>13000</v>
      </c>
      <c r="H120" s="458">
        <f>'[2]Analisis Pekerjaan SNI'!H1011</f>
        <v>43000</v>
      </c>
      <c r="I120" s="449">
        <f t="shared" si="13"/>
        <v>56000</v>
      </c>
      <c r="J120" s="469"/>
      <c r="K120" s="470"/>
    </row>
    <row r="121" spans="1:11" ht="18" customHeight="1">
      <c r="B121" s="445">
        <f>1+B120</f>
        <v>4</v>
      </c>
      <c r="C121" s="445"/>
      <c r="D121" s="467" t="s">
        <v>2222</v>
      </c>
      <c r="E121" s="446"/>
      <c r="F121" s="457" t="s">
        <v>63</v>
      </c>
      <c r="G121" s="458">
        <f>'[2]Analisis Pekerjaan SNI'!H1016</f>
        <v>12200</v>
      </c>
      <c r="H121" s="458">
        <f>'[2]Analisis Pekerjaan SNI'!H1020</f>
        <v>43000</v>
      </c>
      <c r="I121" s="449">
        <f t="shared" si="13"/>
        <v>55200</v>
      </c>
      <c r="J121" s="469"/>
      <c r="K121" s="470"/>
    </row>
    <row r="122" spans="1:11" ht="18" customHeight="1">
      <c r="B122" s="445">
        <f t="shared" ref="B122:B129" si="14">1+B121</f>
        <v>5</v>
      </c>
      <c r="C122" s="453"/>
      <c r="D122" s="467" t="s">
        <v>2223</v>
      </c>
      <c r="E122" s="454"/>
      <c r="F122" s="457" t="s">
        <v>63</v>
      </c>
      <c r="G122" s="458">
        <f>'[2]Analisis Pekerjaan SNI'!H1025</f>
        <v>21100</v>
      </c>
      <c r="H122" s="458">
        <f>'[2]Analisis Pekerjaan SNI'!H1029</f>
        <v>46600</v>
      </c>
      <c r="I122" s="449">
        <f t="shared" si="13"/>
        <v>67700</v>
      </c>
      <c r="J122" s="469"/>
      <c r="K122" s="482"/>
    </row>
    <row r="123" spans="1:11" ht="18" customHeight="1">
      <c r="B123" s="445">
        <f t="shared" si="14"/>
        <v>6</v>
      </c>
      <c r="C123" s="453"/>
      <c r="D123" s="467" t="s">
        <v>2224</v>
      </c>
      <c r="E123" s="446"/>
      <c r="F123" s="457" t="s">
        <v>63</v>
      </c>
      <c r="G123" s="458">
        <f>'[2]Analisis Pekerjaan SNI'!H1034</f>
        <v>19500</v>
      </c>
      <c r="H123" s="458">
        <f>'[2]Analisis Pekerjaan SNI'!H1038</f>
        <v>55500</v>
      </c>
      <c r="I123" s="449">
        <f t="shared" si="13"/>
        <v>75000</v>
      </c>
      <c r="J123" s="469"/>
      <c r="K123" s="470"/>
    </row>
    <row r="124" spans="1:11" ht="18" customHeight="1">
      <c r="B124" s="445">
        <f t="shared" si="14"/>
        <v>7</v>
      </c>
      <c r="C124" s="453"/>
      <c r="D124" s="467" t="s">
        <v>2225</v>
      </c>
      <c r="E124" s="446"/>
      <c r="F124" s="457" t="s">
        <v>63</v>
      </c>
      <c r="G124" s="458">
        <f>'[2]Analisis Pekerjaan SNI'!H1043</f>
        <v>15050</v>
      </c>
      <c r="H124" s="458">
        <f>'[2]Analisis Pekerjaan SNI'!H1047</f>
        <v>26300</v>
      </c>
      <c r="I124" s="449">
        <f t="shared" si="13"/>
        <v>41350</v>
      </c>
      <c r="J124" s="469"/>
      <c r="K124" s="470"/>
    </row>
    <row r="125" spans="1:11" ht="18" customHeight="1">
      <c r="B125" s="445">
        <f t="shared" si="14"/>
        <v>8</v>
      </c>
      <c r="C125" s="453"/>
      <c r="D125" s="467" t="s">
        <v>2226</v>
      </c>
      <c r="E125" s="446"/>
      <c r="F125" s="457" t="s">
        <v>63</v>
      </c>
      <c r="G125" s="458">
        <f>'[2]Analisis Pekerjaan SNI'!H1052</f>
        <v>20200</v>
      </c>
      <c r="H125" s="458">
        <f>'[2]Analisis Pekerjaan SNI'!H1056</f>
        <v>56600</v>
      </c>
      <c r="I125" s="449">
        <f t="shared" si="13"/>
        <v>76800</v>
      </c>
      <c r="J125" s="469"/>
      <c r="K125" s="470"/>
    </row>
    <row r="126" spans="1:11" ht="18" customHeight="1">
      <c r="B126" s="445">
        <f t="shared" si="14"/>
        <v>9</v>
      </c>
      <c r="C126" s="453"/>
      <c r="D126" s="467" t="s">
        <v>2227</v>
      </c>
      <c r="E126" s="446"/>
      <c r="F126" s="457" t="s">
        <v>63</v>
      </c>
      <c r="G126" s="458">
        <f>'[2]Analisis Pekerjaan SNI'!H1061</f>
        <v>17000</v>
      </c>
      <c r="H126" s="458">
        <f>'[2]Analisis Pekerjaan SNI'!H1065</f>
        <v>56600</v>
      </c>
      <c r="I126" s="449">
        <f t="shared" si="13"/>
        <v>73600</v>
      </c>
      <c r="J126" s="469"/>
      <c r="K126" s="470"/>
    </row>
    <row r="127" spans="1:11" ht="18" customHeight="1">
      <c r="B127" s="445">
        <f>1+B126</f>
        <v>10</v>
      </c>
      <c r="C127" s="453"/>
      <c r="D127" s="467" t="s">
        <v>2228</v>
      </c>
      <c r="E127" s="446"/>
      <c r="F127" s="457" t="s">
        <v>2229</v>
      </c>
      <c r="G127" s="458">
        <f>'[2]Analisis Pekerjaan SNI'!H1070</f>
        <v>3300</v>
      </c>
      <c r="H127" s="458">
        <f>'[2]Analisis Pekerjaan SNI'!H1074</f>
        <v>12200</v>
      </c>
      <c r="I127" s="449">
        <f t="shared" si="13"/>
        <v>15500</v>
      </c>
      <c r="J127" s="469"/>
      <c r="K127" s="470"/>
    </row>
    <row r="128" spans="1:11" ht="18" customHeight="1">
      <c r="B128" s="445">
        <f t="shared" si="14"/>
        <v>11</v>
      </c>
      <c r="C128" s="453"/>
      <c r="D128" s="467" t="s">
        <v>2230</v>
      </c>
      <c r="E128" s="446"/>
      <c r="F128" s="457" t="s">
        <v>63</v>
      </c>
      <c r="G128" s="458">
        <f>'[2]Analisis Pekerjaan SNI'!H1078</f>
        <v>6400</v>
      </c>
      <c r="H128" s="458">
        <f>'[2]Analisis Pekerjaan SNI'!H1082</f>
        <v>30800</v>
      </c>
      <c r="I128" s="449">
        <f t="shared" si="13"/>
        <v>37200</v>
      </c>
      <c r="J128" s="469"/>
      <c r="K128" s="470"/>
    </row>
    <row r="129" spans="2:11" ht="18" customHeight="1">
      <c r="B129" s="445">
        <f t="shared" si="14"/>
        <v>12</v>
      </c>
      <c r="C129" s="453"/>
      <c r="D129" s="467" t="s">
        <v>2231</v>
      </c>
      <c r="E129" s="446"/>
      <c r="F129" s="457" t="s">
        <v>63</v>
      </c>
      <c r="G129" s="458">
        <f>'[2]Analisis Pekerjaan SNI'!H1095</f>
        <v>12200</v>
      </c>
      <c r="H129" s="458">
        <f>'[2]Analisis Pekerjaan SNI'!H1099</f>
        <v>26300</v>
      </c>
      <c r="I129" s="449">
        <f t="shared" si="13"/>
        <v>38500</v>
      </c>
      <c r="J129" s="469"/>
      <c r="K129" s="470"/>
    </row>
    <row r="130" spans="2:11" ht="18" customHeight="1">
      <c r="B130" s="445">
        <f>1+B128</f>
        <v>12</v>
      </c>
      <c r="C130" s="453"/>
      <c r="D130" s="467" t="str">
        <f>'[2]Analisis Pekerjaan SNI'!C1083</f>
        <v>1 m2 ACIAN Mortar Plester dan aci</v>
      </c>
      <c r="E130" s="446"/>
      <c r="F130" s="457" t="s">
        <v>63</v>
      </c>
      <c r="G130" s="458">
        <f>'[2]Analisis Pekerjaan SNI'!H1086</f>
        <v>6000</v>
      </c>
      <c r="H130" s="458">
        <f>'[2]Analisis Pekerjaan SNI'!H1090</f>
        <v>30800</v>
      </c>
      <c r="I130" s="449">
        <f t="shared" si="13"/>
        <v>36800</v>
      </c>
      <c r="J130" s="469"/>
      <c r="K130" s="470"/>
    </row>
    <row r="131" spans="2:11" ht="18" customHeight="1">
      <c r="B131" s="445">
        <f>1+B129</f>
        <v>13</v>
      </c>
      <c r="C131" s="453"/>
      <c r="D131" s="467" t="str">
        <f>'[2]Analisis Pekerjaan SNI'!C977</f>
        <v>1 m2 PLESTERAN  Mortar Plester dan aci</v>
      </c>
      <c r="E131" s="446"/>
      <c r="F131" s="457" t="s">
        <v>63</v>
      </c>
      <c r="G131" s="458">
        <f>'[2]Analisis Pekerjaan SNI'!H980</f>
        <v>10500</v>
      </c>
      <c r="H131" s="458">
        <f>'[2]Analisis Pekerjaan SNI'!H984</f>
        <v>43000</v>
      </c>
      <c r="I131" s="449">
        <f t="shared" si="13"/>
        <v>53500</v>
      </c>
      <c r="J131" s="469"/>
      <c r="K131" s="470"/>
    </row>
    <row r="132" spans="2:11" ht="18" customHeight="1">
      <c r="B132" s="535"/>
      <c r="C132" s="536"/>
      <c r="D132" s="536"/>
      <c r="E132" s="536"/>
      <c r="F132" s="536"/>
      <c r="G132" s="536"/>
      <c r="H132" s="536"/>
      <c r="I132" s="536"/>
      <c r="J132" s="537"/>
    </row>
    <row r="133" spans="2:11" s="456" customFormat="1" ht="21.95" customHeight="1">
      <c r="B133" s="435" t="s">
        <v>2232</v>
      </c>
      <c r="C133" s="436"/>
      <c r="D133" s="436"/>
      <c r="E133" s="436"/>
      <c r="F133" s="436"/>
      <c r="G133" s="436"/>
      <c r="H133" s="436"/>
      <c r="I133" s="436"/>
      <c r="J133" s="437"/>
      <c r="K133" s="433"/>
    </row>
    <row r="134" spans="2:11" ht="18" customHeight="1">
      <c r="B134" s="445">
        <v>1</v>
      </c>
      <c r="C134" s="445"/>
      <c r="D134" s="446" t="s">
        <v>2233</v>
      </c>
      <c r="E134" s="446"/>
      <c r="F134" s="457" t="s">
        <v>63</v>
      </c>
      <c r="G134" s="458">
        <f>'[2]Analisis Pekerjaan SNI'!H1110</f>
        <v>148270</v>
      </c>
      <c r="H134" s="458">
        <f>'[2]Analisis Pekerjaan SNI'!H1114</f>
        <v>44300</v>
      </c>
      <c r="I134" s="449">
        <f t="shared" ref="I134:I148" si="15">SUM(G134:H134)</f>
        <v>192570</v>
      </c>
      <c r="J134" s="450"/>
    </row>
    <row r="135" spans="2:11" ht="18" customHeight="1">
      <c r="B135" s="445">
        <f>B134+1</f>
        <v>2</v>
      </c>
      <c r="C135" s="445"/>
      <c r="D135" s="446" t="s">
        <v>2234</v>
      </c>
      <c r="E135" s="446"/>
      <c r="F135" s="457" t="s">
        <v>63</v>
      </c>
      <c r="G135" s="458">
        <f>'[2]Analisis Pekerjaan SNI'!H1121</f>
        <v>147890</v>
      </c>
      <c r="H135" s="458">
        <f>'[2]Analisis Pekerjaan SNI'!H1125</f>
        <v>46100</v>
      </c>
      <c r="I135" s="449">
        <f t="shared" si="15"/>
        <v>193990</v>
      </c>
      <c r="J135" s="450"/>
    </row>
    <row r="136" spans="2:11" ht="18" customHeight="1">
      <c r="B136" s="445">
        <f>B135+1</f>
        <v>3</v>
      </c>
      <c r="C136" s="445"/>
      <c r="D136" s="446" t="s">
        <v>2235</v>
      </c>
      <c r="E136" s="446"/>
      <c r="F136" s="457" t="s">
        <v>63</v>
      </c>
      <c r="G136" s="458">
        <f>'[2]Analisis Pekerjaan SNI'!H1251</f>
        <v>73090</v>
      </c>
      <c r="H136" s="458">
        <f>'[2]Analisis Pekerjaan SNI'!H1255</f>
        <v>46100</v>
      </c>
      <c r="I136" s="449">
        <f t="shared" si="15"/>
        <v>119190</v>
      </c>
      <c r="J136" s="450"/>
    </row>
    <row r="137" spans="2:11" ht="18" customHeight="1">
      <c r="B137" s="445">
        <f>B136+1</f>
        <v>4</v>
      </c>
      <c r="C137" s="445"/>
      <c r="D137" s="446" t="s">
        <v>2236</v>
      </c>
      <c r="E137" s="446"/>
      <c r="F137" s="457" t="s">
        <v>63</v>
      </c>
      <c r="G137" s="458">
        <f>'[2]Analisis Pekerjaan SNI'!H1132</f>
        <v>179830</v>
      </c>
      <c r="H137" s="458">
        <f>'[2]Analisis Pekerjaan SNI'!H1136</f>
        <v>44300</v>
      </c>
      <c r="I137" s="449">
        <f t="shared" si="15"/>
        <v>224130</v>
      </c>
      <c r="J137" s="450"/>
    </row>
    <row r="138" spans="2:11" ht="18" customHeight="1">
      <c r="B138" s="445">
        <f t="shared" ref="B138:B162" si="16">B137+1</f>
        <v>5</v>
      </c>
      <c r="C138" s="445"/>
      <c r="D138" s="446" t="s">
        <v>2237</v>
      </c>
      <c r="E138" s="446"/>
      <c r="F138" s="457" t="s">
        <v>63</v>
      </c>
      <c r="G138" s="458">
        <f>'[2]Analisis Pekerjaan SNI'!H1143</f>
        <v>354870</v>
      </c>
      <c r="H138" s="458">
        <f>'[2]Analisis Pekerjaan SNI'!H1147</f>
        <v>48200</v>
      </c>
      <c r="I138" s="449">
        <f t="shared" si="15"/>
        <v>403070</v>
      </c>
      <c r="J138" s="450"/>
    </row>
    <row r="139" spans="2:11" ht="18" customHeight="1">
      <c r="B139" s="445">
        <f t="shared" si="16"/>
        <v>6</v>
      </c>
      <c r="C139" s="445"/>
      <c r="D139" s="446" t="s">
        <v>2238</v>
      </c>
      <c r="E139" s="446"/>
      <c r="F139" s="457" t="s">
        <v>63</v>
      </c>
      <c r="G139" s="458">
        <f>'[2]Analisis Pekerjaan SNI'!H1154</f>
        <v>59740</v>
      </c>
      <c r="H139" s="458">
        <f>'[2]Analisis Pekerjaan SNI'!H1158</f>
        <v>80200</v>
      </c>
      <c r="I139" s="449">
        <f t="shared" si="15"/>
        <v>139940</v>
      </c>
      <c r="J139" s="450"/>
    </row>
    <row r="140" spans="2:11" ht="18" customHeight="1">
      <c r="B140" s="445">
        <f t="shared" si="16"/>
        <v>7</v>
      </c>
      <c r="C140" s="445"/>
      <c r="D140" s="446" t="s">
        <v>2239</v>
      </c>
      <c r="E140" s="446"/>
      <c r="F140" s="457" t="s">
        <v>63</v>
      </c>
      <c r="G140" s="458">
        <f>'[2]Analisis Pekerjaan SNI'!H1165</f>
        <v>67370</v>
      </c>
      <c r="H140" s="458">
        <f>'[2]Analisis Pekerjaan SNI'!H1169</f>
        <v>54000</v>
      </c>
      <c r="I140" s="449">
        <f t="shared" si="15"/>
        <v>121370</v>
      </c>
      <c r="J140" s="450"/>
    </row>
    <row r="141" spans="2:11" ht="18" customHeight="1">
      <c r="B141" s="445">
        <v>7</v>
      </c>
      <c r="C141" s="445"/>
      <c r="D141" s="446" t="s">
        <v>2240</v>
      </c>
      <c r="E141" s="446"/>
      <c r="F141" s="457" t="s">
        <v>63</v>
      </c>
      <c r="G141" s="458">
        <f>'[2]Analisis Pekerjaan SNI'!H1176</f>
        <v>69670</v>
      </c>
      <c r="H141" s="458">
        <f>'[2]Analisis Pekerjaan SNI'!H1180</f>
        <v>54000</v>
      </c>
      <c r="I141" s="449">
        <f t="shared" si="15"/>
        <v>123670</v>
      </c>
      <c r="J141" s="450"/>
    </row>
    <row r="142" spans="2:11" ht="18" customHeight="1">
      <c r="B142" s="445">
        <f t="shared" si="16"/>
        <v>8</v>
      </c>
      <c r="C142" s="445"/>
      <c r="D142" s="446" t="s">
        <v>2241</v>
      </c>
      <c r="E142" s="446"/>
      <c r="F142" s="457" t="s">
        <v>63</v>
      </c>
      <c r="G142" s="458">
        <f>'[2]Analisis Pekerjaan SNI'!H1187</f>
        <v>152890</v>
      </c>
      <c r="H142" s="458">
        <f>'[2]Analisis Pekerjaan SNI'!H1191</f>
        <v>44300</v>
      </c>
      <c r="I142" s="449">
        <f t="shared" si="15"/>
        <v>197190</v>
      </c>
      <c r="J142" s="450"/>
    </row>
    <row r="143" spans="2:11" ht="18" customHeight="1">
      <c r="B143" s="445">
        <f t="shared" si="16"/>
        <v>9</v>
      </c>
      <c r="C143" s="445"/>
      <c r="D143" s="446" t="s">
        <v>2242</v>
      </c>
      <c r="E143" s="446"/>
      <c r="F143" s="457" t="s">
        <v>63</v>
      </c>
      <c r="G143" s="458">
        <f>'[2]Analisis Pekerjaan SNI'!H1198</f>
        <v>152890</v>
      </c>
      <c r="H143" s="458">
        <f>'[2]Analisis Pekerjaan SNI'!H1202</f>
        <v>44300</v>
      </c>
      <c r="I143" s="449">
        <f t="shared" si="15"/>
        <v>197190</v>
      </c>
      <c r="J143" s="450"/>
    </row>
    <row r="144" spans="2:11" ht="18" customHeight="1">
      <c r="B144" s="445">
        <f t="shared" si="16"/>
        <v>10</v>
      </c>
      <c r="C144" s="445"/>
      <c r="D144" s="446" t="s">
        <v>2243</v>
      </c>
      <c r="E144" s="446"/>
      <c r="F144" s="457" t="s">
        <v>63</v>
      </c>
      <c r="G144" s="458">
        <f>'[2]Analisis Pekerjaan SNI'!H1209</f>
        <v>225360</v>
      </c>
      <c r="H144" s="458">
        <f>'[2]Analisis Pekerjaan SNI'!H1213</f>
        <v>117200</v>
      </c>
      <c r="I144" s="449">
        <f t="shared" si="15"/>
        <v>342560</v>
      </c>
      <c r="J144" s="450"/>
    </row>
    <row r="145" spans="2:10" ht="18" customHeight="1">
      <c r="B145" s="445">
        <f t="shared" si="16"/>
        <v>11</v>
      </c>
      <c r="C145" s="445"/>
      <c r="D145" s="446" t="s">
        <v>2244</v>
      </c>
      <c r="E145" s="446"/>
      <c r="F145" s="457" t="s">
        <v>63</v>
      </c>
      <c r="G145" s="458">
        <f>'[2]Analisis Pekerjaan SNI'!H1218</f>
        <v>18021250</v>
      </c>
      <c r="H145" s="458">
        <f>'[2]Analisis Pekerjaan SNI'!H1222</f>
        <v>120500</v>
      </c>
      <c r="I145" s="449">
        <f t="shared" si="15"/>
        <v>18141750</v>
      </c>
      <c r="J145" s="450"/>
    </row>
    <row r="146" spans="2:10" ht="18" customHeight="1">
      <c r="B146" s="445">
        <v>12</v>
      </c>
      <c r="C146" s="445"/>
      <c r="D146" s="446" t="s">
        <v>2245</v>
      </c>
      <c r="E146" s="446"/>
      <c r="F146" s="457" t="s">
        <v>63</v>
      </c>
      <c r="G146" s="458">
        <f>'[2]Analisis Pekerjaan SNI'!H1229</f>
        <v>748880</v>
      </c>
      <c r="H146" s="458">
        <f>'[2]Analisis Pekerjaan SNI'!H1233</f>
        <v>133200</v>
      </c>
      <c r="I146" s="449">
        <f t="shared" si="15"/>
        <v>882080</v>
      </c>
      <c r="J146" s="450"/>
    </row>
    <row r="147" spans="2:10" ht="18" customHeight="1">
      <c r="B147" s="445">
        <f>1+B146</f>
        <v>13</v>
      </c>
      <c r="C147" s="445"/>
      <c r="D147" s="446" t="s">
        <v>2246</v>
      </c>
      <c r="E147" s="446"/>
      <c r="F147" s="457" t="s">
        <v>63</v>
      </c>
      <c r="G147" s="458">
        <f>'[2]Analisis Pekerjaan SNI'!H1240</f>
        <v>299830</v>
      </c>
      <c r="H147" s="458">
        <f>'[2]Analisis Pekerjaan SNI'!H1244</f>
        <v>44300</v>
      </c>
      <c r="I147" s="449">
        <f t="shared" si="15"/>
        <v>344130</v>
      </c>
      <c r="J147" s="450"/>
    </row>
    <row r="148" spans="2:10" ht="18" customHeight="1">
      <c r="B148" s="445">
        <f>1+B147</f>
        <v>14</v>
      </c>
      <c r="C148" s="445"/>
      <c r="D148" s="446" t="s">
        <v>2247</v>
      </c>
      <c r="E148" s="446"/>
      <c r="F148" s="457" t="s">
        <v>63</v>
      </c>
      <c r="G148" s="458">
        <f>'[2]Analisis Pekerjaan SNI'!H1251</f>
        <v>73090</v>
      </c>
      <c r="H148" s="458">
        <f>'[2]Analisis Pekerjaan SNI'!H1255</f>
        <v>46100</v>
      </c>
      <c r="I148" s="449">
        <f t="shared" si="15"/>
        <v>119190</v>
      </c>
      <c r="J148" s="450"/>
    </row>
    <row r="149" spans="2:10" ht="18" customHeight="1">
      <c r="B149" s="535"/>
      <c r="C149" s="536"/>
      <c r="D149" s="536"/>
      <c r="E149" s="536"/>
      <c r="F149" s="536"/>
      <c r="G149" s="536"/>
      <c r="H149" s="536"/>
      <c r="I149" s="536"/>
      <c r="J149" s="537"/>
    </row>
    <row r="150" spans="2:10" ht="21.95" customHeight="1">
      <c r="B150" s="435" t="s">
        <v>2248</v>
      </c>
      <c r="C150" s="436"/>
      <c r="D150" s="436"/>
      <c r="E150" s="436"/>
      <c r="F150" s="436"/>
      <c r="G150" s="436"/>
      <c r="H150" s="436"/>
      <c r="I150" s="436"/>
      <c r="J150" s="437"/>
    </row>
    <row r="151" spans="2:10" ht="18" customHeight="1">
      <c r="B151" s="457" t="s">
        <v>1215</v>
      </c>
      <c r="C151" s="445"/>
      <c r="D151" s="446" t="s">
        <v>2249</v>
      </c>
      <c r="E151" s="446"/>
      <c r="F151" s="457" t="s">
        <v>63</v>
      </c>
      <c r="G151" s="458">
        <f>'[2]Analisis Pekerjaan SNI'!H1354</f>
        <v>64340</v>
      </c>
      <c r="H151" s="458">
        <f>'[2]Analisis Pekerjaan SNI'!H1358</f>
        <v>80200</v>
      </c>
      <c r="I151" s="449">
        <f t="shared" ref="I151:I162" si="17">SUM(G151:H151)</f>
        <v>144540</v>
      </c>
      <c r="J151" s="450"/>
    </row>
    <row r="152" spans="2:10" ht="18" customHeight="1">
      <c r="B152" s="445">
        <f t="shared" si="16"/>
        <v>2</v>
      </c>
      <c r="C152" s="445"/>
      <c r="D152" s="446" t="s">
        <v>2250</v>
      </c>
      <c r="E152" s="446"/>
      <c r="F152" s="457" t="s">
        <v>63</v>
      </c>
      <c r="G152" s="458">
        <f>'[2]Analisis Pekerjaan SNI'!H1365</f>
        <v>63190</v>
      </c>
      <c r="H152" s="458">
        <f>'[2]Analisis Pekerjaan SNI'!H1369</f>
        <v>80200</v>
      </c>
      <c r="I152" s="449">
        <f t="shared" si="17"/>
        <v>143390</v>
      </c>
      <c r="J152" s="450"/>
    </row>
    <row r="153" spans="2:10" ht="18" customHeight="1">
      <c r="B153" s="445">
        <f t="shared" si="16"/>
        <v>3</v>
      </c>
      <c r="C153" s="445"/>
      <c r="D153" s="446" t="s">
        <v>2251</v>
      </c>
      <c r="E153" s="446"/>
      <c r="F153" s="457" t="s">
        <v>63</v>
      </c>
      <c r="G153" s="458">
        <f>'[2]Analisis Pekerjaan SNI'!H1376</f>
        <v>69290</v>
      </c>
      <c r="H153" s="458">
        <f>'[2]Analisis Pekerjaan SNI'!H1380</f>
        <v>76600</v>
      </c>
      <c r="I153" s="449">
        <f t="shared" si="17"/>
        <v>145890</v>
      </c>
      <c r="J153" s="450"/>
    </row>
    <row r="154" spans="2:10" ht="18" customHeight="1">
      <c r="B154" s="445">
        <f t="shared" si="16"/>
        <v>4</v>
      </c>
      <c r="C154" s="445"/>
      <c r="D154" s="446" t="s">
        <v>2252</v>
      </c>
      <c r="E154" s="446"/>
      <c r="F154" s="457" t="s">
        <v>63</v>
      </c>
      <c r="G154" s="458">
        <f>'[2]Analisis Pekerjaan SNI'!H1387</f>
        <v>66990</v>
      </c>
      <c r="H154" s="458">
        <f>'[2]Analisis Pekerjaan SNI'!H1391</f>
        <v>76600</v>
      </c>
      <c r="I154" s="449">
        <f t="shared" si="17"/>
        <v>143590</v>
      </c>
      <c r="J154" s="450"/>
    </row>
    <row r="155" spans="2:10" ht="18" customHeight="1">
      <c r="B155" s="445">
        <f t="shared" si="16"/>
        <v>5</v>
      </c>
      <c r="C155" s="445"/>
      <c r="D155" s="446" t="s">
        <v>2253</v>
      </c>
      <c r="E155" s="446"/>
      <c r="F155" s="457" t="s">
        <v>63</v>
      </c>
      <c r="G155" s="458">
        <f>'[2]Analisis Pekerjaan SNI'!H1398</f>
        <v>74860</v>
      </c>
      <c r="H155" s="458">
        <f>'[2]Analisis Pekerjaan SNI'!H1402</f>
        <v>73120</v>
      </c>
      <c r="I155" s="449">
        <f t="shared" si="17"/>
        <v>147980</v>
      </c>
      <c r="J155" s="450"/>
    </row>
    <row r="156" spans="2:10" ht="18" customHeight="1">
      <c r="B156" s="445">
        <f t="shared" si="16"/>
        <v>6</v>
      </c>
      <c r="C156" s="445"/>
      <c r="D156" s="446" t="s">
        <v>2254</v>
      </c>
      <c r="E156" s="446"/>
      <c r="F156" s="457" t="s">
        <v>63</v>
      </c>
      <c r="G156" s="458">
        <f>'[2]Analisis Pekerjaan SNI'!H1409</f>
        <v>73130</v>
      </c>
      <c r="H156" s="458">
        <f>'[2]Analisis Pekerjaan SNI'!H1413</f>
        <v>73120</v>
      </c>
      <c r="I156" s="449">
        <f t="shared" si="17"/>
        <v>146250</v>
      </c>
      <c r="J156" s="450"/>
    </row>
    <row r="157" spans="2:10" ht="18" customHeight="1">
      <c r="B157" s="445">
        <f t="shared" si="16"/>
        <v>7</v>
      </c>
      <c r="C157" s="445"/>
      <c r="D157" s="446" t="s">
        <v>2255</v>
      </c>
      <c r="E157" s="446"/>
      <c r="F157" s="457" t="s">
        <v>63</v>
      </c>
      <c r="G157" s="458">
        <f>'[2]Analisis Pekerjaan SNI'!H1423</f>
        <v>198550</v>
      </c>
      <c r="H157" s="458">
        <f>'[2]Analisis Pekerjaan SNI'!H1427</f>
        <v>170200</v>
      </c>
      <c r="I157" s="449">
        <f t="shared" si="17"/>
        <v>368750</v>
      </c>
      <c r="J157" s="450"/>
    </row>
    <row r="158" spans="2:10" ht="18" customHeight="1">
      <c r="B158" s="445">
        <f t="shared" si="16"/>
        <v>8</v>
      </c>
      <c r="C158" s="445"/>
      <c r="D158" s="446" t="s">
        <v>2256</v>
      </c>
      <c r="E158" s="446"/>
      <c r="F158" s="457" t="s">
        <v>63</v>
      </c>
      <c r="G158" s="458">
        <f>'[2]Analisis Pekerjaan SNI'!H1437</f>
        <v>726170</v>
      </c>
      <c r="H158" s="458">
        <f>'[2]Analisis Pekerjaan SNI'!H1441</f>
        <v>170200</v>
      </c>
      <c r="I158" s="449">
        <f t="shared" si="17"/>
        <v>896370</v>
      </c>
      <c r="J158" s="450"/>
    </row>
    <row r="159" spans="2:10" ht="18" customHeight="1">
      <c r="B159" s="445">
        <f t="shared" si="16"/>
        <v>9</v>
      </c>
      <c r="C159" s="445"/>
      <c r="D159" s="446" t="s">
        <v>2257</v>
      </c>
      <c r="E159" s="446"/>
      <c r="F159" s="457" t="s">
        <v>63</v>
      </c>
      <c r="G159" s="458">
        <f>'[2]Analisis Pekerjaan SNI'!H1447</f>
        <v>131450</v>
      </c>
      <c r="H159" s="458">
        <f>'[2]Analisis Pekerjaan SNI'!H1451</f>
        <v>70200</v>
      </c>
      <c r="I159" s="449">
        <f t="shared" si="17"/>
        <v>201650</v>
      </c>
      <c r="J159" s="450"/>
    </row>
    <row r="160" spans="2:10" ht="18" customHeight="1">
      <c r="B160" s="445">
        <f t="shared" si="16"/>
        <v>10</v>
      </c>
      <c r="C160" s="445"/>
      <c r="D160" s="446" t="s">
        <v>2258</v>
      </c>
      <c r="E160" s="446"/>
      <c r="F160" s="457" t="s">
        <v>63</v>
      </c>
      <c r="G160" s="458">
        <f>'[2]Analisis Pekerjaan SNI'!H1457</f>
        <v>126500</v>
      </c>
      <c r="H160" s="458">
        <f>'[2]Analisis Pekerjaan SNI'!H1461</f>
        <v>70200</v>
      </c>
      <c r="I160" s="449">
        <f t="shared" si="17"/>
        <v>196700</v>
      </c>
      <c r="J160" s="450"/>
    </row>
    <row r="161" spans="1:10" ht="18" customHeight="1">
      <c r="B161" s="445">
        <f t="shared" si="16"/>
        <v>11</v>
      </c>
      <c r="C161" s="445"/>
      <c r="D161" s="446" t="s">
        <v>2259</v>
      </c>
      <c r="E161" s="446"/>
      <c r="F161" s="457" t="s">
        <v>2229</v>
      </c>
      <c r="G161" s="458">
        <f>'[2]Analisis Pekerjaan SNI'!H1468</f>
        <v>27430</v>
      </c>
      <c r="H161" s="458">
        <f>'[2]Analisis Pekerjaan SNI'!H1472</f>
        <v>10800</v>
      </c>
      <c r="I161" s="449">
        <f t="shared" si="17"/>
        <v>38230</v>
      </c>
      <c r="J161" s="450"/>
    </row>
    <row r="162" spans="1:10" ht="18" customHeight="1">
      <c r="B162" s="445">
        <f t="shared" si="16"/>
        <v>12</v>
      </c>
      <c r="C162" s="445"/>
      <c r="D162" s="446" t="s">
        <v>2260</v>
      </c>
      <c r="E162" s="446"/>
      <c r="F162" s="457" t="s">
        <v>2229</v>
      </c>
      <c r="G162" s="458">
        <f>'[2]Analisis Pekerjaan SNI'!H1479</f>
        <v>42620</v>
      </c>
      <c r="H162" s="458">
        <f>'[2]Analisis Pekerjaan SNI'!H1483</f>
        <v>10800</v>
      </c>
      <c r="I162" s="449">
        <f t="shared" si="17"/>
        <v>53420</v>
      </c>
      <c r="J162" s="450"/>
    </row>
    <row r="163" spans="1:10" ht="18" customHeight="1">
      <c r="B163" s="444"/>
      <c r="C163" s="455"/>
      <c r="D163" s="483"/>
      <c r="E163" s="483"/>
      <c r="F163" s="484"/>
      <c r="G163" s="484"/>
      <c r="H163" s="484"/>
      <c r="I163" s="485"/>
      <c r="J163" s="486"/>
    </row>
    <row r="164" spans="1:10" ht="18" customHeight="1">
      <c r="B164" s="535"/>
      <c r="C164" s="536"/>
      <c r="D164" s="536"/>
      <c r="E164" s="536"/>
      <c r="F164" s="536"/>
      <c r="G164" s="536"/>
      <c r="H164" s="536"/>
      <c r="I164" s="536"/>
      <c r="J164" s="537"/>
    </row>
    <row r="165" spans="1:10" ht="21.95" customHeight="1">
      <c r="A165" s="456"/>
      <c r="B165" s="435" t="s">
        <v>2261</v>
      </c>
      <c r="C165" s="436"/>
      <c r="D165" s="436"/>
      <c r="E165" s="436"/>
      <c r="F165" s="436"/>
      <c r="G165" s="436"/>
      <c r="H165" s="436"/>
      <c r="I165" s="436"/>
      <c r="J165" s="437"/>
    </row>
    <row r="166" spans="1:10" ht="18" customHeight="1">
      <c r="B166" s="445">
        <v>1</v>
      </c>
      <c r="C166" s="445"/>
      <c r="D166" s="467" t="s">
        <v>2262</v>
      </c>
      <c r="E166" s="446"/>
      <c r="F166" s="457" t="s">
        <v>42</v>
      </c>
      <c r="G166" s="458">
        <f>'[2]Analisis Pekerjaan SNI'!H1491</f>
        <v>7176000</v>
      </c>
      <c r="H166" s="458">
        <f>'[2]Analisis Pekerjaan SNI'!H1495</f>
        <v>2760000</v>
      </c>
      <c r="I166" s="449">
        <f t="shared" ref="I166:I189" si="18">SUM(G166:H166)</f>
        <v>9936000</v>
      </c>
      <c r="J166" s="450"/>
    </row>
    <row r="167" spans="1:10" ht="18" customHeight="1">
      <c r="B167" s="445">
        <f>B166+1</f>
        <v>2</v>
      </c>
      <c r="C167" s="445"/>
      <c r="D167" s="467" t="s">
        <v>2263</v>
      </c>
      <c r="E167" s="446"/>
      <c r="F167" s="457" t="s">
        <v>42</v>
      </c>
      <c r="G167" s="458">
        <f>'[2]Analisis Pekerjaan SNI'!H1499</f>
        <v>5934000</v>
      </c>
      <c r="H167" s="458">
        <f>'[2]Analisis Pekerjaan SNI'!H1503</f>
        <v>2760000</v>
      </c>
      <c r="I167" s="449">
        <f t="shared" si="18"/>
        <v>8694000</v>
      </c>
      <c r="J167" s="450"/>
    </row>
    <row r="168" spans="1:10" ht="18" customHeight="1">
      <c r="B168" s="445">
        <f t="shared" ref="B168:B189" si="19">B167+1</f>
        <v>3</v>
      </c>
      <c r="C168" s="445"/>
      <c r="D168" s="467" t="s">
        <v>2264</v>
      </c>
      <c r="E168" s="446"/>
      <c r="F168" s="457" t="s">
        <v>42</v>
      </c>
      <c r="G168" s="458">
        <f>'[2]Analisis Pekerjaan SNI'!H1507</f>
        <v>900000</v>
      </c>
      <c r="H168" s="458">
        <f>'[2]Analisis Pekerjaan SNI'!H1511</f>
        <v>2760000</v>
      </c>
      <c r="I168" s="449">
        <f t="shared" si="18"/>
        <v>3660000</v>
      </c>
      <c r="J168" s="450"/>
    </row>
    <row r="169" spans="1:10" ht="18" customHeight="1">
      <c r="B169" s="445">
        <f t="shared" si="19"/>
        <v>4</v>
      </c>
      <c r="C169" s="445"/>
      <c r="D169" s="467" t="s">
        <v>2265</v>
      </c>
      <c r="E169" s="446"/>
      <c r="F169" s="457" t="s">
        <v>63</v>
      </c>
      <c r="G169" s="458">
        <f>'[2]Analisis Pekerjaan SNI'!H1515</f>
        <v>248400</v>
      </c>
      <c r="H169" s="458">
        <f>'[2]Analisis Pekerjaan SNI'!H1519</f>
        <v>460000</v>
      </c>
      <c r="I169" s="449">
        <f t="shared" si="18"/>
        <v>708400</v>
      </c>
      <c r="J169" s="450"/>
    </row>
    <row r="170" spans="1:10" ht="18" customHeight="1">
      <c r="B170" s="445">
        <f t="shared" si="19"/>
        <v>5</v>
      </c>
      <c r="C170" s="445"/>
      <c r="D170" s="467" t="s">
        <v>2266</v>
      </c>
      <c r="E170" s="446"/>
      <c r="F170" s="457" t="s">
        <v>63</v>
      </c>
      <c r="G170" s="458">
        <f>'[2]Analisis Pekerjaan SNI'!H1523</f>
        <v>197800</v>
      </c>
      <c r="H170" s="458">
        <f>'[2]Analisis Pekerjaan SNI'!H1527</f>
        <v>460000</v>
      </c>
      <c r="I170" s="449">
        <f t="shared" si="18"/>
        <v>657800</v>
      </c>
      <c r="J170" s="450"/>
    </row>
    <row r="171" spans="1:10" ht="18" customHeight="1">
      <c r="B171" s="445">
        <f t="shared" si="19"/>
        <v>6</v>
      </c>
      <c r="C171" s="453"/>
      <c r="D171" s="467" t="s">
        <v>2267</v>
      </c>
      <c r="E171" s="446"/>
      <c r="F171" s="457" t="s">
        <v>63</v>
      </c>
      <c r="G171" s="458">
        <f>'[2]Analisis Pekerjaan SNI'!H1531</f>
        <v>173070</v>
      </c>
      <c r="H171" s="458">
        <f>'[2]Analisis Pekerjaan SNI'!H1535</f>
        <v>368000</v>
      </c>
      <c r="I171" s="449">
        <f t="shared" si="18"/>
        <v>541070</v>
      </c>
      <c r="J171" s="450"/>
    </row>
    <row r="172" spans="1:10" ht="18" customHeight="1">
      <c r="B172" s="445">
        <f t="shared" si="19"/>
        <v>7</v>
      </c>
      <c r="C172" s="453"/>
      <c r="D172" s="467" t="s">
        <v>2268</v>
      </c>
      <c r="E172" s="446"/>
      <c r="F172" s="457" t="s">
        <v>63</v>
      </c>
      <c r="G172" s="458">
        <f>'[2]Analisis Pekerjaan SNI'!H1539</f>
        <v>56000</v>
      </c>
      <c r="H172" s="458">
        <f>'[2]Analisis Pekerjaan SNI'!H1543</f>
        <v>368000</v>
      </c>
      <c r="I172" s="449">
        <f t="shared" si="18"/>
        <v>424000</v>
      </c>
      <c r="J172" s="450"/>
    </row>
    <row r="173" spans="1:10" ht="18" customHeight="1">
      <c r="B173" s="445">
        <f t="shared" si="19"/>
        <v>8</v>
      </c>
      <c r="C173" s="453"/>
      <c r="D173" s="467" t="s">
        <v>2269</v>
      </c>
      <c r="E173" s="446"/>
      <c r="F173" s="457" t="s">
        <v>63</v>
      </c>
      <c r="G173" s="458">
        <f>'[2]Analisis Pekerjaan SNI'!H1547</f>
        <v>316480</v>
      </c>
      <c r="H173" s="458">
        <f>'[2]Analisis Pekerjaan SNI'!H1551</f>
        <v>530000</v>
      </c>
      <c r="I173" s="449">
        <f t="shared" si="18"/>
        <v>846480</v>
      </c>
      <c r="J173" s="450"/>
    </row>
    <row r="174" spans="1:10" ht="18" customHeight="1">
      <c r="B174" s="445">
        <f t="shared" si="19"/>
        <v>9</v>
      </c>
      <c r="C174" s="453"/>
      <c r="D174" s="467" t="s">
        <v>2270</v>
      </c>
      <c r="E174" s="454"/>
      <c r="F174" s="457" t="s">
        <v>63</v>
      </c>
      <c r="G174" s="458">
        <f>'[2]Analisis Pekerjaan SNI'!H1558</f>
        <v>181310</v>
      </c>
      <c r="H174" s="458">
        <f>'[2]Analisis Pekerjaan SNI'!H1562</f>
        <v>346000</v>
      </c>
      <c r="I174" s="449">
        <f t="shared" si="18"/>
        <v>527310</v>
      </c>
      <c r="J174" s="450"/>
    </row>
    <row r="175" spans="1:10" ht="18" customHeight="1">
      <c r="B175" s="445">
        <f t="shared" si="19"/>
        <v>10</v>
      </c>
      <c r="C175" s="453"/>
      <c r="D175" s="467" t="s">
        <v>2271</v>
      </c>
      <c r="E175" s="446"/>
      <c r="F175" s="457" t="s">
        <v>63</v>
      </c>
      <c r="G175" s="458">
        <f>'[2]Analisis Pekerjaan SNI'!H1567</f>
        <v>300750</v>
      </c>
      <c r="H175" s="458">
        <f>'[2]Analisis Pekerjaan SNI'!H1571</f>
        <v>335000</v>
      </c>
      <c r="I175" s="449">
        <f t="shared" si="18"/>
        <v>635750</v>
      </c>
      <c r="J175" s="450"/>
    </row>
    <row r="176" spans="1:10" ht="18" customHeight="1">
      <c r="B176" s="445">
        <f t="shared" si="19"/>
        <v>11</v>
      </c>
      <c r="C176" s="453"/>
      <c r="D176" s="467" t="s">
        <v>2272</v>
      </c>
      <c r="E176" s="446"/>
      <c r="F176" s="457" t="s">
        <v>63</v>
      </c>
      <c r="G176" s="458">
        <f>'[2]Analisis Pekerjaan SNI'!H1578</f>
        <v>115750</v>
      </c>
      <c r="H176" s="458">
        <f>'[2]Analisis Pekerjaan SNI'!H1582</f>
        <v>346000</v>
      </c>
      <c r="I176" s="449">
        <f t="shared" si="18"/>
        <v>461750</v>
      </c>
      <c r="J176" s="450"/>
    </row>
    <row r="177" spans="1:10" ht="18" customHeight="1">
      <c r="B177" s="445">
        <f t="shared" si="19"/>
        <v>12</v>
      </c>
      <c r="C177" s="453"/>
      <c r="D177" s="467" t="s">
        <v>2273</v>
      </c>
      <c r="E177" s="446"/>
      <c r="F177" s="457" t="s">
        <v>63</v>
      </c>
      <c r="G177" s="458">
        <f>'[2]Analisis Pekerjaan SNI'!H1589</f>
        <v>221950</v>
      </c>
      <c r="H177" s="458">
        <f>'[2]Analisis Pekerjaan SNI'!H1593</f>
        <v>346000</v>
      </c>
      <c r="I177" s="449">
        <f t="shared" si="18"/>
        <v>567950</v>
      </c>
      <c r="J177" s="450"/>
    </row>
    <row r="178" spans="1:10" ht="18" customHeight="1">
      <c r="B178" s="445">
        <f t="shared" si="19"/>
        <v>13</v>
      </c>
      <c r="C178" s="453"/>
      <c r="D178" s="467" t="s">
        <v>2274</v>
      </c>
      <c r="E178" s="446"/>
      <c r="F178" s="457" t="s">
        <v>63</v>
      </c>
      <c r="G178" s="458">
        <f>'[2]Analisis Pekerjaan SNI'!H1601</f>
        <v>275190</v>
      </c>
      <c r="H178" s="458">
        <f>'[2]Analisis Pekerjaan SNI'!H1605</f>
        <v>438000</v>
      </c>
      <c r="I178" s="449">
        <f t="shared" si="18"/>
        <v>713190</v>
      </c>
      <c r="J178" s="450"/>
    </row>
    <row r="179" spans="1:10" ht="18" customHeight="1">
      <c r="B179" s="445">
        <f t="shared" si="19"/>
        <v>14</v>
      </c>
      <c r="C179" s="453"/>
      <c r="D179" s="467" t="s">
        <v>2275</v>
      </c>
      <c r="E179" s="446"/>
      <c r="F179" s="457" t="s">
        <v>63</v>
      </c>
      <c r="G179" s="458">
        <f>'[2]Analisis Pekerjaan SNI'!H1614</f>
        <v>309490</v>
      </c>
      <c r="H179" s="458">
        <f>'[2]Analisis Pekerjaan SNI'!H1618</f>
        <v>438000</v>
      </c>
      <c r="I179" s="449">
        <f t="shared" si="18"/>
        <v>747490</v>
      </c>
      <c r="J179" s="450"/>
    </row>
    <row r="180" spans="1:10" ht="18" customHeight="1">
      <c r="B180" s="445">
        <f t="shared" si="19"/>
        <v>15</v>
      </c>
      <c r="C180" s="453"/>
      <c r="D180" s="467" t="s">
        <v>2276</v>
      </c>
      <c r="E180" s="446"/>
      <c r="F180" s="457" t="s">
        <v>63</v>
      </c>
      <c r="G180" s="458">
        <f>'[2]Analisis Pekerjaan SNI'!H1626</f>
        <v>258320</v>
      </c>
      <c r="H180" s="458">
        <f>'[2]Analisis Pekerjaan SNI'!H1630</f>
        <v>79500</v>
      </c>
      <c r="I180" s="449">
        <f t="shared" si="18"/>
        <v>337820</v>
      </c>
      <c r="J180" s="450"/>
    </row>
    <row r="181" spans="1:10" ht="18" customHeight="1">
      <c r="B181" s="445">
        <f t="shared" si="19"/>
        <v>16</v>
      </c>
      <c r="C181" s="453"/>
      <c r="D181" s="467" t="s">
        <v>2277</v>
      </c>
      <c r="E181" s="446"/>
      <c r="F181" s="457" t="s">
        <v>63</v>
      </c>
      <c r="G181" s="458">
        <f>'[2]Analisis Pekerjaan SNI'!H1638</f>
        <v>224970</v>
      </c>
      <c r="H181" s="458">
        <f>'[2]Analisis Pekerjaan SNI'!H1642</f>
        <v>106000</v>
      </c>
      <c r="I181" s="449">
        <f t="shared" si="18"/>
        <v>330970</v>
      </c>
      <c r="J181" s="450"/>
    </row>
    <row r="182" spans="1:10" ht="18" customHeight="1">
      <c r="B182" s="445">
        <f t="shared" si="19"/>
        <v>17</v>
      </c>
      <c r="C182" s="453"/>
      <c r="D182" s="467" t="s">
        <v>2278</v>
      </c>
      <c r="E182" s="446"/>
      <c r="F182" s="457" t="s">
        <v>785</v>
      </c>
      <c r="G182" s="458">
        <f>'[2]Analisis Pekerjaan SNI'!H1647</f>
        <v>506000</v>
      </c>
      <c r="H182" s="458">
        <f>'[2]Analisis Pekerjaan SNI'!H1650</f>
        <v>2940</v>
      </c>
      <c r="I182" s="449">
        <f t="shared" si="18"/>
        <v>508940</v>
      </c>
      <c r="J182" s="450"/>
    </row>
    <row r="183" spans="1:10" ht="18" customHeight="1">
      <c r="B183" s="445">
        <f t="shared" si="19"/>
        <v>18</v>
      </c>
      <c r="C183" s="453"/>
      <c r="D183" s="467" t="s">
        <v>2279</v>
      </c>
      <c r="E183" s="446"/>
      <c r="F183" s="457" t="s">
        <v>63</v>
      </c>
      <c r="G183" s="458">
        <f>'[2]Analisis Pekerjaan SNI'!H1659</f>
        <v>785950</v>
      </c>
      <c r="H183" s="458">
        <f>'[2]Analisis Pekerjaan SNI'!H1663</f>
        <v>215000</v>
      </c>
      <c r="I183" s="449">
        <f t="shared" si="18"/>
        <v>1000950</v>
      </c>
      <c r="J183" s="450"/>
    </row>
    <row r="184" spans="1:10" ht="18" customHeight="1">
      <c r="B184" s="445">
        <f t="shared" si="19"/>
        <v>19</v>
      </c>
      <c r="C184" s="453"/>
      <c r="D184" s="467" t="s">
        <v>2280</v>
      </c>
      <c r="E184" s="446"/>
      <c r="F184" s="457" t="s">
        <v>63</v>
      </c>
      <c r="G184" s="458">
        <f>'[2]Analisis Pekerjaan SNI'!H1672</f>
        <v>462600</v>
      </c>
      <c r="H184" s="458">
        <f>'[2]Analisis Pekerjaan SNI'!H1676</f>
        <v>215000</v>
      </c>
      <c r="I184" s="449">
        <f t="shared" si="18"/>
        <v>677600</v>
      </c>
      <c r="J184" s="450"/>
    </row>
    <row r="185" spans="1:10" ht="18" customHeight="1">
      <c r="B185" s="445">
        <f t="shared" si="19"/>
        <v>20</v>
      </c>
      <c r="C185" s="453"/>
      <c r="D185" s="467" t="s">
        <v>2281</v>
      </c>
      <c r="E185" s="446"/>
      <c r="F185" s="457" t="s">
        <v>63</v>
      </c>
      <c r="G185" s="458">
        <f>'[2]Analisis Pekerjaan SNI'!H1686</f>
        <v>101530</v>
      </c>
      <c r="H185" s="458">
        <f>'[2]Analisis Pekerjaan SNI'!H1690</f>
        <v>18000</v>
      </c>
      <c r="I185" s="449">
        <f t="shared" si="18"/>
        <v>119530</v>
      </c>
      <c r="J185" s="450"/>
    </row>
    <row r="186" spans="1:10" ht="18" customHeight="1">
      <c r="B186" s="445">
        <f t="shared" si="19"/>
        <v>21</v>
      </c>
      <c r="C186" s="453"/>
      <c r="D186" s="467" t="s">
        <v>2282</v>
      </c>
      <c r="E186" s="446"/>
      <c r="F186" s="457" t="s">
        <v>63</v>
      </c>
      <c r="G186" s="458">
        <f>'[2]Analisis Pekerjaan SNI'!H1700</f>
        <v>132280</v>
      </c>
      <c r="H186" s="458">
        <f>'[2]Analisis Pekerjaan SNI'!H1704</f>
        <v>18000</v>
      </c>
      <c r="I186" s="449">
        <f t="shared" si="18"/>
        <v>150280</v>
      </c>
      <c r="J186" s="450"/>
    </row>
    <row r="187" spans="1:10" ht="18" customHeight="1">
      <c r="B187" s="445">
        <f t="shared" si="19"/>
        <v>22</v>
      </c>
      <c r="C187" s="453"/>
      <c r="D187" s="467" t="s">
        <v>2283</v>
      </c>
      <c r="E187" s="446"/>
      <c r="F187" s="457" t="s">
        <v>63</v>
      </c>
      <c r="G187" s="458">
        <f>'[2]Analisis Pekerjaan SNI'!H1714</f>
        <v>86740</v>
      </c>
      <c r="H187" s="458">
        <f>'[2]Analisis Pekerjaan SNI'!H1718</f>
        <v>18000</v>
      </c>
      <c r="I187" s="449">
        <f t="shared" si="18"/>
        <v>104740</v>
      </c>
      <c r="J187" s="450"/>
    </row>
    <row r="188" spans="1:10" ht="18" customHeight="1">
      <c r="B188" s="445">
        <f t="shared" si="19"/>
        <v>23</v>
      </c>
      <c r="C188" s="453"/>
      <c r="D188" s="467" t="s">
        <v>2284</v>
      </c>
      <c r="E188" s="446"/>
      <c r="F188" s="457" t="s">
        <v>63</v>
      </c>
      <c r="G188" s="458">
        <f>'[2]Analisis Pekerjaan SNI'!H1727</f>
        <v>785950</v>
      </c>
      <c r="H188" s="458">
        <f>'[2]Analisis Pekerjaan SNI'!H1731</f>
        <v>215000</v>
      </c>
      <c r="I188" s="449">
        <f t="shared" si="18"/>
        <v>1000950</v>
      </c>
      <c r="J188" s="450"/>
    </row>
    <row r="189" spans="1:10" ht="18" customHeight="1">
      <c r="B189" s="445">
        <f t="shared" si="19"/>
        <v>24</v>
      </c>
      <c r="C189" s="453"/>
      <c r="D189" s="467" t="s">
        <v>2284</v>
      </c>
      <c r="E189" s="446"/>
      <c r="F189" s="457" t="s">
        <v>63</v>
      </c>
      <c r="G189" s="458">
        <f>'[2]Analisis Pekerjaan SNI'!H1728</f>
        <v>33000</v>
      </c>
      <c r="H189" s="458">
        <f>'[2]Analisis Pekerjaan SNI'!H1846</f>
        <v>0</v>
      </c>
      <c r="I189" s="449">
        <f t="shared" si="18"/>
        <v>33000</v>
      </c>
      <c r="J189" s="450"/>
    </row>
    <row r="190" spans="1:10" ht="18" customHeight="1">
      <c r="B190" s="535"/>
      <c r="C190" s="536"/>
      <c r="D190" s="536"/>
      <c r="E190" s="536"/>
      <c r="F190" s="536"/>
      <c r="G190" s="536"/>
      <c r="H190" s="536"/>
      <c r="I190" s="536"/>
      <c r="J190" s="537"/>
    </row>
    <row r="191" spans="1:10" ht="21.95" customHeight="1">
      <c r="A191" s="456"/>
      <c r="B191" s="435" t="s">
        <v>2285</v>
      </c>
      <c r="C191" s="436"/>
      <c r="D191" s="436"/>
      <c r="E191" s="436"/>
      <c r="F191" s="436"/>
      <c r="G191" s="436"/>
      <c r="H191" s="436"/>
      <c r="I191" s="436"/>
      <c r="J191" s="437"/>
    </row>
    <row r="192" spans="1:10" ht="18" customHeight="1">
      <c r="B192" s="472" t="s">
        <v>1213</v>
      </c>
      <c r="C192" s="472"/>
      <c r="D192" s="473" t="s">
        <v>2029</v>
      </c>
      <c r="E192" s="446"/>
      <c r="F192" s="472"/>
      <c r="G192" s="472"/>
      <c r="H192" s="472"/>
      <c r="I192" s="472"/>
      <c r="J192" s="472"/>
    </row>
    <row r="193" spans="2:10" ht="18" customHeight="1">
      <c r="B193" s="457" t="s">
        <v>1215</v>
      </c>
      <c r="C193" s="445"/>
      <c r="D193" s="446" t="s">
        <v>2286</v>
      </c>
      <c r="E193" s="446"/>
      <c r="F193" s="457" t="s">
        <v>42</v>
      </c>
      <c r="G193" s="458">
        <f>'[2]Analisis Pekerjaan SNI'!H1860</f>
        <v>5657750</v>
      </c>
      <c r="H193" s="458">
        <f>'[2]Analisis Pekerjaan SNI'!H1864</f>
        <v>2120000</v>
      </c>
      <c r="I193" s="449">
        <f t="shared" ref="I193:I199" si="20">SUM(G193:H193)</f>
        <v>7777750</v>
      </c>
      <c r="J193" s="450"/>
    </row>
    <row r="194" spans="2:10" ht="18" customHeight="1">
      <c r="B194" s="457" t="s">
        <v>1216</v>
      </c>
      <c r="C194" s="445"/>
      <c r="D194" s="446" t="s">
        <v>2287</v>
      </c>
      <c r="E194" s="446"/>
      <c r="F194" s="457" t="s">
        <v>42</v>
      </c>
      <c r="G194" s="458">
        <f>'[2]Analisis Pekerjaan SNI'!H1871</f>
        <v>1043250</v>
      </c>
      <c r="H194" s="458">
        <f>'[2]Analisis Pekerjaan SNI'!H1875</f>
        <v>2120000</v>
      </c>
      <c r="I194" s="449">
        <f t="shared" si="20"/>
        <v>3163250</v>
      </c>
      <c r="J194" s="450"/>
    </row>
    <row r="195" spans="2:10" ht="18" customHeight="1">
      <c r="B195" s="457" t="s">
        <v>1217</v>
      </c>
      <c r="C195" s="445"/>
      <c r="D195" s="446" t="s">
        <v>2288</v>
      </c>
      <c r="E195" s="446"/>
      <c r="F195" s="457" t="s">
        <v>63</v>
      </c>
      <c r="G195" s="458">
        <f>'[2]Analisis Pekerjaan SNI'!H1880</f>
        <v>13050</v>
      </c>
      <c r="H195" s="458">
        <f>'[2]Analisis Pekerjaan SNI'!H1884</f>
        <v>64100</v>
      </c>
      <c r="I195" s="449">
        <f t="shared" si="20"/>
        <v>77150</v>
      </c>
      <c r="J195" s="450"/>
    </row>
    <row r="196" spans="2:10" ht="18" customHeight="1">
      <c r="B196" s="457" t="s">
        <v>1218</v>
      </c>
      <c r="C196" s="445"/>
      <c r="D196" s="446" t="s">
        <v>2289</v>
      </c>
      <c r="E196" s="446"/>
      <c r="F196" s="457" t="s">
        <v>63</v>
      </c>
      <c r="G196" s="458">
        <f>'[2]Analisis Pekerjaan SNI'!H1889</f>
        <v>14550</v>
      </c>
      <c r="H196" s="458">
        <f>'[2]Analisis Pekerjaan SNI'!H1893</f>
        <v>25000</v>
      </c>
      <c r="I196" s="449">
        <f t="shared" si="20"/>
        <v>39550</v>
      </c>
      <c r="J196" s="450"/>
    </row>
    <row r="197" spans="2:10" ht="18" customHeight="1">
      <c r="B197" s="457" t="s">
        <v>1219</v>
      </c>
      <c r="C197" s="445"/>
      <c r="D197" s="446" t="s">
        <v>2290</v>
      </c>
      <c r="E197" s="446"/>
      <c r="F197" s="457" t="s">
        <v>63</v>
      </c>
      <c r="G197" s="458">
        <f>'[2]Analisis Pekerjaan SNI'!H1898</f>
        <v>36950</v>
      </c>
      <c r="H197" s="458">
        <f>'[2]Analisis Pekerjaan SNI'!H1902</f>
        <v>149800</v>
      </c>
      <c r="I197" s="449">
        <f t="shared" si="20"/>
        <v>186750</v>
      </c>
      <c r="J197" s="450"/>
    </row>
    <row r="198" spans="2:10" ht="18" customHeight="1">
      <c r="B198" s="457" t="s">
        <v>1223</v>
      </c>
      <c r="C198" s="445"/>
      <c r="D198" s="446" t="s">
        <v>2291</v>
      </c>
      <c r="E198" s="446"/>
      <c r="F198" s="457" t="s">
        <v>63</v>
      </c>
      <c r="G198" s="458">
        <f>'[2]Analisis Pekerjaan SNI'!H1907</f>
        <v>55740</v>
      </c>
      <c r="H198" s="458">
        <f>'[2]Analisis Pekerjaan SNI'!H1911</f>
        <v>42900</v>
      </c>
      <c r="I198" s="449">
        <f t="shared" si="20"/>
        <v>98640</v>
      </c>
      <c r="J198" s="450"/>
    </row>
    <row r="199" spans="2:10" ht="18" customHeight="1">
      <c r="B199" s="457">
        <v>7</v>
      </c>
      <c r="C199" s="445"/>
      <c r="D199" s="446" t="s">
        <v>2292</v>
      </c>
      <c r="E199" s="446"/>
      <c r="F199" s="457" t="s">
        <v>42</v>
      </c>
      <c r="G199" s="458">
        <f>'[2]Analisis Pekerjaan SNI'!H1916</f>
        <v>792900</v>
      </c>
      <c r="H199" s="458">
        <f>'[2]Analisis Pekerjaan SNI'!H1920</f>
        <v>500000</v>
      </c>
      <c r="I199" s="449">
        <f t="shared" si="20"/>
        <v>1292900</v>
      </c>
      <c r="J199" s="450"/>
    </row>
    <row r="200" spans="2:10" ht="18" customHeight="1">
      <c r="B200" s="535"/>
      <c r="C200" s="536"/>
      <c r="D200" s="536"/>
      <c r="E200" s="536"/>
      <c r="F200" s="536"/>
      <c r="G200" s="536"/>
      <c r="H200" s="536"/>
      <c r="I200" s="536"/>
      <c r="J200" s="537"/>
    </row>
    <row r="201" spans="2:10" ht="18" customHeight="1">
      <c r="B201" s="472" t="s">
        <v>1221</v>
      </c>
      <c r="C201" s="472"/>
      <c r="D201" s="473" t="s">
        <v>2033</v>
      </c>
      <c r="E201" s="446"/>
      <c r="F201" s="457"/>
      <c r="G201" s="457"/>
      <c r="H201" s="457"/>
      <c r="I201" s="449"/>
      <c r="J201" s="450"/>
    </row>
    <row r="202" spans="2:10" ht="18" customHeight="1">
      <c r="B202" s="457" t="s">
        <v>1215</v>
      </c>
      <c r="C202" s="445"/>
      <c r="D202" s="446" t="s">
        <v>2293</v>
      </c>
      <c r="E202" s="446"/>
      <c r="F202" s="457" t="s">
        <v>63</v>
      </c>
      <c r="G202" s="458">
        <f>'[2]Analisis Pekerjaan SNI'!H1925</f>
        <v>43120</v>
      </c>
      <c r="H202" s="458">
        <f>'[2]Analisis Pekerjaan SNI'!H1929</f>
        <v>27000</v>
      </c>
      <c r="I202" s="449">
        <f t="shared" ref="I202:I219" si="21">SUM(G202:H202)</f>
        <v>70120</v>
      </c>
      <c r="J202" s="450"/>
    </row>
    <row r="203" spans="2:10" ht="18" customHeight="1">
      <c r="B203" s="445">
        <f>+B202+1</f>
        <v>2</v>
      </c>
      <c r="C203" s="445"/>
      <c r="D203" s="446" t="s">
        <v>2294</v>
      </c>
      <c r="E203" s="446"/>
      <c r="F203" s="457" t="s">
        <v>114</v>
      </c>
      <c r="G203" s="458">
        <f>'[2]Analisis Pekerjaan SNI'!H1935</f>
        <v>147300</v>
      </c>
      <c r="H203" s="458">
        <f>'[2]Analisis Pekerjaan SNI'!H1939</f>
        <v>61000</v>
      </c>
      <c r="I203" s="449">
        <f t="shared" si="21"/>
        <v>208300</v>
      </c>
      <c r="J203" s="450"/>
    </row>
    <row r="204" spans="2:10" ht="18" customHeight="1">
      <c r="B204" s="445">
        <f t="shared" ref="B204:B218" si="22">+B203+1</f>
        <v>3</v>
      </c>
      <c r="C204" s="445"/>
      <c r="D204" s="446" t="s">
        <v>2295</v>
      </c>
      <c r="E204" s="446"/>
      <c r="F204" s="457" t="s">
        <v>63</v>
      </c>
      <c r="G204" s="458">
        <f>'[2]Analisis Pekerjaan SNI'!H1944</f>
        <v>44130</v>
      </c>
      <c r="H204" s="458">
        <f>'[2]Analisis Pekerjaan SNI'!H1948</f>
        <v>24700</v>
      </c>
      <c r="I204" s="449">
        <f t="shared" si="21"/>
        <v>68830</v>
      </c>
      <c r="J204" s="450"/>
    </row>
    <row r="205" spans="2:10" ht="18" customHeight="1">
      <c r="B205" s="445">
        <f t="shared" si="22"/>
        <v>4</v>
      </c>
      <c r="C205" s="445"/>
      <c r="D205" s="446" t="s">
        <v>2296</v>
      </c>
      <c r="E205" s="446"/>
      <c r="F205" s="457" t="s">
        <v>63</v>
      </c>
      <c r="G205" s="458">
        <f>'[2]Analisis Pekerjaan SNI'!H1953</f>
        <v>30810</v>
      </c>
      <c r="H205" s="458">
        <f>'[2]Analisis Pekerjaan SNI'!H1957</f>
        <v>117630</v>
      </c>
      <c r="I205" s="449">
        <f t="shared" si="21"/>
        <v>148440</v>
      </c>
      <c r="J205" s="450"/>
    </row>
    <row r="206" spans="2:10" ht="18" customHeight="1">
      <c r="B206" s="445">
        <f t="shared" si="22"/>
        <v>5</v>
      </c>
      <c r="C206" s="445"/>
      <c r="D206" s="446" t="s">
        <v>2297</v>
      </c>
      <c r="E206" s="446"/>
      <c r="F206" s="457" t="s">
        <v>63</v>
      </c>
      <c r="G206" s="458">
        <f>'[2]Analisis Pekerjaan SNI'!H1962</f>
        <v>32220</v>
      </c>
      <c r="H206" s="458">
        <f>'[2]Analisis Pekerjaan SNI'!H1966</f>
        <v>25200</v>
      </c>
      <c r="I206" s="449">
        <f t="shared" si="21"/>
        <v>57420</v>
      </c>
      <c r="J206" s="450"/>
    </row>
    <row r="207" spans="2:10" ht="18" customHeight="1">
      <c r="B207" s="445">
        <f t="shared" si="22"/>
        <v>6</v>
      </c>
      <c r="C207" s="445"/>
      <c r="D207" s="446" t="s">
        <v>2298</v>
      </c>
      <c r="E207" s="446"/>
      <c r="F207" s="457" t="s">
        <v>63</v>
      </c>
      <c r="G207" s="458">
        <f>'[2]Analisis Pekerjaan SNI'!H1971</f>
        <v>47510</v>
      </c>
      <c r="H207" s="458">
        <f>'[2]Analisis Pekerjaan SNI'!H1975</f>
        <v>24700</v>
      </c>
      <c r="I207" s="449">
        <f t="shared" si="21"/>
        <v>72210</v>
      </c>
      <c r="J207" s="450"/>
    </row>
    <row r="208" spans="2:10" ht="18" customHeight="1">
      <c r="B208" s="445">
        <f t="shared" si="22"/>
        <v>7</v>
      </c>
      <c r="C208" s="445"/>
      <c r="D208" s="446" t="s">
        <v>2299</v>
      </c>
      <c r="E208" s="446"/>
      <c r="F208" s="457" t="s">
        <v>63</v>
      </c>
      <c r="G208" s="458">
        <f>'[2]Analisis Pekerjaan SNI'!H1980</f>
        <v>49100</v>
      </c>
      <c r="H208" s="458">
        <f>'[2]Analisis Pekerjaan SNI'!H1984</f>
        <v>24700</v>
      </c>
      <c r="I208" s="449">
        <f t="shared" si="21"/>
        <v>73800</v>
      </c>
      <c r="J208" s="450"/>
    </row>
    <row r="209" spans="1:11" ht="18" customHeight="1">
      <c r="B209" s="445">
        <f t="shared" si="22"/>
        <v>8</v>
      </c>
      <c r="C209" s="445"/>
      <c r="D209" s="446" t="s">
        <v>2300</v>
      </c>
      <c r="E209" s="446"/>
      <c r="F209" s="457" t="s">
        <v>63</v>
      </c>
      <c r="G209" s="458">
        <f>'[2]Analisis Pekerjaan SNI'!H1989</f>
        <v>45560</v>
      </c>
      <c r="H209" s="458">
        <f>'[2]Analisis Pekerjaan SNI'!H1993</f>
        <v>25200</v>
      </c>
      <c r="I209" s="449">
        <f t="shared" si="21"/>
        <v>70760</v>
      </c>
      <c r="J209" s="450"/>
    </row>
    <row r="210" spans="1:11" ht="18" customHeight="1">
      <c r="B210" s="445">
        <f t="shared" si="22"/>
        <v>9</v>
      </c>
      <c r="C210" s="445"/>
      <c r="D210" s="446" t="s">
        <v>2301</v>
      </c>
      <c r="E210" s="446"/>
      <c r="F210" s="457" t="s">
        <v>63</v>
      </c>
      <c r="G210" s="458">
        <f>'[2]Analisis Pekerjaan SNI'!H1998</f>
        <v>115800</v>
      </c>
      <c r="H210" s="458">
        <f>'[2]Analisis Pekerjaan SNI'!H2002</f>
        <v>39000</v>
      </c>
      <c r="I210" s="449">
        <f t="shared" si="21"/>
        <v>154800</v>
      </c>
      <c r="J210" s="450"/>
    </row>
    <row r="211" spans="1:11" ht="18" customHeight="1">
      <c r="B211" s="445">
        <f t="shared" si="22"/>
        <v>10</v>
      </c>
      <c r="C211" s="445"/>
      <c r="D211" s="446" t="s">
        <v>2302</v>
      </c>
      <c r="E211" s="446"/>
      <c r="F211" s="457" t="s">
        <v>63</v>
      </c>
      <c r="G211" s="458">
        <f>'[2]Analisis Pekerjaan SNI'!H2007</f>
        <v>897810</v>
      </c>
      <c r="H211" s="458">
        <f>'[2]Analisis Pekerjaan SNI'!H2011</f>
        <v>36000</v>
      </c>
      <c r="I211" s="449">
        <f t="shared" si="21"/>
        <v>933810</v>
      </c>
      <c r="J211" s="450"/>
    </row>
    <row r="212" spans="1:11" ht="18" customHeight="1">
      <c r="B212" s="445">
        <f t="shared" si="22"/>
        <v>11</v>
      </c>
      <c r="C212" s="445"/>
      <c r="D212" s="446" t="s">
        <v>2303</v>
      </c>
      <c r="E212" s="446"/>
      <c r="F212" s="457" t="s">
        <v>63</v>
      </c>
      <c r="G212" s="458">
        <f>'[2]Analisis Pekerjaan SNI'!H2016</f>
        <v>160230</v>
      </c>
      <c r="H212" s="458">
        <f>'[2]Analisis Pekerjaan SNI'!H2020</f>
        <v>36000</v>
      </c>
      <c r="I212" s="449">
        <f t="shared" si="21"/>
        <v>196230</v>
      </c>
      <c r="J212" s="450"/>
    </row>
    <row r="213" spans="1:11" ht="18" customHeight="1">
      <c r="B213" s="445">
        <f t="shared" si="22"/>
        <v>12</v>
      </c>
      <c r="C213" s="445"/>
      <c r="D213" s="446" t="s">
        <v>2304</v>
      </c>
      <c r="E213" s="446"/>
      <c r="F213" s="457" t="s">
        <v>114</v>
      </c>
      <c r="G213" s="458">
        <f>'[2]Analisis Pekerjaan SNI'!H2028</f>
        <v>83960</v>
      </c>
      <c r="H213" s="458">
        <f>'[2]Analisis Pekerjaan SNI'!H2032</f>
        <v>72000</v>
      </c>
      <c r="I213" s="449">
        <f t="shared" si="21"/>
        <v>155960</v>
      </c>
      <c r="J213" s="450"/>
    </row>
    <row r="214" spans="1:11" ht="18" customHeight="1">
      <c r="B214" s="445">
        <f t="shared" si="22"/>
        <v>13</v>
      </c>
      <c r="C214" s="445"/>
      <c r="D214" s="446" t="s">
        <v>2305</v>
      </c>
      <c r="E214" s="446"/>
      <c r="F214" s="457" t="s">
        <v>114</v>
      </c>
      <c r="G214" s="458">
        <f>'[2]Analisis Pekerjaan SNI'!H2037</f>
        <v>68390</v>
      </c>
      <c r="H214" s="458">
        <f>'[2]Analisis Pekerjaan SNI'!H2041</f>
        <v>48500</v>
      </c>
      <c r="I214" s="449">
        <f t="shared" si="21"/>
        <v>116890</v>
      </c>
      <c r="J214" s="450"/>
    </row>
    <row r="215" spans="1:11" ht="18" customHeight="1">
      <c r="B215" s="445">
        <f t="shared" si="22"/>
        <v>14</v>
      </c>
      <c r="C215" s="445"/>
      <c r="D215" s="446" t="s">
        <v>2306</v>
      </c>
      <c r="E215" s="446"/>
      <c r="F215" s="457" t="s">
        <v>63</v>
      </c>
      <c r="G215" s="458">
        <f>'[2]Analisis Pekerjaan SNI'!H2046</f>
        <v>35150</v>
      </c>
      <c r="H215" s="458">
        <f>'[2]Analisis Pekerjaan SNI'!H2050</f>
        <v>21600</v>
      </c>
      <c r="I215" s="449">
        <f t="shared" si="21"/>
        <v>56750</v>
      </c>
      <c r="J215" s="450"/>
    </row>
    <row r="216" spans="1:11" ht="18" customHeight="1">
      <c r="B216" s="445">
        <f t="shared" si="22"/>
        <v>15</v>
      </c>
      <c r="C216" s="445"/>
      <c r="D216" s="446" t="s">
        <v>2307</v>
      </c>
      <c r="E216" s="446"/>
      <c r="F216" s="457" t="s">
        <v>114</v>
      </c>
      <c r="G216" s="458">
        <f>'[2]Analisis Pekerjaan SNI'!H2055</f>
        <v>38510</v>
      </c>
      <c r="H216" s="458">
        <f>'[2]Analisis Pekerjaan SNI'!H2059</f>
        <v>26300</v>
      </c>
      <c r="I216" s="449">
        <f t="shared" si="21"/>
        <v>64810</v>
      </c>
      <c r="J216" s="450"/>
    </row>
    <row r="217" spans="1:11" ht="18" customHeight="1">
      <c r="B217" s="445">
        <f t="shared" si="22"/>
        <v>16</v>
      </c>
      <c r="C217" s="445"/>
      <c r="D217" s="446" t="s">
        <v>2308</v>
      </c>
      <c r="E217" s="446"/>
      <c r="F217" s="457" t="s">
        <v>63</v>
      </c>
      <c r="G217" s="458">
        <f>'[2]Analisis Pekerjaan SNI'!H2065</f>
        <v>339400</v>
      </c>
      <c r="H217" s="458">
        <f>'[2]Analisis Pekerjaan SNI'!H2069</f>
        <v>23500</v>
      </c>
      <c r="I217" s="449">
        <f t="shared" si="21"/>
        <v>362900</v>
      </c>
      <c r="J217" s="450"/>
    </row>
    <row r="218" spans="1:11" ht="18" customHeight="1">
      <c r="B218" s="445">
        <f t="shared" si="22"/>
        <v>17</v>
      </c>
      <c r="C218" s="445"/>
      <c r="D218" s="446" t="s">
        <v>2309</v>
      </c>
      <c r="E218" s="446"/>
      <c r="F218" s="457" t="s">
        <v>63</v>
      </c>
      <c r="G218" s="458">
        <f>'[2]Analisis Pekerjaan SNI'!H2074</f>
        <v>6080</v>
      </c>
      <c r="H218" s="458">
        <f>'[2]Analisis Pekerjaan SNI'!H2078</f>
        <v>23500</v>
      </c>
      <c r="I218" s="449">
        <f t="shared" si="21"/>
        <v>29580</v>
      </c>
      <c r="J218" s="450"/>
    </row>
    <row r="219" spans="1:11" s="487" customFormat="1" ht="18" customHeight="1">
      <c r="B219" s="488">
        <v>18</v>
      </c>
      <c r="C219" s="488"/>
      <c r="D219" s="489" t="s">
        <v>2310</v>
      </c>
      <c r="E219" s="489"/>
      <c r="F219" s="490" t="s">
        <v>63</v>
      </c>
      <c r="G219" s="490"/>
      <c r="H219" s="490"/>
      <c r="I219" s="491">
        <f t="shared" si="21"/>
        <v>0</v>
      </c>
      <c r="J219" s="492"/>
      <c r="K219" s="493"/>
    </row>
    <row r="220" spans="1:11" ht="18" customHeight="1">
      <c r="B220" s="535"/>
      <c r="C220" s="536"/>
      <c r="D220" s="536"/>
      <c r="E220" s="536"/>
      <c r="F220" s="536"/>
      <c r="G220" s="536"/>
      <c r="H220" s="536"/>
      <c r="I220" s="536"/>
      <c r="J220" s="537"/>
    </row>
    <row r="221" spans="1:11" ht="21.95" customHeight="1">
      <c r="A221" s="456"/>
      <c r="B221" s="435" t="s">
        <v>2311</v>
      </c>
      <c r="C221" s="436"/>
      <c r="D221" s="436"/>
      <c r="E221" s="436"/>
      <c r="F221" s="436"/>
      <c r="G221" s="436"/>
      <c r="H221" s="436"/>
      <c r="I221" s="436"/>
      <c r="J221" s="437"/>
    </row>
    <row r="222" spans="1:11" ht="18" customHeight="1">
      <c r="B222" s="445">
        <v>1</v>
      </c>
      <c r="C222" s="472"/>
      <c r="D222" s="446" t="s">
        <v>2312</v>
      </c>
      <c r="E222" s="446"/>
      <c r="F222" s="457" t="s">
        <v>63</v>
      </c>
      <c r="G222" s="458">
        <f>'[2]Analisis Pekerjaan SNI'!H2087</f>
        <v>11700</v>
      </c>
      <c r="H222" s="458">
        <f>'[2]Analisis Pekerjaan SNI'!H2091</f>
        <v>51500</v>
      </c>
      <c r="I222" s="449">
        <f t="shared" ref="I222:I232" si="23">SUM(G222:H222)</f>
        <v>63200</v>
      </c>
      <c r="J222" s="472"/>
    </row>
    <row r="223" spans="1:11" ht="18" customHeight="1">
      <c r="B223" s="445">
        <f>+B222+1</f>
        <v>2</v>
      </c>
      <c r="C223" s="445"/>
      <c r="D223" s="446" t="s">
        <v>2313</v>
      </c>
      <c r="E223" s="446"/>
      <c r="F223" s="457" t="s">
        <v>63</v>
      </c>
      <c r="G223" s="458">
        <f>'[2]Analisis Pekerjaan SNI'!H2096</f>
        <v>124240</v>
      </c>
      <c r="H223" s="458">
        <f>'[2]Analisis Pekerjaan SNI'!H2100</f>
        <v>13100</v>
      </c>
      <c r="I223" s="449">
        <f t="shared" si="23"/>
        <v>137340</v>
      </c>
      <c r="J223" s="450"/>
    </row>
    <row r="224" spans="1:11" ht="18" customHeight="1">
      <c r="B224" s="445">
        <f t="shared" ref="B224:B231" si="24">1+B223</f>
        <v>3</v>
      </c>
      <c r="C224" s="445"/>
      <c r="D224" s="446" t="s">
        <v>2314</v>
      </c>
      <c r="E224" s="446"/>
      <c r="F224" s="457" t="s">
        <v>63</v>
      </c>
      <c r="G224" s="458">
        <f>'[2]Analisis Pekerjaan SNI'!H2105</f>
        <v>18610</v>
      </c>
      <c r="H224" s="458">
        <f>'[2]Analisis Pekerjaan SNI'!H2109</f>
        <v>13100</v>
      </c>
      <c r="I224" s="449">
        <f t="shared" si="23"/>
        <v>31710</v>
      </c>
      <c r="J224" s="450"/>
    </row>
    <row r="225" spans="1:10" ht="18" customHeight="1">
      <c r="B225" s="445">
        <f t="shared" si="24"/>
        <v>4</v>
      </c>
      <c r="C225" s="445"/>
      <c r="D225" s="446" t="s">
        <v>2315</v>
      </c>
      <c r="E225" s="446"/>
      <c r="F225" s="457" t="s">
        <v>63</v>
      </c>
      <c r="G225" s="458">
        <f>'[2]Analisis Pekerjaan SNI'!H2114</f>
        <v>87600</v>
      </c>
      <c r="H225" s="458">
        <f>'[2]Analisis Pekerjaan SNI'!H2118</f>
        <v>20600</v>
      </c>
      <c r="I225" s="449">
        <f t="shared" si="23"/>
        <v>108200</v>
      </c>
      <c r="J225" s="450"/>
    </row>
    <row r="226" spans="1:10" ht="18" customHeight="1">
      <c r="B226" s="445">
        <f t="shared" si="24"/>
        <v>5</v>
      </c>
      <c r="C226" s="445"/>
      <c r="D226" s="446" t="s">
        <v>2316</v>
      </c>
      <c r="E226" s="446"/>
      <c r="F226" s="457" t="s">
        <v>63</v>
      </c>
      <c r="G226" s="458">
        <f>'[2]Analisis Pekerjaan SNI'!H2125</f>
        <v>217070</v>
      </c>
      <c r="H226" s="458">
        <f>'[2]Analisis Pekerjaan SNI'!H2129</f>
        <v>44500</v>
      </c>
      <c r="I226" s="449">
        <f t="shared" si="23"/>
        <v>261570</v>
      </c>
      <c r="J226" s="450"/>
    </row>
    <row r="227" spans="1:10" ht="18" customHeight="1">
      <c r="B227" s="445">
        <f t="shared" si="24"/>
        <v>6</v>
      </c>
      <c r="C227" s="445"/>
      <c r="D227" s="446" t="s">
        <v>2317</v>
      </c>
      <c r="E227" s="446"/>
      <c r="F227" s="457" t="s">
        <v>2229</v>
      </c>
      <c r="G227" s="458">
        <f>'[2]Analisis Pekerjaan SNI'!H2134</f>
        <v>17340</v>
      </c>
      <c r="H227" s="458">
        <f>'[2]Analisis Pekerjaan SNI'!H2138</f>
        <v>12500</v>
      </c>
      <c r="I227" s="449">
        <f t="shared" si="23"/>
        <v>29840</v>
      </c>
      <c r="J227" s="450"/>
    </row>
    <row r="228" spans="1:10" ht="18" customHeight="1">
      <c r="B228" s="445">
        <f t="shared" si="24"/>
        <v>7</v>
      </c>
      <c r="C228" s="445"/>
      <c r="D228" s="446" t="s">
        <v>2318</v>
      </c>
      <c r="E228" s="446"/>
      <c r="F228" s="457" t="s">
        <v>63</v>
      </c>
      <c r="G228" s="458">
        <f>'[2]Analisis Pekerjaan SNI'!H2153</f>
        <v>48020</v>
      </c>
      <c r="H228" s="458">
        <f>'[2]Analisis Pekerjaan SNI'!H2157</f>
        <v>85700</v>
      </c>
      <c r="I228" s="449">
        <f t="shared" si="23"/>
        <v>133720</v>
      </c>
      <c r="J228" s="450"/>
    </row>
    <row r="229" spans="1:10" ht="18" customHeight="1">
      <c r="B229" s="445">
        <f t="shared" si="24"/>
        <v>8</v>
      </c>
      <c r="C229" s="445"/>
      <c r="D229" s="446" t="s">
        <v>2319</v>
      </c>
      <c r="E229" s="446"/>
      <c r="F229" s="457" t="s">
        <v>63</v>
      </c>
      <c r="G229" s="458">
        <f>'[2]Analisis Pekerjaan SNI'!H2163</f>
        <v>61020</v>
      </c>
      <c r="H229" s="458">
        <f>'[2]Analisis Pekerjaan SNI'!H2167</f>
        <v>85700</v>
      </c>
      <c r="I229" s="449">
        <f t="shared" si="23"/>
        <v>146720</v>
      </c>
      <c r="J229" s="450"/>
    </row>
    <row r="230" spans="1:10" ht="18" customHeight="1">
      <c r="B230" s="445">
        <f t="shared" si="24"/>
        <v>9</v>
      </c>
      <c r="C230" s="445"/>
      <c r="D230" s="446" t="s">
        <v>2320</v>
      </c>
      <c r="E230" s="446"/>
      <c r="F230" s="457" t="s">
        <v>63</v>
      </c>
      <c r="G230" s="458">
        <f>'[2]Analisis Pekerjaan SNI'!H2173</f>
        <v>146850</v>
      </c>
      <c r="H230" s="458">
        <f>'[2]Analisis Pekerjaan SNI'!H2177</f>
        <v>108500</v>
      </c>
      <c r="I230" s="449">
        <f t="shared" si="23"/>
        <v>255350</v>
      </c>
      <c r="J230" s="450"/>
    </row>
    <row r="231" spans="1:10" ht="18" customHeight="1">
      <c r="B231" s="445">
        <f t="shared" si="24"/>
        <v>10</v>
      </c>
      <c r="C231" s="445"/>
      <c r="D231" s="446" t="s">
        <v>2321</v>
      </c>
      <c r="E231" s="446"/>
      <c r="F231" s="457" t="s">
        <v>63</v>
      </c>
      <c r="G231" s="458">
        <f>'[2]Analisis Pekerjaan SNI'!H2187</f>
        <v>76140</v>
      </c>
      <c r="H231" s="458">
        <f>'[2]Analisis Pekerjaan SNI'!H2191</f>
        <v>18000</v>
      </c>
      <c r="I231" s="449">
        <f t="shared" si="23"/>
        <v>94140</v>
      </c>
      <c r="J231" s="450"/>
    </row>
    <row r="232" spans="1:10" ht="18" customHeight="1">
      <c r="B232" s="445">
        <v>11</v>
      </c>
      <c r="C232" s="445"/>
      <c r="D232" s="446" t="s">
        <v>2322</v>
      </c>
      <c r="E232" s="446"/>
      <c r="F232" s="457" t="s">
        <v>2229</v>
      </c>
      <c r="G232" s="458">
        <v>35000</v>
      </c>
      <c r="H232" s="458">
        <v>15000</v>
      </c>
      <c r="I232" s="449">
        <f t="shared" si="23"/>
        <v>50000</v>
      </c>
      <c r="J232" s="450"/>
    </row>
    <row r="233" spans="1:10" ht="18" customHeight="1">
      <c r="B233" s="535"/>
      <c r="C233" s="536"/>
      <c r="D233" s="536"/>
      <c r="E233" s="536"/>
      <c r="F233" s="536"/>
      <c r="G233" s="536"/>
      <c r="H233" s="536"/>
      <c r="I233" s="536"/>
      <c r="J233" s="537"/>
    </row>
    <row r="234" spans="1:10" ht="21.95" customHeight="1">
      <c r="A234" s="456"/>
      <c r="B234" s="435" t="s">
        <v>2323</v>
      </c>
      <c r="C234" s="436"/>
      <c r="D234" s="436"/>
      <c r="E234" s="436"/>
      <c r="F234" s="436"/>
      <c r="G234" s="436"/>
      <c r="H234" s="436"/>
      <c r="I234" s="436"/>
      <c r="J234" s="437"/>
    </row>
    <row r="235" spans="1:10" ht="18" customHeight="1">
      <c r="B235" s="445">
        <v>1</v>
      </c>
      <c r="C235" s="445"/>
      <c r="D235" s="446" t="s">
        <v>2324</v>
      </c>
      <c r="E235" s="446"/>
      <c r="F235" s="457" t="s">
        <v>785</v>
      </c>
      <c r="G235" s="458">
        <f>'[2]Analisis Pekerjaan SNI'!H2200</f>
        <v>3162500</v>
      </c>
      <c r="H235" s="458">
        <f>'[2]Analisis Pekerjaan SNI'!H2204</f>
        <v>517000</v>
      </c>
      <c r="I235" s="449">
        <f t="shared" ref="I235:I249" si="25">SUM(G235:H235)</f>
        <v>3679500</v>
      </c>
      <c r="J235" s="450"/>
    </row>
    <row r="236" spans="1:10" ht="18" customHeight="1">
      <c r="B236" s="445">
        <f>B235+1</f>
        <v>2</v>
      </c>
      <c r="C236" s="445"/>
      <c r="D236" s="446" t="s">
        <v>2325</v>
      </c>
      <c r="E236" s="446"/>
      <c r="F236" s="457" t="s">
        <v>785</v>
      </c>
      <c r="G236" s="458">
        <f>'[2]Analisis Pekerjaan SNI'!H2210</f>
        <v>357100</v>
      </c>
      <c r="H236" s="458">
        <f>'[2]Analisis Pekerjaan SNI'!H2214</f>
        <v>320000</v>
      </c>
      <c r="I236" s="449">
        <f t="shared" si="25"/>
        <v>677100</v>
      </c>
      <c r="J236" s="450"/>
    </row>
    <row r="237" spans="1:10" ht="18" customHeight="1">
      <c r="B237" s="445">
        <f t="shared" ref="B237:B247" si="26">B236+1</f>
        <v>3</v>
      </c>
      <c r="C237" s="445"/>
      <c r="D237" s="446" t="s">
        <v>2326</v>
      </c>
      <c r="E237" s="446"/>
      <c r="F237" s="457" t="s">
        <v>785</v>
      </c>
      <c r="G237" s="458">
        <f>'[2]Analisis Pekerjaan SNI'!H2221</f>
        <v>1133350</v>
      </c>
      <c r="H237" s="458">
        <f>'[2]Analisis Pekerjaan SNI'!H2225</f>
        <v>250000</v>
      </c>
      <c r="I237" s="449">
        <f t="shared" si="25"/>
        <v>1383350</v>
      </c>
      <c r="J237" s="450"/>
    </row>
    <row r="238" spans="1:10" ht="18" customHeight="1">
      <c r="B238" s="445">
        <f t="shared" si="26"/>
        <v>4</v>
      </c>
      <c r="C238" s="445"/>
      <c r="D238" s="446" t="s">
        <v>2327</v>
      </c>
      <c r="E238" s="446"/>
      <c r="F238" s="457" t="s">
        <v>785</v>
      </c>
      <c r="G238" s="458">
        <f>'[2]Analisis Pekerjaan SNI'!H2232</f>
        <v>462900</v>
      </c>
      <c r="H238" s="458">
        <f>'[2]Analisis Pekerjaan SNI'!H2236</f>
        <v>335000</v>
      </c>
      <c r="I238" s="449">
        <f t="shared" si="25"/>
        <v>797900</v>
      </c>
      <c r="J238" s="450"/>
    </row>
    <row r="239" spans="1:10" ht="18" customHeight="1">
      <c r="B239" s="445">
        <f t="shared" si="26"/>
        <v>5</v>
      </c>
      <c r="C239" s="445"/>
      <c r="D239" s="446" t="s">
        <v>2328</v>
      </c>
      <c r="E239" s="446"/>
      <c r="F239" s="457" t="s">
        <v>785</v>
      </c>
      <c r="G239" s="458">
        <f>'[2]Analisis Pekerjaan SNI'!H2243</f>
        <v>978100</v>
      </c>
      <c r="H239" s="458">
        <f>'[2]Analisis Pekerjaan SNI'!H2247</f>
        <v>335000</v>
      </c>
      <c r="I239" s="449">
        <f t="shared" si="25"/>
        <v>1313100</v>
      </c>
      <c r="J239" s="450"/>
    </row>
    <row r="240" spans="1:10" ht="18" customHeight="1">
      <c r="B240" s="445">
        <f t="shared" si="26"/>
        <v>6</v>
      </c>
      <c r="C240" s="445"/>
      <c r="D240" s="446" t="s">
        <v>2329</v>
      </c>
      <c r="E240" s="446"/>
      <c r="F240" s="457" t="s">
        <v>785</v>
      </c>
      <c r="G240" s="458">
        <f>'[2]Analisis Pekerjaan SNI'!H2251</f>
        <v>172500</v>
      </c>
      <c r="H240" s="458">
        <f>'[2]Analisis Pekerjaan SNI'!H2255</f>
        <v>15100</v>
      </c>
      <c r="I240" s="449">
        <f t="shared" si="25"/>
        <v>187600</v>
      </c>
      <c r="J240" s="450"/>
    </row>
    <row r="241" spans="2:11" ht="18" customHeight="1">
      <c r="B241" s="445">
        <f t="shared" si="26"/>
        <v>7</v>
      </c>
      <c r="C241" s="445"/>
      <c r="D241" s="446" t="s">
        <v>2330</v>
      </c>
      <c r="E241" s="446"/>
      <c r="F241" s="457" t="s">
        <v>785</v>
      </c>
      <c r="G241" s="458">
        <f>'[2]Analisis Pekerjaan SNI'!H2260</f>
        <v>271400</v>
      </c>
      <c r="H241" s="458">
        <f>'[2]Analisis Pekerjaan SNI'!H2264</f>
        <v>576000</v>
      </c>
      <c r="I241" s="449">
        <f t="shared" si="25"/>
        <v>847400</v>
      </c>
      <c r="J241" s="450"/>
    </row>
    <row r="242" spans="2:11" ht="18" customHeight="1">
      <c r="B242" s="445">
        <f t="shared" si="26"/>
        <v>8</v>
      </c>
      <c r="C242" s="445"/>
      <c r="D242" s="446" t="s">
        <v>2331</v>
      </c>
      <c r="E242" s="446"/>
      <c r="F242" s="457" t="s">
        <v>785</v>
      </c>
      <c r="G242" s="458">
        <f>'[2]Analisis Pekerjaan SNI'!H2273</f>
        <v>128560</v>
      </c>
      <c r="H242" s="458">
        <f>'[2]Analisis Pekerjaan SNI'!H2277</f>
        <v>494800</v>
      </c>
      <c r="I242" s="449">
        <f t="shared" si="25"/>
        <v>623360</v>
      </c>
      <c r="J242" s="450"/>
    </row>
    <row r="243" spans="2:11" ht="18" customHeight="1">
      <c r="B243" s="445">
        <f t="shared" si="26"/>
        <v>9</v>
      </c>
      <c r="C243" s="445"/>
      <c r="D243" s="446" t="s">
        <v>2332</v>
      </c>
      <c r="E243" s="446"/>
      <c r="F243" s="457" t="s">
        <v>785</v>
      </c>
      <c r="G243" s="458">
        <f>'[2]Analisis Pekerjaan SNI'!H2282</f>
        <v>125920</v>
      </c>
      <c r="H243" s="458">
        <f>'[2]Analisis Pekerjaan SNI'!H2286</f>
        <v>45300</v>
      </c>
      <c r="I243" s="449">
        <f t="shared" si="25"/>
        <v>171220</v>
      </c>
      <c r="J243" s="450"/>
    </row>
    <row r="244" spans="2:11" ht="18" customHeight="1">
      <c r="B244" s="445">
        <f t="shared" si="26"/>
        <v>10</v>
      </c>
      <c r="C244" s="445"/>
      <c r="D244" s="446" t="s">
        <v>2333</v>
      </c>
      <c r="E244" s="446"/>
      <c r="F244" s="457" t="s">
        <v>785</v>
      </c>
      <c r="G244" s="458">
        <f>'[2]Analisis Pekerjaan SNI'!H2291</f>
        <v>64390</v>
      </c>
      <c r="H244" s="458">
        <f>'[2]Analisis Pekerjaan SNI'!H2295</f>
        <v>15100</v>
      </c>
      <c r="I244" s="449">
        <f t="shared" si="25"/>
        <v>79490</v>
      </c>
      <c r="J244" s="450"/>
    </row>
    <row r="245" spans="2:11" ht="18" customHeight="1">
      <c r="B245" s="445">
        <v>11</v>
      </c>
      <c r="C245" s="445"/>
      <c r="D245" s="446" t="s">
        <v>2334</v>
      </c>
      <c r="E245" s="446"/>
      <c r="F245" s="457" t="s">
        <v>785</v>
      </c>
      <c r="G245" s="458">
        <f>'[2]Analisis Pekerjaan SNI'!H2300</f>
        <v>181810</v>
      </c>
      <c r="H245" s="458">
        <f>'[2]Analisis Pekerjaan SNI'!H2304</f>
        <v>15100</v>
      </c>
      <c r="I245" s="449">
        <f t="shared" si="25"/>
        <v>196910</v>
      </c>
      <c r="J245" s="450"/>
    </row>
    <row r="246" spans="2:11" ht="18" customHeight="1">
      <c r="B246" s="445">
        <f t="shared" si="26"/>
        <v>12</v>
      </c>
      <c r="C246" s="445"/>
      <c r="D246" s="446" t="s">
        <v>2335</v>
      </c>
      <c r="E246" s="446"/>
      <c r="F246" s="457" t="s">
        <v>785</v>
      </c>
      <c r="G246" s="458">
        <f>'[2]Analisis Pekerjaan SNI'!H2308</f>
        <v>120000</v>
      </c>
      <c r="H246" s="458">
        <f>'[2]Analisis Pekerjaan SNI'!H2312</f>
        <v>15100</v>
      </c>
      <c r="I246" s="449">
        <f t="shared" si="25"/>
        <v>135100</v>
      </c>
      <c r="J246" s="450"/>
    </row>
    <row r="247" spans="2:11" ht="18" customHeight="1">
      <c r="B247" s="445">
        <f t="shared" si="26"/>
        <v>13</v>
      </c>
      <c r="C247" s="445"/>
      <c r="D247" s="446" t="s">
        <v>2336</v>
      </c>
      <c r="E247" s="446"/>
      <c r="F247" s="457" t="s">
        <v>785</v>
      </c>
      <c r="G247" s="458">
        <f>'[2]Analisis Pekerjaan SNI'!H2316</f>
        <v>34500</v>
      </c>
      <c r="H247" s="458">
        <f>'[2]Analisis Pekerjaan SNI'!H2320</f>
        <v>15100</v>
      </c>
      <c r="I247" s="449">
        <f t="shared" si="25"/>
        <v>49600</v>
      </c>
      <c r="J247" s="450"/>
    </row>
    <row r="248" spans="2:11" s="499" customFormat="1" ht="18" customHeight="1">
      <c r="B248" s="494">
        <v>14</v>
      </c>
      <c r="C248" s="494"/>
      <c r="D248" s="454" t="s">
        <v>2337</v>
      </c>
      <c r="E248" s="454"/>
      <c r="F248" s="495" t="s">
        <v>785</v>
      </c>
      <c r="G248" s="495"/>
      <c r="H248" s="495"/>
      <c r="I248" s="496">
        <f t="shared" si="25"/>
        <v>0</v>
      </c>
      <c r="J248" s="497"/>
      <c r="K248" s="498"/>
    </row>
    <row r="249" spans="2:11" s="499" customFormat="1" ht="18" customHeight="1">
      <c r="B249" s="494">
        <v>15</v>
      </c>
      <c r="C249" s="494"/>
      <c r="D249" s="454" t="s">
        <v>2338</v>
      </c>
      <c r="E249" s="454"/>
      <c r="F249" s="494" t="s">
        <v>139</v>
      </c>
      <c r="G249" s="500">
        <f>'[2]Analisis Pekerjaan SNI'!H2437</f>
        <v>7968140</v>
      </c>
      <c r="H249" s="500">
        <f>'[2]Analisis Pekerjaan SNI'!H2441</f>
        <v>860000</v>
      </c>
      <c r="I249" s="496">
        <f t="shared" si="25"/>
        <v>8828140</v>
      </c>
      <c r="J249" s="497"/>
      <c r="K249" s="498"/>
    </row>
    <row r="250" spans="2:11" ht="18" customHeight="1">
      <c r="B250" s="535"/>
      <c r="C250" s="536"/>
      <c r="D250" s="536"/>
      <c r="E250" s="536"/>
      <c r="F250" s="536"/>
      <c r="G250" s="536"/>
      <c r="H250" s="536"/>
      <c r="I250" s="536"/>
      <c r="J250" s="537"/>
    </row>
    <row r="251" spans="2:11" ht="21.95" customHeight="1">
      <c r="B251" s="435" t="s">
        <v>2339</v>
      </c>
      <c r="C251" s="436"/>
      <c r="D251" s="436"/>
      <c r="E251" s="436"/>
      <c r="F251" s="436"/>
      <c r="G251" s="436"/>
      <c r="H251" s="436"/>
      <c r="I251" s="436"/>
      <c r="J251" s="437"/>
    </row>
    <row r="252" spans="2:11" ht="18" customHeight="1">
      <c r="B252" s="445">
        <v>1</v>
      </c>
      <c r="C252" s="445"/>
      <c r="D252" s="446" t="s">
        <v>2340</v>
      </c>
      <c r="E252" s="446"/>
      <c r="F252" s="457" t="s">
        <v>114</v>
      </c>
      <c r="G252" s="458">
        <f>'[2]Analisis Pekerjaan SNI'!H2329</f>
        <v>19320</v>
      </c>
      <c r="H252" s="458">
        <f>'[2]Analisis Pekerjaan SNI'!H2333</f>
        <v>18500</v>
      </c>
      <c r="I252" s="449">
        <f t="shared" ref="I252:I264" si="27">SUM(G252:H252)</f>
        <v>37820</v>
      </c>
      <c r="J252" s="450"/>
    </row>
    <row r="253" spans="2:11" ht="18" customHeight="1">
      <c r="B253" s="457" t="s">
        <v>1216</v>
      </c>
      <c r="C253" s="445"/>
      <c r="D253" s="446" t="s">
        <v>2341</v>
      </c>
      <c r="E253" s="446"/>
      <c r="F253" s="445" t="s">
        <v>114</v>
      </c>
      <c r="G253" s="462">
        <f>'[2]Analisis Pekerjaan SNI'!H2338</f>
        <v>28170</v>
      </c>
      <c r="H253" s="462">
        <f>'[2]Analisis Pekerjaan SNI'!H2342</f>
        <v>18500</v>
      </c>
      <c r="I253" s="449">
        <f t="shared" si="27"/>
        <v>46670</v>
      </c>
      <c r="J253" s="450"/>
    </row>
    <row r="254" spans="2:11" ht="18" customHeight="1">
      <c r="B254" s="457" t="s">
        <v>1217</v>
      </c>
      <c r="C254" s="445"/>
      <c r="D254" s="446" t="s">
        <v>2342</v>
      </c>
      <c r="E254" s="446"/>
      <c r="F254" s="445" t="s">
        <v>114</v>
      </c>
      <c r="G254" s="462">
        <f>'[2]Analisis Pekerjaan SNI'!H2347</f>
        <v>40250</v>
      </c>
      <c r="H254" s="462">
        <f>'[2]Analisis Pekerjaan SNI'!H2351</f>
        <v>18500</v>
      </c>
      <c r="I254" s="449">
        <f t="shared" si="27"/>
        <v>58750</v>
      </c>
      <c r="J254" s="450"/>
    </row>
    <row r="255" spans="2:11" ht="18" customHeight="1">
      <c r="B255" s="457" t="s">
        <v>1218</v>
      </c>
      <c r="C255" s="445"/>
      <c r="D255" s="446" t="s">
        <v>2343</v>
      </c>
      <c r="E255" s="446"/>
      <c r="F255" s="457" t="s">
        <v>114</v>
      </c>
      <c r="G255" s="458">
        <f>'[2]Analisis Pekerjaan SNI'!H2356</f>
        <v>48300</v>
      </c>
      <c r="H255" s="458">
        <f>'[2]Analisis Pekerjaan SNI'!H2360</f>
        <v>37000</v>
      </c>
      <c r="I255" s="449">
        <f t="shared" si="27"/>
        <v>85300</v>
      </c>
      <c r="J255" s="450"/>
    </row>
    <row r="256" spans="2:11" ht="18" customHeight="1">
      <c r="B256" s="457" t="s">
        <v>1219</v>
      </c>
      <c r="C256" s="445"/>
      <c r="D256" s="446" t="s">
        <v>2344</v>
      </c>
      <c r="E256" s="446"/>
      <c r="F256" s="457" t="s">
        <v>114</v>
      </c>
      <c r="G256" s="458">
        <f>'[2]Analisis Pekerjaan SNI'!H2365</f>
        <v>19320</v>
      </c>
      <c r="H256" s="458">
        <f>'[2]Analisis Pekerjaan SNI'!H2369</f>
        <v>36200</v>
      </c>
      <c r="I256" s="449">
        <f t="shared" si="27"/>
        <v>55520</v>
      </c>
      <c r="J256" s="450"/>
    </row>
    <row r="257" spans="1:11" ht="18" customHeight="1">
      <c r="B257" s="457" t="s">
        <v>1223</v>
      </c>
      <c r="C257" s="445"/>
      <c r="D257" s="446" t="s">
        <v>2345</v>
      </c>
      <c r="E257" s="446"/>
      <c r="F257" s="457" t="s">
        <v>114</v>
      </c>
      <c r="G257" s="458">
        <f>'[2]Analisis Pekerjaan SNI'!H2374</f>
        <v>24150</v>
      </c>
      <c r="H257" s="458">
        <f>'[2]Analisis Pekerjaan SNI'!H2378</f>
        <v>45100</v>
      </c>
      <c r="I257" s="449">
        <f t="shared" si="27"/>
        <v>69250</v>
      </c>
      <c r="J257" s="450"/>
    </row>
    <row r="258" spans="1:11" ht="18" customHeight="1">
      <c r="B258" s="457" t="s">
        <v>1224</v>
      </c>
      <c r="C258" s="445"/>
      <c r="D258" s="446" t="s">
        <v>2346</v>
      </c>
      <c r="E258" s="446"/>
      <c r="F258" s="457" t="s">
        <v>114</v>
      </c>
      <c r="G258" s="458">
        <f>'[2]Analisis Pekerjaan SNI'!H2383</f>
        <v>6760</v>
      </c>
      <c r="H258" s="458">
        <f>'[2]Analisis Pekerjaan SNI'!H2387</f>
        <v>12300</v>
      </c>
      <c r="I258" s="449">
        <f t="shared" si="27"/>
        <v>19060</v>
      </c>
      <c r="J258" s="450"/>
    </row>
    <row r="259" spans="1:11" ht="18" customHeight="1">
      <c r="B259" s="457" t="s">
        <v>1225</v>
      </c>
      <c r="C259" s="445"/>
      <c r="D259" s="446" t="s">
        <v>2347</v>
      </c>
      <c r="E259" s="446"/>
      <c r="F259" s="457" t="s">
        <v>114</v>
      </c>
      <c r="G259" s="458">
        <f>'[2]Analisis Pekerjaan SNI'!H2392</f>
        <v>8050</v>
      </c>
      <c r="H259" s="458">
        <f>'[2]Analisis Pekerjaan SNI'!H2396</f>
        <v>11700</v>
      </c>
      <c r="I259" s="449">
        <f t="shared" si="27"/>
        <v>19750</v>
      </c>
      <c r="J259" s="450"/>
    </row>
    <row r="260" spans="1:11" ht="18" customHeight="1">
      <c r="B260" s="457" t="s">
        <v>1244</v>
      </c>
      <c r="C260" s="445"/>
      <c r="D260" s="446" t="s">
        <v>2348</v>
      </c>
      <c r="E260" s="446"/>
      <c r="F260" s="457" t="s">
        <v>114</v>
      </c>
      <c r="G260" s="458">
        <f>'[2]Analisis Pekerjaan SNI'!H2401</f>
        <v>10460</v>
      </c>
      <c r="H260" s="458">
        <f>'[2]Analisis Pekerjaan SNI'!H2405</f>
        <v>12300</v>
      </c>
      <c r="I260" s="449">
        <f t="shared" si="27"/>
        <v>22760</v>
      </c>
      <c r="J260" s="450"/>
    </row>
    <row r="261" spans="1:11" ht="18" customHeight="1">
      <c r="B261" s="457" t="s">
        <v>1245</v>
      </c>
      <c r="C261" s="446"/>
      <c r="D261" s="446" t="s">
        <v>2349</v>
      </c>
      <c r="E261" s="446"/>
      <c r="F261" s="457" t="s">
        <v>114</v>
      </c>
      <c r="G261" s="458">
        <f>'[2]Analisis Pekerjaan SNI'!H2410</f>
        <v>14280</v>
      </c>
      <c r="H261" s="458">
        <f>'[2]Analisis Pekerjaan SNI'!H2414</f>
        <v>18500</v>
      </c>
      <c r="I261" s="449">
        <f t="shared" si="27"/>
        <v>32780</v>
      </c>
      <c r="J261" s="446"/>
    </row>
    <row r="262" spans="1:11" ht="18" customHeight="1">
      <c r="B262" s="457" t="s">
        <v>1246</v>
      </c>
      <c r="C262" s="445"/>
      <c r="D262" s="446" t="s">
        <v>2350</v>
      </c>
      <c r="E262" s="446"/>
      <c r="F262" s="457" t="s">
        <v>114</v>
      </c>
      <c r="G262" s="458">
        <f>'[2]Analisis Pekerjaan SNI'!H2419</f>
        <v>44380</v>
      </c>
      <c r="H262" s="458">
        <f>'[2]Analisis Pekerjaan SNI'!H2423</f>
        <v>27800</v>
      </c>
      <c r="I262" s="449">
        <f t="shared" si="27"/>
        <v>72180</v>
      </c>
      <c r="J262" s="446"/>
    </row>
    <row r="263" spans="1:11" ht="18" customHeight="1">
      <c r="B263" s="457" t="s">
        <v>1247</v>
      </c>
      <c r="C263" s="445"/>
      <c r="D263" s="446" t="s">
        <v>2351</v>
      </c>
      <c r="E263" s="446"/>
      <c r="F263" s="457" t="s">
        <v>785</v>
      </c>
      <c r="G263" s="458">
        <f>'[2]Analisis Pekerjaan SNI'!H2446</f>
        <v>1617180</v>
      </c>
      <c r="H263" s="458">
        <f>'[2]Analisis Pekerjaan SNI'!H2450</f>
        <v>27800</v>
      </c>
      <c r="I263" s="449">
        <f t="shared" si="27"/>
        <v>1644980</v>
      </c>
      <c r="J263" s="446"/>
    </row>
    <row r="264" spans="1:11" s="499" customFormat="1" ht="18" customHeight="1">
      <c r="B264" s="495">
        <v>13</v>
      </c>
      <c r="C264" s="494"/>
      <c r="D264" s="454" t="s">
        <v>2352</v>
      </c>
      <c r="E264" s="454"/>
      <c r="F264" s="494" t="s">
        <v>2353</v>
      </c>
      <c r="G264" s="494"/>
      <c r="H264" s="494"/>
      <c r="I264" s="496">
        <f t="shared" si="27"/>
        <v>0</v>
      </c>
      <c r="J264" s="454"/>
      <c r="K264" s="498"/>
    </row>
    <row r="265" spans="1:11" ht="18" customHeight="1">
      <c r="B265" s="532"/>
      <c r="C265" s="533"/>
      <c r="D265" s="533"/>
      <c r="E265" s="533"/>
      <c r="F265" s="533"/>
      <c r="G265" s="533"/>
      <c r="H265" s="533"/>
      <c r="I265" s="533"/>
      <c r="J265" s="534"/>
    </row>
    <row r="266" spans="1:11" ht="21.95" customHeight="1">
      <c r="A266" s="456"/>
      <c r="B266" s="435" t="s">
        <v>2354</v>
      </c>
      <c r="C266" s="436"/>
      <c r="D266" s="436"/>
      <c r="E266" s="436"/>
      <c r="F266" s="436"/>
      <c r="G266" s="436"/>
      <c r="H266" s="436"/>
      <c r="I266" s="436"/>
      <c r="J266" s="437"/>
    </row>
    <row r="267" spans="1:11" ht="18" customHeight="1">
      <c r="B267" s="445">
        <v>1</v>
      </c>
      <c r="C267" s="445"/>
      <c r="D267" s="446" t="s">
        <v>2355</v>
      </c>
      <c r="E267" s="446"/>
      <c r="F267" s="457" t="s">
        <v>66</v>
      </c>
      <c r="G267" s="458">
        <f>'[2]Analisis Pekerjaan SNI'!H2460</f>
        <v>24010</v>
      </c>
      <c r="H267" s="458">
        <f>'[2]Analisis Pekerjaan SNI'!H2464</f>
        <v>12200</v>
      </c>
      <c r="I267" s="449">
        <f t="shared" ref="I267:I275" si="28">SUM(G267:H267)</f>
        <v>36210</v>
      </c>
      <c r="J267" s="450"/>
    </row>
    <row r="268" spans="1:11" ht="18" customHeight="1">
      <c r="B268" s="457" t="s">
        <v>1216</v>
      </c>
      <c r="C268" s="445"/>
      <c r="D268" s="446" t="s">
        <v>2356</v>
      </c>
      <c r="E268" s="446"/>
      <c r="F268" s="445" t="s">
        <v>66</v>
      </c>
      <c r="G268" s="462">
        <f>'[2]Analisis Pekerjaan SNI'!H2474</f>
        <v>12200</v>
      </c>
      <c r="H268" s="448" t="s">
        <v>2357</v>
      </c>
      <c r="I268" s="449">
        <f t="shared" si="28"/>
        <v>12200</v>
      </c>
      <c r="J268" s="450"/>
    </row>
    <row r="269" spans="1:11" ht="18" customHeight="1">
      <c r="B269" s="457" t="s">
        <v>1217</v>
      </c>
      <c r="C269" s="445"/>
      <c r="D269" s="446" t="s">
        <v>2358</v>
      </c>
      <c r="E269" s="446"/>
      <c r="F269" s="445" t="s">
        <v>66</v>
      </c>
      <c r="G269" s="462">
        <f>'[2]Analisis Pekerjaan SNI'!H2482</f>
        <v>24980</v>
      </c>
      <c r="H269" s="462">
        <f>'[2]Analisis Pekerjaan SNI'!H2486</f>
        <v>12200</v>
      </c>
      <c r="I269" s="449">
        <f t="shared" si="28"/>
        <v>37180</v>
      </c>
      <c r="J269" s="450"/>
    </row>
    <row r="270" spans="1:11" ht="18" customHeight="1">
      <c r="B270" s="457" t="s">
        <v>1218</v>
      </c>
      <c r="C270" s="445"/>
      <c r="D270" s="446" t="s">
        <v>2359</v>
      </c>
      <c r="E270" s="446"/>
      <c r="F270" s="457" t="s">
        <v>63</v>
      </c>
      <c r="G270" s="458">
        <f>'[2]Analisis Pekerjaan SNI'!H2490</f>
        <v>189750</v>
      </c>
      <c r="H270" s="458">
        <f>'[2]Analisis Pekerjaan SNI'!H2494</f>
        <v>325500</v>
      </c>
      <c r="I270" s="449">
        <f t="shared" si="28"/>
        <v>515250</v>
      </c>
      <c r="J270" s="450"/>
    </row>
    <row r="271" spans="1:11" ht="18" customHeight="1">
      <c r="B271" s="457" t="s">
        <v>1219</v>
      </c>
      <c r="C271" s="445"/>
      <c r="D271" s="446" t="s">
        <v>2360</v>
      </c>
      <c r="E271" s="446"/>
      <c r="F271" s="457" t="s">
        <v>63</v>
      </c>
      <c r="G271" s="458">
        <f>'[2]Analisis Pekerjaan SNI'!H2498</f>
        <v>460000</v>
      </c>
      <c r="H271" s="458">
        <f>'[2]Analisis Pekerjaan SNI'!H2502</f>
        <v>262500</v>
      </c>
      <c r="I271" s="449">
        <f t="shared" si="28"/>
        <v>722500</v>
      </c>
      <c r="J271" s="450"/>
    </row>
    <row r="272" spans="1:11" ht="18" customHeight="1">
      <c r="B272" s="457" t="s">
        <v>1223</v>
      </c>
      <c r="C272" s="445"/>
      <c r="D272" s="446" t="s">
        <v>2361</v>
      </c>
      <c r="E272" s="446"/>
      <c r="F272" s="457" t="s">
        <v>63</v>
      </c>
      <c r="G272" s="458">
        <f>'[2]Analisis Pekerjaan SNI'!H2506</f>
        <v>145470</v>
      </c>
      <c r="H272" s="458">
        <f>'[2]Analisis Pekerjaan SNI'!H2510</f>
        <v>300000</v>
      </c>
      <c r="I272" s="449">
        <f t="shared" si="28"/>
        <v>445470</v>
      </c>
      <c r="J272" s="450"/>
    </row>
    <row r="273" spans="1:10" ht="18" customHeight="1">
      <c r="B273" s="457" t="s">
        <v>1224</v>
      </c>
      <c r="C273" s="445"/>
      <c r="D273" s="446" t="s">
        <v>2362</v>
      </c>
      <c r="E273" s="446"/>
      <c r="F273" s="457" t="s">
        <v>63</v>
      </c>
      <c r="G273" s="458">
        <f>'[2]Analisis Pekerjaan SNI'!H2516</f>
        <v>29680</v>
      </c>
      <c r="H273" s="458">
        <f>'[2]Analisis Pekerjaan SNI'!H2520</f>
        <v>25000</v>
      </c>
      <c r="I273" s="449">
        <f t="shared" si="28"/>
        <v>54680</v>
      </c>
      <c r="J273" s="450"/>
    </row>
    <row r="274" spans="1:10" ht="18" customHeight="1">
      <c r="B274" s="457" t="s">
        <v>1225</v>
      </c>
      <c r="C274" s="445"/>
      <c r="D274" s="446" t="s">
        <v>2363</v>
      </c>
      <c r="E274" s="446"/>
      <c r="F274" s="457" t="s">
        <v>2229</v>
      </c>
      <c r="G274" s="458">
        <f>'[2]Analisis Pekerjaan SNI'!H2527</f>
        <v>55580</v>
      </c>
      <c r="H274" s="458">
        <f>'[2]Analisis Pekerjaan SNI'!H2531</f>
        <v>72500</v>
      </c>
      <c r="I274" s="449">
        <f t="shared" si="28"/>
        <v>128080</v>
      </c>
      <c r="J274" s="450"/>
    </row>
    <row r="275" spans="1:10" ht="18" customHeight="1">
      <c r="B275" s="457" t="s">
        <v>1244</v>
      </c>
      <c r="C275" s="445"/>
      <c r="D275" s="446" t="s">
        <v>2364</v>
      </c>
      <c r="E275" s="446"/>
      <c r="F275" s="457" t="s">
        <v>2229</v>
      </c>
      <c r="G275" s="458">
        <f>'[2]Analisis Pekerjaan SNI'!H2538</f>
        <v>53630</v>
      </c>
      <c r="H275" s="458">
        <f>'[2]Analisis Pekerjaan SNI'!H2542</f>
        <v>60400</v>
      </c>
      <c r="I275" s="449">
        <f t="shared" si="28"/>
        <v>114030</v>
      </c>
      <c r="J275" s="450"/>
    </row>
    <row r="276" spans="1:10" ht="18" customHeight="1">
      <c r="B276" s="535"/>
      <c r="C276" s="536"/>
      <c r="D276" s="536"/>
      <c r="E276" s="536"/>
      <c r="F276" s="536"/>
      <c r="G276" s="536"/>
      <c r="H276" s="536"/>
      <c r="I276" s="536"/>
      <c r="J276" s="537"/>
    </row>
    <row r="277" spans="1:10" ht="21.95" customHeight="1">
      <c r="B277" s="435" t="s">
        <v>2365</v>
      </c>
      <c r="C277" s="436"/>
      <c r="D277" s="436"/>
      <c r="E277" s="436"/>
      <c r="F277" s="436"/>
      <c r="G277" s="436"/>
      <c r="H277" s="436"/>
      <c r="I277" s="436"/>
      <c r="J277" s="437"/>
    </row>
    <row r="278" spans="1:10" ht="18" customHeight="1">
      <c r="B278" s="445">
        <v>1</v>
      </c>
      <c r="C278" s="445"/>
      <c r="D278" s="446" t="s">
        <v>2366</v>
      </c>
      <c r="E278" s="446"/>
      <c r="F278" s="457" t="s">
        <v>63</v>
      </c>
      <c r="G278" s="458">
        <f>'[2]Analisis Pekerjaan SNI'!G2548</f>
        <v>189749.99999999997</v>
      </c>
      <c r="H278" s="458">
        <f>'[2]Analisis Pekerjaan SNI'!H2554</f>
        <v>325500</v>
      </c>
      <c r="I278" s="449">
        <f t="shared" ref="I278:I285" si="29">SUM(G278:H278)</f>
        <v>515250</v>
      </c>
      <c r="J278" s="450"/>
    </row>
    <row r="279" spans="1:10" ht="18" customHeight="1">
      <c r="B279" s="457" t="s">
        <v>1216</v>
      </c>
      <c r="C279" s="445"/>
      <c r="D279" s="446" t="s">
        <v>2367</v>
      </c>
      <c r="E279" s="446"/>
      <c r="F279" s="457" t="s">
        <v>63</v>
      </c>
      <c r="G279" s="458">
        <f>'[2]Analisis Pekerjaan SNI'!H2558</f>
        <v>460000</v>
      </c>
      <c r="H279" s="458">
        <f>'[2]Analisis Pekerjaan SNI'!H2562</f>
        <v>262500</v>
      </c>
      <c r="I279" s="449">
        <f t="shared" si="29"/>
        <v>722500</v>
      </c>
      <c r="J279" s="450"/>
    </row>
    <row r="280" spans="1:10" ht="18" customHeight="1">
      <c r="B280" s="457" t="s">
        <v>1217</v>
      </c>
      <c r="C280" s="445"/>
      <c r="D280" s="446" t="s">
        <v>2368</v>
      </c>
      <c r="E280" s="446"/>
      <c r="F280" s="445" t="s">
        <v>139</v>
      </c>
      <c r="G280" s="462">
        <f>'[2]Analisis Pekerjaan SNI'!H2572</f>
        <v>2624590</v>
      </c>
      <c r="H280" s="462">
        <f>'[2]Analisis Pekerjaan SNI'!H2576</f>
        <v>424100</v>
      </c>
      <c r="I280" s="449">
        <f t="shared" si="29"/>
        <v>3048690</v>
      </c>
      <c r="J280" s="450"/>
    </row>
    <row r="281" spans="1:10" ht="18" customHeight="1">
      <c r="B281" s="457" t="s">
        <v>1218</v>
      </c>
      <c r="C281" s="445"/>
      <c r="D281" s="446" t="s">
        <v>2369</v>
      </c>
      <c r="E281" s="501"/>
      <c r="F281" s="445" t="s">
        <v>139</v>
      </c>
      <c r="G281" s="462">
        <f>'[2]Analisis Pekerjaan SNI'!H2586</f>
        <v>3002580</v>
      </c>
      <c r="H281" s="462">
        <f>'[2]Analisis Pekerjaan SNI'!H2590</f>
        <v>486300</v>
      </c>
      <c r="I281" s="449">
        <f t="shared" si="29"/>
        <v>3488880</v>
      </c>
      <c r="J281" s="450"/>
    </row>
    <row r="282" spans="1:10" ht="18" customHeight="1">
      <c r="B282" s="457" t="s">
        <v>1219</v>
      </c>
      <c r="C282" s="445"/>
      <c r="D282" s="446" t="s">
        <v>2370</v>
      </c>
      <c r="E282" s="446"/>
      <c r="F282" s="445" t="s">
        <v>139</v>
      </c>
      <c r="G282" s="462">
        <f>'[2]Analisis Pekerjaan SNI'!H2604</f>
        <v>4853050</v>
      </c>
      <c r="H282" s="462">
        <f>'[2]Analisis Pekerjaan SNI'!H2608</f>
        <v>31700</v>
      </c>
      <c r="I282" s="449">
        <f t="shared" si="29"/>
        <v>4884750</v>
      </c>
      <c r="J282" s="450"/>
    </row>
    <row r="283" spans="1:10" ht="18" customHeight="1">
      <c r="B283" s="457" t="s">
        <v>1223</v>
      </c>
      <c r="C283" s="445"/>
      <c r="D283" s="502" t="s">
        <v>2371</v>
      </c>
      <c r="E283" s="446"/>
      <c r="F283" s="445" t="s">
        <v>139</v>
      </c>
      <c r="G283" s="462">
        <f>'[2]Analisis Pekerjaan SNI'!H2618</f>
        <v>1682760</v>
      </c>
      <c r="H283" s="462">
        <f>'[2]Analisis Pekerjaan SNI'!H2621</f>
        <v>170400</v>
      </c>
      <c r="I283" s="449">
        <f t="shared" si="29"/>
        <v>1853160</v>
      </c>
      <c r="J283" s="450"/>
    </row>
    <row r="284" spans="1:10" ht="18" customHeight="1">
      <c r="B284" s="457" t="s">
        <v>1224</v>
      </c>
      <c r="C284" s="445"/>
      <c r="D284" s="446" t="s">
        <v>2372</v>
      </c>
      <c r="E284" s="446"/>
      <c r="F284" s="457" t="s">
        <v>785</v>
      </c>
      <c r="G284" s="458">
        <f>'[2]Analisis Pekerjaan SNI'!H2627</f>
        <v>381630</v>
      </c>
      <c r="H284" s="458">
        <f>'[2]Analisis Pekerjaan SNI'!H2630</f>
        <v>34000</v>
      </c>
      <c r="I284" s="449">
        <f t="shared" si="29"/>
        <v>415630</v>
      </c>
      <c r="J284" s="450"/>
    </row>
    <row r="285" spans="1:10" ht="18" customHeight="1">
      <c r="B285" s="457" t="s">
        <v>1225</v>
      </c>
      <c r="C285" s="445"/>
      <c r="D285" s="446" t="s">
        <v>2373</v>
      </c>
      <c r="E285" s="446"/>
      <c r="F285" s="457" t="s">
        <v>785</v>
      </c>
      <c r="G285" s="458">
        <f>'[2]Analisis Pekerjaan SNI'!H2636</f>
        <v>468010</v>
      </c>
      <c r="H285" s="458">
        <f>'[2]Analisis Pekerjaan SNI'!H2639</f>
        <v>6800</v>
      </c>
      <c r="I285" s="449">
        <f t="shared" si="29"/>
        <v>474810</v>
      </c>
      <c r="J285" s="450"/>
    </row>
    <row r="286" spans="1:10" ht="18" customHeight="1">
      <c r="B286" s="535"/>
      <c r="C286" s="536"/>
      <c r="D286" s="536"/>
      <c r="E286" s="536"/>
      <c r="F286" s="536"/>
      <c r="G286" s="536"/>
      <c r="H286" s="536"/>
      <c r="I286" s="536"/>
      <c r="J286" s="537"/>
    </row>
    <row r="287" spans="1:10" ht="21.95" customHeight="1">
      <c r="A287" s="456"/>
      <c r="B287" s="435" t="s">
        <v>2374</v>
      </c>
      <c r="C287" s="436"/>
      <c r="D287" s="436"/>
      <c r="E287" s="436"/>
      <c r="F287" s="436"/>
      <c r="G287" s="436"/>
      <c r="H287" s="436"/>
      <c r="I287" s="436"/>
      <c r="J287" s="437"/>
    </row>
    <row r="288" spans="1:10" ht="18" customHeight="1">
      <c r="B288" s="445">
        <v>1</v>
      </c>
      <c r="C288" s="445"/>
      <c r="D288" s="446" t="s">
        <v>2375</v>
      </c>
      <c r="E288" s="446"/>
      <c r="F288" s="457" t="s">
        <v>785</v>
      </c>
      <c r="G288" s="458">
        <f>'[2]Analisis Pekerjaan SNI'!H2647</f>
        <v>248100</v>
      </c>
      <c r="H288" s="458">
        <f>'[2]Analisis Pekerjaan SNI'!H2650</f>
        <v>84000</v>
      </c>
      <c r="I288" s="449">
        <f t="shared" ref="I288:I302" si="30">SUM(G288:H288)</f>
        <v>332100</v>
      </c>
      <c r="J288" s="450"/>
    </row>
    <row r="289" spans="1:10" ht="18" customHeight="1">
      <c r="B289" s="445">
        <f>+B288+1</f>
        <v>2</v>
      </c>
      <c r="C289" s="445"/>
      <c r="D289" s="446" t="s">
        <v>2376</v>
      </c>
      <c r="E289" s="446"/>
      <c r="F289" s="457" t="s">
        <v>785</v>
      </c>
      <c r="G289" s="458">
        <f>'[2]Analisis Pekerjaan SNI'!H2655</f>
        <v>87350</v>
      </c>
      <c r="H289" s="458">
        <f>'[2]Analisis Pekerjaan SNI'!H2658</f>
        <v>70000</v>
      </c>
      <c r="I289" s="449">
        <f t="shared" si="30"/>
        <v>157350</v>
      </c>
      <c r="J289" s="450"/>
    </row>
    <row r="290" spans="1:10" ht="18" customHeight="1">
      <c r="B290" s="445">
        <f t="shared" ref="B290:B296" si="31">+B289+1</f>
        <v>3</v>
      </c>
      <c r="C290" s="445"/>
      <c r="D290" s="446" t="s">
        <v>2377</v>
      </c>
      <c r="E290" s="446"/>
      <c r="F290" s="457" t="s">
        <v>785</v>
      </c>
      <c r="G290" s="458">
        <f>'[2]Analisis Pekerjaan SNI'!H2662</f>
        <v>63250</v>
      </c>
      <c r="H290" s="458">
        <f>'[2]Analisis Pekerjaan SNI'!H2665</f>
        <v>500</v>
      </c>
      <c r="I290" s="449">
        <f t="shared" si="30"/>
        <v>63750</v>
      </c>
      <c r="J290" s="450"/>
    </row>
    <row r="291" spans="1:10" ht="18" customHeight="1">
      <c r="B291" s="445">
        <f t="shared" si="31"/>
        <v>4</v>
      </c>
      <c r="C291" s="445"/>
      <c r="D291" s="446" t="s">
        <v>2378</v>
      </c>
      <c r="E291" s="446"/>
      <c r="F291" s="457" t="s">
        <v>785</v>
      </c>
      <c r="G291" s="458">
        <f>'[2]Analisis Pekerjaan SNI'!H2673</f>
        <v>36150</v>
      </c>
      <c r="H291" s="458">
        <f>'[2]Analisis Pekerjaan SNI'!H2676</f>
        <v>21000</v>
      </c>
      <c r="I291" s="449">
        <f t="shared" si="30"/>
        <v>57150</v>
      </c>
      <c r="J291" s="450"/>
    </row>
    <row r="292" spans="1:10" ht="18" customHeight="1">
      <c r="B292" s="445">
        <f t="shared" si="31"/>
        <v>5</v>
      </c>
      <c r="C292" s="445"/>
      <c r="D292" s="446" t="s">
        <v>2379</v>
      </c>
      <c r="E292" s="446"/>
      <c r="F292" s="457" t="s">
        <v>785</v>
      </c>
      <c r="G292" s="458">
        <f>'[2]Analisis Pekerjaan SNI'!H2681</f>
        <v>29850</v>
      </c>
      <c r="H292" s="458">
        <f>'[2]Analisis Pekerjaan SNI'!H2684</f>
        <v>14000</v>
      </c>
      <c r="I292" s="449">
        <f t="shared" si="30"/>
        <v>43850</v>
      </c>
      <c r="J292" s="450"/>
    </row>
    <row r="293" spans="1:10" ht="18" customHeight="1">
      <c r="B293" s="445">
        <f t="shared" si="31"/>
        <v>6</v>
      </c>
      <c r="C293" s="445"/>
      <c r="D293" s="446" t="s">
        <v>2380</v>
      </c>
      <c r="E293" s="446"/>
      <c r="F293" s="457" t="s">
        <v>785</v>
      </c>
      <c r="G293" s="458">
        <f>'[2]Analisis Pekerjaan SNI'!H2689</f>
        <v>14180</v>
      </c>
      <c r="H293" s="458">
        <f>'[2]Analisis Pekerjaan SNI'!H2692</f>
        <v>21000</v>
      </c>
      <c r="I293" s="449">
        <f t="shared" si="30"/>
        <v>35180</v>
      </c>
      <c r="J293" s="450"/>
    </row>
    <row r="294" spans="1:10" ht="18" customHeight="1">
      <c r="B294" s="445">
        <f t="shared" si="31"/>
        <v>7</v>
      </c>
      <c r="C294" s="445"/>
      <c r="D294" s="446" t="s">
        <v>2381</v>
      </c>
      <c r="E294" s="446"/>
      <c r="F294" s="457" t="s">
        <v>785</v>
      </c>
      <c r="G294" s="458">
        <f>'[2]Analisis Pekerjaan SNI'!H2696</f>
        <v>414000</v>
      </c>
      <c r="H294" s="458">
        <f>'[2]Analisis Pekerjaan SNI'!H2700</f>
        <v>70000</v>
      </c>
      <c r="I294" s="449">
        <f t="shared" si="30"/>
        <v>484000</v>
      </c>
      <c r="J294" s="450"/>
    </row>
    <row r="295" spans="1:10" ht="18" customHeight="1">
      <c r="B295" s="445">
        <f t="shared" si="31"/>
        <v>8</v>
      </c>
      <c r="C295" s="445"/>
      <c r="D295" s="446" t="s">
        <v>2382</v>
      </c>
      <c r="E295" s="446"/>
      <c r="F295" s="457" t="s">
        <v>785</v>
      </c>
      <c r="G295" s="458">
        <f>'[2]Analisis Pekerjaan SNI'!H2704</f>
        <v>51750</v>
      </c>
      <c r="H295" s="458">
        <f>'[2]Analisis Pekerjaan SNI'!H2708</f>
        <v>75500</v>
      </c>
      <c r="I295" s="449">
        <f t="shared" si="30"/>
        <v>127250</v>
      </c>
      <c r="J295" s="450"/>
    </row>
    <row r="296" spans="1:10" ht="18" customHeight="1">
      <c r="B296" s="445">
        <f t="shared" si="31"/>
        <v>9</v>
      </c>
      <c r="C296" s="445"/>
      <c r="D296" s="446" t="s">
        <v>2383</v>
      </c>
      <c r="E296" s="446"/>
      <c r="F296" s="457" t="s">
        <v>785</v>
      </c>
      <c r="G296" s="458">
        <f>'[2]Analisis Pekerjaan SNI'!H2712</f>
        <v>63250</v>
      </c>
      <c r="H296" s="458">
        <f>'[2]Analisis Pekerjaan SNI'!H2716</f>
        <v>75500</v>
      </c>
      <c r="I296" s="449">
        <f t="shared" si="30"/>
        <v>138750</v>
      </c>
      <c r="J296" s="450"/>
    </row>
    <row r="297" spans="1:10" ht="18" customHeight="1">
      <c r="B297" s="445">
        <v>10</v>
      </c>
      <c r="C297" s="445"/>
      <c r="D297" s="446" t="s">
        <v>2384</v>
      </c>
      <c r="E297" s="446"/>
      <c r="F297" s="457" t="s">
        <v>785</v>
      </c>
      <c r="G297" s="458">
        <f>'[2]Analisis Pekerjaan SNI'!H2720</f>
        <v>33350</v>
      </c>
      <c r="H297" s="458">
        <f>'[2]Analisis Pekerjaan SNI'!H2724</f>
        <v>75500</v>
      </c>
      <c r="I297" s="449">
        <f t="shared" si="30"/>
        <v>108850</v>
      </c>
      <c r="J297" s="450"/>
    </row>
    <row r="298" spans="1:10" ht="18" customHeight="1">
      <c r="B298" s="445">
        <v>11</v>
      </c>
      <c r="C298" s="445"/>
      <c r="D298" s="446" t="s">
        <v>2385</v>
      </c>
      <c r="E298" s="446"/>
      <c r="F298" s="457" t="s">
        <v>785</v>
      </c>
      <c r="G298" s="458">
        <f>'[2]Analisis Pekerjaan SNI'!H2728</f>
        <v>21850</v>
      </c>
      <c r="H298" s="458">
        <f>'[2]Analisis Pekerjaan SNI'!H2732</f>
        <v>75500</v>
      </c>
      <c r="I298" s="449">
        <f t="shared" si="30"/>
        <v>97350</v>
      </c>
      <c r="J298" s="450"/>
    </row>
    <row r="299" spans="1:10" ht="18" customHeight="1">
      <c r="B299" s="445">
        <f>+B298+1</f>
        <v>12</v>
      </c>
      <c r="C299" s="445"/>
      <c r="D299" s="446" t="s">
        <v>2386</v>
      </c>
      <c r="E299" s="446"/>
      <c r="F299" s="457" t="s">
        <v>785</v>
      </c>
      <c r="G299" s="458">
        <f>'[2]Analisis Pekerjaan SNI'!H2736</f>
        <v>23000</v>
      </c>
      <c r="H299" s="458">
        <f>'[2]Analisis Pekerjaan SNI'!H2740</f>
        <v>75500</v>
      </c>
      <c r="I299" s="449">
        <f t="shared" si="30"/>
        <v>98500</v>
      </c>
      <c r="J299" s="450"/>
    </row>
    <row r="300" spans="1:10" ht="18" customHeight="1">
      <c r="B300" s="445">
        <f>+B299+1</f>
        <v>13</v>
      </c>
      <c r="C300" s="445"/>
      <c r="D300" s="446" t="s">
        <v>2387</v>
      </c>
      <c r="E300" s="446"/>
      <c r="F300" s="457" t="s">
        <v>63</v>
      </c>
      <c r="G300" s="458">
        <f>'[2]Analisis Pekerjaan SNI'!H2744</f>
        <v>83490</v>
      </c>
      <c r="H300" s="458">
        <f>'[2]Analisis Pekerjaan SNI'!H2748</f>
        <v>22600</v>
      </c>
      <c r="I300" s="449">
        <f t="shared" si="30"/>
        <v>106090</v>
      </c>
      <c r="J300" s="450"/>
    </row>
    <row r="301" spans="1:10" ht="18" customHeight="1">
      <c r="B301" s="445">
        <f>+B300+1</f>
        <v>14</v>
      </c>
      <c r="C301" s="445"/>
      <c r="D301" s="446" t="s">
        <v>2388</v>
      </c>
      <c r="E301" s="446"/>
      <c r="F301" s="457" t="s">
        <v>63</v>
      </c>
      <c r="G301" s="458">
        <f>'[2]Analisis Pekerjaan SNI'!H2752</f>
        <v>111320</v>
      </c>
      <c r="H301" s="458">
        <f>'[2]Analisis Pekerjaan SNI'!H2756</f>
        <v>22600</v>
      </c>
      <c r="I301" s="449">
        <f t="shared" si="30"/>
        <v>133920</v>
      </c>
      <c r="J301" s="450"/>
    </row>
    <row r="302" spans="1:10" ht="18" customHeight="1">
      <c r="B302" s="445">
        <f>+B301+1</f>
        <v>15</v>
      </c>
      <c r="C302" s="445"/>
      <c r="D302" s="446" t="s">
        <v>2389</v>
      </c>
      <c r="E302" s="446"/>
      <c r="F302" s="457" t="s">
        <v>63</v>
      </c>
      <c r="G302" s="458">
        <f>'[2]Analisis Pekerjaan SNI'!H2760</f>
        <v>16440</v>
      </c>
      <c r="H302" s="458">
        <f>'[2]Analisis Pekerjaan SNI'!H2764</f>
        <v>22600</v>
      </c>
      <c r="I302" s="449">
        <f t="shared" si="30"/>
        <v>39040</v>
      </c>
      <c r="J302" s="450"/>
    </row>
    <row r="303" spans="1:10" ht="18" customHeight="1">
      <c r="B303" s="535"/>
      <c r="C303" s="536"/>
      <c r="D303" s="536"/>
      <c r="E303" s="536"/>
      <c r="F303" s="536"/>
      <c r="G303" s="536"/>
      <c r="H303" s="536"/>
      <c r="I303" s="536"/>
      <c r="J303" s="537"/>
    </row>
    <row r="304" spans="1:10" ht="21.95" customHeight="1">
      <c r="A304" s="456"/>
      <c r="B304" s="435" t="s">
        <v>2390</v>
      </c>
      <c r="C304" s="436"/>
      <c r="D304" s="436"/>
      <c r="E304" s="436"/>
      <c r="F304" s="436"/>
      <c r="G304" s="436"/>
      <c r="H304" s="436"/>
      <c r="I304" s="436"/>
      <c r="J304" s="437"/>
    </row>
    <row r="305" spans="2:10" ht="18" customHeight="1">
      <c r="B305" s="445">
        <v>1</v>
      </c>
      <c r="C305" s="445"/>
      <c r="D305" s="446" t="s">
        <v>2391</v>
      </c>
      <c r="E305" s="446"/>
      <c r="F305" s="457" t="s">
        <v>63</v>
      </c>
      <c r="G305" s="458">
        <f>'[2]Analisis Pekerjaan SNI'!H2772</f>
        <v>2350</v>
      </c>
      <c r="H305" s="458">
        <f>'[2]Analisis Pekerjaan SNI'!H2776</f>
        <v>8300</v>
      </c>
      <c r="I305" s="449">
        <f t="shared" ref="I305:I318" si="32">SUM(G305:H305)</f>
        <v>10650</v>
      </c>
      <c r="J305" s="450"/>
    </row>
    <row r="306" spans="2:10" ht="18" customHeight="1">
      <c r="B306" s="445">
        <f>+B305+1</f>
        <v>2</v>
      </c>
      <c r="C306" s="445"/>
      <c r="D306" s="446" t="s">
        <v>2392</v>
      </c>
      <c r="E306" s="446"/>
      <c r="F306" s="457" t="s">
        <v>63</v>
      </c>
      <c r="G306" s="458">
        <f>'[2]Analisis Pekerjaan SNI'!H2782</f>
        <v>5410</v>
      </c>
      <c r="H306" s="458">
        <f>'[2]Analisis Pekerjaan SNI'!H2786</f>
        <v>11400</v>
      </c>
      <c r="I306" s="449">
        <f t="shared" si="32"/>
        <v>16810</v>
      </c>
      <c r="J306" s="450"/>
    </row>
    <row r="307" spans="2:10" ht="18" customHeight="1">
      <c r="B307" s="445">
        <f>+B306+1</f>
        <v>3</v>
      </c>
      <c r="C307" s="445"/>
      <c r="D307" s="531" t="s">
        <v>2393</v>
      </c>
      <c r="E307" s="531"/>
      <c r="F307" s="457" t="s">
        <v>63</v>
      </c>
      <c r="G307" s="458">
        <f>'[2]Analisis Pekerjaan SNI'!H2794</f>
        <v>94200</v>
      </c>
      <c r="H307" s="458">
        <f>'[2]Analisis Pekerjaan SNI'!H2798</f>
        <v>26500</v>
      </c>
      <c r="I307" s="449">
        <f t="shared" si="32"/>
        <v>120700</v>
      </c>
      <c r="J307" s="450"/>
    </row>
    <row r="308" spans="2:10" ht="18" customHeight="1">
      <c r="B308" s="445">
        <f t="shared" ref="B308:B318" si="33">+B307+1</f>
        <v>4</v>
      </c>
      <c r="C308" s="445"/>
      <c r="D308" s="446" t="s">
        <v>2394</v>
      </c>
      <c r="E308" s="446"/>
      <c r="F308" s="457" t="s">
        <v>63</v>
      </c>
      <c r="G308" s="458">
        <f>'[2]Analisis Pekerjaan SNI'!H2806</f>
        <v>80450</v>
      </c>
      <c r="H308" s="458">
        <f>'[2]Analisis Pekerjaan SNI'!H2810</f>
        <v>26500</v>
      </c>
      <c r="I308" s="449">
        <f t="shared" si="32"/>
        <v>106950</v>
      </c>
      <c r="J308" s="450"/>
    </row>
    <row r="309" spans="2:10" ht="18" customHeight="1">
      <c r="B309" s="445">
        <f t="shared" si="33"/>
        <v>5</v>
      </c>
      <c r="C309" s="445"/>
      <c r="D309" s="446" t="s">
        <v>2395</v>
      </c>
      <c r="E309" s="446"/>
      <c r="F309" s="457" t="s">
        <v>63</v>
      </c>
      <c r="G309" s="458">
        <f>'[2]Analisis Pekerjaan SNI'!H2816</f>
        <v>20490</v>
      </c>
      <c r="H309" s="458">
        <f>'[2]Analisis Pekerjaan SNI'!H2820</f>
        <v>26500</v>
      </c>
      <c r="I309" s="449">
        <f t="shared" si="32"/>
        <v>46990</v>
      </c>
      <c r="J309" s="450"/>
    </row>
    <row r="310" spans="2:10" ht="18" customHeight="1">
      <c r="B310" s="445">
        <f t="shared" si="33"/>
        <v>6</v>
      </c>
      <c r="C310" s="445"/>
      <c r="D310" s="446" t="s">
        <v>2396</v>
      </c>
      <c r="E310" s="446"/>
      <c r="F310" s="457" t="s">
        <v>63</v>
      </c>
      <c r="G310" s="458">
        <f>'[2]Analisis Pekerjaan SNI'!H2826</f>
        <v>19890</v>
      </c>
      <c r="H310" s="458">
        <f>'[2]Analisis Pekerjaan SNI'!H2830</f>
        <v>26500</v>
      </c>
      <c r="I310" s="449">
        <f t="shared" si="32"/>
        <v>46390</v>
      </c>
      <c r="J310" s="450"/>
    </row>
    <row r="311" spans="2:10" ht="18" customHeight="1">
      <c r="B311" s="445">
        <f t="shared" si="33"/>
        <v>7</v>
      </c>
      <c r="C311" s="445"/>
      <c r="D311" s="446" t="s">
        <v>2397</v>
      </c>
      <c r="E311" s="446"/>
      <c r="F311" s="457" t="s">
        <v>63</v>
      </c>
      <c r="G311" s="458">
        <f>'[2]Analisis Pekerjaan SNI'!H2834</f>
        <v>1240</v>
      </c>
      <c r="H311" s="458">
        <f>'[2]Analisis Pekerjaan SNI'!H2838</f>
        <v>19300</v>
      </c>
      <c r="I311" s="449">
        <f t="shared" si="32"/>
        <v>20540</v>
      </c>
      <c r="J311" s="450"/>
    </row>
    <row r="312" spans="2:10" ht="18" customHeight="1">
      <c r="B312" s="445">
        <f t="shared" si="33"/>
        <v>8</v>
      </c>
      <c r="C312" s="445"/>
      <c r="D312" s="446" t="s">
        <v>2398</v>
      </c>
      <c r="E312" s="446"/>
      <c r="F312" s="457" t="s">
        <v>63</v>
      </c>
      <c r="G312" s="458">
        <f>'[2]Analisis Pekerjaan SNI'!H2846</f>
        <v>56300</v>
      </c>
      <c r="H312" s="458">
        <f>'[2]Analisis Pekerjaan SNI'!H2850</f>
        <v>34600</v>
      </c>
      <c r="I312" s="449">
        <f t="shared" si="32"/>
        <v>90900</v>
      </c>
      <c r="J312" s="450"/>
    </row>
    <row r="313" spans="2:10" ht="18" customHeight="1">
      <c r="B313" s="445">
        <f t="shared" si="33"/>
        <v>9</v>
      </c>
      <c r="C313" s="445"/>
      <c r="D313" s="446" t="s">
        <v>2399</v>
      </c>
      <c r="E313" s="446"/>
      <c r="F313" s="457" t="s">
        <v>63</v>
      </c>
      <c r="G313" s="458">
        <v>19000</v>
      </c>
      <c r="H313" s="458">
        <f>'[2]Analisis Pekerjaan SNI'!H2862</f>
        <v>34600</v>
      </c>
      <c r="I313" s="449">
        <f t="shared" si="32"/>
        <v>53600</v>
      </c>
      <c r="J313" s="450"/>
    </row>
    <row r="314" spans="2:10" ht="18" customHeight="1">
      <c r="B314" s="445">
        <f t="shared" si="33"/>
        <v>10</v>
      </c>
      <c r="C314" s="445"/>
      <c r="D314" s="446" t="s">
        <v>2400</v>
      </c>
      <c r="E314" s="446"/>
      <c r="F314" s="457" t="s">
        <v>63</v>
      </c>
      <c r="G314" s="458">
        <f>'[2]Analisis Pekerjaan SNI'!H2869</f>
        <v>48610</v>
      </c>
      <c r="H314" s="458">
        <f>'[2]Analisis Pekerjaan SNI'!H2873</f>
        <v>34600</v>
      </c>
      <c r="I314" s="449">
        <f t="shared" si="32"/>
        <v>83210</v>
      </c>
      <c r="J314" s="450"/>
    </row>
    <row r="315" spans="2:10" ht="18" customHeight="1">
      <c r="B315" s="445">
        <f t="shared" si="33"/>
        <v>11</v>
      </c>
      <c r="C315" s="445"/>
      <c r="D315" s="446" t="s">
        <v>2401</v>
      </c>
      <c r="E315" s="446"/>
      <c r="F315" s="457" t="s">
        <v>63</v>
      </c>
      <c r="G315" s="458">
        <f>'[2]Analisis Pekerjaan SNI'!H2881</f>
        <v>80110</v>
      </c>
      <c r="H315" s="458">
        <f>'[2]Analisis Pekerjaan SNI'!H2885</f>
        <v>64000</v>
      </c>
      <c r="I315" s="449">
        <f t="shared" si="32"/>
        <v>144110</v>
      </c>
      <c r="J315" s="450"/>
    </row>
    <row r="316" spans="2:10" ht="18" customHeight="1">
      <c r="B316" s="445">
        <f t="shared" si="33"/>
        <v>12</v>
      </c>
      <c r="C316" s="445"/>
      <c r="D316" s="446" t="s">
        <v>2402</v>
      </c>
      <c r="E316" s="446"/>
      <c r="F316" s="457" t="s">
        <v>63</v>
      </c>
      <c r="G316" s="458">
        <f>'[2]Analisis Pekerjaan SNI'!H2890</f>
        <v>38820</v>
      </c>
      <c r="H316" s="458">
        <f>'[2]Analisis Pekerjaan SNI'!H2894</f>
        <v>23200</v>
      </c>
      <c r="I316" s="449">
        <f t="shared" si="32"/>
        <v>62020</v>
      </c>
      <c r="J316" s="450"/>
    </row>
    <row r="317" spans="2:10" ht="18" customHeight="1">
      <c r="B317" s="445">
        <f t="shared" si="33"/>
        <v>13</v>
      </c>
      <c r="C317" s="445"/>
      <c r="D317" s="446" t="s">
        <v>2403</v>
      </c>
      <c r="E317" s="446"/>
      <c r="F317" s="457" t="s">
        <v>63</v>
      </c>
      <c r="G317" s="458">
        <f>'[2]Analisis Pekerjaan SNI'!H2899</f>
        <v>5650</v>
      </c>
      <c r="H317" s="458">
        <f>'[2]Analisis Pekerjaan SNI'!H2903</f>
        <v>30200</v>
      </c>
      <c r="I317" s="449">
        <f t="shared" si="32"/>
        <v>35850</v>
      </c>
      <c r="J317" s="450"/>
    </row>
    <row r="318" spans="2:10" ht="18" customHeight="1">
      <c r="B318" s="445">
        <f t="shared" si="33"/>
        <v>14</v>
      </c>
      <c r="C318" s="445"/>
      <c r="D318" s="446" t="s">
        <v>2404</v>
      </c>
      <c r="E318" s="446"/>
      <c r="F318" s="457" t="s">
        <v>63</v>
      </c>
      <c r="G318" s="458">
        <f>'[2]Analisis Pekerjaan SNI'!H2911</f>
        <v>17760</v>
      </c>
      <c r="H318" s="458">
        <f>'[2]Analisis Pekerjaan SNI'!H2915</f>
        <v>50000</v>
      </c>
      <c r="I318" s="449">
        <f t="shared" si="32"/>
        <v>67760</v>
      </c>
      <c r="J318" s="450"/>
    </row>
    <row r="319" spans="2:10" ht="18" customHeight="1">
      <c r="B319" s="535"/>
      <c r="C319" s="536"/>
      <c r="D319" s="536"/>
      <c r="E319" s="536"/>
      <c r="F319" s="536"/>
      <c r="G319" s="536"/>
      <c r="H319" s="536"/>
      <c r="I319" s="536"/>
      <c r="J319" s="537"/>
    </row>
    <row r="320" spans="2:10" ht="21.95" customHeight="1">
      <c r="B320" s="435" t="s">
        <v>2405</v>
      </c>
      <c r="C320" s="436"/>
      <c r="D320" s="436"/>
      <c r="E320" s="436"/>
      <c r="F320" s="436"/>
      <c r="G320" s="436"/>
      <c r="H320" s="436"/>
      <c r="I320" s="436"/>
      <c r="J320" s="437"/>
    </row>
    <row r="321" spans="2:11" ht="18" customHeight="1">
      <c r="B321" s="445">
        <v>1</v>
      </c>
      <c r="C321" s="445"/>
      <c r="D321" s="446" t="s">
        <v>2406</v>
      </c>
      <c r="E321" s="446"/>
      <c r="F321" s="457" t="str">
        <f>F297</f>
        <v>bh</v>
      </c>
      <c r="G321" s="458">
        <f>'[2]Analisis Pekerjaan SNI'!H2925</f>
        <v>162070</v>
      </c>
      <c r="H321" s="458">
        <f>'[2]Analisis Pekerjaan SNI'!H2929</f>
        <v>106000</v>
      </c>
      <c r="I321" s="449">
        <f t="shared" ref="I321:I329" si="34">SUM(G321:H321)</f>
        <v>268070</v>
      </c>
      <c r="J321" s="450"/>
    </row>
    <row r="322" spans="2:11" ht="18" customHeight="1">
      <c r="B322" s="445">
        <f t="shared" ref="B322:B328" si="35">+B321+1</f>
        <v>2</v>
      </c>
      <c r="C322" s="445"/>
      <c r="D322" s="446" t="s">
        <v>2407</v>
      </c>
      <c r="E322" s="446"/>
      <c r="F322" s="457" t="str">
        <f>F321</f>
        <v>bh</v>
      </c>
      <c r="G322" s="458">
        <f>'[2]Analisis Pekerjaan SNI'!H2935</f>
        <v>141370</v>
      </c>
      <c r="H322" s="458">
        <f>'[2]Analisis Pekerjaan SNI'!H2939</f>
        <v>106000</v>
      </c>
      <c r="I322" s="449">
        <f t="shared" si="34"/>
        <v>247370</v>
      </c>
      <c r="J322" s="450"/>
    </row>
    <row r="323" spans="2:11" ht="18" customHeight="1">
      <c r="B323" s="445">
        <f t="shared" si="35"/>
        <v>3</v>
      </c>
      <c r="C323" s="445"/>
      <c r="D323" s="531" t="s">
        <v>2408</v>
      </c>
      <c r="E323" s="531"/>
      <c r="F323" s="457" t="s">
        <v>63</v>
      </c>
      <c r="G323" s="458">
        <f>'[2]Analisis Pekerjaan SNI'!H2944</f>
        <v>63880</v>
      </c>
      <c r="H323" s="458">
        <f>'[2]Analisis Pekerjaan SNI'!H2947</f>
        <v>14000</v>
      </c>
      <c r="I323" s="449">
        <f t="shared" si="34"/>
        <v>77880</v>
      </c>
      <c r="J323" s="450"/>
    </row>
    <row r="324" spans="2:11" ht="18" customHeight="1">
      <c r="B324" s="445">
        <f t="shared" si="35"/>
        <v>4</v>
      </c>
      <c r="C324" s="445"/>
      <c r="D324" s="531" t="s">
        <v>2409</v>
      </c>
      <c r="E324" s="531"/>
      <c r="F324" s="457" t="s">
        <v>63</v>
      </c>
      <c r="G324" s="458">
        <f>'[2]Analisis Pekerjaan SNI'!H2952</f>
        <v>63880</v>
      </c>
      <c r="H324" s="458">
        <f>'[2]Analisis Pekerjaan SNI'!H2955</f>
        <v>16800</v>
      </c>
      <c r="I324" s="449">
        <f t="shared" si="34"/>
        <v>80680</v>
      </c>
      <c r="J324" s="450"/>
    </row>
    <row r="325" spans="2:11" ht="18" customHeight="1">
      <c r="B325" s="445">
        <f t="shared" si="35"/>
        <v>5</v>
      </c>
      <c r="C325" s="445"/>
      <c r="D325" s="531" t="s">
        <v>2410</v>
      </c>
      <c r="E325" s="531"/>
      <c r="F325" s="457" t="s">
        <v>63</v>
      </c>
      <c r="G325" s="458">
        <f>'[2]Analisis Pekerjaan SNI'!H2960</f>
        <v>98720</v>
      </c>
      <c r="H325" s="458">
        <f>'[2]Analisis Pekerjaan SNI'!H2963</f>
        <v>21000</v>
      </c>
      <c r="I325" s="449">
        <f t="shared" si="34"/>
        <v>119720</v>
      </c>
      <c r="J325" s="450"/>
    </row>
    <row r="326" spans="2:11" ht="18" customHeight="1">
      <c r="B326" s="445">
        <f t="shared" si="35"/>
        <v>6</v>
      </c>
      <c r="C326" s="445"/>
      <c r="D326" s="531" t="s">
        <v>2411</v>
      </c>
      <c r="E326" s="531"/>
      <c r="F326" s="457" t="s">
        <v>63</v>
      </c>
      <c r="G326" s="458">
        <f>'[2]Analisis Pekerjaan SNI'!H2968</f>
        <v>8130</v>
      </c>
      <c r="H326" s="458">
        <f>'[2]Analisis Pekerjaan SNI'!H2971</f>
        <v>14000</v>
      </c>
      <c r="I326" s="449">
        <f t="shared" si="34"/>
        <v>22130</v>
      </c>
      <c r="J326" s="450"/>
    </row>
    <row r="327" spans="2:11" ht="18" customHeight="1">
      <c r="B327" s="445">
        <f t="shared" si="35"/>
        <v>7</v>
      </c>
      <c r="C327" s="445"/>
      <c r="D327" s="531" t="s">
        <v>2412</v>
      </c>
      <c r="E327" s="531"/>
      <c r="F327" s="457" t="s">
        <v>63</v>
      </c>
      <c r="G327" s="458">
        <f>'[2]Analisis Pekerjaan SNI'!H2976</f>
        <v>301990</v>
      </c>
      <c r="H327" s="458">
        <f>'[2]Analisis Pekerjaan SNI'!H2979</f>
        <v>49000</v>
      </c>
      <c r="I327" s="449">
        <f t="shared" si="34"/>
        <v>350990</v>
      </c>
      <c r="J327" s="450"/>
    </row>
    <row r="328" spans="2:11" ht="18" customHeight="1">
      <c r="B328" s="445">
        <f t="shared" si="35"/>
        <v>8</v>
      </c>
      <c r="C328" s="445"/>
      <c r="D328" s="531" t="s">
        <v>2413</v>
      </c>
      <c r="E328" s="531"/>
      <c r="F328" s="457" t="s">
        <v>63</v>
      </c>
      <c r="G328" s="458">
        <f>'[2]Analisis Pekerjaan SNI'!H2984</f>
        <v>316250</v>
      </c>
      <c r="H328" s="458">
        <f>'[2]Analisis Pekerjaan SNI'!H2987</f>
        <v>140000</v>
      </c>
      <c r="I328" s="449">
        <f t="shared" si="34"/>
        <v>456250</v>
      </c>
      <c r="J328" s="450"/>
      <c r="K328" s="503"/>
    </row>
    <row r="329" spans="2:11" ht="18" customHeight="1">
      <c r="B329" s="488">
        <v>9</v>
      </c>
      <c r="C329" s="488"/>
      <c r="D329" s="527" t="s">
        <v>2414</v>
      </c>
      <c r="E329" s="527"/>
      <c r="F329" s="488" t="s">
        <v>1183</v>
      </c>
      <c r="G329" s="488"/>
      <c r="H329" s="488"/>
      <c r="I329" s="491">
        <f t="shared" si="34"/>
        <v>0</v>
      </c>
      <c r="J329" s="450"/>
      <c r="K329" s="503"/>
    </row>
    <row r="330" spans="2:11" ht="18" customHeight="1">
      <c r="B330" s="528"/>
      <c r="C330" s="529"/>
      <c r="D330" s="529"/>
      <c r="E330" s="529"/>
      <c r="F330" s="529"/>
      <c r="G330" s="529"/>
      <c r="H330" s="529"/>
      <c r="I330" s="529"/>
      <c r="J330" s="530"/>
      <c r="K330" s="503"/>
    </row>
    <row r="331" spans="2:11" ht="21.95" customHeight="1">
      <c r="B331" s="435" t="s">
        <v>2415</v>
      </c>
      <c r="C331" s="436"/>
      <c r="D331" s="436"/>
      <c r="E331" s="436"/>
      <c r="F331" s="436"/>
      <c r="G331" s="436"/>
      <c r="H331" s="436"/>
      <c r="I331" s="436"/>
      <c r="J331" s="437"/>
    </row>
    <row r="332" spans="2:11" ht="18" customHeight="1">
      <c r="B332" s="445">
        <v>1</v>
      </c>
      <c r="C332" s="445"/>
      <c r="D332" s="446" t="s">
        <v>2416</v>
      </c>
      <c r="E332" s="446"/>
      <c r="F332" s="457" t="s">
        <v>63</v>
      </c>
      <c r="G332" s="458">
        <f>'[2]Analisis Pekerjaan SNI'!H2997</f>
        <v>288920</v>
      </c>
      <c r="H332" s="458">
        <f>'[2]Analisis Pekerjaan SNI'!H3001</f>
        <v>106000</v>
      </c>
      <c r="I332" s="449">
        <f t="shared" ref="I332:I334" si="36">SUM(G332:H332)</f>
        <v>394920</v>
      </c>
      <c r="J332" s="450"/>
    </row>
    <row r="333" spans="2:11" ht="18" customHeight="1">
      <c r="B333" s="445">
        <f>+B332+1</f>
        <v>2</v>
      </c>
      <c r="C333" s="445"/>
      <c r="D333" s="446" t="s">
        <v>2417</v>
      </c>
      <c r="E333" s="446"/>
      <c r="F333" s="457" t="s">
        <v>63</v>
      </c>
      <c r="G333" s="458">
        <f>'[2]Analisis Pekerjaan SNI'!H3007</f>
        <v>55760</v>
      </c>
      <c r="H333" s="458">
        <f>'[2]Analisis Pekerjaan SNI'!H3011</f>
        <v>106000</v>
      </c>
      <c r="I333" s="449">
        <f t="shared" si="36"/>
        <v>161760</v>
      </c>
      <c r="J333" s="450"/>
    </row>
    <row r="334" spans="2:11" ht="18" customHeight="1">
      <c r="B334" s="445">
        <f>+B333+1</f>
        <v>3</v>
      </c>
      <c r="C334" s="445"/>
      <c r="D334" s="531" t="s">
        <v>2418</v>
      </c>
      <c r="E334" s="531"/>
      <c r="F334" s="457" t="s">
        <v>63</v>
      </c>
      <c r="G334" s="458">
        <f>'[2]Analisis Pekerjaan SNI'!H3016</f>
        <v>52380</v>
      </c>
      <c r="H334" s="458">
        <f>'[2]Analisis Pekerjaan SNI'!H3020</f>
        <v>106000</v>
      </c>
      <c r="I334" s="449">
        <f t="shared" si="36"/>
        <v>158380</v>
      </c>
      <c r="J334" s="450"/>
    </row>
    <row r="335" spans="2:11" ht="6.6" customHeight="1">
      <c r="B335" s="456"/>
      <c r="C335" s="456"/>
      <c r="D335" s="456"/>
      <c r="E335" s="456"/>
      <c r="F335" s="456"/>
      <c r="G335" s="456"/>
      <c r="H335" s="456"/>
      <c r="I335" s="456"/>
      <c r="J335" s="456"/>
    </row>
    <row r="336" spans="2:11">
      <c r="B336" s="456"/>
      <c r="C336" s="456"/>
      <c r="D336" s="456"/>
      <c r="E336" s="456"/>
      <c r="F336" s="456"/>
      <c r="G336" s="456"/>
      <c r="H336" s="456"/>
      <c r="I336" s="456"/>
      <c r="J336" s="456"/>
    </row>
    <row r="337" spans="2:10">
      <c r="B337" s="456"/>
      <c r="C337" s="456"/>
      <c r="D337" s="456"/>
      <c r="E337" s="456"/>
      <c r="F337" s="456"/>
      <c r="G337" s="456"/>
      <c r="H337" s="456"/>
      <c r="I337" s="456"/>
      <c r="J337" s="456"/>
    </row>
    <row r="338" spans="2:10">
      <c r="B338" s="456"/>
      <c r="C338" s="456"/>
      <c r="D338" s="456"/>
      <c r="E338" s="456"/>
      <c r="F338" s="456"/>
      <c r="G338" s="456"/>
      <c r="H338" s="456"/>
      <c r="I338" s="456"/>
      <c r="J338" s="456"/>
    </row>
    <row r="339" spans="2:10">
      <c r="B339" s="456"/>
      <c r="C339" s="456"/>
      <c r="D339" s="456"/>
      <c r="E339" s="456"/>
      <c r="F339" s="456"/>
      <c r="G339" s="456"/>
      <c r="H339" s="456"/>
      <c r="I339" s="456"/>
      <c r="J339" s="456"/>
    </row>
    <row r="340" spans="2:10">
      <c r="B340" s="456"/>
      <c r="C340" s="456"/>
      <c r="D340" s="456"/>
      <c r="E340" s="456"/>
      <c r="F340" s="456"/>
      <c r="G340" s="456"/>
      <c r="H340" s="456"/>
      <c r="I340" s="456"/>
      <c r="J340" s="456"/>
    </row>
    <row r="341" spans="2:10">
      <c r="B341" s="456"/>
      <c r="C341" s="456"/>
      <c r="D341" s="456"/>
      <c r="E341" s="456"/>
      <c r="F341" s="456"/>
      <c r="G341" s="456"/>
      <c r="H341" s="456"/>
      <c r="I341" s="456"/>
      <c r="J341" s="456"/>
    </row>
    <row r="342" spans="2:10">
      <c r="B342" s="456"/>
      <c r="C342" s="456"/>
      <c r="D342" s="456"/>
      <c r="E342" s="456"/>
      <c r="F342" s="456"/>
      <c r="G342" s="456"/>
      <c r="H342" s="456"/>
      <c r="I342" s="456"/>
      <c r="J342" s="456"/>
    </row>
    <row r="343" spans="2:10">
      <c r="B343" s="456"/>
      <c r="C343" s="456"/>
      <c r="D343" s="456"/>
      <c r="E343" s="456"/>
      <c r="F343" s="456"/>
      <c r="G343" s="456"/>
      <c r="H343" s="456"/>
      <c r="I343" s="456"/>
      <c r="J343" s="456"/>
    </row>
    <row r="344" spans="2:10">
      <c r="B344" s="456"/>
      <c r="C344" s="456"/>
      <c r="D344" s="456"/>
      <c r="E344" s="456"/>
      <c r="F344" s="456"/>
      <c r="G344" s="456"/>
      <c r="H344" s="456"/>
      <c r="I344" s="456"/>
      <c r="J344" s="456"/>
    </row>
    <row r="345" spans="2:10">
      <c r="B345" s="456"/>
      <c r="C345" s="456"/>
      <c r="D345" s="456"/>
      <c r="E345" s="456"/>
      <c r="F345" s="456"/>
      <c r="G345" s="456"/>
      <c r="H345" s="456"/>
      <c r="I345" s="456"/>
      <c r="J345" s="456"/>
    </row>
    <row r="346" spans="2:10">
      <c r="B346" s="456"/>
      <c r="C346" s="456"/>
      <c r="D346" s="456"/>
      <c r="E346" s="456"/>
      <c r="F346" s="456"/>
      <c r="G346" s="456"/>
      <c r="H346" s="456"/>
      <c r="I346" s="456"/>
      <c r="J346" s="456"/>
    </row>
    <row r="347" spans="2:10">
      <c r="B347" s="456"/>
      <c r="C347" s="456"/>
      <c r="D347" s="456"/>
      <c r="E347" s="456"/>
      <c r="F347" s="456"/>
      <c r="G347" s="456"/>
      <c r="H347" s="456"/>
      <c r="I347" s="456"/>
      <c r="J347" s="456"/>
    </row>
    <row r="348" spans="2:10">
      <c r="B348" s="456"/>
      <c r="C348" s="456"/>
      <c r="D348" s="456"/>
      <c r="E348" s="456"/>
      <c r="F348" s="456"/>
      <c r="G348" s="456"/>
      <c r="H348" s="456"/>
      <c r="I348" s="456"/>
      <c r="J348" s="456"/>
    </row>
    <row r="349" spans="2:10">
      <c r="B349" s="456"/>
      <c r="C349" s="456"/>
      <c r="D349" s="456"/>
      <c r="E349" s="456"/>
      <c r="F349" s="456"/>
      <c r="G349" s="456"/>
      <c r="H349" s="456"/>
      <c r="I349" s="456"/>
      <c r="J349" s="456"/>
    </row>
    <row r="350" spans="2:10">
      <c r="B350" s="456"/>
      <c r="C350" s="456"/>
      <c r="D350" s="456"/>
      <c r="E350" s="456"/>
      <c r="F350" s="456"/>
      <c r="G350" s="456"/>
      <c r="H350" s="456"/>
      <c r="I350" s="456"/>
      <c r="J350" s="456"/>
    </row>
    <row r="351" spans="2:10">
      <c r="B351" s="456"/>
      <c r="C351" s="456"/>
      <c r="D351" s="456"/>
      <c r="E351" s="456"/>
      <c r="F351" s="456"/>
      <c r="G351" s="456"/>
      <c r="H351" s="456"/>
      <c r="I351" s="456"/>
      <c r="J351" s="456"/>
    </row>
    <row r="352" spans="2:10">
      <c r="B352" s="456"/>
      <c r="C352" s="456"/>
      <c r="D352" s="456"/>
      <c r="E352" s="456"/>
      <c r="F352" s="456"/>
      <c r="G352" s="456"/>
      <c r="H352" s="456"/>
      <c r="I352" s="456"/>
      <c r="J352" s="456"/>
    </row>
    <row r="353" spans="2:10">
      <c r="B353" s="456"/>
      <c r="C353" s="456"/>
      <c r="D353" s="456"/>
      <c r="E353" s="456"/>
      <c r="F353" s="456"/>
      <c r="G353" s="456"/>
      <c r="H353" s="456"/>
      <c r="I353" s="456"/>
      <c r="J353" s="456"/>
    </row>
    <row r="354" spans="2:10">
      <c r="B354" s="456"/>
      <c r="C354" s="456"/>
      <c r="D354" s="456"/>
      <c r="E354" s="456"/>
      <c r="F354" s="456"/>
      <c r="G354" s="456"/>
      <c r="H354" s="456"/>
      <c r="I354" s="456"/>
      <c r="J354" s="456"/>
    </row>
  </sheetData>
  <mergeCells count="33">
    <mergeCell ref="B149:J149"/>
    <mergeCell ref="B1:J1"/>
    <mergeCell ref="C3:E3"/>
    <mergeCell ref="B22:J22"/>
    <mergeCell ref="B35:J35"/>
    <mergeCell ref="B53:J53"/>
    <mergeCell ref="B61:J61"/>
    <mergeCell ref="B74:J74"/>
    <mergeCell ref="B81:J81"/>
    <mergeCell ref="B103:J103"/>
    <mergeCell ref="B116:J116"/>
    <mergeCell ref="B132:J132"/>
    <mergeCell ref="B319:J319"/>
    <mergeCell ref="B164:J164"/>
    <mergeCell ref="B190:J190"/>
    <mergeCell ref="B200:J200"/>
    <mergeCell ref="B220:J220"/>
    <mergeCell ref="B233:J233"/>
    <mergeCell ref="B250:J250"/>
    <mergeCell ref="B265:J265"/>
    <mergeCell ref="B276:J276"/>
    <mergeCell ref="B286:J286"/>
    <mergeCell ref="B303:J303"/>
    <mergeCell ref="D307:E307"/>
    <mergeCell ref="D329:E329"/>
    <mergeCell ref="B330:J330"/>
    <mergeCell ref="D334:E334"/>
    <mergeCell ref="D323:E323"/>
    <mergeCell ref="D324:E324"/>
    <mergeCell ref="D325:E325"/>
    <mergeCell ref="D326:E326"/>
    <mergeCell ref="D327:E327"/>
    <mergeCell ref="D328:E3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25</vt:i4>
      </vt:variant>
    </vt:vector>
  </HeadingPairs>
  <TitlesOfParts>
    <vt:vector size="52" baseType="lpstr">
      <vt:lpstr>Daftar Harga Satuan Pekerjaan</vt:lpstr>
      <vt:lpstr>Upah Bahan</vt:lpstr>
      <vt:lpstr>Persiapan</vt:lpstr>
      <vt:lpstr>Galian Tanah</vt:lpstr>
      <vt:lpstr>Timbunan Pemadatan</vt:lpstr>
      <vt:lpstr>Pembongkaran</vt:lpstr>
      <vt:lpstr>Pondasi</vt:lpstr>
      <vt:lpstr>Beton</vt:lpstr>
      <vt:lpstr>Rangka Atap</vt:lpstr>
      <vt:lpstr>Pasangan Dinding</vt:lpstr>
      <vt:lpstr>Penutup Atap</vt:lpstr>
      <vt:lpstr>Plesteran Dan Acian</vt:lpstr>
      <vt:lpstr>Plafon</vt:lpstr>
      <vt:lpstr>Penutup Lantai dan Dinding</vt:lpstr>
      <vt:lpstr>Pintu dan Jendela</vt:lpstr>
      <vt:lpstr>Kaca</vt:lpstr>
      <vt:lpstr>Besi dan Aluminium</vt:lpstr>
      <vt:lpstr>Kayu</vt:lpstr>
      <vt:lpstr>Pengecatan dan Pelituran</vt:lpstr>
      <vt:lpstr>Signage</vt:lpstr>
      <vt:lpstr>Sanitair</vt:lpstr>
      <vt:lpstr>Sistem Air Minum</vt:lpstr>
      <vt:lpstr>Sistem Air Limbah</vt:lpstr>
      <vt:lpstr>Bak Kontrol</vt:lpstr>
      <vt:lpstr>Perpipaan Gedung</vt:lpstr>
      <vt:lpstr>Jaringan Listrik</vt:lpstr>
      <vt:lpstr>Sheet1</vt:lpstr>
      <vt:lpstr>bakkontrol</vt:lpstr>
      <vt:lpstr>besidanaluminium</vt:lpstr>
      <vt:lpstr>beton</vt:lpstr>
      <vt:lpstr>galiantanah</vt:lpstr>
      <vt:lpstr>jaringanlistrik</vt:lpstr>
      <vt:lpstr>kaca</vt:lpstr>
      <vt:lpstr>kayu</vt:lpstr>
      <vt:lpstr>pasangdinding</vt:lpstr>
      <vt:lpstr>pembongkaran</vt:lpstr>
      <vt:lpstr>pengecatandanpelitur</vt:lpstr>
      <vt:lpstr>penutupatap</vt:lpstr>
      <vt:lpstr>penutuplantaidandinding</vt:lpstr>
      <vt:lpstr>perpipaangedung</vt:lpstr>
      <vt:lpstr>persiapan</vt:lpstr>
      <vt:lpstr>pintudanjendela</vt:lpstr>
      <vt:lpstr>plafon</vt:lpstr>
      <vt:lpstr>plesteranacian</vt:lpstr>
      <vt:lpstr>pondasi</vt:lpstr>
      <vt:lpstr>rangkaatap</vt:lpstr>
      <vt:lpstr>sanitair</vt:lpstr>
      <vt:lpstr>signage</vt:lpstr>
      <vt:lpstr>sistemairlimbah</vt:lpstr>
      <vt:lpstr>sistemairminum</vt:lpstr>
      <vt:lpstr>timbunanpemadatan</vt:lpstr>
      <vt:lpstr>upahbahan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aria nurrahman</cp:lastModifiedBy>
  <cp:lastPrinted>2024-04-12T08:47:22Z</cp:lastPrinted>
  <dcterms:created xsi:type="dcterms:W3CDTF">2024-02-28T08:44:51Z</dcterms:created>
  <dcterms:modified xsi:type="dcterms:W3CDTF">2024-05-22T05:18:09Z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1033-6.3.0.1722</vt:lpwstr>
  </property>
</Properties>
</file>