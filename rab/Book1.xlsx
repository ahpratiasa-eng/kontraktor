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kise\kontraktor-pro\rab\"/>
    </mc:Choice>
  </mc:AlternateContent>
  <xr:revisionPtr revIDLastSave="0" documentId="13_ncr:1_{C4AC1EF5-F482-45DE-B532-6595D9E9BFE2}" xr6:coauthVersionLast="47" xr6:coauthVersionMax="47" xr10:uidLastSave="{00000000-0000-0000-0000-000000000000}"/>
  <bookViews>
    <workbookView xWindow="-120" yWindow="-120" windowWidth="29040" windowHeight="15720" xr2:uid="{F03B0694-8762-487F-A4EF-C4F1D3E05A6B}"/>
  </bookViews>
  <sheets>
    <sheet name="project 1" sheetId="1" r:id="rId1"/>
    <sheet name="project 2" sheetId="2" r:id="rId2"/>
    <sheet name="project 3" sheetId="3" r:id="rId3"/>
    <sheet name="project 4" sheetId="4" r:id="rId4"/>
    <sheet name="project 5" sheetId="5" r:id="rId5"/>
  </sheets>
  <externalReferences>
    <externalReference r:id="rId6"/>
    <externalReference r:id="rId7"/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H244" i="5"/>
  <c r="H243" i="5"/>
  <c r="H242" i="5"/>
  <c r="H241" i="5"/>
  <c r="H245" i="5" s="1"/>
  <c r="F237" i="5"/>
  <c r="F238" i="5" s="1"/>
  <c r="H238" i="5" s="1"/>
  <c r="G236" i="5"/>
  <c r="H236" i="5" s="1"/>
  <c r="F236" i="5"/>
  <c r="F235" i="5"/>
  <c r="H235" i="5" s="1"/>
  <c r="F234" i="5"/>
  <c r="H234" i="5" s="1"/>
  <c r="F233" i="5"/>
  <c r="H233" i="5" s="1"/>
  <c r="F232" i="5"/>
  <c r="H232" i="5" s="1"/>
  <c r="F231" i="5"/>
  <c r="H231" i="5" s="1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0" i="5"/>
  <c r="H209" i="5"/>
  <c r="H208" i="5"/>
  <c r="H207" i="5"/>
  <c r="H206" i="5"/>
  <c r="H205" i="5"/>
  <c r="H204" i="5"/>
  <c r="H203" i="5"/>
  <c r="A203" i="5"/>
  <c r="A204" i="5" s="1"/>
  <c r="A205" i="5" s="1"/>
  <c r="A206" i="5" s="1"/>
  <c r="A207" i="5" s="1"/>
  <c r="A208" i="5" s="1"/>
  <c r="A209" i="5" s="1"/>
  <c r="A210" i="5" s="1"/>
  <c r="H202" i="5"/>
  <c r="H201" i="5"/>
  <c r="H200" i="5"/>
  <c r="H199" i="5"/>
  <c r="H198" i="5"/>
  <c r="H197" i="5"/>
  <c r="H196" i="5"/>
  <c r="H195" i="5"/>
  <c r="H194" i="5"/>
  <c r="H193" i="5"/>
  <c r="A193" i="5"/>
  <c r="A194" i="5" s="1"/>
  <c r="A195" i="5" s="1"/>
  <c r="A196" i="5" s="1"/>
  <c r="A197" i="5" s="1"/>
  <c r="A198" i="5" s="1"/>
  <c r="A199" i="5" s="1"/>
  <c r="A200" i="5" s="1"/>
  <c r="A201" i="5" s="1"/>
  <c r="H192" i="5"/>
  <c r="H211" i="5" s="1"/>
  <c r="A192" i="5"/>
  <c r="H191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89" i="5" s="1"/>
  <c r="H174" i="5"/>
  <c r="H173" i="5"/>
  <c r="H172" i="5"/>
  <c r="H171" i="5"/>
  <c r="H175" i="5" s="1"/>
  <c r="H168" i="5"/>
  <c r="F167" i="5"/>
  <c r="H167" i="5" s="1"/>
  <c r="F165" i="5"/>
  <c r="H165" i="5" s="1"/>
  <c r="H161" i="5"/>
  <c r="H162" i="5" s="1"/>
  <c r="H160" i="5"/>
  <c r="H159" i="5"/>
  <c r="H158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56" i="5" s="1"/>
  <c r="H135" i="5"/>
  <c r="F133" i="5"/>
  <c r="H133" i="5" s="1"/>
  <c r="F132" i="5"/>
  <c r="H132" i="5" s="1"/>
  <c r="H131" i="5"/>
  <c r="F130" i="5"/>
  <c r="H130" i="5" s="1"/>
  <c r="F129" i="5"/>
  <c r="H129" i="5" s="1"/>
  <c r="H128" i="5"/>
  <c r="F128" i="5"/>
  <c r="F127" i="5"/>
  <c r="H127" i="5" s="1"/>
  <c r="H126" i="5"/>
  <c r="F126" i="5"/>
  <c r="H125" i="5"/>
  <c r="F123" i="5"/>
  <c r="H123" i="5" s="1"/>
  <c r="F122" i="5"/>
  <c r="H122" i="5" s="1"/>
  <c r="F121" i="5"/>
  <c r="H121" i="5" s="1"/>
  <c r="F120" i="5"/>
  <c r="H120" i="5" s="1"/>
  <c r="F119" i="5"/>
  <c r="H119" i="5" s="1"/>
  <c r="F117" i="5"/>
  <c r="H117" i="5" s="1"/>
  <c r="H116" i="5"/>
  <c r="F115" i="5"/>
  <c r="H115" i="5" s="1"/>
  <c r="F114" i="5"/>
  <c r="H114" i="5" s="1"/>
  <c r="H113" i="5"/>
  <c r="F113" i="5"/>
  <c r="F111" i="5"/>
  <c r="H111" i="5" s="1"/>
  <c r="H110" i="5"/>
  <c r="F109" i="5"/>
  <c r="H109" i="5" s="1"/>
  <c r="F108" i="5"/>
  <c r="H108" i="5" s="1"/>
  <c r="H107" i="5"/>
  <c r="F106" i="5"/>
  <c r="H106" i="5" s="1"/>
  <c r="H105" i="5"/>
  <c r="F105" i="5"/>
  <c r="H104" i="5"/>
  <c r="F103" i="5"/>
  <c r="F134" i="5" s="1"/>
  <c r="H134" i="5" s="1"/>
  <c r="F102" i="5"/>
  <c r="H102" i="5" s="1"/>
  <c r="H99" i="5"/>
  <c r="H98" i="5"/>
  <c r="H97" i="5"/>
  <c r="H96" i="5"/>
  <c r="H95" i="5"/>
  <c r="H100" i="5" s="1"/>
  <c r="H94" i="5"/>
  <c r="H93" i="5"/>
  <c r="H92" i="5"/>
  <c r="H91" i="5"/>
  <c r="F88" i="5"/>
  <c r="H88" i="5" s="1"/>
  <c r="F87" i="5"/>
  <c r="H87" i="5" s="1"/>
  <c r="H86" i="5"/>
  <c r="H84" i="5"/>
  <c r="F83" i="5"/>
  <c r="H83" i="5" s="1"/>
  <c r="H82" i="5"/>
  <c r="H81" i="5"/>
  <c r="F80" i="5"/>
  <c r="H80" i="5" s="1"/>
  <c r="D80" i="5"/>
  <c r="F78" i="5"/>
  <c r="F85" i="5" s="1"/>
  <c r="H85" i="5" s="1"/>
  <c r="F75" i="5"/>
  <c r="H75" i="5" s="1"/>
  <c r="H74" i="5"/>
  <c r="F74" i="5"/>
  <c r="F73" i="5"/>
  <c r="H73" i="5" s="1"/>
  <c r="H72" i="5"/>
  <c r="H71" i="5"/>
  <c r="H70" i="5"/>
  <c r="F69" i="5"/>
  <c r="H69" i="5" s="1"/>
  <c r="F68" i="5"/>
  <c r="H68" i="5" s="1"/>
  <c r="H67" i="5"/>
  <c r="H66" i="5"/>
  <c r="H65" i="5"/>
  <c r="H64" i="5"/>
  <c r="F62" i="5"/>
  <c r="F63" i="5" s="1"/>
  <c r="H63" i="5" s="1"/>
  <c r="H59" i="5"/>
  <c r="F59" i="5"/>
  <c r="F58" i="5"/>
  <c r="H58" i="5" s="1"/>
  <c r="H60" i="5" s="1"/>
  <c r="G55" i="5"/>
  <c r="H55" i="5" s="1"/>
  <c r="G53" i="5"/>
  <c r="G54" i="5" s="1"/>
  <c r="H54" i="5" s="1"/>
  <c r="F53" i="5"/>
  <c r="H53" i="5" s="1"/>
  <c r="H52" i="5"/>
  <c r="G52" i="5"/>
  <c r="F52" i="5"/>
  <c r="G51" i="5"/>
  <c r="H51" i="5" s="1"/>
  <c r="F51" i="5"/>
  <c r="G50" i="5"/>
  <c r="F50" i="5"/>
  <c r="H50" i="5" s="1"/>
  <c r="G49" i="5"/>
  <c r="F49" i="5"/>
  <c r="H49" i="5" s="1"/>
  <c r="H48" i="5"/>
  <c r="G48" i="5"/>
  <c r="F48" i="5"/>
  <c r="H47" i="5"/>
  <c r="H46" i="5"/>
  <c r="G46" i="5"/>
  <c r="F46" i="5"/>
  <c r="G45" i="5"/>
  <c r="F45" i="5"/>
  <c r="H45" i="5" s="1"/>
  <c r="F41" i="5"/>
  <c r="H41" i="5" s="1"/>
  <c r="G39" i="5"/>
  <c r="H39" i="5" s="1"/>
  <c r="F39" i="5"/>
  <c r="G38" i="5"/>
  <c r="F38" i="5"/>
  <c r="H38" i="5" s="1"/>
  <c r="F37" i="5"/>
  <c r="H37" i="5" s="1"/>
  <c r="F34" i="5"/>
  <c r="F35" i="5" s="1"/>
  <c r="F33" i="5"/>
  <c r="F40" i="5" s="1"/>
  <c r="H40" i="5" s="1"/>
  <c r="H30" i="5"/>
  <c r="H29" i="5"/>
  <c r="H28" i="5"/>
  <c r="F27" i="5"/>
  <c r="H27" i="5" s="1"/>
  <c r="H31" i="5" s="1"/>
  <c r="H26" i="5"/>
  <c r="H20" i="5"/>
  <c r="H21" i="5" s="1"/>
  <c r="F10" i="5"/>
  <c r="F11" i="5" s="1"/>
  <c r="H9" i="5"/>
  <c r="F9" i="5"/>
  <c r="F12" i="5" l="1"/>
  <c r="H11" i="5"/>
  <c r="H35" i="5"/>
  <c r="F36" i="5"/>
  <c r="H36" i="5" s="1"/>
  <c r="H136" i="5"/>
  <c r="H56" i="5"/>
  <c r="H78" i="5"/>
  <c r="F79" i="5"/>
  <c r="H79" i="5" s="1"/>
  <c r="H237" i="5"/>
  <c r="H239" i="5" s="1"/>
  <c r="F166" i="5"/>
  <c r="H166" i="5" s="1"/>
  <c r="H33" i="5"/>
  <c r="H34" i="5"/>
  <c r="H103" i="5"/>
  <c r="F164" i="5"/>
  <c r="H164" i="5" s="1"/>
  <c r="H62" i="5"/>
  <c r="H76" i="5" s="1"/>
  <c r="H10" i="5"/>
  <c r="H89" i="5" l="1"/>
  <c r="H169" i="5"/>
  <c r="F14" i="5"/>
  <c r="H14" i="5" s="1"/>
  <c r="F13" i="5"/>
  <c r="H13" i="5" s="1"/>
  <c r="H12" i="5"/>
  <c r="H15" i="5" s="1"/>
  <c r="H16" i="5" s="1"/>
  <c r="H42" i="5"/>
  <c r="M412" i="4" l="1"/>
  <c r="N412" i="4" s="1"/>
  <c r="O412" i="4" s="1"/>
  <c r="I412" i="4"/>
  <c r="H412" i="4"/>
  <c r="M411" i="4"/>
  <c r="J411" i="4"/>
  <c r="N411" i="4" s="1"/>
  <c r="O411" i="4" s="1"/>
  <c r="H411" i="4"/>
  <c r="E411" i="4"/>
  <c r="I411" i="4" s="1"/>
  <c r="M410" i="4"/>
  <c r="N410" i="4" s="1"/>
  <c r="I410" i="4"/>
  <c r="H410" i="4"/>
  <c r="M409" i="4"/>
  <c r="N409" i="4" s="1"/>
  <c r="O409" i="4" s="1"/>
  <c r="I409" i="4"/>
  <c r="H409" i="4"/>
  <c r="O408" i="4"/>
  <c r="N408" i="4"/>
  <c r="M408" i="4"/>
  <c r="I408" i="4"/>
  <c r="H408" i="4"/>
  <c r="O407" i="4"/>
  <c r="M407" i="4"/>
  <c r="N407" i="4" s="1"/>
  <c r="I407" i="4"/>
  <c r="H407" i="4"/>
  <c r="M406" i="4"/>
  <c r="N406" i="4" s="1"/>
  <c r="O406" i="4" s="1"/>
  <c r="I406" i="4"/>
  <c r="H406" i="4"/>
  <c r="M405" i="4"/>
  <c r="N405" i="4" s="1"/>
  <c r="O405" i="4" s="1"/>
  <c r="I405" i="4"/>
  <c r="H405" i="4"/>
  <c r="N404" i="4"/>
  <c r="O404" i="4" s="1"/>
  <c r="M404" i="4"/>
  <c r="I404" i="4"/>
  <c r="H404" i="4"/>
  <c r="M403" i="4"/>
  <c r="N403" i="4" s="1"/>
  <c r="O403" i="4" s="1"/>
  <c r="I403" i="4"/>
  <c r="H403" i="4"/>
  <c r="N402" i="4"/>
  <c r="M402" i="4"/>
  <c r="I402" i="4"/>
  <c r="H402" i="4"/>
  <c r="N401" i="4"/>
  <c r="O401" i="4" s="1"/>
  <c r="M401" i="4"/>
  <c r="I401" i="4"/>
  <c r="H401" i="4"/>
  <c r="N400" i="4"/>
  <c r="M400" i="4"/>
  <c r="I400" i="4"/>
  <c r="H400" i="4"/>
  <c r="O399" i="4"/>
  <c r="M399" i="4"/>
  <c r="H399" i="4"/>
  <c r="M398" i="4"/>
  <c r="H398" i="4"/>
  <c r="M397" i="4"/>
  <c r="N397" i="4" s="1"/>
  <c r="O397" i="4" s="1"/>
  <c r="I397" i="4"/>
  <c r="H397" i="4"/>
  <c r="O396" i="4"/>
  <c r="M396" i="4"/>
  <c r="N396" i="4" s="1"/>
  <c r="I396" i="4"/>
  <c r="H396" i="4"/>
  <c r="M395" i="4"/>
  <c r="N395" i="4" s="1"/>
  <c r="O395" i="4" s="1"/>
  <c r="I395" i="4"/>
  <c r="H395" i="4"/>
  <c r="M394" i="4"/>
  <c r="N394" i="4" s="1"/>
  <c r="O394" i="4" s="1"/>
  <c r="I394" i="4"/>
  <c r="H394" i="4"/>
  <c r="M393" i="4"/>
  <c r="N393" i="4" s="1"/>
  <c r="O393" i="4" s="1"/>
  <c r="H393" i="4"/>
  <c r="M392" i="4"/>
  <c r="N392" i="4" s="1"/>
  <c r="I392" i="4"/>
  <c r="O392" i="4" s="1"/>
  <c r="H392" i="4"/>
  <c r="M391" i="4"/>
  <c r="N391" i="4" s="1"/>
  <c r="O391" i="4" s="1"/>
  <c r="I391" i="4"/>
  <c r="H391" i="4"/>
  <c r="M390" i="4"/>
  <c r="N390" i="4" s="1"/>
  <c r="O390" i="4" s="1"/>
  <c r="I390" i="4"/>
  <c r="H390" i="4"/>
  <c r="N389" i="4"/>
  <c r="O389" i="4" s="1"/>
  <c r="M389" i="4"/>
  <c r="I389" i="4"/>
  <c r="H389" i="4"/>
  <c r="M388" i="4"/>
  <c r="N388" i="4" s="1"/>
  <c r="O388" i="4" s="1"/>
  <c r="I388" i="4"/>
  <c r="H388" i="4"/>
  <c r="N387" i="4"/>
  <c r="M387" i="4"/>
  <c r="I387" i="4"/>
  <c r="H387" i="4"/>
  <c r="O386" i="4"/>
  <c r="M386" i="4"/>
  <c r="H386" i="4"/>
  <c r="O385" i="4"/>
  <c r="M385" i="4"/>
  <c r="H385" i="4"/>
  <c r="M384" i="4"/>
  <c r="H384" i="4"/>
  <c r="M383" i="4"/>
  <c r="J383" i="4"/>
  <c r="H383" i="4"/>
  <c r="E383" i="4"/>
  <c r="I383" i="4" s="1"/>
  <c r="M382" i="4"/>
  <c r="J382" i="4"/>
  <c r="N382" i="4" s="1"/>
  <c r="I382" i="4"/>
  <c r="H382" i="4"/>
  <c r="M381" i="4"/>
  <c r="J381" i="4"/>
  <c r="N381" i="4" s="1"/>
  <c r="H381" i="4"/>
  <c r="E381" i="4"/>
  <c r="E382" i="4" s="1"/>
  <c r="M380" i="4"/>
  <c r="J380" i="4"/>
  <c r="N380" i="4" s="1"/>
  <c r="H380" i="4"/>
  <c r="E380" i="4"/>
  <c r="I380" i="4" s="1"/>
  <c r="M379" i="4"/>
  <c r="H379" i="4"/>
  <c r="E379" i="4"/>
  <c r="I379" i="4" s="1"/>
  <c r="M378" i="4"/>
  <c r="J378" i="4"/>
  <c r="J379" i="4" s="1"/>
  <c r="N379" i="4" s="1"/>
  <c r="O379" i="4" s="1"/>
  <c r="H378" i="4"/>
  <c r="E378" i="4"/>
  <c r="I378" i="4" s="1"/>
  <c r="O377" i="4"/>
  <c r="M377" i="4"/>
  <c r="H377" i="4"/>
  <c r="M376" i="4"/>
  <c r="H376" i="4"/>
  <c r="M375" i="4"/>
  <c r="J375" i="4"/>
  <c r="N375" i="4" s="1"/>
  <c r="H375" i="4"/>
  <c r="E375" i="4"/>
  <c r="I375" i="4" s="1"/>
  <c r="L373" i="4"/>
  <c r="M373" i="4" s="1"/>
  <c r="J373" i="4"/>
  <c r="J374" i="4" s="1"/>
  <c r="H373" i="4"/>
  <c r="G373" i="4"/>
  <c r="E373" i="4"/>
  <c r="M372" i="4"/>
  <c r="J372" i="4"/>
  <c r="N372" i="4" s="1"/>
  <c r="I372" i="4"/>
  <c r="H372" i="4"/>
  <c r="E372" i="4"/>
  <c r="J371" i="4"/>
  <c r="E371" i="4"/>
  <c r="L370" i="4"/>
  <c r="M370" i="4" s="1"/>
  <c r="J370" i="4"/>
  <c r="I370" i="4"/>
  <c r="G370" i="4"/>
  <c r="H370" i="4" s="1"/>
  <c r="E370" i="4"/>
  <c r="M369" i="4"/>
  <c r="J369" i="4"/>
  <c r="N369" i="4" s="1"/>
  <c r="H369" i="4"/>
  <c r="E369" i="4"/>
  <c r="I369" i="4" s="1"/>
  <c r="L368" i="4"/>
  <c r="E368" i="4"/>
  <c r="I368" i="4" s="1"/>
  <c r="M367" i="4"/>
  <c r="J367" i="4"/>
  <c r="J368" i="4" s="1"/>
  <c r="H367" i="4"/>
  <c r="E367" i="4"/>
  <c r="I367" i="4" s="1"/>
  <c r="M366" i="4"/>
  <c r="J366" i="4"/>
  <c r="N366" i="4" s="1"/>
  <c r="H366" i="4"/>
  <c r="E366" i="4"/>
  <c r="I366" i="4" s="1"/>
  <c r="O365" i="4"/>
  <c r="M365" i="4"/>
  <c r="H365" i="4"/>
  <c r="M364" i="4"/>
  <c r="H364" i="4"/>
  <c r="M363" i="4"/>
  <c r="J363" i="4"/>
  <c r="N363" i="4" s="1"/>
  <c r="H363" i="4"/>
  <c r="E363" i="4"/>
  <c r="I363" i="4" s="1"/>
  <c r="N362" i="4"/>
  <c r="O362" i="4" s="1"/>
  <c r="M362" i="4"/>
  <c r="J362" i="4"/>
  <c r="H362" i="4"/>
  <c r="E362" i="4"/>
  <c r="I362" i="4" s="1"/>
  <c r="M361" i="4"/>
  <c r="J361" i="4"/>
  <c r="N361" i="4" s="1"/>
  <c r="O361" i="4" s="1"/>
  <c r="H361" i="4"/>
  <c r="E361" i="4"/>
  <c r="I361" i="4" s="1"/>
  <c r="M360" i="4"/>
  <c r="J360" i="4"/>
  <c r="N360" i="4" s="1"/>
  <c r="H360" i="4"/>
  <c r="E360" i="4"/>
  <c r="I360" i="4" s="1"/>
  <c r="I364" i="4" s="1"/>
  <c r="O359" i="4"/>
  <c r="M359" i="4"/>
  <c r="H359" i="4"/>
  <c r="M358" i="4"/>
  <c r="H358" i="4"/>
  <c r="N357" i="4"/>
  <c r="M357" i="4"/>
  <c r="I357" i="4"/>
  <c r="H357" i="4"/>
  <c r="N356" i="4"/>
  <c r="O356" i="4" s="1"/>
  <c r="M356" i="4"/>
  <c r="I356" i="4"/>
  <c r="H356" i="4"/>
  <c r="M355" i="4"/>
  <c r="N355" i="4" s="1"/>
  <c r="O355" i="4" s="1"/>
  <c r="I355" i="4"/>
  <c r="H355" i="4"/>
  <c r="O346" i="4"/>
  <c r="M344" i="4"/>
  <c r="N344" i="4" s="1"/>
  <c r="O344" i="4" s="1"/>
  <c r="I344" i="4"/>
  <c r="H344" i="4"/>
  <c r="N343" i="4"/>
  <c r="M343" i="4"/>
  <c r="I343" i="4"/>
  <c r="H343" i="4"/>
  <c r="M342" i="4"/>
  <c r="N342" i="4" s="1"/>
  <c r="O342" i="4" s="1"/>
  <c r="I342" i="4"/>
  <c r="H342" i="4"/>
  <c r="A342" i="4"/>
  <c r="A343" i="4" s="1"/>
  <c r="A344" i="4" s="1"/>
  <c r="M341" i="4"/>
  <c r="N341" i="4" s="1"/>
  <c r="O341" i="4" s="1"/>
  <c r="I341" i="4"/>
  <c r="H341" i="4"/>
  <c r="A341" i="4"/>
  <c r="M340" i="4"/>
  <c r="N340" i="4" s="1"/>
  <c r="O340" i="4" s="1"/>
  <c r="I340" i="4"/>
  <c r="H340" i="4"/>
  <c r="M339" i="4"/>
  <c r="N339" i="4" s="1"/>
  <c r="O339" i="4" s="1"/>
  <c r="I339" i="4"/>
  <c r="H339" i="4"/>
  <c r="N338" i="4"/>
  <c r="O338" i="4" s="1"/>
  <c r="M338" i="4"/>
  <c r="I338" i="4"/>
  <c r="H338" i="4"/>
  <c r="M337" i="4"/>
  <c r="N337" i="4" s="1"/>
  <c r="I337" i="4"/>
  <c r="H337" i="4"/>
  <c r="N336" i="4"/>
  <c r="O336" i="4" s="1"/>
  <c r="M336" i="4"/>
  <c r="I336" i="4"/>
  <c r="H336" i="4"/>
  <c r="M335" i="4"/>
  <c r="N335" i="4" s="1"/>
  <c r="I335" i="4"/>
  <c r="O335" i="4" s="1"/>
  <c r="H335" i="4"/>
  <c r="A335" i="4"/>
  <c r="A336" i="4" s="1"/>
  <c r="A337" i="4" s="1"/>
  <c r="A338" i="4" s="1"/>
  <c r="A339" i="4" s="1"/>
  <c r="N334" i="4"/>
  <c r="O334" i="4" s="1"/>
  <c r="M334" i="4"/>
  <c r="I334" i="4"/>
  <c r="H334" i="4"/>
  <c r="N333" i="4"/>
  <c r="M333" i="4"/>
  <c r="I333" i="4"/>
  <c r="H333" i="4"/>
  <c r="A333" i="4"/>
  <c r="M332" i="4"/>
  <c r="N332" i="4" s="1"/>
  <c r="O332" i="4" s="1"/>
  <c r="I332" i="4"/>
  <c r="H332" i="4"/>
  <c r="N331" i="4"/>
  <c r="M331" i="4"/>
  <c r="I331" i="4"/>
  <c r="H331" i="4"/>
  <c r="A331" i="4"/>
  <c r="A332" i="4" s="1"/>
  <c r="M330" i="4"/>
  <c r="N330" i="4" s="1"/>
  <c r="I330" i="4"/>
  <c r="H330" i="4"/>
  <c r="O329" i="4"/>
  <c r="M329" i="4"/>
  <c r="H329" i="4"/>
  <c r="M328" i="4"/>
  <c r="H328" i="4"/>
  <c r="N327" i="4"/>
  <c r="O327" i="4" s="1"/>
  <c r="M327" i="4"/>
  <c r="I327" i="4"/>
  <c r="H327" i="4"/>
  <c r="N326" i="4"/>
  <c r="M326" i="4"/>
  <c r="I326" i="4"/>
  <c r="H326" i="4"/>
  <c r="N325" i="4"/>
  <c r="O325" i="4" s="1"/>
  <c r="M325" i="4"/>
  <c r="I325" i="4"/>
  <c r="H325" i="4"/>
  <c r="N324" i="4"/>
  <c r="M324" i="4"/>
  <c r="I324" i="4"/>
  <c r="H324" i="4"/>
  <c r="N323" i="4"/>
  <c r="O323" i="4" s="1"/>
  <c r="M323" i="4"/>
  <c r="I323" i="4"/>
  <c r="H323" i="4"/>
  <c r="O322" i="4"/>
  <c r="M322" i="4"/>
  <c r="N322" i="4" s="1"/>
  <c r="I322" i="4"/>
  <c r="H322" i="4"/>
  <c r="M321" i="4"/>
  <c r="N321" i="4" s="1"/>
  <c r="I321" i="4"/>
  <c r="O321" i="4" s="1"/>
  <c r="H321" i="4"/>
  <c r="O320" i="4"/>
  <c r="M320" i="4"/>
  <c r="H320" i="4"/>
  <c r="M319" i="4"/>
  <c r="H319" i="4"/>
  <c r="M318" i="4"/>
  <c r="N318" i="4" s="1"/>
  <c r="O318" i="4" s="1"/>
  <c r="I318" i="4"/>
  <c r="H318" i="4"/>
  <c r="N317" i="4"/>
  <c r="M317" i="4"/>
  <c r="J317" i="4"/>
  <c r="H317" i="4"/>
  <c r="E317" i="4"/>
  <c r="I317" i="4" s="1"/>
  <c r="J316" i="4"/>
  <c r="E316" i="4"/>
  <c r="M315" i="4"/>
  <c r="N315" i="4" s="1"/>
  <c r="G315" i="4"/>
  <c r="I315" i="4" s="1"/>
  <c r="M314" i="4"/>
  <c r="N314" i="4" s="1"/>
  <c r="O314" i="4" s="1"/>
  <c r="I314" i="4"/>
  <c r="H314" i="4"/>
  <c r="M313" i="4"/>
  <c r="N313" i="4" s="1"/>
  <c r="J313" i="4"/>
  <c r="H313" i="4"/>
  <c r="E313" i="4"/>
  <c r="I313" i="4" s="1"/>
  <c r="J312" i="4"/>
  <c r="G312" i="4"/>
  <c r="E312" i="4"/>
  <c r="M311" i="4"/>
  <c r="N311" i="4" s="1"/>
  <c r="O311" i="4" s="1"/>
  <c r="L311" i="4"/>
  <c r="L315" i="4" s="1"/>
  <c r="H311" i="4"/>
  <c r="M310" i="4"/>
  <c r="N310" i="4" s="1"/>
  <c r="I310" i="4"/>
  <c r="H310" i="4"/>
  <c r="M309" i="4"/>
  <c r="J309" i="4"/>
  <c r="I309" i="4"/>
  <c r="H309" i="4"/>
  <c r="E309" i="4"/>
  <c r="L308" i="4"/>
  <c r="G308" i="4"/>
  <c r="G368" i="4" s="1"/>
  <c r="E308" i="4"/>
  <c r="I308" i="4" s="1"/>
  <c r="L307" i="4"/>
  <c r="M307" i="4" s="1"/>
  <c r="N307" i="4" s="1"/>
  <c r="O307" i="4" s="1"/>
  <c r="J307" i="4"/>
  <c r="J308" i="4" s="1"/>
  <c r="I307" i="4"/>
  <c r="H307" i="4"/>
  <c r="G307" i="4"/>
  <c r="G311" i="4" s="1"/>
  <c r="I311" i="4" s="1"/>
  <c r="M306" i="4"/>
  <c r="N306" i="4" s="1"/>
  <c r="O306" i="4" s="1"/>
  <c r="I306" i="4"/>
  <c r="H306" i="4"/>
  <c r="M305" i="4"/>
  <c r="J305" i="4"/>
  <c r="N305" i="4" s="1"/>
  <c r="O305" i="4" s="1"/>
  <c r="I305" i="4"/>
  <c r="H305" i="4"/>
  <c r="E305" i="4"/>
  <c r="M304" i="4"/>
  <c r="H304" i="4"/>
  <c r="M303" i="4"/>
  <c r="J303" i="4"/>
  <c r="N303" i="4" s="1"/>
  <c r="H303" i="4"/>
  <c r="E303" i="4"/>
  <c r="M302" i="4"/>
  <c r="H302" i="4"/>
  <c r="M301" i="4"/>
  <c r="J301" i="4"/>
  <c r="J302" i="4" s="1"/>
  <c r="N302" i="4" s="1"/>
  <c r="O302" i="4" s="1"/>
  <c r="H301" i="4"/>
  <c r="E301" i="4"/>
  <c r="E302" i="4" s="1"/>
  <c r="I302" i="4" s="1"/>
  <c r="N300" i="4"/>
  <c r="O300" i="4" s="1"/>
  <c r="M300" i="4"/>
  <c r="I300" i="4"/>
  <c r="H300" i="4"/>
  <c r="N299" i="4"/>
  <c r="M299" i="4"/>
  <c r="J299" i="4"/>
  <c r="H299" i="4"/>
  <c r="E299" i="4"/>
  <c r="I299" i="4" s="1"/>
  <c r="N298" i="4"/>
  <c r="M298" i="4"/>
  <c r="H298" i="4"/>
  <c r="E298" i="4"/>
  <c r="I298" i="4" s="1"/>
  <c r="N297" i="4"/>
  <c r="M297" i="4"/>
  <c r="J297" i="4"/>
  <c r="J298" i="4" s="1"/>
  <c r="H297" i="4"/>
  <c r="E297" i="4"/>
  <c r="I297" i="4" s="1"/>
  <c r="M296" i="4"/>
  <c r="H296" i="4"/>
  <c r="E296" i="4"/>
  <c r="I296" i="4" s="1"/>
  <c r="N295" i="4"/>
  <c r="O295" i="4" s="1"/>
  <c r="M295" i="4"/>
  <c r="J295" i="4"/>
  <c r="J296" i="4" s="1"/>
  <c r="N296" i="4" s="1"/>
  <c r="I295" i="4"/>
  <c r="H295" i="4"/>
  <c r="E295" i="4"/>
  <c r="M294" i="4"/>
  <c r="N294" i="4" s="1"/>
  <c r="O294" i="4" s="1"/>
  <c r="I294" i="4"/>
  <c r="H294" i="4"/>
  <c r="M293" i="4"/>
  <c r="N293" i="4" s="1"/>
  <c r="O293" i="4" s="1"/>
  <c r="I293" i="4"/>
  <c r="H293" i="4"/>
  <c r="M292" i="4"/>
  <c r="I292" i="4"/>
  <c r="H292" i="4"/>
  <c r="E292" i="4"/>
  <c r="M291" i="4"/>
  <c r="N291" i="4" s="1"/>
  <c r="J291" i="4"/>
  <c r="J292" i="4" s="1"/>
  <c r="N292" i="4" s="1"/>
  <c r="O292" i="4" s="1"/>
  <c r="I291" i="4"/>
  <c r="H291" i="4"/>
  <c r="E291" i="4"/>
  <c r="O290" i="4"/>
  <c r="M290" i="4"/>
  <c r="H290" i="4"/>
  <c r="O289" i="4"/>
  <c r="M289" i="4"/>
  <c r="H289" i="4"/>
  <c r="M288" i="4"/>
  <c r="H288" i="4"/>
  <c r="M287" i="4"/>
  <c r="H287" i="4"/>
  <c r="M286" i="4"/>
  <c r="H286" i="4"/>
  <c r="M285" i="4"/>
  <c r="J285" i="4"/>
  <c r="I285" i="4"/>
  <c r="H285" i="4"/>
  <c r="E285" i="4"/>
  <c r="E286" i="4" s="1"/>
  <c r="O284" i="4"/>
  <c r="M284" i="4"/>
  <c r="H284" i="4"/>
  <c r="O283" i="4"/>
  <c r="M283" i="4"/>
  <c r="H283" i="4"/>
  <c r="M282" i="4"/>
  <c r="H282" i="4"/>
  <c r="N281" i="4"/>
  <c r="O281" i="4" s="1"/>
  <c r="M281" i="4"/>
  <c r="I281" i="4"/>
  <c r="H281" i="4"/>
  <c r="N280" i="4"/>
  <c r="O280" i="4" s="1"/>
  <c r="M280" i="4"/>
  <c r="I280" i="4"/>
  <c r="H280" i="4"/>
  <c r="N279" i="4"/>
  <c r="O279" i="4" s="1"/>
  <c r="M279" i="4"/>
  <c r="I279" i="4"/>
  <c r="H279" i="4"/>
  <c r="M278" i="4"/>
  <c r="J278" i="4"/>
  <c r="N278" i="4" s="1"/>
  <c r="O278" i="4" s="1"/>
  <c r="H278" i="4"/>
  <c r="E278" i="4"/>
  <c r="I278" i="4" s="1"/>
  <c r="M277" i="4"/>
  <c r="J277" i="4"/>
  <c r="N277" i="4" s="1"/>
  <c r="H277" i="4"/>
  <c r="M276" i="4"/>
  <c r="J276" i="4"/>
  <c r="N276" i="4" s="1"/>
  <c r="O276" i="4" s="1"/>
  <c r="I276" i="4"/>
  <c r="H276" i="4"/>
  <c r="E276" i="4"/>
  <c r="N275" i="4"/>
  <c r="M275" i="4"/>
  <c r="J275" i="4"/>
  <c r="H275" i="4"/>
  <c r="E275" i="4"/>
  <c r="M274" i="4"/>
  <c r="J274" i="4"/>
  <c r="N274" i="4" s="1"/>
  <c r="H274" i="4"/>
  <c r="E274" i="4"/>
  <c r="I274" i="4" s="1"/>
  <c r="N273" i="4"/>
  <c r="M273" i="4"/>
  <c r="J273" i="4"/>
  <c r="H273" i="4"/>
  <c r="E273" i="4"/>
  <c r="I273" i="4" s="1"/>
  <c r="O272" i="4"/>
  <c r="M272" i="4"/>
  <c r="H272" i="4"/>
  <c r="O271" i="4"/>
  <c r="M271" i="4"/>
  <c r="H271" i="4"/>
  <c r="M270" i="4"/>
  <c r="H270" i="4"/>
  <c r="N269" i="4"/>
  <c r="O269" i="4" s="1"/>
  <c r="M269" i="4"/>
  <c r="I269" i="4"/>
  <c r="H269" i="4"/>
  <c r="M268" i="4"/>
  <c r="N268" i="4" s="1"/>
  <c r="O268" i="4" s="1"/>
  <c r="I268" i="4"/>
  <c r="H268" i="4"/>
  <c r="M267" i="4"/>
  <c r="N267" i="4" s="1"/>
  <c r="O267" i="4" s="1"/>
  <c r="I267" i="4"/>
  <c r="H267" i="4"/>
  <c r="O266" i="4"/>
  <c r="M266" i="4"/>
  <c r="N266" i="4" s="1"/>
  <c r="I266" i="4"/>
  <c r="H266" i="4"/>
  <c r="M265" i="4"/>
  <c r="N265" i="4" s="1"/>
  <c r="O265" i="4" s="1"/>
  <c r="I265" i="4"/>
  <c r="H265" i="4"/>
  <c r="O264" i="4"/>
  <c r="M264" i="4"/>
  <c r="N264" i="4" s="1"/>
  <c r="I264" i="4"/>
  <c r="H264" i="4"/>
  <c r="M263" i="4"/>
  <c r="N263" i="4" s="1"/>
  <c r="O263" i="4" s="1"/>
  <c r="I263" i="4"/>
  <c r="H263" i="4"/>
  <c r="M262" i="4"/>
  <c r="N262" i="4" s="1"/>
  <c r="I262" i="4"/>
  <c r="H262" i="4"/>
  <c r="N261" i="4"/>
  <c r="O261" i="4" s="1"/>
  <c r="M261" i="4"/>
  <c r="I261" i="4"/>
  <c r="H261" i="4"/>
  <c r="N260" i="4"/>
  <c r="M260" i="4"/>
  <c r="I260" i="4"/>
  <c r="H260" i="4"/>
  <c r="N259" i="4"/>
  <c r="M259" i="4"/>
  <c r="I259" i="4"/>
  <c r="H259" i="4"/>
  <c r="N258" i="4"/>
  <c r="M258" i="4"/>
  <c r="I258" i="4"/>
  <c r="H258" i="4"/>
  <c r="M257" i="4"/>
  <c r="N257" i="4" s="1"/>
  <c r="O257" i="4" s="1"/>
  <c r="I257" i="4"/>
  <c r="H257" i="4"/>
  <c r="O256" i="4"/>
  <c r="M256" i="4"/>
  <c r="N256" i="4" s="1"/>
  <c r="I256" i="4"/>
  <c r="H256" i="4"/>
  <c r="O255" i="4"/>
  <c r="M255" i="4"/>
  <c r="N255" i="4" s="1"/>
  <c r="I255" i="4"/>
  <c r="H255" i="4"/>
  <c r="M254" i="4"/>
  <c r="N254" i="4" s="1"/>
  <c r="O254" i="4" s="1"/>
  <c r="I254" i="4"/>
  <c r="H254" i="4"/>
  <c r="M253" i="4"/>
  <c r="N253" i="4" s="1"/>
  <c r="O253" i="4" s="1"/>
  <c r="I253" i="4"/>
  <c r="H253" i="4"/>
  <c r="N252" i="4"/>
  <c r="O252" i="4" s="1"/>
  <c r="M252" i="4"/>
  <c r="I252" i="4"/>
  <c r="H252" i="4"/>
  <c r="M251" i="4"/>
  <c r="N251" i="4" s="1"/>
  <c r="O251" i="4" s="1"/>
  <c r="I251" i="4"/>
  <c r="H251" i="4"/>
  <c r="M250" i="4"/>
  <c r="N250" i="4" s="1"/>
  <c r="O250" i="4" s="1"/>
  <c r="I250" i="4"/>
  <c r="H250" i="4"/>
  <c r="N249" i="4"/>
  <c r="O249" i="4" s="1"/>
  <c r="M249" i="4"/>
  <c r="I249" i="4"/>
  <c r="H249" i="4"/>
  <c r="N248" i="4"/>
  <c r="M248" i="4"/>
  <c r="I248" i="4"/>
  <c r="H248" i="4"/>
  <c r="N247" i="4"/>
  <c r="M247" i="4"/>
  <c r="I247" i="4"/>
  <c r="H247" i="4"/>
  <c r="N246" i="4"/>
  <c r="O246" i="4" s="1"/>
  <c r="M246" i="4"/>
  <c r="I246" i="4"/>
  <c r="H246" i="4"/>
  <c r="N245" i="4"/>
  <c r="O245" i="4" s="1"/>
  <c r="M245" i="4"/>
  <c r="I245" i="4"/>
  <c r="H245" i="4"/>
  <c r="M244" i="4"/>
  <c r="N244" i="4" s="1"/>
  <c r="O244" i="4" s="1"/>
  <c r="I244" i="4"/>
  <c r="H244" i="4"/>
  <c r="M243" i="4"/>
  <c r="N243" i="4" s="1"/>
  <c r="I243" i="4"/>
  <c r="O243" i="4" s="1"/>
  <c r="H243" i="4"/>
  <c r="O242" i="4"/>
  <c r="M242" i="4"/>
  <c r="N242" i="4" s="1"/>
  <c r="I242" i="4"/>
  <c r="H242" i="4"/>
  <c r="M241" i="4"/>
  <c r="N241" i="4" s="1"/>
  <c r="O241" i="4" s="1"/>
  <c r="I241" i="4"/>
  <c r="H241" i="4"/>
  <c r="O240" i="4"/>
  <c r="N240" i="4"/>
  <c r="M240" i="4"/>
  <c r="I240" i="4"/>
  <c r="H240" i="4"/>
  <c r="M239" i="4"/>
  <c r="N239" i="4" s="1"/>
  <c r="O239" i="4" s="1"/>
  <c r="I239" i="4"/>
  <c r="H239" i="4"/>
  <c r="M238" i="4"/>
  <c r="N238" i="4" s="1"/>
  <c r="O238" i="4" s="1"/>
  <c r="I238" i="4"/>
  <c r="H238" i="4"/>
  <c r="N237" i="4"/>
  <c r="O237" i="4" s="1"/>
  <c r="M237" i="4"/>
  <c r="I237" i="4"/>
  <c r="H237" i="4"/>
  <c r="N236" i="4"/>
  <c r="M236" i="4"/>
  <c r="I236" i="4"/>
  <c r="H236" i="4"/>
  <c r="N235" i="4"/>
  <c r="O235" i="4" s="1"/>
  <c r="M235" i="4"/>
  <c r="I235" i="4"/>
  <c r="H235" i="4"/>
  <c r="N234" i="4"/>
  <c r="M234" i="4"/>
  <c r="I234" i="4"/>
  <c r="H234" i="4"/>
  <c r="M233" i="4"/>
  <c r="N233" i="4" s="1"/>
  <c r="I233" i="4"/>
  <c r="H233" i="4"/>
  <c r="O232" i="4"/>
  <c r="M232" i="4"/>
  <c r="N232" i="4" s="1"/>
  <c r="I232" i="4"/>
  <c r="H232" i="4"/>
  <c r="M231" i="4"/>
  <c r="N231" i="4" s="1"/>
  <c r="O231" i="4" s="1"/>
  <c r="I231" i="4"/>
  <c r="H231" i="4"/>
  <c r="M230" i="4"/>
  <c r="N230" i="4" s="1"/>
  <c r="O230" i="4" s="1"/>
  <c r="I230" i="4"/>
  <c r="H230" i="4"/>
  <c r="M229" i="4"/>
  <c r="N229" i="4" s="1"/>
  <c r="O229" i="4" s="1"/>
  <c r="I229" i="4"/>
  <c r="H229" i="4"/>
  <c r="M228" i="4"/>
  <c r="N228" i="4" s="1"/>
  <c r="O228" i="4" s="1"/>
  <c r="I228" i="4"/>
  <c r="H228" i="4"/>
  <c r="M227" i="4"/>
  <c r="N227" i="4" s="1"/>
  <c r="O227" i="4" s="1"/>
  <c r="I227" i="4"/>
  <c r="H227" i="4"/>
  <c r="M226" i="4"/>
  <c r="N226" i="4" s="1"/>
  <c r="O226" i="4" s="1"/>
  <c r="I226" i="4"/>
  <c r="H226" i="4"/>
  <c r="N225" i="4"/>
  <c r="O225" i="4" s="1"/>
  <c r="M225" i="4"/>
  <c r="I225" i="4"/>
  <c r="H225" i="4"/>
  <c r="N224" i="4"/>
  <c r="M224" i="4"/>
  <c r="I224" i="4"/>
  <c r="H224" i="4"/>
  <c r="N223" i="4"/>
  <c r="O223" i="4" s="1"/>
  <c r="M223" i="4"/>
  <c r="I223" i="4"/>
  <c r="H223" i="4"/>
  <c r="N222" i="4"/>
  <c r="M222" i="4"/>
  <c r="I222" i="4"/>
  <c r="H222" i="4"/>
  <c r="M221" i="4"/>
  <c r="N221" i="4" s="1"/>
  <c r="I221" i="4"/>
  <c r="H221" i="4"/>
  <c r="M220" i="4"/>
  <c r="N220" i="4" s="1"/>
  <c r="O220" i="4" s="1"/>
  <c r="I220" i="4"/>
  <c r="H220" i="4"/>
  <c r="M219" i="4"/>
  <c r="N219" i="4" s="1"/>
  <c r="I219" i="4"/>
  <c r="O219" i="4" s="1"/>
  <c r="H219" i="4"/>
  <c r="M218" i="4"/>
  <c r="N218" i="4" s="1"/>
  <c r="O218" i="4" s="1"/>
  <c r="I218" i="4"/>
  <c r="H218" i="4"/>
  <c r="M217" i="4"/>
  <c r="N217" i="4" s="1"/>
  <c r="O217" i="4" s="1"/>
  <c r="I217" i="4"/>
  <c r="H217" i="4"/>
  <c r="N216" i="4"/>
  <c r="O216" i="4" s="1"/>
  <c r="M216" i="4"/>
  <c r="I216" i="4"/>
  <c r="H216" i="4"/>
  <c r="M215" i="4"/>
  <c r="N215" i="4" s="1"/>
  <c r="O215" i="4" s="1"/>
  <c r="I215" i="4"/>
  <c r="H215" i="4"/>
  <c r="N214" i="4"/>
  <c r="O214" i="4" s="1"/>
  <c r="M214" i="4"/>
  <c r="I214" i="4"/>
  <c r="H214" i="4"/>
  <c r="N213" i="4"/>
  <c r="O213" i="4" s="1"/>
  <c r="M213" i="4"/>
  <c r="I213" i="4"/>
  <c r="H213" i="4"/>
  <c r="N212" i="4"/>
  <c r="M212" i="4"/>
  <c r="I212" i="4"/>
  <c r="H212" i="4"/>
  <c r="O211" i="4"/>
  <c r="N211" i="4"/>
  <c r="M211" i="4"/>
  <c r="I211" i="4"/>
  <c r="H211" i="4"/>
  <c r="N210" i="4"/>
  <c r="M210" i="4"/>
  <c r="I210" i="4"/>
  <c r="H210" i="4"/>
  <c r="N209" i="4"/>
  <c r="O209" i="4" s="1"/>
  <c r="M209" i="4"/>
  <c r="I209" i="4"/>
  <c r="H209" i="4"/>
  <c r="O208" i="4"/>
  <c r="M208" i="4"/>
  <c r="N208" i="4" s="1"/>
  <c r="I208" i="4"/>
  <c r="H208" i="4"/>
  <c r="M207" i="4"/>
  <c r="N207" i="4" s="1"/>
  <c r="O207" i="4" s="1"/>
  <c r="I207" i="4"/>
  <c r="H207" i="4"/>
  <c r="M206" i="4"/>
  <c r="N206" i="4" s="1"/>
  <c r="O206" i="4" s="1"/>
  <c r="I206" i="4"/>
  <c r="H206" i="4"/>
  <c r="M205" i="4"/>
  <c r="N205" i="4" s="1"/>
  <c r="I205" i="4"/>
  <c r="H205" i="4"/>
  <c r="O204" i="4"/>
  <c r="M204" i="4"/>
  <c r="H204" i="4"/>
  <c r="O203" i="4"/>
  <c r="M203" i="4"/>
  <c r="H203" i="4"/>
  <c r="M202" i="4"/>
  <c r="H202" i="4"/>
  <c r="N201" i="4"/>
  <c r="M201" i="4"/>
  <c r="I201" i="4"/>
  <c r="O201" i="4" s="1"/>
  <c r="H201" i="4"/>
  <c r="M200" i="4"/>
  <c r="J200" i="4"/>
  <c r="N200" i="4" s="1"/>
  <c r="H200" i="4"/>
  <c r="I200" i="4" s="1"/>
  <c r="E200" i="4"/>
  <c r="J199" i="4"/>
  <c r="N199" i="4" s="1"/>
  <c r="O199" i="4" s="1"/>
  <c r="H199" i="4"/>
  <c r="E199" i="4"/>
  <c r="I199" i="4" s="1"/>
  <c r="J198" i="4"/>
  <c r="N198" i="4" s="1"/>
  <c r="H198" i="4"/>
  <c r="I198" i="4" s="1"/>
  <c r="E198" i="4"/>
  <c r="M197" i="4"/>
  <c r="J197" i="4"/>
  <c r="N197" i="4" s="1"/>
  <c r="O197" i="4" s="1"/>
  <c r="H197" i="4"/>
  <c r="E197" i="4"/>
  <c r="I197" i="4" s="1"/>
  <c r="M196" i="4"/>
  <c r="J196" i="4"/>
  <c r="N196" i="4" s="1"/>
  <c r="H196" i="4"/>
  <c r="E196" i="4"/>
  <c r="N195" i="4"/>
  <c r="M195" i="4"/>
  <c r="I195" i="4"/>
  <c r="O195" i="4" s="1"/>
  <c r="H195" i="4"/>
  <c r="M194" i="4"/>
  <c r="J194" i="4"/>
  <c r="N194" i="4" s="1"/>
  <c r="H194" i="4"/>
  <c r="E194" i="4"/>
  <c r="N193" i="4"/>
  <c r="O193" i="4" s="1"/>
  <c r="J193" i="4"/>
  <c r="I193" i="4"/>
  <c r="H193" i="4"/>
  <c r="E193" i="4"/>
  <c r="M192" i="4"/>
  <c r="N192" i="4" s="1"/>
  <c r="O192" i="4" s="1"/>
  <c r="J192" i="4"/>
  <c r="I192" i="4"/>
  <c r="H192" i="4"/>
  <c r="E192" i="4"/>
  <c r="M191" i="4"/>
  <c r="J191" i="4"/>
  <c r="N191" i="4" s="1"/>
  <c r="O191" i="4" s="1"/>
  <c r="H191" i="4"/>
  <c r="E191" i="4"/>
  <c r="I191" i="4" s="1"/>
  <c r="M190" i="4"/>
  <c r="N190" i="4" s="1"/>
  <c r="I190" i="4"/>
  <c r="H190" i="4"/>
  <c r="O189" i="4"/>
  <c r="M189" i="4"/>
  <c r="N189" i="4" s="1"/>
  <c r="I189" i="4"/>
  <c r="H189" i="4"/>
  <c r="M188" i="4"/>
  <c r="N188" i="4" s="1"/>
  <c r="H188" i="4"/>
  <c r="I188" i="4" s="1"/>
  <c r="N187" i="4"/>
  <c r="O187" i="4" s="1"/>
  <c r="M187" i="4"/>
  <c r="H187" i="4"/>
  <c r="I187" i="4" s="1"/>
  <c r="M186" i="4"/>
  <c r="J186" i="4"/>
  <c r="N186" i="4" s="1"/>
  <c r="O186" i="4" s="1"/>
  <c r="I186" i="4"/>
  <c r="H186" i="4"/>
  <c r="E186" i="4"/>
  <c r="J185" i="4"/>
  <c r="N185" i="4" s="1"/>
  <c r="O185" i="4" s="1"/>
  <c r="H185" i="4"/>
  <c r="E185" i="4"/>
  <c r="I185" i="4" s="1"/>
  <c r="M184" i="4"/>
  <c r="J184" i="4"/>
  <c r="N184" i="4" s="1"/>
  <c r="H184" i="4"/>
  <c r="E184" i="4"/>
  <c r="I184" i="4" s="1"/>
  <c r="M183" i="4"/>
  <c r="J183" i="4"/>
  <c r="N183" i="4" s="1"/>
  <c r="O183" i="4" s="1"/>
  <c r="H183" i="4"/>
  <c r="E183" i="4"/>
  <c r="I183" i="4" s="1"/>
  <c r="M182" i="4"/>
  <c r="J182" i="4"/>
  <c r="N182" i="4" s="1"/>
  <c r="H182" i="4"/>
  <c r="E182" i="4"/>
  <c r="I182" i="4" s="1"/>
  <c r="N181" i="4"/>
  <c r="O181" i="4" s="1"/>
  <c r="M181" i="4"/>
  <c r="H181" i="4"/>
  <c r="I181" i="4" s="1"/>
  <c r="M180" i="4"/>
  <c r="J180" i="4"/>
  <c r="N180" i="4" s="1"/>
  <c r="H180" i="4"/>
  <c r="E180" i="4"/>
  <c r="I180" i="4" s="1"/>
  <c r="N179" i="4"/>
  <c r="O179" i="4" s="1"/>
  <c r="M179" i="4"/>
  <c r="J179" i="4"/>
  <c r="H179" i="4"/>
  <c r="E179" i="4"/>
  <c r="I179" i="4" s="1"/>
  <c r="N178" i="4"/>
  <c r="M178" i="4"/>
  <c r="J178" i="4"/>
  <c r="H178" i="4"/>
  <c r="E178" i="4"/>
  <c r="I178" i="4" s="1"/>
  <c r="M177" i="4"/>
  <c r="J177" i="4"/>
  <c r="N177" i="4" s="1"/>
  <c r="H177" i="4"/>
  <c r="E177" i="4"/>
  <c r="I177" i="4" s="1"/>
  <c r="N176" i="4"/>
  <c r="O176" i="4" s="1"/>
  <c r="M176" i="4"/>
  <c r="H176" i="4"/>
  <c r="I176" i="4" s="1"/>
  <c r="J175" i="4"/>
  <c r="N175" i="4" s="1"/>
  <c r="O175" i="4" s="1"/>
  <c r="H175" i="4"/>
  <c r="I175" i="4" s="1"/>
  <c r="E175" i="4"/>
  <c r="J174" i="4"/>
  <c r="N174" i="4" s="1"/>
  <c r="O174" i="4" s="1"/>
  <c r="I174" i="4"/>
  <c r="H174" i="4"/>
  <c r="E174" i="4"/>
  <c r="M173" i="4"/>
  <c r="J173" i="4"/>
  <c r="N173" i="4" s="1"/>
  <c r="H173" i="4"/>
  <c r="E173" i="4"/>
  <c r="I173" i="4" s="1"/>
  <c r="M172" i="4"/>
  <c r="N172" i="4" s="1"/>
  <c r="H172" i="4"/>
  <c r="I172" i="4" s="1"/>
  <c r="J171" i="4"/>
  <c r="N171" i="4" s="1"/>
  <c r="O171" i="4" s="1"/>
  <c r="H171" i="4"/>
  <c r="I171" i="4" s="1"/>
  <c r="E171" i="4"/>
  <c r="N170" i="4"/>
  <c r="J170" i="4"/>
  <c r="H170" i="4"/>
  <c r="E170" i="4"/>
  <c r="I170" i="4" s="1"/>
  <c r="O170" i="4" s="1"/>
  <c r="M169" i="4"/>
  <c r="J169" i="4"/>
  <c r="N169" i="4" s="1"/>
  <c r="H169" i="4"/>
  <c r="E169" i="4"/>
  <c r="I169" i="4" s="1"/>
  <c r="N168" i="4"/>
  <c r="O168" i="4" s="1"/>
  <c r="M168" i="4"/>
  <c r="H168" i="4"/>
  <c r="I168" i="4" s="1"/>
  <c r="M167" i="4"/>
  <c r="J167" i="4"/>
  <c r="N167" i="4" s="1"/>
  <c r="H167" i="4"/>
  <c r="E167" i="4"/>
  <c r="I167" i="4" s="1"/>
  <c r="M166" i="4"/>
  <c r="N166" i="4" s="1"/>
  <c r="O166" i="4" s="1"/>
  <c r="J166" i="4"/>
  <c r="I166" i="4"/>
  <c r="H166" i="4"/>
  <c r="E166" i="4"/>
  <c r="M165" i="4"/>
  <c r="N165" i="4" s="1"/>
  <c r="J165" i="4"/>
  <c r="H165" i="4"/>
  <c r="E165" i="4"/>
  <c r="I165" i="4" s="1"/>
  <c r="M164" i="4"/>
  <c r="J164" i="4"/>
  <c r="H164" i="4"/>
  <c r="E164" i="4"/>
  <c r="I164" i="4" s="1"/>
  <c r="M163" i="4"/>
  <c r="N163" i="4" s="1"/>
  <c r="I163" i="4"/>
  <c r="O163" i="4" s="1"/>
  <c r="H163" i="4"/>
  <c r="M162" i="4"/>
  <c r="J162" i="4"/>
  <c r="N162" i="4" s="1"/>
  <c r="H162" i="4"/>
  <c r="E162" i="4"/>
  <c r="I162" i="4" s="1"/>
  <c r="O161" i="4"/>
  <c r="M161" i="4"/>
  <c r="J161" i="4"/>
  <c r="N161" i="4" s="1"/>
  <c r="I161" i="4"/>
  <c r="H161" i="4"/>
  <c r="E161" i="4"/>
  <c r="M160" i="4"/>
  <c r="J160" i="4"/>
  <c r="N160" i="4" s="1"/>
  <c r="O160" i="4" s="1"/>
  <c r="H160" i="4"/>
  <c r="I160" i="4" s="1"/>
  <c r="E160" i="4"/>
  <c r="N159" i="4"/>
  <c r="M159" i="4"/>
  <c r="J159" i="4"/>
  <c r="H159" i="4"/>
  <c r="E159" i="4"/>
  <c r="M158" i="4"/>
  <c r="N158" i="4" s="1"/>
  <c r="O158" i="4" s="1"/>
  <c r="I158" i="4"/>
  <c r="H158" i="4"/>
  <c r="M157" i="4"/>
  <c r="J157" i="4"/>
  <c r="N157" i="4" s="1"/>
  <c r="H157" i="4"/>
  <c r="E157" i="4"/>
  <c r="M156" i="4"/>
  <c r="J156" i="4"/>
  <c r="N156" i="4" s="1"/>
  <c r="H156" i="4"/>
  <c r="E156" i="4"/>
  <c r="I156" i="4" s="1"/>
  <c r="M155" i="4"/>
  <c r="J155" i="4"/>
  <c r="N155" i="4" s="1"/>
  <c r="H155" i="4"/>
  <c r="E155" i="4"/>
  <c r="I155" i="4" s="1"/>
  <c r="N154" i="4"/>
  <c r="M154" i="4"/>
  <c r="J154" i="4"/>
  <c r="H154" i="4"/>
  <c r="E154" i="4"/>
  <c r="I154" i="4" s="1"/>
  <c r="N153" i="4"/>
  <c r="M153" i="4"/>
  <c r="H153" i="4"/>
  <c r="I153" i="4" s="1"/>
  <c r="M152" i="4"/>
  <c r="J152" i="4"/>
  <c r="N152" i="4" s="1"/>
  <c r="I152" i="4"/>
  <c r="H152" i="4"/>
  <c r="E152" i="4"/>
  <c r="N151" i="4"/>
  <c r="M151" i="4"/>
  <c r="J151" i="4"/>
  <c r="H151" i="4"/>
  <c r="E151" i="4"/>
  <c r="I151" i="4" s="1"/>
  <c r="M150" i="4"/>
  <c r="J150" i="4"/>
  <c r="N150" i="4" s="1"/>
  <c r="I150" i="4"/>
  <c r="H150" i="4"/>
  <c r="E150" i="4"/>
  <c r="M149" i="4"/>
  <c r="J149" i="4"/>
  <c r="N149" i="4" s="1"/>
  <c r="H149" i="4"/>
  <c r="E149" i="4"/>
  <c r="I149" i="4" s="1"/>
  <c r="O148" i="4"/>
  <c r="M148" i="4"/>
  <c r="H148" i="4"/>
  <c r="O147" i="4"/>
  <c r="M147" i="4"/>
  <c r="H147" i="4"/>
  <c r="M146" i="4"/>
  <c r="H146" i="4"/>
  <c r="N145" i="4"/>
  <c r="O145" i="4" s="1"/>
  <c r="M145" i="4"/>
  <c r="I145" i="4"/>
  <c r="H145" i="4"/>
  <c r="M144" i="4"/>
  <c r="J144" i="4"/>
  <c r="N144" i="4" s="1"/>
  <c r="H144" i="4"/>
  <c r="I144" i="4" s="1"/>
  <c r="E144" i="4"/>
  <c r="M143" i="4"/>
  <c r="J143" i="4"/>
  <c r="N143" i="4" s="1"/>
  <c r="O143" i="4" s="1"/>
  <c r="H143" i="4"/>
  <c r="E143" i="4"/>
  <c r="I143" i="4" s="1"/>
  <c r="N142" i="4"/>
  <c r="M142" i="4"/>
  <c r="I142" i="4"/>
  <c r="H142" i="4"/>
  <c r="O141" i="4"/>
  <c r="M141" i="4"/>
  <c r="N141" i="4" s="1"/>
  <c r="I141" i="4"/>
  <c r="H141" i="4"/>
  <c r="O140" i="4"/>
  <c r="M140" i="4"/>
  <c r="N140" i="4" s="1"/>
  <c r="I140" i="4"/>
  <c r="H140" i="4"/>
  <c r="M139" i="4"/>
  <c r="J139" i="4"/>
  <c r="I139" i="4"/>
  <c r="H139" i="4"/>
  <c r="E139" i="4"/>
  <c r="O138" i="4"/>
  <c r="M138" i="4"/>
  <c r="N138" i="4" s="1"/>
  <c r="I138" i="4"/>
  <c r="H138" i="4"/>
  <c r="N137" i="4"/>
  <c r="H137" i="4"/>
  <c r="I137" i="4" s="1"/>
  <c r="O137" i="4" s="1"/>
  <c r="N136" i="4"/>
  <c r="O136" i="4" s="1"/>
  <c r="M136" i="4"/>
  <c r="J136" i="4"/>
  <c r="H136" i="4"/>
  <c r="E136" i="4"/>
  <c r="I136" i="4" s="1"/>
  <c r="N135" i="4"/>
  <c r="J135" i="4"/>
  <c r="H135" i="4"/>
  <c r="E135" i="4"/>
  <c r="I135" i="4" s="1"/>
  <c r="M134" i="4"/>
  <c r="J134" i="4"/>
  <c r="N134" i="4" s="1"/>
  <c r="O134" i="4" s="1"/>
  <c r="H134" i="4"/>
  <c r="I134" i="4" s="1"/>
  <c r="E134" i="4"/>
  <c r="M133" i="4"/>
  <c r="N133" i="4" s="1"/>
  <c r="I133" i="4"/>
  <c r="O133" i="4" s="1"/>
  <c r="H133" i="4"/>
  <c r="M132" i="4"/>
  <c r="J132" i="4"/>
  <c r="N132" i="4" s="1"/>
  <c r="H132" i="4"/>
  <c r="I132" i="4" s="1"/>
  <c r="E132" i="4"/>
  <c r="O131" i="4"/>
  <c r="M131" i="4"/>
  <c r="N131" i="4" s="1"/>
  <c r="I131" i="4"/>
  <c r="H131" i="4"/>
  <c r="J130" i="4"/>
  <c r="N130" i="4" s="1"/>
  <c r="O130" i="4" s="1"/>
  <c r="H130" i="4"/>
  <c r="E130" i="4"/>
  <c r="I130" i="4" s="1"/>
  <c r="N129" i="4"/>
  <c r="J129" i="4"/>
  <c r="H129" i="4"/>
  <c r="E129" i="4"/>
  <c r="I129" i="4" s="1"/>
  <c r="M128" i="4"/>
  <c r="J128" i="4"/>
  <c r="H128" i="4"/>
  <c r="I128" i="4" s="1"/>
  <c r="E128" i="4"/>
  <c r="M127" i="4"/>
  <c r="N127" i="4" s="1"/>
  <c r="H127" i="4"/>
  <c r="I127" i="4" s="1"/>
  <c r="J126" i="4"/>
  <c r="N126" i="4" s="1"/>
  <c r="O126" i="4" s="1"/>
  <c r="H126" i="4"/>
  <c r="E126" i="4"/>
  <c r="I126" i="4" s="1"/>
  <c r="N125" i="4"/>
  <c r="J125" i="4"/>
  <c r="H125" i="4"/>
  <c r="E125" i="4"/>
  <c r="I125" i="4" s="1"/>
  <c r="M124" i="4"/>
  <c r="J124" i="4"/>
  <c r="N124" i="4" s="1"/>
  <c r="O124" i="4" s="1"/>
  <c r="H124" i="4"/>
  <c r="I124" i="4" s="1"/>
  <c r="E124" i="4"/>
  <c r="O123" i="4"/>
  <c r="M123" i="4"/>
  <c r="N123" i="4" s="1"/>
  <c r="I123" i="4"/>
  <c r="H123" i="4"/>
  <c r="M122" i="4"/>
  <c r="J122" i="4"/>
  <c r="H122" i="4"/>
  <c r="I122" i="4" s="1"/>
  <c r="E122" i="4"/>
  <c r="M121" i="4"/>
  <c r="J121" i="4"/>
  <c r="N121" i="4" s="1"/>
  <c r="I121" i="4"/>
  <c r="H121" i="4"/>
  <c r="E121" i="4"/>
  <c r="N120" i="4"/>
  <c r="M120" i="4"/>
  <c r="J120" i="4"/>
  <c r="H120" i="4"/>
  <c r="E120" i="4"/>
  <c r="I120" i="4" s="1"/>
  <c r="M119" i="4"/>
  <c r="J119" i="4"/>
  <c r="N119" i="4" s="1"/>
  <c r="I119" i="4"/>
  <c r="H119" i="4"/>
  <c r="E119" i="4"/>
  <c r="M118" i="4"/>
  <c r="N118" i="4" s="1"/>
  <c r="O118" i="4" s="1"/>
  <c r="H118" i="4"/>
  <c r="I118" i="4" s="1"/>
  <c r="M117" i="4"/>
  <c r="J117" i="4"/>
  <c r="N117" i="4" s="1"/>
  <c r="H117" i="4"/>
  <c r="E117" i="4"/>
  <c r="I117" i="4" s="1"/>
  <c r="M116" i="4"/>
  <c r="N116" i="4" s="1"/>
  <c r="J116" i="4"/>
  <c r="I116" i="4"/>
  <c r="H116" i="4"/>
  <c r="E116" i="4"/>
  <c r="M115" i="4"/>
  <c r="N115" i="4" s="1"/>
  <c r="O115" i="4" s="1"/>
  <c r="J115" i="4"/>
  <c r="I115" i="4"/>
  <c r="H115" i="4"/>
  <c r="E115" i="4"/>
  <c r="M114" i="4"/>
  <c r="J114" i="4"/>
  <c r="N114" i="4" s="1"/>
  <c r="O114" i="4" s="1"/>
  <c r="I114" i="4"/>
  <c r="H114" i="4"/>
  <c r="E114" i="4"/>
  <c r="M113" i="4"/>
  <c r="N113" i="4" s="1"/>
  <c r="H113" i="4"/>
  <c r="I113" i="4" s="1"/>
  <c r="O113" i="4" s="1"/>
  <c r="M112" i="4"/>
  <c r="N112" i="4" s="1"/>
  <c r="H112" i="4"/>
  <c r="I112" i="4" s="1"/>
  <c r="M111" i="4"/>
  <c r="N111" i="4" s="1"/>
  <c r="J111" i="4"/>
  <c r="I111" i="4"/>
  <c r="H111" i="4"/>
  <c r="E111" i="4"/>
  <c r="M110" i="4"/>
  <c r="J110" i="4"/>
  <c r="H110" i="4"/>
  <c r="E110" i="4"/>
  <c r="I110" i="4" s="1"/>
  <c r="M109" i="4"/>
  <c r="J109" i="4"/>
  <c r="N109" i="4" s="1"/>
  <c r="O109" i="4" s="1"/>
  <c r="I109" i="4"/>
  <c r="H109" i="4"/>
  <c r="E109" i="4"/>
  <c r="M108" i="4"/>
  <c r="J108" i="4"/>
  <c r="I108" i="4"/>
  <c r="H108" i="4"/>
  <c r="E108" i="4"/>
  <c r="M107" i="4"/>
  <c r="N107" i="4" s="1"/>
  <c r="O107" i="4" s="1"/>
  <c r="I107" i="4"/>
  <c r="H107" i="4"/>
  <c r="O106" i="4"/>
  <c r="M106" i="4"/>
  <c r="N106" i="4" s="1"/>
  <c r="I106" i="4"/>
  <c r="H106" i="4"/>
  <c r="M105" i="4"/>
  <c r="J105" i="4"/>
  <c r="H105" i="4"/>
  <c r="I105" i="4" s="1"/>
  <c r="E105" i="4"/>
  <c r="M104" i="4"/>
  <c r="J104" i="4"/>
  <c r="N104" i="4" s="1"/>
  <c r="I104" i="4"/>
  <c r="H104" i="4"/>
  <c r="E104" i="4"/>
  <c r="M103" i="4"/>
  <c r="J103" i="4"/>
  <c r="N103" i="4" s="1"/>
  <c r="O103" i="4" s="1"/>
  <c r="H103" i="4"/>
  <c r="E103" i="4"/>
  <c r="I103" i="4" s="1"/>
  <c r="M102" i="4"/>
  <c r="J102" i="4"/>
  <c r="N102" i="4" s="1"/>
  <c r="H102" i="4"/>
  <c r="E102" i="4"/>
  <c r="N101" i="4"/>
  <c r="O101" i="4" s="1"/>
  <c r="M101" i="4"/>
  <c r="I101" i="4"/>
  <c r="H101" i="4"/>
  <c r="M100" i="4"/>
  <c r="J100" i="4"/>
  <c r="N100" i="4" s="1"/>
  <c r="H100" i="4"/>
  <c r="E100" i="4"/>
  <c r="M99" i="4"/>
  <c r="J99" i="4"/>
  <c r="N99" i="4" s="1"/>
  <c r="H99" i="4"/>
  <c r="E99" i="4"/>
  <c r="M98" i="4"/>
  <c r="J98" i="4"/>
  <c r="N98" i="4" s="1"/>
  <c r="O98" i="4" s="1"/>
  <c r="H98" i="4"/>
  <c r="E98" i="4"/>
  <c r="I98" i="4" s="1"/>
  <c r="M97" i="4"/>
  <c r="J97" i="4"/>
  <c r="N97" i="4" s="1"/>
  <c r="O97" i="4" s="1"/>
  <c r="H97" i="4"/>
  <c r="E97" i="4"/>
  <c r="I97" i="4" s="1"/>
  <c r="N96" i="4"/>
  <c r="M96" i="4"/>
  <c r="H96" i="4"/>
  <c r="I96" i="4" s="1"/>
  <c r="N95" i="4"/>
  <c r="M95" i="4"/>
  <c r="H95" i="4"/>
  <c r="I95" i="4" s="1"/>
  <c r="N94" i="4"/>
  <c r="O94" i="4" s="1"/>
  <c r="M94" i="4"/>
  <c r="J94" i="4"/>
  <c r="H94" i="4"/>
  <c r="E94" i="4"/>
  <c r="I94" i="4" s="1"/>
  <c r="M93" i="4"/>
  <c r="J93" i="4"/>
  <c r="N93" i="4" s="1"/>
  <c r="H93" i="4"/>
  <c r="E93" i="4"/>
  <c r="I93" i="4" s="1"/>
  <c r="N92" i="4"/>
  <c r="M92" i="4"/>
  <c r="J92" i="4"/>
  <c r="H92" i="4"/>
  <c r="E92" i="4"/>
  <c r="I92" i="4" s="1"/>
  <c r="O91" i="4"/>
  <c r="M91" i="4"/>
  <c r="H91" i="4"/>
  <c r="O90" i="4"/>
  <c r="M90" i="4"/>
  <c r="H90" i="4"/>
  <c r="O89" i="4"/>
  <c r="M89" i="4"/>
  <c r="H89" i="4"/>
  <c r="M88" i="4"/>
  <c r="H88" i="4"/>
  <c r="M87" i="4"/>
  <c r="N87" i="4" s="1"/>
  <c r="O87" i="4" s="1"/>
  <c r="H87" i="4"/>
  <c r="I87" i="4" s="1"/>
  <c r="M86" i="4"/>
  <c r="J86" i="4"/>
  <c r="N86" i="4" s="1"/>
  <c r="H86" i="4"/>
  <c r="E86" i="4"/>
  <c r="I86" i="4" s="1"/>
  <c r="M85" i="4"/>
  <c r="N85" i="4" s="1"/>
  <c r="O85" i="4" s="1"/>
  <c r="J85" i="4"/>
  <c r="I85" i="4"/>
  <c r="H85" i="4"/>
  <c r="E85" i="4"/>
  <c r="M84" i="4"/>
  <c r="N84" i="4" s="1"/>
  <c r="O84" i="4" s="1"/>
  <c r="H84" i="4"/>
  <c r="I84" i="4" s="1"/>
  <c r="M83" i="4"/>
  <c r="N83" i="4" s="1"/>
  <c r="O83" i="4" s="1"/>
  <c r="J83" i="4"/>
  <c r="I83" i="4"/>
  <c r="H83" i="4"/>
  <c r="E83" i="4"/>
  <c r="M82" i="4"/>
  <c r="N82" i="4" s="1"/>
  <c r="H82" i="4"/>
  <c r="I82" i="4" s="1"/>
  <c r="N81" i="4"/>
  <c r="O81" i="4" s="1"/>
  <c r="M81" i="4"/>
  <c r="H81" i="4"/>
  <c r="I81" i="4" s="1"/>
  <c r="M80" i="4"/>
  <c r="N80" i="4" s="1"/>
  <c r="O80" i="4" s="1"/>
  <c r="H80" i="4"/>
  <c r="I80" i="4" s="1"/>
  <c r="N79" i="4"/>
  <c r="M79" i="4"/>
  <c r="J79" i="4"/>
  <c r="H79" i="4"/>
  <c r="E79" i="4"/>
  <c r="I79" i="4" s="1"/>
  <c r="M78" i="4"/>
  <c r="N78" i="4" s="1"/>
  <c r="J78" i="4"/>
  <c r="H78" i="4"/>
  <c r="E78" i="4"/>
  <c r="I78" i="4" s="1"/>
  <c r="N77" i="4"/>
  <c r="O77" i="4" s="1"/>
  <c r="M77" i="4"/>
  <c r="J77" i="4"/>
  <c r="I77" i="4"/>
  <c r="H77" i="4"/>
  <c r="E77" i="4"/>
  <c r="M76" i="4"/>
  <c r="N76" i="4" s="1"/>
  <c r="H76" i="4"/>
  <c r="I76" i="4" s="1"/>
  <c r="M75" i="4"/>
  <c r="N75" i="4" s="1"/>
  <c r="H75" i="4"/>
  <c r="I75" i="4" s="1"/>
  <c r="O74" i="4"/>
  <c r="M74" i="4"/>
  <c r="H74" i="4"/>
  <c r="M73" i="4"/>
  <c r="H73" i="4"/>
  <c r="M72" i="4"/>
  <c r="J72" i="4"/>
  <c r="N72" i="4" s="1"/>
  <c r="H72" i="4"/>
  <c r="E72" i="4"/>
  <c r="I72" i="4" s="1"/>
  <c r="N71" i="4"/>
  <c r="M71" i="4"/>
  <c r="I71" i="4"/>
  <c r="H71" i="4"/>
  <c r="N70" i="4"/>
  <c r="M70" i="4"/>
  <c r="I70" i="4"/>
  <c r="O70" i="4" s="1"/>
  <c r="H70" i="4"/>
  <c r="N69" i="4"/>
  <c r="M69" i="4"/>
  <c r="I69" i="4"/>
  <c r="O69" i="4" s="1"/>
  <c r="H69" i="4"/>
  <c r="N68" i="4"/>
  <c r="M68" i="4"/>
  <c r="I68" i="4"/>
  <c r="O68" i="4" s="1"/>
  <c r="H68" i="4"/>
  <c r="O67" i="4"/>
  <c r="M67" i="4"/>
  <c r="N67" i="4" s="1"/>
  <c r="I67" i="4"/>
  <c r="H67" i="4"/>
  <c r="M66" i="4"/>
  <c r="N66" i="4" s="1"/>
  <c r="H66" i="4"/>
  <c r="I66" i="4" s="1"/>
  <c r="O66" i="4" s="1"/>
  <c r="M65" i="4"/>
  <c r="N65" i="4" s="1"/>
  <c r="H65" i="4"/>
  <c r="I65" i="4" s="1"/>
  <c r="O65" i="4" s="1"/>
  <c r="M64" i="4"/>
  <c r="N64" i="4" s="1"/>
  <c r="H64" i="4"/>
  <c r="I64" i="4" s="1"/>
  <c r="M63" i="4"/>
  <c r="N63" i="4" s="1"/>
  <c r="O63" i="4" s="1"/>
  <c r="H63" i="4"/>
  <c r="I63" i="4" s="1"/>
  <c r="M62" i="4"/>
  <c r="N62" i="4" s="1"/>
  <c r="O62" i="4" s="1"/>
  <c r="H62" i="4"/>
  <c r="I62" i="4" s="1"/>
  <c r="N61" i="4"/>
  <c r="M61" i="4"/>
  <c r="H61" i="4"/>
  <c r="I61" i="4" s="1"/>
  <c r="N60" i="4"/>
  <c r="M60" i="4"/>
  <c r="H60" i="4"/>
  <c r="I60" i="4" s="1"/>
  <c r="M59" i="4"/>
  <c r="N59" i="4" s="1"/>
  <c r="H59" i="4"/>
  <c r="I59" i="4" s="1"/>
  <c r="N58" i="4"/>
  <c r="M58" i="4"/>
  <c r="H58" i="4"/>
  <c r="I58" i="4" s="1"/>
  <c r="N57" i="4"/>
  <c r="M57" i="4"/>
  <c r="H57" i="4"/>
  <c r="I57" i="4" s="1"/>
  <c r="N56" i="4"/>
  <c r="O56" i="4" s="1"/>
  <c r="M56" i="4"/>
  <c r="I56" i="4"/>
  <c r="H56" i="4"/>
  <c r="N55" i="4"/>
  <c r="O55" i="4" s="1"/>
  <c r="M55" i="4"/>
  <c r="I55" i="4"/>
  <c r="H55" i="4"/>
  <c r="M54" i="4"/>
  <c r="N54" i="4" s="1"/>
  <c r="O54" i="4" s="1"/>
  <c r="F54" i="4"/>
  <c r="H54" i="4" s="1"/>
  <c r="I54" i="4" s="1"/>
  <c r="M53" i="4"/>
  <c r="N53" i="4" s="1"/>
  <c r="H53" i="4"/>
  <c r="I53" i="4" s="1"/>
  <c r="M52" i="4"/>
  <c r="N52" i="4" s="1"/>
  <c r="H52" i="4"/>
  <c r="I52" i="4" s="1"/>
  <c r="N51" i="4"/>
  <c r="M51" i="4"/>
  <c r="K51" i="4"/>
  <c r="F51" i="4"/>
  <c r="H51" i="4" s="1"/>
  <c r="I51" i="4" s="1"/>
  <c r="M50" i="4"/>
  <c r="N50" i="4" s="1"/>
  <c r="K50" i="4"/>
  <c r="F50" i="4"/>
  <c r="H50" i="4" s="1"/>
  <c r="I50" i="4" s="1"/>
  <c r="M49" i="4"/>
  <c r="N49" i="4" s="1"/>
  <c r="O49" i="4" s="1"/>
  <c r="K49" i="4"/>
  <c r="F49" i="4"/>
  <c r="H49" i="4" s="1"/>
  <c r="I49" i="4" s="1"/>
  <c r="M48" i="4"/>
  <c r="N48" i="4" s="1"/>
  <c r="O48" i="4" s="1"/>
  <c r="H48" i="4"/>
  <c r="I48" i="4" s="1"/>
  <c r="M47" i="4"/>
  <c r="N47" i="4" s="1"/>
  <c r="H47" i="4"/>
  <c r="I47" i="4" s="1"/>
  <c r="M46" i="4"/>
  <c r="N46" i="4" s="1"/>
  <c r="H46" i="4"/>
  <c r="I46" i="4" s="1"/>
  <c r="N45" i="4"/>
  <c r="O45" i="4" s="1"/>
  <c r="M45" i="4"/>
  <c r="H45" i="4"/>
  <c r="I45" i="4" s="1"/>
  <c r="N44" i="4"/>
  <c r="M44" i="4"/>
  <c r="H44" i="4"/>
  <c r="I44" i="4" s="1"/>
  <c r="K43" i="4"/>
  <c r="M43" i="4" s="1"/>
  <c r="N43" i="4" s="1"/>
  <c r="O43" i="4" s="1"/>
  <c r="F43" i="4"/>
  <c r="H43" i="4" s="1"/>
  <c r="I43" i="4" s="1"/>
  <c r="N42" i="4"/>
  <c r="M42" i="4"/>
  <c r="H42" i="4"/>
  <c r="I42" i="4" s="1"/>
  <c r="O41" i="4"/>
  <c r="N41" i="4"/>
  <c r="M41" i="4"/>
  <c r="I41" i="4"/>
  <c r="H41" i="4"/>
  <c r="N40" i="4"/>
  <c r="O40" i="4" s="1"/>
  <c r="M40" i="4"/>
  <c r="I40" i="4"/>
  <c r="H40" i="4"/>
  <c r="K39" i="4"/>
  <c r="M39" i="4" s="1"/>
  <c r="N39" i="4" s="1"/>
  <c r="O39" i="4" s="1"/>
  <c r="H39" i="4"/>
  <c r="I39" i="4" s="1"/>
  <c r="F39" i="4"/>
  <c r="N38" i="4"/>
  <c r="O38" i="4" s="1"/>
  <c r="M38" i="4"/>
  <c r="I38" i="4"/>
  <c r="H38" i="4"/>
  <c r="M37" i="4"/>
  <c r="N37" i="4" s="1"/>
  <c r="O37" i="4" s="1"/>
  <c r="I37" i="4"/>
  <c r="H37" i="4"/>
  <c r="N36" i="4"/>
  <c r="M36" i="4"/>
  <c r="I36" i="4"/>
  <c r="O36" i="4" s="1"/>
  <c r="H36" i="4"/>
  <c r="M35" i="4"/>
  <c r="N35" i="4" s="1"/>
  <c r="H35" i="4"/>
  <c r="I35" i="4" s="1"/>
  <c r="M34" i="4"/>
  <c r="N34" i="4" s="1"/>
  <c r="O34" i="4" s="1"/>
  <c r="K34" i="4"/>
  <c r="H34" i="4"/>
  <c r="I34" i="4" s="1"/>
  <c r="F34" i="4"/>
  <c r="M33" i="4"/>
  <c r="N33" i="4" s="1"/>
  <c r="H33" i="4"/>
  <c r="I33" i="4" s="1"/>
  <c r="M32" i="4"/>
  <c r="N32" i="4" s="1"/>
  <c r="O32" i="4" s="1"/>
  <c r="I32" i="4"/>
  <c r="H32" i="4"/>
  <c r="M31" i="4"/>
  <c r="N31" i="4" s="1"/>
  <c r="H31" i="4"/>
  <c r="I31" i="4" s="1"/>
  <c r="M30" i="4"/>
  <c r="N30" i="4" s="1"/>
  <c r="O30" i="4" s="1"/>
  <c r="H30" i="4"/>
  <c r="I30" i="4" s="1"/>
  <c r="M29" i="4"/>
  <c r="N29" i="4" s="1"/>
  <c r="H29" i="4"/>
  <c r="I29" i="4" s="1"/>
  <c r="M28" i="4"/>
  <c r="N28" i="4" s="1"/>
  <c r="I28" i="4"/>
  <c r="H28" i="4"/>
  <c r="N27" i="4"/>
  <c r="M27" i="4"/>
  <c r="H27" i="4"/>
  <c r="I27" i="4" s="1"/>
  <c r="M26" i="4"/>
  <c r="J26" i="4"/>
  <c r="N26" i="4" s="1"/>
  <c r="H26" i="4"/>
  <c r="E26" i="4"/>
  <c r="I26" i="4" s="1"/>
  <c r="N25" i="4"/>
  <c r="O25" i="4" s="1"/>
  <c r="M25" i="4"/>
  <c r="J25" i="4"/>
  <c r="H25" i="4"/>
  <c r="E25" i="4"/>
  <c r="I25" i="4" s="1"/>
  <c r="M24" i="4"/>
  <c r="N24" i="4" s="1"/>
  <c r="H24" i="4"/>
  <c r="I24" i="4" s="1"/>
  <c r="N23" i="4"/>
  <c r="M23" i="4"/>
  <c r="J23" i="4"/>
  <c r="H23" i="4"/>
  <c r="E23" i="4"/>
  <c r="I23" i="4" s="1"/>
  <c r="M22" i="4"/>
  <c r="N22" i="4" s="1"/>
  <c r="I22" i="4"/>
  <c r="H22" i="4"/>
  <c r="N21" i="4"/>
  <c r="M21" i="4"/>
  <c r="J21" i="4"/>
  <c r="H21" i="4"/>
  <c r="E21" i="4"/>
  <c r="I21" i="4" s="1"/>
  <c r="M20" i="4"/>
  <c r="J20" i="4"/>
  <c r="N20" i="4" s="1"/>
  <c r="I20" i="4"/>
  <c r="H20" i="4"/>
  <c r="E20" i="4"/>
  <c r="M19" i="4"/>
  <c r="N19" i="4" s="1"/>
  <c r="O19" i="4" s="1"/>
  <c r="H19" i="4"/>
  <c r="I19" i="4" s="1"/>
  <c r="M18" i="4"/>
  <c r="J18" i="4"/>
  <c r="I18" i="4"/>
  <c r="H18" i="4"/>
  <c r="E18" i="4"/>
  <c r="M17" i="4"/>
  <c r="N17" i="4" s="1"/>
  <c r="H17" i="4"/>
  <c r="I17" i="4" s="1"/>
  <c r="M16" i="4"/>
  <c r="J16" i="4"/>
  <c r="N16" i="4" s="1"/>
  <c r="H16" i="4"/>
  <c r="M15" i="4"/>
  <c r="J15" i="4"/>
  <c r="N15" i="4" s="1"/>
  <c r="H15" i="4"/>
  <c r="E15" i="4"/>
  <c r="I15" i="4" s="1"/>
  <c r="O14" i="4"/>
  <c r="M14" i="4"/>
  <c r="H14" i="4"/>
  <c r="O13" i="4"/>
  <c r="M13" i="4"/>
  <c r="H13" i="4"/>
  <c r="M12" i="4"/>
  <c r="H12" i="4"/>
  <c r="M11" i="4"/>
  <c r="N11" i="4" s="1"/>
  <c r="O11" i="4" s="1"/>
  <c r="I11" i="4"/>
  <c r="H11" i="4"/>
  <c r="N10" i="4"/>
  <c r="M10" i="4"/>
  <c r="I10" i="4"/>
  <c r="O10" i="4" s="1"/>
  <c r="H10" i="4"/>
  <c r="M9" i="4"/>
  <c r="N9" i="4" s="1"/>
  <c r="I9" i="4"/>
  <c r="I12" i="4" s="1"/>
  <c r="H9" i="4"/>
  <c r="N88" i="4" l="1"/>
  <c r="O75" i="4"/>
  <c r="L371" i="4"/>
  <c r="M371" i="4" s="1"/>
  <c r="M368" i="4"/>
  <c r="N368" i="4" s="1"/>
  <c r="O368" i="4" s="1"/>
  <c r="L374" i="4"/>
  <c r="M374" i="4" s="1"/>
  <c r="N374" i="4" s="1"/>
  <c r="O374" i="4" s="1"/>
  <c r="O152" i="4"/>
  <c r="I270" i="4"/>
  <c r="O262" i="4"/>
  <c r="O375" i="4"/>
  <c r="O382" i="4"/>
  <c r="O23" i="4"/>
  <c r="O26" i="4"/>
  <c r="O46" i="4"/>
  <c r="O72" i="4"/>
  <c r="O93" i="4"/>
  <c r="O116" i="4"/>
  <c r="O150" i="4"/>
  <c r="N164" i="4"/>
  <c r="O164" i="4" s="1"/>
  <c r="O200" i="4"/>
  <c r="O259" i="4"/>
  <c r="G316" i="4"/>
  <c r="H316" i="4" s="1"/>
  <c r="I312" i="4"/>
  <c r="H312" i="4"/>
  <c r="O410" i="4"/>
  <c r="O233" i="4"/>
  <c r="O42" i="4"/>
  <c r="O182" i="4"/>
  <c r="O47" i="4"/>
  <c r="O57" i="4"/>
  <c r="O79" i="4"/>
  <c r="O132" i="4"/>
  <c r="O29" i="4"/>
  <c r="O33" i="4"/>
  <c r="N18" i="4"/>
  <c r="O18" i="4" s="1"/>
  <c r="O24" i="4"/>
  <c r="O31" i="4"/>
  <c r="I100" i="4"/>
  <c r="O117" i="4"/>
  <c r="O144" i="4"/>
  <c r="O221" i="4"/>
  <c r="O274" i="4"/>
  <c r="N282" i="4"/>
  <c r="N309" i="4"/>
  <c r="O309" i="4" s="1"/>
  <c r="E374" i="4"/>
  <c r="I374" i="4" s="1"/>
  <c r="I373" i="4"/>
  <c r="O380" i="4"/>
  <c r="O52" i="4"/>
  <c r="N12" i="4"/>
  <c r="O12" i="4" s="1"/>
  <c r="O9" i="4"/>
  <c r="O104" i="4"/>
  <c r="O50" i="4"/>
  <c r="O291" i="4"/>
  <c r="O297" i="4"/>
  <c r="O360" i="4"/>
  <c r="N364" i="4"/>
  <c r="O364" i="4" s="1"/>
  <c r="N371" i="4"/>
  <c r="O27" i="4"/>
  <c r="O51" i="4"/>
  <c r="O58" i="4"/>
  <c r="I146" i="4"/>
  <c r="O100" i="4"/>
  <c r="O111" i="4"/>
  <c r="O162" i="4"/>
  <c r="O247" i="4"/>
  <c r="N328" i="4"/>
  <c r="O328" i="4" s="1"/>
  <c r="O337" i="4"/>
  <c r="O363" i="4"/>
  <c r="O17" i="4"/>
  <c r="N73" i="4"/>
  <c r="O15" i="4"/>
  <c r="O35" i="4"/>
  <c r="O44" i="4"/>
  <c r="O157" i="4"/>
  <c r="O180" i="4"/>
  <c r="I286" i="4"/>
  <c r="I288" i="4" s="1"/>
  <c r="E287" i="4"/>
  <c r="I287" i="4" s="1"/>
  <c r="O59" i="4"/>
  <c r="O92" i="4"/>
  <c r="O20" i="4"/>
  <c r="O53" i="4"/>
  <c r="O119" i="4"/>
  <c r="O155" i="4"/>
  <c r="O172" i="4"/>
  <c r="N345" i="4"/>
  <c r="O345" i="4" s="1"/>
  <c r="O21" i="4"/>
  <c r="O22" i="4"/>
  <c r="O28" i="4"/>
  <c r="I88" i="4"/>
  <c r="O127" i="4"/>
  <c r="N139" i="4"/>
  <c r="O139" i="4" s="1"/>
  <c r="O154" i="4"/>
  <c r="O190" i="4"/>
  <c r="N308" i="4"/>
  <c r="O308" i="4" s="1"/>
  <c r="E304" i="4"/>
  <c r="I304" i="4" s="1"/>
  <c r="I303" i="4"/>
  <c r="O303" i="4" s="1"/>
  <c r="O169" i="4"/>
  <c r="H315" i="4"/>
  <c r="O326" i="4"/>
  <c r="O86" i="4"/>
  <c r="O129" i="4"/>
  <c r="O142" i="4"/>
  <c r="O212" i="4"/>
  <c r="J286" i="4"/>
  <c r="N285" i="4"/>
  <c r="O298" i="4"/>
  <c r="O317" i="4"/>
  <c r="I345" i="4"/>
  <c r="I358" i="4"/>
  <c r="O366" i="4"/>
  <c r="O224" i="4"/>
  <c r="O315" i="4"/>
  <c r="N358" i="4"/>
  <c r="O358" i="4" s="1"/>
  <c r="O60" i="4"/>
  <c r="O64" i="4"/>
  <c r="O76" i="4"/>
  <c r="O78" i="4"/>
  <c r="N105" i="4"/>
  <c r="O105" i="4" s="1"/>
  <c r="O112" i="4"/>
  <c r="N122" i="4"/>
  <c r="O122" i="4" s="1"/>
  <c r="O153" i="4"/>
  <c r="O167" i="4"/>
  <c r="I196" i="4"/>
  <c r="O198" i="4"/>
  <c r="O236" i="4"/>
  <c r="E277" i="4"/>
  <c r="I277" i="4" s="1"/>
  <c r="O277" i="4" s="1"/>
  <c r="I275" i="4"/>
  <c r="I282" i="4" s="1"/>
  <c r="H308" i="4"/>
  <c r="O310" i="4"/>
  <c r="O324" i="4"/>
  <c r="O330" i="4"/>
  <c r="O369" i="4"/>
  <c r="N378" i="4"/>
  <c r="N383" i="4"/>
  <c r="O383" i="4" s="1"/>
  <c r="O177" i="4"/>
  <c r="I301" i="4"/>
  <c r="O135" i="4"/>
  <c r="O165" i="4"/>
  <c r="O210" i="4"/>
  <c r="O248" i="4"/>
  <c r="J304" i="4"/>
  <c r="N304" i="4" s="1"/>
  <c r="N373" i="4"/>
  <c r="O373" i="4" s="1"/>
  <c r="I413" i="4"/>
  <c r="O357" i="4"/>
  <c r="O95" i="4"/>
  <c r="O82" i="4"/>
  <c r="O96" i="4"/>
  <c r="N108" i="4"/>
  <c r="O108" i="4" s="1"/>
  <c r="N110" i="4"/>
  <c r="O110" i="4" s="1"/>
  <c r="I159" i="4"/>
  <c r="O159" i="4" s="1"/>
  <c r="O188" i="4"/>
  <c r="O196" i="4"/>
  <c r="O222" i="4"/>
  <c r="O260" i="4"/>
  <c r="P287" i="4"/>
  <c r="N301" i="4"/>
  <c r="L312" i="4"/>
  <c r="M308" i="4"/>
  <c r="O333" i="4"/>
  <c r="I398" i="4"/>
  <c r="G374" i="4"/>
  <c r="H374" i="4" s="1"/>
  <c r="G371" i="4"/>
  <c r="H371" i="4" s="1"/>
  <c r="H368" i="4"/>
  <c r="O343" i="4"/>
  <c r="O402" i="4"/>
  <c r="I99" i="4"/>
  <c r="O120" i="4"/>
  <c r="N128" i="4"/>
  <c r="O128" i="4" s="1"/>
  <c r="O149" i="4"/>
  <c r="N202" i="4"/>
  <c r="O151" i="4"/>
  <c r="O156" i="4"/>
  <c r="O173" i="4"/>
  <c r="I194" i="4"/>
  <c r="O194" i="4" s="1"/>
  <c r="O234" i="4"/>
  <c r="O313" i="4"/>
  <c r="I328" i="4"/>
  <c r="O400" i="4"/>
  <c r="E16" i="4"/>
  <c r="I16" i="4" s="1"/>
  <c r="I73" i="4" s="1"/>
  <c r="O61" i="4"/>
  <c r="O125" i="4"/>
  <c r="O178" i="4"/>
  <c r="N270" i="4"/>
  <c r="O270" i="4" s="1"/>
  <c r="O205" i="4"/>
  <c r="O275" i="4"/>
  <c r="O299" i="4"/>
  <c r="N398" i="4"/>
  <c r="O387" i="4"/>
  <c r="O184" i="4"/>
  <c r="O71" i="4"/>
  <c r="O99" i="4"/>
  <c r="I102" i="4"/>
  <c r="O102" i="4" s="1"/>
  <c r="I157" i="4"/>
  <c r="I202" i="4" s="1"/>
  <c r="O258" i="4"/>
  <c r="O273" i="4"/>
  <c r="O296" i="4"/>
  <c r="O331" i="4"/>
  <c r="N367" i="4"/>
  <c r="O367" i="4" s="1"/>
  <c r="N370" i="4"/>
  <c r="O370" i="4" s="1"/>
  <c r="O372" i="4"/>
  <c r="N413" i="4"/>
  <c r="O413" i="4" s="1"/>
  <c r="I381" i="4"/>
  <c r="O381" i="4" s="1"/>
  <c r="O285" i="4" l="1"/>
  <c r="N146" i="4"/>
  <c r="L316" i="4"/>
  <c r="M316" i="4" s="1"/>
  <c r="N316" i="4" s="1"/>
  <c r="O316" i="4" s="1"/>
  <c r="M312" i="4"/>
  <c r="N312" i="4" s="1"/>
  <c r="O312" i="4" s="1"/>
  <c r="O146" i="4"/>
  <c r="O73" i="4"/>
  <c r="N286" i="4"/>
  <c r="O286" i="4" s="1"/>
  <c r="J287" i="4"/>
  <c r="N287" i="4" s="1"/>
  <c r="O287" i="4" s="1"/>
  <c r="N319" i="4"/>
  <c r="O301" i="4"/>
  <c r="O202" i="4"/>
  <c r="N384" i="4"/>
  <c r="O378" i="4"/>
  <c r="N376" i="4"/>
  <c r="O16" i="4"/>
  <c r="O282" i="4"/>
  <c r="I384" i="4"/>
  <c r="O88" i="4"/>
  <c r="I371" i="4"/>
  <c r="I376" i="4" s="1"/>
  <c r="O398" i="4"/>
  <c r="O304" i="4"/>
  <c r="I316" i="4"/>
  <c r="I319" i="4" s="1"/>
  <c r="O319" i="4" l="1"/>
  <c r="O371" i="4"/>
  <c r="O384" i="4"/>
  <c r="N288" i="4"/>
  <c r="O288" i="4" s="1"/>
  <c r="O347" i="4" s="1"/>
  <c r="O376" i="4"/>
  <c r="M286" i="3" l="1"/>
  <c r="M284" i="3"/>
  <c r="I283" i="3"/>
  <c r="J283" i="3" s="1"/>
  <c r="I282" i="3"/>
  <c r="J282" i="3" s="1"/>
  <c r="I281" i="3"/>
  <c r="J281" i="3" s="1"/>
  <c r="J280" i="3"/>
  <c r="I280" i="3"/>
  <c r="I279" i="3"/>
  <c r="J279" i="3" s="1"/>
  <c r="I277" i="3"/>
  <c r="J277" i="3" s="1"/>
  <c r="I276" i="3"/>
  <c r="J276" i="3" s="1"/>
  <c r="I275" i="3"/>
  <c r="J275" i="3" s="1"/>
  <c r="J274" i="3"/>
  <c r="I274" i="3"/>
  <c r="I273" i="3"/>
  <c r="I272" i="3"/>
  <c r="I271" i="3"/>
  <c r="E271" i="3"/>
  <c r="J271" i="3" s="1"/>
  <c r="I270" i="3"/>
  <c r="E270" i="3"/>
  <c r="J270" i="3" s="1"/>
  <c r="I269" i="3"/>
  <c r="E269" i="3"/>
  <c r="J269" i="3" s="1"/>
  <c r="J268" i="3"/>
  <c r="I268" i="3"/>
  <c r="I267" i="3"/>
  <c r="E267" i="3"/>
  <c r="I266" i="3"/>
  <c r="I265" i="3"/>
  <c r="I264" i="3"/>
  <c r="E264" i="3"/>
  <c r="E265" i="3" s="1"/>
  <c r="J263" i="3"/>
  <c r="I263" i="3"/>
  <c r="E263" i="3"/>
  <c r="I262" i="3"/>
  <c r="E262" i="3"/>
  <c r="J262" i="3" s="1"/>
  <c r="I261" i="3"/>
  <c r="E261" i="3"/>
  <c r="J261" i="3" s="1"/>
  <c r="I260" i="3"/>
  <c r="E260" i="3"/>
  <c r="J260" i="3" s="1"/>
  <c r="I259" i="3"/>
  <c r="E259" i="3"/>
  <c r="J259" i="3" s="1"/>
  <c r="I258" i="3"/>
  <c r="E258" i="3"/>
  <c r="J258" i="3" s="1"/>
  <c r="I256" i="3"/>
  <c r="J256" i="3" s="1"/>
  <c r="E256" i="3"/>
  <c r="I255" i="3"/>
  <c r="I254" i="3"/>
  <c r="E254" i="3"/>
  <c r="I252" i="3"/>
  <c r="E252" i="3"/>
  <c r="J252" i="3" s="1"/>
  <c r="I251" i="3"/>
  <c r="I250" i="3"/>
  <c r="E250" i="3"/>
  <c r="E251" i="3" s="1"/>
  <c r="J251" i="3" s="1"/>
  <c r="J248" i="3"/>
  <c r="I248" i="3"/>
  <c r="E248" i="3"/>
  <c r="I247" i="3"/>
  <c r="I246" i="3"/>
  <c r="E246" i="3"/>
  <c r="E247" i="3" s="1"/>
  <c r="J247" i="3" s="1"/>
  <c r="M242" i="3"/>
  <c r="J241" i="3"/>
  <c r="I241" i="3"/>
  <c r="I240" i="3"/>
  <c r="J240" i="3" s="1"/>
  <c r="I239" i="3"/>
  <c r="J239" i="3" s="1"/>
  <c r="I238" i="3"/>
  <c r="J238" i="3" s="1"/>
  <c r="I237" i="3"/>
  <c r="J237" i="3" s="1"/>
  <c r="I236" i="3"/>
  <c r="J236" i="3" s="1"/>
  <c r="I235" i="3"/>
  <c r="J235" i="3" s="1"/>
  <c r="I234" i="3"/>
  <c r="I233" i="3"/>
  <c r="I232" i="3"/>
  <c r="E232" i="3"/>
  <c r="J232" i="3" s="1"/>
  <c r="I231" i="3"/>
  <c r="E231" i="3"/>
  <c r="E234" i="3" s="1"/>
  <c r="J234" i="3" s="1"/>
  <c r="J230" i="3"/>
  <c r="I230" i="3"/>
  <c r="E230" i="3"/>
  <c r="J229" i="3"/>
  <c r="I229" i="3"/>
  <c r="E229" i="3"/>
  <c r="I228" i="3"/>
  <c r="I227" i="3"/>
  <c r="I226" i="3"/>
  <c r="E226" i="3"/>
  <c r="I225" i="3"/>
  <c r="E225" i="3"/>
  <c r="J225" i="3" s="1"/>
  <c r="I224" i="3"/>
  <c r="I223" i="3"/>
  <c r="E223" i="3"/>
  <c r="N222" i="3"/>
  <c r="J221" i="3"/>
  <c r="I221" i="3"/>
  <c r="E221" i="3"/>
  <c r="I220" i="3"/>
  <c r="I219" i="3"/>
  <c r="E219" i="3"/>
  <c r="I217" i="3"/>
  <c r="E217" i="3"/>
  <c r="J217" i="3" s="1"/>
  <c r="J216" i="3"/>
  <c r="I216" i="3"/>
  <c r="E216" i="3"/>
  <c r="I215" i="3"/>
  <c r="E215" i="3"/>
  <c r="J215" i="3" s="1"/>
  <c r="M212" i="3"/>
  <c r="J211" i="3"/>
  <c r="I211" i="3"/>
  <c r="J210" i="3"/>
  <c r="I210" i="3"/>
  <c r="I209" i="3"/>
  <c r="E209" i="3"/>
  <c r="J209" i="3" s="1"/>
  <c r="J208" i="3"/>
  <c r="I208" i="3"/>
  <c r="I207" i="3"/>
  <c r="J207" i="3" s="1"/>
  <c r="I206" i="3"/>
  <c r="J206" i="3" s="1"/>
  <c r="I205" i="3"/>
  <c r="J205" i="3" s="1"/>
  <c r="E205" i="3"/>
  <c r="I204" i="3"/>
  <c r="J204" i="3" s="1"/>
  <c r="I203" i="3"/>
  <c r="E203" i="3"/>
  <c r="J203" i="3" s="1"/>
  <c r="I202" i="3"/>
  <c r="E202" i="3"/>
  <c r="J202" i="3" s="1"/>
  <c r="I201" i="3"/>
  <c r="E201" i="3"/>
  <c r="J201" i="3" s="1"/>
  <c r="I200" i="3"/>
  <c r="J200" i="3" s="1"/>
  <c r="E200" i="3"/>
  <c r="I198" i="3"/>
  <c r="E198" i="3"/>
  <c r="J198" i="3" s="1"/>
  <c r="I197" i="3"/>
  <c r="E197" i="3"/>
  <c r="J197" i="3" s="1"/>
  <c r="J196" i="3"/>
  <c r="I196" i="3"/>
  <c r="M193" i="3"/>
  <c r="J192" i="3"/>
  <c r="I192" i="3"/>
  <c r="J191" i="3"/>
  <c r="I191" i="3"/>
  <c r="I190" i="3"/>
  <c r="J190" i="3" s="1"/>
  <c r="I189" i="3"/>
  <c r="J189" i="3" s="1"/>
  <c r="J188" i="3"/>
  <c r="I188" i="3"/>
  <c r="I187" i="3"/>
  <c r="J187" i="3" s="1"/>
  <c r="I185" i="3"/>
  <c r="E185" i="3"/>
  <c r="J185" i="3" s="1"/>
  <c r="I184" i="3"/>
  <c r="E184" i="3"/>
  <c r="J184" i="3" s="1"/>
  <c r="J183" i="3"/>
  <c r="I183" i="3"/>
  <c r="J182" i="3"/>
  <c r="I182" i="3"/>
  <c r="I181" i="3"/>
  <c r="J181" i="3" s="1"/>
  <c r="I180" i="3"/>
  <c r="J180" i="3" s="1"/>
  <c r="J179" i="3"/>
  <c r="I179" i="3"/>
  <c r="I178" i="3"/>
  <c r="J178" i="3" s="1"/>
  <c r="I177" i="3"/>
  <c r="J177" i="3" s="1"/>
  <c r="J176" i="3"/>
  <c r="I176" i="3"/>
  <c r="J175" i="3"/>
  <c r="I175" i="3"/>
  <c r="E175" i="3"/>
  <c r="E176" i="3" s="1"/>
  <c r="I174" i="3"/>
  <c r="J174" i="3" s="1"/>
  <c r="E174" i="3"/>
  <c r="I173" i="3"/>
  <c r="E173" i="3"/>
  <c r="J173" i="3" s="1"/>
  <c r="J172" i="3"/>
  <c r="I172" i="3"/>
  <c r="E172" i="3"/>
  <c r="I171" i="3"/>
  <c r="J171" i="3" s="1"/>
  <c r="E171" i="3"/>
  <c r="I170" i="3"/>
  <c r="J170" i="3" s="1"/>
  <c r="J169" i="3"/>
  <c r="I169" i="3"/>
  <c r="E169" i="3"/>
  <c r="I168" i="3"/>
  <c r="I167" i="3"/>
  <c r="E167" i="3"/>
  <c r="E168" i="3" s="1"/>
  <c r="J168" i="3" s="1"/>
  <c r="M163" i="3"/>
  <c r="J162" i="3"/>
  <c r="I162" i="3"/>
  <c r="I161" i="3"/>
  <c r="J161" i="3" s="1"/>
  <c r="I160" i="3"/>
  <c r="I159" i="3"/>
  <c r="J159" i="3" s="1"/>
  <c r="I158" i="3"/>
  <c r="E158" i="3"/>
  <c r="J158" i="3" s="1"/>
  <c r="I157" i="3"/>
  <c r="I156" i="3"/>
  <c r="E156" i="3"/>
  <c r="J156" i="3" s="1"/>
  <c r="I155" i="3"/>
  <c r="I154" i="3"/>
  <c r="E154" i="3"/>
  <c r="I152" i="3"/>
  <c r="E152" i="3"/>
  <c r="J152" i="3" s="1"/>
  <c r="I151" i="3"/>
  <c r="I150" i="3"/>
  <c r="E150" i="3"/>
  <c r="I148" i="3"/>
  <c r="I147" i="3"/>
  <c r="J147" i="3" s="1"/>
  <c r="E147" i="3"/>
  <c r="M145" i="3"/>
  <c r="I144" i="3"/>
  <c r="J144" i="3" s="1"/>
  <c r="I142" i="3"/>
  <c r="J142" i="3" s="1"/>
  <c r="I141" i="3"/>
  <c r="J141" i="3" s="1"/>
  <c r="E141" i="3"/>
  <c r="I140" i="3"/>
  <c r="J140" i="3" s="1"/>
  <c r="I139" i="3"/>
  <c r="J139" i="3" s="1"/>
  <c r="J138" i="3"/>
  <c r="I138" i="3"/>
  <c r="I137" i="3"/>
  <c r="E137" i="3"/>
  <c r="J137" i="3" s="1"/>
  <c r="I136" i="3"/>
  <c r="J136" i="3" s="1"/>
  <c r="I135" i="3"/>
  <c r="E135" i="3"/>
  <c r="J135" i="3" s="1"/>
  <c r="I134" i="3"/>
  <c r="E134" i="3"/>
  <c r="J134" i="3" s="1"/>
  <c r="I133" i="3"/>
  <c r="I132" i="3"/>
  <c r="E132" i="3"/>
  <c r="J131" i="3"/>
  <c r="I130" i="3"/>
  <c r="J130" i="3" s="1"/>
  <c r="E130" i="3"/>
  <c r="I129" i="3"/>
  <c r="E129" i="3"/>
  <c r="J129" i="3" s="1"/>
  <c r="I128" i="3"/>
  <c r="J128" i="3" s="1"/>
  <c r="J127" i="3"/>
  <c r="I126" i="3"/>
  <c r="E126" i="3"/>
  <c r="J126" i="3" s="1"/>
  <c r="I125" i="3"/>
  <c r="E125" i="3"/>
  <c r="J125" i="3" s="1"/>
  <c r="M123" i="3"/>
  <c r="I122" i="3"/>
  <c r="J122" i="3" s="1"/>
  <c r="I121" i="3"/>
  <c r="J121" i="3" s="1"/>
  <c r="I120" i="3"/>
  <c r="J120" i="3" s="1"/>
  <c r="I119" i="3"/>
  <c r="J119" i="3" s="1"/>
  <c r="I118" i="3"/>
  <c r="J118" i="3" s="1"/>
  <c r="I117" i="3"/>
  <c r="J117" i="3" s="1"/>
  <c r="N116" i="3"/>
  <c r="I115" i="3"/>
  <c r="E115" i="3"/>
  <c r="J115" i="3" s="1"/>
  <c r="I114" i="3"/>
  <c r="J113" i="3"/>
  <c r="I113" i="3"/>
  <c r="I112" i="3"/>
  <c r="J112" i="3" s="1"/>
  <c r="I111" i="3"/>
  <c r="J111" i="3" s="1"/>
  <c r="J110" i="3"/>
  <c r="I110" i="3"/>
  <c r="I109" i="3"/>
  <c r="J109" i="3" s="1"/>
  <c r="I108" i="3"/>
  <c r="J108" i="3" s="1"/>
  <c r="J107" i="3"/>
  <c r="I107" i="3"/>
  <c r="I106" i="3"/>
  <c r="E106" i="3"/>
  <c r="J106" i="3" s="1"/>
  <c r="I105" i="3"/>
  <c r="J105" i="3" s="1"/>
  <c r="E105" i="3"/>
  <c r="I104" i="3"/>
  <c r="E104" i="3"/>
  <c r="J104" i="3" s="1"/>
  <c r="I103" i="3"/>
  <c r="I102" i="3"/>
  <c r="I101" i="3"/>
  <c r="E101" i="3"/>
  <c r="E102" i="3" s="1"/>
  <c r="J102" i="3" s="1"/>
  <c r="J100" i="3"/>
  <c r="I100" i="3"/>
  <c r="I99" i="3"/>
  <c r="E99" i="3"/>
  <c r="J99" i="3" s="1"/>
  <c r="I98" i="3"/>
  <c r="I97" i="3"/>
  <c r="E97" i="3"/>
  <c r="M93" i="3"/>
  <c r="I92" i="3"/>
  <c r="J92" i="3" s="1"/>
  <c r="I91" i="3"/>
  <c r="J91" i="3" s="1"/>
  <c r="I90" i="3"/>
  <c r="J90" i="3" s="1"/>
  <c r="E90" i="3"/>
  <c r="J89" i="3"/>
  <c r="I89" i="3"/>
  <c r="I88" i="3"/>
  <c r="J88" i="3" s="1"/>
  <c r="I87" i="3"/>
  <c r="J87" i="3" s="1"/>
  <c r="J86" i="3"/>
  <c r="I86" i="3"/>
  <c r="E86" i="3"/>
  <c r="J85" i="3"/>
  <c r="I85" i="3"/>
  <c r="I84" i="3"/>
  <c r="E84" i="3"/>
  <c r="J84" i="3" s="1"/>
  <c r="I83" i="3"/>
  <c r="E83" i="3"/>
  <c r="J83" i="3" s="1"/>
  <c r="I82" i="3"/>
  <c r="J82" i="3" s="1"/>
  <c r="E82" i="3"/>
  <c r="J81" i="3"/>
  <c r="I81" i="3"/>
  <c r="E81" i="3"/>
  <c r="I79" i="3"/>
  <c r="E79" i="3"/>
  <c r="J79" i="3" s="1"/>
  <c r="I78" i="3"/>
  <c r="J78" i="3" s="1"/>
  <c r="E78" i="3"/>
  <c r="I77" i="3"/>
  <c r="J77" i="3" s="1"/>
  <c r="I75" i="3"/>
  <c r="E75" i="3"/>
  <c r="J75" i="3" s="1"/>
  <c r="J74" i="3"/>
  <c r="I74" i="3"/>
  <c r="I73" i="3"/>
  <c r="J73" i="3" s="1"/>
  <c r="E73" i="3"/>
  <c r="E74" i="3" s="1"/>
  <c r="I71" i="3"/>
  <c r="I70" i="3"/>
  <c r="E70" i="3"/>
  <c r="J70" i="3" s="1"/>
  <c r="I69" i="3"/>
  <c r="E69" i="3"/>
  <c r="J69" i="3" s="1"/>
  <c r="I68" i="3"/>
  <c r="E68" i="3"/>
  <c r="J68" i="3" s="1"/>
  <c r="I67" i="3"/>
  <c r="E67" i="3"/>
  <c r="J67" i="3" s="1"/>
  <c r="M65" i="3"/>
  <c r="I64" i="3"/>
  <c r="J64" i="3" s="1"/>
  <c r="I63" i="3"/>
  <c r="J63" i="3" s="1"/>
  <c r="I61" i="3"/>
  <c r="J61" i="3" s="1"/>
  <c r="I60" i="3"/>
  <c r="J60" i="3" s="1"/>
  <c r="I59" i="3"/>
  <c r="J59" i="3" s="1"/>
  <c r="I58" i="3"/>
  <c r="J58" i="3" s="1"/>
  <c r="I57" i="3"/>
  <c r="J57" i="3" s="1"/>
  <c r="I56" i="3"/>
  <c r="J56" i="3" s="1"/>
  <c r="I54" i="3"/>
  <c r="J54" i="3" s="1"/>
  <c r="E54" i="3"/>
  <c r="I53" i="3"/>
  <c r="J52" i="3"/>
  <c r="I52" i="3"/>
  <c r="I51" i="3"/>
  <c r="J51" i="3" s="1"/>
  <c r="I50" i="3"/>
  <c r="J50" i="3" s="1"/>
  <c r="I49" i="3"/>
  <c r="J49" i="3" s="1"/>
  <c r="I48" i="3"/>
  <c r="J48" i="3" s="1"/>
  <c r="I47" i="3"/>
  <c r="J47" i="3" s="1"/>
  <c r="I46" i="3"/>
  <c r="J46" i="3" s="1"/>
  <c r="I45" i="3"/>
  <c r="I44" i="3"/>
  <c r="J44" i="3" s="1"/>
  <c r="I43" i="3"/>
  <c r="J43" i="3" s="1"/>
  <c r="I42" i="3"/>
  <c r="E42" i="3"/>
  <c r="I41" i="3"/>
  <c r="E41" i="3"/>
  <c r="J41" i="3" s="1"/>
  <c r="I40" i="3"/>
  <c r="I39" i="3"/>
  <c r="I38" i="3"/>
  <c r="E38" i="3"/>
  <c r="J38" i="3" s="1"/>
  <c r="I37" i="3"/>
  <c r="J37" i="3" s="1"/>
  <c r="J36" i="3"/>
  <c r="I36" i="3"/>
  <c r="J35" i="3"/>
  <c r="I35" i="3"/>
  <c r="E35" i="3"/>
  <c r="I33" i="3"/>
  <c r="E33" i="3"/>
  <c r="J33" i="3" s="1"/>
  <c r="I32" i="3"/>
  <c r="J32" i="3" s="1"/>
  <c r="E32" i="3"/>
  <c r="I31" i="3"/>
  <c r="E31" i="3"/>
  <c r="J31" i="3" s="1"/>
  <c r="I29" i="3"/>
  <c r="E29" i="3"/>
  <c r="J29" i="3" s="1"/>
  <c r="J28" i="3"/>
  <c r="I28" i="3"/>
  <c r="J27" i="3"/>
  <c r="I27" i="3"/>
  <c r="E27" i="3"/>
  <c r="E28" i="3" s="1"/>
  <c r="I25" i="3"/>
  <c r="E25" i="3"/>
  <c r="J25" i="3" s="1"/>
  <c r="I24" i="3"/>
  <c r="E24" i="3"/>
  <c r="J24" i="3" s="1"/>
  <c r="J23" i="3"/>
  <c r="I23" i="3"/>
  <c r="E23" i="3"/>
  <c r="J21" i="3"/>
  <c r="I21" i="3"/>
  <c r="E21" i="3"/>
  <c r="I20" i="3"/>
  <c r="J20" i="3" s="1"/>
  <c r="E20" i="3"/>
  <c r="I19" i="3"/>
  <c r="J19" i="3" s="1"/>
  <c r="E19" i="3"/>
  <c r="I17" i="3"/>
  <c r="E17" i="3"/>
  <c r="J17" i="3" s="1"/>
  <c r="I16" i="3"/>
  <c r="J16" i="3" s="1"/>
  <c r="E16" i="3"/>
  <c r="I15" i="3"/>
  <c r="E15" i="3"/>
  <c r="J15" i="3" s="1"/>
  <c r="M12" i="3"/>
  <c r="J11" i="3"/>
  <c r="I11" i="3"/>
  <c r="I10" i="3"/>
  <c r="J10" i="3" s="1"/>
  <c r="I9" i="3"/>
  <c r="J9" i="3" s="1"/>
  <c r="J12" i="3" l="1"/>
  <c r="J93" i="3"/>
  <c r="J97" i="3"/>
  <c r="E98" i="3"/>
  <c r="J98" i="3" s="1"/>
  <c r="J150" i="3"/>
  <c r="E151" i="3"/>
  <c r="J151" i="3" s="1"/>
  <c r="J167" i="3"/>
  <c r="J145" i="3"/>
  <c r="E220" i="3"/>
  <c r="J220" i="3" s="1"/>
  <c r="J219" i="3"/>
  <c r="E255" i="3"/>
  <c r="J255" i="3" s="1"/>
  <c r="J254" i="3"/>
  <c r="E155" i="3"/>
  <c r="J155" i="3" s="1"/>
  <c r="J154" i="3"/>
  <c r="E224" i="3"/>
  <c r="J224" i="3" s="1"/>
  <c r="J223" i="3"/>
  <c r="E133" i="3"/>
  <c r="J133" i="3" s="1"/>
  <c r="J132" i="3"/>
  <c r="J212" i="3"/>
  <c r="E273" i="3"/>
  <c r="J273" i="3" s="1"/>
  <c r="J267" i="3"/>
  <c r="E39" i="3"/>
  <c r="J250" i="3"/>
  <c r="E71" i="3"/>
  <c r="J71" i="3" s="1"/>
  <c r="J246" i="3"/>
  <c r="J101" i="3"/>
  <c r="J264" i="3"/>
  <c r="E103" i="3"/>
  <c r="J103" i="3" s="1"/>
  <c r="E114" i="3"/>
  <c r="J114" i="3" s="1"/>
  <c r="J265" i="3"/>
  <c r="E266" i="3"/>
  <c r="J42" i="3"/>
  <c r="E45" i="3"/>
  <c r="J226" i="3"/>
  <c r="E227" i="3"/>
  <c r="E157" i="3"/>
  <c r="J157" i="3" s="1"/>
  <c r="E160" i="3"/>
  <c r="J160" i="3" s="1"/>
  <c r="E148" i="3"/>
  <c r="J148" i="3" s="1"/>
  <c r="J231" i="3"/>
  <c r="J123" i="3" l="1"/>
  <c r="J193" i="3"/>
  <c r="E272" i="3"/>
  <c r="J272" i="3" s="1"/>
  <c r="J266" i="3"/>
  <c r="E40" i="3"/>
  <c r="J40" i="3" s="1"/>
  <c r="J39" i="3"/>
  <c r="J163" i="3"/>
  <c r="J284" i="3"/>
  <c r="J45" i="3"/>
  <c r="E53" i="3"/>
  <c r="J53" i="3" s="1"/>
  <c r="J227" i="3"/>
  <c r="E228" i="3"/>
  <c r="E233" i="3" l="1"/>
  <c r="J233" i="3" s="1"/>
  <c r="J228" i="3"/>
  <c r="J65" i="3"/>
  <c r="J242" i="3" l="1"/>
  <c r="J286" i="3"/>
  <c r="K179" i="3" l="1"/>
  <c r="N179" i="3" s="1"/>
  <c r="K21" i="3"/>
  <c r="N21" i="3" s="1"/>
  <c r="K27" i="3"/>
  <c r="N27" i="3" s="1"/>
  <c r="K138" i="3"/>
  <c r="N138" i="3" s="1"/>
  <c r="K211" i="3"/>
  <c r="N211" i="3" s="1"/>
  <c r="K48" i="3"/>
  <c r="N48" i="3" s="1"/>
  <c r="K139" i="3"/>
  <c r="N139" i="3" s="1"/>
  <c r="K177" i="3"/>
  <c r="N177" i="3" s="1"/>
  <c r="K73" i="3"/>
  <c r="N73" i="3" s="1"/>
  <c r="K25" i="3"/>
  <c r="N25" i="3" s="1"/>
  <c r="K189" i="3"/>
  <c r="N189" i="3" s="1"/>
  <c r="K256" i="3"/>
  <c r="N256" i="3" s="1"/>
  <c r="K203" i="3"/>
  <c r="N203" i="3" s="1"/>
  <c r="K88" i="3"/>
  <c r="N88" i="3" s="1"/>
  <c r="K49" i="3"/>
  <c r="N49" i="3" s="1"/>
  <c r="K198" i="3"/>
  <c r="N198" i="3" s="1"/>
  <c r="K125" i="3"/>
  <c r="K79" i="3"/>
  <c r="N79" i="3" s="1"/>
  <c r="K113" i="3"/>
  <c r="N113" i="3" s="1"/>
  <c r="K60" i="3"/>
  <c r="N60" i="3" s="1"/>
  <c r="K181" i="3"/>
  <c r="N181" i="3" s="1"/>
  <c r="K232" i="3"/>
  <c r="N232" i="3" s="1"/>
  <c r="K90" i="3"/>
  <c r="N90" i="3" s="1"/>
  <c r="K102" i="3"/>
  <c r="N102" i="3" s="1"/>
  <c r="K91" i="3"/>
  <c r="N91" i="3" s="1"/>
  <c r="K206" i="3"/>
  <c r="N206" i="3" s="1"/>
  <c r="K61" i="3"/>
  <c r="N61" i="3" s="1"/>
  <c r="K115" i="3"/>
  <c r="N115" i="3" s="1"/>
  <c r="K128" i="3"/>
  <c r="N128" i="3" s="1"/>
  <c r="K89" i="3"/>
  <c r="N89" i="3" s="1"/>
  <c r="K201" i="3"/>
  <c r="N201" i="3" s="1"/>
  <c r="K107" i="3"/>
  <c r="N107" i="3" s="1"/>
  <c r="K129" i="3"/>
  <c r="N129" i="3" s="1"/>
  <c r="K279" i="3"/>
  <c r="N279" i="3" s="1"/>
  <c r="K70" i="3"/>
  <c r="N70" i="3" s="1"/>
  <c r="K142" i="3"/>
  <c r="N142" i="3" s="1"/>
  <c r="K156" i="3"/>
  <c r="N156" i="3" s="1"/>
  <c r="K238" i="3"/>
  <c r="N238" i="3" s="1"/>
  <c r="K172" i="3"/>
  <c r="N172" i="3" s="1"/>
  <c r="K175" i="3"/>
  <c r="N175" i="3" s="1"/>
  <c r="K191" i="3"/>
  <c r="N191" i="3" s="1"/>
  <c r="K38" i="3"/>
  <c r="N38" i="3" s="1"/>
  <c r="K105" i="3"/>
  <c r="N105" i="3" s="1"/>
  <c r="K121" i="3"/>
  <c r="N121" i="3" s="1"/>
  <c r="K259" i="3"/>
  <c r="N259" i="3" s="1"/>
  <c r="K29" i="3"/>
  <c r="N29" i="3" s="1"/>
  <c r="K205" i="3"/>
  <c r="N205" i="3" s="1"/>
  <c r="K77" i="3"/>
  <c r="N77" i="3" s="1"/>
  <c r="K190" i="3"/>
  <c r="N190" i="3" s="1"/>
  <c r="K135" i="3"/>
  <c r="N135" i="3" s="1"/>
  <c r="K261" i="3"/>
  <c r="N261" i="3" s="1"/>
  <c r="K56" i="3"/>
  <c r="N56" i="3" s="1"/>
  <c r="K268" i="3"/>
  <c r="N268" i="3" s="1"/>
  <c r="K239" i="3"/>
  <c r="N239" i="3" s="1"/>
  <c r="K118" i="3"/>
  <c r="N118" i="3" s="1"/>
  <c r="K28" i="3"/>
  <c r="N28" i="3" s="1"/>
  <c r="K185" i="3"/>
  <c r="N185" i="3" s="1"/>
  <c r="K263" i="3"/>
  <c r="N263" i="3" s="1"/>
  <c r="K32" i="3"/>
  <c r="N32" i="3" s="1"/>
  <c r="K168" i="3"/>
  <c r="N168" i="3" s="1"/>
  <c r="K192" i="3"/>
  <c r="N192" i="3" s="1"/>
  <c r="K277" i="3"/>
  <c r="N277" i="3" s="1"/>
  <c r="K41" i="3"/>
  <c r="N41" i="3" s="1"/>
  <c r="K134" i="3"/>
  <c r="N134" i="3" s="1"/>
  <c r="K236" i="3"/>
  <c r="N236" i="3" s="1"/>
  <c r="K183" i="3"/>
  <c r="N183" i="3" s="1"/>
  <c r="K216" i="3"/>
  <c r="N216" i="3" s="1"/>
  <c r="K147" i="3"/>
  <c r="K188" i="3"/>
  <c r="N188" i="3" s="1"/>
  <c r="K104" i="3"/>
  <c r="N104" i="3" s="1"/>
  <c r="K75" i="3"/>
  <c r="N75" i="3" s="1"/>
  <c r="K162" i="3"/>
  <c r="N162" i="3" s="1"/>
  <c r="K158" i="3"/>
  <c r="N158" i="3" s="1"/>
  <c r="K31" i="3"/>
  <c r="N31" i="3" s="1"/>
  <c r="K274" i="3"/>
  <c r="N274" i="3" s="1"/>
  <c r="K248" i="3"/>
  <c r="N248" i="3" s="1"/>
  <c r="K19" i="3"/>
  <c r="N19" i="3" s="1"/>
  <c r="K117" i="3"/>
  <c r="N117" i="3" s="1"/>
  <c r="K63" i="3"/>
  <c r="N63" i="3" s="1"/>
  <c r="K82" i="3"/>
  <c r="N82" i="3" s="1"/>
  <c r="K20" i="3"/>
  <c r="N20" i="3" s="1"/>
  <c r="K110" i="3"/>
  <c r="N110" i="3" s="1"/>
  <c r="K209" i="3"/>
  <c r="N209" i="3" s="1"/>
  <c r="K283" i="3"/>
  <c r="N283" i="3" s="1"/>
  <c r="K74" i="3"/>
  <c r="N74" i="3" s="1"/>
  <c r="K109" i="3"/>
  <c r="N109" i="3" s="1"/>
  <c r="K141" i="3"/>
  <c r="N141" i="3" s="1"/>
  <c r="K10" i="3"/>
  <c r="N10" i="3" s="1"/>
  <c r="K119" i="3"/>
  <c r="N119" i="3" s="1"/>
  <c r="K262" i="3"/>
  <c r="N262" i="3" s="1"/>
  <c r="K207" i="3"/>
  <c r="N207" i="3" s="1"/>
  <c r="K100" i="3"/>
  <c r="N100" i="3" s="1"/>
  <c r="K59" i="3"/>
  <c r="N59" i="3" s="1"/>
  <c r="K235" i="3"/>
  <c r="N235" i="3" s="1"/>
  <c r="K126" i="3"/>
  <c r="N126" i="3" s="1"/>
  <c r="K180" i="3"/>
  <c r="N180" i="3" s="1"/>
  <c r="K196" i="3"/>
  <c r="K36" i="3"/>
  <c r="N36" i="3" s="1"/>
  <c r="K258" i="3"/>
  <c r="N258" i="3" s="1"/>
  <c r="K85" i="3"/>
  <c r="N85" i="3" s="1"/>
  <c r="K197" i="3"/>
  <c r="N197" i="3" s="1"/>
  <c r="K200" i="3"/>
  <c r="N200" i="3" s="1"/>
  <c r="K130" i="3"/>
  <c r="N130" i="3" s="1"/>
  <c r="K67" i="3"/>
  <c r="K57" i="3"/>
  <c r="N57" i="3" s="1"/>
  <c r="K276" i="3"/>
  <c r="N276" i="3" s="1"/>
  <c r="K159" i="3"/>
  <c r="N159" i="3" s="1"/>
  <c r="K217" i="3"/>
  <c r="N217" i="3" s="1"/>
  <c r="K35" i="3"/>
  <c r="N35" i="3" s="1"/>
  <c r="K108" i="3"/>
  <c r="N108" i="3" s="1"/>
  <c r="K210" i="3"/>
  <c r="N210" i="3" s="1"/>
  <c r="K170" i="3"/>
  <c r="N170" i="3" s="1"/>
  <c r="K176" i="3"/>
  <c r="N176" i="3" s="1"/>
  <c r="K225" i="3"/>
  <c r="N225" i="3" s="1"/>
  <c r="K271" i="3"/>
  <c r="N271" i="3" s="1"/>
  <c r="K260" i="3"/>
  <c r="N260" i="3" s="1"/>
  <c r="K204" i="3"/>
  <c r="N204" i="3" s="1"/>
  <c r="K47" i="3"/>
  <c r="N47" i="3" s="1"/>
  <c r="K282" i="3"/>
  <c r="N282" i="3" s="1"/>
  <c r="K252" i="3"/>
  <c r="N252" i="3" s="1"/>
  <c r="K50" i="3"/>
  <c r="N50" i="3" s="1"/>
  <c r="K182" i="3"/>
  <c r="N182" i="3" s="1"/>
  <c r="K16" i="3"/>
  <c r="N16" i="3" s="1"/>
  <c r="K106" i="3"/>
  <c r="N106" i="3" s="1"/>
  <c r="K174" i="3"/>
  <c r="N174" i="3" s="1"/>
  <c r="K52" i="3"/>
  <c r="N52" i="3" s="1"/>
  <c r="K169" i="3"/>
  <c r="N169" i="3" s="1"/>
  <c r="K68" i="3"/>
  <c r="N68" i="3" s="1"/>
  <c r="K11" i="3"/>
  <c r="N11" i="3" s="1"/>
  <c r="K92" i="3"/>
  <c r="N92" i="3" s="1"/>
  <c r="K152" i="3"/>
  <c r="N152" i="3" s="1"/>
  <c r="K221" i="3"/>
  <c r="N221" i="3" s="1"/>
  <c r="K171" i="3"/>
  <c r="N171" i="3" s="1"/>
  <c r="K247" i="3"/>
  <c r="N247" i="3" s="1"/>
  <c r="K83" i="3"/>
  <c r="N83" i="3" s="1"/>
  <c r="K23" i="3"/>
  <c r="N23" i="3" s="1"/>
  <c r="K84" i="3"/>
  <c r="N84" i="3" s="1"/>
  <c r="K136" i="3"/>
  <c r="N136" i="3" s="1"/>
  <c r="K81" i="3"/>
  <c r="N81" i="3" s="1"/>
  <c r="K241" i="3"/>
  <c r="N241" i="3" s="1"/>
  <c r="K187" i="3"/>
  <c r="N187" i="3" s="1"/>
  <c r="K64" i="3"/>
  <c r="N64" i="3" s="1"/>
  <c r="K78" i="3"/>
  <c r="N78" i="3" s="1"/>
  <c r="K51" i="3"/>
  <c r="N51" i="3" s="1"/>
  <c r="K43" i="3"/>
  <c r="N43" i="3" s="1"/>
  <c r="K140" i="3"/>
  <c r="N140" i="3" s="1"/>
  <c r="K202" i="3"/>
  <c r="N202" i="3" s="1"/>
  <c r="K15" i="3"/>
  <c r="K234" i="3"/>
  <c r="N234" i="3" s="1"/>
  <c r="K229" i="3"/>
  <c r="N229" i="3" s="1"/>
  <c r="K86" i="3"/>
  <c r="N86" i="3" s="1"/>
  <c r="K275" i="3"/>
  <c r="N275" i="3" s="1"/>
  <c r="K208" i="3"/>
  <c r="N208" i="3" s="1"/>
  <c r="K44" i="3"/>
  <c r="N44" i="3" s="1"/>
  <c r="K87" i="3"/>
  <c r="N87" i="3" s="1"/>
  <c r="K215" i="3"/>
  <c r="K99" i="3"/>
  <c r="N99" i="3" s="1"/>
  <c r="K122" i="3"/>
  <c r="N122" i="3" s="1"/>
  <c r="K230" i="3"/>
  <c r="N230" i="3" s="1"/>
  <c r="K69" i="3"/>
  <c r="N69" i="3" s="1"/>
  <c r="K17" i="3"/>
  <c r="N17" i="3" s="1"/>
  <c r="K24" i="3"/>
  <c r="N24" i="3" s="1"/>
  <c r="K251" i="3"/>
  <c r="N251" i="3" s="1"/>
  <c r="K33" i="3"/>
  <c r="N33" i="3" s="1"/>
  <c r="K137" i="3"/>
  <c r="N137" i="3" s="1"/>
  <c r="K178" i="3"/>
  <c r="N178" i="3" s="1"/>
  <c r="K281" i="3"/>
  <c r="N281" i="3" s="1"/>
  <c r="K111" i="3"/>
  <c r="N111" i="3" s="1"/>
  <c r="K112" i="3"/>
  <c r="N112" i="3" s="1"/>
  <c r="K269" i="3"/>
  <c r="N269" i="3" s="1"/>
  <c r="K144" i="3"/>
  <c r="N144" i="3" s="1"/>
  <c r="K161" i="3"/>
  <c r="N161" i="3" s="1"/>
  <c r="K58" i="3"/>
  <c r="N58" i="3" s="1"/>
  <c r="K240" i="3"/>
  <c r="N240" i="3" s="1"/>
  <c r="K54" i="3"/>
  <c r="N54" i="3" s="1"/>
  <c r="K184" i="3"/>
  <c r="N184" i="3" s="1"/>
  <c r="K120" i="3"/>
  <c r="N120" i="3" s="1"/>
  <c r="K37" i="3"/>
  <c r="N37" i="3" s="1"/>
  <c r="K237" i="3"/>
  <c r="N237" i="3" s="1"/>
  <c r="K46" i="3"/>
  <c r="N46" i="3" s="1"/>
  <c r="K280" i="3"/>
  <c r="N280" i="3" s="1"/>
  <c r="K9" i="3"/>
  <c r="K270" i="3"/>
  <c r="N270" i="3" s="1"/>
  <c r="K173" i="3"/>
  <c r="N173" i="3" s="1"/>
  <c r="K226" i="3"/>
  <c r="N226" i="3" s="1"/>
  <c r="K133" i="3"/>
  <c r="N133" i="3" s="1"/>
  <c r="K254" i="3"/>
  <c r="N254" i="3" s="1"/>
  <c r="K267" i="3"/>
  <c r="N267" i="3" s="1"/>
  <c r="K150" i="3"/>
  <c r="N150" i="3" s="1"/>
  <c r="K97" i="3"/>
  <c r="K250" i="3"/>
  <c r="N250" i="3" s="1"/>
  <c r="K42" i="3"/>
  <c r="N42" i="3" s="1"/>
  <c r="K273" i="3"/>
  <c r="N273" i="3" s="1"/>
  <c r="K223" i="3"/>
  <c r="N223" i="3" s="1"/>
  <c r="K154" i="3"/>
  <c r="N154" i="3" s="1"/>
  <c r="K220" i="3"/>
  <c r="N220" i="3" s="1"/>
  <c r="K255" i="3"/>
  <c r="N255" i="3" s="1"/>
  <c r="K103" i="3"/>
  <c r="N103" i="3" s="1"/>
  <c r="K231" i="3"/>
  <c r="N231" i="3" s="1"/>
  <c r="K264" i="3"/>
  <c r="N264" i="3" s="1"/>
  <c r="K246" i="3"/>
  <c r="K71" i="3"/>
  <c r="N71" i="3" s="1"/>
  <c r="K157" i="3"/>
  <c r="K160" i="3"/>
  <c r="N160" i="3" s="1"/>
  <c r="K224" i="3"/>
  <c r="N224" i="3" s="1"/>
  <c r="K167" i="3"/>
  <c r="K98" i="3"/>
  <c r="N98" i="3" s="1"/>
  <c r="K155" i="3"/>
  <c r="N155" i="3" s="1"/>
  <c r="K132" i="3"/>
  <c r="N132" i="3" s="1"/>
  <c r="K151" i="3"/>
  <c r="N151" i="3" s="1"/>
  <c r="K101" i="3"/>
  <c r="N101" i="3" s="1"/>
  <c r="K148" i="3"/>
  <c r="N148" i="3" s="1"/>
  <c r="K265" i="3"/>
  <c r="N265" i="3" s="1"/>
  <c r="K114" i="3"/>
  <c r="N114" i="3" s="1"/>
  <c r="K219" i="3"/>
  <c r="N219" i="3" s="1"/>
  <c r="K40" i="3"/>
  <c r="N40" i="3" s="1"/>
  <c r="K227" i="3"/>
  <c r="N227" i="3" s="1"/>
  <c r="K266" i="3"/>
  <c r="N266" i="3" s="1"/>
  <c r="K39" i="3"/>
  <c r="N39" i="3" s="1"/>
  <c r="K53" i="3"/>
  <c r="N53" i="3" s="1"/>
  <c r="K45" i="3"/>
  <c r="N45" i="3" s="1"/>
  <c r="K272" i="3"/>
  <c r="N272" i="3" s="1"/>
  <c r="K228" i="3"/>
  <c r="N228" i="3" s="1"/>
  <c r="K233" i="3"/>
  <c r="N233" i="3" s="1"/>
  <c r="K242" i="3" l="1"/>
  <c r="N215" i="3"/>
  <c r="N242" i="3" s="1"/>
  <c r="K163" i="3"/>
  <c r="N147" i="3"/>
  <c r="N163" i="3" s="1"/>
  <c r="K145" i="3"/>
  <c r="N125" i="3"/>
  <c r="N145" i="3" s="1"/>
  <c r="N15" i="3"/>
  <c r="N65" i="3" s="1"/>
  <c r="K65" i="3"/>
  <c r="K284" i="3"/>
  <c r="N246" i="3"/>
  <c r="N284" i="3" s="1"/>
  <c r="K93" i="3"/>
  <c r="N67" i="3"/>
  <c r="N93" i="3" s="1"/>
  <c r="N167" i="3"/>
  <c r="N193" i="3" s="1"/>
  <c r="K193" i="3"/>
  <c r="K12" i="3"/>
  <c r="N9" i="3"/>
  <c r="N12" i="3" s="1"/>
  <c r="K123" i="3"/>
  <c r="N97" i="3"/>
  <c r="N123" i="3" s="1"/>
  <c r="N196" i="3"/>
  <c r="N212" i="3" s="1"/>
  <c r="K212" i="3"/>
  <c r="N286" i="3" l="1"/>
  <c r="K286" i="3"/>
  <c r="O286" i="2" l="1"/>
  <c r="P286" i="2" s="1"/>
  <c r="Q286" i="2" s="1"/>
  <c r="O285" i="2"/>
  <c r="P285" i="2" s="1"/>
  <c r="Q285" i="2" s="1"/>
  <c r="O284" i="2"/>
  <c r="P284" i="2" s="1"/>
  <c r="Q284" i="2" s="1"/>
  <c r="K284" i="2"/>
  <c r="P282" i="2"/>
  <c r="Q282" i="2" s="1"/>
  <c r="O282" i="2"/>
  <c r="O281" i="2"/>
  <c r="P281" i="2" s="1"/>
  <c r="Q281" i="2" s="1"/>
  <c r="O280" i="2"/>
  <c r="P280" i="2" s="1"/>
  <c r="K280" i="2"/>
  <c r="I280" i="2"/>
  <c r="J280" i="2" s="1"/>
  <c r="E280" i="2"/>
  <c r="P278" i="2"/>
  <c r="O278" i="2"/>
  <c r="I278" i="2"/>
  <c r="J278" i="2" s="1"/>
  <c r="Q278" i="2" s="1"/>
  <c r="O277" i="2"/>
  <c r="P277" i="2" s="1"/>
  <c r="Q277" i="2" s="1"/>
  <c r="K277" i="2"/>
  <c r="J277" i="2"/>
  <c r="I277" i="2"/>
  <c r="E277" i="2"/>
  <c r="O276" i="2"/>
  <c r="K276" i="2"/>
  <c r="P276" i="2" s="1"/>
  <c r="I276" i="2"/>
  <c r="E276" i="2"/>
  <c r="O275" i="2"/>
  <c r="P275" i="2" s="1"/>
  <c r="Q275" i="2" s="1"/>
  <c r="K275" i="2"/>
  <c r="J275" i="2"/>
  <c r="I275" i="2"/>
  <c r="E275" i="2"/>
  <c r="O274" i="2"/>
  <c r="P274" i="2" s="1"/>
  <c r="K274" i="2"/>
  <c r="I274" i="2"/>
  <c r="J274" i="2" s="1"/>
  <c r="E274" i="2"/>
  <c r="Q273" i="2"/>
  <c r="O271" i="2"/>
  <c r="P271" i="2" s="1"/>
  <c r="Q271" i="2" s="1"/>
  <c r="O270" i="2"/>
  <c r="P270" i="2" s="1"/>
  <c r="Q270" i="2" s="1"/>
  <c r="K270" i="2"/>
  <c r="L269" i="2"/>
  <c r="O269" i="2" s="1"/>
  <c r="P269" i="2" s="1"/>
  <c r="Q269" i="2" s="1"/>
  <c r="K269" i="2"/>
  <c r="O268" i="2"/>
  <c r="P268" i="2" s="1"/>
  <c r="Q268" i="2" s="1"/>
  <c r="O266" i="2"/>
  <c r="P266" i="2" s="1"/>
  <c r="Q266" i="2" s="1"/>
  <c r="K266" i="2"/>
  <c r="O265" i="2"/>
  <c r="P265" i="2" s="1"/>
  <c r="Q265" i="2" s="1"/>
  <c r="O264" i="2"/>
  <c r="P264" i="2" s="1"/>
  <c r="Q264" i="2" s="1"/>
  <c r="P263" i="2"/>
  <c r="Q263" i="2" s="1"/>
  <c r="O263" i="2"/>
  <c r="O260" i="2"/>
  <c r="P260" i="2" s="1"/>
  <c r="I260" i="2"/>
  <c r="J260" i="2" s="1"/>
  <c r="O258" i="2"/>
  <c r="P258" i="2" s="1"/>
  <c r="Q258" i="2" s="1"/>
  <c r="J258" i="2"/>
  <c r="I258" i="2"/>
  <c r="Q256" i="2"/>
  <c r="P256" i="2"/>
  <c r="O256" i="2"/>
  <c r="O255" i="2"/>
  <c r="P255" i="2" s="1"/>
  <c r="Q255" i="2" s="1"/>
  <c r="Q254" i="2"/>
  <c r="O253" i="2"/>
  <c r="P253" i="2" s="1"/>
  <c r="Q253" i="2" s="1"/>
  <c r="P252" i="2"/>
  <c r="Q252" i="2" s="1"/>
  <c r="O252" i="2"/>
  <c r="O251" i="2"/>
  <c r="P251" i="2" s="1"/>
  <c r="Q251" i="2" s="1"/>
  <c r="O250" i="2"/>
  <c r="P250" i="2" s="1"/>
  <c r="Q250" i="2" s="1"/>
  <c r="O249" i="2"/>
  <c r="P249" i="2" s="1"/>
  <c r="Q249" i="2" s="1"/>
  <c r="Q248" i="2"/>
  <c r="P238" i="2"/>
  <c r="Q238" i="2" s="1"/>
  <c r="O238" i="2"/>
  <c r="I238" i="2"/>
  <c r="J238" i="2" s="1"/>
  <c r="O237" i="2"/>
  <c r="P237" i="2" s="1"/>
  <c r="J237" i="2"/>
  <c r="I237" i="2"/>
  <c r="O236" i="2"/>
  <c r="P236" i="2" s="1"/>
  <c r="Q236" i="2" s="1"/>
  <c r="J236" i="2"/>
  <c r="I236" i="2"/>
  <c r="O235" i="2"/>
  <c r="P235" i="2" s="1"/>
  <c r="I235" i="2"/>
  <c r="J235" i="2" s="1"/>
  <c r="O234" i="2"/>
  <c r="P234" i="2" s="1"/>
  <c r="Q234" i="2" s="1"/>
  <c r="J234" i="2"/>
  <c r="I234" i="2"/>
  <c r="P233" i="2"/>
  <c r="O233" i="2"/>
  <c r="I233" i="2"/>
  <c r="J233" i="2" s="1"/>
  <c r="Q233" i="2" s="1"/>
  <c r="O232" i="2"/>
  <c r="P232" i="2" s="1"/>
  <c r="I232" i="2"/>
  <c r="J232" i="2" s="1"/>
  <c r="O230" i="2"/>
  <c r="P230" i="2" s="1"/>
  <c r="Q230" i="2" s="1"/>
  <c r="J230" i="2"/>
  <c r="I230" i="2"/>
  <c r="O229" i="2"/>
  <c r="P229" i="2" s="1"/>
  <c r="I229" i="2"/>
  <c r="J229" i="2" s="1"/>
  <c r="O228" i="2"/>
  <c r="P228" i="2" s="1"/>
  <c r="Q228" i="2" s="1"/>
  <c r="I228" i="2"/>
  <c r="J228" i="2" s="1"/>
  <c r="L227" i="2"/>
  <c r="O227" i="2" s="1"/>
  <c r="P227" i="2" s="1"/>
  <c r="Q227" i="2" s="1"/>
  <c r="P226" i="2"/>
  <c r="O226" i="2"/>
  <c r="I226" i="2"/>
  <c r="J226" i="2" s="1"/>
  <c r="O225" i="2"/>
  <c r="P225" i="2" s="1"/>
  <c r="I225" i="2"/>
  <c r="J225" i="2" s="1"/>
  <c r="O223" i="2"/>
  <c r="P223" i="2" s="1"/>
  <c r="I223" i="2"/>
  <c r="J223" i="2" s="1"/>
  <c r="Q222" i="2"/>
  <c r="P222" i="2"/>
  <c r="O222" i="2"/>
  <c r="I222" i="2"/>
  <c r="J222" i="2" s="1"/>
  <c r="O221" i="2"/>
  <c r="P221" i="2" s="1"/>
  <c r="I221" i="2"/>
  <c r="J221" i="2" s="1"/>
  <c r="O220" i="2"/>
  <c r="P220" i="2" s="1"/>
  <c r="Q220" i="2" s="1"/>
  <c r="I220" i="2"/>
  <c r="J220" i="2" s="1"/>
  <c r="P218" i="2"/>
  <c r="Q218" i="2" s="1"/>
  <c r="O218" i="2"/>
  <c r="I218" i="2"/>
  <c r="J218" i="2" s="1"/>
  <c r="O217" i="2"/>
  <c r="P217" i="2" s="1"/>
  <c r="I217" i="2"/>
  <c r="J217" i="2" s="1"/>
  <c r="O216" i="2"/>
  <c r="P216" i="2" s="1"/>
  <c r="Q216" i="2" s="1"/>
  <c r="J216" i="2"/>
  <c r="I216" i="2"/>
  <c r="O215" i="2"/>
  <c r="P215" i="2" s="1"/>
  <c r="I215" i="2"/>
  <c r="J215" i="2" s="1"/>
  <c r="O213" i="2"/>
  <c r="P213" i="2" s="1"/>
  <c r="Q213" i="2" s="1"/>
  <c r="O212" i="2"/>
  <c r="P212" i="2" s="1"/>
  <c r="Q212" i="2" s="1"/>
  <c r="K212" i="2"/>
  <c r="O211" i="2"/>
  <c r="P211" i="2" s="1"/>
  <c r="Q211" i="2" s="1"/>
  <c r="O210" i="2"/>
  <c r="P210" i="2" s="1"/>
  <c r="Q210" i="2" s="1"/>
  <c r="K210" i="2"/>
  <c r="O209" i="2"/>
  <c r="P209" i="2" s="1"/>
  <c r="Q209" i="2" s="1"/>
  <c r="K209" i="2"/>
  <c r="O208" i="2"/>
  <c r="P208" i="2" s="1"/>
  <c r="Q208" i="2" s="1"/>
  <c r="K208" i="2"/>
  <c r="O206" i="2"/>
  <c r="K206" i="2"/>
  <c r="O205" i="2"/>
  <c r="P205" i="2" s="1"/>
  <c r="Q205" i="2" s="1"/>
  <c r="K205" i="2"/>
  <c r="O204" i="2"/>
  <c r="P204" i="2" s="1"/>
  <c r="Q204" i="2" s="1"/>
  <c r="K204" i="2"/>
  <c r="O202" i="2"/>
  <c r="P202" i="2" s="1"/>
  <c r="Q202" i="2" s="1"/>
  <c r="O201" i="2"/>
  <c r="P201" i="2" s="1"/>
  <c r="Q201" i="2" s="1"/>
  <c r="P200" i="2"/>
  <c r="Q200" i="2" s="1"/>
  <c r="O200" i="2"/>
  <c r="K200" i="2"/>
  <c r="O199" i="2"/>
  <c r="P199" i="2" s="1"/>
  <c r="Q199" i="2" s="1"/>
  <c r="K199" i="2"/>
  <c r="I199" i="2"/>
  <c r="J199" i="2" s="1"/>
  <c r="E199" i="2"/>
  <c r="O198" i="2"/>
  <c r="P198" i="2" s="1"/>
  <c r="I198" i="2"/>
  <c r="J198" i="2" s="1"/>
  <c r="O197" i="2"/>
  <c r="K197" i="2"/>
  <c r="I197" i="2"/>
  <c r="J197" i="2" s="1"/>
  <c r="E197" i="2"/>
  <c r="O196" i="2"/>
  <c r="P196" i="2" s="1"/>
  <c r="Q196" i="2" s="1"/>
  <c r="K196" i="2"/>
  <c r="I196" i="2"/>
  <c r="J196" i="2" s="1"/>
  <c r="E196" i="2"/>
  <c r="O193" i="2"/>
  <c r="P193" i="2" s="1"/>
  <c r="I193" i="2"/>
  <c r="J193" i="2" s="1"/>
  <c r="J185" i="2"/>
  <c r="O183" i="2"/>
  <c r="P183" i="2" s="1"/>
  <c r="I183" i="2"/>
  <c r="J183" i="2" s="1"/>
  <c r="O182" i="2"/>
  <c r="K182" i="2"/>
  <c r="J182" i="2"/>
  <c r="I182" i="2"/>
  <c r="E182" i="2"/>
  <c r="O181" i="2"/>
  <c r="P181" i="2" s="1"/>
  <c r="K181" i="2"/>
  <c r="I181" i="2"/>
  <c r="E181" i="2"/>
  <c r="O180" i="2"/>
  <c r="K180" i="2"/>
  <c r="J180" i="2"/>
  <c r="I180" i="2"/>
  <c r="E180" i="2"/>
  <c r="O179" i="2"/>
  <c r="P179" i="2" s="1"/>
  <c r="K179" i="2"/>
  <c r="I179" i="2"/>
  <c r="J179" i="2" s="1"/>
  <c r="E179" i="2"/>
  <c r="Q178" i="2"/>
  <c r="O176" i="2"/>
  <c r="P176" i="2" s="1"/>
  <c r="Q176" i="2" s="1"/>
  <c r="K176" i="2"/>
  <c r="L175" i="2"/>
  <c r="O175" i="2" s="1"/>
  <c r="K175" i="2"/>
  <c r="O174" i="2"/>
  <c r="P174" i="2" s="1"/>
  <c r="Q174" i="2" s="1"/>
  <c r="K174" i="2"/>
  <c r="O173" i="2"/>
  <c r="P173" i="2" s="1"/>
  <c r="Q173" i="2" s="1"/>
  <c r="K173" i="2"/>
  <c r="O172" i="2"/>
  <c r="P172" i="2" s="1"/>
  <c r="I172" i="2"/>
  <c r="J172" i="2" s="1"/>
  <c r="Q171" i="2"/>
  <c r="P171" i="2"/>
  <c r="O171" i="2"/>
  <c r="K171" i="2"/>
  <c r="I171" i="2"/>
  <c r="J171" i="2" s="1"/>
  <c r="E171" i="2"/>
  <c r="O170" i="2"/>
  <c r="P170" i="2" s="1"/>
  <c r="I170" i="2"/>
  <c r="J170" i="2" s="1"/>
  <c r="P169" i="2"/>
  <c r="Q169" i="2" s="1"/>
  <c r="O169" i="2"/>
  <c r="I169" i="2"/>
  <c r="J169" i="2" s="1"/>
  <c r="O168" i="2"/>
  <c r="P168" i="2" s="1"/>
  <c r="I168" i="2"/>
  <c r="J168" i="2" s="1"/>
  <c r="O167" i="2"/>
  <c r="P167" i="2" s="1"/>
  <c r="Q167" i="2" s="1"/>
  <c r="J167" i="2"/>
  <c r="I167" i="2"/>
  <c r="O166" i="2"/>
  <c r="P166" i="2" s="1"/>
  <c r="I166" i="2"/>
  <c r="J166" i="2" s="1"/>
  <c r="O165" i="2"/>
  <c r="P165" i="2" s="1"/>
  <c r="I165" i="2"/>
  <c r="J165" i="2" s="1"/>
  <c r="O164" i="2"/>
  <c r="P164" i="2" s="1"/>
  <c r="Q164" i="2" s="1"/>
  <c r="I164" i="2"/>
  <c r="J164" i="2" s="1"/>
  <c r="O163" i="2"/>
  <c r="P163" i="2" s="1"/>
  <c r="I163" i="2"/>
  <c r="J163" i="2" s="1"/>
  <c r="O156" i="2"/>
  <c r="P156" i="2" s="1"/>
  <c r="Q156" i="2" s="1"/>
  <c r="I156" i="2"/>
  <c r="J156" i="2" s="1"/>
  <c r="O155" i="2"/>
  <c r="P155" i="2" s="1"/>
  <c r="I155" i="2"/>
  <c r="J155" i="2" s="1"/>
  <c r="P154" i="2"/>
  <c r="Q154" i="2" s="1"/>
  <c r="O154" i="2"/>
  <c r="I154" i="2"/>
  <c r="J154" i="2" s="1"/>
  <c r="P153" i="2"/>
  <c r="O153" i="2"/>
  <c r="I153" i="2"/>
  <c r="J153" i="2" s="1"/>
  <c r="O152" i="2"/>
  <c r="P152" i="2" s="1"/>
  <c r="I152" i="2"/>
  <c r="J152" i="2" s="1"/>
  <c r="P151" i="2"/>
  <c r="Q151" i="2" s="1"/>
  <c r="O151" i="2"/>
  <c r="J151" i="2"/>
  <c r="I151" i="2"/>
  <c r="O150" i="2"/>
  <c r="P150" i="2" s="1"/>
  <c r="I150" i="2"/>
  <c r="J150" i="2" s="1"/>
  <c r="O149" i="2"/>
  <c r="P149" i="2" s="1"/>
  <c r="Q149" i="2" s="1"/>
  <c r="J149" i="2"/>
  <c r="I149" i="2"/>
  <c r="O148" i="2"/>
  <c r="P148" i="2" s="1"/>
  <c r="I148" i="2"/>
  <c r="J148" i="2" s="1"/>
  <c r="O147" i="2"/>
  <c r="P147" i="2" s="1"/>
  <c r="Q147" i="2" s="1"/>
  <c r="I147" i="2"/>
  <c r="J147" i="2" s="1"/>
  <c r="O146" i="2"/>
  <c r="P146" i="2" s="1"/>
  <c r="I146" i="2"/>
  <c r="J146" i="2" s="1"/>
  <c r="O145" i="2"/>
  <c r="P145" i="2" s="1"/>
  <c r="I145" i="2"/>
  <c r="J145" i="2" s="1"/>
  <c r="Q144" i="2"/>
  <c r="P143" i="2"/>
  <c r="Q143" i="2" s="1"/>
  <c r="O143" i="2"/>
  <c r="J143" i="2"/>
  <c r="I143" i="2"/>
  <c r="O142" i="2"/>
  <c r="P142" i="2" s="1"/>
  <c r="I142" i="2"/>
  <c r="J142" i="2" s="1"/>
  <c r="O141" i="2"/>
  <c r="P141" i="2" s="1"/>
  <c r="Q141" i="2" s="1"/>
  <c r="J141" i="2"/>
  <c r="I141" i="2"/>
  <c r="O140" i="2"/>
  <c r="P140" i="2" s="1"/>
  <c r="I140" i="2"/>
  <c r="J140" i="2" s="1"/>
  <c r="O139" i="2"/>
  <c r="P139" i="2" s="1"/>
  <c r="J139" i="2"/>
  <c r="I139" i="2"/>
  <c r="Q138" i="2"/>
  <c r="P137" i="2"/>
  <c r="O137" i="2"/>
  <c r="I137" i="2"/>
  <c r="J137" i="2" s="1"/>
  <c r="O136" i="2"/>
  <c r="P136" i="2" s="1"/>
  <c r="I136" i="2"/>
  <c r="J136" i="2" s="1"/>
  <c r="P135" i="2"/>
  <c r="O135" i="2"/>
  <c r="I135" i="2"/>
  <c r="J135" i="2" s="1"/>
  <c r="O134" i="2"/>
  <c r="P134" i="2" s="1"/>
  <c r="Q134" i="2" s="1"/>
  <c r="K134" i="2"/>
  <c r="K135" i="2" s="1"/>
  <c r="I134" i="2"/>
  <c r="J134" i="2" s="1"/>
  <c r="E134" i="2"/>
  <c r="E135" i="2" s="1"/>
  <c r="O133" i="2"/>
  <c r="K133" i="2"/>
  <c r="P133" i="2" s="1"/>
  <c r="I133" i="2"/>
  <c r="E133" i="2"/>
  <c r="P132" i="2"/>
  <c r="Q132" i="2" s="1"/>
  <c r="O132" i="2"/>
  <c r="I132" i="2"/>
  <c r="J132" i="2" s="1"/>
  <c r="P131" i="2"/>
  <c r="O131" i="2"/>
  <c r="I131" i="2"/>
  <c r="J131" i="2" s="1"/>
  <c r="O130" i="2"/>
  <c r="P130" i="2" s="1"/>
  <c r="K130" i="2"/>
  <c r="I130" i="2"/>
  <c r="J130" i="2" s="1"/>
  <c r="E130" i="2"/>
  <c r="O129" i="2"/>
  <c r="K129" i="2"/>
  <c r="P129" i="2" s="1"/>
  <c r="I129" i="2"/>
  <c r="E129" i="2"/>
  <c r="O128" i="2"/>
  <c r="P128" i="2" s="1"/>
  <c r="Q128" i="2" s="1"/>
  <c r="K128" i="2"/>
  <c r="J128" i="2"/>
  <c r="I128" i="2"/>
  <c r="E128" i="2"/>
  <c r="O127" i="2"/>
  <c r="P127" i="2" s="1"/>
  <c r="I127" i="2"/>
  <c r="J127" i="2" s="1"/>
  <c r="O126" i="2"/>
  <c r="K126" i="2"/>
  <c r="J126" i="2"/>
  <c r="I126" i="2"/>
  <c r="E126" i="2"/>
  <c r="O125" i="2"/>
  <c r="K125" i="2"/>
  <c r="J125" i="2"/>
  <c r="I125" i="2"/>
  <c r="E125" i="2"/>
  <c r="O124" i="2"/>
  <c r="P124" i="2" s="1"/>
  <c r="Q124" i="2" s="1"/>
  <c r="K124" i="2"/>
  <c r="I124" i="2"/>
  <c r="E124" i="2"/>
  <c r="J124" i="2" s="1"/>
  <c r="O123" i="2"/>
  <c r="P123" i="2" s="1"/>
  <c r="Q123" i="2" s="1"/>
  <c r="K123" i="2"/>
  <c r="I123" i="2"/>
  <c r="J123" i="2" s="1"/>
  <c r="E123" i="2"/>
  <c r="O122" i="2"/>
  <c r="I122" i="2"/>
  <c r="E122" i="2"/>
  <c r="O121" i="2"/>
  <c r="P121" i="2" s="1"/>
  <c r="Q121" i="2" s="1"/>
  <c r="K121" i="2"/>
  <c r="K122" i="2" s="1"/>
  <c r="J121" i="2"/>
  <c r="I121" i="2"/>
  <c r="E121" i="2"/>
  <c r="O120" i="2"/>
  <c r="K120" i="2"/>
  <c r="I120" i="2"/>
  <c r="E120" i="2"/>
  <c r="P119" i="2"/>
  <c r="O119" i="2"/>
  <c r="K119" i="2"/>
  <c r="I119" i="2"/>
  <c r="O118" i="2"/>
  <c r="P118" i="2" s="1"/>
  <c r="K118" i="2"/>
  <c r="I118" i="2"/>
  <c r="E118" i="2"/>
  <c r="E119" i="2" s="1"/>
  <c r="Q117" i="2"/>
  <c r="O116" i="2"/>
  <c r="P116" i="2" s="1"/>
  <c r="Q116" i="2" s="1"/>
  <c r="K116" i="2"/>
  <c r="I116" i="2"/>
  <c r="J116" i="2" s="1"/>
  <c r="E116" i="2"/>
  <c r="O115" i="2"/>
  <c r="I115" i="2"/>
  <c r="O114" i="2"/>
  <c r="K114" i="2"/>
  <c r="K115" i="2" s="1"/>
  <c r="I114" i="2"/>
  <c r="J114" i="2" s="1"/>
  <c r="E114" i="2"/>
  <c r="E115" i="2" s="1"/>
  <c r="Q113" i="2"/>
  <c r="O112" i="2"/>
  <c r="P112" i="2" s="1"/>
  <c r="Q112" i="2" s="1"/>
  <c r="K112" i="2"/>
  <c r="I112" i="2"/>
  <c r="J112" i="2" s="1"/>
  <c r="E112" i="2"/>
  <c r="O111" i="2"/>
  <c r="P111" i="2" s="1"/>
  <c r="K111" i="2"/>
  <c r="I111" i="2"/>
  <c r="O110" i="2"/>
  <c r="P110" i="2" s="1"/>
  <c r="K110" i="2"/>
  <c r="I110" i="2"/>
  <c r="E110" i="2"/>
  <c r="E111" i="2" s="1"/>
  <c r="Q109" i="2"/>
  <c r="O108" i="2"/>
  <c r="P108" i="2" s="1"/>
  <c r="I108" i="2"/>
  <c r="J108" i="2" s="1"/>
  <c r="P107" i="2"/>
  <c r="O107" i="2"/>
  <c r="I107" i="2"/>
  <c r="J107" i="2" s="1"/>
  <c r="O106" i="2"/>
  <c r="K106" i="2"/>
  <c r="I106" i="2"/>
  <c r="J106" i="2" s="1"/>
  <c r="E106" i="2"/>
  <c r="Q105" i="2"/>
  <c r="Q104" i="2"/>
  <c r="O102" i="2"/>
  <c r="P102" i="2" s="1"/>
  <c r="Q102" i="2" s="1"/>
  <c r="O101" i="2"/>
  <c r="P101" i="2" s="1"/>
  <c r="Q101" i="2" s="1"/>
  <c r="Q100" i="2"/>
  <c r="O99" i="2"/>
  <c r="P99" i="2" s="1"/>
  <c r="Q99" i="2" s="1"/>
  <c r="O98" i="2"/>
  <c r="P98" i="2" s="1"/>
  <c r="Q98" i="2" s="1"/>
  <c r="P97" i="2"/>
  <c r="Q97" i="2" s="1"/>
  <c r="O97" i="2"/>
  <c r="O96" i="2"/>
  <c r="P96" i="2" s="1"/>
  <c r="Q96" i="2" s="1"/>
  <c r="O95" i="2"/>
  <c r="P95" i="2" s="1"/>
  <c r="Q95" i="2" s="1"/>
  <c r="Q94" i="2"/>
  <c r="O93" i="2"/>
  <c r="P93" i="2" s="1"/>
  <c r="I93" i="2"/>
  <c r="J93" i="2" s="1"/>
  <c r="O92" i="2"/>
  <c r="P92" i="2" s="1"/>
  <c r="Q92" i="2" s="1"/>
  <c r="J92" i="2"/>
  <c r="I92" i="2"/>
  <c r="O91" i="2"/>
  <c r="K91" i="2"/>
  <c r="I91" i="2"/>
  <c r="J91" i="2" s="1"/>
  <c r="E91" i="2"/>
  <c r="O90" i="2"/>
  <c r="P90" i="2" s="1"/>
  <c r="Q90" i="2" s="1"/>
  <c r="K90" i="2"/>
  <c r="I90" i="2"/>
  <c r="J90" i="2" s="1"/>
  <c r="E90" i="2"/>
  <c r="O88" i="2"/>
  <c r="P88" i="2" s="1"/>
  <c r="J88" i="2"/>
  <c r="I88" i="2"/>
  <c r="O87" i="2"/>
  <c r="P87" i="2" s="1"/>
  <c r="Q87" i="2" s="1"/>
  <c r="J87" i="2"/>
  <c r="I87" i="2"/>
  <c r="O86" i="2"/>
  <c r="P86" i="2" s="1"/>
  <c r="I86" i="2"/>
  <c r="J86" i="2" s="1"/>
  <c r="O85" i="2"/>
  <c r="P85" i="2" s="1"/>
  <c r="I85" i="2"/>
  <c r="J85" i="2" s="1"/>
  <c r="Q84" i="2"/>
  <c r="L84" i="2"/>
  <c r="O84" i="2" s="1"/>
  <c r="P84" i="2" s="1"/>
  <c r="O83" i="2"/>
  <c r="P83" i="2" s="1"/>
  <c r="Q83" i="2" s="1"/>
  <c r="I83" i="2"/>
  <c r="J83" i="2" s="1"/>
  <c r="O82" i="2"/>
  <c r="P82" i="2" s="1"/>
  <c r="J82" i="2"/>
  <c r="I82" i="2"/>
  <c r="O81" i="2"/>
  <c r="P81" i="2" s="1"/>
  <c r="I81" i="2"/>
  <c r="J81" i="2" s="1"/>
  <c r="P80" i="2"/>
  <c r="Q80" i="2" s="1"/>
  <c r="O80" i="2"/>
  <c r="I80" i="2"/>
  <c r="J80" i="2" s="1"/>
  <c r="O79" i="2"/>
  <c r="P79" i="2" s="1"/>
  <c r="I79" i="2"/>
  <c r="J79" i="2" s="1"/>
  <c r="O78" i="2"/>
  <c r="P78" i="2" s="1"/>
  <c r="Q78" i="2" s="1"/>
  <c r="I78" i="2"/>
  <c r="J78" i="2" s="1"/>
  <c r="O77" i="2"/>
  <c r="P77" i="2" s="1"/>
  <c r="Q77" i="2" s="1"/>
  <c r="I77" i="2"/>
  <c r="J77" i="2" s="1"/>
  <c r="O76" i="2"/>
  <c r="P76" i="2" s="1"/>
  <c r="I76" i="2"/>
  <c r="J76" i="2" s="1"/>
  <c r="O75" i="2"/>
  <c r="P75" i="2" s="1"/>
  <c r="I75" i="2"/>
  <c r="J75" i="2" s="1"/>
  <c r="P73" i="2"/>
  <c r="Q73" i="2" s="1"/>
  <c r="O73" i="2"/>
  <c r="O72" i="2"/>
  <c r="P72" i="2" s="1"/>
  <c r="Q72" i="2" s="1"/>
  <c r="K72" i="2"/>
  <c r="P71" i="2"/>
  <c r="Q71" i="2" s="1"/>
  <c r="O71" i="2"/>
  <c r="K71" i="2"/>
  <c r="J71" i="2"/>
  <c r="I71" i="2"/>
  <c r="E71" i="2"/>
  <c r="O70" i="2"/>
  <c r="P70" i="2" s="1"/>
  <c r="K70" i="2"/>
  <c r="I70" i="2"/>
  <c r="J70" i="2" s="1"/>
  <c r="E70" i="2"/>
  <c r="O69" i="2"/>
  <c r="P69" i="2" s="1"/>
  <c r="Q69" i="2" s="1"/>
  <c r="I69" i="2"/>
  <c r="J69" i="2" s="1"/>
  <c r="O68" i="2"/>
  <c r="K68" i="2"/>
  <c r="I68" i="2"/>
  <c r="J68" i="2" s="1"/>
  <c r="E68" i="2"/>
  <c r="O67" i="2"/>
  <c r="P67" i="2" s="1"/>
  <c r="Q67" i="2" s="1"/>
  <c r="I67" i="2"/>
  <c r="J67" i="2" s="1"/>
  <c r="O66" i="2"/>
  <c r="P66" i="2" s="1"/>
  <c r="I66" i="2"/>
  <c r="J66" i="2" s="1"/>
  <c r="P65" i="2"/>
  <c r="Q65" i="2" s="1"/>
  <c r="O65" i="2"/>
  <c r="K65" i="2"/>
  <c r="J65" i="2"/>
  <c r="I65" i="2"/>
  <c r="E65" i="2"/>
  <c r="O64" i="2"/>
  <c r="K64" i="2"/>
  <c r="I64" i="2"/>
  <c r="E64" i="2"/>
  <c r="P63" i="2"/>
  <c r="Q63" i="2" s="1"/>
  <c r="O63" i="2"/>
  <c r="K63" i="2"/>
  <c r="I63" i="2"/>
  <c r="E63" i="2"/>
  <c r="J63" i="2" s="1"/>
  <c r="O62" i="2"/>
  <c r="K62" i="2"/>
  <c r="I62" i="2"/>
  <c r="E62" i="2"/>
  <c r="O61" i="2"/>
  <c r="P61" i="2" s="1"/>
  <c r="K61" i="2"/>
  <c r="I61" i="2"/>
  <c r="E61" i="2"/>
  <c r="O60" i="2"/>
  <c r="K60" i="2"/>
  <c r="I60" i="2"/>
  <c r="J60" i="2" s="1"/>
  <c r="E60" i="2"/>
  <c r="O59" i="2"/>
  <c r="K59" i="2"/>
  <c r="J59" i="2"/>
  <c r="I59" i="2"/>
  <c r="E59" i="2"/>
  <c r="O58" i="2"/>
  <c r="K58" i="2"/>
  <c r="I58" i="2"/>
  <c r="J58" i="2" s="1"/>
  <c r="E58" i="2"/>
  <c r="Q57" i="2"/>
  <c r="O56" i="2"/>
  <c r="P56" i="2" s="1"/>
  <c r="K56" i="2"/>
  <c r="I56" i="2"/>
  <c r="J56" i="2" s="1"/>
  <c r="E56" i="2"/>
  <c r="O55" i="2"/>
  <c r="P55" i="2" s="1"/>
  <c r="I55" i="2"/>
  <c r="E55" i="2"/>
  <c r="O54" i="2"/>
  <c r="P54" i="2" s="1"/>
  <c r="Q54" i="2" s="1"/>
  <c r="K54" i="2"/>
  <c r="K55" i="2" s="1"/>
  <c r="I54" i="2"/>
  <c r="J54" i="2" s="1"/>
  <c r="E54" i="2"/>
  <c r="Q53" i="2"/>
  <c r="O52" i="2"/>
  <c r="K52" i="2"/>
  <c r="J52" i="2"/>
  <c r="I52" i="2"/>
  <c r="E52" i="2"/>
  <c r="O51" i="2"/>
  <c r="P51" i="2" s="1"/>
  <c r="Q51" i="2" s="1"/>
  <c r="I51" i="2"/>
  <c r="O50" i="2"/>
  <c r="P50" i="2" s="1"/>
  <c r="K50" i="2"/>
  <c r="K51" i="2" s="1"/>
  <c r="J50" i="2"/>
  <c r="I50" i="2"/>
  <c r="E50" i="2"/>
  <c r="E51" i="2" s="1"/>
  <c r="J51" i="2" s="1"/>
  <c r="Q49" i="2"/>
  <c r="O48" i="2"/>
  <c r="K48" i="2"/>
  <c r="P48" i="2" s="1"/>
  <c r="J48" i="2"/>
  <c r="I48" i="2"/>
  <c r="E48" i="2"/>
  <c r="O47" i="2"/>
  <c r="J47" i="2"/>
  <c r="I47" i="2"/>
  <c r="O46" i="2"/>
  <c r="P46" i="2" s="1"/>
  <c r="Q46" i="2" s="1"/>
  <c r="K46" i="2"/>
  <c r="K47" i="2" s="1"/>
  <c r="J46" i="2"/>
  <c r="I46" i="2"/>
  <c r="E46" i="2"/>
  <c r="E47" i="2" s="1"/>
  <c r="Q45" i="2"/>
  <c r="P44" i="2"/>
  <c r="O44" i="2"/>
  <c r="K44" i="2"/>
  <c r="I44" i="2"/>
  <c r="E44" i="2"/>
  <c r="P43" i="2"/>
  <c r="O43" i="2"/>
  <c r="K43" i="2"/>
  <c r="I43" i="2"/>
  <c r="O42" i="2"/>
  <c r="K42" i="2"/>
  <c r="P42" i="2" s="1"/>
  <c r="I42" i="2"/>
  <c r="J42" i="2" s="1"/>
  <c r="E42" i="2"/>
  <c r="E43" i="2" s="1"/>
  <c r="Q41" i="2"/>
  <c r="O40" i="2"/>
  <c r="P40" i="2" s="1"/>
  <c r="I40" i="2"/>
  <c r="O39" i="2"/>
  <c r="P39" i="2" s="1"/>
  <c r="Q39" i="2" s="1"/>
  <c r="K39" i="2"/>
  <c r="K40" i="2" s="1"/>
  <c r="I39" i="2"/>
  <c r="J39" i="2" s="1"/>
  <c r="E39" i="2"/>
  <c r="E40" i="2" s="1"/>
  <c r="P38" i="2"/>
  <c r="O38" i="2"/>
  <c r="K38" i="2"/>
  <c r="I38" i="2"/>
  <c r="E38" i="2"/>
  <c r="O37" i="2"/>
  <c r="K37" i="2"/>
  <c r="I37" i="2"/>
  <c r="J37" i="2" s="1"/>
  <c r="E37" i="2"/>
  <c r="P36" i="2"/>
  <c r="O36" i="2"/>
  <c r="I36" i="2"/>
  <c r="J36" i="2" s="1"/>
  <c r="O35" i="2"/>
  <c r="P35" i="2" s="1"/>
  <c r="I35" i="2"/>
  <c r="J35" i="2" s="1"/>
  <c r="P34" i="2"/>
  <c r="O34" i="2"/>
  <c r="K34" i="2"/>
  <c r="I34" i="2"/>
  <c r="E34" i="2"/>
  <c r="O33" i="2"/>
  <c r="P33" i="2" s="1"/>
  <c r="K33" i="2"/>
  <c r="I33" i="2"/>
  <c r="E33" i="2"/>
  <c r="O30" i="2"/>
  <c r="P30" i="2" s="1"/>
  <c r="Q30" i="2" s="1"/>
  <c r="O29" i="2"/>
  <c r="P29" i="2" s="1"/>
  <c r="Q29" i="2" s="1"/>
  <c r="K29" i="2"/>
  <c r="P28" i="2"/>
  <c r="Q28" i="2" s="1"/>
  <c r="O28" i="2"/>
  <c r="K28" i="2"/>
  <c r="O27" i="2"/>
  <c r="K27" i="2"/>
  <c r="O26" i="2"/>
  <c r="K26" i="2"/>
  <c r="P25" i="2"/>
  <c r="Q25" i="2" s="1"/>
  <c r="O25" i="2"/>
  <c r="O24" i="2"/>
  <c r="K24" i="2"/>
  <c r="K25" i="2" s="1"/>
  <c r="O22" i="2"/>
  <c r="P22" i="2" s="1"/>
  <c r="Q22" i="2" s="1"/>
  <c r="O21" i="2"/>
  <c r="P21" i="2" s="1"/>
  <c r="Q21" i="2" s="1"/>
  <c r="O20" i="2"/>
  <c r="K20" i="2"/>
  <c r="P20" i="2" s="1"/>
  <c r="Q20" i="2" s="1"/>
  <c r="J20" i="2"/>
  <c r="I20" i="2"/>
  <c r="E20" i="2"/>
  <c r="O19" i="2"/>
  <c r="I19" i="2"/>
  <c r="O18" i="2"/>
  <c r="P18" i="2" s="1"/>
  <c r="I18" i="2"/>
  <c r="J18" i="2" s="1"/>
  <c r="O17" i="2"/>
  <c r="P17" i="2" s="1"/>
  <c r="Q17" i="2" s="1"/>
  <c r="K17" i="2"/>
  <c r="J17" i="2"/>
  <c r="I17" i="2"/>
  <c r="E17" i="2"/>
  <c r="O16" i="2"/>
  <c r="K16" i="2"/>
  <c r="K19" i="2" s="1"/>
  <c r="I16" i="2"/>
  <c r="J16" i="2" s="1"/>
  <c r="E16" i="2"/>
  <c r="E19" i="2" s="1"/>
  <c r="J19" i="2" s="1"/>
  <c r="O12" i="2"/>
  <c r="P12" i="2" s="1"/>
  <c r="Q12" i="2" s="1"/>
  <c r="I12" i="2"/>
  <c r="J12" i="2" s="1"/>
  <c r="O11" i="2"/>
  <c r="P11" i="2" s="1"/>
  <c r="Q11" i="2" s="1"/>
  <c r="J11" i="2"/>
  <c r="I11" i="2"/>
  <c r="O10" i="2"/>
  <c r="P10" i="2" s="1"/>
  <c r="I10" i="2"/>
  <c r="J10" i="2" s="1"/>
  <c r="O9" i="2"/>
  <c r="P9" i="2" s="1"/>
  <c r="I9" i="2"/>
  <c r="J9" i="2" s="1"/>
  <c r="Q40" i="2" l="1"/>
  <c r="J122" i="2"/>
  <c r="Q10" i="2"/>
  <c r="P13" i="2"/>
  <c r="Q163" i="2"/>
  <c r="P37" i="2"/>
  <c r="Q37" i="2" s="1"/>
  <c r="Q88" i="2"/>
  <c r="Q108" i="2"/>
  <c r="J120" i="2"/>
  <c r="Q172" i="2"/>
  <c r="J64" i="2"/>
  <c r="Q139" i="2"/>
  <c r="Q280" i="2"/>
  <c r="Q75" i="2"/>
  <c r="J62" i="2"/>
  <c r="Q145" i="2"/>
  <c r="P182" i="2"/>
  <c r="Q182" i="2" s="1"/>
  <c r="Q170" i="2"/>
  <c r="J111" i="2"/>
  <c r="J133" i="2"/>
  <c r="P175" i="2"/>
  <c r="Q175" i="2" s="1"/>
  <c r="P106" i="2"/>
  <c r="Q127" i="2"/>
  <c r="Q130" i="2"/>
  <c r="P206" i="2"/>
  <c r="Q206" i="2" s="1"/>
  <c r="Q93" i="2"/>
  <c r="Q179" i="2"/>
  <c r="Q85" i="2"/>
  <c r="Q135" i="2"/>
  <c r="J31" i="2"/>
  <c r="Q56" i="2"/>
  <c r="P26" i="2"/>
  <c r="Q26" i="2" s="1"/>
  <c r="Q111" i="2"/>
  <c r="Q193" i="2"/>
  <c r="Q148" i="2"/>
  <c r="Q165" i="2"/>
  <c r="Q223" i="2"/>
  <c r="Q237" i="2"/>
  <c r="P59" i="2"/>
  <c r="Q59" i="2" s="1"/>
  <c r="Q66" i="2"/>
  <c r="Q81" i="2"/>
  <c r="Q215" i="2"/>
  <c r="J13" i="2"/>
  <c r="Q35" i="2"/>
  <c r="J44" i="2"/>
  <c r="Q44" i="2" s="1"/>
  <c r="Q50" i="2"/>
  <c r="Q133" i="2"/>
  <c r="Q152" i="2"/>
  <c r="Q166" i="2"/>
  <c r="P180" i="2"/>
  <c r="Q180" i="2" s="1"/>
  <c r="Q225" i="2"/>
  <c r="Q260" i="2"/>
  <c r="J33" i="2"/>
  <c r="P47" i="2"/>
  <c r="Q47" i="2" s="1"/>
  <c r="Q70" i="2"/>
  <c r="J118" i="2"/>
  <c r="Q118" i="2" s="1"/>
  <c r="P125" i="2"/>
  <c r="Q125" i="2" s="1"/>
  <c r="Q136" i="2"/>
  <c r="P197" i="2"/>
  <c r="Q197" i="2" s="1"/>
  <c r="Q18" i="2"/>
  <c r="P62" i="2"/>
  <c r="Q62" i="2" s="1"/>
  <c r="Q82" i="2"/>
  <c r="Q36" i="2"/>
  <c r="P114" i="2"/>
  <c r="Q114" i="2" s="1"/>
  <c r="Q198" i="2"/>
  <c r="Q226" i="2"/>
  <c r="Q33" i="2"/>
  <c r="P60" i="2"/>
  <c r="Q60" i="2" s="1"/>
  <c r="Q79" i="2"/>
  <c r="J115" i="2"/>
  <c r="J119" i="2"/>
  <c r="Q119" i="2" s="1"/>
  <c r="Q137" i="2"/>
  <c r="Q235" i="2"/>
  <c r="P16" i="2"/>
  <c r="Q48" i="2"/>
  <c r="P115" i="2"/>
  <c r="Q146" i="2"/>
  <c r="J184" i="2"/>
  <c r="P19" i="2"/>
  <c r="Q19" i="2" s="1"/>
  <c r="J34" i="2"/>
  <c r="Q34" i="2" s="1"/>
  <c r="J43" i="2"/>
  <c r="Q43" i="2" s="1"/>
  <c r="J55" i="2"/>
  <c r="Q55" i="2" s="1"/>
  <c r="P58" i="2"/>
  <c r="Q58" i="2" s="1"/>
  <c r="P68" i="2"/>
  <c r="Q68" i="2" s="1"/>
  <c r="P126" i="2"/>
  <c r="Q126" i="2" s="1"/>
  <c r="Q142" i="2"/>
  <c r="Q232" i="2"/>
  <c r="Q42" i="2"/>
  <c r="P52" i="2"/>
  <c r="Q52" i="2" s="1"/>
  <c r="P91" i="2"/>
  <c r="Q91" i="2" s="1"/>
  <c r="J110" i="2"/>
  <c r="J177" i="2" s="1"/>
  <c r="P122" i="2"/>
  <c r="Q122" i="2" s="1"/>
  <c r="Q155" i="2"/>
  <c r="P64" i="2"/>
  <c r="Q64" i="2" s="1"/>
  <c r="Q221" i="2"/>
  <c r="P120" i="2"/>
  <c r="Q120" i="2" s="1"/>
  <c r="J129" i="2"/>
  <c r="Q131" i="2"/>
  <c r="Q168" i="2"/>
  <c r="Q183" i="2"/>
  <c r="Q217" i="2"/>
  <c r="Q229" i="2"/>
  <c r="Q274" i="2"/>
  <c r="J276" i="2"/>
  <c r="Q276" i="2" s="1"/>
  <c r="P27" i="2"/>
  <c r="Q27" i="2" s="1"/>
  <c r="Q76" i="2"/>
  <c r="Q9" i="2"/>
  <c r="P24" i="2"/>
  <c r="Q24" i="2" s="1"/>
  <c r="J40" i="2"/>
  <c r="Q129" i="2"/>
  <c r="Q140" i="2"/>
  <c r="Q150" i="2"/>
  <c r="J181" i="2"/>
  <c r="Q181" i="2" s="1"/>
  <c r="J38" i="2"/>
  <c r="Q38" i="2" s="1"/>
  <c r="J61" i="2"/>
  <c r="Q61" i="2" s="1"/>
  <c r="Q86" i="2"/>
  <c r="Q107" i="2"/>
  <c r="Q153" i="2"/>
  <c r="J103" i="2" l="1"/>
  <c r="Q110" i="2"/>
  <c r="P184" i="2"/>
  <c r="Q115" i="2"/>
  <c r="Q106" i="2"/>
  <c r="P177" i="2"/>
  <c r="P31" i="2"/>
  <c r="Q16" i="2"/>
  <c r="Q31" i="2" s="1"/>
  <c r="P103" i="2"/>
  <c r="G244" i="1" l="1"/>
  <c r="E242" i="1"/>
  <c r="G242" i="1" s="1"/>
  <c r="E241" i="1"/>
  <c r="G241" i="1" s="1"/>
  <c r="F240" i="1"/>
  <c r="E240" i="1"/>
  <c r="G240" i="1" s="1"/>
  <c r="E238" i="1"/>
  <c r="E239" i="1" s="1"/>
  <c r="E237" i="1"/>
  <c r="F236" i="1"/>
  <c r="E236" i="1"/>
  <c r="G236" i="1" s="1"/>
  <c r="G235" i="1"/>
  <c r="E235" i="1"/>
  <c r="E233" i="1"/>
  <c r="E234" i="1" s="1"/>
  <c r="G234" i="1" s="1"/>
  <c r="G230" i="1"/>
  <c r="G229" i="1"/>
  <c r="G228" i="1"/>
  <c r="G227" i="1"/>
  <c r="G226" i="1"/>
  <c r="G225" i="1"/>
  <c r="E225" i="1"/>
  <c r="E224" i="1"/>
  <c r="G224" i="1" s="1"/>
  <c r="G223" i="1"/>
  <c r="E222" i="1"/>
  <c r="G222" i="1" s="1"/>
  <c r="E221" i="1"/>
  <c r="G221" i="1" s="1"/>
  <c r="E220" i="1"/>
  <c r="G220" i="1" s="1"/>
  <c r="G219" i="1"/>
  <c r="E219" i="1"/>
  <c r="G218" i="1"/>
  <c r="E216" i="1"/>
  <c r="G215" i="1"/>
  <c r="F214" i="1"/>
  <c r="E214" i="1"/>
  <c r="G214" i="1" s="1"/>
  <c r="E213" i="1"/>
  <c r="E212" i="1"/>
  <c r="G212" i="1" s="1"/>
  <c r="F211" i="1"/>
  <c r="F213" i="1" s="1"/>
  <c r="E211" i="1"/>
  <c r="G211" i="1" s="1"/>
  <c r="E207" i="1"/>
  <c r="E208" i="1" s="1"/>
  <c r="G203" i="1"/>
  <c r="G202" i="1"/>
  <c r="G201" i="1"/>
  <c r="G200" i="1"/>
  <c r="G199" i="1"/>
  <c r="G198" i="1"/>
  <c r="G204" i="1" s="1"/>
  <c r="G197" i="1"/>
  <c r="G196" i="1"/>
  <c r="G195" i="1"/>
  <c r="G194" i="1"/>
  <c r="G189" i="1"/>
  <c r="G188" i="1"/>
  <c r="E187" i="1"/>
  <c r="G187" i="1" s="1"/>
  <c r="G186" i="1"/>
  <c r="E186" i="1"/>
  <c r="G185" i="1"/>
  <c r="G184" i="1"/>
  <c r="G183" i="1"/>
  <c r="G182" i="1"/>
  <c r="G181" i="1"/>
  <c r="G180" i="1"/>
  <c r="E179" i="1"/>
  <c r="G179" i="1" s="1"/>
  <c r="G178" i="1"/>
  <c r="G177" i="1"/>
  <c r="G176" i="1"/>
  <c r="G175" i="1"/>
  <c r="G174" i="1"/>
  <c r="E173" i="1"/>
  <c r="G173" i="1" s="1"/>
  <c r="F172" i="1"/>
  <c r="G172" i="1" s="1"/>
  <c r="F171" i="1"/>
  <c r="G171" i="1" s="1"/>
  <c r="G170" i="1"/>
  <c r="G169" i="1"/>
  <c r="G168" i="1"/>
  <c r="G167" i="1"/>
  <c r="G166" i="1"/>
  <c r="E166" i="1"/>
  <c r="G164" i="1"/>
  <c r="G163" i="1"/>
  <c r="G162" i="1"/>
  <c r="E161" i="1"/>
  <c r="G161" i="1" s="1"/>
  <c r="G160" i="1"/>
  <c r="G159" i="1"/>
  <c r="E159" i="1"/>
  <c r="E157" i="1"/>
  <c r="G157" i="1" s="1"/>
  <c r="E156" i="1"/>
  <c r="G156" i="1" s="1"/>
  <c r="E155" i="1"/>
  <c r="G155" i="1" s="1"/>
  <c r="E154" i="1"/>
  <c r="G154" i="1" s="1"/>
  <c r="G153" i="1"/>
  <c r="E152" i="1"/>
  <c r="G152" i="1" s="1"/>
  <c r="G151" i="1"/>
  <c r="G150" i="1"/>
  <c r="E149" i="1"/>
  <c r="G149" i="1" s="1"/>
  <c r="G148" i="1"/>
  <c r="G147" i="1"/>
  <c r="E145" i="1"/>
  <c r="G145" i="1" s="1"/>
  <c r="E144" i="1"/>
  <c r="E140" i="1"/>
  <c r="G140" i="1" s="1"/>
  <c r="F139" i="1"/>
  <c r="E139" i="1"/>
  <c r="G139" i="1" s="1"/>
  <c r="F138" i="1"/>
  <c r="E138" i="1"/>
  <c r="G138" i="1" s="1"/>
  <c r="G137" i="1"/>
  <c r="F137" i="1"/>
  <c r="E137" i="1"/>
  <c r="F136" i="1"/>
  <c r="F212" i="1" s="1"/>
  <c r="E136" i="1"/>
  <c r="G136" i="1" s="1"/>
  <c r="G131" i="1"/>
  <c r="G130" i="1"/>
  <c r="G129" i="1"/>
  <c r="G128" i="1"/>
  <c r="G127" i="1"/>
  <c r="G126" i="1"/>
  <c r="E125" i="1"/>
  <c r="G125" i="1" s="1"/>
  <c r="G124" i="1"/>
  <c r="E121" i="1"/>
  <c r="G121" i="1" s="1"/>
  <c r="E120" i="1"/>
  <c r="G120" i="1" s="1"/>
  <c r="G119" i="1"/>
  <c r="E119" i="1"/>
  <c r="E118" i="1"/>
  <c r="G118" i="1" s="1"/>
  <c r="G117" i="1"/>
  <c r="G116" i="1"/>
  <c r="E115" i="1"/>
  <c r="F114" i="1"/>
  <c r="F115" i="1" s="1"/>
  <c r="E114" i="1"/>
  <c r="G114" i="1" s="1"/>
  <c r="G109" i="1"/>
  <c r="G108" i="1"/>
  <c r="G107" i="1"/>
  <c r="G106" i="1"/>
  <c r="G105" i="1"/>
  <c r="G104" i="1"/>
  <c r="G103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F85" i="1"/>
  <c r="G85" i="1" s="1"/>
  <c r="F84" i="1"/>
  <c r="G84" i="1" s="1"/>
  <c r="F83" i="1"/>
  <c r="G83" i="1" s="1"/>
  <c r="G82" i="1"/>
  <c r="F81" i="1"/>
  <c r="G81" i="1" s="1"/>
  <c r="G80" i="1"/>
  <c r="G79" i="1"/>
  <c r="F77" i="1"/>
  <c r="F165" i="1" s="1"/>
  <c r="F222" i="1" s="1"/>
  <c r="G76" i="1"/>
  <c r="G75" i="1"/>
  <c r="E74" i="1"/>
  <c r="G74" i="1" s="1"/>
  <c r="E72" i="1"/>
  <c r="G72" i="1" s="1"/>
  <c r="E71" i="1"/>
  <c r="G71" i="1" s="1"/>
  <c r="G70" i="1"/>
  <c r="E70" i="1"/>
  <c r="G69" i="1"/>
  <c r="E68" i="1"/>
  <c r="G68" i="1" s="1"/>
  <c r="E67" i="1"/>
  <c r="G67" i="1" s="1"/>
  <c r="E66" i="1"/>
  <c r="G66" i="1" s="1"/>
  <c r="E65" i="1"/>
  <c r="G65" i="1" s="1"/>
  <c r="G64" i="1"/>
  <c r="E64" i="1"/>
  <c r="G63" i="1"/>
  <c r="E63" i="1"/>
  <c r="E62" i="1"/>
  <c r="E77" i="1" s="1"/>
  <c r="G61" i="1"/>
  <c r="G60" i="1"/>
  <c r="F59" i="1"/>
  <c r="F146" i="1" s="1"/>
  <c r="E59" i="1"/>
  <c r="G59" i="1" s="1"/>
  <c r="F58" i="1"/>
  <c r="F145" i="1" s="1"/>
  <c r="F217" i="1" s="1"/>
  <c r="F239" i="1" s="1"/>
  <c r="E58" i="1"/>
  <c r="F57" i="1"/>
  <c r="F144" i="1" s="1"/>
  <c r="E57" i="1"/>
  <c r="G57" i="1" s="1"/>
  <c r="G53" i="1"/>
  <c r="E52" i="1"/>
  <c r="G52" i="1" s="1"/>
  <c r="E51" i="1"/>
  <c r="G51" i="1" s="1"/>
  <c r="E50" i="1"/>
  <c r="G50" i="1" s="1"/>
  <c r="G49" i="1"/>
  <c r="E49" i="1"/>
  <c r="E47" i="1"/>
  <c r="G47" i="1" s="1"/>
  <c r="G42" i="1"/>
  <c r="G41" i="1"/>
  <c r="G40" i="1"/>
  <c r="G39" i="1"/>
  <c r="G38" i="1"/>
  <c r="G37" i="1"/>
  <c r="E36" i="1"/>
  <c r="G36" i="1" s="1"/>
  <c r="G35" i="1"/>
  <c r="G34" i="1"/>
  <c r="E33" i="1"/>
  <c r="G33" i="1" s="1"/>
  <c r="E32" i="1"/>
  <c r="G32" i="1" s="1"/>
  <c r="G31" i="1"/>
  <c r="G30" i="1"/>
  <c r="E30" i="1"/>
  <c r="G29" i="1"/>
  <c r="E29" i="1"/>
  <c r="E28" i="1"/>
  <c r="G28" i="1" s="1"/>
  <c r="E27" i="1"/>
  <c r="G27" i="1" s="1"/>
  <c r="E26" i="1"/>
  <c r="G26" i="1" s="1"/>
  <c r="E25" i="1"/>
  <c r="G25" i="1" s="1"/>
  <c r="G24" i="1"/>
  <c r="G23" i="1"/>
  <c r="G22" i="1"/>
  <c r="E22" i="1"/>
  <c r="G17" i="1"/>
  <c r="G16" i="1"/>
  <c r="G15" i="1"/>
  <c r="G14" i="1"/>
  <c r="G13" i="1"/>
  <c r="G18" i="1" s="1"/>
  <c r="G11" i="1"/>
  <c r="E10" i="1"/>
  <c r="E209" i="1" l="1"/>
  <c r="G208" i="1"/>
  <c r="G213" i="1"/>
  <c r="F237" i="1"/>
  <c r="G216" i="1"/>
  <c r="G237" i="1"/>
  <c r="E243" i="1"/>
  <c r="G243" i="1" s="1"/>
  <c r="G239" i="1"/>
  <c r="E43" i="1"/>
  <c r="G43" i="1" s="1"/>
  <c r="G44" i="1" s="1"/>
  <c r="E99" i="1"/>
  <c r="G99" i="1" s="1"/>
  <c r="G77" i="1"/>
  <c r="G141" i="1"/>
  <c r="G144" i="1"/>
  <c r="F216" i="1"/>
  <c r="F238" i="1" s="1"/>
  <c r="G115" i="1"/>
  <c r="G58" i="1"/>
  <c r="E132" i="1"/>
  <c r="G132" i="1" s="1"/>
  <c r="G134" i="1" s="1"/>
  <c r="E73" i="1"/>
  <c r="E217" i="1"/>
  <c r="G217" i="1" s="1"/>
  <c r="E48" i="1"/>
  <c r="G48" i="1" s="1"/>
  <c r="G54" i="1" s="1"/>
  <c r="G62" i="1"/>
  <c r="G207" i="1"/>
  <c r="G233" i="1"/>
  <c r="E146" i="1"/>
  <c r="G238" i="1"/>
  <c r="G101" i="1" l="1"/>
  <c r="E165" i="1"/>
  <c r="G146" i="1"/>
  <c r="G73" i="1"/>
  <c r="E78" i="1"/>
  <c r="G78" i="1" s="1"/>
  <c r="G245" i="1"/>
  <c r="G209" i="1"/>
  <c r="G231" i="1" s="1"/>
  <c r="E210" i="1"/>
  <c r="G210" i="1" s="1"/>
  <c r="G165" i="1" l="1"/>
  <c r="G191" i="1" s="1"/>
  <c r="E190" i="1"/>
  <c r="G190" i="1" s="1"/>
</calcChain>
</file>

<file path=xl/sharedStrings.xml><?xml version="1.0" encoding="utf-8"?>
<sst xmlns="http://schemas.openxmlformats.org/spreadsheetml/2006/main" count="3985" uniqueCount="1365">
  <si>
    <t xml:space="preserve">  RENCANA ANGGARAN BIAYA RENOVASI </t>
  </si>
  <si>
    <t>PEMILIK PROYEK</t>
  </si>
  <si>
    <t>: IBU EVA</t>
  </si>
  <si>
    <t>PROYEK</t>
  </si>
  <si>
    <t>: Pembangunan Rumah Tinggal</t>
  </si>
  <si>
    <t>LOKASI</t>
  </si>
  <si>
    <t>: AMERIKA A2 NO 23  KOTAWISATA</t>
  </si>
  <si>
    <t xml:space="preserve">TYPE   </t>
  </si>
  <si>
    <t xml:space="preserve">:  </t>
  </si>
  <si>
    <t>NO</t>
  </si>
  <si>
    <t>URAIAN  PEKERJAAN</t>
  </si>
  <si>
    <t>URAIAN RINGKAS</t>
  </si>
  <si>
    <t>SAT.</t>
  </si>
  <si>
    <t xml:space="preserve">VOL </t>
  </si>
  <si>
    <t>HARGA SAT.</t>
  </si>
  <si>
    <t>TOTAL HARGA</t>
  </si>
  <si>
    <t>Rp</t>
  </si>
  <si>
    <t>I.</t>
  </si>
  <si>
    <t>PEKERJAAN DESIGN  :</t>
  </si>
  <si>
    <t>Design Gambar Arsitektur</t>
  </si>
  <si>
    <t xml:space="preserve">Gambar Denah ,Tampak 3 D, Potongan </t>
  </si>
  <si>
    <r>
      <t>M</t>
    </r>
    <r>
      <rPr>
        <vertAlign val="superscript"/>
        <sz val="11"/>
        <color theme="1"/>
        <rFont val="Aptos Narrow"/>
        <family val="2"/>
        <scheme val="minor"/>
      </rPr>
      <t>2</t>
    </r>
  </si>
  <si>
    <t>Sub Total I.</t>
  </si>
  <si>
    <t>II</t>
  </si>
  <si>
    <t>PEKERJAAN PERSIAPAN :</t>
  </si>
  <si>
    <t>Keamanan</t>
  </si>
  <si>
    <t>Selama kerja</t>
  </si>
  <si>
    <t>Bln</t>
  </si>
  <si>
    <t>Pembersihan &amp; buang puing</t>
  </si>
  <si>
    <t>Ls</t>
  </si>
  <si>
    <t xml:space="preserve"> Listrik Kerja</t>
  </si>
  <si>
    <t xml:space="preserve"> Isi Pulsa Listrik</t>
  </si>
  <si>
    <t>Air Kerja</t>
  </si>
  <si>
    <t>Bayar PAM</t>
  </si>
  <si>
    <t>Mobilissai  Alat &amp; Tenaga</t>
  </si>
  <si>
    <t>Sub Total II.</t>
  </si>
  <si>
    <t>III</t>
  </si>
  <si>
    <t>PEKERJAAN SIPIL</t>
  </si>
  <si>
    <t>III.1</t>
  </si>
  <si>
    <t>LANTAI 1</t>
  </si>
  <si>
    <t>a</t>
  </si>
  <si>
    <t>PEKERJAAN BONGKARAN</t>
  </si>
  <si>
    <t>Bongkaran dinding</t>
  </si>
  <si>
    <t>Bongkar &amp; Finish dinding</t>
  </si>
  <si>
    <t>Bongkaran Pelapis Lantai Keramik</t>
  </si>
  <si>
    <t>Garasi</t>
  </si>
  <si>
    <t>R,Tamu</t>
  </si>
  <si>
    <t>K.Tidur Tamu</t>
  </si>
  <si>
    <t>KM/WC Tamu dalam</t>
  </si>
  <si>
    <t xml:space="preserve">Ganti Keramik Lantai saja </t>
  </si>
  <si>
    <t xml:space="preserve">R.Keluarga </t>
  </si>
  <si>
    <t>Dapur &amp; R.Makan</t>
  </si>
  <si>
    <t>Tangga</t>
  </si>
  <si>
    <t>KM/WC Tamu</t>
  </si>
  <si>
    <t>Teras depan ,Belakang</t>
  </si>
  <si>
    <t>Bongkaran Struktur</t>
  </si>
  <si>
    <t>Kolom</t>
  </si>
  <si>
    <r>
      <t>M</t>
    </r>
    <r>
      <rPr>
        <vertAlign val="superscript"/>
        <sz val="11"/>
        <color theme="1"/>
        <rFont val="Aptos Narrow"/>
        <family val="2"/>
        <scheme val="minor"/>
      </rPr>
      <t>3</t>
    </r>
  </si>
  <si>
    <t xml:space="preserve">Bongkaran Relling Tangga </t>
  </si>
  <si>
    <t xml:space="preserve">Relling Tangga Utama </t>
  </si>
  <si>
    <r>
      <t>M</t>
    </r>
    <r>
      <rPr>
        <vertAlign val="superscript"/>
        <sz val="12"/>
        <rFont val="Arial Narrow"/>
        <family val="2"/>
      </rPr>
      <t>1</t>
    </r>
  </si>
  <si>
    <t>Bongkar Kusen Pintu jendela</t>
  </si>
  <si>
    <t>Unit</t>
  </si>
  <si>
    <t>Bongkar Pintu Garasi</t>
  </si>
  <si>
    <t xml:space="preserve">Bongkar Plafond </t>
  </si>
  <si>
    <t>Sub Total III.1a</t>
  </si>
  <si>
    <t>b</t>
  </si>
  <si>
    <t>PEKERJAAN STRUKTURAL</t>
  </si>
  <si>
    <t>Galian Tanah</t>
  </si>
  <si>
    <t>Galian Tanah Manual</t>
  </si>
  <si>
    <t xml:space="preserve">Galian tanah </t>
  </si>
  <si>
    <t>Urugan Tanah Kembali</t>
  </si>
  <si>
    <t>Pasir Lantai Kerja t=10 cm</t>
  </si>
  <si>
    <t>Lantai kerja BO t=5 cm</t>
  </si>
  <si>
    <t>1 Pc : 3 Psr : 5 Krl</t>
  </si>
  <si>
    <t>Sloof ,Ring Balok R Balok Latai  Beton</t>
  </si>
  <si>
    <t>K-225</t>
  </si>
  <si>
    <t xml:space="preserve">Kolom Lantai </t>
  </si>
  <si>
    <t>Meja dapur beton</t>
  </si>
  <si>
    <t>Sub Total III.1b</t>
  </si>
  <si>
    <t>c</t>
  </si>
  <si>
    <t xml:space="preserve">PEKERJAAN ARSITEKTURAL </t>
  </si>
  <si>
    <t>Pasangan Dinding Bata</t>
  </si>
  <si>
    <t>Pasangan dinding bata Merah</t>
  </si>
  <si>
    <t xml:space="preserve">1 Pc : 5 Psr / Bata Press </t>
  </si>
  <si>
    <t>plester dinding</t>
  </si>
  <si>
    <t>1 Pc : 5 Psr &amp; 1 Pc : 3 Psr</t>
  </si>
  <si>
    <t>Acian dinding</t>
  </si>
  <si>
    <t>Pekerjaan Pasang Granit Lantai  &amp; dinding</t>
  </si>
  <si>
    <t>Granit HT Ex.Valentino 60x60 cm / Setara</t>
  </si>
  <si>
    <t xml:space="preserve">Carport </t>
  </si>
  <si>
    <t>Granit HT  Ex.Valentino 80x80 cm / Setara</t>
  </si>
  <si>
    <t xml:space="preserve">Bongkar &amp; Pasang Plint Lantai </t>
  </si>
  <si>
    <t>Granit HT Ex.Valentino 10x60 cm / Setara</t>
  </si>
  <si>
    <t xml:space="preserve">Pasang Granit Fasade </t>
  </si>
  <si>
    <t>Pasang Plafond Gypsum</t>
  </si>
  <si>
    <t xml:space="preserve">Gypsumboard t=9 mm ex. Gyproc / setara </t>
  </si>
  <si>
    <t xml:space="preserve">Ruang Tamu,Keluarga,Dapur ,KM/WC,Teras </t>
  </si>
  <si>
    <t>List Plafond</t>
  </si>
  <si>
    <t>List Gypsum /Sedoline</t>
  </si>
  <si>
    <t xml:space="preserve">Pekerjaan Pintu &amp; jendela </t>
  </si>
  <si>
    <t>Pintu Garasi 4 Daun</t>
  </si>
  <si>
    <t>Ex. Wina</t>
  </si>
  <si>
    <t>Pintu Jendela R,Tamu</t>
  </si>
  <si>
    <t>Kusen Aluminium Jendela Kaca Polos 5 mm Ex.NEXTA</t>
  </si>
  <si>
    <t>Pintu Sliding /Lipat Teras belakang</t>
  </si>
  <si>
    <t xml:space="preserve">Kusen Aluminium Pintu Kaca Polos 8 mm  Sliding  4 daun </t>
  </si>
  <si>
    <t>Pintu  R.Dapur  2 Kaca Mati 2 Sliding</t>
  </si>
  <si>
    <t xml:space="preserve">Kusen Aluminium Pintu Kaca  Polos  8 mm  Sliding  4 daun </t>
  </si>
  <si>
    <t xml:space="preserve">Pintu R.Keluaraga  2 Kaca Mati 2 daun Swing </t>
  </si>
  <si>
    <t xml:space="preserve">Pintu Kaca Temperd 8 mm  Sliding/Swing  6 daun </t>
  </si>
  <si>
    <t>Pintu Jendela Garasi ke dapur</t>
  </si>
  <si>
    <t xml:space="preserve">Kusen Jendela Aluminium Pintu Kayu </t>
  </si>
  <si>
    <t>Pasang Jendela K.Tidur Tamu</t>
  </si>
  <si>
    <t>Pintu K.Tidur Tamu</t>
  </si>
  <si>
    <t xml:space="preserve">Kusen Pintu Kayu Lama Service dan cat  + Kunci +Engsel </t>
  </si>
  <si>
    <t>Pintu KM/WC Tamu bawah tangga</t>
  </si>
  <si>
    <t xml:space="preserve">Pintu KM/WC Tamu dalam </t>
  </si>
  <si>
    <t>Pekerjaan Ralling</t>
  </si>
  <si>
    <t xml:space="preserve">Relling Tangga Utama  </t>
  </si>
  <si>
    <t>Rangka Stainlis Kaca Temperd 10 mm</t>
  </si>
  <si>
    <t xml:space="preserve">Pekerjaan Canpy </t>
  </si>
  <si>
    <t>Canopy atas Balkon Lt 2</t>
  </si>
  <si>
    <t xml:space="preserve">Rangka Besi Hollow Penutup Solar Flat </t>
  </si>
  <si>
    <t xml:space="preserve">Pekerjaan Pengecatan dinding ,Plafond </t>
  </si>
  <si>
    <t>Pengecatan Dinding  &amp; Pafond</t>
  </si>
  <si>
    <t>Cat Interior Cendana Ex. Mowilex ,Exterior Ex Mowilex</t>
  </si>
  <si>
    <t>Sub Total III.1c</t>
  </si>
  <si>
    <t>d</t>
  </si>
  <si>
    <t>PEKERJAAN MEKANIKAL ,ELEKTRIKAN,PLAMBING (MEP)</t>
  </si>
  <si>
    <t>Instalasi Air Bersih</t>
  </si>
  <si>
    <t>PVC 1/2" Type AW - Ex PRALON</t>
  </si>
  <si>
    <t>Instalsi Air Hujan &amp; air Kotor</t>
  </si>
  <si>
    <t>PVC 3" Type D - Ex PRALON</t>
  </si>
  <si>
    <t>Instalsi Lampu</t>
  </si>
  <si>
    <t>NYM 2X2½ mm Eterna + Pipa PVC</t>
  </si>
  <si>
    <t>Titik</t>
  </si>
  <si>
    <t>Instalsi Stop Kontak</t>
  </si>
  <si>
    <t xml:space="preserve">Kabel NYM 3x2,5 mm2 ex. Eterna </t>
  </si>
  <si>
    <t>Instalsi AC</t>
  </si>
  <si>
    <t>Pipa AC,Drain AC Dan Stop Kontak AC</t>
  </si>
  <si>
    <t>Sub Total III.1d</t>
  </si>
  <si>
    <t>III.2</t>
  </si>
  <si>
    <t>LANTAI 2</t>
  </si>
  <si>
    <t>PEKERJAAN PBONGKARAN</t>
  </si>
  <si>
    <t>BONGKARAN DINDING</t>
  </si>
  <si>
    <t>KM/WC &amp; K,Tidur Utama</t>
  </si>
  <si>
    <t>K,Tidur ART</t>
  </si>
  <si>
    <t>K,Tidur Utama</t>
  </si>
  <si>
    <t>K,Tidur Anak</t>
  </si>
  <si>
    <t xml:space="preserve">Selasar </t>
  </si>
  <si>
    <t>Balkon depan ,Belakang</t>
  </si>
  <si>
    <t xml:space="preserve">KM/WC Anak </t>
  </si>
  <si>
    <t xml:space="preserve">Relling Void Tangga </t>
  </si>
  <si>
    <t>Relling Balkon</t>
  </si>
  <si>
    <t>Sub Total III.2a</t>
  </si>
  <si>
    <t>Kolom  Lantai 2 KM/WC Utama</t>
  </si>
  <si>
    <t>Ring Balok Lantai  KM/WC Utama</t>
  </si>
  <si>
    <t>Canopy Beton  Balkon depan</t>
  </si>
  <si>
    <t>Pelebaran Balkon belakang</t>
  </si>
  <si>
    <t>K-226</t>
  </si>
  <si>
    <t xml:space="preserve">Waterprofing Lantai Toilet  &amp; Canopy </t>
  </si>
  <si>
    <t>Sika Top</t>
  </si>
  <si>
    <t>Sub Total III.2b</t>
  </si>
  <si>
    <t xml:space="preserve">Pasangan Dinding Bata + dinding sirip pembatas  </t>
  </si>
  <si>
    <t>Pasangan dinding bata merah</t>
  </si>
  <si>
    <t>Dinding Roster</t>
  </si>
  <si>
    <t>Pasangan Roster area jemur</t>
  </si>
  <si>
    <t>Roster Semen 20 X 20 Cm</t>
  </si>
  <si>
    <t>Pekerjaan Pasang Granit/Keramik</t>
  </si>
  <si>
    <t>Keramik dinding KM/WC utama</t>
  </si>
  <si>
    <t>Granit Ex.Valentino 60x120  cm / Setara</t>
  </si>
  <si>
    <t xml:space="preserve">Keramik Lantai </t>
  </si>
  <si>
    <t>KM/WC Utama</t>
  </si>
  <si>
    <t xml:space="preserve">Pasang Plint Lantai </t>
  </si>
  <si>
    <t>Granit HT Ex Valentino 10x80 cm /Setara</t>
  </si>
  <si>
    <t xml:space="preserve">Marmer Meja Wastafel </t>
  </si>
  <si>
    <t xml:space="preserve">Marmer </t>
  </si>
  <si>
    <t>M</t>
  </si>
  <si>
    <t xml:space="preserve">Plafond Canopy </t>
  </si>
  <si>
    <t>PVC</t>
  </si>
  <si>
    <t>Pintu Balkon K.Tidur Utama depan</t>
  </si>
  <si>
    <t>Kusen Pintu  Aluminium jendela Kaca 5 mm Ex.NEXTA</t>
  </si>
  <si>
    <t>Pintu Balkon K.Tidur Utama belakang</t>
  </si>
  <si>
    <t>Kusen Pintu Jendela Aluminium jendela Kaca 5 mm</t>
  </si>
  <si>
    <t xml:space="preserve">Jendela K.Tidur Anak </t>
  </si>
  <si>
    <t>Kusen Aluminium jendela 3 daun Kaca 5 mm</t>
  </si>
  <si>
    <t>Kaca Temperd KM/WC Utama</t>
  </si>
  <si>
    <t>Kaca Temperd 10 mm</t>
  </si>
  <si>
    <t>Jendela KM Utama BV</t>
  </si>
  <si>
    <t>Kusen Aluminium Kaca Dop  Sungle Swing</t>
  </si>
  <si>
    <t>Pintu K.Tidur Utama</t>
  </si>
  <si>
    <t xml:space="preserve">Pintu K.Tidur Anak </t>
  </si>
  <si>
    <t xml:space="preserve">Jendela KM &amp; WClosed Tampak depan </t>
  </si>
  <si>
    <t>Kaca POLOS 10 mm</t>
  </si>
  <si>
    <t>Pintu Akses Balkon Belakang Ke T.Cuci jemur</t>
  </si>
  <si>
    <t>Kusn Aluminium Pintu Kaca Polos 6 mm</t>
  </si>
  <si>
    <t>Pekerjaan Kisi Kisi  depan KM/WC Utama</t>
  </si>
  <si>
    <t xml:space="preserve">Besi Hollow 5x10 cm </t>
  </si>
  <si>
    <t>Relling Void tangga</t>
  </si>
  <si>
    <t>Relling Balkon Belakang</t>
  </si>
  <si>
    <t xml:space="preserve">Canopy Atap depan </t>
  </si>
  <si>
    <t>Rangka Besi IWF penutup Alderon &amp; Plafond PVC</t>
  </si>
  <si>
    <t>Sub Total III.2C</t>
  </si>
  <si>
    <t>PEKERJAAN SANITAIR MEKANIKALELEKTRIKAN,PLAMBING (MEP)</t>
  </si>
  <si>
    <t>Pipa PVC 1/2 , 3/4</t>
  </si>
  <si>
    <t>Instalsi Air Panas</t>
  </si>
  <si>
    <t>Pipa GIP 1/2"lapis Al.foil + glass wool</t>
  </si>
  <si>
    <t xml:space="preserve">Instalsi Air Kotor </t>
  </si>
  <si>
    <t>Pipa PVC 1 1/4, 3 "</t>
  </si>
  <si>
    <t>Bathub &amp; Kran  KM Utama</t>
  </si>
  <si>
    <t>Bathtub ZENTIRO ZONIX + SHOWER KRAN</t>
  </si>
  <si>
    <t>Set</t>
  </si>
  <si>
    <t>Closed Duduk  KM Utama</t>
  </si>
  <si>
    <t>Newton Dual Flash CCST  -Ex. Amstad</t>
  </si>
  <si>
    <t>Wastafel  , Kran  &amp; Meja Beton  KM Utama</t>
  </si>
  <si>
    <t>New Modernt W/ - Ex,Amstard</t>
  </si>
  <si>
    <t>Kran Shower  KM Utama</t>
  </si>
  <si>
    <t>Bh</t>
  </si>
  <si>
    <t xml:space="preserve">Floor Drain </t>
  </si>
  <si>
    <t>IN 23 Floor Drain Square - Ex.Amstard</t>
  </si>
  <si>
    <t>Sub Total III.2d</t>
  </si>
  <si>
    <t>IV</t>
  </si>
  <si>
    <t>PEKERJAAN CANOPY BETON CARPORT &amp; PAGAR DEPAN</t>
  </si>
  <si>
    <t xml:space="preserve">PEKERJAAN CANOPY BETON CARPORT </t>
  </si>
  <si>
    <t>Buangan Tanah bekas galian</t>
  </si>
  <si>
    <t>Lt kerja t=5cm dibwh pondasi plat &amp; sloof gantung</t>
  </si>
  <si>
    <r>
      <t>M</t>
    </r>
    <r>
      <rPr>
        <vertAlign val="superscript"/>
        <sz val="12"/>
        <rFont val="Arial Narrow"/>
        <family val="2"/>
      </rPr>
      <t>3</t>
    </r>
  </si>
  <si>
    <t xml:space="preserve">Pondasi Beton Plat Setempat </t>
  </si>
  <si>
    <t>Kolom Struktur Lantai 1</t>
  </si>
  <si>
    <t xml:space="preserve">Balok Lantai </t>
  </si>
  <si>
    <t>Pelat Lantai  t= 12 cm</t>
  </si>
  <si>
    <t xml:space="preserve">Lisplank Beton </t>
  </si>
  <si>
    <t>Pas Bata 1 : 5</t>
  </si>
  <si>
    <t>1 Pc : 5 Psr / Bata Press Ex Kuo Shin</t>
  </si>
  <si>
    <r>
      <t>M</t>
    </r>
    <r>
      <rPr>
        <vertAlign val="superscript"/>
        <sz val="12"/>
        <rFont val="Arial Narrow"/>
        <family val="2"/>
      </rPr>
      <t>2</t>
    </r>
  </si>
  <si>
    <t xml:space="preserve">Plester dan Acian Dinding </t>
  </si>
  <si>
    <t>Finish &amp; Profilan Listplak Beton Lantai 2</t>
  </si>
  <si>
    <t>Inclut penebalan,profil plester,tali air</t>
  </si>
  <si>
    <t>Finish Kolom Lantai 1</t>
  </si>
  <si>
    <t>Inclut penebalan,profil plester,Pas.Granit</t>
  </si>
  <si>
    <t>bh</t>
  </si>
  <si>
    <t xml:space="preserve">   Water Proofing Dak Beton</t>
  </si>
  <si>
    <t>Pasang Keramik Lantai balkon</t>
  </si>
  <si>
    <t>Rangka Plafond Ceiling Batten + Plafond Gypsum 9 mm</t>
  </si>
  <si>
    <t xml:space="preserve">Ceiling batten ex Jayaboard </t>
  </si>
  <si>
    <t xml:space="preserve">List Plafond </t>
  </si>
  <si>
    <t>Relling Balkon Deoan</t>
  </si>
  <si>
    <t>Cat Dinding &amp; Plafond</t>
  </si>
  <si>
    <t xml:space="preserve">Cat Tembok Ex Mowilex Type  Weathercoat </t>
  </si>
  <si>
    <t>Floor Drain</t>
  </si>
  <si>
    <t>EX.INA</t>
  </si>
  <si>
    <t>Instalasi Air Kotor</t>
  </si>
  <si>
    <t>Titik Lampu</t>
  </si>
  <si>
    <t>ttk</t>
  </si>
  <si>
    <t>Saklar Double</t>
  </si>
  <si>
    <t>Ex. Merten</t>
  </si>
  <si>
    <t xml:space="preserve">Armatur Down Light </t>
  </si>
  <si>
    <t>Sub Total IV.a</t>
  </si>
  <si>
    <t>PEKERJAAN PAGAR UTAMA DEPAN</t>
  </si>
  <si>
    <t>Sloof Beton &amp; Ring Balk</t>
  </si>
  <si>
    <t>Profilan Pagar depan</t>
  </si>
  <si>
    <t>Pintu Besi Minimalis</t>
  </si>
  <si>
    <r>
      <t>M</t>
    </r>
    <r>
      <rPr>
        <vertAlign val="superscript"/>
        <sz val="12"/>
        <rFont val="Arial Narrow"/>
        <family val="2"/>
      </rPr>
      <t>3</t>
    </r>
    <r>
      <rPr>
        <sz val="11"/>
        <color theme="1"/>
        <rFont val="Aptos Narrow"/>
        <family val="2"/>
        <scheme val="minor"/>
      </rPr>
      <t/>
    </r>
  </si>
  <si>
    <t>Besi Pagar Minimalis</t>
  </si>
  <si>
    <r>
      <t>M</t>
    </r>
    <r>
      <rPr>
        <vertAlign val="superscript"/>
        <sz val="12"/>
        <rFont val="Arial Narrow"/>
        <family val="2"/>
      </rPr>
      <t>4</t>
    </r>
    <r>
      <rPr>
        <sz val="11"/>
        <color theme="1"/>
        <rFont val="Aptos Narrow"/>
        <family val="2"/>
        <scheme val="minor"/>
      </rPr>
      <t/>
    </r>
  </si>
  <si>
    <t xml:space="preserve">Cat Dinding </t>
  </si>
  <si>
    <t>Ttik</t>
  </si>
  <si>
    <t>Sub Total IV.b</t>
  </si>
  <si>
    <t xml:space="preserve">   ALTERNATIF 2 K.TIDUR UTAMA MAJU 2 M</t>
  </si>
  <si>
    <t>: PAK AGUS SUSANTO</t>
  </si>
  <si>
    <t>: BELLEVUE SF5 NO 34 KOTAWISATA</t>
  </si>
  <si>
    <t>:   112</t>
  </si>
  <si>
    <t xml:space="preserve">RENCANA </t>
  </si>
  <si>
    <t xml:space="preserve">REALISASI </t>
  </si>
  <si>
    <t>SELISIH</t>
  </si>
  <si>
    <t>No,</t>
  </si>
  <si>
    <t>Structure</t>
  </si>
  <si>
    <t>Specification</t>
  </si>
  <si>
    <t xml:space="preserve">Satuan </t>
  </si>
  <si>
    <t>Volume</t>
  </si>
  <si>
    <t>Unit Price</t>
  </si>
  <si>
    <t/>
  </si>
  <si>
    <t>Total Unit Price</t>
  </si>
  <si>
    <t>Total</t>
  </si>
  <si>
    <t>Material</t>
  </si>
  <si>
    <t>Wage</t>
  </si>
  <si>
    <t>Other</t>
  </si>
  <si>
    <t>I</t>
  </si>
  <si>
    <t>PEKERJAAN PERSIAPAN</t>
  </si>
  <si>
    <t>-</t>
  </si>
  <si>
    <t>Pembersihan (incl, pembuangan puing &amp; tanah)</t>
  </si>
  <si>
    <t>Air Kerja &amp; Listrik Kerja</t>
  </si>
  <si>
    <t>diabyarkan Ouwner</t>
  </si>
  <si>
    <t xml:space="preserve">Ganbar A rsitek  Denah &amp; Tampak  3 D </t>
  </si>
  <si>
    <t>Sub Total I</t>
  </si>
  <si>
    <t>PEKERJAAN LANTAI 1</t>
  </si>
  <si>
    <t>A</t>
  </si>
  <si>
    <t xml:space="preserve">PEKERJAAN CANOPY &amp; TERAS DEPAN </t>
  </si>
  <si>
    <t>Bongkar &amp; Pasang Alderon Canopy</t>
  </si>
  <si>
    <t xml:space="preserve">Alderon Lama </t>
  </si>
  <si>
    <t>M2</t>
  </si>
  <si>
    <t>Pasang Lispank Besi</t>
  </si>
  <si>
    <t>Besi Hollow</t>
  </si>
  <si>
    <t>Pasang Talang Besi dan Pipa PVC</t>
  </si>
  <si>
    <t>Besi CNP</t>
  </si>
  <si>
    <t>Pasang Plafond PVC</t>
  </si>
  <si>
    <t xml:space="preserve">Plafond PVC Ex Kencana </t>
  </si>
  <si>
    <t xml:space="preserve">Paswang Rangka Canopy Lama </t>
  </si>
  <si>
    <t xml:space="preserve">Pasang Rangka Lama Dan Finish Cat </t>
  </si>
  <si>
    <t xml:space="preserve">Tambahan Besi Hollow 10x10 cm </t>
  </si>
  <si>
    <t xml:space="preserve">Tiang </t>
  </si>
  <si>
    <t>Gawang</t>
  </si>
  <si>
    <t>Penambahan dinding Pembatas depan kanan kirin</t>
  </si>
  <si>
    <t xml:space="preserve">Pasangan Bata 1 PC : 5 Psr </t>
  </si>
  <si>
    <t xml:space="preserve">Bata Merah </t>
  </si>
  <si>
    <t>Belun di hitung</t>
  </si>
  <si>
    <t>Plester Acian Mortar Instan</t>
  </si>
  <si>
    <t>(Incl Pagar) Plester 1PC ; 5 Psr</t>
  </si>
  <si>
    <t>Cat Dinding Luar</t>
  </si>
  <si>
    <t>cat  ( By Ouwner )</t>
  </si>
  <si>
    <t xml:space="preserve">Pasang Keramik Teras depan </t>
  </si>
  <si>
    <t>Upah Pasang + Material Pendukung ( Keramik By Ouwner )</t>
  </si>
  <si>
    <t>Pasang Keramik Carport</t>
  </si>
  <si>
    <t xml:space="preserve">Pasang Paving Blok </t>
  </si>
  <si>
    <t xml:space="preserve">Instalsi Lampu </t>
  </si>
  <si>
    <t>TTK</t>
  </si>
  <si>
    <t>Sub Total II.A</t>
  </si>
  <si>
    <t>B</t>
  </si>
  <si>
    <t xml:space="preserve">PEKERJAAN  GUDANG R.TAMU, R.KELUARGA ,DAPUR BERSIH,K.TIDUR TAMU, DAPUR BASAH K.TIDUR  &amp; KM /WC ART </t>
  </si>
  <si>
    <t>Bongkar Dinding K.Tidur Tamu,KM/WC ART</t>
  </si>
  <si>
    <t>Bongkar Atap Genteng</t>
  </si>
  <si>
    <t>Bongkar Pintu Jendela ( Gudang,K.Tidur, K.tidur ART ,Teras Belakang )</t>
  </si>
  <si>
    <t>BH</t>
  </si>
  <si>
    <t>Bobok dinding untuk Kolom dan Pipa PVC air Hujan</t>
  </si>
  <si>
    <t xml:space="preserve">Bongkar Keramik Lantai </t>
  </si>
  <si>
    <t>Galian Tanah Pondasi Tapak &amp; Sloof</t>
  </si>
  <si>
    <t>M3</t>
  </si>
  <si>
    <t>Pasir Urug</t>
  </si>
  <si>
    <t xml:space="preserve">Lantai Kerja Bawah Pondasi </t>
  </si>
  <si>
    <t>Pondasi Tapak / Cakar ayam</t>
  </si>
  <si>
    <t>Beton</t>
  </si>
  <si>
    <t>"Site Mix K-225 "</t>
  </si>
  <si>
    <t>Besi</t>
  </si>
  <si>
    <t>"Ø  = 12 BJTP 24 D &gt; 12 BJTD 40 "</t>
  </si>
  <si>
    <t>KG</t>
  </si>
  <si>
    <t>Bekisting</t>
  </si>
  <si>
    <t>"Kayu Kaso Borneo Kayu triplek 9 mm Perancah Bantu "</t>
  </si>
  <si>
    <t>Sloof/Tie Beam</t>
  </si>
  <si>
    <t>Kolom Struktur</t>
  </si>
  <si>
    <t xml:space="preserve">Balok Struktur </t>
  </si>
  <si>
    <t xml:space="preserve">Plat Lantai Atas </t>
  </si>
  <si>
    <t>Waterproofing Dak KM/WC anak &amp; dak Cuci Jemur</t>
  </si>
  <si>
    <t xml:space="preserve">Sika Top </t>
  </si>
  <si>
    <t xml:space="preserve">Plafond Gypsum + Rangka </t>
  </si>
  <si>
    <t>"Gypsum 9 mm WR   Rangka Hollow Galvanise 		"</t>
  </si>
  <si>
    <t>Palfond Drop Cilling</t>
  </si>
  <si>
    <t>"Gypsum 9 mm  Rangka Hollow Galvanise 		"</t>
  </si>
  <si>
    <t>List Plafond Tipe 6</t>
  </si>
  <si>
    <t>List Shadow Line Alluminium U Uk 1x1 cm</t>
  </si>
  <si>
    <t xml:space="preserve">Pasang Keramik Lantai   Utama </t>
  </si>
  <si>
    <t xml:space="preserve">Pasang Keramik Tangga </t>
  </si>
  <si>
    <t xml:space="preserve">Pasang Keramik Gudang </t>
  </si>
  <si>
    <t>Pasang Keramik Dinding KM/WC Tamu</t>
  </si>
  <si>
    <t xml:space="preserve">Pasang Keramik Lantai  KM/WC Tamu </t>
  </si>
  <si>
    <t>Pasang Keramik Dinding KM ART</t>
  </si>
  <si>
    <t>Pasang Keramik Lantai KM ART</t>
  </si>
  <si>
    <t>Pasang Keramik Teras belakang</t>
  </si>
  <si>
    <t>Plint Lantai 1 (Incl, Tali Air)</t>
  </si>
  <si>
    <t xml:space="preserve">Instalasi Air Kotor </t>
  </si>
  <si>
    <t>PVC 3" Type D - Ex, Vinilon</t>
  </si>
  <si>
    <t>Instalsi Air Bersih</t>
  </si>
  <si>
    <t>Instalasi Kabel Titik Lampu</t>
  </si>
  <si>
    <t>Fitting Titik Lampu Downlight Inbow</t>
  </si>
  <si>
    <t>LED Ex PANASONIC</t>
  </si>
  <si>
    <t xml:space="preserve">Lampu Strip </t>
  </si>
  <si>
    <t>Instalasi Kabel Stop Kontak</t>
  </si>
  <si>
    <t xml:space="preserve">Pasang Hand Relling </t>
  </si>
  <si>
    <t xml:space="preserve">Hand Relling Kayu </t>
  </si>
  <si>
    <t>Pasang Pintu K.Tidur Tamu</t>
  </si>
  <si>
    <t>daun  &amp; Kunci Pintu  Baru  ( Pintu kayu Multiplex Finish Semi Duco )</t>
  </si>
  <si>
    <t>Pasang Pintu K.Tidur ART</t>
  </si>
  <si>
    <t>Pintu Jendela Lama Ex K.,Tidur ART lama</t>
  </si>
  <si>
    <t xml:space="preserve">Pasang Pintu Jendela kaca Sliding  Dapur Basah </t>
  </si>
  <si>
    <t>Kusen Aluminium Pintu Kaca Polos Sliding ( Baru )</t>
  </si>
  <si>
    <t xml:space="preserve">Ganti Pintu Utama </t>
  </si>
  <si>
    <t>Daun &amp; Kunci Pintu Baru  (Pintu Kayu Kayu Solid Kamper Finish Semi Duco)</t>
  </si>
  <si>
    <t xml:space="preserve">Jendela Tangga Tetap Berfungsi bukaan </t>
  </si>
  <si>
    <t xml:space="preserve">Service daun Jendela </t>
  </si>
  <si>
    <t xml:space="preserve">Pasang Pintu Sliding  Teras belakang </t>
  </si>
  <si>
    <t>Kusen Pintu Aluminium Kaca Polos Sliding  Baru   Ukuran diper besar  240 x240</t>
  </si>
  <si>
    <t>Pasang Pintu Gudang</t>
  </si>
  <si>
    <t xml:space="preserve">Kusen Pintu baru  </t>
  </si>
  <si>
    <t xml:space="preserve">Jendela  K.tidur Tamu </t>
  </si>
  <si>
    <t xml:space="preserve">Instalsi AC </t>
  </si>
  <si>
    <t>Stop Kontak,Drain AC, Pipa AC ,Kabel</t>
  </si>
  <si>
    <t>Gpindah MCB Lantai 1</t>
  </si>
  <si>
    <t>Box MCB isi 8 bh</t>
  </si>
  <si>
    <t xml:space="preserve">KM / WC Tamu Bawah </t>
  </si>
  <si>
    <t>Closet Monoblock</t>
  </si>
  <si>
    <t>Upah Pasang + Material Pendukung ( Closed  By Ouwner )</t>
  </si>
  <si>
    <t>Kran + Fitting Wastafel</t>
  </si>
  <si>
    <t xml:space="preserve">Buat Meja Beton dan pas Granit </t>
  </si>
  <si>
    <t>Upah Pasang + Material Pendukung ( Kran   By Ouwner )</t>
  </si>
  <si>
    <t>Upah Pasang + Material Pendukung ( Floor drain   By Ouwner )</t>
  </si>
  <si>
    <t xml:space="preserve">Kran Shower </t>
  </si>
  <si>
    <t>Upah Pasang + Material Pendukung ( Kran Shower By Ouwner )</t>
  </si>
  <si>
    <t xml:space="preserve">KM / WC Pembantu </t>
  </si>
  <si>
    <t xml:space="preserve">Closet Jongkok </t>
  </si>
  <si>
    <t>Sub Total II.B</t>
  </si>
  <si>
    <t>PEKERJAAN K.TIDUR UTAMA,K.TIDUR ANAK,KM/WC ANAK,DAK CUCI JEMUR</t>
  </si>
  <si>
    <t xml:space="preserve">Bongkar Dinding  K.Tidur </t>
  </si>
  <si>
    <t xml:space="preserve">Bongkar Pintu Jendela  K.Tidur utama </t>
  </si>
  <si>
    <t>Bongkar relling Balkon K.Tidur utama</t>
  </si>
  <si>
    <t>Kolom Struktur  Lantai 2</t>
  </si>
  <si>
    <t xml:space="preserve">Balok Struktur  Dak Atap </t>
  </si>
  <si>
    <t>"Ready Mix K-225 + Concrete Vibrator + Pump "</t>
  </si>
  <si>
    <t xml:space="preserve">Plat Lantai Dak Atap </t>
  </si>
  <si>
    <t>Waterproofing Dak Atap Beton</t>
  </si>
  <si>
    <t>Screed dak beton</t>
  </si>
  <si>
    <t>Pasang Granit Lantai Utama</t>
  </si>
  <si>
    <t>Pasang Keramik Balkon</t>
  </si>
  <si>
    <t>Pasang Keramik Dinding KM/WC Utama</t>
  </si>
  <si>
    <t xml:space="preserve">Pasang Keramik Dinding KM/WC Anak </t>
  </si>
  <si>
    <t>Pasang Keramik Lantai  KM/WC Utama</t>
  </si>
  <si>
    <t xml:space="preserve">Pasang Keramik Lantai  KM/WC Anak </t>
  </si>
  <si>
    <t xml:space="preserve">Pasang Keramik Dak Cuci Jemur </t>
  </si>
  <si>
    <t xml:space="preserve">Instalasi Air Bersih Dingin </t>
  </si>
  <si>
    <t>PVC 1/2" Type D - Ex, Vinilon</t>
  </si>
  <si>
    <t xml:space="preserve">KM / WC Anak </t>
  </si>
  <si>
    <t xml:space="preserve">KM / WC Utama </t>
  </si>
  <si>
    <t>Hand Shower</t>
  </si>
  <si>
    <t>Pasang Pintu K.Tidur Anak  1</t>
  </si>
  <si>
    <t>Daun Pintu &amp; Kunci Pintu  Baru  ( Pintu kayu Multiplex Finish Semi Duco )</t>
  </si>
  <si>
    <t>Pasang Pintu K.Tidur Anak  2</t>
  </si>
  <si>
    <t xml:space="preserve">Kusen &amp; Pintu Baru semua </t>
  </si>
  <si>
    <t xml:space="preserve">Pasang Pintu K.Tidur Utama </t>
  </si>
  <si>
    <t xml:space="preserve">Pintu KM/WC Utama </t>
  </si>
  <si>
    <t>Kusen &amp; Pintu Baru ( Alminium )</t>
  </si>
  <si>
    <t xml:space="preserve">Pintu KM/WC Anak </t>
  </si>
  <si>
    <t xml:space="preserve">Pintu Jendela Balkon </t>
  </si>
  <si>
    <t xml:space="preserve">Pintu Baru </t>
  </si>
  <si>
    <t xml:space="preserve">Pintu Akses ke dak Cuci Jemur </t>
  </si>
  <si>
    <t>Pintu Lama Ex Pintu Teras Belakang  ( Lama )</t>
  </si>
  <si>
    <t>[EKERJAAN JENDELA</t>
  </si>
  <si>
    <t>Jendela K.Tidur Utama</t>
  </si>
  <si>
    <t>Jendela K.Tidur Anak Cewek</t>
  </si>
  <si>
    <t>Jendela K.Tidur Anak Cowok</t>
  </si>
  <si>
    <t>Roof Drain</t>
  </si>
  <si>
    <t>Incl Dak -Stainless</t>
  </si>
  <si>
    <t xml:space="preserve">Relling Balkon Depan </t>
  </si>
  <si>
    <t xml:space="preserve">Railing Stainless Stell Hollow 40x40 mm tebal 1,0 mm </t>
  </si>
  <si>
    <t xml:space="preserve">Rellingt Void Dak Jemur </t>
  </si>
  <si>
    <t>Besi Hollow 2x4 cm  ,4x6 cm</t>
  </si>
  <si>
    <t>Canopy Dak Jemur</t>
  </si>
  <si>
    <t>Rangka Besi Hollow  Penutup Aldiron Tranfaran</t>
  </si>
  <si>
    <t xml:space="preserve">Gpindah MCB Lantai 2 </t>
  </si>
  <si>
    <t>Pasang Canopy atas balkon depan</t>
  </si>
  <si>
    <t xml:space="preserve">Rangka Besi Hollow Penutup Alderon Plafond PVC </t>
  </si>
  <si>
    <t>Pasang Kis Kisi balkon</t>
  </si>
  <si>
    <t>Material Duma ( By Ouwner )</t>
  </si>
  <si>
    <t>Pasang Roster Dinding Pembatas belakang</t>
  </si>
  <si>
    <t>Buat Tali Air di dinding belakang</t>
  </si>
  <si>
    <t>Sub Total III.A</t>
  </si>
  <si>
    <t>PEKERJAAN FINISHING CAT DINDING DAN PLAFOND</t>
  </si>
  <si>
    <t>K.TIDUR UTAMA DEPAN MAJU 2 M</t>
  </si>
  <si>
    <t>Cat Dinding Dalam</t>
  </si>
  <si>
    <t>Cat Cendana</t>
  </si>
  <si>
    <t>cat Mowilex</t>
  </si>
  <si>
    <t>Cat Plafond Gypsum + List</t>
  </si>
  <si>
    <t>Cat Plafond Beton Exposed Internal</t>
  </si>
  <si>
    <t>Cat Listplank Woodplank</t>
  </si>
  <si>
    <t>Sub Total IV</t>
  </si>
  <si>
    <t>TV</t>
  </si>
  <si>
    <t xml:space="preserve">Tangga Darurat </t>
  </si>
  <si>
    <t>Pintu Sliding &amp; Accesoris</t>
  </si>
  <si>
    <t xml:space="preserve">  RENCANA ANGGARAN BIAYA RENOVASI  RUKO</t>
  </si>
  <si>
    <t>: Bp.ROBY RONALD</t>
  </si>
  <si>
    <t>: RUKO</t>
  </si>
  <si>
    <t>: NSD CUSTOM NC 7 NO 7 KOTAWISATA</t>
  </si>
  <si>
    <t xml:space="preserve">LAPORAN PROGRES MINGGUAN </t>
  </si>
  <si>
    <t>BOBOT</t>
  </si>
  <si>
    <t>PRESTASI</t>
  </si>
  <si>
    <t>LALU</t>
  </si>
  <si>
    <t>SKRG</t>
  </si>
  <si>
    <t>KOREKSI</t>
  </si>
  <si>
    <t xml:space="preserve">Mobilisasi &amp; Demobilisasi </t>
  </si>
  <si>
    <t>PEKERJAAN KM/WC &amp; MEJA DAPUR</t>
  </si>
  <si>
    <t>Galian Tanah untuk Sloof KM/WC baru</t>
  </si>
  <si>
    <t>"Site Mix K-250  "</t>
  </si>
  <si>
    <t>Plat Lantai Atas 2  Atas KM/WC</t>
  </si>
  <si>
    <t>Balok Struktur (15/30) Cm</t>
  </si>
  <si>
    <t>"Site Mix K-225  "</t>
  </si>
  <si>
    <t>Beton Meja Dapur dan Meja Wastafel</t>
  </si>
  <si>
    <t>Pas. Bata Kuo Shin 1PC:5PSR</t>
  </si>
  <si>
    <t>1 Pc : 5 Psr / Bata Merah Press Ex. Kuo Shin</t>
  </si>
  <si>
    <t xml:space="preserve">Plester 1 PC : 5 Psr </t>
  </si>
  <si>
    <t>Plester 1PC ; 5 Psr</t>
  </si>
  <si>
    <t>Acian Mortar Instan</t>
  </si>
  <si>
    <t xml:space="preserve">Pasang Keramik Dinding KM/WC </t>
  </si>
  <si>
    <t>Keramik HT 60x60 White Canuto (Glass Polish Random Connected Pattern) Ex Valentino</t>
  </si>
  <si>
    <t>Pasang Keramik Lantai  KM/WC</t>
  </si>
  <si>
    <t>Keramik HT 60x60 Mozart Cemento (Rustic) Ex Valentino</t>
  </si>
  <si>
    <t>Pasang Keramik dinding dapur</t>
  </si>
  <si>
    <t>Keramik HT 60x60 Antium Light Grey GP (Glazed Polish) Ex Valentino</t>
  </si>
  <si>
    <t xml:space="preserve">Pasang Keramik Meja dapur </t>
  </si>
  <si>
    <t>Keramik HT 60x60 White Canuto (Glazed Polish) Ex Valentino</t>
  </si>
  <si>
    <t>Pasang Plafond</t>
  </si>
  <si>
    <t xml:space="preserve"> "Gypsum 9 mm  Rangka Hollow Galvanise jarak 600x1000 mm		"</t>
  </si>
  <si>
    <t>Pasang list Plafond</t>
  </si>
  <si>
    <t>Pasang Pintu KM/WC</t>
  </si>
  <si>
    <t xml:space="preserve">Daun Pintu ; D/ HMR + Honecyomb + PVC SHEET </t>
  </si>
  <si>
    <t>Cat Jotaplast Ex Jotun</t>
  </si>
  <si>
    <t>Cat Dinding  KM/WC</t>
  </si>
  <si>
    <t>Cat Jotashield Antifade Ex Jotun</t>
  </si>
  <si>
    <t>Pekerjaan Accessories Sanitary</t>
  </si>
  <si>
    <t xml:space="preserve">AMSTAD-  Newton Duel Flush  CCST Toilet White </t>
  </si>
  <si>
    <t>NOS</t>
  </si>
  <si>
    <t>Jet Washer</t>
  </si>
  <si>
    <t xml:space="preserve">AMSTAD - IP 404Jet Washer Chrone </t>
  </si>
  <si>
    <t>Wastafel</t>
  </si>
  <si>
    <t>AMSTAD Stodio Lava 45 Cm 1H w.Kit</t>
  </si>
  <si>
    <t>AMSTAD  CIKIAS Siphon Lawa 30 Cm With ext pipe</t>
  </si>
  <si>
    <t>AMSTAD-Square</t>
  </si>
  <si>
    <t>AMSTAD- Winston Dual Wall Tap Lever</t>
  </si>
  <si>
    <t>Dapur</t>
  </si>
  <si>
    <t>Kitchen Zink</t>
  </si>
  <si>
    <t>1 LUBANG 1 SAYAP</t>
  </si>
  <si>
    <t>Kran Kitchen Zink Tipe 1</t>
  </si>
  <si>
    <t xml:space="preserve">AMSTAD- My Winston Wall Mount Kitchen (lever Handle) </t>
  </si>
  <si>
    <t xml:space="preserve">PEKERJAAN BUAT TANGGA BETON </t>
  </si>
  <si>
    <t xml:space="preserve">Bongkar Dinding </t>
  </si>
  <si>
    <t xml:space="preserve">Bongkar Balok &amp; Plat Lantai Ut Opening Tangga </t>
  </si>
  <si>
    <t>Galian Tanah untuk Pondasi Tangga</t>
  </si>
  <si>
    <t>Beton Tangga dan Balok Bordes</t>
  </si>
  <si>
    <t xml:space="preserve">Pl;afond Expose bawah tangga </t>
  </si>
  <si>
    <t xml:space="preserve">Plester Acian </t>
  </si>
  <si>
    <t>Pasang Keramik Tangga</t>
  </si>
  <si>
    <t>Keramik HT 60X60 cm Type Balos Beige Polished ex, VALENTINO "</t>
  </si>
  <si>
    <t xml:space="preserve">Pasang Keramik Bawah Tangga </t>
  </si>
  <si>
    <t xml:space="preserve">Pasang Plint Keramik Lantai </t>
  </si>
  <si>
    <t>Keramik HT 1 0X60 cm Type Balos Beige Polished ex, VALENTINO "</t>
  </si>
  <si>
    <t xml:space="preserve">Pasang Relling Tangga  &amp; Void tangga </t>
  </si>
  <si>
    <t xml:space="preserve">Railingl Hollow 40x40 mm </t>
  </si>
  <si>
    <t>PEKERJAAN LANTAI 2</t>
  </si>
  <si>
    <t xml:space="preserve">PEKERJAAN KM/WC </t>
  </si>
  <si>
    <t xml:space="preserve">Waterprofing Lantai KM/WC </t>
  </si>
  <si>
    <t>Sikia Top</t>
  </si>
  <si>
    <t xml:space="preserve">Pasang Keramik Lantai  KM/WC </t>
  </si>
  <si>
    <t xml:space="preserve">AMSTAD- Neo Modern Exposed Bath &amp; shower mixer </t>
  </si>
  <si>
    <t xml:space="preserve">Bongkar Rumah Monyet </t>
  </si>
  <si>
    <t>C</t>
  </si>
  <si>
    <t xml:space="preserve">PEKERJAAN DAK BETON EX ATAP </t>
  </si>
  <si>
    <t>Bongkar Atap Spandex</t>
  </si>
  <si>
    <t>Plat Lantai Atas 3</t>
  </si>
  <si>
    <t>Balok Struktur (15/30) Cm Lantai 3</t>
  </si>
  <si>
    <t>PEKERJAAN LANTAI  3</t>
  </si>
  <si>
    <t xml:space="preserve">Cat Dinding  </t>
  </si>
  <si>
    <t>Outbow Ex PANASONIC</t>
  </si>
  <si>
    <t xml:space="preserve">PEKERJAAN RUANGAN </t>
  </si>
  <si>
    <t>Plat Lantai Atas 4/Roof Top</t>
  </si>
  <si>
    <t>Balok Struktur (20/40) Cm Lantai 4/Roof Top</t>
  </si>
  <si>
    <t>Pasang Keramik  Lantai  3</t>
  </si>
  <si>
    <t>Pasang Plint Latai  3</t>
  </si>
  <si>
    <t>Fitting Titik Lampu Downlight Outbow</t>
  </si>
  <si>
    <t>Pasang Jendela Depan  Ex.YKK</t>
  </si>
  <si>
    <t>di samakan Tampak Lantai 2</t>
  </si>
  <si>
    <t>Profil Tampak Depan dan GRC</t>
  </si>
  <si>
    <t>Pasang pintu ke Depan Ex.YKK</t>
  </si>
  <si>
    <t>Pasang Pintu Laser Catting</t>
  </si>
  <si>
    <t>IV.</t>
  </si>
  <si>
    <t>PEKERJAAN  ROOF TOP</t>
  </si>
  <si>
    <t>Kolom Struktur (15/40) Cm</t>
  </si>
  <si>
    <t>Ring Balok  Struktur dak Atap (15/40 ) Cm</t>
  </si>
  <si>
    <t>Plat Dak Atap   T 12 Cm</t>
  </si>
  <si>
    <t xml:space="preserve">Pekerjaan Atap </t>
  </si>
  <si>
    <t>Rangka Atap Baja ringan</t>
  </si>
  <si>
    <t>Pasang Aluminium Foil</t>
  </si>
  <si>
    <t>Pasang Penutup Spandex</t>
  </si>
  <si>
    <t xml:space="preserve">Spandek Lama </t>
  </si>
  <si>
    <t xml:space="preserve">Pasang Lisplank </t>
  </si>
  <si>
    <t>Lisplank Lama</t>
  </si>
  <si>
    <t xml:space="preserve">Waterproofing Dak </t>
  </si>
  <si>
    <t>Screed</t>
  </si>
  <si>
    <t>Pasangan Bata Press</t>
  </si>
  <si>
    <t>1 Pc : 5 Psr / Bata Merah Press Ex, Kuo Shin/ Bata Jumbo</t>
  </si>
  <si>
    <t>"Gypsum 9 mm  Rangka Hollow Galvanise jarak 600x1000 mm		"</t>
  </si>
  <si>
    <t xml:space="preserve">Pasang Keramik  Lantai  4/Roof Top </t>
  </si>
  <si>
    <t>Pasang Plint Latai  4</t>
  </si>
  <si>
    <t>Pasang Keramik  Lantai  Balkon Roof Top</t>
  </si>
  <si>
    <t>Keramik HT 30x60 Robson Cenere (Rustic)  ex, VALENTINO"</t>
  </si>
  <si>
    <t xml:space="preserve">Instalasi Air Hujan </t>
  </si>
  <si>
    <t>Fitting Lampu</t>
  </si>
  <si>
    <t>Opening Kusen Pintu &amp; Jendela</t>
  </si>
  <si>
    <t xml:space="preserve">Pasang Pintu &amp; Jendela </t>
  </si>
  <si>
    <t>Pintu Jendela lama Ex Teras Belakang</t>
  </si>
  <si>
    <t>SET</t>
  </si>
  <si>
    <t>Sub Total V</t>
  </si>
  <si>
    <t>Cibubur, 20 September 2025</t>
  </si>
  <si>
    <t xml:space="preserve">IR SUPRIYANTO </t>
  </si>
  <si>
    <t xml:space="preserve">: Bp.Ronald Alexander </t>
  </si>
  <si>
    <t>: Kyoto D3 no 11 KOTAWISATA</t>
  </si>
  <si>
    <t>REVISI 2</t>
  </si>
  <si>
    <t>TOTAL HARGA  SAT</t>
  </si>
  <si>
    <t xml:space="preserve">SELISIH HARGA </t>
  </si>
  <si>
    <t xml:space="preserve">MATERIAL </t>
  </si>
  <si>
    <t xml:space="preserve">UPAH </t>
  </si>
  <si>
    <t xml:space="preserve">UANG KONTRIBUSI PUING </t>
  </si>
  <si>
    <t xml:space="preserve"> Listrik Kerja &amp; Air Kerja </t>
  </si>
  <si>
    <t>II.</t>
  </si>
  <si>
    <t>FINISHING EKSTERIOR &amp; UMUM</t>
  </si>
  <si>
    <t>1.</t>
  </si>
  <si>
    <t xml:space="preserve"> Atap</t>
  </si>
  <si>
    <t>Atap rangka baja ringan</t>
  </si>
  <si>
    <r>
      <t>M</t>
    </r>
    <r>
      <rPr>
        <vertAlign val="superscript"/>
        <sz val="12"/>
        <color theme="1"/>
        <rFont val="Arial Narrow"/>
        <family val="2"/>
      </rPr>
      <t>2</t>
    </r>
  </si>
  <si>
    <t>TAMBAH RANGKA BAJA</t>
  </si>
  <si>
    <t xml:space="preserve">Penutup atap aspal bitumen EX. Tegola warna hitam / abu tua </t>
  </si>
  <si>
    <r>
      <t>M</t>
    </r>
    <r>
      <rPr>
        <vertAlign val="superscript"/>
        <sz val="12"/>
        <color theme="1"/>
        <rFont val="Arial Narrow"/>
        <family val="2"/>
      </rPr>
      <t>2</t>
    </r>
    <r>
      <rPr>
        <sz val="11"/>
        <color theme="1"/>
        <rFont val="Aptos Narrow"/>
        <family val="2"/>
        <scheme val="minor"/>
      </rPr>
      <t/>
    </r>
  </si>
  <si>
    <t>GANTI SPEK TRIPLEX KE GRC</t>
  </si>
  <si>
    <t>Flashing Atap tebal 5mm fin. Cat besi abu Nippe 200</t>
  </si>
  <si>
    <t xml:space="preserve">Ceiling kayu outdoor atap Lumber Ceiling Kayu Solid Ulin Lebar 7cm Unfinished </t>
  </si>
  <si>
    <t xml:space="preserve">Ex. Kaltimber Tekstur Classic Smooth </t>
  </si>
  <si>
    <t>Dak beton eksisting fin. Waterproofing ex. Sika 107 atau setara + Batu split tabur 2-3 cm</t>
  </si>
  <si>
    <t xml:space="preserve">Dinding </t>
  </si>
  <si>
    <t xml:space="preserve">Eksterior: Dinding ½ Bata Ringan Finish Aci Kamprot Halus Mesin Gosok Lapis </t>
  </si>
  <si>
    <t>Cat Exterior Ex. Mowilex Weathercoat Mega W-0957</t>
  </si>
  <si>
    <t xml:space="preserve">Interior: : Dinding ½ Bata Ringan </t>
  </si>
  <si>
    <t>Cat Tembok Warna Putih Mowilex Weathercoat White Lace 97D-02A0</t>
  </si>
  <si>
    <t>3.</t>
  </si>
  <si>
    <t xml:space="preserve">Secondary Skin Kisi Kayu Ulin </t>
  </si>
  <si>
    <t>rangka plat besi 3mm, dudukan plat besi siku tebal 5mm fin. Cat Nippe 2000 Abu Tua + Obat Doff Century</t>
  </si>
  <si>
    <t>4.</t>
  </si>
  <si>
    <t xml:space="preserve">Canopy Rangka Besi hollow 50x100mm </t>
  </si>
  <si>
    <t>fin. Cat Nippe 2000 Abu Tua + Obat Doff Century, Kisi Kayu Ulin -  fin. Lasur open pore doff Penutup Kaca Temperd 10 mm</t>
  </si>
  <si>
    <t>Rangka Utama Besi IWF 150 x75x5,x7</t>
  </si>
  <si>
    <t>5.</t>
  </si>
  <si>
    <t>TYPE PINTU  PK - 01  ( PINTU UTAMA )</t>
  </si>
  <si>
    <t xml:space="preserve">Pintu &amp; Jendela utama Kaca tempered glass tebal Kusen Material: 10mm Kayu Solid </t>
  </si>
  <si>
    <t>Finishing: Lasur Natural Open Pore Do</t>
  </si>
  <si>
    <t>Daun Pintu Material: Kayu Solid Jati Finishing: Lasur Natural Doff</t>
  </si>
  <si>
    <t>Handle &amp; Lockset Handle: Custom Handle Kayu Jati Lockset: Dekkson tipe TB</t>
  </si>
  <si>
    <t>Engsel Pivot ex. Dekkson</t>
  </si>
  <si>
    <t>TYPE PINTU  PK - 02 ( PINTU SAMPING)</t>
  </si>
  <si>
    <t>Kusen Material: Kayu Solid Finishing: Lasur Natural Open Pore Doff Daun Pintu Material: Multipleks</t>
  </si>
  <si>
    <t>Finishing: Material: Rangka Hollow 2x4 Finishing: Sisi Luar: GRC Cat</t>
  </si>
  <si>
    <t xml:space="preserve">Dinding Eksterior Mowilex Mega W 0957 Kamprot </t>
  </si>
  <si>
    <t>Sisi Dalam: Cat Tembok Warna Putih Mowilex Weathercoat White Lace 97D_x0002_02A0</t>
  </si>
  <si>
    <t xml:space="preserve"> Handle &amp; Lockset Dekkson LHTR DKS 0019 Matt Black Engsel Pivot ex. Dekkson</t>
  </si>
  <si>
    <t>7.</t>
  </si>
  <si>
    <t>TYPE PINTU  PK - 03 ( PINTU KM/WC)</t>
  </si>
  <si>
    <t xml:space="preserve">Material: Kayu Teakwood Finishing: Lasur Natural Open Pore Doff </t>
  </si>
  <si>
    <t xml:space="preserve">Daun Pintu Material: Multipleks Finishing: Teakwood grouting 3 mm per 37 mm / bagi rata </t>
  </si>
  <si>
    <t xml:space="preserve">fin. Lasur Natural Open Pore Doff </t>
  </si>
  <si>
    <t>Handle &amp; Lockset Dekkson LHTR DKS 0019 Matt Black Engsel Pivot ex. Dekkson Pivot Hinge Ess Pv 002 Sss</t>
  </si>
  <si>
    <t>9.</t>
  </si>
  <si>
    <t>TYPE PINTU  PK - 04 ( PINTU K.TIDUR)</t>
  </si>
  <si>
    <t xml:space="preserve">Kusen Material: Kayu Solid </t>
  </si>
  <si>
    <t>Finishing: Sisi Dalam: Cat Putih Jotun True Beauty Matt Skylight 1624 atau serupa</t>
  </si>
  <si>
    <t xml:space="preserve">Daun Pintu Material: Multipleks </t>
  </si>
  <si>
    <t>Finishing: Cat Tembok Warna Putih Mowilex Weathercoat White Lace 97D_x0002_02A04 aplikasi roll</t>
  </si>
  <si>
    <t>Handle Dekkson LHTR DKS 0019 Matt Black Engsel Pivot ex. Dekkso</t>
  </si>
  <si>
    <t>Rangka Hollow 40x80 Fin. Cat Abu Tu</t>
  </si>
  <si>
    <t>TYPE PINTU  PK - 05 ( KM/WC BWH TANGGA)</t>
  </si>
  <si>
    <t>TYPE PINTU  PK - 06 ( AREA SERVICE LT 2)</t>
  </si>
  <si>
    <t>TYPE PINTU  PK - 07  ( K.TIDUR &amp; KM ART )</t>
  </si>
  <si>
    <t>TYPE PINTU / JENDELA   JA - 01  (R.TAMU  )</t>
  </si>
  <si>
    <r>
      <t xml:space="preserve"> Kusen Material: Aluminium ex.</t>
    </r>
    <r>
      <rPr>
        <b/>
        <sz val="12"/>
        <color rgb="FFFF0000"/>
        <rFont val="Arial Narrow"/>
        <family val="2"/>
      </rPr>
      <t xml:space="preserve"> YKK</t>
    </r>
    <r>
      <rPr>
        <sz val="12"/>
        <color theme="1"/>
        <rFont val="Arial Narrow"/>
        <family val="2"/>
      </rPr>
      <t xml:space="preserve"> UK 4 in  Finishing Powder Coat Tekstyr Warna Abu</t>
    </r>
  </si>
  <si>
    <t xml:space="preserve">ALUMIONIUM BY OUWNER </t>
  </si>
  <si>
    <t>TYPE PINTU  PA - 01  ( TERAS BELAKANG )</t>
  </si>
  <si>
    <r>
      <t xml:space="preserve"> Daun Pintu Material: Aluminium ex. </t>
    </r>
    <r>
      <rPr>
        <b/>
        <sz val="12"/>
        <color rgb="FFFF0000"/>
        <rFont val="Arial Narrow"/>
        <family val="2"/>
      </rPr>
      <t>YKK</t>
    </r>
    <r>
      <rPr>
        <sz val="12"/>
        <color theme="1"/>
        <rFont val="Arial Narrow"/>
        <family val="2"/>
      </rPr>
      <t xml:space="preserve"> + Kaca Clear (Tebal Menyesuaikan) </t>
    </r>
  </si>
  <si>
    <t>TYPE PINTU  PA - 02  ( TERAS BELAKANG )</t>
  </si>
  <si>
    <t>Finishing: Powder Coat Tekstur Warna Abu Handle By Supplier</t>
  </si>
  <si>
    <t>TYPE PINTU  PA - 03  ( TERAS BELAKANG  )</t>
  </si>
  <si>
    <t>Handle By Supplier</t>
  </si>
  <si>
    <t>Engsel By Supplier</t>
  </si>
  <si>
    <t>TYPE JENDELA  JA - 02 ( K. TIDUR LT 1)</t>
  </si>
  <si>
    <r>
      <t>Kusen Aluminium Ex.</t>
    </r>
    <r>
      <rPr>
        <b/>
        <sz val="12"/>
        <color rgb="FFFF0000"/>
        <rFont val="Arial Narrow"/>
        <family val="2"/>
      </rPr>
      <t>YKK</t>
    </r>
    <r>
      <rPr>
        <sz val="12"/>
        <color theme="1"/>
        <rFont val="Arial Narrow"/>
        <family val="2"/>
      </rPr>
      <t xml:space="preserve">  Jendela  Kaca Polos 8 mm</t>
    </r>
  </si>
  <si>
    <t xml:space="preserve">TYPE JENDELA  JA - 03' </t>
  </si>
  <si>
    <r>
      <t>Kusen Aluminium Ex.</t>
    </r>
    <r>
      <rPr>
        <b/>
        <sz val="12"/>
        <color rgb="FFFF0000"/>
        <rFont val="Arial Narrow"/>
        <family val="2"/>
      </rPr>
      <t>YKK</t>
    </r>
    <r>
      <rPr>
        <sz val="12"/>
        <color theme="1"/>
        <rFont val="Arial Narrow"/>
        <family val="2"/>
      </rPr>
      <t xml:space="preserve">  Jendela  Kaca Polos 5 mm</t>
    </r>
  </si>
  <si>
    <t xml:space="preserve">TYPE JENDELA  JA - 03 ( K. TIDUR UTAMA  ) besar </t>
  </si>
  <si>
    <t>TYPE JENDELA  JA - 04 ( K. TIDUR UTANA ) Kecil</t>
  </si>
  <si>
    <t>TYPE PINTU  PA - 04  ( K.TIFUR ANAK 1 )</t>
  </si>
  <si>
    <t xml:space="preserve">TYPE JENDELA  JA - 05 ( K. TIDUR ANAK 2 ) </t>
  </si>
  <si>
    <t>TYPE PINTU  PA - 05  ( BALKON BELAKANG )</t>
  </si>
  <si>
    <t xml:space="preserve">TYPE BV K - 01 </t>
  </si>
  <si>
    <t xml:space="preserve">Kaca Mati Ex.Himalaya abadi acid glass dop  + besi perforeted 15x15 cm </t>
  </si>
  <si>
    <t>TYPE BV K - 02</t>
  </si>
  <si>
    <t>TYPE BV K - 03</t>
  </si>
  <si>
    <t>JA - 06 ?</t>
  </si>
  <si>
    <t xml:space="preserve">Plafond </t>
  </si>
  <si>
    <t xml:space="preserve"> exterior Gypsum water resistant 9 mm ex. Jaya Board + list shadowline di tepi plafon </t>
  </si>
  <si>
    <t>fin. Cat Warna Putih Mowilex Weathercoat White Lace 97D_x0002_02A04</t>
  </si>
  <si>
    <t xml:space="preserve">Atap Kanopi (Area Servis) </t>
  </si>
  <si>
    <t xml:space="preserve"> Atap Polycarbonate Ex. Twinlite 10mm Warna B</t>
  </si>
  <si>
    <t>m2</t>
  </si>
  <si>
    <t>TAMAN, TERAS, PERKERASAN, DAN AREA LUAR</t>
  </si>
  <si>
    <t>Parkir kendaraan</t>
  </si>
  <si>
    <t xml:space="preserve">Batu Andesit KW1 /Type tertinggi 100x100 kw 1 mm Fin. Bakar Coating Doff Nad rapat Batu split 2-4 cm </t>
  </si>
  <si>
    <t>tabur + Edging Siku 40 x 40 mm fin. Cat Besi Warna Abu ex. Nipp</t>
  </si>
  <si>
    <t>2.</t>
  </si>
  <si>
    <t xml:space="preserve">Taman </t>
  </si>
  <si>
    <t>Rumput gajah mini</t>
  </si>
  <si>
    <t xml:space="preserve"> Bench Bench beton</t>
  </si>
  <si>
    <t>finish batu andesit kw 1 nad rapat uk. 100x100mm</t>
  </si>
  <si>
    <t xml:space="preserve">Terrace Deck </t>
  </si>
  <si>
    <t>Kayu solid ulin unfinished ex. Kaltimber classic smoo</t>
  </si>
  <si>
    <t xml:space="preserve">Skylight Kaca </t>
  </si>
  <si>
    <t xml:space="preserve">Kaca Tempered 10mm </t>
  </si>
  <si>
    <t>6.</t>
  </si>
  <si>
    <t xml:space="preserve">Planter Box Pasang Bata ringan </t>
  </si>
  <si>
    <t xml:space="preserve">plester aci fin. Kamprot Halus Mesin Gosok Lapis </t>
  </si>
  <si>
    <t xml:space="preserve">Cat Exterior Ex. Mowilex Weathercoat Mega W-0957. Sisi dalam cat. Hitam waterproof </t>
  </si>
  <si>
    <t xml:space="preserve">Swimming Pool </t>
  </si>
  <si>
    <t>Batu Alam Sukabumi uk. 10x10cm nad rapat, gutter tutup batu split tabur 2-4cm</t>
  </si>
  <si>
    <t>8.</t>
  </si>
  <si>
    <t xml:space="preserve">Detail Kaca Mati </t>
  </si>
  <si>
    <t xml:space="preserve">Kaca clear glass tebal 10mm, Plat besi tebal 3mm fin. Cat besi abu tua include jaring nyamuk </t>
  </si>
  <si>
    <t>Pelebaran Paving Blok</t>
  </si>
  <si>
    <t xml:space="preserve">Ex.Cisangkan </t>
  </si>
  <si>
    <t xml:space="preserve">Lantai Kandang Anjing </t>
  </si>
  <si>
    <t>Penambahan Storage pada area tman sloping ( untuk peralatan mobil pompa air)</t>
  </si>
  <si>
    <t>Sub Total III.</t>
  </si>
  <si>
    <t>FINISHING INTERIOR</t>
  </si>
  <si>
    <t>LANTAI SATU</t>
  </si>
  <si>
    <t>CARPORT - 1F</t>
  </si>
  <si>
    <t xml:space="preserve">Plafon Gypsum 9 mm </t>
  </si>
  <si>
    <t>ex. Jaya Board + list shadowline di tepi plafon fin. cat tembok warna putih (ex. Mowilex White Lace 97D_x0002_02A04</t>
  </si>
  <si>
    <t xml:space="preserve">Dinding Dinding ½ Bata </t>
  </si>
  <si>
    <t>Finish Aci Kamprot Halus Mesin Lapis Cat Exterior Ex. Mowilex Weathercoat Mega W-0957</t>
  </si>
  <si>
    <t>Lantai</t>
  </si>
  <si>
    <t>Batu Andesit 100x100 kw 1 mm Fin. Bakar Coating Doff Nad rapa</t>
  </si>
  <si>
    <t>Batu split 2-3 cm tabur</t>
  </si>
  <si>
    <t>ENTRANCE - GF</t>
  </si>
  <si>
    <t xml:space="preserve">Plafon Gypsum Water Resistant 9 mm </t>
  </si>
  <si>
    <t>Ex.Jaya Board + List Shadowline Di Tepi Plafon Fin. Cat Tembok Warna Putih (Ex. Mowilex White Lace 97D_x0002_02A04)</t>
  </si>
  <si>
    <t>Dinding Dinding ½ Bata</t>
  </si>
  <si>
    <t xml:space="preserve">Finish Aci Kamprot Halus Mesin Lapis Cat Exterior Ex. Mowilex Weathercoat Mega W-0957 </t>
  </si>
  <si>
    <t xml:space="preserve">Lantai </t>
  </si>
  <si>
    <t>Kayu solid ulin unfinished ex. Kaltimber classic smooth</t>
  </si>
  <si>
    <t>Plin Lantai</t>
  </si>
  <si>
    <t>Aluminium Profil U 10 x 10 mm fin. Cat eksterior</t>
  </si>
  <si>
    <t xml:space="preserve">FOYER - 1F </t>
  </si>
  <si>
    <r>
      <t xml:space="preserve"> Homogenous Tile Ex. Quadra Beton Grigio uk. 1200x1200mm  - </t>
    </r>
    <r>
      <rPr>
        <b/>
        <sz val="12"/>
        <color rgb="FFFF0000"/>
        <rFont val="Arial Narrow"/>
        <family val="2"/>
      </rPr>
      <t>600x1200 mm</t>
    </r>
  </si>
  <si>
    <t xml:space="preserve">QUADRA BY OUWNER </t>
  </si>
  <si>
    <t>Top Table dan Backsplash</t>
  </si>
  <si>
    <t>Batu Granit coating fin. Honed 240x60c</t>
  </si>
  <si>
    <t>RUANG KELUARGA, RUANG MAKAN &amp; DAPUR - 1F</t>
  </si>
  <si>
    <t xml:space="preserve">finish cat tembok warna putih (ex. Mowilex White Lace 97D_x0002_02A04) </t>
  </si>
  <si>
    <t>KAMAR TIDUR ORANG TUA - 1F</t>
  </si>
  <si>
    <t>POOL TERRACE - 1F</t>
  </si>
  <si>
    <t xml:space="preserve">Kayu solid ulin unfinished ex. Kaltimber classic smooth </t>
  </si>
  <si>
    <t>KAMAR MANDI ORANG TUA - 1F</t>
  </si>
  <si>
    <t xml:space="preserve">Homogenous Tile Ex. Niro Granite Terrazzo Alba GTZ01 UK. 600X600mm </t>
  </si>
  <si>
    <t>POWDER ROOM - 1F</t>
  </si>
  <si>
    <t>DAPUR SERVICE - 1F</t>
  </si>
  <si>
    <t xml:space="preserve">1. Skylight Atap Polycarbonate </t>
  </si>
  <si>
    <t xml:space="preserve"> Ex. Twinlite 10mm Warna Bening </t>
  </si>
  <si>
    <t>Rangka Hollow 40x80 Fin. Cat Hita</t>
  </si>
  <si>
    <t>Dinding Dinding ½ Bata ringan</t>
  </si>
  <si>
    <t xml:space="preserve">Mulia Arkansas Grey 400x400mm atau setar </t>
  </si>
  <si>
    <t>Tangga Service</t>
  </si>
  <si>
    <t>Trap Tangga Besi Pelapis HT Mulia Arkansas gray  40x40 cm</t>
  </si>
  <si>
    <t xml:space="preserve">Trap </t>
  </si>
  <si>
    <t>TANGGA - 1F</t>
  </si>
  <si>
    <r>
      <t xml:space="preserve"> Uptrade :Homogenous Tile Ex. Quadra Beton Grigio uk. 1200x1200mm  - </t>
    </r>
    <r>
      <rPr>
        <b/>
        <sz val="12"/>
        <color rgb="FFFF0000"/>
        <rFont val="Arial Narrow"/>
        <family val="2"/>
      </rPr>
      <t>600x1200 mm</t>
    </r>
  </si>
  <si>
    <t>Antrade: Papan Kayu Solid Jati panjang dan lebar menyesuaikan tangga fin. Lasur Open Pore Doff</t>
  </si>
  <si>
    <t xml:space="preserve">Railing Dinding ½ Bata Merah </t>
  </si>
  <si>
    <t>finish cat tembok warna putih Mowilex Weathercoat White Lace 97D-02A04)</t>
  </si>
  <si>
    <t>Top Papan Kayu Solid Jati panjang dan lebar menyesuaikan tebal dinding fin. Lasur Open Pore Dof</t>
  </si>
  <si>
    <t>Sub Total IV.A</t>
  </si>
  <si>
    <t xml:space="preserve">LANTAI DUA </t>
  </si>
  <si>
    <t>KORIDOR - 2F</t>
  </si>
  <si>
    <t>RUANG KELUARGA - 2F</t>
  </si>
  <si>
    <t>KAMAR TIDUR ANAK 1 &amp; 2 - 2F</t>
  </si>
  <si>
    <t>Lantai SPC (ex. Wisma Sehati Soft Brown Oak FFSAP10641P )</t>
  </si>
  <si>
    <t>KAMAR TIDUR UTAMA- 2</t>
  </si>
  <si>
    <t>KAMAR MANDI ANAK 1 &amp; 2 - 2F</t>
  </si>
  <si>
    <t>Dinding</t>
  </si>
  <si>
    <t>Homogenous Tile 600x600 mm Roman Granit dPortland Grey GT602035</t>
  </si>
  <si>
    <t>KAMAR MANDI UTAMA - 2</t>
  </si>
  <si>
    <t>BALCONY- 2F</t>
  </si>
  <si>
    <t>Ex. Jaya Board + List Shadowline Di Tepi Plafon Fin. Cat Exterior Ex. Mowilex Weathercoat Mega W-0957</t>
  </si>
  <si>
    <t>Dinding ½ Bata Finish Aci Kamprot Halus Mesin Lapis Cat Exterior Ex. Mowilex Weathercoat Mega W-0957</t>
  </si>
  <si>
    <t>Railing Balcony Kisi Kayu Ulin</t>
  </si>
  <si>
    <t xml:space="preserve"> rangka plat besi 3mm, dudukan plat besi tebal 5mm fin. Cat Nippe 2000 Abu Tua + Obat Doff Century</t>
  </si>
  <si>
    <t>AREA SERVICE - 2F</t>
  </si>
  <si>
    <t xml:space="preserve">Skylight Atap Polycarbonate </t>
  </si>
  <si>
    <t>Ex. Twinlite 10mm Warna Bening Rangka Hollow 40x80mm fin. Cat abu tua</t>
  </si>
  <si>
    <t xml:space="preserve"> finish cat tembok warna putih (ex. Mowilex White Lace 97D_x0002_02A04 )</t>
  </si>
  <si>
    <t>Mulia Arkansas Grey 400x400mm atau setara</t>
  </si>
  <si>
    <t xml:space="preserve">Railing </t>
  </si>
  <si>
    <t>Pipa besi hollow diameter 10mm fin. Cat Besi Abu tu</t>
  </si>
  <si>
    <t>Handle</t>
  </si>
  <si>
    <t>Plat Besi Tebal 3mm fin. Cat besi abu tua</t>
  </si>
  <si>
    <t>KAMAR TIDUR SERVICE - 2F</t>
  </si>
  <si>
    <t>Dinding ½ Bata ringan finish cat tembok warna putih (ex. Mowilex White Lace 97D_x0002_02A04 )</t>
  </si>
  <si>
    <t>Mulia Arkansas Grey 400x400mm atau setar</t>
  </si>
  <si>
    <t>KAMAR MANDI SERVICE - 2F</t>
  </si>
  <si>
    <t xml:space="preserve">Dinding ½ Bata Merah </t>
  </si>
  <si>
    <t>Mulia Arkansas Grey 400x400mm atau setara sampai H +1200 dari lantai</t>
  </si>
  <si>
    <t>Tangga Darurat /Tangga Monyet</t>
  </si>
  <si>
    <t>Besi Pipa / Hollow</t>
  </si>
  <si>
    <t>Sub Total IV.B</t>
  </si>
  <si>
    <t>SANITARY</t>
  </si>
  <si>
    <t xml:space="preserve">CARPORT - GF </t>
  </si>
  <si>
    <t>Faucet PALOMA FCP 9671</t>
  </si>
  <si>
    <r>
      <rPr>
        <b/>
        <sz val="12"/>
        <color rgb="FF808080"/>
        <rFont val="Arial Narrow"/>
        <family val="2"/>
      </rPr>
      <t>2  Buah  pada  sisi  kiri  dan kanan Carport</t>
    </r>
  </si>
  <si>
    <t>TERAS BELAKANG - GF</t>
  </si>
  <si>
    <r>
      <rPr>
        <b/>
        <sz val="12"/>
        <color rgb="FF808080"/>
        <rFont val="Arial Narrow"/>
        <family val="2"/>
      </rPr>
      <t>1 Buah pada sisi kiri teras</t>
    </r>
  </si>
  <si>
    <t xml:space="preserve">AREA CUCI JEMUR - GF </t>
  </si>
  <si>
    <t>Faucet</t>
  </si>
  <si>
    <r>
      <t>TOTO T23B13 -</t>
    </r>
    <r>
      <rPr>
        <b/>
        <sz val="12"/>
        <color rgb="FFFF0000"/>
        <rFont val="Arial Narrow"/>
        <family val="2"/>
      </rPr>
      <t xml:space="preserve"> Material By Ouwner </t>
    </r>
  </si>
  <si>
    <t xml:space="preserve">Drain </t>
  </si>
  <si>
    <r>
      <t xml:space="preserve"> ONDA FLS 0 - </t>
    </r>
    <r>
      <rPr>
        <b/>
        <sz val="12"/>
        <color rgb="FFFF0000"/>
        <rFont val="Arial Narrow"/>
        <family val="2"/>
      </rPr>
      <t xml:space="preserve">Material By Ouwner </t>
    </r>
  </si>
  <si>
    <t xml:space="preserve">K.MANDI ORANG TUA - 1F </t>
  </si>
  <si>
    <r>
      <rPr>
        <b/>
        <sz val="12"/>
        <color rgb="FF808080"/>
        <rFont val="Arial Narrow"/>
        <family val="2"/>
      </rPr>
      <t>Closet</t>
    </r>
  </si>
  <si>
    <r>
      <t xml:space="preserve">Villeroy &amp; Boch Closet 660710 Geberit Actuator Wall Hung - </t>
    </r>
    <r>
      <rPr>
        <b/>
        <sz val="12"/>
        <color rgb="FFFF0000"/>
        <rFont val="Aptos Narrow"/>
        <family val="2"/>
        <scheme val="minor"/>
      </rPr>
      <t xml:space="preserve">Material BY Ouwner </t>
    </r>
  </si>
  <si>
    <r>
      <rPr>
        <b/>
        <sz val="12"/>
        <color rgb="FF808080"/>
        <rFont val="Arial Narrow"/>
        <family val="2"/>
      </rPr>
      <t>Jetwasher</t>
    </r>
  </si>
  <si>
    <r>
      <t xml:space="preserve">TOTO TX 403 MMD - </t>
    </r>
    <r>
      <rPr>
        <b/>
        <sz val="12"/>
        <color theme="1"/>
        <rFont val="Aptos Narrow"/>
        <family val="2"/>
        <scheme val="minor"/>
      </rPr>
      <t>M</t>
    </r>
    <r>
      <rPr>
        <b/>
        <sz val="12"/>
        <color rgb="FFFF0000"/>
        <rFont val="Aptos Narrow"/>
        <family val="2"/>
        <scheme val="minor"/>
      </rPr>
      <t>aterial By Ouwner</t>
    </r>
    <r>
      <rPr>
        <b/>
        <sz val="12"/>
        <color theme="1"/>
        <rFont val="Aptos Narrow"/>
        <family val="2"/>
        <scheme val="minor"/>
      </rPr>
      <t xml:space="preserve"> </t>
    </r>
  </si>
  <si>
    <r>
      <rPr>
        <b/>
        <sz val="12"/>
        <color rgb="FF808080"/>
        <rFont val="Arial Narrow"/>
        <family val="2"/>
      </rPr>
      <t>Floor drain</t>
    </r>
  </si>
  <si>
    <r>
      <t>ELITE E777 -</t>
    </r>
    <r>
      <rPr>
        <b/>
        <sz val="12"/>
        <color theme="1"/>
        <rFont val="Aptos Narrow"/>
        <family val="2"/>
        <scheme val="minor"/>
      </rPr>
      <t xml:space="preserve"> </t>
    </r>
    <r>
      <rPr>
        <b/>
        <sz val="12"/>
        <color rgb="FFFF0000"/>
        <rFont val="Aptos Narrow"/>
        <family val="2"/>
        <scheme val="minor"/>
      </rPr>
      <t>Material By Ouwner</t>
    </r>
    <r>
      <rPr>
        <b/>
        <sz val="12"/>
        <color theme="1"/>
        <rFont val="Aptos Narrow"/>
        <family val="2"/>
        <scheme val="minor"/>
      </rPr>
      <t xml:space="preserve"> </t>
    </r>
  </si>
  <si>
    <r>
      <rPr>
        <b/>
        <sz val="12"/>
        <color rgb="FF808080"/>
        <rFont val="Arial Narrow"/>
        <family val="2"/>
      </rPr>
      <t>Toilet Paper Holder</t>
    </r>
  </si>
  <si>
    <r>
      <t>TOTO TX 703 M3AV1 -</t>
    </r>
    <r>
      <rPr>
        <sz val="12"/>
        <color rgb="FFFF0000"/>
        <rFont val="Aptos Narrow"/>
        <family val="2"/>
        <scheme val="minor"/>
      </rPr>
      <t xml:space="preserve"> </t>
    </r>
    <r>
      <rPr>
        <b/>
        <sz val="12"/>
        <color rgb="FFFF0000"/>
        <rFont val="Aptos Narrow"/>
        <family val="2"/>
        <scheme val="minor"/>
      </rPr>
      <t xml:space="preserve">Material By Ouwner </t>
    </r>
  </si>
  <si>
    <r>
      <rPr>
        <b/>
        <sz val="12"/>
        <color rgb="FF808080"/>
        <rFont val="Arial Narrow"/>
        <family val="2"/>
      </rPr>
      <t>Lavatory</t>
    </r>
  </si>
  <si>
    <r>
      <t xml:space="preserve">Villeroy &amp; Boch Lavatory 416540- </t>
    </r>
    <r>
      <rPr>
        <b/>
        <sz val="12"/>
        <color rgb="FFFF0000"/>
        <rFont val="Aptos Narrow"/>
        <family val="2"/>
        <scheme val="minor"/>
      </rPr>
      <t>Material By Ouwner</t>
    </r>
  </si>
  <si>
    <r>
      <rPr>
        <b/>
        <sz val="12"/>
        <color rgb="FF808080"/>
        <rFont val="Arial Narrow"/>
        <family val="2"/>
      </rPr>
      <t>Lavatory faucet</t>
    </r>
  </si>
  <si>
    <r>
      <rPr>
        <b/>
        <sz val="12"/>
        <color rgb="FF808080"/>
        <rFont val="Arial Narrow"/>
        <family val="2"/>
      </rPr>
      <t xml:space="preserve">TOTO TX 118 LESBR - </t>
    </r>
    <r>
      <rPr>
        <b/>
        <sz val="12"/>
        <color rgb="FFFF0000"/>
        <rFont val="Arial Narrow"/>
        <family val="2"/>
      </rPr>
      <t xml:space="preserve">Material By Ouwner </t>
    </r>
  </si>
  <si>
    <r>
      <rPr>
        <b/>
        <sz val="12"/>
        <color rgb="FF808080"/>
        <rFont val="Arial Narrow"/>
        <family val="2"/>
      </rPr>
      <t>Hand Shower</t>
    </r>
  </si>
  <si>
    <r>
      <rPr>
        <b/>
        <sz val="12"/>
        <color rgb="FF808080"/>
        <rFont val="Arial Narrow"/>
        <family val="2"/>
      </rPr>
      <t>Spout and Mixer</t>
    </r>
  </si>
  <si>
    <r>
      <t xml:space="preserve">Toto TX 115 MMA - </t>
    </r>
    <r>
      <rPr>
        <b/>
        <sz val="12"/>
        <color rgb="FFFF0000"/>
        <rFont val="Aptos Narrow"/>
        <family val="2"/>
        <scheme val="minor"/>
      </rPr>
      <t xml:space="preserve">Material By Ouwner </t>
    </r>
  </si>
  <si>
    <t xml:space="preserve">Kaca Shower Screnn </t>
  </si>
  <si>
    <t xml:space="preserve">Kaca Temperd 10 mm </t>
  </si>
  <si>
    <t xml:space="preserve">Unit </t>
  </si>
  <si>
    <r>
      <t>TOTO TX 403 MMD -</t>
    </r>
    <r>
      <rPr>
        <b/>
        <sz val="12"/>
        <color theme="1"/>
        <rFont val="Aptos Narrow"/>
        <family val="2"/>
        <scheme val="minor"/>
      </rPr>
      <t xml:space="preserve"> M</t>
    </r>
    <r>
      <rPr>
        <b/>
        <sz val="12"/>
        <color rgb="FFFF0000"/>
        <rFont val="Aptos Narrow"/>
        <family val="2"/>
        <scheme val="minor"/>
      </rPr>
      <t>aterial By Ouwner</t>
    </r>
    <r>
      <rPr>
        <b/>
        <sz val="12"/>
        <color theme="1"/>
        <rFont val="Aptos Narrow"/>
        <family val="2"/>
        <scheme val="minor"/>
      </rPr>
      <t xml:space="preserve"> </t>
    </r>
  </si>
  <si>
    <r>
      <t xml:space="preserve">ELITE E777 - </t>
    </r>
    <r>
      <rPr>
        <b/>
        <sz val="12"/>
        <color rgb="FFFF0000"/>
        <rFont val="Aptos Narrow"/>
        <family val="2"/>
        <scheme val="minor"/>
      </rPr>
      <t>Material By Ouwner</t>
    </r>
    <r>
      <rPr>
        <b/>
        <sz val="12"/>
        <color theme="1"/>
        <rFont val="Aptos Narrow"/>
        <family val="2"/>
        <scheme val="minor"/>
      </rPr>
      <t xml:space="preserve"> </t>
    </r>
  </si>
  <si>
    <t>K.MANDI ANAK 1 &amp; 2 - 2</t>
  </si>
  <si>
    <r>
      <t xml:space="preserve">Villeroy &amp; Boch Closet 660710 Geberit Actuator Wall Hung - </t>
    </r>
    <r>
      <rPr>
        <sz val="12"/>
        <color rgb="FFFF0000"/>
        <rFont val="Aptos Narrow"/>
        <family val="2"/>
        <scheme val="minor"/>
      </rPr>
      <t xml:space="preserve">Material BY Ouwner </t>
    </r>
  </si>
  <si>
    <r>
      <t>TOTO TX 403 MMD -</t>
    </r>
    <r>
      <rPr>
        <sz val="12"/>
        <color rgb="FFFF0000"/>
        <rFont val="Aptos Narrow"/>
        <family val="2"/>
        <scheme val="minor"/>
      </rPr>
      <t xml:space="preserve"> </t>
    </r>
    <r>
      <rPr>
        <b/>
        <sz val="12"/>
        <color rgb="FFFF0000"/>
        <rFont val="Aptos Narrow"/>
        <family val="2"/>
        <scheme val="minor"/>
      </rPr>
      <t>Material By Ouwner</t>
    </r>
    <r>
      <rPr>
        <sz val="12"/>
        <color rgb="FFFF0000"/>
        <rFont val="Aptos Narrow"/>
        <family val="2"/>
        <scheme val="minor"/>
      </rPr>
      <t xml:space="preserve"> </t>
    </r>
  </si>
  <si>
    <r>
      <t xml:space="preserve">Villeroy &amp; Boch Lavatory 51225301 - </t>
    </r>
    <r>
      <rPr>
        <b/>
        <sz val="12"/>
        <color rgb="FFFF0000"/>
        <rFont val="Arial Narrow"/>
        <family val="2"/>
      </rPr>
      <t xml:space="preserve">Material By Ouwner </t>
    </r>
  </si>
  <si>
    <r>
      <t xml:space="preserve">Villeroy &amp; Boch Hand Shower THX118SRR - </t>
    </r>
    <r>
      <rPr>
        <b/>
        <sz val="12"/>
        <color rgb="FFFF0000"/>
        <rFont val="Arial Narrow"/>
        <family val="2"/>
      </rPr>
      <t xml:space="preserve">Material By Ouwner </t>
    </r>
  </si>
  <si>
    <r>
      <rPr>
        <b/>
        <sz val="12"/>
        <color rgb="FF808080"/>
        <rFont val="Arial Narrow"/>
        <family val="2"/>
      </rPr>
      <t>Head Shower</t>
    </r>
  </si>
  <si>
    <r>
      <t xml:space="preserve">Villeroy &amp; Boch Head Shower TVC00040230061 - </t>
    </r>
    <r>
      <rPr>
        <b/>
        <sz val="12"/>
        <color rgb="FFFF0000"/>
        <rFont val="Arial Narrow"/>
        <family val="2"/>
      </rPr>
      <t xml:space="preserve">Material By Ouwner </t>
    </r>
  </si>
  <si>
    <r>
      <rPr>
        <b/>
        <sz val="12"/>
        <color rgb="FF808080"/>
        <rFont val="Arial Narrow"/>
        <family val="2"/>
      </rPr>
      <t>Villeroy     &amp;     Boch     Mixer TVT10350700061 -</t>
    </r>
    <r>
      <rPr>
        <b/>
        <sz val="12"/>
        <color rgb="FFFF0000"/>
        <rFont val="Arial Narrow"/>
        <family val="2"/>
      </rPr>
      <t xml:space="preserve"> Material By Ouwner</t>
    </r>
  </si>
  <si>
    <r>
      <rPr>
        <b/>
        <sz val="12"/>
        <color rgb="FF808080"/>
        <rFont val="Arial Narrow"/>
        <family val="2"/>
      </rPr>
      <t>Diverter</t>
    </r>
  </si>
  <si>
    <r>
      <rPr>
        <b/>
        <sz val="12"/>
        <color rgb="FF808080"/>
        <rFont val="Arial Narrow"/>
        <family val="2"/>
      </rPr>
      <t xml:space="preserve">Villeroy    &amp;    Boch    Diverter TVC00045453061 - </t>
    </r>
    <r>
      <rPr>
        <b/>
        <sz val="12"/>
        <color rgb="FFFF0000"/>
        <rFont val="Arial Narrow"/>
        <family val="2"/>
      </rPr>
      <t>Material By Ouwner</t>
    </r>
  </si>
  <si>
    <t>K.MANDI UTAMA - 2F</t>
  </si>
  <si>
    <t>Closet</t>
  </si>
  <si>
    <t xml:space="preserve">Kaca Temperd 10 mm + Pintu </t>
  </si>
  <si>
    <t>K.MANDI SERVIS - 2</t>
  </si>
  <si>
    <t xml:space="preserve">Kloset Duduk Eksisting - </t>
  </si>
  <si>
    <r>
      <rPr>
        <b/>
        <sz val="12"/>
        <color rgb="FF808080"/>
        <rFont val="Arial Narrow"/>
        <family val="2"/>
      </rPr>
      <t>Shower</t>
    </r>
  </si>
  <si>
    <r>
      <rPr>
        <b/>
        <sz val="12"/>
        <color rgb="FF808080"/>
        <rFont val="Arial Narrow"/>
        <family val="2"/>
      </rPr>
      <t xml:space="preserve">TOTO TX402SN - </t>
    </r>
    <r>
      <rPr>
        <b/>
        <sz val="12"/>
        <color rgb="FFFF0000"/>
        <rFont val="Arial Narrow"/>
        <family val="2"/>
      </rPr>
      <t xml:space="preserve">Material By Ouwner </t>
    </r>
  </si>
  <si>
    <r>
      <rPr>
        <b/>
        <sz val="12"/>
        <color rgb="FF808080"/>
        <rFont val="Arial Narrow"/>
        <family val="2"/>
      </rPr>
      <t>Faucet</t>
    </r>
  </si>
  <si>
    <r>
      <rPr>
        <b/>
        <sz val="12"/>
        <color rgb="FF808080"/>
        <rFont val="Arial Narrow"/>
        <family val="2"/>
      </rPr>
      <t>AMERICAN         STANDARD AMM A 7300 -</t>
    </r>
    <r>
      <rPr>
        <b/>
        <sz val="12"/>
        <color rgb="FFFF0000"/>
        <rFont val="Arial Narrow"/>
        <family val="2"/>
      </rPr>
      <t xml:space="preserve"> Material By Ouwner </t>
    </r>
  </si>
  <si>
    <r>
      <rPr>
        <b/>
        <sz val="12"/>
        <color rgb="FF808080"/>
        <rFont val="Arial Narrow"/>
        <family val="2"/>
      </rPr>
      <t>Floor Drain</t>
    </r>
  </si>
  <si>
    <r>
      <rPr>
        <b/>
        <sz val="12"/>
        <color rgb="FF808080"/>
        <rFont val="Arial Narrow"/>
        <family val="2"/>
      </rPr>
      <t xml:space="preserve">ONDA FLS 05 - </t>
    </r>
    <r>
      <rPr>
        <b/>
        <sz val="12"/>
        <color rgb="FFFF0000"/>
        <rFont val="Arial Narrow"/>
        <family val="2"/>
      </rPr>
      <t xml:space="preserve">Material By Ouwner </t>
    </r>
  </si>
  <si>
    <t>ELEKTRIKAL</t>
  </si>
  <si>
    <t>LIGHTIN</t>
  </si>
  <si>
    <t xml:space="preserve"> Lampu downlight </t>
  </si>
  <si>
    <t xml:space="preserve">Nero Light trimless round armour - recessed luminaire for MR16 </t>
  </si>
  <si>
    <r>
      <rPr>
        <b/>
        <sz val="12"/>
        <color rgb="FF808080"/>
        <rFont val="Arial Narrow"/>
        <family val="2"/>
      </rPr>
      <t>Nero   Light   titan   led   mr16 warna 3000K</t>
    </r>
  </si>
  <si>
    <t>LED strip</t>
  </si>
  <si>
    <r>
      <rPr>
        <b/>
        <sz val="12"/>
        <color rgb="FF808080"/>
        <rFont val="Arial Narrow"/>
        <family val="2"/>
      </rPr>
      <t>LED   Strip   Selang   Dotless warna 3000K tipe TBD</t>
    </r>
  </si>
  <si>
    <t>SAKLAR &amp; STOP KONTAK</t>
  </si>
  <si>
    <r>
      <rPr>
        <b/>
        <sz val="12"/>
        <color rgb="FF808080"/>
        <rFont val="Arial Narrow"/>
        <family val="2"/>
      </rPr>
      <t>Saklar</t>
    </r>
  </si>
  <si>
    <r>
      <rPr>
        <b/>
        <sz val="12"/>
        <color rgb="FF808080"/>
        <rFont val="Arial Narrow"/>
        <family val="2"/>
      </rPr>
      <t>Simon I7 series - white</t>
    </r>
  </si>
  <si>
    <r>
      <rPr>
        <b/>
        <sz val="12"/>
        <color rgb="FF808080"/>
        <rFont val="Arial Narrow"/>
        <family val="2"/>
      </rPr>
      <t>Stop kontak</t>
    </r>
  </si>
  <si>
    <t>PENGHAWAAN</t>
  </si>
  <si>
    <r>
      <rPr>
        <b/>
        <sz val="12"/>
        <color rgb="FF808080"/>
        <rFont val="Arial Narrow"/>
        <family val="2"/>
      </rPr>
      <t>AC Split ex. Daikin atau setara tipe TBD</t>
    </r>
  </si>
  <si>
    <r>
      <rPr>
        <b/>
        <sz val="12"/>
        <color rgb="FF808080"/>
        <rFont val="Arial Narrow"/>
        <family val="2"/>
      </rPr>
      <t>Jumlah: 7
Lokasi: Area Living, Area Dining, Area Kitchen, K.Tidur Orang Tua, Area Living Lt. 2, K.Tidur Anak 1
dan 2, K. Tidur Master</t>
    </r>
  </si>
  <si>
    <r>
      <rPr>
        <b/>
        <sz val="12"/>
        <color rgb="FF808080"/>
        <rFont val="Arial Narrow"/>
        <family val="2"/>
      </rPr>
      <t>Exhaust  Fan  Ceiling  Silent ex. Panasonic atau setara</t>
    </r>
  </si>
  <si>
    <r>
      <rPr>
        <b/>
        <sz val="12"/>
        <color rgb="FF808080"/>
        <rFont val="Arial Narrow"/>
        <family val="2"/>
      </rPr>
      <t>Jumlah: 6
Lokasi: K. Mandi Orang Tua, Area Service Lt.1, K. Mandi Anak  1  dan  2,  K.  Mandi Utama, K. Mandi Service</t>
    </r>
  </si>
  <si>
    <r>
      <rPr>
        <b/>
        <sz val="12"/>
        <color rgb="FF808080"/>
        <rFont val="Arial Narrow"/>
        <family val="2"/>
      </rPr>
      <t>Ceiling  Fan  MT  Edma  52in Dakota Hitam</t>
    </r>
  </si>
  <si>
    <r>
      <rPr>
        <b/>
        <sz val="12"/>
        <color rgb="FF808080"/>
        <rFont val="Arial Narrow"/>
        <family val="2"/>
      </rPr>
      <t>Jumlah: 1
Lokasi: Area Pool Terrace</t>
    </r>
  </si>
  <si>
    <t>Sub Total IV.C</t>
  </si>
  <si>
    <t>V</t>
  </si>
  <si>
    <r>
      <t>M</t>
    </r>
    <r>
      <rPr>
        <vertAlign val="superscript"/>
        <sz val="12"/>
        <color theme="1"/>
        <rFont val="Arial Narrow"/>
        <family val="2"/>
      </rPr>
      <t>3</t>
    </r>
  </si>
  <si>
    <t>Bongkaran Pelapis Lantai</t>
  </si>
  <si>
    <t>Bongkaran Pelapis Dinding</t>
  </si>
  <si>
    <t>Bongkar Plafond</t>
  </si>
  <si>
    <t xml:space="preserve">Bongkar Atap Lama </t>
  </si>
  <si>
    <t xml:space="preserve">Bongkar dan Buang Ex Bongkaran </t>
  </si>
  <si>
    <t>Bongkar Canopy Lama</t>
  </si>
  <si>
    <t xml:space="preserve">Bongkar Pintu &amp; Jendela </t>
  </si>
  <si>
    <t xml:space="preserve">Bongkar BOX Surat  &amp;  Pohon  Tanaman </t>
  </si>
  <si>
    <t>VI</t>
  </si>
  <si>
    <t xml:space="preserve">PEKERJAAN DINDING BARU </t>
  </si>
  <si>
    <t xml:space="preserve">Pasangan dinding bata </t>
  </si>
  <si>
    <t xml:space="preserve">1 Pc : 5 Psr / Bata Merah Press  / Bata Ringan </t>
  </si>
  <si>
    <t>Plester dinding</t>
  </si>
  <si>
    <t>(Incl Pagar) Acian Mortar Instan</t>
  </si>
  <si>
    <t>Sub Total VI</t>
  </si>
  <si>
    <t>VII</t>
  </si>
  <si>
    <t xml:space="preserve">Pondasi  Tapak </t>
  </si>
  <si>
    <t>" Site Mix K-225  "</t>
  </si>
  <si>
    <t xml:space="preserve">Besi </t>
  </si>
  <si>
    <t>Kg</t>
  </si>
  <si>
    <t>Begersing</t>
  </si>
  <si>
    <t>"Kayu Kaso Borneo Kayu triplek 9 mm  "</t>
  </si>
  <si>
    <t>Sloof (150x250)</t>
  </si>
  <si>
    <t>Pasir Lantai Kerja t.10 cm</t>
  </si>
  <si>
    <t>Lantai kerja BO t.5 cm</t>
  </si>
  <si>
    <t>Kolom (150x300)</t>
  </si>
  <si>
    <t>Balok  (250x300)</t>
  </si>
  <si>
    <t>Plat t= 130 mm</t>
  </si>
  <si>
    <t>Waterprofing</t>
  </si>
  <si>
    <t>Sub Total IVII</t>
  </si>
  <si>
    <t>VIII</t>
  </si>
  <si>
    <t>PEKERJAAN INSTALASI AIR</t>
  </si>
  <si>
    <t xml:space="preserve">ex.Vinilon pvc type AW + Fitting </t>
  </si>
  <si>
    <t xml:space="preserve"> ex.Vinilon pvc type AW + Fitting </t>
  </si>
  <si>
    <t xml:space="preserve">Instalasi Air Panas </t>
  </si>
  <si>
    <t>Pipa GIP 1/2" lapis Al,foil + glass wool Pipa Ripeng ONDA</t>
  </si>
  <si>
    <t>Instalasi Air Kotor u/ Wastafel</t>
  </si>
  <si>
    <t>PVC 1 1/4" Type D - Ex, Vinilon</t>
  </si>
  <si>
    <r>
      <t xml:space="preserve">Instalasi Air Kotor </t>
    </r>
    <r>
      <rPr>
        <b/>
        <sz val="12"/>
        <color indexed="8"/>
        <rFont val="Arial Narrow"/>
        <family val="2"/>
      </rPr>
      <t>(Utk semua pipa dibawah tanah)</t>
    </r>
  </si>
  <si>
    <t>PVC 4" Type D - Ex,Vinilon</t>
  </si>
  <si>
    <t xml:space="preserve">Pipa pvc 3" pemb.air kotor/Limbah/hujan </t>
  </si>
  <si>
    <t>Instalasi Pembuangan AC</t>
  </si>
  <si>
    <t>"PVC 3/4"" Type AW Ex Vinilon  "</t>
  </si>
  <si>
    <t>Sub Total VIII</t>
  </si>
  <si>
    <t>IX</t>
  </si>
  <si>
    <t>PEKERJAAN INSTALASI LISTRIK</t>
  </si>
  <si>
    <t xml:space="preserve">Aksesores Listrik Ex,PANASONIC </t>
  </si>
  <si>
    <t>Instalasi Lampu</t>
  </si>
  <si>
    <t>Ttk</t>
  </si>
  <si>
    <t>Inst. Stop Kontak</t>
  </si>
  <si>
    <t>Saklar Hotel</t>
  </si>
  <si>
    <t>Stop Kontak</t>
  </si>
  <si>
    <t>Instalasi TV</t>
  </si>
  <si>
    <t>Instalasi Telephone</t>
  </si>
  <si>
    <t>Fitting Titik Lampu Plafond</t>
  </si>
  <si>
    <t>Box Sikring</t>
  </si>
  <si>
    <t>unit</t>
  </si>
  <si>
    <t>Kabel Toevoer</t>
  </si>
  <si>
    <r>
      <t xml:space="preserve">Stop Kontak Water Heater </t>
    </r>
    <r>
      <rPr>
        <b/>
        <sz val="12"/>
        <color indexed="8"/>
        <rFont val="Arial Narrow"/>
        <family val="2"/>
      </rPr>
      <t>(Semua KM/WC)</t>
    </r>
  </si>
  <si>
    <t>CARPORT - GF 1. Faucet PALOMA FCP 9671</t>
  </si>
  <si>
    <r>
      <t>Stop Kontak AC</t>
    </r>
    <r>
      <rPr>
        <b/>
        <sz val="12"/>
        <color indexed="8"/>
        <rFont val="Arial Narrow"/>
        <family val="2"/>
      </rPr>
      <t xml:space="preserve"> + Drain (Semua R Tidur)</t>
    </r>
  </si>
  <si>
    <t xml:space="preserve">Bongkar &amp; pasang Sanitair Lama </t>
  </si>
  <si>
    <t>Lampu LED Strip Lights</t>
  </si>
  <si>
    <t>LED STRIP EX PANASONIC pada Drop Ceiling</t>
  </si>
  <si>
    <t>Sub Total IX</t>
  </si>
  <si>
    <t>X</t>
  </si>
  <si>
    <t xml:space="preserve"> SISTEM KOLAM RENANG OVERFLOUW</t>
  </si>
  <si>
    <t>Mobilisasi  &amp; Keamanan</t>
  </si>
  <si>
    <t>Listrik Kerja &amp; air Kerja</t>
  </si>
  <si>
    <t xml:space="preserve">Pemersihan </t>
  </si>
  <si>
    <t>PEKERJAAN TANAH</t>
  </si>
  <si>
    <t>Pekerjaan galian kolam</t>
  </si>
  <si>
    <t>Pekerjaan Galian Balancing Tank</t>
  </si>
  <si>
    <t>Pasir Urug T 5 cm bawah lantai</t>
  </si>
  <si>
    <t>Lantai kerja 5 cm bawah lantai</t>
  </si>
  <si>
    <t>PEKERJAAN STRUKTUR</t>
  </si>
  <si>
    <t xml:space="preserve">Pemadatan Tanah </t>
  </si>
  <si>
    <t>Sloof dan kolom</t>
  </si>
  <si>
    <t>"Ready Mix K-250  "</t>
  </si>
  <si>
    <t>" 4 D 13 mm - Ø  = 8 mm - 150 Cm "</t>
  </si>
  <si>
    <t>Dinding Beton</t>
  </si>
  <si>
    <t>"Ø  = 10 mm - 150 Cm "</t>
  </si>
  <si>
    <t xml:space="preserve"> Plat lantai tebal 12 cmCor beton</t>
  </si>
  <si>
    <t xml:space="preserve">Cor beton tbl. 12 cm ( Balancing tank) </t>
  </si>
  <si>
    <t>D</t>
  </si>
  <si>
    <t>PEKERJAAN  ARSITEKTUR</t>
  </si>
  <si>
    <t xml:space="preserve"> Pasangan Dinnding bata</t>
  </si>
  <si>
    <t>1 Pc : 5 Psr / Bata Merah /Hebel</t>
  </si>
  <si>
    <t>Plesteran</t>
  </si>
  <si>
    <t xml:space="preserve">Pasang Batu alam Tutup dinding Overlow </t>
  </si>
  <si>
    <t xml:space="preserve">Batu Hijou Suka Bumi 10 x 10 cm </t>
  </si>
  <si>
    <t>Pekerjaan penutup lantai  &amp; dinding</t>
  </si>
  <si>
    <t>Water profing damdek dan sika</t>
  </si>
  <si>
    <t>Sika 107</t>
  </si>
  <si>
    <t>Over Flow &amp; Balancink tank  ( pasang bata ,pleter aci )</t>
  </si>
  <si>
    <t>Sub Total IV.</t>
  </si>
  <si>
    <t>E</t>
  </si>
  <si>
    <t>PEKERJAAN MEKANIKAL &amp; ELEKTRIKAL</t>
  </si>
  <si>
    <t xml:space="preserve">PEKERJAAN MEKANIKAL </t>
  </si>
  <si>
    <t>Instalsi air bersih</t>
  </si>
  <si>
    <t>Pipa PVC 1 1/4 " + Fiting &amp; Accesoris</t>
  </si>
  <si>
    <t>PVC AW 3/4 " Fitting &amp; Accesoris</t>
  </si>
  <si>
    <t>PVC D 3 " +Fitting &amp; Accesoris</t>
  </si>
  <si>
    <t xml:space="preserve"> Watermur 1 1/4</t>
  </si>
  <si>
    <t>Elbow 1 1/4 Klem Pipa</t>
  </si>
  <si>
    <t>PEKERJAAN ELEKTRIKAL</t>
  </si>
  <si>
    <t>Instalsasi Listrik Cahaya</t>
  </si>
  <si>
    <t>Instalsi Titik Cahaya</t>
  </si>
  <si>
    <t>Pasang Stop Kontak</t>
  </si>
  <si>
    <t>Pasang saklar Ganda</t>
  </si>
  <si>
    <t>Sub Total V.</t>
  </si>
  <si>
    <t>F</t>
  </si>
  <si>
    <t>PEKERJAAN  POMPA DAN EQUIPMENT</t>
  </si>
  <si>
    <t>Mesin Pompa (3/4 HP/PH hayward</t>
  </si>
  <si>
    <t>Sand Filter Hayward S180 T</t>
  </si>
  <si>
    <t>Main drain Hayward</t>
  </si>
  <si>
    <t>Inlet Fiting Vacum Fiting</t>
  </si>
  <si>
    <t xml:space="preserve"> Waterco Leaf rake</t>
  </si>
  <si>
    <t>Test Kit 2 in One</t>
  </si>
  <si>
    <t>Handle Vacum Head</t>
  </si>
  <si>
    <t>Vacum Hose 15 m Telecopic Handle 7.2</t>
  </si>
  <si>
    <t>Under water light 100W/12 V</t>
  </si>
  <si>
    <t>Bhalast Light</t>
  </si>
  <si>
    <t xml:space="preserve"> Tangga 3 Steep Over Flow</t>
  </si>
  <si>
    <t>Pengisian Air Isi ulang</t>
  </si>
  <si>
    <t>Water Treatment</t>
  </si>
  <si>
    <t xml:space="preserve">KETERANGAN </t>
  </si>
  <si>
    <t xml:space="preserve">PENAMBAHAN </t>
  </si>
  <si>
    <t xml:space="preserve">MATERIAL BATU ANDESIT KW1 /TYPE TERINGGI </t>
  </si>
  <si>
    <t>STORAGE PADA AREA TAMAN SLOPING ( UT PERALATAN MOBIL )</t>
  </si>
  <si>
    <t>KISI CARPORT KEMBALI KAYU ULIN</t>
  </si>
  <si>
    <t>TOP CARPORT MENGGUNAKAN KACA TENPERD 10 MM</t>
  </si>
  <si>
    <t>CABOPY MENAMBAH  BESI IWF 5X15 UT STRUKTUR UTAMA CARPOERT</t>
  </si>
  <si>
    <t>PERUBAHAN JENDELA DEPAN MENJADI 3 DAUN KUSEBN ALUMINIUM EX.YKK</t>
  </si>
  <si>
    <t>AREA UT PEMELIHARAAN ANJING LANTAI  BPAS.BATU ANDESIT</t>
  </si>
  <si>
    <t>ALUMINIUM PINTU DAN JENDELA MENGGUNAKAN SPEC YKK</t>
  </si>
  <si>
    <t xml:space="preserve">KACA MATI KM KACA HIMALAYA ABADI ACID GLASS &amp; BESI PERFORATED DI GAP </t>
  </si>
  <si>
    <t xml:space="preserve">PENEBALAN DINDING KM/WC </t>
  </si>
  <si>
    <t>TANGGA SERVICE</t>
  </si>
  <si>
    <t xml:space="preserve">TANGGA DARURAT </t>
  </si>
  <si>
    <t xml:space="preserve">MATERIAL SANITARY BY OUWNER </t>
  </si>
  <si>
    <t>KONTRAKTOR UPAH PASANG &amp; MATERIAL PENDUKUNG NYA</t>
  </si>
  <si>
    <t xml:space="preserve">PINTU JENDELA ALUMINIUM BY OUWNER </t>
  </si>
  <si>
    <t xml:space="preserve">BETON KOLAM RENAG </t>
  </si>
  <si>
    <t xml:space="preserve">K 225 JADI 250 </t>
  </si>
  <si>
    <t xml:space="preserve">BESI KOLOM &amp; SLOOF </t>
  </si>
  <si>
    <t>BESI  D 13 mm ULIR</t>
  </si>
  <si>
    <t xml:space="preserve">DAK ATAP,BALKON DAN KM </t>
  </si>
  <si>
    <t xml:space="preserve">DI WATERFROFING SIKO TOP $ RENDAM 24 JAM </t>
  </si>
  <si>
    <t>Diajukan, 3 Oktober   2025</t>
  </si>
  <si>
    <t>IR.SUPRIYANTO</t>
  </si>
  <si>
    <t xml:space="preserve">  RENCANA ANGGARAN BIAYA </t>
  </si>
  <si>
    <t>: IBU LESTARI</t>
  </si>
  <si>
    <t>: RUMAH TINGGAL 3 LANTAI</t>
  </si>
  <si>
    <t>: CLUSTER MISSISSIPPI TE5 NO 8  KOWIS</t>
  </si>
  <si>
    <t>:</t>
  </si>
  <si>
    <t>PEKERJAAN DESIGN  &amp; PERIJINAN IMB</t>
  </si>
  <si>
    <t xml:space="preserve">Gambar Arsitek </t>
  </si>
  <si>
    <t>Denah,Tampak Depan , Samping , Belakang ,Potongan &amp; Gambar 3D  Tampak</t>
  </si>
  <si>
    <t>Gambar Struktur  &amp; Perhitungannya</t>
  </si>
  <si>
    <t>Perhitungan Struktur, &amp; Gambar Penulangan Struktur</t>
  </si>
  <si>
    <t>Gambar Mekanikal &amp; Elektrikal</t>
  </si>
  <si>
    <t>Gambar Instalasi Listrik ,Air Bersih,Air Kotor&amp; Isometri</t>
  </si>
  <si>
    <t>Jamsostek</t>
  </si>
  <si>
    <t>Jaminan Ketenaga Kerjaan BPJS</t>
  </si>
  <si>
    <t xml:space="preserve"> Rencana Anggaran Biaya (RAB)</t>
  </si>
  <si>
    <t xml:space="preserve">Harga Pembangunan &amp; Spesifikasi Material </t>
  </si>
  <si>
    <t>Biaya Ijin Mendirikan Bangunan (IMB)</t>
  </si>
  <si>
    <t>Bayar Ke PEMDA Via Management</t>
  </si>
  <si>
    <t xml:space="preserve">SUB TOTAL </t>
  </si>
  <si>
    <t>Dibulatkan</t>
  </si>
  <si>
    <t xml:space="preserve">PEKERJAAN PEMASANGAN KWH LISTRIK  </t>
  </si>
  <si>
    <t xml:space="preserve">Pasang KWH Listrik </t>
  </si>
  <si>
    <t>5 500  WATT</t>
  </si>
  <si>
    <t xml:space="preserve">PEKERJAAN PEMBANGUNAN KONSTRUKSI </t>
  </si>
  <si>
    <t xml:space="preserve">Direksi Keet &amp; Gudang </t>
  </si>
  <si>
    <t>Rabat Beton, Seng, Triplek</t>
  </si>
  <si>
    <t>1s</t>
  </si>
  <si>
    <t>Pas. Bouwplank</t>
  </si>
  <si>
    <t>Kayu Borneo</t>
  </si>
  <si>
    <t>m1</t>
  </si>
  <si>
    <t>Pembersihan</t>
  </si>
  <si>
    <t xml:space="preserve">Di Dalam Kavling </t>
  </si>
  <si>
    <t>Air Kerja dan Listrik Kerja</t>
  </si>
  <si>
    <t xml:space="preserve">Selama Kerja </t>
  </si>
  <si>
    <t>Sub Total A</t>
  </si>
  <si>
    <t xml:space="preserve">PEKERJAAN PONDASI </t>
  </si>
  <si>
    <t>m3</t>
  </si>
  <si>
    <t xml:space="preserve">Pemadatan tanah dasar pondasi </t>
  </si>
  <si>
    <t>Dengan stamper</t>
  </si>
  <si>
    <t>Urug Pasir Bawah Pondasi</t>
  </si>
  <si>
    <t>Pasir Urug Darat / t = 10 cm</t>
  </si>
  <si>
    <t>Pondasi Bor pile</t>
  </si>
  <si>
    <t xml:space="preserve"> Ø 30 Cm  Pj 4 m</t>
  </si>
  <si>
    <t>15/30 ( Besi 6 D 13 )</t>
  </si>
  <si>
    <t>Site Mix K-225</t>
  </si>
  <si>
    <t>Pondasi Pile Cap</t>
  </si>
  <si>
    <t xml:space="preserve">D13-150  50x50x50 </t>
  </si>
  <si>
    <t>Padat Dengan Stamper Mesin</t>
  </si>
  <si>
    <t>Pas.Rollag</t>
  </si>
  <si>
    <t>Tinggi =40 Cm</t>
  </si>
  <si>
    <t>Sub Total B</t>
  </si>
  <si>
    <t>Kolom  K1 15x40 Cm</t>
  </si>
  <si>
    <t>Besi 8 Ø 13 mm</t>
  </si>
  <si>
    <t>Kolom Praktis 12x12 Cm</t>
  </si>
  <si>
    <t>Besi 4 Ø 8 mm</t>
  </si>
  <si>
    <t>Balok Lantai Atas</t>
  </si>
  <si>
    <t xml:space="preserve">Balok Lantai 2 B1 20x35 Cm </t>
  </si>
  <si>
    <t>Besi 7 Ø 13mm</t>
  </si>
  <si>
    <t>Redy Mix K225</t>
  </si>
  <si>
    <t>Ring Balk 15/20 Cm</t>
  </si>
  <si>
    <t>Besi 4 Ø 13mm</t>
  </si>
  <si>
    <t>Pelat Lantai Atas t= 12 cm</t>
  </si>
  <si>
    <t>Besi Ø 8-150 mm</t>
  </si>
  <si>
    <t>Beton Tangga Utama</t>
  </si>
  <si>
    <t>Dak Talang t=10 cm</t>
  </si>
  <si>
    <t xml:space="preserve">Canopy &amp; Konsol Jendela ( Lurus &amp; lengkung )  diprofil+finishing  </t>
  </si>
  <si>
    <t>Meja Beton Dapur</t>
  </si>
  <si>
    <t>Balok Kongleong /Latai di atas Kusen</t>
  </si>
  <si>
    <t>Sub Total C</t>
  </si>
  <si>
    <t>PEKERJAAN DINDING</t>
  </si>
  <si>
    <t>Pas.Roster</t>
  </si>
  <si>
    <t>Roster semen 20x20 cm</t>
  </si>
  <si>
    <t>Sub Total D</t>
  </si>
  <si>
    <t>PEKERJAAN PELAPIS DINDING</t>
  </si>
  <si>
    <t xml:space="preserve">Plester Dinding </t>
  </si>
  <si>
    <t>Aci Dinding</t>
  </si>
  <si>
    <t>Mortar Utama/Setara</t>
  </si>
  <si>
    <t>Ornamen tampak depan</t>
  </si>
  <si>
    <t>Inclut penebalan,profil plester,tali airnet,Batu Travertine</t>
  </si>
  <si>
    <t>ls</t>
  </si>
  <si>
    <t>Opening Pintu &amp; Jendela</t>
  </si>
  <si>
    <t>Pas Keramik Dinding</t>
  </si>
  <si>
    <t>Lantai  1</t>
  </si>
  <si>
    <t xml:space="preserve">KM/WC Tamu </t>
  </si>
  <si>
    <t>Granit Grayton Ivory Matt Ex Valentino  30X60 CM</t>
  </si>
  <si>
    <t>KM/WC Pembantu</t>
  </si>
  <si>
    <t>Granit HT Topez BeigeEx Valentino  60X60 CM</t>
  </si>
  <si>
    <t>Dinding Dapur</t>
  </si>
  <si>
    <t>Granit Ex Valentino  60X60 CM</t>
  </si>
  <si>
    <t>Meja  Dapur</t>
  </si>
  <si>
    <t>Lantai 2</t>
  </si>
  <si>
    <t xml:space="preserve">KM/WC Utama </t>
  </si>
  <si>
    <t>Granit HT  Traventine Grey  Ex Valentino  60X60 CM</t>
  </si>
  <si>
    <t>KM/WC Anak   Dominan</t>
  </si>
  <si>
    <t>Granit HT Tropez Grey Ex Valentino  30X60 CM</t>
  </si>
  <si>
    <t>Aksen</t>
  </si>
  <si>
    <t>Granit HT Tirso Bianco Mett Ex Valentino  30X60 CM</t>
  </si>
  <si>
    <t>Sub Total E</t>
  </si>
  <si>
    <t>PEKERJAAN ATAP</t>
  </si>
  <si>
    <r>
      <t xml:space="preserve">Kuda-kuda &amp; Gording </t>
    </r>
    <r>
      <rPr>
        <b/>
        <sz val="12"/>
        <color indexed="8"/>
        <rFont val="Arial Narrow"/>
        <family val="2"/>
      </rPr>
      <t xml:space="preserve">STEELFAST </t>
    </r>
  </si>
  <si>
    <t xml:space="preserve">Baja Ringan CNP 75 </t>
  </si>
  <si>
    <t>Pasang Genteng</t>
  </si>
  <si>
    <t xml:space="preserve">ex Cisangkan </t>
  </si>
  <si>
    <r>
      <t xml:space="preserve">Pasang Genteng Nok </t>
    </r>
    <r>
      <rPr>
        <b/>
        <sz val="12"/>
        <color indexed="8"/>
        <rFont val="Arial Narrow"/>
        <family val="2"/>
      </rPr>
      <t xml:space="preserve">(Termasuk ujung &amp; 3 arah) </t>
    </r>
  </si>
  <si>
    <r>
      <t xml:space="preserve">Flashing Engineering </t>
    </r>
    <r>
      <rPr>
        <b/>
        <sz val="12"/>
        <color indexed="8"/>
        <rFont val="Arial Narrow"/>
        <family val="2"/>
      </rPr>
      <t>(berbatasan dengan tembok miring)</t>
    </r>
  </si>
  <si>
    <r>
      <t xml:space="preserve">Flashing Engineering </t>
    </r>
    <r>
      <rPr>
        <b/>
        <sz val="12"/>
        <color indexed="8"/>
        <rFont val="Arial Narrow"/>
        <family val="2"/>
      </rPr>
      <t>(berbatasan dengan tembok datar)</t>
    </r>
  </si>
  <si>
    <r>
      <t xml:space="preserve">Lisplank Wood Plank 2 susun </t>
    </r>
    <r>
      <rPr>
        <b/>
        <sz val="12"/>
        <color indexed="8"/>
        <rFont val="Arial Narrow"/>
        <family val="2"/>
      </rPr>
      <t>(Bahan saja, Upah pasang Incl kuda-kuda)</t>
    </r>
  </si>
  <si>
    <r>
      <t xml:space="preserve">Lapisan Atap Al-Foil </t>
    </r>
    <r>
      <rPr>
        <b/>
        <sz val="12"/>
        <color indexed="8"/>
        <rFont val="Arial Narrow"/>
        <family val="2"/>
      </rPr>
      <t>(Bahan saja, Upah pasang Incl kuda-kuda)</t>
    </r>
  </si>
  <si>
    <t>Ex.MultiFoil</t>
  </si>
  <si>
    <t>Water Proofing</t>
  </si>
  <si>
    <t>Ditutup Plester + Aci</t>
  </si>
  <si>
    <r>
      <t xml:space="preserve">Ex.Sika + </t>
    </r>
    <r>
      <rPr>
        <b/>
        <sz val="12"/>
        <color indexed="8"/>
        <rFont val="Arial Narrow"/>
        <family val="2"/>
      </rPr>
      <t>Sreed 3 cm</t>
    </r>
  </si>
  <si>
    <t>Seng lebar 25 cm dicat (diujung genteng terakhir)</t>
  </si>
  <si>
    <t>(bahan &amp; upah pasang)</t>
  </si>
  <si>
    <t>Sub Total F</t>
  </si>
  <si>
    <t>G</t>
  </si>
  <si>
    <t>PEKERJAAN PLAFOND</t>
  </si>
  <si>
    <t>Lantai Dasar</t>
  </si>
  <si>
    <t>List Type 4</t>
  </si>
  <si>
    <t xml:space="preserve">List Profil Gypsum 7 x 10 cm </t>
  </si>
  <si>
    <t>List Type 5</t>
  </si>
  <si>
    <t xml:space="preserve">List Profil Gypsum 5x5  cm </t>
  </si>
  <si>
    <t>Plafond Beton Exposed</t>
  </si>
  <si>
    <t>Plafond Beton Expost( Incl Tali air)</t>
  </si>
  <si>
    <t>Man hole + Tutup</t>
  </si>
  <si>
    <t>Manhole Gypsum 60x60</t>
  </si>
  <si>
    <t>Plafond Gypsum Water Resistent+Rangka</t>
  </si>
  <si>
    <t>Lantai dasar &amp; atas</t>
  </si>
  <si>
    <t>Cove( Untuk Gorden) &amp; Drop Cilling</t>
  </si>
  <si>
    <t>Sub Total G</t>
  </si>
  <si>
    <t>H</t>
  </si>
  <si>
    <t>PEKERJAAN LANTAI</t>
  </si>
  <si>
    <t>Pemadatan Tanah Lantai Dasar</t>
  </si>
  <si>
    <t>Dgn Stamper Machine</t>
  </si>
  <si>
    <t>Urugan Pasir t = 5 cm</t>
  </si>
  <si>
    <t>Pasir Urug Darat</t>
  </si>
  <si>
    <t>Pekerjaan Plint Lantai 1 ( Incl tali air)</t>
  </si>
  <si>
    <t xml:space="preserve"> </t>
  </si>
  <si>
    <t>Ruang Utama.R.Tidur</t>
  </si>
  <si>
    <t>Granit HT Shiro Binco matt Ex Valentino  10X80 CM</t>
  </si>
  <si>
    <t>Ruang Pembantu</t>
  </si>
  <si>
    <t>Granit HT  Clasic Ivory  Ex Valentino 10X60 CM</t>
  </si>
  <si>
    <t>Pekerjaan Plint Lantai 2( Incl Tali air)</t>
  </si>
  <si>
    <t xml:space="preserve">Hall,ruang tidur anak </t>
  </si>
  <si>
    <t xml:space="preserve">Mezanin /WC </t>
  </si>
  <si>
    <t>Granit HT New Norway White  Ex Valentino 10 X60 CM</t>
  </si>
  <si>
    <t>Pekerjaan Plint Lantai 3( Incl Tali air)</t>
  </si>
  <si>
    <t xml:space="preserve">K.Tidur Utama </t>
  </si>
  <si>
    <t>Granit HT Virginia Brown  Ex Valentino 10X80 CM</t>
  </si>
  <si>
    <t>Pekerjaan Carport</t>
  </si>
  <si>
    <t xml:space="preserve">Finishing Lantai </t>
  </si>
  <si>
    <t>Granit HT Robson Grafite Ex Valentino  60X60 CM</t>
  </si>
  <si>
    <t xml:space="preserve">Pekrjaan Innert </t>
  </si>
  <si>
    <t>Paving Blok</t>
  </si>
  <si>
    <t>Ex. Cisangkan</t>
  </si>
  <si>
    <t xml:space="preserve">Water Profing KM/WC </t>
  </si>
  <si>
    <t>Pekerjaan Finishing Lantai 1</t>
  </si>
  <si>
    <t xml:space="preserve">Keramik Teras  Depan </t>
  </si>
  <si>
    <t>Granit HT Montreal Light Grey  Ex Valentino 30X60 CM</t>
  </si>
  <si>
    <t>Keramik Teras ,Samping</t>
  </si>
  <si>
    <t>Granit HT New Norway White  Ex Valentino 150 X60 CM</t>
  </si>
  <si>
    <t>( R.Tamu,R.Makan/R.Keluarga)</t>
  </si>
  <si>
    <t>Granit HT Virginia Brown  Ex Valentino 80X80 CM</t>
  </si>
  <si>
    <t>Granit HT Bulgary Grey  Ex Valentino 60X60 CM</t>
  </si>
  <si>
    <t>e</t>
  </si>
  <si>
    <t>Granit HT  Tropez Cemento Ex Valentino 60X60 CM</t>
  </si>
  <si>
    <t>f</t>
  </si>
  <si>
    <t>Granit HT  Clasic Ivory  Ex Valentino 60X60 CM</t>
  </si>
  <si>
    <t>g</t>
  </si>
  <si>
    <t>Tempat cuci,dak Jemur dapur Kotor Linen</t>
  </si>
  <si>
    <t>Pekerjaan Finishing Lantai 2</t>
  </si>
  <si>
    <t>Granit HT Bulgary Grey Ex Valentino 60X60 CM</t>
  </si>
  <si>
    <t xml:space="preserve">Lantai Shower </t>
  </si>
  <si>
    <t>Granit HT Robson Cenere  Ex Valentino 60X60 CM</t>
  </si>
  <si>
    <t>KM/WC  Anak  1</t>
  </si>
  <si>
    <t xml:space="preserve">Hall,ruang Tidur Anak </t>
  </si>
  <si>
    <t>WC</t>
  </si>
  <si>
    <t>Pekerjaan Finishing Lantai 3</t>
  </si>
  <si>
    <t>K.Tidur Utama</t>
  </si>
  <si>
    <t>Balkon</t>
  </si>
  <si>
    <t>Floor Lantai Dasar t = 5 cm</t>
  </si>
  <si>
    <t>Steping Beton</t>
  </si>
  <si>
    <t>Incl R. Jemur</t>
  </si>
  <si>
    <t>Sub Total H</t>
  </si>
  <si>
    <t>PEKERJAAN KUSEN, PINTU &amp; JENDELA</t>
  </si>
  <si>
    <t>Pintu Utama PJU</t>
  </si>
  <si>
    <t>Ruang Tamu</t>
  </si>
  <si>
    <t>Kusen Kayu , Pintu Kayu Solid</t>
  </si>
  <si>
    <t>Pintu  P1</t>
  </si>
  <si>
    <t>K.tidur Utama,Anak 1 ,Anak 2,Tamu</t>
  </si>
  <si>
    <t>Kusen Kayu , Pintu Kayu Multiplex</t>
  </si>
  <si>
    <t>Pintu  P2</t>
  </si>
  <si>
    <t>KM/WC Utama Anak, Tamu</t>
  </si>
  <si>
    <t>Pintu  P3</t>
  </si>
  <si>
    <t>Dapur  Sliding</t>
  </si>
  <si>
    <t xml:space="preserve">Pintu P4 </t>
  </si>
  <si>
    <t>Pintu Kaca Teras Samping</t>
  </si>
  <si>
    <t>Kusen Aluminium Pintu Kaca 6 mm</t>
  </si>
  <si>
    <t xml:space="preserve">Pintu PJ3 </t>
  </si>
  <si>
    <t>Balkon K.Tidur Utama</t>
  </si>
  <si>
    <t xml:space="preserve">Kusen Aluminium Pintu Jendela Kaca </t>
  </si>
  <si>
    <t>Pintu PJ6</t>
  </si>
  <si>
    <t>Balkon R.Keluarga Lt 2</t>
  </si>
  <si>
    <t>K.Tidur ART</t>
  </si>
  <si>
    <t xml:space="preserve">Kusen Aluminium Pintu Kayu Jendela Kaca </t>
  </si>
  <si>
    <t>Pintu R.Service</t>
  </si>
  <si>
    <t xml:space="preserve">Kusen Aluminium Pintu Kaca </t>
  </si>
  <si>
    <t>Pintu KM ART</t>
  </si>
  <si>
    <t>Kusen Aluminium Pintu ACP</t>
  </si>
  <si>
    <t xml:space="preserve">Jendela  R.Keluarga Bawah </t>
  </si>
  <si>
    <t>Kusen Aluminium Jendela Kaca  5 mm</t>
  </si>
  <si>
    <t>Pintu T.Cuci,Jemur P6</t>
  </si>
  <si>
    <t>Kusen Besi Tralis</t>
  </si>
  <si>
    <t xml:space="preserve">Jendela K.Tidur Tamu J1 </t>
  </si>
  <si>
    <t>Jendela K.Tidur Anak 1 J2</t>
  </si>
  <si>
    <t>Jendela K.Tidur Anak 3 J3</t>
  </si>
  <si>
    <t>Jendela  Tangga</t>
  </si>
  <si>
    <t>Jendela K.Tidur Utama 1J6</t>
  </si>
  <si>
    <t>Jendela PV</t>
  </si>
  <si>
    <t>Kusen Aluminium Jendela Kaca  Es</t>
  </si>
  <si>
    <t>Y</t>
  </si>
  <si>
    <t>PEKERJAAN KUNCI EX.DEKKSON</t>
  </si>
  <si>
    <t>KUNCI PINTU UTAMA</t>
  </si>
  <si>
    <t xml:space="preserve">Smart lock </t>
  </si>
  <si>
    <t>KUNCI PINTU K.TIDUR,KM/WC,R.T.PEMBANTU</t>
  </si>
  <si>
    <t>Handle LHTR 0805 SSS* Ex Dekkson</t>
  </si>
  <si>
    <t>KUNCI KM/WC ANAK ,UTAMA ,TAMU</t>
  </si>
  <si>
    <t>KUNCI PINTU GESER</t>
  </si>
  <si>
    <t>Pull Piate PP 015 SQ 115 MM SSS Ex. Dekkson</t>
  </si>
  <si>
    <t>Sub Total J</t>
  </si>
  <si>
    <t>K</t>
  </si>
  <si>
    <t>PEKERJAAN PENGECATAN</t>
  </si>
  <si>
    <t>Cat Interior Ex  Jotaplast</t>
  </si>
  <si>
    <t>Cat Exterior Ex.Jotashleld</t>
  </si>
  <si>
    <r>
      <t xml:space="preserve">Cat Listplank </t>
    </r>
    <r>
      <rPr>
        <b/>
        <sz val="12"/>
        <color indexed="8"/>
        <rFont val="Arial Narrow"/>
        <family val="2"/>
      </rPr>
      <t>Wood Plank 2 susun</t>
    </r>
  </si>
  <si>
    <t>Cat Tembok Ex Mowilex Type  Weathercoat ( lihat spek )</t>
  </si>
  <si>
    <t>Cat Plafond Gypsum &amp; List Gypsum</t>
  </si>
  <si>
    <t>Cat Plafond Beton Exposed</t>
  </si>
  <si>
    <t>Sub Total K</t>
  </si>
  <si>
    <t>L</t>
  </si>
  <si>
    <t>PEKERJAAN FINISHING TANGGA</t>
  </si>
  <si>
    <t>Railing Tangga Utama + Void</t>
  </si>
  <si>
    <t>Ralling Besi+Toping ( Hand Rall)Kayu di Cat</t>
  </si>
  <si>
    <t>Dalling Stainless + Kaca Temperd + Toping Kayu di cat</t>
  </si>
  <si>
    <t>Pelapis Bordes (Incl Trap)</t>
  </si>
  <si>
    <t>Granit HT Shiro Binco matt Ex Valentino  80X80 CM</t>
  </si>
  <si>
    <t xml:space="preserve">Pelapis Bordes </t>
  </si>
  <si>
    <t>Granit HT Shiro Virgia brown Ex Valentino  80X80 CM</t>
  </si>
  <si>
    <t>Sub Total L</t>
  </si>
  <si>
    <t>PVC 3/4" Type AW - Ex PRALON</t>
  </si>
  <si>
    <t>PVC 1¼" Type AW - Ex PRALON</t>
  </si>
  <si>
    <t>PVC 4" Type D - Ex PRALON</t>
  </si>
  <si>
    <t>PVC 6" Type D - Ex PRALON</t>
  </si>
  <si>
    <t>Bak Kontrol 40 x 40 cm</t>
  </si>
  <si>
    <t>Pas.Bata, Terbuka + Tutup Plat Beton</t>
  </si>
  <si>
    <t>Pas.Bata  + Grill Plat Strip</t>
  </si>
  <si>
    <t>Septictank &amp; Rembesan</t>
  </si>
  <si>
    <t>Ex.Biotect Filter 1500 Lt Kapasitas 4-5 Org</t>
  </si>
  <si>
    <t>Sumur Resapan</t>
  </si>
  <si>
    <t>Sub Total M</t>
  </si>
  <si>
    <t>N</t>
  </si>
  <si>
    <t>Aksesores Listrik Ex,BOSS</t>
  </si>
  <si>
    <t>Saklar Single</t>
  </si>
  <si>
    <t>Ex. Clipsal</t>
  </si>
  <si>
    <t>NYM 3X2½ mm Eterna + Pipa PVC</t>
  </si>
  <si>
    <t>Outlet Merten + Pipa PVC</t>
  </si>
  <si>
    <t>Outlet Merten + Pipa PVC 1/2" &amp; 3/4" AW ex Lucky + kabel ex Yuri 4x0.6 mm</t>
  </si>
  <si>
    <t>Broco New Line</t>
  </si>
  <si>
    <t>Armatur Down Light (Tanpa bola lampu)</t>
  </si>
  <si>
    <t>8 Group + MCB (jumlah sesuai dengan diagram wearing)  Ex Hager</t>
  </si>
  <si>
    <t>NYY 4 X 10 mm + Pipa PVC + GIP u/ sparing meteran</t>
  </si>
  <si>
    <t>Arde Pentanahan</t>
  </si>
  <si>
    <t>Maksimum 2 ohm, Kabel BC 6 mm + Gip Ø ½"</t>
  </si>
  <si>
    <t>MK + Fitting</t>
  </si>
  <si>
    <t>Inbow Dus+ PVC Ø 1/2 "</t>
  </si>
  <si>
    <r>
      <t>Inst Lampu Taman+</t>
    </r>
    <r>
      <rPr>
        <b/>
        <sz val="12"/>
        <color indexed="8"/>
        <rFont val="Arial Narrow"/>
        <family val="2"/>
      </rPr>
      <t>dudukan beton+Lampu taman</t>
    </r>
  </si>
  <si>
    <t xml:space="preserve">NYFGB 2x2.5 mm + Pipa PVC </t>
  </si>
  <si>
    <t>Sparing Kabel ke KTB</t>
  </si>
  <si>
    <t>Box Meter KWH</t>
  </si>
  <si>
    <t>Ducting</t>
  </si>
  <si>
    <t>Outlet Modem Internet</t>
  </si>
  <si>
    <t>Sub Total N</t>
  </si>
  <si>
    <t>O</t>
  </si>
  <si>
    <t>PEKERJAAN ACCESS SANITAIR</t>
  </si>
  <si>
    <t>EX,AMSTAD</t>
  </si>
  <si>
    <t xml:space="preserve">Monoblok KM/WC Tamu </t>
  </si>
  <si>
    <t>Newton + Resor Smart Washer- Ex.Amtad</t>
  </si>
  <si>
    <t>Monoblok KM/WC Anak 1</t>
  </si>
  <si>
    <t>Monoblok KM/WC Utama</t>
  </si>
  <si>
    <t>Neo Modernt CCST  Toilet -- EX.Amstad</t>
  </si>
  <si>
    <t>Utama,Anak,tamu</t>
  </si>
  <si>
    <t>Toto</t>
  </si>
  <si>
    <t xml:space="preserve">Shower Jet </t>
  </si>
  <si>
    <t>TP 404 Jet Washer Chrome -  Ex. Amstard</t>
  </si>
  <si>
    <t xml:space="preserve">Wastafel  </t>
  </si>
  <si>
    <t>Tamu &amp; Anak</t>
  </si>
  <si>
    <t>Kran Wastafel</t>
  </si>
  <si>
    <t>TP2121 CD Lavatory  Ex.Amstard</t>
  </si>
  <si>
    <t>Utama</t>
  </si>
  <si>
    <t xml:space="preserve">NewCodie Round WallHong </t>
  </si>
  <si>
    <t>Floor Drain (KM/WC,Balkon,Jemur)</t>
  </si>
  <si>
    <t>Kran Dapur</t>
  </si>
  <si>
    <t>My Winston Wall Mount Kichen -Ex.Amtad</t>
  </si>
  <si>
    <t>Kran Carport &amp; Taman</t>
  </si>
  <si>
    <t>Gardent Tap With Rossete Adaptor -Ex.Amtad</t>
  </si>
  <si>
    <t>Soap Holder</t>
  </si>
  <si>
    <t>S 1556 Comer Soap Holder -Ex.Amtad</t>
  </si>
  <si>
    <t>Kaca Showr Screen KM/WC Utama</t>
  </si>
  <si>
    <t>Kaca Temperd + Pintu</t>
  </si>
  <si>
    <t>Closed Jokngkok</t>
  </si>
  <si>
    <t>Kran Shower dingin</t>
  </si>
  <si>
    <t>Sub Total O</t>
  </si>
  <si>
    <t>P</t>
  </si>
  <si>
    <t>PEKERJAAN PAGAR &amp; CANOPY</t>
  </si>
  <si>
    <t>Canopy Carport</t>
  </si>
  <si>
    <t xml:space="preserve">Rangka Besi Hollow 5x10 cm </t>
  </si>
  <si>
    <t>Penutup Alderon</t>
  </si>
  <si>
    <t>Canopy T.Cuci Jemur</t>
  </si>
  <si>
    <t>Canopy Balkon Mezanin</t>
  </si>
  <si>
    <t>Canopy Balkon K.Tidur Utama</t>
  </si>
  <si>
    <t>15/30  ( Besi 6 D 13 )</t>
  </si>
  <si>
    <t>Sit Mix K-225</t>
  </si>
  <si>
    <t xml:space="preserve">Lantai dasar </t>
  </si>
  <si>
    <t>Sub Total P</t>
  </si>
  <si>
    <t>Q</t>
  </si>
  <si>
    <t>PEKERJAAN PASANG PENANGKAL PETIR 2 TOMBAK</t>
  </si>
  <si>
    <t>Paket penangkal Petir  4 AIP</t>
  </si>
  <si>
    <t>Tombak  2  bh</t>
  </si>
  <si>
    <t>Paket</t>
  </si>
  <si>
    <t xml:space="preserve">Kabel 60 m </t>
  </si>
  <si>
    <t>BC 55 m</t>
  </si>
  <si>
    <t>Paralon</t>
  </si>
  <si>
    <t xml:space="preserve">pipa Plalon 5/8 </t>
  </si>
  <si>
    <t>Bt</t>
  </si>
  <si>
    <t>Bor tanah dan Grounding</t>
  </si>
  <si>
    <t>Dalam 12 m</t>
  </si>
  <si>
    <t>Sub Total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</si>
</sst>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  <numFmt numFmtId="166" formatCode="0.00000000000000000000E+00"/>
    <numFmt numFmtId="167" formatCode="_-* #,##0_-;\-* #,##0_-;_-* &quot;-&quot;??_-;_-@_-"/>
    <numFmt numFmtId="168" formatCode="_(* #,##0.00_);_(* \(#,##0.00\);_(* &quot;-&quot;_);_(@_)"/>
    <numFmt numFmtId="169" formatCode="_-[$Rp-3809]* #,##0_-;\-[$Rp-3809]* #,##0_-;_-[$Rp-3809]* &quot;-&quot;??_-;_-@_-"/>
    <numFmt numFmtId="170" formatCode="_-* #,##0.00_-;\-* #,##0.00_-;_-* &quot;-&quot;_-;_-@_-"/>
    <numFmt numFmtId="171" formatCode="_-[$Rp-3809]* #,##0.00_-;\-[$Rp-3809]* #,##0.00_-;_-[$Rp-3809]* &quot;-&quot;??_-;_-@_-"/>
    <numFmt numFmtId="172" formatCode="_(* #,##0.00_);_(* \(#,##0.00\);_(* \-??_);_(@_)"/>
    <numFmt numFmtId="173" formatCode="0."/>
  </numFmts>
  <fonts count="5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4"/>
      <name val="Arial Narrow"/>
      <family val="2"/>
    </font>
    <font>
      <b/>
      <i/>
      <sz val="16"/>
      <name val="Arial Narrow"/>
      <family val="2"/>
    </font>
    <font>
      <b/>
      <sz val="11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b/>
      <sz val="12"/>
      <color indexed="8"/>
      <name val="Arial Narrow"/>
      <family val="2"/>
    </font>
    <font>
      <b/>
      <sz val="11"/>
      <color indexed="8"/>
      <name val="Arial Narrow"/>
      <family val="2"/>
    </font>
    <font>
      <b/>
      <sz val="11"/>
      <color indexed="8"/>
      <name val="Arial"/>
      <family val="2"/>
    </font>
    <font>
      <sz val="12"/>
      <name val="Arial Narrow"/>
      <family val="2"/>
    </font>
    <font>
      <sz val="10"/>
      <name val="Arial"/>
      <family val="2"/>
    </font>
    <font>
      <vertAlign val="superscript"/>
      <sz val="11"/>
      <color theme="1"/>
      <name val="Aptos Narrow"/>
      <family val="2"/>
      <scheme val="minor"/>
    </font>
    <font>
      <b/>
      <sz val="12"/>
      <color theme="1"/>
      <name val="Arial Narrow"/>
      <family val="2"/>
    </font>
    <font>
      <sz val="12"/>
      <color indexed="8"/>
      <name val="Arial Narrow"/>
      <family val="2"/>
    </font>
    <font>
      <b/>
      <sz val="14"/>
      <color indexed="8"/>
      <name val="Arial Narrow"/>
      <family val="2"/>
    </font>
    <font>
      <b/>
      <sz val="14"/>
      <color theme="1"/>
      <name val="Arial Narrow"/>
      <family val="2"/>
    </font>
    <font>
      <b/>
      <sz val="12"/>
      <color indexed="8"/>
      <name val="Arial"/>
      <family val="2"/>
    </font>
    <font>
      <sz val="12"/>
      <color theme="1"/>
      <name val="Arial Narrow"/>
      <family val="2"/>
    </font>
    <font>
      <vertAlign val="superscript"/>
      <sz val="12"/>
      <name val="Arial Narrow"/>
      <family val="2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indexed="8"/>
      <name val="Arial"/>
      <family val="2"/>
    </font>
    <font>
      <b/>
      <i/>
      <sz val="14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6"/>
      <color indexed="8"/>
      <name val="Arial Narrow"/>
      <family val="2"/>
    </font>
    <font>
      <b/>
      <sz val="14"/>
      <name val="Calibri"/>
      <family val="2"/>
    </font>
    <font>
      <sz val="14"/>
      <color theme="1"/>
      <name val="Aptos Narrow"/>
      <family val="2"/>
      <scheme val="minor"/>
    </font>
    <font>
      <sz val="11"/>
      <name val="Arial Narrow"/>
      <family val="2"/>
    </font>
    <font>
      <sz val="11"/>
      <color indexed="8"/>
      <name val="Aptos Narrow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ptos Narrow"/>
      <family val="2"/>
      <scheme val="minor"/>
    </font>
    <font>
      <b/>
      <sz val="12"/>
      <name val="Arial Narrow"/>
      <family val="2"/>
    </font>
    <font>
      <vertAlign val="superscript"/>
      <sz val="12"/>
      <color theme="1"/>
      <name val="Arial Narrow"/>
      <family val="2"/>
    </font>
    <font>
      <b/>
      <sz val="12"/>
      <color rgb="FF0070C0"/>
      <name val="Arial Narrow"/>
      <family val="2"/>
    </font>
    <font>
      <b/>
      <sz val="12"/>
      <color rgb="FFFF0000"/>
      <name val="Arial Narrow"/>
      <family val="2"/>
    </font>
    <font>
      <b/>
      <sz val="12"/>
      <color rgb="FF808080"/>
      <name val="Arial Narrow"/>
      <family val="2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808080"/>
      <name val="Arial Narrow"/>
      <family val="2"/>
    </font>
    <font>
      <b/>
      <sz val="11"/>
      <color rgb="FFFF0000"/>
      <name val="Arial Narrow"/>
      <family val="2"/>
    </font>
    <font>
      <sz val="14"/>
      <color indexed="8"/>
      <name val="Arial Narrow"/>
      <family val="2"/>
    </font>
    <font>
      <b/>
      <u/>
      <sz val="14"/>
      <color indexed="8"/>
      <name val="Arial Narrow"/>
      <family val="2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lightGray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95">
    <border>
      <left/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/>
      <bottom style="hair">
        <color indexed="8"/>
      </bottom>
      <diagonal/>
    </border>
    <border>
      <left style="thin">
        <color indexed="64"/>
      </left>
      <right/>
      <top/>
      <bottom style="hair">
        <color indexed="8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8"/>
      </bottom>
      <diagonal/>
    </border>
    <border>
      <left style="medium">
        <color indexed="64"/>
      </left>
      <right/>
      <top style="hair">
        <color indexed="8"/>
      </top>
      <bottom/>
      <diagonal/>
    </border>
    <border>
      <left style="thin">
        <color indexed="64"/>
      </left>
      <right/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 style="hair">
        <color indexed="8"/>
      </top>
      <bottom/>
      <diagonal/>
    </border>
    <border>
      <left style="thin">
        <color indexed="64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8"/>
      </bottom>
      <diagonal/>
    </border>
    <border>
      <left style="medium">
        <color indexed="64"/>
      </left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auto="1"/>
      </left>
      <right/>
      <top/>
      <bottom style="hair">
        <color indexed="64"/>
      </bottom>
      <diagonal/>
    </border>
    <border>
      <left style="thin">
        <color auto="1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8"/>
      </bottom>
      <diagonal/>
    </border>
    <border>
      <left style="thin">
        <color indexed="64"/>
      </left>
      <right/>
      <top style="medium">
        <color indexed="64"/>
      </top>
      <bottom style="hair">
        <color indexed="8"/>
      </bottom>
      <diagonal/>
    </border>
    <border>
      <left style="thin">
        <color indexed="64"/>
      </left>
      <right style="thin">
        <color indexed="8"/>
      </right>
      <top style="medium">
        <color indexed="64"/>
      </top>
      <bottom style="hair">
        <color indexed="8"/>
      </bottom>
      <diagonal/>
    </border>
    <border>
      <left/>
      <right/>
      <top style="medium">
        <color indexed="64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165" fontId="12" fillId="0" borderId="0" applyFill="0" applyBorder="0" applyAlignment="0" applyProtection="0"/>
    <xf numFmtId="0" fontId="12" fillId="0" borderId="0"/>
  </cellStyleXfs>
  <cellXfs count="984">
    <xf numFmtId="0" fontId="0" fillId="0" borderId="0" xfId="0"/>
    <xf numFmtId="0" fontId="3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5" fillId="2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0" fillId="2" borderId="6" xfId="0" applyFill="1" applyBorder="1"/>
    <xf numFmtId="0" fontId="0" fillId="2" borderId="2" xfId="0" applyFill="1" applyBorder="1"/>
    <xf numFmtId="0" fontId="0" fillId="2" borderId="7" xfId="0" applyFill="1" applyBorder="1"/>
    <xf numFmtId="0" fontId="6" fillId="2" borderId="5" xfId="0" applyFont="1" applyFill="1" applyBorder="1" applyAlignment="1">
      <alignment horizontal="left"/>
    </xf>
    <xf numFmtId="0" fontId="7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0" fontId="7" fillId="2" borderId="9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0" fillId="2" borderId="11" xfId="0" applyFill="1" applyBorder="1"/>
    <xf numFmtId="4" fontId="9" fillId="2" borderId="14" xfId="0" applyNumberFormat="1" applyFont="1" applyFill="1" applyBorder="1" applyAlignment="1">
      <alignment horizontal="center" vertical="center" wrapText="1"/>
    </xf>
    <xf numFmtId="43" fontId="9" fillId="2" borderId="16" xfId="1" applyFont="1" applyFill="1" applyBorder="1" applyAlignment="1">
      <alignment horizontal="center" vertical="center" wrapText="1"/>
    </xf>
    <xf numFmtId="41" fontId="10" fillId="2" borderId="17" xfId="2" applyFont="1" applyFill="1" applyBorder="1" applyAlignment="1">
      <alignment horizontal="center" vertical="center" wrapText="1"/>
    </xf>
    <xf numFmtId="4" fontId="9" fillId="2" borderId="20" xfId="0" applyNumberFormat="1" applyFont="1" applyFill="1" applyBorder="1" applyAlignment="1">
      <alignment horizontal="center" vertical="center" wrapText="1"/>
    </xf>
    <xf numFmtId="165" fontId="9" fillId="2" borderId="21" xfId="1" applyNumberFormat="1" applyFont="1" applyFill="1" applyBorder="1" applyAlignment="1">
      <alignment horizontal="center" vertical="center" wrapText="1"/>
    </xf>
    <xf numFmtId="165" fontId="9" fillId="2" borderId="22" xfId="1" applyNumberFormat="1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43" fontId="9" fillId="2" borderId="25" xfId="1" applyFont="1" applyFill="1" applyBorder="1" applyAlignment="1">
      <alignment horizontal="center" vertical="center" wrapText="1"/>
    </xf>
    <xf numFmtId="165" fontId="9" fillId="2" borderId="14" xfId="1" applyNumberFormat="1" applyFont="1" applyFill="1" applyBorder="1" applyAlignment="1">
      <alignment horizontal="center" vertical="center" wrapText="1"/>
    </xf>
    <xf numFmtId="165" fontId="9" fillId="2" borderId="26" xfId="1" applyNumberFormat="1" applyFont="1" applyFill="1" applyBorder="1" applyAlignment="1">
      <alignment horizontal="center" vertical="center" wrapText="1"/>
    </xf>
    <xf numFmtId="166" fontId="6" fillId="2" borderId="27" xfId="0" applyNumberFormat="1" applyFont="1" applyFill="1" applyBorder="1" applyAlignment="1">
      <alignment horizontal="center"/>
    </xf>
    <xf numFmtId="166" fontId="6" fillId="2" borderId="28" xfId="0" applyNumberFormat="1" applyFont="1" applyFill="1" applyBorder="1" applyAlignment="1">
      <alignment horizontal="justify" vertical="top" wrapText="1"/>
    </xf>
    <xf numFmtId="166" fontId="11" fillId="2" borderId="29" xfId="0" applyNumberFormat="1" applyFont="1" applyFill="1" applyBorder="1" applyAlignment="1">
      <alignment horizontal="justify" wrapText="1"/>
    </xf>
    <xf numFmtId="166" fontId="11" fillId="2" borderId="30" xfId="0" applyNumberFormat="1" applyFont="1" applyFill="1" applyBorder="1" applyAlignment="1">
      <alignment horizontal="center"/>
    </xf>
    <xf numFmtId="166" fontId="11" fillId="2" borderId="28" xfId="4" applyNumberFormat="1" applyFont="1" applyFill="1" applyBorder="1" applyAlignment="1">
      <alignment horizontal="center"/>
    </xf>
    <xf numFmtId="166" fontId="11" fillId="2" borderId="30" xfId="4" applyNumberFormat="1" applyFont="1" applyFill="1" applyBorder="1"/>
    <xf numFmtId="166" fontId="11" fillId="2" borderId="31" xfId="4" applyNumberFormat="1" applyFont="1" applyFill="1" applyBorder="1"/>
    <xf numFmtId="165" fontId="11" fillId="3" borderId="32" xfId="1" applyNumberFormat="1" applyFont="1" applyFill="1" applyBorder="1" applyAlignment="1">
      <alignment horizontal="center"/>
    </xf>
    <xf numFmtId="166" fontId="11" fillId="3" borderId="33" xfId="0" applyNumberFormat="1" applyFont="1" applyFill="1" applyBorder="1" applyAlignment="1">
      <alignment horizontal="left" wrapText="1" indent="1"/>
    </xf>
    <xf numFmtId="166" fontId="11" fillId="3" borderId="34" xfId="0" applyNumberFormat="1" applyFont="1" applyFill="1" applyBorder="1" applyAlignment="1">
      <alignment horizontal="justify" wrapText="1"/>
    </xf>
    <xf numFmtId="166" fontId="11" fillId="3" borderId="33" xfId="0" applyNumberFormat="1" applyFont="1" applyFill="1" applyBorder="1" applyAlignment="1">
      <alignment horizontal="center"/>
    </xf>
    <xf numFmtId="43" fontId="11" fillId="3" borderId="33" xfId="1" applyFont="1" applyFill="1" applyBorder="1" applyAlignment="1">
      <alignment horizontal="center"/>
    </xf>
    <xf numFmtId="167" fontId="11" fillId="3" borderId="33" xfId="1" applyNumberFormat="1" applyFont="1" applyFill="1" applyBorder="1"/>
    <xf numFmtId="167" fontId="11" fillId="3" borderId="35" xfId="1" applyNumberFormat="1" applyFont="1" applyFill="1" applyBorder="1"/>
    <xf numFmtId="0" fontId="8" fillId="2" borderId="36" xfId="0" applyFont="1" applyFill="1" applyBorder="1" applyAlignment="1">
      <alignment vertical="center"/>
    </xf>
    <xf numFmtId="4" fontId="8" fillId="2" borderId="37" xfId="0" applyNumberFormat="1" applyFont="1" applyFill="1" applyBorder="1" applyAlignment="1">
      <alignment vertical="center"/>
    </xf>
    <xf numFmtId="4" fontId="14" fillId="2" borderId="38" xfId="0" applyNumberFormat="1" applyFont="1" applyFill="1" applyBorder="1" applyAlignment="1">
      <alignment horizontal="right" vertical="center"/>
    </xf>
    <xf numFmtId="165" fontId="8" fillId="2" borderId="37" xfId="1" applyNumberFormat="1" applyFont="1" applyFill="1" applyBorder="1" applyAlignment="1">
      <alignment horizontal="center" vertical="center"/>
    </xf>
    <xf numFmtId="165" fontId="8" fillId="2" borderId="38" xfId="1" applyNumberFormat="1" applyFont="1" applyFill="1" applyBorder="1" applyAlignment="1">
      <alignment horizontal="center" vertical="center"/>
    </xf>
    <xf numFmtId="167" fontId="15" fillId="2" borderId="39" xfId="1" applyNumberFormat="1" applyFont="1" applyFill="1" applyBorder="1" applyAlignment="1">
      <alignment horizontal="center" vertical="center"/>
    </xf>
    <xf numFmtId="167" fontId="8" fillId="2" borderId="40" xfId="2" applyNumberFormat="1" applyFont="1" applyFill="1" applyBorder="1" applyAlignment="1">
      <alignment vertical="center"/>
    </xf>
    <xf numFmtId="166" fontId="6" fillId="2" borderId="30" xfId="0" applyNumberFormat="1" applyFont="1" applyFill="1" applyBorder="1" applyAlignment="1">
      <alignment horizontal="justify" wrapText="1"/>
    </xf>
    <xf numFmtId="166" fontId="11" fillId="2" borderId="30" xfId="4" applyNumberFormat="1" applyFont="1" applyFill="1" applyBorder="1" applyAlignment="1">
      <alignment horizontal="center"/>
    </xf>
    <xf numFmtId="167" fontId="11" fillId="2" borderId="30" xfId="4" applyNumberFormat="1" applyFont="1" applyFill="1" applyBorder="1"/>
    <xf numFmtId="167" fontId="11" fillId="2" borderId="41" xfId="4" applyNumberFormat="1" applyFont="1" applyFill="1" applyBorder="1"/>
    <xf numFmtId="165" fontId="11" fillId="2" borderId="42" xfId="1" applyNumberFormat="1" applyFont="1" applyFill="1" applyBorder="1" applyAlignment="1">
      <alignment horizontal="center"/>
    </xf>
    <xf numFmtId="166" fontId="11" fillId="2" borderId="43" xfId="0" applyNumberFormat="1" applyFont="1" applyFill="1" applyBorder="1" applyAlignment="1">
      <alignment horizontal="left" wrapText="1" indent="1"/>
    </xf>
    <xf numFmtId="166" fontId="11" fillId="2" borderId="44" xfId="0" applyNumberFormat="1" applyFont="1" applyFill="1" applyBorder="1" applyAlignment="1">
      <alignment horizontal="justify" wrapText="1"/>
    </xf>
    <xf numFmtId="166" fontId="11" fillId="2" borderId="43" xfId="0" applyNumberFormat="1" applyFont="1" applyFill="1" applyBorder="1" applyAlignment="1">
      <alignment horizontal="center"/>
    </xf>
    <xf numFmtId="43" fontId="11" fillId="2" borderId="43" xfId="1" applyFont="1" applyFill="1" applyBorder="1" applyAlignment="1">
      <alignment horizontal="center"/>
    </xf>
    <xf numFmtId="167" fontId="11" fillId="2" borderId="43" xfId="1" applyNumberFormat="1" applyFont="1" applyFill="1" applyBorder="1"/>
    <xf numFmtId="167" fontId="11" fillId="2" borderId="35" xfId="1" applyNumberFormat="1" applyFont="1" applyFill="1" applyBorder="1"/>
    <xf numFmtId="166" fontId="11" fillId="2" borderId="33" xfId="0" applyNumberFormat="1" applyFont="1" applyFill="1" applyBorder="1" applyAlignment="1">
      <alignment horizontal="left" wrapText="1" indent="1"/>
    </xf>
    <xf numFmtId="166" fontId="11" fillId="2" borderId="34" xfId="0" applyNumberFormat="1" applyFont="1" applyFill="1" applyBorder="1" applyAlignment="1">
      <alignment horizontal="justify" wrapText="1"/>
    </xf>
    <xf numFmtId="167" fontId="11" fillId="2" borderId="33" xfId="1" applyNumberFormat="1" applyFont="1" applyFill="1" applyBorder="1"/>
    <xf numFmtId="0" fontId="8" fillId="2" borderId="45" xfId="0" applyFont="1" applyFill="1" applyBorder="1" applyAlignment="1">
      <alignment vertical="center"/>
    </xf>
    <xf numFmtId="4" fontId="8" fillId="2" borderId="46" xfId="0" applyNumberFormat="1" applyFont="1" applyFill="1" applyBorder="1" applyAlignment="1">
      <alignment vertical="center"/>
    </xf>
    <xf numFmtId="4" fontId="14" fillId="2" borderId="47" xfId="0" applyNumberFormat="1" applyFont="1" applyFill="1" applyBorder="1" applyAlignment="1">
      <alignment horizontal="right" vertical="center"/>
    </xf>
    <xf numFmtId="165" fontId="8" fillId="2" borderId="46" xfId="1" applyNumberFormat="1" applyFont="1" applyFill="1" applyBorder="1" applyAlignment="1">
      <alignment horizontal="center" vertical="center"/>
    </xf>
    <xf numFmtId="165" fontId="8" fillId="2" borderId="47" xfId="1" applyNumberFormat="1" applyFont="1" applyFill="1" applyBorder="1" applyAlignment="1">
      <alignment horizontal="center" vertical="center"/>
    </xf>
    <xf numFmtId="167" fontId="15" fillId="2" borderId="9" xfId="1" applyNumberFormat="1" applyFont="1" applyFill="1" applyBorder="1" applyAlignment="1">
      <alignment horizontal="center" vertical="center"/>
    </xf>
    <xf numFmtId="167" fontId="8" fillId="2" borderId="48" xfId="2" applyNumberFormat="1" applyFont="1" applyFill="1" applyBorder="1" applyAlignment="1">
      <alignment vertical="center"/>
    </xf>
    <xf numFmtId="0" fontId="16" fillId="2" borderId="49" xfId="0" applyFont="1" applyFill="1" applyBorder="1" applyAlignment="1">
      <alignment horizontal="center" vertical="center"/>
    </xf>
    <xf numFmtId="0" fontId="17" fillId="2" borderId="50" xfId="0" applyFont="1" applyFill="1" applyBorder="1" applyAlignment="1">
      <alignment horizontal="left"/>
    </xf>
    <xf numFmtId="4" fontId="18" fillId="2" borderId="51" xfId="0" applyNumberFormat="1" applyFont="1" applyFill="1" applyBorder="1" applyAlignment="1">
      <alignment horizontal="right" vertical="center"/>
    </xf>
    <xf numFmtId="165" fontId="18" fillId="2" borderId="50" xfId="1" applyNumberFormat="1" applyFont="1" applyFill="1" applyBorder="1" applyAlignment="1">
      <alignment horizontal="center" vertical="center"/>
    </xf>
    <xf numFmtId="168" fontId="18" fillId="2" borderId="51" xfId="2" applyNumberFormat="1" applyFont="1" applyFill="1" applyBorder="1" applyAlignment="1">
      <alignment horizontal="center" vertical="center"/>
    </xf>
    <xf numFmtId="165" fontId="8" fillId="2" borderId="52" xfId="1" applyNumberFormat="1" applyFont="1" applyFill="1" applyBorder="1" applyAlignment="1">
      <alignment horizontal="center" vertical="center"/>
    </xf>
    <xf numFmtId="165" fontId="8" fillId="2" borderId="53" xfId="1" applyNumberFormat="1" applyFont="1" applyFill="1" applyBorder="1" applyAlignment="1">
      <alignment vertical="center"/>
    </xf>
    <xf numFmtId="0" fontId="8" fillId="2" borderId="45" xfId="0" applyFont="1" applyFill="1" applyBorder="1" applyAlignment="1">
      <alignment horizontal="center" vertical="center"/>
    </xf>
    <xf numFmtId="4" fontId="8" fillId="2" borderId="46" xfId="0" applyNumberFormat="1" applyFont="1" applyFill="1" applyBorder="1" applyAlignment="1">
      <alignment horizontal="left" vertical="center"/>
    </xf>
    <xf numFmtId="4" fontId="8" fillId="2" borderId="47" xfId="0" applyNumberFormat="1" applyFont="1" applyFill="1" applyBorder="1" applyAlignment="1">
      <alignment horizontal="left" vertical="center"/>
    </xf>
    <xf numFmtId="165" fontId="15" fillId="2" borderId="46" xfId="1" applyNumberFormat="1" applyFont="1" applyFill="1" applyBorder="1" applyAlignment="1">
      <alignment horizontal="center" vertical="center"/>
    </xf>
    <xf numFmtId="165" fontId="15" fillId="2" borderId="47" xfId="1" applyNumberFormat="1" applyFont="1" applyFill="1" applyBorder="1" applyAlignment="1">
      <alignment horizontal="center" vertical="center"/>
    </xf>
    <xf numFmtId="165" fontId="15" fillId="2" borderId="9" xfId="1" applyNumberFormat="1" applyFont="1" applyFill="1" applyBorder="1" applyAlignment="1">
      <alignment horizontal="center" vertical="center"/>
    </xf>
    <xf numFmtId="41" fontId="15" fillId="2" borderId="48" xfId="2" applyFont="1" applyFill="1" applyBorder="1" applyAlignment="1">
      <alignment horizontal="center" vertical="center"/>
    </xf>
    <xf numFmtId="0" fontId="15" fillId="2" borderId="45" xfId="0" applyFont="1" applyFill="1" applyBorder="1" applyAlignment="1">
      <alignment vertical="center"/>
    </xf>
    <xf numFmtId="4" fontId="15" fillId="2" borderId="46" xfId="0" applyNumberFormat="1" applyFont="1" applyFill="1" applyBorder="1" applyAlignment="1">
      <alignment horizontal="left" vertical="center" indent="1"/>
    </xf>
    <xf numFmtId="4" fontId="19" fillId="2" borderId="47" xfId="0" applyNumberFormat="1" applyFont="1" applyFill="1" applyBorder="1" applyAlignment="1">
      <alignment vertical="center"/>
    </xf>
    <xf numFmtId="43" fontId="15" fillId="2" borderId="47" xfId="1" applyFont="1" applyFill="1" applyBorder="1" applyAlignment="1">
      <alignment horizontal="center" vertical="center"/>
    </xf>
    <xf numFmtId="4" fontId="19" fillId="2" borderId="46" xfId="0" applyNumberFormat="1" applyFont="1" applyFill="1" applyBorder="1" applyAlignment="1">
      <alignment vertical="center"/>
    </xf>
    <xf numFmtId="4" fontId="15" fillId="2" borderId="46" xfId="0" applyNumberFormat="1" applyFont="1" applyFill="1" applyBorder="1" applyAlignment="1">
      <alignment vertical="center"/>
    </xf>
    <xf numFmtId="166" fontId="11" fillId="2" borderId="24" xfId="0" applyNumberFormat="1" applyFont="1" applyFill="1" applyBorder="1" applyAlignment="1">
      <alignment horizontal="center"/>
    </xf>
    <xf numFmtId="166" fontId="11" fillId="2" borderId="43" xfId="0" applyNumberFormat="1" applyFont="1" applyFill="1" applyBorder="1" applyAlignment="1">
      <alignment horizontal="center" vertical="top"/>
    </xf>
    <xf numFmtId="166" fontId="11" fillId="2" borderId="24" xfId="0" applyNumberFormat="1" applyFont="1" applyFill="1" applyBorder="1" applyAlignment="1">
      <alignment horizontal="center" vertical="top"/>
    </xf>
    <xf numFmtId="165" fontId="8" fillId="2" borderId="48" xfId="1" applyNumberFormat="1" applyFont="1" applyFill="1" applyBorder="1" applyAlignment="1">
      <alignment vertical="center"/>
    </xf>
    <xf numFmtId="4" fontId="19" fillId="2" borderId="47" xfId="0" applyNumberFormat="1" applyFont="1" applyFill="1" applyBorder="1" applyAlignment="1">
      <alignment horizontal="right" vertical="center"/>
    </xf>
    <xf numFmtId="4" fontId="15" fillId="2" borderId="47" xfId="0" applyNumberFormat="1" applyFont="1" applyFill="1" applyBorder="1" applyAlignment="1">
      <alignment vertical="center"/>
    </xf>
    <xf numFmtId="43" fontId="8" fillId="2" borderId="47" xfId="1" applyFont="1" applyFill="1" applyBorder="1" applyAlignment="1">
      <alignment horizontal="center" vertical="center"/>
    </xf>
    <xf numFmtId="4" fontId="19" fillId="2" borderId="47" xfId="0" applyNumberFormat="1" applyFont="1" applyFill="1" applyBorder="1" applyAlignment="1">
      <alignment horizontal="left" vertical="top"/>
    </xf>
    <xf numFmtId="4" fontId="19" fillId="2" borderId="54" xfId="0" applyNumberFormat="1" applyFont="1" applyFill="1" applyBorder="1" applyAlignment="1">
      <alignment vertical="center"/>
    </xf>
    <xf numFmtId="0" fontId="11" fillId="2" borderId="28" xfId="0" applyFont="1" applyFill="1" applyBorder="1" applyAlignment="1">
      <alignment horizontal="justify" vertical="top" wrapText="1"/>
    </xf>
    <xf numFmtId="166" fontId="11" fillId="2" borderId="51" xfId="0" applyNumberFormat="1" applyFont="1" applyFill="1" applyBorder="1" applyAlignment="1">
      <alignment horizontal="center" vertical="top"/>
    </xf>
    <xf numFmtId="166" fontId="11" fillId="2" borderId="54" xfId="0" applyNumberFormat="1" applyFont="1" applyFill="1" applyBorder="1" applyAlignment="1">
      <alignment horizontal="center" vertical="top"/>
    </xf>
    <xf numFmtId="166" fontId="11" fillId="2" borderId="47" xfId="0" applyNumberFormat="1" applyFont="1" applyFill="1" applyBorder="1" applyAlignment="1">
      <alignment horizontal="center" vertical="top"/>
    </xf>
    <xf numFmtId="166" fontId="11" fillId="2" borderId="28" xfId="0" applyNumberFormat="1" applyFont="1" applyFill="1" applyBorder="1" applyAlignment="1">
      <alignment horizontal="center" vertical="top"/>
    </xf>
    <xf numFmtId="4" fontId="15" fillId="2" borderId="6" xfId="0" applyNumberFormat="1" applyFont="1" applyFill="1" applyBorder="1" applyAlignment="1">
      <alignment horizontal="left" vertical="center" indent="1"/>
    </xf>
    <xf numFmtId="0" fontId="14" fillId="2" borderId="4" xfId="0" applyFont="1" applyFill="1" applyBorder="1" applyAlignment="1">
      <alignment horizontal="left"/>
    </xf>
    <xf numFmtId="4" fontId="15" fillId="2" borderId="28" xfId="0" applyNumberFormat="1" applyFont="1" applyFill="1" applyBorder="1" applyAlignment="1">
      <alignment vertical="center"/>
    </xf>
    <xf numFmtId="4" fontId="15" fillId="2" borderId="44" xfId="0" applyNumberFormat="1" applyFont="1" applyFill="1" applyBorder="1"/>
    <xf numFmtId="165" fontId="11" fillId="3" borderId="42" xfId="1" applyNumberFormat="1" applyFont="1" applyFill="1" applyBorder="1" applyAlignment="1">
      <alignment horizontal="center"/>
    </xf>
    <xf numFmtId="4" fontId="15" fillId="3" borderId="46" xfId="0" applyNumberFormat="1" applyFont="1" applyFill="1" applyBorder="1" applyAlignment="1">
      <alignment horizontal="left" vertical="center" indent="1"/>
    </xf>
    <xf numFmtId="166" fontId="11" fillId="3" borderId="44" xfId="0" applyNumberFormat="1" applyFont="1" applyFill="1" applyBorder="1" applyAlignment="1">
      <alignment horizontal="justify" wrapText="1"/>
    </xf>
    <xf numFmtId="166" fontId="11" fillId="3" borderId="24" xfId="0" applyNumberFormat="1" applyFont="1" applyFill="1" applyBorder="1" applyAlignment="1">
      <alignment horizontal="center" vertical="top"/>
    </xf>
    <xf numFmtId="43" fontId="15" fillId="3" borderId="47" xfId="1" applyFont="1" applyFill="1" applyBorder="1" applyAlignment="1">
      <alignment horizontal="center" vertical="center"/>
    </xf>
    <xf numFmtId="165" fontId="15" fillId="3" borderId="9" xfId="1" applyNumberFormat="1" applyFont="1" applyFill="1" applyBorder="1" applyAlignment="1">
      <alignment horizontal="center" vertical="center"/>
    </xf>
    <xf numFmtId="41" fontId="15" fillId="3" borderId="48" xfId="2" applyFont="1" applyFill="1" applyBorder="1" applyAlignment="1">
      <alignment horizontal="center" vertical="center"/>
    </xf>
    <xf numFmtId="4" fontId="19" fillId="2" borderId="47" xfId="0" applyNumberFormat="1" applyFont="1" applyFill="1" applyBorder="1" applyAlignment="1">
      <alignment horizontal="left" vertical="center"/>
    </xf>
    <xf numFmtId="165" fontId="15" fillId="2" borderId="9" xfId="1" applyNumberFormat="1" applyFont="1" applyFill="1" applyBorder="1" applyAlignment="1">
      <alignment vertical="center"/>
    </xf>
    <xf numFmtId="4" fontId="8" fillId="2" borderId="46" xfId="0" applyNumberFormat="1" applyFont="1" applyFill="1" applyBorder="1" applyAlignment="1">
      <alignment horizontal="left" vertical="center" indent="1"/>
    </xf>
    <xf numFmtId="166" fontId="11" fillId="2" borderId="54" xfId="0" applyNumberFormat="1" applyFont="1" applyFill="1" applyBorder="1" applyAlignment="1">
      <alignment horizontal="center"/>
    </xf>
    <xf numFmtId="166" fontId="11" fillId="2" borderId="55" xfId="0" applyNumberFormat="1" applyFont="1" applyFill="1" applyBorder="1" applyAlignment="1">
      <alignment horizontal="center" vertical="top"/>
    </xf>
    <xf numFmtId="4" fontId="15" fillId="2" borderId="28" xfId="0" applyNumberFormat="1" applyFont="1" applyFill="1" applyBorder="1"/>
    <xf numFmtId="0" fontId="21" fillId="2" borderId="47" xfId="0" applyFont="1" applyFill="1" applyBorder="1"/>
    <xf numFmtId="165" fontId="8" fillId="2" borderId="24" xfId="1" applyNumberFormat="1" applyFont="1" applyFill="1" applyBorder="1" applyAlignment="1">
      <alignment horizontal="center" vertical="center"/>
    </xf>
    <xf numFmtId="43" fontId="22" fillId="2" borderId="25" xfId="1" applyFont="1" applyFill="1" applyBorder="1"/>
    <xf numFmtId="165" fontId="15" fillId="2" borderId="2" xfId="1" applyNumberFormat="1" applyFont="1" applyFill="1" applyBorder="1" applyAlignment="1">
      <alignment horizontal="center" vertical="center"/>
    </xf>
    <xf numFmtId="0" fontId="23" fillId="2" borderId="46" xfId="0" applyFont="1" applyFill="1" applyBorder="1" applyAlignment="1">
      <alignment vertical="center" wrapText="1"/>
    </xf>
    <xf numFmtId="4" fontId="15" fillId="2" borderId="46" xfId="0" applyNumberFormat="1" applyFont="1" applyFill="1" applyBorder="1" applyAlignment="1">
      <alignment horizontal="left" vertical="center"/>
    </xf>
    <xf numFmtId="168" fontId="15" fillId="2" borderId="47" xfId="2" applyNumberFormat="1" applyFont="1" applyFill="1" applyBorder="1" applyAlignment="1">
      <alignment horizontal="center" vertical="center"/>
    </xf>
    <xf numFmtId="165" fontId="15" fillId="2" borderId="47" xfId="1" applyNumberFormat="1" applyFont="1" applyFill="1" applyBorder="1" applyAlignment="1">
      <alignment vertical="center"/>
    </xf>
    <xf numFmtId="4" fontId="15" fillId="2" borderId="30" xfId="0" applyNumberFormat="1" applyFont="1" applyFill="1" applyBorder="1"/>
    <xf numFmtId="0" fontId="8" fillId="2" borderId="36" xfId="0" applyFont="1" applyFill="1" applyBorder="1" applyAlignment="1">
      <alignment horizontal="center" vertical="center"/>
    </xf>
    <xf numFmtId="4" fontId="18" fillId="2" borderId="37" xfId="0" applyNumberFormat="1" applyFont="1" applyFill="1" applyBorder="1" applyAlignment="1">
      <alignment vertical="center"/>
    </xf>
    <xf numFmtId="165" fontId="18" fillId="2" borderId="37" xfId="1" applyNumberFormat="1" applyFont="1" applyFill="1" applyBorder="1" applyAlignment="1">
      <alignment horizontal="center" vertical="center"/>
    </xf>
    <xf numFmtId="165" fontId="18" fillId="2" borderId="38" xfId="1" applyNumberFormat="1" applyFont="1" applyFill="1" applyBorder="1" applyAlignment="1">
      <alignment horizontal="center" vertical="center"/>
    </xf>
    <xf numFmtId="165" fontId="8" fillId="2" borderId="39" xfId="1" applyNumberFormat="1" applyFont="1" applyFill="1" applyBorder="1" applyAlignment="1">
      <alignment horizontal="center" vertical="center"/>
    </xf>
    <xf numFmtId="165" fontId="8" fillId="2" borderId="40" xfId="1" applyNumberFormat="1" applyFont="1" applyFill="1" applyBorder="1" applyAlignment="1">
      <alignment vertical="center"/>
    </xf>
    <xf numFmtId="0" fontId="24" fillId="2" borderId="0" xfId="0" applyFont="1" applyFill="1" applyAlignment="1">
      <alignment horizontal="left"/>
    </xf>
    <xf numFmtId="0" fontId="25" fillId="0" borderId="0" xfId="0" applyFont="1"/>
    <xf numFmtId="0" fontId="26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7" fillId="4" borderId="58" xfId="0" applyFont="1" applyFill="1" applyBorder="1" applyAlignment="1">
      <alignment horizontal="center" vertical="center" wrapText="1"/>
    </xf>
    <xf numFmtId="0" fontId="27" fillId="4" borderId="62" xfId="0" applyFont="1" applyFill="1" applyBorder="1" applyAlignment="1">
      <alignment horizontal="center" vertical="center" wrapText="1"/>
    </xf>
    <xf numFmtId="0" fontId="28" fillId="0" borderId="64" xfId="0" applyFont="1" applyBorder="1" applyAlignment="1">
      <alignment horizontal="center" vertical="top" wrapText="1"/>
    </xf>
    <xf numFmtId="0" fontId="28" fillId="0" borderId="65" xfId="0" applyFont="1" applyBorder="1" applyAlignment="1">
      <alignment horizontal="left" vertical="top" wrapText="1"/>
    </xf>
    <xf numFmtId="0" fontId="0" fillId="0" borderId="65" xfId="0" applyBorder="1" applyAlignment="1">
      <alignment horizontal="center" vertical="top" wrapText="1"/>
    </xf>
    <xf numFmtId="0" fontId="28" fillId="0" borderId="65" xfId="0" applyFont="1" applyBorder="1" applyAlignment="1">
      <alignment horizontal="right" vertical="top" wrapText="1"/>
    </xf>
    <xf numFmtId="0" fontId="28" fillId="0" borderId="66" xfId="0" applyFont="1" applyBorder="1" applyAlignment="1">
      <alignment horizontal="right" vertical="top" wrapText="1"/>
    </xf>
    <xf numFmtId="0" fontId="28" fillId="2" borderId="66" xfId="0" applyFont="1" applyFill="1" applyBorder="1" applyAlignment="1">
      <alignment horizontal="right" vertical="top" wrapText="1"/>
    </xf>
    <xf numFmtId="0" fontId="29" fillId="0" borderId="67" xfId="0" applyFont="1" applyBorder="1" applyAlignment="1">
      <alignment horizontal="right" vertical="top" wrapText="1"/>
    </xf>
    <xf numFmtId="0" fontId="0" fillId="0" borderId="65" xfId="0" applyBorder="1" applyAlignment="1">
      <alignment horizontal="left" vertical="top" wrapText="1" indent="1"/>
    </xf>
    <xf numFmtId="166" fontId="29" fillId="0" borderId="68" xfId="0" applyNumberFormat="1" applyFont="1" applyBorder="1" applyAlignment="1">
      <alignment horizontal="justify" wrapText="1"/>
    </xf>
    <xf numFmtId="166" fontId="29" fillId="0" borderId="68" xfId="0" applyNumberFormat="1" applyFont="1" applyBorder="1" applyAlignment="1">
      <alignment horizontal="center"/>
    </xf>
    <xf numFmtId="43" fontId="29" fillId="0" borderId="69" xfId="1" applyFont="1" applyBorder="1" applyAlignment="1">
      <alignment horizontal="center"/>
    </xf>
    <xf numFmtId="169" fontId="29" fillId="0" borderId="70" xfId="2" applyNumberFormat="1" applyFont="1" applyBorder="1" applyAlignment="1">
      <alignment horizontal="right" vertical="top" wrapText="1"/>
    </xf>
    <xf numFmtId="169" fontId="29" fillId="0" borderId="70" xfId="0" applyNumberFormat="1" applyFont="1" applyBorder="1" applyAlignment="1">
      <alignment horizontal="right" vertical="top" wrapText="1"/>
    </xf>
    <xf numFmtId="169" fontId="29" fillId="0" borderId="71" xfId="0" applyNumberFormat="1" applyFont="1" applyBorder="1" applyAlignment="1">
      <alignment horizontal="right" vertical="top" wrapText="1"/>
    </xf>
    <xf numFmtId="169" fontId="29" fillId="2" borderId="71" xfId="0" applyNumberFormat="1" applyFont="1" applyFill="1" applyBorder="1" applyAlignment="1">
      <alignment horizontal="right" vertical="top" wrapText="1"/>
    </xf>
    <xf numFmtId="0" fontId="29" fillId="2" borderId="67" xfId="0" applyFont="1" applyFill="1" applyBorder="1" applyAlignment="1">
      <alignment horizontal="right" vertical="top" wrapText="1"/>
    </xf>
    <xf numFmtId="0" fontId="0" fillId="2" borderId="70" xfId="0" applyFill="1" applyBorder="1" applyAlignment="1">
      <alignment horizontal="left" wrapText="1" indent="1"/>
    </xf>
    <xf numFmtId="166" fontId="29" fillId="2" borderId="72" xfId="0" applyNumberFormat="1" applyFont="1" applyFill="1" applyBorder="1" applyAlignment="1">
      <alignment horizontal="justify" wrapText="1"/>
    </xf>
    <xf numFmtId="166" fontId="29" fillId="2" borderId="72" xfId="0" applyNumberFormat="1" applyFont="1" applyFill="1" applyBorder="1" applyAlignment="1">
      <alignment horizontal="center"/>
    </xf>
    <xf numFmtId="43" fontId="29" fillId="2" borderId="73" xfId="1" applyFont="1" applyFill="1" applyBorder="1" applyAlignment="1">
      <alignment horizontal="center"/>
    </xf>
    <xf numFmtId="169" fontId="29" fillId="2" borderId="70" xfId="2" applyNumberFormat="1" applyFont="1" applyFill="1" applyBorder="1" applyAlignment="1">
      <alignment horizontal="right" vertical="top" wrapText="1"/>
    </xf>
    <xf numFmtId="169" fontId="29" fillId="2" borderId="70" xfId="0" applyNumberFormat="1" applyFont="1" applyFill="1" applyBorder="1" applyAlignment="1">
      <alignment horizontal="right" vertical="top" wrapText="1"/>
    </xf>
    <xf numFmtId="0" fontId="29" fillId="3" borderId="67" xfId="0" applyFont="1" applyFill="1" applyBorder="1" applyAlignment="1">
      <alignment horizontal="right" vertical="top" wrapText="1"/>
    </xf>
    <xf numFmtId="0" fontId="0" fillId="3" borderId="74" xfId="0" applyFill="1" applyBorder="1" applyAlignment="1">
      <alignment horizontal="left" vertical="top" wrapText="1" indent="1"/>
    </xf>
    <xf numFmtId="166" fontId="29" fillId="3" borderId="72" xfId="0" applyNumberFormat="1" applyFont="1" applyFill="1" applyBorder="1" applyAlignment="1">
      <alignment horizontal="justify" wrapText="1"/>
    </xf>
    <xf numFmtId="166" fontId="29" fillId="3" borderId="72" xfId="0" applyNumberFormat="1" applyFont="1" applyFill="1" applyBorder="1" applyAlignment="1">
      <alignment horizontal="center"/>
    </xf>
    <xf numFmtId="43" fontId="29" fillId="3" borderId="73" xfId="1" applyFont="1" applyFill="1" applyBorder="1" applyAlignment="1">
      <alignment horizontal="center"/>
    </xf>
    <xf numFmtId="169" fontId="29" fillId="3" borderId="70" xfId="2" applyNumberFormat="1" applyFont="1" applyFill="1" applyBorder="1" applyAlignment="1">
      <alignment horizontal="right" vertical="top" wrapText="1"/>
    </xf>
    <xf numFmtId="169" fontId="29" fillId="3" borderId="70" xfId="0" applyNumberFormat="1" applyFont="1" applyFill="1" applyBorder="1" applyAlignment="1">
      <alignment horizontal="right" vertical="top" wrapText="1"/>
    </xf>
    <xf numFmtId="169" fontId="29" fillId="3" borderId="71" xfId="0" applyNumberFormat="1" applyFont="1" applyFill="1" applyBorder="1" applyAlignment="1">
      <alignment horizontal="right" vertical="top" wrapText="1"/>
    </xf>
    <xf numFmtId="169" fontId="30" fillId="2" borderId="71" xfId="0" applyNumberFormat="1" applyFont="1" applyFill="1" applyBorder="1" applyAlignment="1">
      <alignment horizontal="right" vertical="top" wrapText="1"/>
    </xf>
    <xf numFmtId="166" fontId="29" fillId="0" borderId="75" xfId="0" applyNumberFormat="1" applyFont="1" applyBorder="1" applyAlignment="1">
      <alignment horizontal="left" vertical="top" wrapText="1" indent="1"/>
    </xf>
    <xf numFmtId="166" fontId="29" fillId="0" borderId="72" xfId="0" applyNumberFormat="1" applyFont="1" applyBorder="1" applyAlignment="1">
      <alignment horizontal="justify" vertical="top" wrapText="1"/>
    </xf>
    <xf numFmtId="166" fontId="29" fillId="0" borderId="76" xfId="0" applyNumberFormat="1" applyFont="1" applyBorder="1" applyAlignment="1">
      <alignment horizontal="center" vertical="top"/>
    </xf>
    <xf numFmtId="43" fontId="29" fillId="0" borderId="30" xfId="1" applyFont="1" applyBorder="1" applyAlignment="1">
      <alignment horizontal="center" vertical="top"/>
    </xf>
    <xf numFmtId="0" fontId="29" fillId="0" borderId="70" xfId="0" applyFont="1" applyBorder="1" applyAlignment="1">
      <alignment horizontal="left" vertical="top" wrapText="1" indent="4"/>
    </xf>
    <xf numFmtId="0" fontId="29" fillId="0" borderId="70" xfId="0" applyFont="1" applyBorder="1" applyAlignment="1">
      <alignment horizontal="left" vertical="top" wrapText="1"/>
    </xf>
    <xf numFmtId="0" fontId="0" fillId="0" borderId="70" xfId="0" applyBorder="1" applyAlignment="1">
      <alignment horizontal="center" vertical="top" wrapText="1"/>
    </xf>
    <xf numFmtId="4" fontId="29" fillId="0" borderId="70" xfId="0" applyNumberFormat="1" applyFont="1" applyBorder="1" applyAlignment="1">
      <alignment horizontal="right" wrapText="1"/>
    </xf>
    <xf numFmtId="0" fontId="29" fillId="0" borderId="70" xfId="0" applyFont="1" applyBorder="1" applyAlignment="1">
      <alignment horizontal="right" wrapText="1"/>
    </xf>
    <xf numFmtId="41" fontId="28" fillId="0" borderId="43" xfId="2" applyFont="1" applyBorder="1" applyAlignment="1">
      <alignment horizontal="right" vertical="top" wrapText="1"/>
    </xf>
    <xf numFmtId="169" fontId="28" fillId="0" borderId="71" xfId="0" applyNumberFormat="1" applyFont="1" applyBorder="1" applyAlignment="1">
      <alignment horizontal="right" wrapText="1"/>
    </xf>
    <xf numFmtId="0" fontId="28" fillId="0" borderId="67" xfId="0" applyFont="1" applyBorder="1" applyAlignment="1">
      <alignment horizontal="center" vertical="top" wrapText="1"/>
    </xf>
    <xf numFmtId="0" fontId="28" fillId="0" borderId="70" xfId="0" applyFont="1" applyBorder="1" applyAlignment="1">
      <alignment horizontal="left" vertical="top" wrapText="1"/>
    </xf>
    <xf numFmtId="4" fontId="29" fillId="0" borderId="70" xfId="0" applyNumberFormat="1" applyFont="1" applyBorder="1" applyAlignment="1">
      <alignment horizontal="right" vertical="top" wrapText="1"/>
    </xf>
    <xf numFmtId="0" fontId="28" fillId="0" borderId="70" xfId="0" applyFont="1" applyBorder="1" applyAlignment="1">
      <alignment horizontal="right" vertical="top" wrapText="1"/>
    </xf>
    <xf numFmtId="0" fontId="28" fillId="0" borderId="67" xfId="0" applyFont="1" applyBorder="1" applyAlignment="1">
      <alignment horizontal="left" vertical="top" wrapText="1" indent="4"/>
    </xf>
    <xf numFmtId="0" fontId="29" fillId="0" borderId="70" xfId="0" applyFont="1" applyBorder="1" applyAlignment="1">
      <alignment horizontal="right" vertical="top" wrapText="1"/>
    </xf>
    <xf numFmtId="0" fontId="29" fillId="3" borderId="0" xfId="0" applyFont="1" applyFill="1" applyAlignment="1">
      <alignment horizontal="left" vertical="top" wrapText="1"/>
    </xf>
    <xf numFmtId="0" fontId="0" fillId="3" borderId="70" xfId="0" applyFill="1" applyBorder="1" applyAlignment="1">
      <alignment horizontal="center" vertical="top" wrapText="1"/>
    </xf>
    <xf numFmtId="4" fontId="29" fillId="3" borderId="70" xfId="0" applyNumberFormat="1" applyFont="1" applyFill="1" applyBorder="1" applyAlignment="1">
      <alignment horizontal="right" vertical="top" wrapText="1"/>
    </xf>
    <xf numFmtId="169" fontId="31" fillId="2" borderId="71" xfId="0" applyNumberFormat="1" applyFont="1" applyFill="1" applyBorder="1" applyAlignment="1">
      <alignment horizontal="right" vertical="top" wrapText="1"/>
    </xf>
    <xf numFmtId="0" fontId="29" fillId="3" borderId="76" xfId="0" applyFont="1" applyFill="1" applyBorder="1" applyAlignment="1">
      <alignment horizontal="left" vertical="top" wrapText="1"/>
    </xf>
    <xf numFmtId="0" fontId="0" fillId="3" borderId="77" xfId="0" applyFill="1" applyBorder="1" applyAlignment="1">
      <alignment horizontal="center" vertical="top" wrapText="1"/>
    </xf>
    <xf numFmtId="0" fontId="0" fillId="3" borderId="76" xfId="0" applyFill="1" applyBorder="1"/>
    <xf numFmtId="43" fontId="0" fillId="3" borderId="76" xfId="1" applyFont="1" applyFill="1" applyBorder="1"/>
    <xf numFmtId="169" fontId="29" fillId="3" borderId="77" xfId="2" applyNumberFormat="1" applyFont="1" applyFill="1" applyBorder="1" applyAlignment="1">
      <alignment horizontal="right" vertical="top" wrapText="1"/>
    </xf>
    <xf numFmtId="169" fontId="29" fillId="3" borderId="77" xfId="0" applyNumberFormat="1" applyFont="1" applyFill="1" applyBorder="1" applyAlignment="1">
      <alignment horizontal="right" vertical="top" wrapText="1"/>
    </xf>
    <xf numFmtId="0" fontId="0" fillId="3" borderId="78" xfId="0" applyFill="1" applyBorder="1" applyAlignment="1">
      <alignment horizontal="center" vertical="top" wrapText="1"/>
    </xf>
    <xf numFmtId="169" fontId="29" fillId="3" borderId="78" xfId="2" applyNumberFormat="1" applyFont="1" applyFill="1" applyBorder="1" applyAlignment="1">
      <alignment horizontal="right" vertical="top" wrapText="1"/>
    </xf>
    <xf numFmtId="169" fontId="29" fillId="3" borderId="78" xfId="0" applyNumberFormat="1" applyFont="1" applyFill="1" applyBorder="1" applyAlignment="1">
      <alignment horizontal="right" vertical="top" wrapText="1"/>
    </xf>
    <xf numFmtId="169" fontId="29" fillId="3" borderId="79" xfId="0" applyNumberFormat="1" applyFont="1" applyFill="1" applyBorder="1" applyAlignment="1">
      <alignment horizontal="right" vertical="top" wrapText="1"/>
    </xf>
    <xf numFmtId="169" fontId="31" fillId="2" borderId="79" xfId="0" applyNumberFormat="1" applyFont="1" applyFill="1" applyBorder="1" applyAlignment="1">
      <alignment horizontal="right" vertical="top" wrapText="1"/>
    </xf>
    <xf numFmtId="0" fontId="28" fillId="2" borderId="70" xfId="0" applyFont="1" applyFill="1" applyBorder="1" applyAlignment="1">
      <alignment horizontal="left" vertical="top" wrapText="1"/>
    </xf>
    <xf numFmtId="0" fontId="29" fillId="2" borderId="70" xfId="0" applyFont="1" applyFill="1" applyBorder="1" applyAlignment="1">
      <alignment horizontal="left" vertical="top" wrapText="1"/>
    </xf>
    <xf numFmtId="0" fontId="0" fillId="2" borderId="70" xfId="0" applyFill="1" applyBorder="1" applyAlignment="1">
      <alignment horizontal="center" vertical="top" wrapText="1"/>
    </xf>
    <xf numFmtId="4" fontId="29" fillId="2" borderId="70" xfId="0" applyNumberFormat="1" applyFont="1" applyFill="1" applyBorder="1" applyAlignment="1">
      <alignment horizontal="right" vertical="top" wrapText="1"/>
    </xf>
    <xf numFmtId="0" fontId="29" fillId="2" borderId="70" xfId="0" applyFont="1" applyFill="1" applyBorder="1" applyAlignment="1">
      <alignment horizontal="right" vertical="top" wrapText="1"/>
    </xf>
    <xf numFmtId="169" fontId="29" fillId="2" borderId="0" xfId="0" applyNumberFormat="1" applyFont="1" applyFill="1" applyAlignment="1">
      <alignment horizontal="right" vertical="top" wrapText="1"/>
    </xf>
    <xf numFmtId="0" fontId="0" fillId="3" borderId="70" xfId="0" applyFill="1" applyBorder="1" applyAlignment="1">
      <alignment vertical="top" wrapText="1"/>
    </xf>
    <xf numFmtId="169" fontId="32" fillId="2" borderId="71" xfId="0" applyNumberFormat="1" applyFont="1" applyFill="1" applyBorder="1" applyAlignment="1">
      <alignment horizontal="right" vertical="top" wrapText="1"/>
    </xf>
    <xf numFmtId="0" fontId="29" fillId="3" borderId="70" xfId="0" applyFont="1" applyFill="1" applyBorder="1" applyAlignment="1">
      <alignment horizontal="left" vertical="top" wrapText="1"/>
    </xf>
    <xf numFmtId="0" fontId="33" fillId="3" borderId="70" xfId="0" applyFont="1" applyFill="1" applyBorder="1" applyAlignment="1">
      <alignment horizontal="left" vertical="top" wrapText="1"/>
    </xf>
    <xf numFmtId="4" fontId="33" fillId="3" borderId="70" xfId="0" applyNumberFormat="1" applyFont="1" applyFill="1" applyBorder="1" applyAlignment="1">
      <alignment horizontal="right" vertical="top" wrapText="1"/>
    </xf>
    <xf numFmtId="169" fontId="33" fillId="3" borderId="70" xfId="2" applyNumberFormat="1" applyFont="1" applyFill="1" applyBorder="1" applyAlignment="1">
      <alignment horizontal="right" vertical="top" wrapText="1"/>
    </xf>
    <xf numFmtId="169" fontId="33" fillId="3" borderId="70" xfId="0" applyNumberFormat="1" applyFont="1" applyFill="1" applyBorder="1" applyAlignment="1">
      <alignment horizontal="right" vertical="top" wrapText="1"/>
    </xf>
    <xf numFmtId="169" fontId="33" fillId="3" borderId="71" xfId="0" applyNumberFormat="1" applyFont="1" applyFill="1" applyBorder="1" applyAlignment="1">
      <alignment horizontal="right" vertical="top" wrapText="1"/>
    </xf>
    <xf numFmtId="0" fontId="2" fillId="3" borderId="70" xfId="0" applyFont="1" applyFill="1" applyBorder="1" applyAlignment="1">
      <alignment vertical="top" wrapText="1"/>
    </xf>
    <xf numFmtId="0" fontId="34" fillId="3" borderId="70" xfId="0" applyFont="1" applyFill="1" applyBorder="1" applyAlignment="1">
      <alignment horizontal="left" vertical="top" wrapText="1"/>
    </xf>
    <xf numFmtId="0" fontId="2" fillId="2" borderId="70" xfId="0" applyFont="1" applyFill="1" applyBorder="1" applyAlignment="1">
      <alignment horizontal="center" vertical="top" wrapText="1"/>
    </xf>
    <xf numFmtId="4" fontId="34" fillId="2" borderId="70" xfId="0" applyNumberFormat="1" applyFont="1" applyFill="1" applyBorder="1" applyAlignment="1">
      <alignment horizontal="right" vertical="top" wrapText="1"/>
    </xf>
    <xf numFmtId="169" fontId="2" fillId="2" borderId="70" xfId="2" applyNumberFormat="1" applyFont="1" applyFill="1" applyBorder="1" applyAlignment="1">
      <alignment horizontal="right" vertical="top" wrapText="1"/>
    </xf>
    <xf numFmtId="169" fontId="2" fillId="2" borderId="70" xfId="0" applyNumberFormat="1" applyFont="1" applyFill="1" applyBorder="1" applyAlignment="1">
      <alignment horizontal="right" vertical="top" wrapText="1"/>
    </xf>
    <xf numFmtId="169" fontId="2" fillId="2" borderId="71" xfId="0" applyNumberFormat="1" applyFont="1" applyFill="1" applyBorder="1" applyAlignment="1">
      <alignment horizontal="right" vertical="top" wrapText="1"/>
    </xf>
    <xf numFmtId="4" fontId="34" fillId="3" borderId="70" xfId="0" applyNumberFormat="1" applyFont="1" applyFill="1" applyBorder="1" applyAlignment="1">
      <alignment horizontal="right" vertical="top" wrapText="1"/>
    </xf>
    <xf numFmtId="169" fontId="29" fillId="5" borderId="70" xfId="2" applyNumberFormat="1" applyFont="1" applyFill="1" applyBorder="1" applyAlignment="1">
      <alignment horizontal="right" vertical="top" wrapText="1"/>
    </xf>
    <xf numFmtId="169" fontId="2" fillId="3" borderId="70" xfId="2" applyNumberFormat="1" applyFont="1" applyFill="1" applyBorder="1" applyAlignment="1">
      <alignment horizontal="right" vertical="top" wrapText="1"/>
    </xf>
    <xf numFmtId="169" fontId="2" fillId="3" borderId="70" xfId="0" applyNumberFormat="1" applyFont="1" applyFill="1" applyBorder="1" applyAlignment="1">
      <alignment horizontal="right" vertical="top" wrapText="1"/>
    </xf>
    <xf numFmtId="169" fontId="2" fillId="3" borderId="71" xfId="0" applyNumberFormat="1" applyFont="1" applyFill="1" applyBorder="1" applyAlignment="1">
      <alignment horizontal="right" vertical="top" wrapText="1"/>
    </xf>
    <xf numFmtId="169" fontId="2" fillId="2" borderId="0" xfId="0" applyNumberFormat="1" applyFont="1" applyFill="1" applyAlignment="1">
      <alignment horizontal="right" vertical="top" wrapText="1"/>
    </xf>
    <xf numFmtId="0" fontId="0" fillId="0" borderId="70" xfId="0" applyBorder="1" applyAlignment="1">
      <alignment vertical="top" wrapText="1"/>
    </xf>
    <xf numFmtId="2" fontId="29" fillId="0" borderId="70" xfId="0" applyNumberFormat="1" applyFont="1" applyBorder="1" applyAlignment="1">
      <alignment horizontal="right" vertical="top" wrapText="1"/>
    </xf>
    <xf numFmtId="0" fontId="0" fillId="0" borderId="70" xfId="0" applyBorder="1" applyAlignment="1">
      <alignment horizontal="left" vertical="top" wrapText="1" indent="1"/>
    </xf>
    <xf numFmtId="0" fontId="33" fillId="0" borderId="70" xfId="0" applyFont="1" applyBorder="1" applyAlignment="1">
      <alignment horizontal="left" vertical="top" wrapText="1"/>
    </xf>
    <xf numFmtId="4" fontId="33" fillId="0" borderId="70" xfId="0" applyNumberFormat="1" applyFont="1" applyBorder="1" applyAlignment="1">
      <alignment horizontal="right" vertical="top" wrapText="1"/>
    </xf>
    <xf numFmtId="0" fontId="33" fillId="0" borderId="70" xfId="0" applyFont="1" applyBorder="1" applyAlignment="1">
      <alignment horizontal="right" vertical="top" wrapText="1"/>
    </xf>
    <xf numFmtId="0" fontId="0" fillId="0" borderId="70" xfId="0" applyBorder="1" applyAlignment="1">
      <alignment horizontal="left" vertical="top" wrapText="1" indent="2"/>
    </xf>
    <xf numFmtId="169" fontId="33" fillId="0" borderId="70" xfId="2" applyNumberFormat="1" applyFont="1" applyBorder="1" applyAlignment="1">
      <alignment horizontal="right" vertical="top" wrapText="1"/>
    </xf>
    <xf numFmtId="169" fontId="33" fillId="0" borderId="70" xfId="0" applyNumberFormat="1" applyFont="1" applyBorder="1" applyAlignment="1">
      <alignment horizontal="right" vertical="top" wrapText="1"/>
    </xf>
    <xf numFmtId="0" fontId="0" fillId="0" borderId="70" xfId="0" applyBorder="1" applyAlignment="1">
      <alignment horizontal="left" wrapText="1" indent="2"/>
    </xf>
    <xf numFmtId="0" fontId="33" fillId="0" borderId="70" xfId="0" applyFont="1" applyBorder="1" applyAlignment="1">
      <alignment horizontal="left" wrapText="1"/>
    </xf>
    <xf numFmtId="0" fontId="29" fillId="0" borderId="70" xfId="0" applyFont="1" applyBorder="1" applyAlignment="1">
      <alignment horizontal="left" wrapText="1"/>
    </xf>
    <xf numFmtId="170" fontId="29" fillId="0" borderId="70" xfId="2" applyNumberFormat="1" applyFont="1" applyBorder="1" applyAlignment="1">
      <alignment horizontal="right" vertical="top" wrapText="1"/>
    </xf>
    <xf numFmtId="171" fontId="29" fillId="0" borderId="70" xfId="0" applyNumberFormat="1" applyFont="1" applyBorder="1" applyAlignment="1">
      <alignment horizontal="right" vertical="top" wrapText="1"/>
    </xf>
    <xf numFmtId="0" fontId="0" fillId="2" borderId="70" xfId="0" applyFill="1" applyBorder="1" applyAlignment="1">
      <alignment vertical="top" wrapText="1"/>
    </xf>
    <xf numFmtId="0" fontId="33" fillId="2" borderId="70" xfId="0" applyFont="1" applyFill="1" applyBorder="1" applyAlignment="1">
      <alignment horizontal="left" vertical="top" wrapText="1"/>
    </xf>
    <xf numFmtId="4" fontId="33" fillId="2" borderId="70" xfId="0" applyNumberFormat="1" applyFont="1" applyFill="1" applyBorder="1" applyAlignment="1">
      <alignment horizontal="right" vertical="top" wrapText="1"/>
    </xf>
    <xf numFmtId="0" fontId="2" fillId="3" borderId="67" xfId="0" applyFont="1" applyFill="1" applyBorder="1" applyAlignment="1">
      <alignment horizontal="right" vertical="top" wrapText="1"/>
    </xf>
    <xf numFmtId="0" fontId="2" fillId="3" borderId="70" xfId="0" applyFont="1" applyFill="1" applyBorder="1" applyAlignment="1">
      <alignment wrapText="1"/>
    </xf>
    <xf numFmtId="0" fontId="35" fillId="3" borderId="70" xfId="0" applyFont="1" applyFill="1" applyBorder="1" applyAlignment="1">
      <alignment horizontal="left" vertical="top" wrapText="1"/>
    </xf>
    <xf numFmtId="4" fontId="28" fillId="3" borderId="70" xfId="0" applyNumberFormat="1" applyFont="1" applyFill="1" applyBorder="1" applyAlignment="1">
      <alignment horizontal="right" vertical="top" wrapText="1"/>
    </xf>
    <xf numFmtId="169" fontId="28" fillId="5" borderId="70" xfId="2" applyNumberFormat="1" applyFont="1" applyFill="1" applyBorder="1" applyAlignment="1">
      <alignment horizontal="right" vertical="top" wrapText="1"/>
    </xf>
    <xf numFmtId="169" fontId="28" fillId="3" borderId="70" xfId="2" applyNumberFormat="1" applyFont="1" applyFill="1" applyBorder="1" applyAlignment="1">
      <alignment horizontal="right" vertical="top" wrapText="1"/>
    </xf>
    <xf numFmtId="169" fontId="28" fillId="3" borderId="70" xfId="0" applyNumberFormat="1" applyFont="1" applyFill="1" applyBorder="1" applyAlignment="1">
      <alignment horizontal="right" vertical="top" wrapText="1"/>
    </xf>
    <xf numFmtId="169" fontId="28" fillId="3" borderId="71" xfId="0" applyNumberFormat="1" applyFont="1" applyFill="1" applyBorder="1" applyAlignment="1">
      <alignment horizontal="right" vertical="top" wrapText="1"/>
    </xf>
    <xf numFmtId="0" fontId="33" fillId="2" borderId="70" xfId="0" applyFont="1" applyFill="1" applyBorder="1" applyAlignment="1">
      <alignment horizontal="left" wrapText="1"/>
    </xf>
    <xf numFmtId="0" fontId="29" fillId="3" borderId="70" xfId="0" applyFont="1" applyFill="1" applyBorder="1" applyAlignment="1">
      <alignment horizontal="right" vertical="top" wrapText="1"/>
    </xf>
    <xf numFmtId="0" fontId="29" fillId="3" borderId="70" xfId="0" applyFont="1" applyFill="1" applyBorder="1" applyAlignment="1">
      <alignment horizontal="left" wrapText="1"/>
    </xf>
    <xf numFmtId="169" fontId="29" fillId="6" borderId="71" xfId="0" applyNumberFormat="1" applyFont="1" applyFill="1" applyBorder="1" applyAlignment="1">
      <alignment horizontal="right" vertical="top" wrapText="1"/>
    </xf>
    <xf numFmtId="169" fontId="29" fillId="7" borderId="70" xfId="2" applyNumberFormat="1" applyFont="1" applyFill="1" applyBorder="1" applyAlignment="1">
      <alignment horizontal="right" vertical="top" wrapText="1"/>
    </xf>
    <xf numFmtId="0" fontId="0" fillId="2" borderId="76" xfId="0" applyFill="1" applyBorder="1" applyAlignment="1">
      <alignment vertical="top" wrapText="1"/>
    </xf>
    <xf numFmtId="169" fontId="33" fillId="2" borderId="70" xfId="2" applyNumberFormat="1" applyFont="1" applyFill="1" applyBorder="1" applyAlignment="1">
      <alignment horizontal="right" vertical="top" wrapText="1"/>
    </xf>
    <xf numFmtId="0" fontId="0" fillId="3" borderId="70" xfId="0" applyFill="1" applyBorder="1" applyAlignment="1">
      <alignment horizontal="left" wrapText="1" indent="2"/>
    </xf>
    <xf numFmtId="0" fontId="33" fillId="3" borderId="70" xfId="0" applyFont="1" applyFill="1" applyBorder="1" applyAlignment="1">
      <alignment horizontal="left" wrapText="1"/>
    </xf>
    <xf numFmtId="0" fontId="0" fillId="0" borderId="70" xfId="0" applyBorder="1" applyAlignment="1">
      <alignment horizontal="left" wrapText="1" indent="1"/>
    </xf>
    <xf numFmtId="169" fontId="28" fillId="0" borderId="71" xfId="0" applyNumberFormat="1" applyFont="1" applyBorder="1" applyAlignment="1">
      <alignment horizontal="right" vertical="top" wrapText="1"/>
    </xf>
    <xf numFmtId="0" fontId="0" fillId="0" borderId="70" xfId="0" applyBorder="1" applyAlignment="1">
      <alignment horizontal="left" wrapText="1"/>
    </xf>
    <xf numFmtId="0" fontId="0" fillId="0" borderId="70" xfId="0" applyBorder="1" applyAlignment="1">
      <alignment wrapText="1"/>
    </xf>
    <xf numFmtId="0" fontId="0" fillId="3" borderId="70" xfId="0" applyFill="1" applyBorder="1" applyAlignment="1">
      <alignment horizontal="left" vertical="top" wrapText="1" indent="2"/>
    </xf>
    <xf numFmtId="0" fontId="0" fillId="3" borderId="70" xfId="0" applyFill="1" applyBorder="1" applyAlignment="1">
      <alignment horizontal="left" wrapText="1"/>
    </xf>
    <xf numFmtId="0" fontId="0" fillId="2" borderId="70" xfId="0" applyFill="1" applyBorder="1" applyAlignment="1">
      <alignment wrapText="1"/>
    </xf>
    <xf numFmtId="0" fontId="29" fillId="2" borderId="70" xfId="0" applyFont="1" applyFill="1" applyBorder="1" applyAlignment="1">
      <alignment horizontal="left" wrapText="1"/>
    </xf>
    <xf numFmtId="0" fontId="29" fillId="3" borderId="83" xfId="0" applyFont="1" applyFill="1" applyBorder="1" applyAlignment="1">
      <alignment horizontal="right" vertical="top" wrapText="1"/>
    </xf>
    <xf numFmtId="0" fontId="0" fillId="3" borderId="77" xfId="0" applyFill="1" applyBorder="1" applyAlignment="1">
      <alignment vertical="top" wrapText="1"/>
    </xf>
    <xf numFmtId="0" fontId="0" fillId="0" borderId="76" xfId="0" applyBorder="1"/>
    <xf numFmtId="0" fontId="29" fillId="2" borderId="81" xfId="0" applyFont="1" applyFill="1" applyBorder="1" applyAlignment="1">
      <alignment horizontal="left" vertical="top" wrapText="1"/>
    </xf>
    <xf numFmtId="0" fontId="0" fillId="3" borderId="76" xfId="0" applyFill="1" applyBorder="1" applyAlignment="1">
      <alignment vertical="top" wrapText="1"/>
    </xf>
    <xf numFmtId="0" fontId="29" fillId="3" borderId="81" xfId="0" applyFont="1" applyFill="1" applyBorder="1" applyAlignment="1">
      <alignment horizontal="left" vertical="top" wrapText="1"/>
    </xf>
    <xf numFmtId="0" fontId="29" fillId="3" borderId="64" xfId="0" applyFont="1" applyFill="1" applyBorder="1" applyAlignment="1">
      <alignment horizontal="right" vertical="top" wrapText="1"/>
    </xf>
    <xf numFmtId="0" fontId="0" fillId="3" borderId="65" xfId="0" applyFill="1" applyBorder="1" applyAlignment="1">
      <alignment vertical="top" wrapText="1"/>
    </xf>
    <xf numFmtId="0" fontId="28" fillId="0" borderId="67" xfId="0" applyFont="1" applyBorder="1" applyAlignment="1">
      <alignment horizontal="center" wrapText="1"/>
    </xf>
    <xf numFmtId="0" fontId="28" fillId="0" borderId="70" xfId="0" applyFont="1" applyBorder="1" applyAlignment="1">
      <alignment horizontal="left" wrapText="1"/>
    </xf>
    <xf numFmtId="0" fontId="29" fillId="0" borderId="83" xfId="0" applyFont="1" applyBorder="1" applyAlignment="1">
      <alignment horizontal="right" wrapText="1"/>
    </xf>
    <xf numFmtId="0" fontId="29" fillId="0" borderId="77" xfId="0" applyFont="1" applyBorder="1" applyAlignment="1">
      <alignment horizontal="left" wrapText="1"/>
    </xf>
    <xf numFmtId="0" fontId="0" fillId="0" borderId="77" xfId="0" applyBorder="1" applyAlignment="1">
      <alignment horizontal="center" wrapText="1"/>
    </xf>
    <xf numFmtId="4" fontId="29" fillId="0" borderId="77" xfId="0" applyNumberFormat="1" applyFont="1" applyBorder="1" applyAlignment="1">
      <alignment horizontal="right" wrapText="1"/>
    </xf>
    <xf numFmtId="169" fontId="29" fillId="0" borderId="77" xfId="2" applyNumberFormat="1" applyFont="1" applyBorder="1" applyAlignment="1">
      <alignment horizontal="right" wrapText="1"/>
    </xf>
    <xf numFmtId="0" fontId="29" fillId="0" borderId="77" xfId="0" applyFont="1" applyBorder="1" applyAlignment="1">
      <alignment horizontal="right" wrapText="1"/>
    </xf>
    <xf numFmtId="41" fontId="28" fillId="0" borderId="78" xfId="2" applyFont="1" applyBorder="1" applyAlignment="1">
      <alignment horizontal="right" wrapText="1"/>
    </xf>
    <xf numFmtId="169" fontId="28" fillId="0" borderId="84" xfId="0" applyNumberFormat="1" applyFont="1" applyBorder="1" applyAlignment="1">
      <alignment horizontal="right" wrapText="1"/>
    </xf>
    <xf numFmtId="0" fontId="0" fillId="0" borderId="36" xfId="0" applyBorder="1"/>
    <xf numFmtId="0" fontId="0" fillId="0" borderId="39" xfId="0" applyBorder="1"/>
    <xf numFmtId="0" fontId="0" fillId="0" borderId="85" xfId="0" applyBorder="1"/>
    <xf numFmtId="0" fontId="0" fillId="0" borderId="10" xfId="0" applyBorder="1"/>
    <xf numFmtId="0" fontId="0" fillId="2" borderId="10" xfId="0" applyFill="1" applyBorder="1"/>
    <xf numFmtId="166" fontId="29" fillId="3" borderId="88" xfId="0" applyNumberFormat="1" applyFont="1" applyFill="1" applyBorder="1" applyAlignment="1">
      <alignment horizontal="justify" wrapText="1"/>
    </xf>
    <xf numFmtId="166" fontId="29" fillId="3" borderId="88" xfId="0" applyNumberFormat="1" applyFont="1" applyFill="1" applyBorder="1" applyAlignment="1">
      <alignment horizontal="center"/>
    </xf>
    <xf numFmtId="43" fontId="29" fillId="3" borderId="89" xfId="1" applyFont="1" applyFill="1" applyBorder="1" applyAlignment="1">
      <alignment horizontal="center"/>
    </xf>
    <xf numFmtId="169" fontId="29" fillId="3" borderId="65" xfId="2" applyNumberFormat="1" applyFont="1" applyFill="1" applyBorder="1" applyAlignment="1">
      <alignment horizontal="right" vertical="top" wrapText="1"/>
    </xf>
    <xf numFmtId="169" fontId="29" fillId="3" borderId="65" xfId="0" applyNumberFormat="1" applyFont="1" applyFill="1" applyBorder="1" applyAlignment="1">
      <alignment horizontal="right" vertical="top" wrapText="1"/>
    </xf>
    <xf numFmtId="169" fontId="29" fillId="3" borderId="66" xfId="0" applyNumberFormat="1" applyFont="1" applyFill="1" applyBorder="1" applyAlignment="1">
      <alignment horizontal="right" vertical="top" wrapText="1"/>
    </xf>
    <xf numFmtId="169" fontId="30" fillId="2" borderId="66" xfId="0" applyNumberFormat="1" applyFont="1" applyFill="1" applyBorder="1" applyAlignment="1">
      <alignment horizontal="right" vertical="top" wrapText="1"/>
    </xf>
    <xf numFmtId="0" fontId="0" fillId="2" borderId="76" xfId="0" applyFill="1" applyBorder="1"/>
    <xf numFmtId="169" fontId="32" fillId="2" borderId="79" xfId="0" applyNumberFormat="1" applyFont="1" applyFill="1" applyBorder="1" applyAlignment="1">
      <alignment horizontal="right" vertical="top" wrapText="1"/>
    </xf>
    <xf numFmtId="0" fontId="36" fillId="3" borderId="70" xfId="0" applyFont="1" applyFill="1" applyBorder="1" applyAlignment="1">
      <alignment horizontal="left" vertical="top" wrapText="1"/>
    </xf>
    <xf numFmtId="4" fontId="36" fillId="2" borderId="70" xfId="0" applyNumberFormat="1" applyFont="1" applyFill="1" applyBorder="1" applyAlignment="1">
      <alignment horizontal="right" vertical="top" wrapText="1"/>
    </xf>
    <xf numFmtId="169" fontId="1" fillId="2" borderId="70" xfId="2" applyNumberFormat="1" applyFont="1" applyFill="1" applyBorder="1" applyAlignment="1">
      <alignment horizontal="right" vertical="top" wrapText="1"/>
    </xf>
    <xf numFmtId="169" fontId="0" fillId="2" borderId="70" xfId="0" applyNumberFormat="1" applyFill="1" applyBorder="1" applyAlignment="1">
      <alignment horizontal="right" vertical="top" wrapText="1"/>
    </xf>
    <xf numFmtId="169" fontId="0" fillId="2" borderId="71" xfId="0" applyNumberFormat="1" applyFill="1" applyBorder="1" applyAlignment="1">
      <alignment horizontal="right" vertical="top" wrapText="1"/>
    </xf>
    <xf numFmtId="4" fontId="36" fillId="3" borderId="70" xfId="0" applyNumberFormat="1" applyFont="1" applyFill="1" applyBorder="1" applyAlignment="1">
      <alignment horizontal="right" vertical="top" wrapText="1"/>
    </xf>
    <xf numFmtId="169" fontId="1" fillId="3" borderId="70" xfId="2" applyNumberFormat="1" applyFont="1" applyFill="1" applyBorder="1" applyAlignment="1">
      <alignment horizontal="right" vertical="top" wrapText="1"/>
    </xf>
    <xf numFmtId="169" fontId="0" fillId="3" borderId="70" xfId="0" applyNumberFormat="1" applyFill="1" applyBorder="1" applyAlignment="1">
      <alignment horizontal="right" vertical="top" wrapText="1"/>
    </xf>
    <xf numFmtId="169" fontId="0" fillId="3" borderId="71" xfId="0" applyNumberFormat="1" applyFill="1" applyBorder="1" applyAlignment="1">
      <alignment horizontal="right" vertical="top" wrapText="1"/>
    </xf>
    <xf numFmtId="169" fontId="0" fillId="2" borderId="0" xfId="0" applyNumberFormat="1" applyFill="1" applyAlignment="1">
      <alignment horizontal="right" vertical="top" wrapText="1"/>
    </xf>
    <xf numFmtId="0" fontId="0" fillId="3" borderId="67" xfId="0" applyFill="1" applyBorder="1" applyAlignment="1">
      <alignment horizontal="right" vertical="top" wrapText="1"/>
    </xf>
    <xf numFmtId="0" fontId="0" fillId="3" borderId="70" xfId="0" applyFill="1" applyBorder="1" applyAlignment="1">
      <alignment wrapText="1"/>
    </xf>
    <xf numFmtId="0" fontId="0" fillId="0" borderId="90" xfId="0" applyBorder="1"/>
    <xf numFmtId="0" fontId="0" fillId="3" borderId="90" xfId="0" applyFill="1" applyBorder="1" applyAlignment="1">
      <alignment vertical="top" wrapText="1"/>
    </xf>
    <xf numFmtId="4" fontId="29" fillId="3" borderId="0" xfId="0" applyNumberFormat="1" applyFont="1" applyFill="1" applyAlignment="1">
      <alignment horizontal="right" vertical="top" wrapText="1"/>
    </xf>
    <xf numFmtId="0" fontId="32" fillId="2" borderId="0" xfId="0" applyFont="1" applyFill="1"/>
    <xf numFmtId="0" fontId="29" fillId="3" borderId="65" xfId="0" applyFont="1" applyFill="1" applyBorder="1" applyAlignment="1">
      <alignment horizontal="left" vertical="top" wrapText="1"/>
    </xf>
    <xf numFmtId="169" fontId="28" fillId="2" borderId="71" xfId="0" applyNumberFormat="1" applyFont="1" applyFill="1" applyBorder="1" applyAlignment="1">
      <alignment horizontal="right" vertical="top" wrapText="1"/>
    </xf>
    <xf numFmtId="0" fontId="29" fillId="3" borderId="91" xfId="0" applyFont="1" applyFill="1" applyBorder="1" applyAlignment="1">
      <alignment horizontal="right" vertical="top" wrapText="1"/>
    </xf>
    <xf numFmtId="0" fontId="0" fillId="3" borderId="78" xfId="0" applyFill="1" applyBorder="1" applyAlignment="1">
      <alignment vertical="top" wrapText="1"/>
    </xf>
    <xf numFmtId="0" fontId="31" fillId="2" borderId="0" xfId="0" applyFont="1" applyFill="1"/>
    <xf numFmtId="0" fontId="28" fillId="3" borderId="67" xfId="0" applyFont="1" applyFill="1" applyBorder="1" applyAlignment="1">
      <alignment horizontal="right" vertical="top" wrapText="1"/>
    </xf>
    <xf numFmtId="0" fontId="28" fillId="3" borderId="70" xfId="0" applyFont="1" applyFill="1" applyBorder="1" applyAlignment="1">
      <alignment horizontal="left" vertical="top" wrapText="1"/>
    </xf>
    <xf numFmtId="0" fontId="29" fillId="3" borderId="77" xfId="0" applyFont="1" applyFill="1" applyBorder="1" applyAlignment="1">
      <alignment horizontal="left" vertical="top" wrapText="1"/>
    </xf>
    <xf numFmtId="4" fontId="29" fillId="3" borderId="77" xfId="0" applyNumberFormat="1" applyFont="1" applyFill="1" applyBorder="1" applyAlignment="1">
      <alignment horizontal="right" vertical="top" wrapText="1"/>
    </xf>
    <xf numFmtId="0" fontId="29" fillId="3" borderId="77" xfId="0" applyFont="1" applyFill="1" applyBorder="1" applyAlignment="1">
      <alignment horizontal="right" vertical="top" wrapText="1"/>
    </xf>
    <xf numFmtId="169" fontId="29" fillId="3" borderId="84" xfId="0" applyNumberFormat="1" applyFont="1" applyFill="1" applyBorder="1" applyAlignment="1">
      <alignment horizontal="right" vertical="top" wrapText="1"/>
    </xf>
    <xf numFmtId="0" fontId="0" fillId="3" borderId="76" xfId="0" applyFill="1" applyBorder="1" applyAlignment="1">
      <alignment horizontal="center" vertical="top" wrapText="1"/>
    </xf>
    <xf numFmtId="4" fontId="29" fillId="3" borderId="76" xfId="0" applyNumberFormat="1" applyFont="1" applyFill="1" applyBorder="1" applyAlignment="1">
      <alignment horizontal="right" vertical="top" wrapText="1"/>
    </xf>
    <xf numFmtId="169" fontId="29" fillId="3" borderId="76" xfId="2" applyNumberFormat="1" applyFont="1" applyFill="1" applyBorder="1" applyAlignment="1">
      <alignment horizontal="right" vertical="top" wrapText="1"/>
    </xf>
    <xf numFmtId="0" fontId="29" fillId="3" borderId="76" xfId="0" applyFont="1" applyFill="1" applyBorder="1" applyAlignment="1">
      <alignment horizontal="right" vertical="top" wrapText="1"/>
    </xf>
    <xf numFmtId="169" fontId="29" fillId="3" borderId="76" xfId="0" applyNumberFormat="1" applyFont="1" applyFill="1" applyBorder="1" applyAlignment="1">
      <alignment horizontal="right" vertical="top" wrapText="1"/>
    </xf>
    <xf numFmtId="169" fontId="31" fillId="2" borderId="76" xfId="0" applyNumberFormat="1" applyFont="1" applyFill="1" applyBorder="1" applyAlignment="1">
      <alignment horizontal="right" vertical="top" wrapText="1"/>
    </xf>
    <xf numFmtId="4" fontId="29" fillId="2" borderId="76" xfId="0" applyNumberFormat="1" applyFont="1" applyFill="1" applyBorder="1" applyAlignment="1">
      <alignment horizontal="right" vertical="top" wrapText="1"/>
    </xf>
    <xf numFmtId="169" fontId="33" fillId="2" borderId="76" xfId="2" applyNumberFormat="1" applyFont="1" applyFill="1" applyBorder="1" applyAlignment="1">
      <alignment horizontal="right" vertical="top" wrapText="1"/>
    </xf>
    <xf numFmtId="0" fontId="29" fillId="2" borderId="76" xfId="0" applyFont="1" applyFill="1" applyBorder="1" applyAlignment="1">
      <alignment horizontal="right" vertical="top" wrapText="1"/>
    </xf>
    <xf numFmtId="169" fontId="29" fillId="2" borderId="76" xfId="0" applyNumberFormat="1" applyFont="1" applyFill="1" applyBorder="1" applyAlignment="1">
      <alignment horizontal="right" vertical="top" wrapText="1"/>
    </xf>
    <xf numFmtId="0" fontId="3" fillId="2" borderId="0" xfId="0" applyFont="1" applyFill="1" applyAlignment="1">
      <alignment horizontal="left"/>
    </xf>
    <xf numFmtId="0" fontId="25" fillId="0" borderId="0" xfId="0" applyFont="1" applyAlignment="1">
      <alignment horizontal="left" inden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3" fontId="37" fillId="0" borderId="0" xfId="4" applyFont="1" applyFill="1" applyBorder="1" applyAlignment="1">
      <alignment horizontal="left" vertical="center"/>
    </xf>
    <xf numFmtId="0" fontId="38" fillId="4" borderId="62" xfId="0" applyFont="1" applyFill="1" applyBorder="1" applyAlignment="1">
      <alignment horizontal="center" vertical="center" wrapText="1"/>
    </xf>
    <xf numFmtId="10" fontId="18" fillId="0" borderId="102" xfId="3" applyNumberFormat="1" applyFont="1" applyFill="1" applyBorder="1" applyAlignment="1">
      <alignment horizontal="center" vertical="center" wrapText="1"/>
    </xf>
    <xf numFmtId="10" fontId="18" fillId="0" borderId="22" xfId="3" applyNumberFormat="1" applyFont="1" applyFill="1" applyBorder="1" applyAlignment="1">
      <alignment horizontal="center" vertical="center" wrapText="1"/>
    </xf>
    <xf numFmtId="0" fontId="35" fillId="0" borderId="64" xfId="0" applyFont="1" applyBorder="1" applyAlignment="1">
      <alignment horizontal="center" vertical="top" wrapText="1"/>
    </xf>
    <xf numFmtId="0" fontId="35" fillId="0" borderId="65" xfId="0" applyFont="1" applyBorder="1" applyAlignment="1">
      <alignment horizontal="left" vertical="top" wrapText="1"/>
    </xf>
    <xf numFmtId="0" fontId="35" fillId="0" borderId="65" xfId="0" applyFont="1" applyBorder="1" applyAlignment="1">
      <alignment horizontal="right" vertical="top" wrapText="1"/>
    </xf>
    <xf numFmtId="0" fontId="35" fillId="0" borderId="66" xfId="0" applyFont="1" applyBorder="1" applyAlignment="1">
      <alignment horizontal="right" vertical="top" wrapText="1"/>
    </xf>
    <xf numFmtId="10" fontId="23" fillId="0" borderId="103" xfId="3" applyNumberFormat="1" applyFont="1" applyFill="1" applyBorder="1" applyAlignment="1">
      <alignment vertical="center"/>
    </xf>
    <xf numFmtId="9" fontId="23" fillId="0" borderId="96" xfId="3" applyFont="1" applyFill="1" applyBorder="1" applyAlignment="1">
      <alignment vertical="center"/>
    </xf>
    <xf numFmtId="10" fontId="23" fillId="0" borderId="96" xfId="3" applyNumberFormat="1" applyFont="1" applyFill="1" applyBorder="1" applyAlignment="1">
      <alignment vertical="center"/>
    </xf>
    <xf numFmtId="10" fontId="23" fillId="0" borderId="17" xfId="3" applyNumberFormat="1" applyFont="1" applyFill="1" applyBorder="1" applyAlignment="1">
      <alignment vertical="center"/>
    </xf>
    <xf numFmtId="166" fontId="21" fillId="0" borderId="68" xfId="0" applyNumberFormat="1" applyFont="1" applyBorder="1" applyAlignment="1">
      <alignment horizontal="justify" wrapText="1"/>
    </xf>
    <xf numFmtId="10" fontId="15" fillId="0" borderId="104" xfId="3" applyNumberFormat="1" applyFont="1" applyFill="1" applyBorder="1" applyAlignment="1">
      <alignment vertical="center"/>
    </xf>
    <xf numFmtId="9" fontId="15" fillId="0" borderId="72" xfId="3" applyFont="1" applyFill="1" applyBorder="1" applyAlignment="1">
      <alignment vertical="center"/>
    </xf>
    <xf numFmtId="10" fontId="15" fillId="0" borderId="72" xfId="3" applyNumberFormat="1" applyFont="1" applyFill="1" applyBorder="1" applyAlignment="1">
      <alignment vertical="center"/>
    </xf>
    <xf numFmtId="10" fontId="15" fillId="0" borderId="105" xfId="3" applyNumberFormat="1" applyFont="1" applyFill="1" applyBorder="1" applyAlignment="1">
      <alignment vertical="center"/>
    </xf>
    <xf numFmtId="166" fontId="21" fillId="0" borderId="72" xfId="0" applyNumberFormat="1" applyFont="1" applyBorder="1" applyAlignment="1">
      <alignment horizontal="justify" wrapText="1"/>
    </xf>
    <xf numFmtId="166" fontId="29" fillId="0" borderId="72" xfId="0" applyNumberFormat="1" applyFont="1" applyBorder="1" applyAlignment="1">
      <alignment horizontal="center"/>
    </xf>
    <xf numFmtId="43" fontId="29" fillId="0" borderId="73" xfId="1" applyFont="1" applyBorder="1" applyAlignment="1">
      <alignment horizontal="center"/>
    </xf>
    <xf numFmtId="0" fontId="0" fillId="0" borderId="74" xfId="0" applyBorder="1" applyAlignment="1">
      <alignment horizontal="left" vertical="top" wrapText="1" indent="1"/>
    </xf>
    <xf numFmtId="0" fontId="33" fillId="0" borderId="67" xfId="0" applyFont="1" applyBorder="1" applyAlignment="1">
      <alignment horizontal="right" vertical="top" wrapText="1"/>
    </xf>
    <xf numFmtId="0" fontId="33" fillId="0" borderId="70" xfId="0" applyFont="1" applyBorder="1" applyAlignment="1">
      <alignment horizontal="left" vertical="top" wrapText="1" indent="4"/>
    </xf>
    <xf numFmtId="41" fontId="28" fillId="0" borderId="43" xfId="2" applyFont="1" applyBorder="1" applyAlignment="1">
      <alignment horizontal="right" wrapText="1"/>
    </xf>
    <xf numFmtId="10" fontId="8" fillId="0" borderId="104" xfId="3" applyNumberFormat="1" applyFont="1" applyFill="1" applyBorder="1" applyAlignment="1">
      <alignment vertical="center"/>
    </xf>
    <xf numFmtId="10" fontId="8" fillId="0" borderId="72" xfId="3" applyNumberFormat="1" applyFont="1" applyFill="1" applyBorder="1" applyAlignment="1">
      <alignment vertical="center"/>
    </xf>
    <xf numFmtId="10" fontId="8" fillId="0" borderId="105" xfId="3" applyNumberFormat="1" applyFont="1" applyFill="1" applyBorder="1" applyAlignment="1">
      <alignment vertical="center"/>
    </xf>
    <xf numFmtId="0" fontId="35" fillId="0" borderId="67" xfId="0" applyFont="1" applyBorder="1" applyAlignment="1">
      <alignment horizontal="center" vertical="top" wrapText="1"/>
    </xf>
    <xf numFmtId="0" fontId="35" fillId="0" borderId="70" xfId="0" applyFont="1" applyBorder="1" applyAlignment="1">
      <alignment horizontal="left" vertical="top" wrapText="1"/>
    </xf>
    <xf numFmtId="0" fontId="35" fillId="0" borderId="70" xfId="0" applyFont="1" applyBorder="1" applyAlignment="1">
      <alignment horizontal="right" vertical="top" wrapText="1"/>
    </xf>
    <xf numFmtId="41" fontId="33" fillId="0" borderId="71" xfId="2" applyFont="1" applyBorder="1" applyAlignment="1">
      <alignment horizontal="right" vertical="top" wrapText="1"/>
    </xf>
    <xf numFmtId="0" fontId="35" fillId="0" borderId="106" xfId="0" applyFont="1" applyBorder="1" applyAlignment="1">
      <alignment horizontal="right" vertical="top" wrapText="1" indent="1"/>
    </xf>
    <xf numFmtId="0" fontId="35" fillId="0" borderId="107" xfId="0" applyFont="1" applyBorder="1" applyAlignment="1">
      <alignment horizontal="left" vertical="top" wrapText="1"/>
    </xf>
    <xf numFmtId="0" fontId="35" fillId="0" borderId="80" xfId="0" applyFont="1" applyBorder="1" applyAlignment="1">
      <alignment horizontal="right" vertical="top" wrapText="1"/>
    </xf>
    <xf numFmtId="0" fontId="35" fillId="0" borderId="107" xfId="0" applyFont="1" applyBorder="1" applyAlignment="1">
      <alignment horizontal="right" vertical="top" wrapText="1"/>
    </xf>
    <xf numFmtId="165" fontId="29" fillId="2" borderId="104" xfId="1" applyNumberFormat="1" applyFont="1" applyFill="1" applyBorder="1" applyAlignment="1">
      <alignment horizontal="center" vertical="top"/>
    </xf>
    <xf numFmtId="10" fontId="8" fillId="0" borderId="76" xfId="3" applyNumberFormat="1" applyFont="1" applyFill="1" applyBorder="1" applyAlignment="1">
      <alignment vertical="center"/>
    </xf>
    <xf numFmtId="165" fontId="29" fillId="2" borderId="108" xfId="1" applyNumberFormat="1" applyFont="1" applyFill="1" applyBorder="1" applyAlignment="1">
      <alignment horizontal="center" vertical="top"/>
    </xf>
    <xf numFmtId="171" fontId="33" fillId="0" borderId="71" xfId="0" applyNumberFormat="1" applyFont="1" applyBorder="1" applyAlignment="1">
      <alignment horizontal="right" vertical="top" wrapText="1"/>
    </xf>
    <xf numFmtId="10" fontId="15" fillId="0" borderId="76" xfId="3" applyNumberFormat="1" applyFont="1" applyFill="1" applyBorder="1" applyAlignment="1">
      <alignment vertical="center"/>
    </xf>
    <xf numFmtId="165" fontId="29" fillId="2" borderId="109" xfId="1" applyNumberFormat="1" applyFont="1" applyFill="1" applyBorder="1" applyAlignment="1">
      <alignment horizontal="center" vertical="top"/>
    </xf>
    <xf numFmtId="0" fontId="0" fillId="0" borderId="110" xfId="0" applyBorder="1" applyAlignment="1">
      <alignment horizontal="left" vertical="top" wrapText="1" indent="2"/>
    </xf>
    <xf numFmtId="0" fontId="33" fillId="0" borderId="76" xfId="0" applyFont="1" applyBorder="1" applyAlignment="1">
      <alignment horizontal="left" vertical="top" wrapText="1"/>
    </xf>
    <xf numFmtId="169" fontId="33" fillId="0" borderId="71" xfId="0" applyNumberFormat="1" applyFont="1" applyBorder="1" applyAlignment="1">
      <alignment horizontal="right" vertical="top" wrapText="1"/>
    </xf>
    <xf numFmtId="0" fontId="0" fillId="0" borderId="111" xfId="0" applyBorder="1" applyAlignment="1">
      <alignment horizontal="left" vertical="top" wrapText="1" indent="1"/>
    </xf>
    <xf numFmtId="0" fontId="0" fillId="0" borderId="76" xfId="0" applyBorder="1" applyAlignment="1">
      <alignment horizontal="center" vertical="top" wrapText="1"/>
    </xf>
    <xf numFmtId="0" fontId="33" fillId="0" borderId="76" xfId="0" applyFont="1" applyBorder="1" applyAlignment="1">
      <alignment horizontal="right" vertical="top" wrapText="1"/>
    </xf>
    <xf numFmtId="37" fontId="33" fillId="0" borderId="76" xfId="0" applyNumberFormat="1" applyFont="1" applyBorder="1" applyAlignment="1">
      <alignment horizontal="right" vertical="top" wrapText="1"/>
    </xf>
    <xf numFmtId="37" fontId="33" fillId="0" borderId="105" xfId="0" applyNumberFormat="1" applyFont="1" applyBorder="1" applyAlignment="1">
      <alignment horizontal="right" vertical="top" wrapText="1"/>
    </xf>
    <xf numFmtId="0" fontId="33" fillId="0" borderId="106" xfId="0" applyFont="1" applyBorder="1" applyAlignment="1">
      <alignment horizontal="right" vertical="top" wrapText="1"/>
    </xf>
    <xf numFmtId="0" fontId="0" fillId="0" borderId="111" xfId="0" applyBorder="1" applyAlignment="1">
      <alignment horizontal="left" vertical="top" wrapText="1" indent="2"/>
    </xf>
    <xf numFmtId="0" fontId="0" fillId="0" borderId="110" xfId="0" applyBorder="1" applyAlignment="1">
      <alignment horizontal="left" vertical="top" wrapText="1" indent="1"/>
    </xf>
    <xf numFmtId="170" fontId="33" fillId="0" borderId="70" xfId="2" applyNumberFormat="1" applyFont="1" applyBorder="1" applyAlignment="1">
      <alignment horizontal="right" vertical="top" wrapText="1"/>
    </xf>
    <xf numFmtId="171" fontId="33" fillId="0" borderId="70" xfId="0" applyNumberFormat="1" applyFont="1" applyBorder="1" applyAlignment="1">
      <alignment horizontal="right" vertical="top" wrapText="1"/>
    </xf>
    <xf numFmtId="0" fontId="0" fillId="2" borderId="112" xfId="0" applyFill="1" applyBorder="1" applyAlignment="1">
      <alignment horizontal="left" vertical="top" wrapText="1" indent="1"/>
    </xf>
    <xf numFmtId="0" fontId="33" fillId="2" borderId="67" xfId="0" applyFont="1" applyFill="1" applyBorder="1" applyAlignment="1">
      <alignment horizontal="right" vertical="top" wrapText="1"/>
    </xf>
    <xf numFmtId="0" fontId="0" fillId="2" borderId="112" xfId="0" applyFill="1" applyBorder="1" applyAlignment="1">
      <alignment horizontal="left" vertical="top" wrapText="1" indent="2"/>
    </xf>
    <xf numFmtId="0" fontId="0" fillId="0" borderId="113" xfId="0" applyBorder="1" applyAlignment="1">
      <alignment horizontal="left" vertical="top" wrapText="1" indent="1"/>
    </xf>
    <xf numFmtId="169" fontId="40" fillId="0" borderId="70" xfId="2" applyNumberFormat="1" applyFont="1" applyBorder="1" applyAlignment="1">
      <alignment horizontal="right" vertical="top" wrapText="1"/>
    </xf>
    <xf numFmtId="165" fontId="29" fillId="2" borderId="27" xfId="1" applyNumberFormat="1" applyFont="1" applyFill="1" applyBorder="1" applyAlignment="1">
      <alignment horizontal="center" vertical="top"/>
    </xf>
    <xf numFmtId="4" fontId="41" fillId="2" borderId="72" xfId="0" applyNumberFormat="1" applyFont="1" applyFill="1" applyBorder="1" applyAlignment="1">
      <alignment horizontal="left" vertical="top" indent="1"/>
    </xf>
    <xf numFmtId="172" fontId="41" fillId="2" borderId="72" xfId="5" applyNumberFormat="1" applyFont="1" applyFill="1" applyBorder="1" applyAlignment="1">
      <alignment horizontal="left" vertical="top"/>
    </xf>
    <xf numFmtId="4" fontId="41" fillId="2" borderId="30" xfId="0" applyNumberFormat="1" applyFont="1" applyFill="1" applyBorder="1" applyAlignment="1">
      <alignment horizontal="left" vertical="top" indent="1"/>
    </xf>
    <xf numFmtId="170" fontId="33" fillId="0" borderId="76" xfId="2" applyNumberFormat="1" applyFont="1" applyBorder="1" applyAlignment="1">
      <alignment horizontal="right" vertical="top" wrapText="1"/>
    </xf>
    <xf numFmtId="170" fontId="33" fillId="0" borderId="76" xfId="0" applyNumberFormat="1" applyFont="1" applyBorder="1" applyAlignment="1">
      <alignment horizontal="right" vertical="top" wrapText="1"/>
    </xf>
    <xf numFmtId="4" fontId="41" fillId="2" borderId="24" xfId="0" applyNumberFormat="1" applyFont="1" applyFill="1" applyBorder="1" applyAlignment="1">
      <alignment horizontal="left" vertical="top" indent="1"/>
    </xf>
    <xf numFmtId="172" fontId="41" fillId="2" borderId="114" xfId="5" applyNumberFormat="1" applyFont="1" applyFill="1" applyBorder="1" applyAlignment="1">
      <alignment horizontal="left" vertical="top"/>
    </xf>
    <xf numFmtId="172" fontId="41" fillId="2" borderId="115" xfId="5" applyNumberFormat="1" applyFont="1" applyFill="1" applyBorder="1" applyAlignment="1">
      <alignment horizontal="left" vertical="top"/>
    </xf>
    <xf numFmtId="0" fontId="33" fillId="0" borderId="70" xfId="0" applyFont="1" applyBorder="1" applyAlignment="1">
      <alignment horizontal="left" vertical="top" wrapText="1" indent="1"/>
    </xf>
    <xf numFmtId="172" fontId="41" fillId="2" borderId="116" xfId="5" applyNumberFormat="1" applyFont="1" applyFill="1" applyBorder="1" applyAlignment="1">
      <alignment horizontal="left" vertical="top"/>
    </xf>
    <xf numFmtId="0" fontId="0" fillId="2" borderId="80" xfId="0" applyFill="1" applyBorder="1" applyAlignment="1">
      <alignment horizontal="left" vertical="top" wrapText="1" indent="2"/>
    </xf>
    <xf numFmtId="0" fontId="33" fillId="2" borderId="107" xfId="0" applyFont="1" applyFill="1" applyBorder="1" applyAlignment="1">
      <alignment horizontal="left" vertical="top" wrapText="1"/>
    </xf>
    <xf numFmtId="4" fontId="33" fillId="2" borderId="80" xfId="0" applyNumberFormat="1" applyFont="1" applyFill="1" applyBorder="1" applyAlignment="1">
      <alignment horizontal="right" vertical="top" wrapText="1"/>
    </xf>
    <xf numFmtId="169" fontId="33" fillId="2" borderId="107" xfId="2" applyNumberFormat="1" applyFont="1" applyFill="1" applyBorder="1" applyAlignment="1">
      <alignment horizontal="right" vertical="top" wrapText="1"/>
    </xf>
    <xf numFmtId="169" fontId="33" fillId="2" borderId="80" xfId="0" applyNumberFormat="1" applyFont="1" applyFill="1" applyBorder="1" applyAlignment="1">
      <alignment horizontal="right" vertical="top" wrapText="1"/>
    </xf>
    <xf numFmtId="169" fontId="29" fillId="0" borderId="117" xfId="0" applyNumberFormat="1" applyFont="1" applyBorder="1" applyAlignment="1">
      <alignment horizontal="right" vertical="top" wrapText="1"/>
    </xf>
    <xf numFmtId="165" fontId="29" fillId="2" borderId="118" xfId="1" applyNumberFormat="1" applyFont="1" applyFill="1" applyBorder="1" applyAlignment="1">
      <alignment horizontal="center" vertical="top"/>
    </xf>
    <xf numFmtId="0" fontId="33" fillId="2" borderId="119" xfId="0" applyFont="1" applyFill="1" applyBorder="1" applyAlignment="1">
      <alignment horizontal="left" vertical="top" wrapText="1"/>
    </xf>
    <xf numFmtId="0" fontId="0" fillId="2" borderId="119" xfId="0" applyFill="1" applyBorder="1" applyAlignment="1">
      <alignment horizontal="center" vertical="top" wrapText="1"/>
    </xf>
    <xf numFmtId="4" fontId="33" fillId="2" borderId="119" xfId="0" applyNumberFormat="1" applyFont="1" applyFill="1" applyBorder="1" applyAlignment="1">
      <alignment horizontal="right" vertical="top" wrapText="1"/>
    </xf>
    <xf numFmtId="169" fontId="33" fillId="2" borderId="119" xfId="2" applyNumberFormat="1" applyFont="1" applyFill="1" applyBorder="1" applyAlignment="1">
      <alignment horizontal="right" vertical="top" wrapText="1"/>
    </xf>
    <xf numFmtId="169" fontId="33" fillId="2" borderId="119" xfId="0" applyNumberFormat="1" applyFont="1" applyFill="1" applyBorder="1" applyAlignment="1">
      <alignment horizontal="right" vertical="top" wrapText="1"/>
    </xf>
    <xf numFmtId="0" fontId="33" fillId="0" borderId="107" xfId="0" applyFont="1" applyBorder="1" applyAlignment="1">
      <alignment horizontal="left" vertical="top" wrapText="1"/>
    </xf>
    <xf numFmtId="0" fontId="35" fillId="0" borderId="67" xfId="0" applyFont="1" applyBorder="1" applyAlignment="1">
      <alignment horizontal="right" vertical="top" wrapText="1" indent="2"/>
    </xf>
    <xf numFmtId="0" fontId="35" fillId="2" borderId="70" xfId="0" applyFont="1" applyFill="1" applyBorder="1" applyAlignment="1">
      <alignment horizontal="left" vertical="top" wrapText="1"/>
    </xf>
    <xf numFmtId="0" fontId="0" fillId="0" borderId="112" xfId="0" applyBorder="1" applyAlignment="1">
      <alignment horizontal="left" vertical="top" wrapText="1" indent="1"/>
    </xf>
    <xf numFmtId="2" fontId="33" fillId="0" borderId="70" xfId="0" applyNumberFormat="1" applyFont="1" applyBorder="1" applyAlignment="1">
      <alignment horizontal="right" vertical="top" wrapText="1"/>
    </xf>
    <xf numFmtId="0" fontId="0" fillId="0" borderId="112" xfId="0" applyBorder="1" applyAlignment="1">
      <alignment horizontal="left" vertical="top" wrapText="1" indent="2"/>
    </xf>
    <xf numFmtId="2" fontId="33" fillId="0" borderId="76" xfId="0" applyNumberFormat="1" applyFont="1" applyBorder="1" applyAlignment="1">
      <alignment horizontal="right" vertical="top" wrapText="1"/>
    </xf>
    <xf numFmtId="0" fontId="35" fillId="2" borderId="67" xfId="0" applyFont="1" applyFill="1" applyBorder="1" applyAlignment="1">
      <alignment horizontal="center" vertical="top" wrapText="1"/>
    </xf>
    <xf numFmtId="0" fontId="35" fillId="2" borderId="70" xfId="0" applyFont="1" applyFill="1" applyBorder="1" applyAlignment="1">
      <alignment horizontal="left" wrapText="1"/>
    </xf>
    <xf numFmtId="0" fontId="35" fillId="2" borderId="70" xfId="0" applyFont="1" applyFill="1" applyBorder="1" applyAlignment="1">
      <alignment horizontal="right" vertical="top" wrapText="1"/>
    </xf>
    <xf numFmtId="41" fontId="33" fillId="2" borderId="71" xfId="2" applyFont="1" applyFill="1" applyBorder="1" applyAlignment="1">
      <alignment horizontal="right" vertical="top" wrapText="1"/>
    </xf>
    <xf numFmtId="4" fontId="41" fillId="2" borderId="120" xfId="0" applyNumberFormat="1" applyFont="1" applyFill="1" applyBorder="1" applyAlignment="1">
      <alignment horizontal="left" vertical="top" indent="1"/>
    </xf>
    <xf numFmtId="172" fontId="41" fillId="2" borderId="121" xfId="5" applyNumberFormat="1" applyFont="1" applyFill="1" applyBorder="1" applyAlignment="1">
      <alignment horizontal="left" vertical="top"/>
    </xf>
    <xf numFmtId="0" fontId="33" fillId="0" borderId="77" xfId="0" applyFont="1" applyBorder="1" applyAlignment="1">
      <alignment horizontal="left" vertical="top" wrapText="1"/>
    </xf>
    <xf numFmtId="0" fontId="0" fillId="0" borderId="77" xfId="0" applyBorder="1" applyAlignment="1">
      <alignment horizontal="center" vertical="top" wrapText="1"/>
    </xf>
    <xf numFmtId="0" fontId="33" fillId="0" borderId="77" xfId="0" applyFont="1" applyBorder="1" applyAlignment="1">
      <alignment horizontal="right" vertical="top" wrapText="1"/>
    </xf>
    <xf numFmtId="41" fontId="28" fillId="0" borderId="114" xfId="2" applyFont="1" applyBorder="1" applyAlignment="1">
      <alignment horizontal="right" wrapText="1"/>
    </xf>
    <xf numFmtId="0" fontId="33" fillId="0" borderId="80" xfId="0" applyFont="1" applyBorder="1" applyAlignment="1">
      <alignment horizontal="right" vertical="top" wrapText="1"/>
    </xf>
    <xf numFmtId="0" fontId="33" fillId="0" borderId="81" xfId="0" applyFont="1" applyBorder="1" applyAlignment="1">
      <alignment horizontal="right" vertical="top" wrapText="1"/>
    </xf>
    <xf numFmtId="41" fontId="28" fillId="0" borderId="0" xfId="2" applyFont="1" applyBorder="1" applyAlignment="1">
      <alignment horizontal="right" wrapText="1"/>
    </xf>
    <xf numFmtId="0" fontId="33" fillId="0" borderId="119" xfId="0" applyFont="1" applyBorder="1" applyAlignment="1">
      <alignment horizontal="left" vertical="top" wrapText="1"/>
    </xf>
    <xf numFmtId="0" fontId="0" fillId="0" borderId="119" xfId="0" applyBorder="1" applyAlignment="1">
      <alignment horizontal="center" vertical="top" wrapText="1"/>
    </xf>
    <xf numFmtId="4" fontId="33" fillId="0" borderId="119" xfId="0" applyNumberFormat="1" applyFont="1" applyBorder="1" applyAlignment="1">
      <alignment horizontal="right" vertical="top" wrapText="1"/>
    </xf>
    <xf numFmtId="169" fontId="33" fillId="0" borderId="119" xfId="2" applyNumberFormat="1" applyFont="1" applyBorder="1" applyAlignment="1">
      <alignment horizontal="right" vertical="top" wrapText="1"/>
    </xf>
    <xf numFmtId="41" fontId="28" fillId="0" borderId="122" xfId="2" applyFont="1" applyBorder="1" applyAlignment="1">
      <alignment horizontal="right" wrapText="1"/>
    </xf>
    <xf numFmtId="169" fontId="28" fillId="0" borderId="117" xfId="0" applyNumberFormat="1" applyFont="1" applyBorder="1" applyAlignment="1">
      <alignment horizontal="right" vertical="top" wrapText="1"/>
    </xf>
    <xf numFmtId="0" fontId="35" fillId="2" borderId="123" xfId="0" applyFont="1" applyFill="1" applyBorder="1" applyAlignment="1">
      <alignment horizontal="left" vertical="top" wrapText="1"/>
    </xf>
    <xf numFmtId="0" fontId="0" fillId="0" borderId="88" xfId="0" applyBorder="1"/>
    <xf numFmtId="0" fontId="0" fillId="0" borderId="124" xfId="0" applyBorder="1"/>
    <xf numFmtId="0" fontId="0" fillId="0" borderId="120" xfId="0" applyBorder="1"/>
    <xf numFmtId="0" fontId="0" fillId="0" borderId="125" xfId="0" applyBorder="1"/>
    <xf numFmtId="170" fontId="33" fillId="0" borderId="72" xfId="2" applyNumberFormat="1" applyFont="1" applyBorder="1" applyAlignment="1">
      <alignment horizontal="right" vertical="top" wrapText="1"/>
    </xf>
    <xf numFmtId="169" fontId="33" fillId="0" borderId="119" xfId="0" applyNumberFormat="1" applyFont="1" applyBorder="1" applyAlignment="1">
      <alignment horizontal="right" vertical="top" wrapText="1"/>
    </xf>
    <xf numFmtId="0" fontId="33" fillId="0" borderId="72" xfId="0" applyFont="1" applyBorder="1" applyAlignment="1">
      <alignment horizontal="left" vertical="top" wrapText="1"/>
    </xf>
    <xf numFmtId="0" fontId="0" fillId="0" borderId="107" xfId="0" applyBorder="1" applyAlignment="1">
      <alignment horizontal="center" vertical="top" wrapText="1"/>
    </xf>
    <xf numFmtId="169" fontId="33" fillId="0" borderId="80" xfId="2" applyNumberFormat="1" applyFont="1" applyBorder="1" applyAlignment="1">
      <alignment horizontal="right" vertical="top" wrapText="1"/>
    </xf>
    <xf numFmtId="0" fontId="0" fillId="0" borderId="80" xfId="0" applyBorder="1" applyAlignment="1">
      <alignment horizontal="left" vertical="top" wrapText="1" indent="1"/>
    </xf>
    <xf numFmtId="170" fontId="33" fillId="0" borderId="80" xfId="2" applyNumberFormat="1" applyFont="1" applyBorder="1" applyAlignment="1">
      <alignment horizontal="right" vertical="top" wrapText="1"/>
    </xf>
    <xf numFmtId="0" fontId="33" fillId="0" borderId="119" xfId="0" applyFont="1" applyBorder="1" applyAlignment="1">
      <alignment horizontal="right" vertical="top" wrapText="1"/>
    </xf>
    <xf numFmtId="171" fontId="33" fillId="0" borderId="119" xfId="0" applyNumberFormat="1" applyFont="1" applyBorder="1" applyAlignment="1">
      <alignment horizontal="right" vertical="top" wrapText="1"/>
    </xf>
    <xf numFmtId="169" fontId="33" fillId="0" borderId="107" xfId="0" applyNumberFormat="1" applyFont="1" applyBorder="1" applyAlignment="1">
      <alignment horizontal="right" vertical="top" wrapText="1"/>
    </xf>
    <xf numFmtId="0" fontId="33" fillId="0" borderId="77" xfId="0" applyFont="1" applyBorder="1" applyAlignment="1">
      <alignment horizontal="left" vertical="top" wrapText="1" indent="4"/>
    </xf>
    <xf numFmtId="0" fontId="35" fillId="0" borderId="70" xfId="0" applyFont="1" applyBorder="1" applyAlignment="1">
      <alignment horizontal="left" wrapText="1"/>
    </xf>
    <xf numFmtId="0" fontId="40" fillId="0" borderId="70" xfId="0" applyFont="1" applyBorder="1" applyAlignment="1">
      <alignment horizontal="left" vertical="top" wrapText="1"/>
    </xf>
    <xf numFmtId="0" fontId="42" fillId="0" borderId="70" xfId="0" applyFont="1" applyBorder="1" applyAlignment="1">
      <alignment horizontal="center" vertical="top" wrapText="1"/>
    </xf>
    <xf numFmtId="4" fontId="40" fillId="0" borderId="70" xfId="0" applyNumberFormat="1" applyFont="1" applyBorder="1" applyAlignment="1">
      <alignment horizontal="right" vertical="top" wrapText="1"/>
    </xf>
    <xf numFmtId="169" fontId="40" fillId="0" borderId="70" xfId="0" applyNumberFormat="1" applyFont="1" applyBorder="1" applyAlignment="1">
      <alignment horizontal="right" vertical="top" wrapText="1"/>
    </xf>
    <xf numFmtId="0" fontId="0" fillId="0" borderId="70" xfId="0" applyBorder="1" applyAlignment="1">
      <alignment horizontal="center" wrapText="1"/>
    </xf>
    <xf numFmtId="4" fontId="33" fillId="0" borderId="70" xfId="0" applyNumberFormat="1" applyFont="1" applyBorder="1" applyAlignment="1">
      <alignment horizontal="right" wrapText="1"/>
    </xf>
    <xf numFmtId="169" fontId="33" fillId="0" borderId="70" xfId="0" applyNumberFormat="1" applyFont="1" applyBorder="1" applyAlignment="1">
      <alignment horizontal="right" wrapText="1"/>
    </xf>
    <xf numFmtId="4" fontId="41" fillId="2" borderId="78" xfId="0" applyNumberFormat="1" applyFont="1" applyFill="1" applyBorder="1"/>
    <xf numFmtId="166" fontId="29" fillId="2" borderId="30" xfId="0" applyNumberFormat="1" applyFont="1" applyFill="1" applyBorder="1" applyAlignment="1">
      <alignment horizontal="justify" wrapText="1"/>
    </xf>
    <xf numFmtId="0" fontId="33" fillId="0" borderId="78" xfId="0" applyFont="1" applyBorder="1" applyAlignment="1">
      <alignment horizontal="left" vertical="top" wrapText="1" indent="4"/>
    </xf>
    <xf numFmtId="0" fontId="33" fillId="0" borderId="78" xfId="0" applyFont="1" applyBorder="1" applyAlignment="1">
      <alignment horizontal="left" vertical="top" wrapText="1"/>
    </xf>
    <xf numFmtId="0" fontId="0" fillId="0" borderId="78" xfId="0" applyBorder="1" applyAlignment="1">
      <alignment horizontal="center" vertical="top" wrapText="1"/>
    </xf>
    <xf numFmtId="0" fontId="33" fillId="0" borderId="78" xfId="0" applyFont="1" applyBorder="1" applyAlignment="1">
      <alignment horizontal="right" vertical="top" wrapText="1"/>
    </xf>
    <xf numFmtId="41" fontId="28" fillId="0" borderId="68" xfId="2" applyFont="1" applyBorder="1" applyAlignment="1">
      <alignment horizontal="right" wrapText="1"/>
    </xf>
    <xf numFmtId="9" fontId="8" fillId="0" borderId="72" xfId="3" applyFont="1" applyFill="1" applyBorder="1" applyAlignment="1">
      <alignment vertical="center"/>
    </xf>
    <xf numFmtId="0" fontId="33" fillId="0" borderId="60" xfId="0" applyFont="1" applyBorder="1" applyAlignment="1">
      <alignment horizontal="right" vertical="top" wrapText="1"/>
    </xf>
    <xf numFmtId="0" fontId="33" fillId="0" borderId="86" xfId="0" applyFont="1" applyBorder="1" applyAlignment="1">
      <alignment horizontal="left" vertical="top" wrapText="1" indent="4"/>
    </xf>
    <xf numFmtId="0" fontId="33" fillId="0" borderId="86" xfId="0" applyFont="1" applyBorder="1" applyAlignment="1">
      <alignment horizontal="left" vertical="top" wrapText="1"/>
    </xf>
    <xf numFmtId="0" fontId="0" fillId="0" borderId="86" xfId="0" applyBorder="1" applyAlignment="1">
      <alignment horizontal="center" vertical="top" wrapText="1"/>
    </xf>
    <xf numFmtId="0" fontId="33" fillId="0" borderId="86" xfId="0" applyFont="1" applyBorder="1" applyAlignment="1">
      <alignment horizontal="right" vertical="top" wrapText="1"/>
    </xf>
    <xf numFmtId="41" fontId="28" fillId="0" borderId="126" xfId="2" applyFont="1" applyBorder="1" applyAlignment="1">
      <alignment horizontal="right" wrapText="1"/>
    </xf>
    <xf numFmtId="169" fontId="28" fillId="0" borderId="87" xfId="0" applyNumberFormat="1" applyFont="1" applyBorder="1" applyAlignment="1">
      <alignment horizontal="right" vertical="top" wrapText="1"/>
    </xf>
    <xf numFmtId="0" fontId="33" fillId="0" borderId="127" xfId="0" applyFont="1" applyBorder="1" applyAlignment="1">
      <alignment horizontal="right" vertical="top" wrapText="1"/>
    </xf>
    <xf numFmtId="0" fontId="35" fillId="0" borderId="128" xfId="0" applyFont="1" applyBorder="1" applyAlignment="1">
      <alignment horizontal="left" vertical="top" wrapText="1" indent="4"/>
    </xf>
    <xf numFmtId="0" fontId="33" fillId="0" borderId="128" xfId="0" applyFont="1" applyBorder="1" applyAlignment="1">
      <alignment horizontal="left" vertical="top" wrapText="1"/>
    </xf>
    <xf numFmtId="0" fontId="0" fillId="0" borderId="128" xfId="0" applyBorder="1" applyAlignment="1">
      <alignment horizontal="center" vertical="top" wrapText="1"/>
    </xf>
    <xf numFmtId="0" fontId="35" fillId="0" borderId="128" xfId="0" applyFont="1" applyBorder="1" applyAlignment="1">
      <alignment horizontal="right" vertical="top" wrapText="1"/>
    </xf>
    <xf numFmtId="169" fontId="35" fillId="0" borderId="129" xfId="2" applyNumberFormat="1" applyFont="1" applyBorder="1" applyAlignment="1">
      <alignment horizontal="right" vertical="top" wrapText="1"/>
    </xf>
    <xf numFmtId="10" fontId="8" fillId="0" borderId="130" xfId="3" applyNumberFormat="1" applyFont="1" applyFill="1" applyBorder="1" applyAlignment="1">
      <alignment vertical="center"/>
    </xf>
    <xf numFmtId="9" fontId="8" fillId="0" borderId="39" xfId="3" applyFont="1" applyFill="1" applyBorder="1" applyAlignment="1">
      <alignment vertical="center"/>
    </xf>
    <xf numFmtId="10" fontId="8" fillId="0" borderId="131" xfId="3" applyNumberFormat="1" applyFont="1" applyFill="1" applyBorder="1" applyAlignment="1">
      <alignment vertical="center"/>
    </xf>
    <xf numFmtId="10" fontId="8" fillId="0" borderId="40" xfId="3" applyNumberFormat="1" applyFont="1" applyFill="1" applyBorder="1" applyAlignment="1">
      <alignment vertical="center"/>
    </xf>
    <xf numFmtId="41" fontId="0" fillId="0" borderId="0" xfId="2" applyFont="1"/>
    <xf numFmtId="164" fontId="0" fillId="0" borderId="0" xfId="0" applyNumberFormat="1"/>
    <xf numFmtId="0" fontId="39" fillId="0" borderId="0" xfId="0" applyFont="1"/>
    <xf numFmtId="0" fontId="3" fillId="2" borderId="0" xfId="0" applyFont="1" applyFill="1" applyAlignment="1">
      <alignment horizontal="right" vertical="top"/>
    </xf>
    <xf numFmtId="0" fontId="4" fillId="2" borderId="0" xfId="0" applyFont="1" applyFill="1" applyAlignment="1">
      <alignment horizontal="left" vertical="top"/>
    </xf>
    <xf numFmtId="0" fontId="0" fillId="0" borderId="0" xfId="0" applyAlignment="1">
      <alignment vertical="top"/>
    </xf>
    <xf numFmtId="0" fontId="5" fillId="2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43" fillId="0" borderId="0" xfId="0" applyFont="1" applyAlignment="1">
      <alignment horizontal="center"/>
    </xf>
    <xf numFmtId="4" fontId="8" fillId="2" borderId="132" xfId="0" applyNumberFormat="1" applyFont="1" applyFill="1" applyBorder="1" applyAlignment="1">
      <alignment horizontal="center" vertical="top" wrapText="1"/>
    </xf>
    <xf numFmtId="41" fontId="8" fillId="2" borderId="17" xfId="2" applyFont="1" applyFill="1" applyBorder="1" applyAlignment="1">
      <alignment horizontal="center" vertical="top" wrapText="1"/>
    </xf>
    <xf numFmtId="4" fontId="8" fillId="2" borderId="134" xfId="0" applyNumberFormat="1" applyFont="1" applyFill="1" applyBorder="1" applyAlignment="1">
      <alignment horizontal="center" vertical="top" wrapText="1"/>
    </xf>
    <xf numFmtId="43" fontId="8" fillId="2" borderId="135" xfId="1" applyFont="1" applyFill="1" applyBorder="1" applyAlignment="1">
      <alignment horizontal="center" vertical="top" wrapText="1"/>
    </xf>
    <xf numFmtId="165" fontId="8" fillId="2" borderId="135" xfId="1" applyNumberFormat="1" applyFont="1" applyFill="1" applyBorder="1" applyAlignment="1">
      <alignment horizontal="center" vertical="top" wrapText="1"/>
    </xf>
    <xf numFmtId="165" fontId="8" fillId="2" borderId="22" xfId="1" applyNumberFormat="1" applyFont="1" applyFill="1" applyBorder="1" applyAlignment="1">
      <alignment horizontal="center" vertical="top" wrapText="1"/>
    </xf>
    <xf numFmtId="166" fontId="44" fillId="0" borderId="136" xfId="0" applyNumberFormat="1" applyFont="1" applyBorder="1" applyAlignment="1">
      <alignment horizontal="center" vertical="top"/>
    </xf>
    <xf numFmtId="166" fontId="44" fillId="0" borderId="5" xfId="0" applyNumberFormat="1" applyFont="1" applyBorder="1" applyAlignment="1">
      <alignment horizontal="justify" vertical="top" wrapText="1"/>
    </xf>
    <xf numFmtId="166" fontId="11" fillId="0" borderId="5" xfId="0" applyNumberFormat="1" applyFont="1" applyBorder="1" applyAlignment="1">
      <alignment horizontal="justify" vertical="top" wrapText="1"/>
    </xf>
    <xf numFmtId="166" fontId="11" fillId="0" borderId="5" xfId="0" applyNumberFormat="1" applyFont="1" applyBorder="1" applyAlignment="1">
      <alignment horizontal="center" vertical="top"/>
    </xf>
    <xf numFmtId="166" fontId="11" fillId="0" borderId="5" xfId="4" applyNumberFormat="1" applyFont="1" applyBorder="1" applyAlignment="1">
      <alignment horizontal="center" vertical="top"/>
    </xf>
    <xf numFmtId="166" fontId="11" fillId="0" borderId="5" xfId="4" applyNumberFormat="1" applyFont="1" applyBorder="1" applyAlignment="1">
      <alignment vertical="top"/>
    </xf>
    <xf numFmtId="166" fontId="11" fillId="0" borderId="4" xfId="4" applyNumberFormat="1" applyFont="1" applyBorder="1" applyAlignment="1">
      <alignment vertical="top"/>
    </xf>
    <xf numFmtId="166" fontId="11" fillId="0" borderId="137" xfId="4" applyNumberFormat="1" applyFont="1" applyBorder="1" applyAlignment="1">
      <alignment vertical="top"/>
    </xf>
    <xf numFmtId="165" fontId="11" fillId="0" borderId="138" xfId="1" applyNumberFormat="1" applyFont="1" applyBorder="1" applyAlignment="1">
      <alignment horizontal="center" vertical="top"/>
    </xf>
    <xf numFmtId="166" fontId="11" fillId="0" borderId="2" xfId="0" applyNumberFormat="1" applyFont="1" applyBorder="1" applyAlignment="1">
      <alignment horizontal="justify" vertical="top" wrapText="1"/>
    </xf>
    <xf numFmtId="166" fontId="11" fillId="0" borderId="2" xfId="0" applyNumberFormat="1" applyFont="1" applyBorder="1" applyAlignment="1">
      <alignment horizontal="center" vertical="top"/>
    </xf>
    <xf numFmtId="43" fontId="11" fillId="0" borderId="2" xfId="1" applyFont="1" applyBorder="1" applyAlignment="1">
      <alignment horizontal="center" vertical="top"/>
    </xf>
    <xf numFmtId="167" fontId="11" fillId="0" borderId="2" xfId="1" applyNumberFormat="1" applyFont="1" applyBorder="1" applyAlignment="1">
      <alignment vertical="top"/>
    </xf>
    <xf numFmtId="167" fontId="11" fillId="0" borderId="6" xfId="1" applyNumberFormat="1" applyFont="1" applyBorder="1" applyAlignment="1">
      <alignment vertical="top"/>
    </xf>
    <xf numFmtId="167" fontId="11" fillId="0" borderId="139" xfId="1" applyNumberFormat="1" applyFont="1" applyBorder="1" applyAlignment="1">
      <alignment vertical="top"/>
    </xf>
    <xf numFmtId="166" fontId="11" fillId="0" borderId="2" xfId="0" applyNumberFormat="1" applyFont="1" applyBorder="1" applyAlignment="1">
      <alignment horizontal="justify" wrapText="1"/>
    </xf>
    <xf numFmtId="167" fontId="44" fillId="0" borderId="2" xfId="0" applyNumberFormat="1" applyFont="1" applyBorder="1" applyAlignment="1">
      <alignment horizontal="right" vertical="top" wrapText="1"/>
    </xf>
    <xf numFmtId="167" fontId="44" fillId="2" borderId="139" xfId="1" applyNumberFormat="1" applyFont="1" applyFill="1" applyBorder="1" applyAlignment="1">
      <alignment horizontal="center" vertical="top"/>
    </xf>
    <xf numFmtId="0" fontId="15" fillId="2" borderId="138" xfId="0" applyFont="1" applyFill="1" applyBorder="1" applyAlignment="1">
      <alignment vertical="top"/>
    </xf>
    <xf numFmtId="4" fontId="15" fillId="2" borderId="2" xfId="0" applyNumberFormat="1" applyFont="1" applyFill="1" applyBorder="1" applyAlignment="1">
      <alignment horizontal="left"/>
    </xf>
    <xf numFmtId="4" fontId="19" fillId="2" borderId="2" xfId="0" applyNumberFormat="1" applyFont="1" applyFill="1" applyBorder="1"/>
    <xf numFmtId="43" fontId="15" fillId="2" borderId="2" xfId="1" applyFont="1" applyFill="1" applyBorder="1" applyAlignment="1">
      <alignment horizontal="center" vertical="top"/>
    </xf>
    <xf numFmtId="165" fontId="15" fillId="2" borderId="2" xfId="1" applyNumberFormat="1" applyFont="1" applyFill="1" applyBorder="1" applyAlignment="1">
      <alignment horizontal="center" vertical="top"/>
    </xf>
    <xf numFmtId="41" fontId="15" fillId="2" borderId="139" xfId="2" applyFont="1" applyFill="1" applyBorder="1" applyAlignment="1">
      <alignment horizontal="center" vertical="top"/>
    </xf>
    <xf numFmtId="0" fontId="8" fillId="2" borderId="138" xfId="0" applyFont="1" applyFill="1" applyBorder="1" applyAlignment="1">
      <alignment horizontal="center" vertical="top"/>
    </xf>
    <xf numFmtId="0" fontId="14" fillId="0" borderId="2" xfId="0" applyFont="1" applyBorder="1"/>
    <xf numFmtId="4" fontId="19" fillId="2" borderId="2" xfId="0" applyNumberFormat="1" applyFont="1" applyFill="1" applyBorder="1" applyAlignment="1">
      <alignment vertical="top"/>
    </xf>
    <xf numFmtId="0" fontId="19" fillId="0" borderId="138" xfId="0" applyFont="1" applyBorder="1" applyAlignment="1">
      <alignment horizontal="right"/>
    </xf>
    <xf numFmtId="0" fontId="19" fillId="0" borderId="2" xfId="0" applyFont="1" applyBorder="1"/>
    <xf numFmtId="166" fontId="11" fillId="2" borderId="2" xfId="0" applyNumberFormat="1" applyFont="1" applyFill="1" applyBorder="1" applyAlignment="1">
      <alignment horizontal="center" vertical="top"/>
    </xf>
    <xf numFmtId="43" fontId="19" fillId="0" borderId="2" xfId="1" applyFont="1" applyBorder="1" applyAlignment="1">
      <alignment horizontal="right" vertical="top"/>
    </xf>
    <xf numFmtId="165" fontId="15" fillId="0" borderId="2" xfId="1" applyNumberFormat="1" applyFont="1" applyBorder="1" applyAlignment="1">
      <alignment horizontal="center" vertical="top"/>
    </xf>
    <xf numFmtId="165" fontId="15" fillId="0" borderId="139" xfId="1" applyNumberFormat="1" applyFont="1" applyBorder="1" applyAlignment="1">
      <alignment vertical="top"/>
    </xf>
    <xf numFmtId="167" fontId="46" fillId="0" borderId="139" xfId="1" applyNumberFormat="1" applyFont="1" applyBorder="1" applyAlignment="1">
      <alignment vertical="top"/>
    </xf>
    <xf numFmtId="0" fontId="32" fillId="0" borderId="0" xfId="0" applyFont="1"/>
    <xf numFmtId="4" fontId="15" fillId="2" borderId="2" xfId="0" applyNumberFormat="1" applyFont="1" applyFill="1" applyBorder="1" applyAlignment="1">
      <alignment horizontal="left" vertical="top"/>
    </xf>
    <xf numFmtId="0" fontId="19" fillId="2" borderId="2" xfId="0" applyFont="1" applyFill="1" applyBorder="1"/>
    <xf numFmtId="43" fontId="15" fillId="0" borderId="2" xfId="1" applyFont="1" applyBorder="1" applyAlignment="1">
      <alignment horizontal="center" vertical="top"/>
    </xf>
    <xf numFmtId="0" fontId="19" fillId="2" borderId="138" xfId="0" applyFont="1" applyFill="1" applyBorder="1" applyAlignment="1">
      <alignment horizontal="right"/>
    </xf>
    <xf numFmtId="167" fontId="11" fillId="2" borderId="6" xfId="1" applyNumberFormat="1" applyFont="1" applyFill="1" applyBorder="1" applyAlignment="1">
      <alignment vertical="top"/>
    </xf>
    <xf numFmtId="165" fontId="15" fillId="2" borderId="139" xfId="1" applyNumberFormat="1" applyFont="1" applyFill="1" applyBorder="1" applyAlignment="1">
      <alignment vertical="top"/>
    </xf>
    <xf numFmtId="0" fontId="15" fillId="2" borderId="138" xfId="0" applyFont="1" applyFill="1" applyBorder="1" applyAlignment="1">
      <alignment horizontal="right" vertical="top"/>
    </xf>
    <xf numFmtId="0" fontId="15" fillId="3" borderId="138" xfId="0" applyFont="1" applyFill="1" applyBorder="1" applyAlignment="1">
      <alignment vertical="top"/>
    </xf>
    <xf numFmtId="4" fontId="15" fillId="3" borderId="2" xfId="0" applyNumberFormat="1" applyFont="1" applyFill="1" applyBorder="1" applyAlignment="1">
      <alignment horizontal="left" vertical="top"/>
    </xf>
    <xf numFmtId="0" fontId="19" fillId="3" borderId="2" xfId="0" applyFont="1" applyFill="1" applyBorder="1"/>
    <xf numFmtId="166" fontId="11" fillId="3" borderId="2" xfId="0" applyNumberFormat="1" applyFont="1" applyFill="1" applyBorder="1" applyAlignment="1">
      <alignment horizontal="center" vertical="top"/>
    </xf>
    <xf numFmtId="43" fontId="15" fillId="3" borderId="2" xfId="1" applyFont="1" applyFill="1" applyBorder="1" applyAlignment="1">
      <alignment horizontal="center" vertical="top"/>
    </xf>
    <xf numFmtId="165" fontId="15" fillId="3" borderId="2" xfId="1" applyNumberFormat="1" applyFont="1" applyFill="1" applyBorder="1" applyAlignment="1">
      <alignment horizontal="center" vertical="top"/>
    </xf>
    <xf numFmtId="167" fontId="11" fillId="3" borderId="6" xfId="1" applyNumberFormat="1" applyFont="1" applyFill="1" applyBorder="1" applyAlignment="1">
      <alignment vertical="top"/>
    </xf>
    <xf numFmtId="165" fontId="15" fillId="3" borderId="139" xfId="1" applyNumberFormat="1" applyFont="1" applyFill="1" applyBorder="1" applyAlignment="1">
      <alignment vertical="top"/>
    </xf>
    <xf numFmtId="167" fontId="47" fillId="0" borderId="139" xfId="1" applyNumberFormat="1" applyFont="1" applyBorder="1" applyAlignment="1">
      <alignment vertical="top"/>
    </xf>
    <xf numFmtId="0" fontId="30" fillId="0" borderId="0" xfId="0" applyFont="1"/>
    <xf numFmtId="4" fontId="19" fillId="3" borderId="2" xfId="0" applyNumberFormat="1" applyFont="1" applyFill="1" applyBorder="1" applyAlignment="1">
      <alignment vertical="top"/>
    </xf>
    <xf numFmtId="167" fontId="47" fillId="2" borderId="139" xfId="1" applyNumberFormat="1" applyFont="1" applyFill="1" applyBorder="1" applyAlignment="1">
      <alignment vertical="top"/>
    </xf>
    <xf numFmtId="0" fontId="15" fillId="5" borderId="138" xfId="0" applyFont="1" applyFill="1" applyBorder="1" applyAlignment="1">
      <alignment horizontal="right" vertical="top"/>
    </xf>
    <xf numFmtId="0" fontId="19" fillId="5" borderId="2" xfId="0" applyFont="1" applyFill="1" applyBorder="1"/>
    <xf numFmtId="165" fontId="15" fillId="5" borderId="2" xfId="1" applyNumberFormat="1" applyFont="1" applyFill="1" applyBorder="1" applyAlignment="1">
      <alignment horizontal="center" vertical="top"/>
    </xf>
    <xf numFmtId="43" fontId="19" fillId="5" borderId="2" xfId="1" applyFont="1" applyFill="1" applyBorder="1" applyAlignment="1">
      <alignment horizontal="right" vertical="top"/>
    </xf>
    <xf numFmtId="167" fontId="11" fillId="5" borderId="6" xfId="1" applyNumberFormat="1" applyFont="1" applyFill="1" applyBorder="1" applyAlignment="1">
      <alignment vertical="top"/>
    </xf>
    <xf numFmtId="165" fontId="15" fillId="5" borderId="139" xfId="1" applyNumberFormat="1" applyFont="1" applyFill="1" applyBorder="1" applyAlignment="1">
      <alignment vertical="top"/>
    </xf>
    <xf numFmtId="167" fontId="11" fillId="5" borderId="139" xfId="1" applyNumberFormat="1" applyFont="1" applyFill="1" applyBorder="1" applyAlignment="1">
      <alignment vertical="top"/>
    </xf>
    <xf numFmtId="166" fontId="44" fillId="0" borderId="2" xfId="0" applyNumberFormat="1" applyFont="1" applyBorder="1" applyAlignment="1">
      <alignment horizontal="right" vertical="top" wrapText="1"/>
    </xf>
    <xf numFmtId="167" fontId="47" fillId="7" borderId="139" xfId="1" applyNumberFormat="1" applyFont="1" applyFill="1" applyBorder="1" applyAlignment="1">
      <alignment vertical="top"/>
    </xf>
    <xf numFmtId="166" fontId="11" fillId="5" borderId="2" xfId="0" applyNumberFormat="1" applyFont="1" applyFill="1" applyBorder="1" applyAlignment="1">
      <alignment horizontal="center" vertical="top"/>
    </xf>
    <xf numFmtId="43" fontId="15" fillId="5" borderId="2" xfId="1" applyFont="1" applyFill="1" applyBorder="1" applyAlignment="1">
      <alignment horizontal="center" vertical="top"/>
    </xf>
    <xf numFmtId="41" fontId="15" fillId="5" borderId="139" xfId="2" applyFont="1" applyFill="1" applyBorder="1" applyAlignment="1">
      <alignment horizontal="center" vertical="top"/>
    </xf>
    <xf numFmtId="166" fontId="11" fillId="2" borderId="2" xfId="0" applyNumberFormat="1" applyFont="1" applyFill="1" applyBorder="1" applyAlignment="1">
      <alignment horizontal="center"/>
    </xf>
    <xf numFmtId="43" fontId="11" fillId="2" borderId="2" xfId="1" applyFont="1" applyFill="1" applyBorder="1" applyAlignment="1">
      <alignment horizontal="center" vertical="top"/>
    </xf>
    <xf numFmtId="167" fontId="11" fillId="2" borderId="2" xfId="1" applyNumberFormat="1" applyFont="1" applyFill="1" applyBorder="1" applyAlignment="1">
      <alignment vertical="top"/>
    </xf>
    <xf numFmtId="0" fontId="8" fillId="2" borderId="138" xfId="0" applyFont="1" applyFill="1" applyBorder="1" applyAlignment="1">
      <alignment horizontal="left" vertical="top" indent="3"/>
    </xf>
    <xf numFmtId="41" fontId="15" fillId="0" borderId="139" xfId="2" applyFont="1" applyBorder="1" applyAlignment="1">
      <alignment horizontal="center" vertical="top"/>
    </xf>
    <xf numFmtId="0" fontId="19" fillId="0" borderId="138" xfId="0" applyFont="1" applyBorder="1"/>
    <xf numFmtId="0" fontId="15" fillId="3" borderId="138" xfId="0" applyFont="1" applyFill="1" applyBorder="1" applyAlignment="1">
      <alignment horizontal="right" vertical="top"/>
    </xf>
    <xf numFmtId="41" fontId="15" fillId="3" borderId="139" xfId="2" applyFont="1" applyFill="1" applyBorder="1" applyAlignment="1">
      <alignment horizontal="center" vertical="top"/>
    </xf>
    <xf numFmtId="167" fontId="47" fillId="3" borderId="139" xfId="1" applyNumberFormat="1" applyFont="1" applyFill="1" applyBorder="1" applyAlignment="1">
      <alignment vertical="top"/>
    </xf>
    <xf numFmtId="167" fontId="47" fillId="5" borderId="139" xfId="1" applyNumberFormat="1" applyFont="1" applyFill="1" applyBorder="1" applyAlignment="1">
      <alignment vertical="top"/>
    </xf>
    <xf numFmtId="0" fontId="19" fillId="0" borderId="2" xfId="0" applyFont="1" applyBorder="1" applyAlignment="1">
      <alignment vertical="top"/>
    </xf>
    <xf numFmtId="0" fontId="8" fillId="0" borderId="138" xfId="0" applyFont="1" applyBorder="1" applyAlignment="1">
      <alignment horizontal="center" vertical="top"/>
    </xf>
    <xf numFmtId="4" fontId="8" fillId="0" borderId="2" xfId="0" applyNumberFormat="1" applyFont="1" applyBorder="1" applyAlignment="1">
      <alignment horizontal="left" vertical="top"/>
    </xf>
    <xf numFmtId="0" fontId="15" fillId="0" borderId="138" xfId="0" applyFont="1" applyBorder="1" applyAlignment="1">
      <alignment horizontal="center" vertical="top"/>
    </xf>
    <xf numFmtId="0" fontId="11" fillId="0" borderId="2" xfId="0" applyFont="1" applyBorder="1" applyAlignment="1">
      <alignment horizontal="left" vertical="top" wrapText="1"/>
    </xf>
    <xf numFmtId="0" fontId="8" fillId="0" borderId="138" xfId="0" applyFont="1" applyBorder="1" applyAlignment="1">
      <alignment horizontal="right" vertical="top"/>
    </xf>
    <xf numFmtId="0" fontId="44" fillId="0" borderId="2" xfId="0" applyFont="1" applyBorder="1" applyAlignment="1">
      <alignment horizontal="left" vertical="top" wrapText="1"/>
    </xf>
    <xf numFmtId="0" fontId="15" fillId="0" borderId="138" xfId="0" applyFont="1" applyBorder="1" applyAlignment="1">
      <alignment horizontal="right" vertical="top"/>
    </xf>
    <xf numFmtId="165" fontId="47" fillId="0" borderId="2" xfId="1" applyNumberFormat="1" applyFont="1" applyBorder="1" applyAlignment="1">
      <alignment horizontal="center" vertical="top"/>
    </xf>
    <xf numFmtId="0" fontId="44" fillId="2" borderId="2" xfId="0" applyFont="1" applyFill="1" applyBorder="1" applyAlignment="1">
      <alignment horizontal="left" vertical="top" wrapText="1"/>
    </xf>
    <xf numFmtId="0" fontId="22" fillId="2" borderId="2" xfId="0" applyFont="1" applyFill="1" applyBorder="1"/>
    <xf numFmtId="165" fontId="47" fillId="2" borderId="2" xfId="1" applyNumberFormat="1" applyFont="1" applyFill="1" applyBorder="1" applyAlignment="1">
      <alignment horizontal="center" vertical="top"/>
    </xf>
    <xf numFmtId="0" fontId="22" fillId="2" borderId="0" xfId="0" applyFont="1" applyFill="1"/>
    <xf numFmtId="0" fontId="11" fillId="2" borderId="2" xfId="0" applyFont="1" applyFill="1" applyBorder="1" applyAlignment="1">
      <alignment horizontal="left" vertical="top" wrapText="1"/>
    </xf>
    <xf numFmtId="165" fontId="19" fillId="2" borderId="2" xfId="1" applyNumberFormat="1" applyFont="1" applyFill="1" applyBorder="1" applyAlignment="1">
      <alignment horizontal="center" vertical="top"/>
    </xf>
    <xf numFmtId="165" fontId="19" fillId="3" borderId="2" xfId="1" applyNumberFormat="1" applyFont="1" applyFill="1" applyBorder="1" applyAlignment="1">
      <alignment horizontal="center" vertical="top"/>
    </xf>
    <xf numFmtId="173" fontId="52" fillId="0" borderId="138" xfId="0" applyNumberFormat="1" applyFont="1" applyBorder="1" applyAlignment="1">
      <alignment horizontal="left" vertical="top" indent="5" shrinkToFit="1"/>
    </xf>
    <xf numFmtId="0" fontId="48" fillId="0" borderId="2" xfId="0" applyFont="1" applyBorder="1" applyAlignment="1">
      <alignment horizontal="left" wrapText="1"/>
    </xf>
    <xf numFmtId="0" fontId="44" fillId="0" borderId="2" xfId="0" applyFont="1" applyBorder="1" applyAlignment="1">
      <alignment horizontal="left" wrapText="1"/>
    </xf>
    <xf numFmtId="165" fontId="8" fillId="0" borderId="2" xfId="1" applyNumberFormat="1" applyFont="1" applyBorder="1" applyAlignment="1">
      <alignment horizontal="center" vertical="top"/>
    </xf>
    <xf numFmtId="0" fontId="48" fillId="0" borderId="2" xfId="0" applyFont="1" applyBorder="1" applyAlignment="1">
      <alignment horizontal="left" vertical="top" wrapText="1"/>
    </xf>
    <xf numFmtId="0" fontId="22" fillId="2" borderId="2" xfId="0" applyFont="1" applyFill="1" applyBorder="1" applyAlignment="1">
      <alignment vertical="top"/>
    </xf>
    <xf numFmtId="0" fontId="48" fillId="0" borderId="2" xfId="0" applyFont="1" applyBorder="1" applyAlignment="1">
      <alignment horizontal="left" vertical="center" wrapText="1"/>
    </xf>
    <xf numFmtId="0" fontId="44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wrapText="1"/>
    </xf>
    <xf numFmtId="4" fontId="8" fillId="0" borderId="2" xfId="0" applyNumberFormat="1" applyFont="1" applyBorder="1" applyAlignment="1">
      <alignment vertical="top"/>
    </xf>
    <xf numFmtId="4" fontId="14" fillId="2" borderId="2" xfId="0" applyNumberFormat="1" applyFont="1" applyFill="1" applyBorder="1" applyAlignment="1">
      <alignment horizontal="right" vertical="top"/>
    </xf>
    <xf numFmtId="165" fontId="14" fillId="0" borderId="139" xfId="1" applyNumberFormat="1" applyFont="1" applyBorder="1" applyAlignment="1">
      <alignment vertical="top"/>
    </xf>
    <xf numFmtId="165" fontId="8" fillId="0" borderId="139" xfId="1" applyNumberFormat="1" applyFont="1" applyBorder="1" applyAlignment="1">
      <alignment vertical="top"/>
    </xf>
    <xf numFmtId="4" fontId="8" fillId="2" borderId="2" xfId="0" applyNumberFormat="1" applyFont="1" applyFill="1" applyBorder="1" applyAlignment="1">
      <alignment horizontal="left" vertical="top"/>
    </xf>
    <xf numFmtId="4" fontId="15" fillId="2" borderId="2" xfId="0" applyNumberFormat="1" applyFont="1" applyFill="1" applyBorder="1" applyAlignment="1">
      <alignment vertical="top"/>
    </xf>
    <xf numFmtId="4" fontId="15" fillId="0" borderId="2" xfId="0" applyNumberFormat="1" applyFont="1" applyBorder="1" applyAlignment="1">
      <alignment vertical="top"/>
    </xf>
    <xf numFmtId="4" fontId="15" fillId="0" borderId="2" xfId="0" applyNumberFormat="1" applyFont="1" applyBorder="1" applyAlignment="1">
      <alignment horizontal="left" vertical="top"/>
    </xf>
    <xf numFmtId="165" fontId="8" fillId="2" borderId="139" xfId="1" applyNumberFormat="1" applyFont="1" applyFill="1" applyBorder="1" applyAlignment="1">
      <alignment vertical="top"/>
    </xf>
    <xf numFmtId="0" fontId="19" fillId="0" borderId="2" xfId="0" applyFont="1" applyBorder="1" applyAlignment="1">
      <alignment horizontal="left" wrapText="1"/>
    </xf>
    <xf numFmtId="0" fontId="11" fillId="0" borderId="2" xfId="0" applyFont="1" applyBorder="1" applyAlignment="1">
      <alignment horizontal="left" wrapText="1"/>
    </xf>
    <xf numFmtId="167" fontId="0" fillId="0" borderId="0" xfId="0" applyNumberFormat="1"/>
    <xf numFmtId="0" fontId="8" fillId="2" borderId="138" xfId="0" applyFont="1" applyFill="1" applyBorder="1" applyAlignment="1">
      <alignment vertical="top"/>
    </xf>
    <xf numFmtId="4" fontId="8" fillId="2" borderId="2" xfId="0" applyNumberFormat="1" applyFont="1" applyFill="1" applyBorder="1" applyAlignment="1">
      <alignment vertical="top"/>
    </xf>
    <xf numFmtId="165" fontId="8" fillId="2" borderId="2" xfId="1" applyNumberFormat="1" applyFont="1" applyFill="1" applyBorder="1" applyAlignment="1">
      <alignment horizontal="center" vertical="top"/>
    </xf>
    <xf numFmtId="4" fontId="19" fillId="2" borderId="2" xfId="0" applyNumberFormat="1" applyFont="1" applyFill="1" applyBorder="1" applyAlignment="1">
      <alignment horizontal="right" vertical="top"/>
    </xf>
    <xf numFmtId="0" fontId="15" fillId="0" borderId="138" xfId="0" applyFont="1" applyBorder="1" applyAlignment="1">
      <alignment vertical="top"/>
    </xf>
    <xf numFmtId="0" fontId="19" fillId="2" borderId="2" xfId="0" applyFont="1" applyFill="1" applyBorder="1" applyAlignment="1">
      <alignment vertical="top"/>
    </xf>
    <xf numFmtId="0" fontId="19" fillId="0" borderId="2" xfId="0" applyFont="1" applyBorder="1" applyAlignment="1">
      <alignment horizontal="left" vertical="top" wrapText="1"/>
    </xf>
    <xf numFmtId="165" fontId="15" fillId="0" borderId="2" xfId="1" applyNumberFormat="1" applyFont="1" applyBorder="1" applyAlignment="1">
      <alignment horizontal="left" vertical="top"/>
    </xf>
    <xf numFmtId="165" fontId="15" fillId="0" borderId="2" xfId="1" applyNumberFormat="1" applyFont="1" applyBorder="1" applyAlignment="1">
      <alignment vertical="top"/>
    </xf>
    <xf numFmtId="41" fontId="15" fillId="0" borderId="2" xfId="2" applyFont="1" applyBorder="1" applyAlignment="1">
      <alignment vertical="top"/>
    </xf>
    <xf numFmtId="165" fontId="15" fillId="0" borderId="140" xfId="1" applyNumberFormat="1" applyFont="1" applyBorder="1" applyAlignment="1">
      <alignment horizontal="center" vertical="top"/>
    </xf>
    <xf numFmtId="0" fontId="0" fillId="8" borderId="121" xfId="0" applyFill="1" applyBorder="1" applyAlignment="1">
      <alignment wrapText="1"/>
    </xf>
    <xf numFmtId="0" fontId="33" fillId="8" borderId="141" xfId="0" applyFont="1" applyFill="1" applyBorder="1" applyAlignment="1">
      <alignment horizontal="left" wrapText="1"/>
    </xf>
    <xf numFmtId="0" fontId="0" fillId="0" borderId="2" xfId="0" applyBorder="1" applyAlignment="1">
      <alignment horizontal="center" vertical="top" wrapText="1"/>
    </xf>
    <xf numFmtId="4" fontId="14" fillId="2" borderId="6" xfId="0" applyNumberFormat="1" applyFont="1" applyFill="1" applyBorder="1" applyAlignment="1">
      <alignment horizontal="right" vertical="top"/>
    </xf>
    <xf numFmtId="43" fontId="15" fillId="2" borderId="140" xfId="1" applyFont="1" applyFill="1" applyBorder="1" applyAlignment="1">
      <alignment horizontal="center" vertical="top"/>
    </xf>
    <xf numFmtId="165" fontId="15" fillId="2" borderId="140" xfId="1" applyNumberFormat="1" applyFont="1" applyFill="1" applyBorder="1" applyAlignment="1">
      <alignment horizontal="center" vertical="top"/>
    </xf>
    <xf numFmtId="165" fontId="15" fillId="2" borderId="142" xfId="1" applyNumberFormat="1" applyFont="1" applyFill="1" applyBorder="1" applyAlignment="1">
      <alignment horizontal="center" vertical="top"/>
    </xf>
    <xf numFmtId="41" fontId="15" fillId="2" borderId="143" xfId="2" applyFont="1" applyFill="1" applyBorder="1" applyAlignment="1">
      <alignment horizontal="center" vertical="top"/>
    </xf>
    <xf numFmtId="0" fontId="8" fillId="2" borderId="144" xfId="0" applyFont="1" applyFill="1" applyBorder="1" applyAlignment="1">
      <alignment horizontal="center" vertical="top"/>
    </xf>
    <xf numFmtId="4" fontId="8" fillId="2" borderId="145" xfId="0" applyNumberFormat="1" applyFont="1" applyFill="1" applyBorder="1" applyAlignment="1">
      <alignment vertical="top"/>
    </xf>
    <xf numFmtId="4" fontId="14" fillId="2" borderId="145" xfId="0" applyNumberFormat="1" applyFont="1" applyFill="1" applyBorder="1" applyAlignment="1">
      <alignment horizontal="right" vertical="top"/>
    </xf>
    <xf numFmtId="165" fontId="8" fillId="2" borderId="146" xfId="1" applyNumberFormat="1" applyFont="1" applyFill="1" applyBorder="1" applyAlignment="1">
      <alignment horizontal="center" vertical="top"/>
    </xf>
    <xf numFmtId="165" fontId="8" fillId="2" borderId="144" xfId="1" applyNumberFormat="1" applyFont="1" applyFill="1" applyBorder="1" applyAlignment="1">
      <alignment horizontal="center" vertical="top"/>
    </xf>
    <xf numFmtId="165" fontId="8" fillId="2" borderId="147" xfId="1" applyNumberFormat="1" applyFont="1" applyFill="1" applyBorder="1" applyAlignment="1">
      <alignment horizontal="center" vertical="top"/>
    </xf>
    <xf numFmtId="165" fontId="15" fillId="2" borderId="145" xfId="1" applyNumberFormat="1" applyFont="1" applyFill="1" applyBorder="1" applyAlignment="1">
      <alignment horizontal="center" vertical="top"/>
    </xf>
    <xf numFmtId="165" fontId="15" fillId="2" borderId="146" xfId="1" applyNumberFormat="1" applyFont="1" applyFill="1" applyBorder="1" applyAlignment="1">
      <alignment horizontal="center" vertical="top"/>
    </xf>
    <xf numFmtId="41" fontId="8" fillId="2" borderId="148" xfId="2" applyFont="1" applyFill="1" applyBorder="1" applyAlignment="1">
      <alignment horizontal="center" vertical="top"/>
    </xf>
    <xf numFmtId="41" fontId="47" fillId="3" borderId="148" xfId="2" applyFont="1" applyFill="1" applyBorder="1" applyAlignment="1">
      <alignment horizontal="center" vertical="top"/>
    </xf>
    <xf numFmtId="0" fontId="8" fillId="2" borderId="5" xfId="0" applyFont="1" applyFill="1" applyBorder="1" applyAlignment="1">
      <alignment horizontal="center" vertical="top"/>
    </xf>
    <xf numFmtId="4" fontId="8" fillId="2" borderId="5" xfId="0" applyNumberFormat="1" applyFont="1" applyFill="1" applyBorder="1" applyAlignment="1">
      <alignment vertical="top"/>
    </xf>
    <xf numFmtId="4" fontId="14" fillId="2" borderId="5" xfId="0" applyNumberFormat="1" applyFont="1" applyFill="1" applyBorder="1" applyAlignment="1">
      <alignment horizontal="right" vertical="top"/>
    </xf>
    <xf numFmtId="165" fontId="8" fillId="2" borderId="5" xfId="1" applyNumberFormat="1" applyFont="1" applyFill="1" applyBorder="1" applyAlignment="1">
      <alignment horizontal="center" vertical="top"/>
    </xf>
    <xf numFmtId="165" fontId="8" fillId="2" borderId="5" xfId="1" applyNumberFormat="1" applyFont="1" applyFill="1" applyBorder="1" applyAlignment="1">
      <alignment vertical="top"/>
    </xf>
    <xf numFmtId="0" fontId="44" fillId="0" borderId="140" xfId="0" applyFont="1" applyBorder="1" applyAlignment="1">
      <alignment horizontal="center"/>
    </xf>
    <xf numFmtId="0" fontId="44" fillId="0" borderId="140" xfId="0" applyFont="1" applyBorder="1" applyAlignment="1">
      <alignment horizontal="left"/>
    </xf>
    <xf numFmtId="0" fontId="11" fillId="0" borderId="140" xfId="6" applyFont="1" applyBorder="1"/>
    <xf numFmtId="0" fontId="44" fillId="0" borderId="140" xfId="6" applyFont="1" applyBorder="1" applyAlignment="1">
      <alignment horizontal="center"/>
    </xf>
    <xf numFmtId="0" fontId="11" fillId="0" borderId="140" xfId="6" applyFont="1" applyBorder="1" applyAlignment="1">
      <alignment horizontal="center"/>
    </xf>
    <xf numFmtId="0" fontId="19" fillId="0" borderId="140" xfId="0" applyFont="1" applyBorder="1"/>
    <xf numFmtId="4" fontId="8" fillId="2" borderId="150" xfId="0" applyNumberFormat="1" applyFont="1" applyFill="1" applyBorder="1" applyAlignment="1">
      <alignment horizontal="center" vertical="top" wrapText="1"/>
    </xf>
    <xf numFmtId="41" fontId="8" fillId="2" borderId="151" xfId="2" applyFont="1" applyFill="1" applyBorder="1" applyAlignment="1">
      <alignment horizontal="center" vertical="top" wrapText="1"/>
    </xf>
    <xf numFmtId="4" fontId="8" fillId="2" borderId="153" xfId="0" applyNumberFormat="1" applyFont="1" applyFill="1" applyBorder="1" applyAlignment="1">
      <alignment horizontal="center" vertical="top" wrapText="1"/>
    </xf>
    <xf numFmtId="165" fontId="8" fillId="2" borderId="154" xfId="1" applyNumberFormat="1" applyFont="1" applyFill="1" applyBorder="1" applyAlignment="1">
      <alignment horizontal="center" vertical="top" wrapText="1"/>
    </xf>
    <xf numFmtId="165" fontId="44" fillId="0" borderId="136" xfId="1" applyNumberFormat="1" applyFont="1" applyBorder="1" applyAlignment="1">
      <alignment horizontal="center" vertical="top"/>
    </xf>
    <xf numFmtId="43" fontId="11" fillId="0" borderId="5" xfId="1" applyFont="1" applyBorder="1" applyAlignment="1">
      <alignment horizontal="center" vertical="top"/>
    </xf>
    <xf numFmtId="43" fontId="11" fillId="0" borderId="5" xfId="1" applyFont="1" applyBorder="1" applyAlignment="1">
      <alignment vertical="top"/>
    </xf>
    <xf numFmtId="43" fontId="11" fillId="0" borderId="4" xfId="1" applyFont="1" applyBorder="1" applyAlignment="1">
      <alignment vertical="top"/>
    </xf>
    <xf numFmtId="43" fontId="11" fillId="0" borderId="137" xfId="1" applyFont="1" applyBorder="1" applyAlignment="1">
      <alignment vertical="top"/>
    </xf>
    <xf numFmtId="167" fontId="15" fillId="0" borderId="139" xfId="1" applyNumberFormat="1" applyFont="1" applyBorder="1" applyAlignment="1">
      <alignment horizontal="center" vertical="center"/>
    </xf>
    <xf numFmtId="165" fontId="44" fillId="0" borderId="138" xfId="1" applyNumberFormat="1" applyFont="1" applyBorder="1" applyAlignment="1">
      <alignment horizontal="center"/>
    </xf>
    <xf numFmtId="4" fontId="8" fillId="0" borderId="2" xfId="0" applyNumberFormat="1" applyFont="1" applyBorder="1"/>
    <xf numFmtId="166" fontId="11" fillId="0" borderId="2" xfId="0" applyNumberFormat="1" applyFont="1" applyBorder="1" applyAlignment="1">
      <alignment horizontal="center"/>
    </xf>
    <xf numFmtId="172" fontId="15" fillId="0" borderId="2" xfId="5" applyNumberFormat="1" applyFont="1" applyBorder="1" applyAlignment="1">
      <alignment horizontal="left"/>
    </xf>
    <xf numFmtId="167" fontId="44" fillId="0" borderId="2" xfId="0" applyNumberFormat="1" applyFont="1" applyBorder="1" applyAlignment="1">
      <alignment horizontal="right" wrapText="1"/>
    </xf>
    <xf numFmtId="165" fontId="11" fillId="2" borderId="138" xfId="1" applyNumberFormat="1" applyFont="1" applyFill="1" applyBorder="1" applyAlignment="1">
      <alignment horizontal="center"/>
    </xf>
    <xf numFmtId="165" fontId="11" fillId="0" borderId="138" xfId="1" applyNumberFormat="1" applyFont="1" applyBorder="1" applyAlignment="1">
      <alignment horizontal="center"/>
    </xf>
    <xf numFmtId="167" fontId="8" fillId="0" borderId="139" xfId="1" applyNumberFormat="1" applyFont="1" applyBorder="1" applyAlignment="1">
      <alignment horizontal="center"/>
    </xf>
    <xf numFmtId="165" fontId="11" fillId="2" borderId="138" xfId="1" applyNumberFormat="1" applyFont="1" applyFill="1" applyBorder="1" applyAlignment="1">
      <alignment horizontal="center" vertical="top"/>
    </xf>
    <xf numFmtId="166" fontId="11" fillId="2" borderId="2" xfId="0" applyNumberFormat="1" applyFont="1" applyFill="1" applyBorder="1" applyAlignment="1">
      <alignment horizontal="justify" vertical="top" wrapText="1"/>
    </xf>
    <xf numFmtId="0" fontId="47" fillId="2" borderId="2" xfId="0" applyFont="1" applyFill="1" applyBorder="1" applyAlignment="1">
      <alignment horizontal="left" vertical="top" wrapText="1"/>
    </xf>
    <xf numFmtId="0" fontId="47" fillId="2" borderId="2" xfId="0" applyFont="1" applyFill="1" applyBorder="1" applyAlignment="1">
      <alignment horizontal="left" wrapText="1"/>
    </xf>
    <xf numFmtId="167" fontId="15" fillId="2" borderId="2" xfId="1" applyNumberFormat="1" applyFont="1" applyFill="1" applyBorder="1" applyAlignment="1">
      <alignment horizontal="center" vertical="top"/>
    </xf>
    <xf numFmtId="167" fontId="15" fillId="2" borderId="139" xfId="2" applyNumberFormat="1" applyFont="1" applyFill="1" applyBorder="1" applyAlignment="1">
      <alignment horizontal="center" vertical="top"/>
    </xf>
    <xf numFmtId="0" fontId="11" fillId="2" borderId="2" xfId="0" applyFont="1" applyFill="1" applyBorder="1" applyAlignment="1">
      <alignment horizontal="left" wrapText="1"/>
    </xf>
    <xf numFmtId="0" fontId="19" fillId="0" borderId="0" xfId="0" applyFont="1"/>
    <xf numFmtId="4" fontId="15" fillId="2" borderId="2" xfId="0" applyNumberFormat="1" applyFont="1" applyFill="1" applyBorder="1"/>
    <xf numFmtId="0" fontId="5" fillId="2" borderId="2" xfId="0" applyFont="1" applyFill="1" applyBorder="1" applyAlignment="1">
      <alignment vertical="center" wrapText="1"/>
    </xf>
    <xf numFmtId="167" fontId="15" fillId="2" borderId="139" xfId="1" applyNumberFormat="1" applyFont="1" applyFill="1" applyBorder="1" applyAlignment="1">
      <alignment horizontal="center" vertical="center"/>
    </xf>
    <xf numFmtId="43" fontId="11" fillId="3" borderId="2" xfId="1" applyFont="1" applyFill="1" applyBorder="1" applyAlignment="1">
      <alignment horizontal="center" vertical="top"/>
    </xf>
    <xf numFmtId="167" fontId="11" fillId="3" borderId="2" xfId="1" applyNumberFormat="1" applyFont="1" applyFill="1" applyBorder="1" applyAlignment="1">
      <alignment vertical="top"/>
    </xf>
    <xf numFmtId="0" fontId="5" fillId="2" borderId="0" xfId="0" applyFont="1" applyFill="1" applyAlignment="1">
      <alignment vertical="center" wrapText="1"/>
    </xf>
    <xf numFmtId="166" fontId="11" fillId="0" borderId="2" xfId="0" applyNumberFormat="1" applyFont="1" applyBorder="1" applyAlignment="1">
      <alignment horizontal="left" vertical="top"/>
    </xf>
    <xf numFmtId="0" fontId="53" fillId="0" borderId="0" xfId="0" applyFont="1" applyAlignment="1">
      <alignment vertical="center" wrapText="1"/>
    </xf>
    <xf numFmtId="172" fontId="15" fillId="2" borderId="2" xfId="5" applyNumberFormat="1" applyFont="1" applyFill="1" applyBorder="1" applyAlignment="1">
      <alignment horizontal="left"/>
    </xf>
    <xf numFmtId="167" fontId="15" fillId="2" borderId="2" xfId="5" applyNumberFormat="1" applyFont="1" applyFill="1" applyBorder="1" applyAlignment="1">
      <alignment horizontal="center"/>
    </xf>
    <xf numFmtId="165" fontId="11" fillId="2" borderId="155" xfId="1" applyNumberFormat="1" applyFont="1" applyFill="1" applyBorder="1" applyAlignment="1">
      <alignment horizontal="center"/>
    </xf>
    <xf numFmtId="166" fontId="11" fillId="0" borderId="140" xfId="0" applyNumberFormat="1" applyFont="1" applyBorder="1" applyAlignment="1">
      <alignment horizontal="justify" vertical="top" wrapText="1"/>
    </xf>
    <xf numFmtId="167" fontId="44" fillId="0" borderId="140" xfId="0" applyNumberFormat="1" applyFont="1" applyBorder="1" applyAlignment="1">
      <alignment horizontal="right" vertical="top" wrapText="1"/>
    </xf>
    <xf numFmtId="166" fontId="11" fillId="0" borderId="140" xfId="0" applyNumberFormat="1" applyFont="1" applyBorder="1" applyAlignment="1">
      <alignment horizontal="center" vertical="top"/>
    </xf>
    <xf numFmtId="43" fontId="11" fillId="0" borderId="140" xfId="1" applyFont="1" applyBorder="1" applyAlignment="1">
      <alignment horizontal="center" vertical="top"/>
    </xf>
    <xf numFmtId="167" fontId="44" fillId="0" borderId="142" xfId="0" applyNumberFormat="1" applyFont="1" applyBorder="1" applyAlignment="1">
      <alignment horizontal="right" vertical="top" wrapText="1"/>
    </xf>
    <xf numFmtId="167" fontId="44" fillId="2" borderId="143" xfId="1" applyNumberFormat="1" applyFont="1" applyFill="1" applyBorder="1" applyAlignment="1">
      <alignment horizontal="center" vertical="top"/>
    </xf>
    <xf numFmtId="0" fontId="19" fillId="0" borderId="36" xfId="0" applyFont="1" applyBorder="1"/>
    <xf numFmtId="0" fontId="19" fillId="0" borderId="39" xfId="0" applyFont="1" applyBorder="1"/>
    <xf numFmtId="167" fontId="19" fillId="0" borderId="85" xfId="1" applyNumberFormat="1" applyFont="1" applyBorder="1"/>
    <xf numFmtId="0" fontId="22" fillId="0" borderId="0" xfId="0" applyFont="1"/>
    <xf numFmtId="165" fontId="0" fillId="0" borderId="0" xfId="0" applyNumberFormat="1"/>
    <xf numFmtId="0" fontId="2" fillId="0" borderId="0" xfId="0" applyFont="1"/>
    <xf numFmtId="0" fontId="28" fillId="0" borderId="76" xfId="0" applyFont="1" applyBorder="1"/>
    <xf numFmtId="14" fontId="0" fillId="0" borderId="156" xfId="0" applyNumberFormat="1" applyBorder="1"/>
    <xf numFmtId="0" fontId="30" fillId="0" borderId="157" xfId="0" applyFont="1" applyBorder="1"/>
    <xf numFmtId="0" fontId="0" fillId="0" borderId="158" xfId="0" applyBorder="1"/>
    <xf numFmtId="0" fontId="30" fillId="0" borderId="76" xfId="0" applyFont="1" applyBorder="1"/>
    <xf numFmtId="0" fontId="0" fillId="0" borderId="159" xfId="0" applyBorder="1"/>
    <xf numFmtId="0" fontId="30" fillId="0" borderId="102" xfId="0" applyFont="1" applyBorder="1"/>
    <xf numFmtId="0" fontId="54" fillId="0" borderId="0" xfId="0" applyFont="1"/>
    <xf numFmtId="0" fontId="16" fillId="0" borderId="0" xfId="0" applyFont="1" applyAlignment="1">
      <alignment vertical="top"/>
    </xf>
    <xf numFmtId="0" fontId="16" fillId="0" borderId="0" xfId="0" applyFont="1" applyAlignment="1">
      <alignment vertical="center"/>
    </xf>
    <xf numFmtId="0" fontId="55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" fontId="18" fillId="0" borderId="0" xfId="0" applyNumberFormat="1" applyFont="1" applyAlignment="1">
      <alignment horizontal="right" vertical="center"/>
    </xf>
    <xf numFmtId="165" fontId="18" fillId="0" borderId="0" xfId="1" applyNumberFormat="1" applyFont="1" applyAlignment="1">
      <alignment horizontal="center" vertical="center"/>
    </xf>
    <xf numFmtId="168" fontId="18" fillId="0" borderId="0" xfId="2" applyNumberFormat="1" applyFont="1" applyAlignment="1">
      <alignment horizontal="center" vertical="center"/>
    </xf>
    <xf numFmtId="165" fontId="8" fillId="0" borderId="0" xfId="1" applyNumberFormat="1" applyFont="1" applyAlignment="1">
      <alignment horizontal="center" vertical="center"/>
    </xf>
    <xf numFmtId="165" fontId="8" fillId="0" borderId="0" xfId="1" applyNumberFormat="1" applyFont="1" applyAlignment="1">
      <alignment vertical="center"/>
    </xf>
    <xf numFmtId="0" fontId="5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165" fontId="18" fillId="0" borderId="0" xfId="1" applyNumberFormat="1" applyFont="1" applyBorder="1" applyAlignment="1">
      <alignment horizontal="center" vertical="center"/>
    </xf>
    <xf numFmtId="168" fontId="18" fillId="0" borderId="0" xfId="2" applyNumberFormat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165" fontId="8" fillId="0" borderId="0" xfId="1" applyNumberFormat="1" applyFont="1" applyBorder="1" applyAlignment="1">
      <alignment vertical="center"/>
    </xf>
    <xf numFmtId="4" fontId="9" fillId="0" borderId="132" xfId="0" applyNumberFormat="1" applyFont="1" applyBorder="1" applyAlignment="1">
      <alignment horizontal="center" vertical="center" wrapText="1"/>
    </xf>
    <xf numFmtId="43" fontId="9" fillId="0" borderId="96" xfId="1" applyFont="1" applyBorder="1" applyAlignment="1">
      <alignment horizontal="center" vertical="center" wrapText="1"/>
    </xf>
    <xf numFmtId="41" fontId="10" fillId="0" borderId="17" xfId="2" applyFont="1" applyBorder="1" applyAlignment="1">
      <alignment horizontal="center" vertical="center" wrapText="1"/>
    </xf>
    <xf numFmtId="4" fontId="9" fillId="0" borderId="134" xfId="0" applyNumberFormat="1" applyFont="1" applyBorder="1" applyAlignment="1">
      <alignment horizontal="center" vertical="center" wrapText="1"/>
    </xf>
    <xf numFmtId="165" fontId="9" fillId="0" borderId="163" xfId="1" applyNumberFormat="1" applyFont="1" applyBorder="1" applyAlignment="1">
      <alignment horizontal="center" vertical="center" wrapText="1"/>
    </xf>
    <xf numFmtId="165" fontId="9" fillId="0" borderId="22" xfId="1" applyNumberFormat="1" applyFont="1" applyBorder="1" applyAlignment="1">
      <alignment horizontal="center" vertical="center" wrapText="1"/>
    </xf>
    <xf numFmtId="0" fontId="16" fillId="0" borderId="164" xfId="0" applyFont="1" applyBorder="1" applyAlignment="1">
      <alignment horizontal="center" vertical="center"/>
    </xf>
    <xf numFmtId="0" fontId="17" fillId="0" borderId="14" xfId="0" applyFont="1" applyBorder="1" applyAlignment="1">
      <alignment horizontal="left"/>
    </xf>
    <xf numFmtId="4" fontId="18" fillId="0" borderId="165" xfId="0" applyNumberFormat="1" applyFont="1" applyBorder="1" applyAlignment="1">
      <alignment vertical="center"/>
    </xf>
    <xf numFmtId="4" fontId="18" fillId="0" borderId="132" xfId="0" applyNumberFormat="1" applyFont="1" applyBorder="1" applyAlignment="1">
      <alignment horizontal="right" vertical="center"/>
    </xf>
    <xf numFmtId="165" fontId="18" fillId="0" borderId="132" xfId="1" applyNumberFormat="1" applyFont="1" applyBorder="1" applyAlignment="1">
      <alignment horizontal="center" vertical="center"/>
    </xf>
    <xf numFmtId="168" fontId="18" fillId="0" borderId="132" xfId="2" applyNumberFormat="1" applyFont="1" applyBorder="1" applyAlignment="1">
      <alignment horizontal="center" vertical="center"/>
    </xf>
    <xf numFmtId="165" fontId="8" fillId="0" borderId="13" xfId="1" applyNumberFormat="1" applyFont="1" applyBorder="1" applyAlignment="1">
      <alignment horizontal="center" vertical="center"/>
    </xf>
    <xf numFmtId="165" fontId="8" fillId="0" borderId="166" xfId="1" applyNumberFormat="1" applyFont="1" applyBorder="1" applyAlignment="1">
      <alignment vertical="center"/>
    </xf>
    <xf numFmtId="0" fontId="19" fillId="0" borderId="167" xfId="0" applyFont="1" applyBorder="1" applyAlignment="1">
      <alignment horizontal="right"/>
    </xf>
    <xf numFmtId="0" fontId="19" fillId="0" borderId="168" xfId="0" applyFont="1" applyBorder="1"/>
    <xf numFmtId="43" fontId="19" fillId="0" borderId="7" xfId="0" applyNumberFormat="1" applyFont="1" applyBorder="1"/>
    <xf numFmtId="43" fontId="19" fillId="0" borderId="169" xfId="0" applyNumberFormat="1" applyFont="1" applyBorder="1"/>
    <xf numFmtId="165" fontId="15" fillId="0" borderId="2" xfId="1" applyNumberFormat="1" applyFont="1" applyBorder="1" applyAlignment="1">
      <alignment horizontal="center" vertical="center"/>
    </xf>
    <xf numFmtId="43" fontId="19" fillId="0" borderId="46" xfId="1" applyFont="1" applyBorder="1"/>
    <xf numFmtId="167" fontId="19" fillId="0" borderId="120" xfId="1" applyNumberFormat="1" applyFont="1" applyBorder="1"/>
    <xf numFmtId="167" fontId="19" fillId="0" borderId="48" xfId="1" applyNumberFormat="1" applyFont="1" applyBorder="1"/>
    <xf numFmtId="0" fontId="19" fillId="0" borderId="45" xfId="0" applyFont="1" applyBorder="1" applyAlignment="1">
      <alignment horizontal="right"/>
    </xf>
    <xf numFmtId="0" fontId="19" fillId="2" borderId="170" xfId="0" applyFont="1" applyFill="1" applyBorder="1"/>
    <xf numFmtId="43" fontId="19" fillId="0" borderId="9" xfId="0" applyNumberFormat="1" applyFont="1" applyBorder="1"/>
    <xf numFmtId="43" fontId="19" fillId="0" borderId="46" xfId="0" applyNumberFormat="1" applyFont="1" applyBorder="1"/>
    <xf numFmtId="167" fontId="19" fillId="2" borderId="46" xfId="1" applyNumberFormat="1" applyFont="1" applyFill="1" applyBorder="1"/>
    <xf numFmtId="0" fontId="19" fillId="0" borderId="49" xfId="0" applyFont="1" applyBorder="1" applyAlignment="1">
      <alignment horizontal="right"/>
    </xf>
    <xf numFmtId="0" fontId="19" fillId="0" borderId="171" xfId="0" applyFont="1" applyBorder="1"/>
    <xf numFmtId="43" fontId="19" fillId="0" borderId="52" xfId="0" applyNumberFormat="1" applyFont="1" applyBorder="1"/>
    <xf numFmtId="43" fontId="19" fillId="0" borderId="50" xfId="0" applyNumberFormat="1" applyFont="1" applyBorder="1"/>
    <xf numFmtId="167" fontId="19" fillId="0" borderId="50" xfId="1" applyNumberFormat="1" applyFont="1" applyBorder="1"/>
    <xf numFmtId="0" fontId="19" fillId="0" borderId="170" xfId="0" applyFont="1" applyBorder="1"/>
    <xf numFmtId="167" fontId="19" fillId="0" borderId="46" xfId="1" applyNumberFormat="1" applyFont="1" applyBorder="1"/>
    <xf numFmtId="0" fontId="11" fillId="2" borderId="36" xfId="0" applyFont="1" applyFill="1" applyBorder="1"/>
    <xf numFmtId="0" fontId="44" fillId="2" borderId="172" xfId="0" applyFont="1" applyFill="1" applyBorder="1" applyAlignment="1">
      <alignment horizontal="justify" wrapText="1"/>
    </xf>
    <xf numFmtId="0" fontId="11" fillId="2" borderId="172" xfId="0" applyFont="1" applyFill="1" applyBorder="1"/>
    <xf numFmtId="0" fontId="11" fillId="2" borderId="39" xfId="0" applyFont="1" applyFill="1" applyBorder="1" applyAlignment="1">
      <alignment horizontal="center"/>
    </xf>
    <xf numFmtId="167" fontId="11" fillId="2" borderId="39" xfId="0" applyNumberFormat="1" applyFont="1" applyFill="1" applyBorder="1"/>
    <xf numFmtId="167" fontId="44" fillId="2" borderId="173" xfId="1" applyNumberFormat="1" applyFont="1" applyFill="1" applyBorder="1"/>
    <xf numFmtId="0" fontId="14" fillId="0" borderId="130" xfId="0" applyFont="1" applyBorder="1" applyAlignment="1">
      <alignment horizontal="center"/>
    </xf>
    <xf numFmtId="0" fontId="14" fillId="0" borderId="39" xfId="0" applyFont="1" applyBorder="1"/>
    <xf numFmtId="4" fontId="18" fillId="0" borderId="172" xfId="0" applyNumberFormat="1" applyFont="1" applyBorder="1" applyAlignment="1">
      <alignment horizontal="right" vertical="center"/>
    </xf>
    <xf numFmtId="167" fontId="0" fillId="0" borderId="39" xfId="0" applyNumberFormat="1" applyBorder="1"/>
    <xf numFmtId="167" fontId="44" fillId="7" borderId="174" xfId="1" applyNumberFormat="1" applyFont="1" applyFill="1" applyBorder="1" applyAlignment="1">
      <alignment vertical="top"/>
    </xf>
    <xf numFmtId="0" fontId="11" fillId="2" borderId="0" xfId="0" applyFont="1" applyFill="1"/>
    <xf numFmtId="0" fontId="11" fillId="2" borderId="0" xfId="0" applyFont="1" applyFill="1" applyAlignment="1">
      <alignment horizontal="justify" wrapText="1"/>
    </xf>
    <xf numFmtId="0" fontId="11" fillId="2" borderId="0" xfId="0" applyFont="1" applyFill="1" applyAlignment="1">
      <alignment horizontal="center"/>
    </xf>
    <xf numFmtId="167" fontId="11" fillId="2" borderId="0" xfId="0" applyNumberFormat="1" applyFont="1" applyFill="1"/>
    <xf numFmtId="167" fontId="44" fillId="2" borderId="0" xfId="1" applyNumberFormat="1" applyFont="1" applyFill="1" applyBorder="1"/>
    <xf numFmtId="0" fontId="16" fillId="0" borderId="36" xfId="0" applyFont="1" applyBorder="1" applyAlignment="1">
      <alignment horizontal="center" vertical="center"/>
    </xf>
    <xf numFmtId="0" fontId="17" fillId="0" borderId="131" xfId="0" applyFont="1" applyBorder="1" applyAlignment="1">
      <alignment horizontal="left"/>
    </xf>
    <xf numFmtId="4" fontId="18" fillId="0" borderId="146" xfId="0" applyNumberFormat="1" applyFont="1" applyBorder="1" applyAlignment="1">
      <alignment vertical="center"/>
    </xf>
    <xf numFmtId="165" fontId="18" fillId="0" borderId="172" xfId="1" applyNumberFormat="1" applyFont="1" applyBorder="1" applyAlignment="1">
      <alignment horizontal="center" vertical="center"/>
    </xf>
    <xf numFmtId="168" fontId="18" fillId="0" borderId="172" xfId="2" applyNumberFormat="1" applyFont="1" applyBorder="1" applyAlignment="1">
      <alignment horizontal="center" vertical="center"/>
    </xf>
    <xf numFmtId="167" fontId="8" fillId="0" borderId="172" xfId="1" applyNumberFormat="1" applyFont="1" applyBorder="1" applyAlignment="1">
      <alignment horizontal="center" vertical="center"/>
    </xf>
    <xf numFmtId="167" fontId="8" fillId="0" borderId="40" xfId="1" applyNumberFormat="1" applyFont="1" applyBorder="1" applyAlignment="1">
      <alignment vertical="center"/>
    </xf>
    <xf numFmtId="0" fontId="19" fillId="0" borderId="46" xfId="0" applyFont="1" applyBorder="1" applyAlignment="1">
      <alignment horizontal="center"/>
    </xf>
    <xf numFmtId="167" fontId="44" fillId="7" borderId="40" xfId="1" applyNumberFormat="1" applyFont="1" applyFill="1" applyBorder="1"/>
    <xf numFmtId="0" fontId="16" fillId="0" borderId="49" xfId="0" applyFont="1" applyBorder="1" applyAlignment="1">
      <alignment horizontal="center" vertical="center"/>
    </xf>
    <xf numFmtId="0" fontId="17" fillId="0" borderId="51" xfId="0" applyFont="1" applyBorder="1" applyAlignment="1">
      <alignment horizontal="left"/>
    </xf>
    <xf numFmtId="43" fontId="9" fillId="0" borderId="177" xfId="1" applyFont="1" applyBorder="1" applyAlignment="1">
      <alignment horizontal="center" vertical="center" wrapText="1"/>
    </xf>
    <xf numFmtId="41" fontId="10" fillId="0" borderId="97" xfId="2" applyFont="1" applyBorder="1" applyAlignment="1">
      <alignment horizontal="center" vertical="center" wrapText="1"/>
    </xf>
    <xf numFmtId="165" fontId="9" fillId="0" borderId="178" xfId="1" applyNumberFormat="1" applyFont="1" applyBorder="1" applyAlignment="1">
      <alignment horizontal="center" vertical="center" wrapText="1"/>
    </xf>
    <xf numFmtId="165" fontId="9" fillId="0" borderId="179" xfId="1" applyNumberFormat="1" applyFont="1" applyBorder="1" applyAlignment="1">
      <alignment horizontal="center" vertical="center" wrapText="1"/>
    </xf>
    <xf numFmtId="0" fontId="8" fillId="0" borderId="164" xfId="0" applyFont="1" applyBorder="1" applyAlignment="1">
      <alignment horizontal="center" vertical="center"/>
    </xf>
    <xf numFmtId="4" fontId="8" fillId="0" borderId="150" xfId="0" applyNumberFormat="1" applyFont="1" applyBorder="1" applyAlignment="1">
      <alignment horizontal="left" vertical="center"/>
    </xf>
    <xf numFmtId="4" fontId="8" fillId="0" borderId="180" xfId="0" applyNumberFormat="1" applyFont="1" applyBorder="1" applyAlignment="1">
      <alignment horizontal="left" vertical="center"/>
    </xf>
    <xf numFmtId="165" fontId="15" fillId="0" borderId="150" xfId="1" applyNumberFormat="1" applyFont="1" applyBorder="1" applyAlignment="1">
      <alignment horizontal="center" vertical="center"/>
    </xf>
    <xf numFmtId="165" fontId="15" fillId="0" borderId="180" xfId="1" applyNumberFormat="1" applyFont="1" applyBorder="1" applyAlignment="1">
      <alignment horizontal="center" vertical="center"/>
    </xf>
    <xf numFmtId="41" fontId="15" fillId="0" borderId="181" xfId="2" applyFont="1" applyBorder="1" applyAlignment="1">
      <alignment horizontal="center" vertical="center"/>
    </xf>
    <xf numFmtId="0" fontId="15" fillId="0" borderId="45" xfId="0" applyFont="1" applyBorder="1" applyAlignment="1">
      <alignment horizontal="left" vertical="center" indent="4"/>
    </xf>
    <xf numFmtId="4" fontId="15" fillId="0" borderId="2" xfId="0" applyNumberFormat="1" applyFont="1" applyBorder="1" applyAlignment="1">
      <alignment vertical="center"/>
    </xf>
    <xf numFmtId="4" fontId="15" fillId="0" borderId="9" xfId="0" applyNumberFormat="1" applyFont="1" applyBorder="1" applyAlignment="1">
      <alignment vertical="center"/>
    </xf>
    <xf numFmtId="43" fontId="15" fillId="0" borderId="9" xfId="1" applyFont="1" applyBorder="1" applyAlignment="1">
      <alignment horizontal="center" vertical="center"/>
    </xf>
    <xf numFmtId="41" fontId="15" fillId="0" borderId="182" xfId="2" applyFont="1" applyBorder="1" applyAlignment="1">
      <alignment horizontal="center" vertical="center"/>
    </xf>
    <xf numFmtId="0" fontId="8" fillId="0" borderId="45" xfId="0" applyFont="1" applyBorder="1" applyAlignment="1">
      <alignment vertical="center"/>
    </xf>
    <xf numFmtId="4" fontId="8" fillId="0" borderId="2" xfId="0" applyNumberFormat="1" applyFont="1" applyBorder="1" applyAlignment="1">
      <alignment vertical="center"/>
    </xf>
    <xf numFmtId="4" fontId="8" fillId="0" borderId="9" xfId="0" applyNumberFormat="1" applyFont="1" applyBorder="1" applyAlignment="1">
      <alignment horizontal="right" vertical="center"/>
    </xf>
    <xf numFmtId="165" fontId="8" fillId="0" borderId="2" xfId="1" applyNumberFormat="1" applyFont="1" applyBorder="1" applyAlignment="1">
      <alignment horizontal="center" vertical="center"/>
    </xf>
    <xf numFmtId="165" fontId="8" fillId="0" borderId="9" xfId="1" applyNumberFormat="1" applyFont="1" applyBorder="1" applyAlignment="1">
      <alignment horizontal="center" vertical="center"/>
    </xf>
    <xf numFmtId="165" fontId="8" fillId="0" borderId="182" xfId="1" applyNumberFormat="1" applyFont="1" applyBorder="1" applyAlignment="1">
      <alignment vertical="center"/>
    </xf>
    <xf numFmtId="0" fontId="8" fillId="0" borderId="45" xfId="0" applyFont="1" applyBorder="1" applyAlignment="1">
      <alignment horizontal="center" vertical="center"/>
    </xf>
    <xf numFmtId="4" fontId="8" fillId="0" borderId="2" xfId="0" applyNumberFormat="1" applyFont="1" applyBorder="1" applyAlignment="1">
      <alignment horizontal="left" vertical="center"/>
    </xf>
    <xf numFmtId="43" fontId="8" fillId="0" borderId="9" xfId="1" applyFont="1" applyBorder="1" applyAlignment="1">
      <alignment horizontal="center" vertical="center"/>
    </xf>
    <xf numFmtId="4" fontId="8" fillId="0" borderId="9" xfId="0" applyNumberFormat="1" applyFont="1" applyBorder="1" applyAlignment="1">
      <alignment horizontal="left" vertical="center"/>
    </xf>
    <xf numFmtId="43" fontId="0" fillId="0" borderId="0" xfId="1" applyFont="1" applyBorder="1"/>
    <xf numFmtId="43" fontId="15" fillId="0" borderId="1" xfId="1" applyFont="1" applyBorder="1" applyAlignment="1">
      <alignment horizontal="right" indent="1"/>
    </xf>
    <xf numFmtId="43" fontId="0" fillId="0" borderId="0" xfId="1" applyFont="1" applyBorder="1" applyAlignment="1">
      <alignment horizontal="right" indent="1"/>
    </xf>
    <xf numFmtId="43" fontId="8" fillId="0" borderId="1" xfId="1" applyFont="1" applyBorder="1" applyAlignment="1">
      <alignment horizontal="center" vertical="center"/>
    </xf>
    <xf numFmtId="165" fontId="8" fillId="0" borderId="139" xfId="1" applyNumberFormat="1" applyFont="1" applyBorder="1" applyAlignment="1">
      <alignment vertical="center"/>
    </xf>
    <xf numFmtId="43" fontId="15" fillId="0" borderId="1" xfId="1" applyFont="1" applyBorder="1" applyAlignment="1">
      <alignment horizontal="center" vertical="center"/>
    </xf>
    <xf numFmtId="165" fontId="15" fillId="0" borderId="2" xfId="1" applyNumberFormat="1" applyFont="1" applyBorder="1" applyAlignment="1">
      <alignment vertical="center"/>
    </xf>
    <xf numFmtId="41" fontId="15" fillId="0" borderId="139" xfId="2" applyFont="1" applyBorder="1" applyAlignment="1">
      <alignment horizontal="center" vertical="center"/>
    </xf>
    <xf numFmtId="165" fontId="8" fillId="0" borderId="1" xfId="1" applyNumberFormat="1" applyFont="1" applyBorder="1" applyAlignment="1">
      <alignment horizontal="center" vertical="center"/>
    </xf>
    <xf numFmtId="165" fontId="15" fillId="0" borderId="1" xfId="1" applyNumberFormat="1" applyFont="1" applyBorder="1" applyAlignment="1">
      <alignment horizontal="center" vertical="center"/>
    </xf>
    <xf numFmtId="0" fontId="56" fillId="0" borderId="2" xfId="0" applyFont="1" applyBorder="1" applyAlignment="1">
      <alignment vertical="center" wrapText="1"/>
    </xf>
    <xf numFmtId="0" fontId="56" fillId="0" borderId="9" xfId="0" applyFont="1" applyBorder="1" applyAlignment="1">
      <alignment vertical="center" wrapText="1"/>
    </xf>
    <xf numFmtId="0" fontId="15" fillId="0" borderId="45" xfId="0" applyFont="1" applyBorder="1" applyAlignment="1">
      <alignment horizontal="right" vertical="center"/>
    </xf>
    <xf numFmtId="4" fontId="15" fillId="0" borderId="1" xfId="0" applyNumberFormat="1" applyFont="1" applyBorder="1" applyAlignment="1">
      <alignment vertical="center"/>
    </xf>
    <xf numFmtId="165" fontId="15" fillId="0" borderId="5" xfId="1" applyNumberFormat="1" applyFont="1" applyBorder="1" applyAlignment="1">
      <alignment horizontal="center" vertical="center"/>
    </xf>
    <xf numFmtId="4" fontId="15" fillId="0" borderId="2" xfId="0" applyNumberFormat="1" applyFont="1" applyBorder="1" applyAlignment="1">
      <alignment horizontal="right" vertical="center"/>
    </xf>
    <xf numFmtId="43" fontId="15" fillId="0" borderId="2" xfId="1" applyFont="1" applyBorder="1" applyAlignment="1">
      <alignment horizontal="center" vertical="center"/>
    </xf>
    <xf numFmtId="0" fontId="15" fillId="0" borderId="45" xfId="0" applyFont="1" applyBorder="1" applyAlignment="1">
      <alignment vertical="center"/>
    </xf>
    <xf numFmtId="4" fontId="8" fillId="0" borderId="1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left" vertical="center"/>
    </xf>
    <xf numFmtId="4" fontId="8" fillId="0" borderId="1" xfId="0" applyNumberFormat="1" applyFont="1" applyBorder="1" applyAlignment="1">
      <alignment vertical="center"/>
    </xf>
    <xf numFmtId="165" fontId="15" fillId="0" borderId="139" xfId="1" applyNumberFormat="1" applyFont="1" applyBorder="1" applyAlignment="1">
      <alignment vertical="center"/>
    </xf>
    <xf numFmtId="4" fontId="15" fillId="0" borderId="2" xfId="0" applyNumberFormat="1" applyFont="1" applyBorder="1" applyAlignment="1">
      <alignment vertical="center" wrapText="1"/>
    </xf>
    <xf numFmtId="4" fontId="15" fillId="0" borderId="2" xfId="0" applyNumberFormat="1" applyFont="1" applyBorder="1" applyAlignment="1">
      <alignment horizontal="left" vertical="center" indent="1"/>
    </xf>
    <xf numFmtId="168" fontId="15" fillId="0" borderId="2" xfId="2" applyNumberFormat="1" applyFont="1" applyBorder="1" applyAlignment="1">
      <alignment horizontal="center" vertical="center"/>
    </xf>
    <xf numFmtId="41" fontId="50" fillId="0" borderId="139" xfId="2" applyFont="1" applyBorder="1" applyAlignment="1">
      <alignment horizontal="center" vertical="center"/>
    </xf>
    <xf numFmtId="0" fontId="15" fillId="0" borderId="45" xfId="0" applyFont="1" applyBorder="1" applyAlignment="1">
      <alignment horizontal="right" vertical="center" indent="1"/>
    </xf>
    <xf numFmtId="0" fontId="0" fillId="0" borderId="118" xfId="0" applyBorder="1" applyAlignment="1">
      <alignment horizontal="right"/>
    </xf>
    <xf numFmtId="0" fontId="15" fillId="0" borderId="2" xfId="0" applyFont="1" applyBorder="1" applyAlignment="1">
      <alignment vertical="center"/>
    </xf>
    <xf numFmtId="4" fontId="15" fillId="6" borderId="1" xfId="0" applyNumberFormat="1" applyFont="1" applyFill="1" applyBorder="1" applyAlignment="1">
      <alignment vertical="center"/>
    </xf>
    <xf numFmtId="4" fontId="15" fillId="0" borderId="1" xfId="0" applyNumberFormat="1" applyFont="1" applyBorder="1" applyAlignment="1">
      <alignment vertical="center" wrapText="1"/>
    </xf>
    <xf numFmtId="4" fontId="15" fillId="0" borderId="1" xfId="0" applyNumberFormat="1" applyFont="1" applyBorder="1" applyAlignment="1">
      <alignment horizontal="left" vertical="center"/>
    </xf>
    <xf numFmtId="4" fontId="15" fillId="0" borderId="1" xfId="0" applyNumberFormat="1" applyFont="1" applyBorder="1" applyAlignment="1">
      <alignment horizontal="left" vertical="center" wrapText="1"/>
    </xf>
    <xf numFmtId="2" fontId="15" fillId="0" borderId="2" xfId="0" applyNumberFormat="1" applyFont="1" applyBorder="1" applyAlignment="1">
      <alignment horizontal="left" vertical="center"/>
    </xf>
    <xf numFmtId="2" fontId="15" fillId="0" borderId="2" xfId="0" applyNumberFormat="1" applyFont="1" applyBorder="1" applyAlignment="1">
      <alignment horizontal="center" vertical="center"/>
    </xf>
    <xf numFmtId="165" fontId="15" fillId="0" borderId="2" xfId="1" applyNumberFormat="1" applyFont="1" applyBorder="1" applyAlignment="1">
      <alignment horizontal="left" vertical="center"/>
    </xf>
    <xf numFmtId="41" fontId="15" fillId="0" borderId="2" xfId="2" applyFont="1" applyBorder="1" applyAlignment="1">
      <alignment vertical="center"/>
    </xf>
    <xf numFmtId="0" fontId="18" fillId="0" borderId="138" xfId="0" applyFont="1" applyBorder="1" applyAlignment="1">
      <alignment horizontal="center" vertical="center"/>
    </xf>
    <xf numFmtId="165" fontId="50" fillId="0" borderId="139" xfId="1" applyNumberFormat="1" applyFont="1" applyBorder="1" applyAlignment="1">
      <alignment vertical="center"/>
    </xf>
    <xf numFmtId="0" fontId="8" fillId="0" borderId="136" xfId="0" applyFont="1" applyBorder="1" applyAlignment="1">
      <alignment horizontal="center" vertical="center"/>
    </xf>
    <xf numFmtId="4" fontId="8" fillId="0" borderId="5" xfId="0" applyNumberFormat="1" applyFont="1" applyBorder="1" applyAlignment="1">
      <alignment horizontal="left" vertical="center"/>
    </xf>
    <xf numFmtId="41" fontId="15" fillId="0" borderId="137" xfId="2" applyFont="1" applyBorder="1" applyAlignment="1">
      <alignment horizontal="center" vertical="center"/>
    </xf>
    <xf numFmtId="0" fontId="15" fillId="0" borderId="152" xfId="0" applyFont="1" applyBorder="1" applyAlignment="1">
      <alignment vertical="center"/>
    </xf>
    <xf numFmtId="4" fontId="8" fillId="0" borderId="153" xfId="0" applyNumberFormat="1" applyFont="1" applyBorder="1" applyAlignment="1">
      <alignment vertical="center"/>
    </xf>
    <xf numFmtId="4" fontId="8" fillId="0" borderId="153" xfId="0" applyNumberFormat="1" applyFont="1" applyBorder="1" applyAlignment="1">
      <alignment horizontal="right" vertical="center"/>
    </xf>
    <xf numFmtId="165" fontId="8" fillId="0" borderId="153" xfId="1" applyNumberFormat="1" applyFont="1" applyBorder="1" applyAlignment="1">
      <alignment horizontal="center" vertical="center"/>
    </xf>
    <xf numFmtId="165" fontId="8" fillId="0" borderId="154" xfId="1" applyNumberFormat="1" applyFont="1" applyBorder="1" applyAlignment="1">
      <alignment vertical="center"/>
    </xf>
    <xf numFmtId="165" fontId="44" fillId="0" borderId="183" xfId="1" applyNumberFormat="1" applyFont="1" applyBorder="1" applyAlignment="1">
      <alignment horizontal="center"/>
    </xf>
    <xf numFmtId="4" fontId="8" fillId="0" borderId="184" xfId="0" applyNumberFormat="1" applyFont="1" applyBorder="1"/>
    <xf numFmtId="166" fontId="11" fillId="0" borderId="185" xfId="0" applyNumberFormat="1" applyFont="1" applyBorder="1" applyAlignment="1">
      <alignment horizontal="justify" vertical="top" wrapText="1"/>
    </xf>
    <xf numFmtId="166" fontId="11" fillId="0" borderId="186" xfId="0" applyNumberFormat="1" applyFont="1" applyBorder="1" applyAlignment="1">
      <alignment horizontal="center" vertical="top"/>
    </xf>
    <xf numFmtId="166" fontId="11" fillId="0" borderId="184" xfId="0" applyNumberFormat="1" applyFont="1" applyBorder="1" applyAlignment="1">
      <alignment horizontal="center" vertical="top"/>
    </xf>
    <xf numFmtId="43" fontId="11" fillId="0" borderId="187" xfId="1" applyFont="1" applyBorder="1" applyAlignment="1">
      <alignment horizontal="center" vertical="top"/>
    </xf>
    <xf numFmtId="41" fontId="11" fillId="0" borderId="184" xfId="2" applyFont="1" applyBorder="1" applyAlignment="1">
      <alignment vertical="top"/>
    </xf>
    <xf numFmtId="41" fontId="15" fillId="0" borderId="166" xfId="2" applyFont="1" applyBorder="1" applyAlignment="1">
      <alignment horizontal="center" vertical="center"/>
    </xf>
    <xf numFmtId="0" fontId="19" fillId="0" borderId="42" xfId="0" applyFont="1" applyBorder="1" applyAlignment="1">
      <alignment horizontal="right" vertical="center" indent="2"/>
    </xf>
    <xf numFmtId="166" fontId="11" fillId="0" borderId="44" xfId="0" applyNumberFormat="1" applyFont="1" applyBorder="1" applyAlignment="1">
      <alignment horizontal="justify" vertical="top" wrapText="1"/>
    </xf>
    <xf numFmtId="166" fontId="11" fillId="0" borderId="188" xfId="0" applyNumberFormat="1" applyFont="1" applyBorder="1" applyAlignment="1">
      <alignment horizontal="justify" vertical="top" wrapText="1"/>
    </xf>
    <xf numFmtId="166" fontId="11" fillId="0" borderId="189" xfId="0" applyNumberFormat="1" applyFont="1" applyBorder="1" applyAlignment="1">
      <alignment horizontal="justify" vertical="top" wrapText="1"/>
    </xf>
    <xf numFmtId="166" fontId="11" fillId="0" borderId="43" xfId="0" applyNumberFormat="1" applyFont="1" applyBorder="1" applyAlignment="1">
      <alignment horizontal="center" vertical="top"/>
    </xf>
    <xf numFmtId="43" fontId="11" fillId="0" borderId="44" xfId="1" applyFont="1" applyBorder="1" applyAlignment="1">
      <alignment horizontal="center" vertical="top"/>
    </xf>
    <xf numFmtId="41" fontId="11" fillId="0" borderId="43" xfId="2" applyFont="1" applyBorder="1" applyAlignment="1">
      <alignment vertical="top"/>
    </xf>
    <xf numFmtId="41" fontId="15" fillId="0" borderId="48" xfId="2" applyFont="1" applyBorder="1" applyAlignment="1">
      <alignment horizontal="center" vertical="center"/>
    </xf>
    <xf numFmtId="0" fontId="19" fillId="2" borderId="42" xfId="0" applyFont="1" applyFill="1" applyBorder="1" applyAlignment="1">
      <alignment horizontal="right" vertical="center" indent="2"/>
    </xf>
    <xf numFmtId="166" fontId="11" fillId="0" borderId="0" xfId="0" applyNumberFormat="1" applyFont="1" applyAlignment="1">
      <alignment horizontal="justify" vertical="top" wrapText="1"/>
    </xf>
    <xf numFmtId="165" fontId="11" fillId="0" borderId="42" xfId="1" applyNumberFormat="1" applyFont="1" applyBorder="1" applyAlignment="1">
      <alignment horizontal="center" vertical="top"/>
    </xf>
    <xf numFmtId="43" fontId="11" fillId="0" borderId="43" xfId="1" applyFont="1" applyBorder="1" applyAlignment="1">
      <alignment horizontal="center" vertical="top"/>
    </xf>
    <xf numFmtId="41" fontId="44" fillId="0" borderId="44" xfId="2" applyFont="1" applyBorder="1" applyAlignment="1">
      <alignment horizontal="right" vertical="top" wrapText="1"/>
    </xf>
    <xf numFmtId="41" fontId="44" fillId="0" borderId="43" xfId="2" applyFont="1" applyBorder="1" applyAlignment="1">
      <alignment horizontal="right" vertical="top" wrapText="1"/>
    </xf>
    <xf numFmtId="41" fontId="44" fillId="2" borderId="35" xfId="2" applyFont="1" applyFill="1" applyBorder="1" applyAlignment="1">
      <alignment horizontal="center"/>
    </xf>
    <xf numFmtId="165" fontId="44" fillId="2" borderId="18" xfId="1" applyNumberFormat="1" applyFont="1" applyFill="1" applyBorder="1" applyAlignment="1">
      <alignment horizontal="center"/>
    </xf>
    <xf numFmtId="166" fontId="44" fillId="2" borderId="135" xfId="0" applyNumberFormat="1" applyFont="1" applyFill="1" applyBorder="1" applyAlignment="1">
      <alignment horizontal="justify" wrapText="1"/>
    </xf>
    <xf numFmtId="166" fontId="11" fillId="0" borderId="190" xfId="0" applyNumberFormat="1" applyFont="1" applyBorder="1" applyAlignment="1">
      <alignment horizontal="justify" vertical="top" wrapText="1"/>
    </xf>
    <xf numFmtId="41" fontId="44" fillId="0" borderId="191" xfId="2" applyFont="1" applyFill="1" applyBorder="1" applyAlignment="1">
      <alignment horizontal="right" wrapText="1"/>
    </xf>
    <xf numFmtId="172" fontId="15" fillId="0" borderId="134" xfId="5" applyNumberFormat="1" applyFont="1" applyBorder="1" applyAlignment="1">
      <alignment horizontal="left" vertical="center"/>
    </xf>
    <xf numFmtId="43" fontId="19" fillId="0" borderId="192" xfId="1" applyFont="1" applyBorder="1" applyAlignment="1">
      <alignment horizontal="left" vertical="center"/>
    </xf>
    <xf numFmtId="41" fontId="44" fillId="0" borderId="193" xfId="2" applyFont="1" applyFill="1" applyBorder="1" applyAlignment="1">
      <alignment horizontal="right" wrapText="1"/>
    </xf>
    <xf numFmtId="41" fontId="44" fillId="2" borderId="194" xfId="2" applyFont="1" applyFill="1" applyBorder="1" applyAlignment="1" applyProtection="1">
      <alignment horizont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43" fontId="9" fillId="2" borderId="15" xfId="1" applyFont="1" applyFill="1" applyBorder="1" applyAlignment="1">
      <alignment horizontal="center" vertical="center" wrapText="1"/>
    </xf>
    <xf numFmtId="43" fontId="9" fillId="2" borderId="20" xfId="1" applyFont="1" applyFill="1" applyBorder="1" applyAlignment="1">
      <alignment horizontal="center" vertical="center" wrapText="1"/>
    </xf>
    <xf numFmtId="0" fontId="27" fillId="4" borderId="57" xfId="0" applyFont="1" applyFill="1" applyBorder="1" applyAlignment="1">
      <alignment horizontal="center" vertical="center" wrapText="1"/>
    </xf>
    <xf numFmtId="0" fontId="27" fillId="4" borderId="86" xfId="0" applyFont="1" applyFill="1" applyBorder="1" applyAlignment="1">
      <alignment horizontal="center" vertical="center" wrapText="1"/>
    </xf>
    <xf numFmtId="0" fontId="27" fillId="4" borderId="59" xfId="0" applyFont="1" applyFill="1" applyBorder="1" applyAlignment="1">
      <alignment horizontal="center" vertical="center" wrapText="1"/>
    </xf>
    <xf numFmtId="0" fontId="27" fillId="4" borderId="87" xfId="0" applyFont="1" applyFill="1" applyBorder="1" applyAlignment="1">
      <alignment horizontal="center" vertical="center" wrapText="1"/>
    </xf>
    <xf numFmtId="0" fontId="27" fillId="4" borderId="56" xfId="0" applyFont="1" applyFill="1" applyBorder="1" applyAlignment="1">
      <alignment horizontal="center" vertical="center" wrapText="1"/>
    </xf>
    <xf numFmtId="0" fontId="27" fillId="4" borderId="60" xfId="0" applyFont="1" applyFill="1" applyBorder="1" applyAlignment="1">
      <alignment horizontal="center" vertical="center" wrapText="1"/>
    </xf>
    <xf numFmtId="0" fontId="28" fillId="0" borderId="82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7" fillId="4" borderId="63" xfId="0" applyFont="1" applyFill="1" applyBorder="1" applyAlignment="1">
      <alignment horizontal="center" vertical="center" wrapText="1"/>
    </xf>
    <xf numFmtId="0" fontId="27" fillId="4" borderId="61" xfId="0" applyFont="1" applyFill="1" applyBorder="1" applyAlignment="1">
      <alignment horizontal="center" vertical="center" wrapText="1"/>
    </xf>
    <xf numFmtId="0" fontId="28" fillId="0" borderId="80" xfId="0" applyFont="1" applyBorder="1" applyAlignment="1">
      <alignment horizontal="left" vertical="top" wrapText="1"/>
    </xf>
    <xf numFmtId="0" fontId="28" fillId="0" borderId="81" xfId="0" applyFont="1" applyBorder="1" applyAlignment="1">
      <alignment horizontal="left" vertical="top" wrapText="1"/>
    </xf>
    <xf numFmtId="0" fontId="38" fillId="4" borderId="58" xfId="0" applyFont="1" applyFill="1" applyBorder="1" applyAlignment="1">
      <alignment horizontal="center" vertical="center" wrapText="1"/>
    </xf>
    <xf numFmtId="0" fontId="39" fillId="0" borderId="62" xfId="0" applyFont="1" applyBorder="1"/>
    <xf numFmtId="0" fontId="38" fillId="4" borderId="93" xfId="0" applyFont="1" applyFill="1" applyBorder="1" applyAlignment="1">
      <alignment horizontal="center" vertical="center" wrapText="1"/>
    </xf>
    <xf numFmtId="0" fontId="39" fillId="0" borderId="99" xfId="0" applyFont="1" applyBorder="1"/>
    <xf numFmtId="165" fontId="8" fillId="0" borderId="94" xfId="1" applyNumberFormat="1" applyFont="1" applyFill="1" applyBorder="1" applyAlignment="1">
      <alignment horizontal="center" vertical="center" wrapText="1"/>
    </xf>
    <xf numFmtId="165" fontId="8" fillId="0" borderId="100" xfId="1" applyNumberFormat="1" applyFont="1" applyFill="1" applyBorder="1" applyAlignment="1">
      <alignment horizontal="center" vertical="center" wrapText="1"/>
    </xf>
    <xf numFmtId="9" fontId="8" fillId="0" borderId="95" xfId="3" applyFont="1" applyFill="1" applyBorder="1" applyAlignment="1">
      <alignment horizontal="center" vertical="center" wrapText="1"/>
    </xf>
    <xf numFmtId="9" fontId="8" fillId="0" borderId="101" xfId="3" applyFont="1" applyFill="1" applyBorder="1" applyAlignment="1">
      <alignment horizontal="center" vertical="center" wrapText="1"/>
    </xf>
    <xf numFmtId="10" fontId="18" fillId="0" borderId="96" xfId="3" applyNumberFormat="1" applyFont="1" applyFill="1" applyBorder="1" applyAlignment="1">
      <alignment horizontal="center" vertical="center" wrapText="1"/>
    </xf>
    <xf numFmtId="10" fontId="18" fillId="0" borderId="16" xfId="3" applyNumberFormat="1" applyFont="1" applyFill="1" applyBorder="1" applyAlignment="1">
      <alignment horizontal="center" vertical="center" wrapText="1"/>
    </xf>
    <xf numFmtId="10" fontId="18" fillId="0" borderId="97" xfId="3" applyNumberFormat="1" applyFont="1" applyFill="1" applyBorder="1" applyAlignment="1">
      <alignment horizontal="center" vertical="center" wrapText="1"/>
    </xf>
    <xf numFmtId="0" fontId="38" fillId="4" borderId="92" xfId="0" applyFont="1" applyFill="1" applyBorder="1" applyAlignment="1">
      <alignment horizontal="center" vertical="center" wrapText="1"/>
    </xf>
    <xf numFmtId="0" fontId="39" fillId="0" borderId="98" xfId="0" applyFont="1" applyBorder="1"/>
    <xf numFmtId="43" fontId="8" fillId="2" borderId="96" xfId="1" applyFont="1" applyFill="1" applyBorder="1" applyAlignment="1">
      <alignment horizontal="center" vertical="top" wrapText="1"/>
    </xf>
    <xf numFmtId="43" fontId="8" fillId="2" borderId="133" xfId="1" applyFont="1" applyFill="1" applyBorder="1" applyAlignment="1">
      <alignment horizontal="center" vertical="top" wrapText="1"/>
    </xf>
    <xf numFmtId="0" fontId="8" fillId="2" borderId="149" xfId="0" applyFont="1" applyFill="1" applyBorder="1" applyAlignment="1">
      <alignment horizontal="center" vertical="top" wrapText="1"/>
    </xf>
    <xf numFmtId="0" fontId="8" fillId="2" borderId="152" xfId="0" applyFont="1" applyFill="1" applyBorder="1" applyAlignment="1">
      <alignment horizontal="center" vertical="top" wrapText="1"/>
    </xf>
    <xf numFmtId="0" fontId="8" fillId="2" borderId="150" xfId="0" applyFont="1" applyFill="1" applyBorder="1" applyAlignment="1">
      <alignment horizontal="center" vertical="top" wrapText="1"/>
    </xf>
    <xf numFmtId="0" fontId="8" fillId="2" borderId="153" xfId="0" applyFont="1" applyFill="1" applyBorder="1" applyAlignment="1">
      <alignment horizontal="center" vertical="top" wrapText="1"/>
    </xf>
    <xf numFmtId="43" fontId="8" fillId="2" borderId="150" xfId="1" applyFont="1" applyFill="1" applyBorder="1" applyAlignment="1">
      <alignment horizontal="center" vertical="top" wrapText="1"/>
    </xf>
    <xf numFmtId="43" fontId="8" fillId="2" borderId="153" xfId="1" applyFont="1" applyFill="1" applyBorder="1" applyAlignment="1">
      <alignment horizontal="center" vertical="top" wrapText="1"/>
    </xf>
    <xf numFmtId="0" fontId="8" fillId="2" borderId="12" xfId="0" applyFont="1" applyFill="1" applyBorder="1" applyAlignment="1">
      <alignment horizontal="center" vertical="top" wrapText="1"/>
    </xf>
    <xf numFmtId="0" fontId="8" fillId="2" borderId="18" xfId="0" applyFont="1" applyFill="1" applyBorder="1" applyAlignment="1">
      <alignment horizontal="center" vertical="top" wrapText="1"/>
    </xf>
    <xf numFmtId="0" fontId="8" fillId="2" borderId="13" xfId="0" applyFont="1" applyFill="1" applyBorder="1" applyAlignment="1">
      <alignment horizontal="center" vertical="top" wrapText="1"/>
    </xf>
    <xf numFmtId="0" fontId="8" fillId="2" borderId="134" xfId="0" applyFont="1" applyFill="1" applyBorder="1" applyAlignment="1">
      <alignment horizontal="center" vertical="top" wrapText="1"/>
    </xf>
    <xf numFmtId="43" fontId="8" fillId="2" borderId="95" xfId="1" applyFont="1" applyFill="1" applyBorder="1" applyAlignment="1">
      <alignment horizontal="center" vertical="top" wrapText="1"/>
    </xf>
    <xf numFmtId="43" fontId="8" fillId="2" borderId="101" xfId="1" applyFont="1" applyFill="1" applyBorder="1" applyAlignment="1">
      <alignment horizontal="center" vertical="top" wrapText="1"/>
    </xf>
    <xf numFmtId="4" fontId="15" fillId="0" borderId="2" xfId="0" applyNumberFormat="1" applyFont="1" applyBorder="1" applyAlignment="1">
      <alignment horizontal="justify" vertical="center" wrapText="1"/>
    </xf>
    <xf numFmtId="0" fontId="15" fillId="0" borderId="2" xfId="0" applyFont="1" applyBorder="1" applyAlignment="1">
      <alignment horizontal="justify" vertical="center" wrapText="1"/>
    </xf>
    <xf numFmtId="4" fontId="15" fillId="0" borderId="2" xfId="0" applyNumberFormat="1" applyFont="1" applyBorder="1" applyAlignment="1">
      <alignment horizontal="left" vertical="center" wrapText="1"/>
    </xf>
    <xf numFmtId="4" fontId="15" fillId="0" borderId="2" xfId="0" applyNumberFormat="1" applyFont="1" applyBorder="1" applyAlignment="1">
      <alignment vertical="center" wrapText="1"/>
    </xf>
    <xf numFmtId="0" fontId="56" fillId="0" borderId="2" xfId="0" applyFont="1" applyBorder="1" applyAlignment="1">
      <alignment vertical="center" wrapText="1"/>
    </xf>
    <xf numFmtId="0" fontId="8" fillId="0" borderId="160" xfId="0" applyFont="1" applyBorder="1" applyAlignment="1">
      <alignment horizontal="center" vertical="center" wrapText="1"/>
    </xf>
    <xf numFmtId="0" fontId="8" fillId="0" borderId="10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61" xfId="0" applyFont="1" applyBorder="1" applyAlignment="1">
      <alignment horizontal="center" vertical="center" wrapText="1"/>
    </xf>
    <xf numFmtId="0" fontId="8" fillId="0" borderId="134" xfId="0" applyFont="1" applyBorder="1" applyAlignment="1">
      <alignment horizontal="center" vertical="center" wrapText="1"/>
    </xf>
    <xf numFmtId="0" fontId="8" fillId="0" borderId="162" xfId="0" applyFont="1" applyBorder="1" applyAlignment="1">
      <alignment horizontal="center" vertical="center" wrapText="1"/>
    </xf>
    <xf numFmtId="0" fontId="9" fillId="0" borderId="95" xfId="0" applyFont="1" applyBorder="1" applyAlignment="1">
      <alignment horizontal="center" vertical="center" wrapText="1"/>
    </xf>
    <xf numFmtId="0" fontId="9" fillId="0" borderId="101" xfId="0" applyFont="1" applyBorder="1" applyAlignment="1">
      <alignment horizontal="center" vertical="center" wrapText="1"/>
    </xf>
    <xf numFmtId="43" fontId="9" fillId="0" borderId="95" xfId="1" applyFont="1" applyBorder="1" applyAlignment="1">
      <alignment horizontal="center" vertical="center" wrapText="1"/>
    </xf>
    <xf numFmtId="43" fontId="9" fillId="0" borderId="101" xfId="1" applyFont="1" applyBorder="1" applyAlignment="1">
      <alignment horizontal="center" vertical="center" wrapText="1"/>
    </xf>
    <xf numFmtId="0" fontId="9" fillId="0" borderId="175" xfId="0" applyFont="1" applyBorder="1" applyAlignment="1">
      <alignment horizontal="center" vertical="center" wrapText="1"/>
    </xf>
    <xf numFmtId="0" fontId="9" fillId="0" borderId="135" xfId="0" applyFont="1" applyBorder="1" applyAlignment="1">
      <alignment horizontal="center" vertical="center" wrapText="1"/>
    </xf>
    <xf numFmtId="43" fontId="9" fillId="0" borderId="176" xfId="1" applyFont="1" applyBorder="1" applyAlignment="1">
      <alignment horizontal="center" vertical="center" wrapText="1"/>
    </xf>
    <xf numFmtId="43" fontId="9" fillId="0" borderId="126" xfId="1" applyFont="1" applyBorder="1" applyAlignment="1">
      <alignment horizontal="center" vertical="center" wrapText="1"/>
    </xf>
  </cellXfs>
  <cellStyles count="7">
    <cellStyle name="Comma" xfId="1" builtinId="3"/>
    <cellStyle name="Comma [0]" xfId="2" builtinId="6"/>
    <cellStyle name="Comma 12" xfId="5" xr:uid="{68AAE6A6-1D72-4CF6-B953-A5B9F5E15317}"/>
    <cellStyle name="Comma 2" xfId="4" xr:uid="{DD6DCBD6-DBA4-4FF9-A64B-BD1311EA9CDD}"/>
    <cellStyle name="Normal" xfId="0" builtinId="0"/>
    <cellStyle name="Normal 2" xfId="6" xr:uid="{2136D34E-93FA-4D22-BAB6-02B7DB86E74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%20Abi\abi\RAB%20RENOVASI%20MISISIPI%20TE1%20NO%201%20KOWIS%20%203%20AGST%2023xlsx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rah.azzahra/Downloads/REVISI%20RAB%20RUMAH%20BU%20EVE%20CLUSTER%20AMIRIKA%20KOWIS%20(1)%20(4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ackup%20c\Downloads\LAPORAN%20BIAYA%20RUMAH%20MISSISIPI%20TE5%20NO%208%20KOWIS%2015%20DES%2025%20(1).xlsx" TargetMode="External"/><Relationship Id="rId1" Type="http://schemas.openxmlformats.org/officeDocument/2006/relationships/externalLinkPath" Target="file:///E:\backup%20c\Downloads\LAPORAN%20BIAYA%20RUMAH%20MISSISIPI%20TE5%20NO%208%20KOWIS%2015%20DES%2025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rah.azzahra/Documents/RAB%20RENOVASI%20RUMAH%20KYOTO%20D3%20NO%2011%20KOWIS%20x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"/>
      <sheetName val="RAB"/>
      <sheetName val="ANALISA"/>
    </sheetNames>
    <sheetDataSet>
      <sheetData sheetId="0" refreshError="1"/>
      <sheetData sheetId="1" refreshError="1"/>
      <sheetData sheetId="2" refreshError="1">
        <row r="696">
          <cell r="H696">
            <v>17000</v>
          </cell>
        </row>
        <row r="697">
          <cell r="H697">
            <v>147700</v>
          </cell>
        </row>
        <row r="771">
          <cell r="H771">
            <v>85250</v>
          </cell>
        </row>
        <row r="807">
          <cell r="H807">
            <v>43350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</sheetNames>
    <sheetDataSet>
      <sheetData sheetId="0" refreshError="1"/>
      <sheetData sheetId="1" refreshError="1">
        <row r="163">
          <cell r="F163">
            <v>156350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PORAN "/>
      <sheetName val="REKAP"/>
      <sheetName val="RAB"/>
      <sheetName val="LUASAN "/>
    </sheetNames>
    <sheetDataSet>
      <sheetData sheetId="0"/>
      <sheetData sheetId="1"/>
      <sheetData sheetId="2"/>
      <sheetData sheetId="3">
        <row r="5">
          <cell r="F5">
            <v>3</v>
          </cell>
        </row>
        <row r="6">
          <cell r="F6">
            <v>3</v>
          </cell>
        </row>
        <row r="7">
          <cell r="F7">
            <v>10.5</v>
          </cell>
        </row>
        <row r="8">
          <cell r="F8">
            <v>10</v>
          </cell>
        </row>
        <row r="9">
          <cell r="F9">
            <v>3.75</v>
          </cell>
        </row>
        <row r="10">
          <cell r="F10">
            <v>37.5</v>
          </cell>
        </row>
        <row r="11">
          <cell r="F11">
            <v>6</v>
          </cell>
        </row>
        <row r="12">
          <cell r="F12">
            <v>6</v>
          </cell>
        </row>
        <row r="13">
          <cell r="F13">
            <v>4</v>
          </cell>
        </row>
        <row r="14">
          <cell r="F14">
            <v>2</v>
          </cell>
        </row>
        <row r="15">
          <cell r="F15">
            <v>3</v>
          </cell>
        </row>
        <row r="18">
          <cell r="F18">
            <v>127.75</v>
          </cell>
        </row>
        <row r="20">
          <cell r="F20">
            <v>12.25</v>
          </cell>
        </row>
        <row r="21">
          <cell r="F21">
            <v>3.75</v>
          </cell>
        </row>
        <row r="23">
          <cell r="F23">
            <v>20.3</v>
          </cell>
        </row>
        <row r="24">
          <cell r="F24">
            <v>12.674999999999999</v>
          </cell>
        </row>
        <row r="25">
          <cell r="F25">
            <v>3</v>
          </cell>
        </row>
        <row r="26">
          <cell r="F26">
            <v>14.354999999999999</v>
          </cell>
        </row>
        <row r="30">
          <cell r="F30">
            <v>25</v>
          </cell>
        </row>
        <row r="31">
          <cell r="F31">
            <v>7.0687499999999996</v>
          </cell>
        </row>
        <row r="33">
          <cell r="H33">
            <v>200.08156249999999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"/>
      <sheetName val="RAB"/>
      <sheetName val="ANALISA"/>
    </sheetNames>
    <sheetDataSet>
      <sheetData sheetId="0" refreshError="1"/>
      <sheetData sheetId="1" refreshError="1"/>
      <sheetData sheetId="2" refreshError="1">
        <row r="206">
          <cell r="H206">
            <v>4544550</v>
          </cell>
        </row>
        <row r="220">
          <cell r="H220">
            <v>4154300</v>
          </cell>
        </row>
        <row r="345">
          <cell r="H345">
            <v>5793300</v>
          </cell>
        </row>
        <row r="425">
          <cell r="H425">
            <v>7960750</v>
          </cell>
        </row>
        <row r="508">
          <cell r="H508">
            <v>6583650</v>
          </cell>
        </row>
        <row r="525">
          <cell r="H525">
            <v>6973650</v>
          </cell>
        </row>
        <row r="558">
          <cell r="H558">
            <v>6292450</v>
          </cell>
        </row>
        <row r="590">
          <cell r="H590">
            <v>5642450</v>
          </cell>
        </row>
        <row r="606">
          <cell r="H606">
            <v>5167450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0024-51F5-4720-A182-42882BB058F5}">
  <dimension ref="A1:G246"/>
  <sheetViews>
    <sheetView tabSelected="1" zoomScaleNormal="100" workbookViewId="0">
      <selection activeCell="G9" sqref="G9"/>
    </sheetView>
  </sheetViews>
  <sheetFormatPr defaultColWidth="8.7109375" defaultRowHeight="15" x14ac:dyDescent="0.25"/>
  <cols>
    <col min="1" max="1" width="6.42578125" customWidth="1"/>
    <col min="2" max="2" width="54" customWidth="1"/>
    <col min="3" max="3" width="63.85546875" customWidth="1"/>
    <col min="4" max="4" width="9.42578125" customWidth="1"/>
    <col min="5" max="5" width="7.7109375" bestFit="1" customWidth="1"/>
    <col min="6" max="6" width="12.140625" bestFit="1" customWidth="1"/>
    <col min="7" max="7" width="16.7109375" customWidth="1"/>
  </cols>
  <sheetData>
    <row r="1" spans="1:7" ht="20.25" x14ac:dyDescent="0.3">
      <c r="A1" s="1"/>
      <c r="B1" s="2" t="s">
        <v>0</v>
      </c>
      <c r="C1" s="3"/>
      <c r="D1" s="4"/>
      <c r="E1" s="5"/>
      <c r="F1" s="6"/>
      <c r="G1" s="4"/>
    </row>
    <row r="2" spans="1:7" ht="18.75" x14ac:dyDescent="0.3">
      <c r="A2" s="7"/>
      <c r="B2" s="8" t="s">
        <v>1</v>
      </c>
      <c r="C2" s="9" t="s">
        <v>2</v>
      </c>
      <c r="D2" s="10"/>
      <c r="E2" s="10"/>
      <c r="F2" s="11"/>
      <c r="G2" s="12"/>
    </row>
    <row r="3" spans="1:7" ht="18.75" x14ac:dyDescent="0.3">
      <c r="A3" s="7"/>
      <c r="B3" s="13" t="s">
        <v>3</v>
      </c>
      <c r="C3" s="14" t="s">
        <v>4</v>
      </c>
      <c r="D3" s="4"/>
      <c r="E3" s="10"/>
      <c r="F3" s="11"/>
      <c r="G3" s="12"/>
    </row>
    <row r="4" spans="1:7" ht="18.75" x14ac:dyDescent="0.3">
      <c r="A4" s="15"/>
      <c r="B4" s="8" t="s">
        <v>5</v>
      </c>
      <c r="C4" s="16" t="s">
        <v>6</v>
      </c>
      <c r="D4" s="10"/>
      <c r="E4" s="10"/>
      <c r="F4" s="10"/>
      <c r="G4" s="11"/>
    </row>
    <row r="5" spans="1:7" ht="19.5" thickBot="1" x14ac:dyDescent="0.35">
      <c r="A5" s="17"/>
      <c r="B5" s="18" t="s">
        <v>7</v>
      </c>
      <c r="C5" s="19" t="s">
        <v>8</v>
      </c>
      <c r="D5" s="20"/>
      <c r="E5" s="20"/>
      <c r="F5" s="20"/>
      <c r="G5" s="4"/>
    </row>
    <row r="6" spans="1:7" ht="14.45" customHeight="1" x14ac:dyDescent="0.25">
      <c r="A6" s="918" t="s">
        <v>9</v>
      </c>
      <c r="B6" s="920" t="s">
        <v>10</v>
      </c>
      <c r="C6" s="21" t="s">
        <v>11</v>
      </c>
      <c r="D6" s="922" t="s">
        <v>12</v>
      </c>
      <c r="E6" s="924" t="s">
        <v>13</v>
      </c>
      <c r="F6" s="22" t="s">
        <v>14</v>
      </c>
      <c r="G6" s="23" t="s">
        <v>15</v>
      </c>
    </row>
    <row r="7" spans="1:7" ht="15" customHeight="1" thickBot="1" x14ac:dyDescent="0.3">
      <c r="A7" s="919"/>
      <c r="B7" s="921"/>
      <c r="C7" s="24"/>
      <c r="D7" s="923"/>
      <c r="E7" s="925"/>
      <c r="F7" s="25" t="s">
        <v>16</v>
      </c>
      <c r="G7" s="26" t="s">
        <v>16</v>
      </c>
    </row>
    <row r="8" spans="1:7" ht="16.5" x14ac:dyDescent="0.25">
      <c r="A8" s="27"/>
      <c r="B8" s="28"/>
      <c r="C8" s="21"/>
      <c r="D8" s="29"/>
      <c r="E8" s="30"/>
      <c r="F8" s="31"/>
      <c r="G8" s="32">
        <f>G18+G44+G54+G101+G109+G134+G141+G191+G204+G231+G245</f>
        <v>995850851.04999995</v>
      </c>
    </row>
    <row r="9" spans="1:7" ht="18" x14ac:dyDescent="0.25">
      <c r="A9" s="33" t="s">
        <v>17</v>
      </c>
      <c r="B9" s="34" t="s">
        <v>18</v>
      </c>
      <c r="C9" s="35"/>
      <c r="D9" s="36"/>
      <c r="E9" s="37"/>
      <c r="F9" s="38"/>
      <c r="G9" s="39"/>
    </row>
    <row r="10" spans="1:7" ht="17.25" thickBot="1" x14ac:dyDescent="0.3">
      <c r="A10" s="40">
        <v>1</v>
      </c>
      <c r="B10" s="41" t="s">
        <v>19</v>
      </c>
      <c r="C10" s="42" t="s">
        <v>20</v>
      </c>
      <c r="D10" s="43" t="s">
        <v>21</v>
      </c>
      <c r="E10" s="44">
        <f>(10*22)*2</f>
        <v>440</v>
      </c>
      <c r="F10" s="45">
        <v>50000</v>
      </c>
      <c r="G10" s="46"/>
    </row>
    <row r="11" spans="1:7" ht="16.5" thickBot="1" x14ac:dyDescent="0.3">
      <c r="A11" s="47"/>
      <c r="B11" s="48"/>
      <c r="C11" s="49" t="s">
        <v>22</v>
      </c>
      <c r="D11" s="50"/>
      <c r="E11" s="51"/>
      <c r="F11" s="52"/>
      <c r="G11" s="53">
        <f>SUM(G10)</f>
        <v>0</v>
      </c>
    </row>
    <row r="12" spans="1:7" ht="18" x14ac:dyDescent="0.25">
      <c r="A12" s="33" t="s">
        <v>23</v>
      </c>
      <c r="B12" s="54" t="s">
        <v>24</v>
      </c>
      <c r="C12" s="35"/>
      <c r="D12" s="36"/>
      <c r="E12" s="55"/>
      <c r="F12" s="56"/>
      <c r="G12" s="57"/>
    </row>
    <row r="13" spans="1:7" ht="15.75" x14ac:dyDescent="0.25">
      <c r="A13" s="58">
        <v>1</v>
      </c>
      <c r="B13" s="59" t="s">
        <v>25</v>
      </c>
      <c r="C13" s="60" t="s">
        <v>26</v>
      </c>
      <c r="D13" s="61" t="s">
        <v>27</v>
      </c>
      <c r="E13" s="62">
        <v>6</v>
      </c>
      <c r="F13" s="63">
        <v>300000</v>
      </c>
      <c r="G13" s="64">
        <f>E13*F13</f>
        <v>1800000</v>
      </c>
    </row>
    <row r="14" spans="1:7" ht="15.75" x14ac:dyDescent="0.25">
      <c r="A14" s="58">
        <v>2</v>
      </c>
      <c r="B14" s="59" t="s">
        <v>28</v>
      </c>
      <c r="C14" s="60" t="s">
        <v>26</v>
      </c>
      <c r="D14" s="61" t="s">
        <v>29</v>
      </c>
      <c r="E14" s="62">
        <v>1</v>
      </c>
      <c r="F14" s="63">
        <v>4500000</v>
      </c>
      <c r="G14" s="64">
        <f t="shared" ref="G14:G17" si="0">E14*F14</f>
        <v>4500000</v>
      </c>
    </row>
    <row r="15" spans="1:7" ht="15.75" x14ac:dyDescent="0.25">
      <c r="A15" s="58">
        <v>3</v>
      </c>
      <c r="B15" s="59" t="s">
        <v>30</v>
      </c>
      <c r="C15" s="60" t="s">
        <v>31</v>
      </c>
      <c r="D15" s="61" t="s">
        <v>29</v>
      </c>
      <c r="E15" s="62">
        <v>1</v>
      </c>
      <c r="F15" s="63">
        <v>1200000</v>
      </c>
      <c r="G15" s="64">
        <f t="shared" si="0"/>
        <v>1200000</v>
      </c>
    </row>
    <row r="16" spans="1:7" ht="15.75" x14ac:dyDescent="0.25">
      <c r="A16" s="58">
        <v>4</v>
      </c>
      <c r="B16" s="65" t="s">
        <v>32</v>
      </c>
      <c r="C16" s="66" t="s">
        <v>33</v>
      </c>
      <c r="D16" s="61" t="s">
        <v>29</v>
      </c>
      <c r="E16" s="62">
        <v>1</v>
      </c>
      <c r="F16" s="67">
        <v>1200000</v>
      </c>
      <c r="G16" s="64">
        <f t="shared" si="0"/>
        <v>1200000</v>
      </c>
    </row>
    <row r="17" spans="1:7" ht="15.75" x14ac:dyDescent="0.25">
      <c r="A17" s="58">
        <v>5</v>
      </c>
      <c r="B17" s="65" t="s">
        <v>34</v>
      </c>
      <c r="C17" s="66"/>
      <c r="D17" s="61" t="s">
        <v>29</v>
      </c>
      <c r="E17" s="62">
        <v>1</v>
      </c>
      <c r="F17" s="67">
        <v>3000000</v>
      </c>
      <c r="G17" s="64">
        <f t="shared" si="0"/>
        <v>3000000</v>
      </c>
    </row>
    <row r="18" spans="1:7" ht="15.75" x14ac:dyDescent="0.25">
      <c r="A18" s="68"/>
      <c r="B18" s="69"/>
      <c r="C18" s="70" t="s">
        <v>35</v>
      </c>
      <c r="D18" s="71"/>
      <c r="E18" s="72"/>
      <c r="F18" s="73"/>
      <c r="G18" s="74">
        <f>SUM(G13:G17)</f>
        <v>11700000</v>
      </c>
    </row>
    <row r="19" spans="1:7" ht="18" x14ac:dyDescent="0.25">
      <c r="A19" s="75" t="s">
        <v>36</v>
      </c>
      <c r="B19" s="76" t="s">
        <v>37</v>
      </c>
      <c r="C19" s="77"/>
      <c r="D19" s="78"/>
      <c r="E19" s="79"/>
      <c r="F19" s="80"/>
      <c r="G19" s="81"/>
    </row>
    <row r="20" spans="1:7" ht="15.75" x14ac:dyDescent="0.25">
      <c r="A20" s="82" t="s">
        <v>38</v>
      </c>
      <c r="B20" s="83" t="s">
        <v>39</v>
      </c>
      <c r="C20" s="84"/>
      <c r="D20" s="85"/>
      <c r="E20" s="86"/>
      <c r="F20" s="87"/>
      <c r="G20" s="88"/>
    </row>
    <row r="21" spans="1:7" ht="15.75" x14ac:dyDescent="0.25">
      <c r="A21" s="82" t="s">
        <v>40</v>
      </c>
      <c r="B21" s="83" t="s">
        <v>41</v>
      </c>
      <c r="C21" s="84"/>
      <c r="D21" s="85"/>
      <c r="E21" s="86"/>
      <c r="F21" s="87"/>
      <c r="G21" s="88"/>
    </row>
    <row r="22" spans="1:7" ht="16.5" x14ac:dyDescent="0.25">
      <c r="A22" s="89">
        <v>1</v>
      </c>
      <c r="B22" s="90" t="s">
        <v>42</v>
      </c>
      <c r="C22" s="91" t="s">
        <v>43</v>
      </c>
      <c r="D22" s="61" t="s">
        <v>21</v>
      </c>
      <c r="E22" s="92">
        <f>(8*3)+(1*2)+(3*3)</f>
        <v>35</v>
      </c>
      <c r="F22" s="87">
        <v>59800</v>
      </c>
      <c r="G22" s="88">
        <f t="shared" ref="G22:G43" si="1">E22*F22</f>
        <v>2093000</v>
      </c>
    </row>
    <row r="23" spans="1:7" ht="15.75" x14ac:dyDescent="0.25">
      <c r="A23" s="89"/>
      <c r="B23" s="90"/>
      <c r="C23" s="91"/>
      <c r="D23" s="93"/>
      <c r="E23" s="92"/>
      <c r="F23" s="87"/>
      <c r="G23" s="88">
        <f t="shared" si="1"/>
        <v>0</v>
      </c>
    </row>
    <row r="24" spans="1:7" ht="15.75" x14ac:dyDescent="0.25">
      <c r="A24" s="89">
        <v>2</v>
      </c>
      <c r="B24" s="94" t="s">
        <v>44</v>
      </c>
      <c r="C24" s="91"/>
      <c r="D24" s="95"/>
      <c r="E24" s="92"/>
      <c r="F24" s="87"/>
      <c r="G24" s="88">
        <f t="shared" si="1"/>
        <v>0</v>
      </c>
    </row>
    <row r="25" spans="1:7" ht="16.5" x14ac:dyDescent="0.25">
      <c r="A25" s="89"/>
      <c r="B25" s="90" t="s">
        <v>45</v>
      </c>
      <c r="C25" s="91"/>
      <c r="D25" s="61" t="s">
        <v>21</v>
      </c>
      <c r="E25" s="92">
        <f>3*6</f>
        <v>18</v>
      </c>
      <c r="F25" s="87">
        <v>35000</v>
      </c>
      <c r="G25" s="88">
        <f t="shared" si="1"/>
        <v>630000</v>
      </c>
    </row>
    <row r="26" spans="1:7" ht="16.5" x14ac:dyDescent="0.25">
      <c r="A26" s="89"/>
      <c r="B26" s="90" t="s">
        <v>46</v>
      </c>
      <c r="C26" s="91"/>
      <c r="D26" s="61" t="s">
        <v>21</v>
      </c>
      <c r="E26" s="92">
        <f>2.5*6</f>
        <v>15</v>
      </c>
      <c r="F26" s="87">
        <v>35000</v>
      </c>
      <c r="G26" s="88">
        <f t="shared" si="1"/>
        <v>525000</v>
      </c>
    </row>
    <row r="27" spans="1:7" ht="16.5" x14ac:dyDescent="0.25">
      <c r="A27" s="89"/>
      <c r="B27" s="90" t="s">
        <v>47</v>
      </c>
      <c r="C27" s="91"/>
      <c r="D27" s="61" t="s">
        <v>21</v>
      </c>
      <c r="E27" s="92">
        <f>(3*5)+(1.5*1.5)</f>
        <v>17.25</v>
      </c>
      <c r="F27" s="87">
        <v>35000</v>
      </c>
      <c r="G27" s="88">
        <f t="shared" si="1"/>
        <v>603750</v>
      </c>
    </row>
    <row r="28" spans="1:7" ht="16.5" x14ac:dyDescent="0.25">
      <c r="A28" s="89"/>
      <c r="B28" s="90" t="s">
        <v>48</v>
      </c>
      <c r="C28" s="91" t="s">
        <v>49</v>
      </c>
      <c r="D28" s="61" t="s">
        <v>21</v>
      </c>
      <c r="E28" s="92">
        <f>1.5*2.4</f>
        <v>3.5999999999999996</v>
      </c>
      <c r="F28" s="87">
        <v>35000</v>
      </c>
      <c r="G28" s="88">
        <f t="shared" si="1"/>
        <v>125999.99999999999</v>
      </c>
    </row>
    <row r="29" spans="1:7" ht="16.5" x14ac:dyDescent="0.25">
      <c r="A29" s="89"/>
      <c r="B29" s="90" t="s">
        <v>50</v>
      </c>
      <c r="C29" s="91"/>
      <c r="D29" s="61" t="s">
        <v>21</v>
      </c>
      <c r="E29" s="92">
        <f>(9.75*4)+(3*2)+(3*3.5)</f>
        <v>55.5</v>
      </c>
      <c r="F29" s="87">
        <v>35000</v>
      </c>
      <c r="G29" s="88">
        <f t="shared" si="1"/>
        <v>1942500</v>
      </c>
    </row>
    <row r="30" spans="1:7" ht="16.5" x14ac:dyDescent="0.25">
      <c r="A30" s="89"/>
      <c r="B30" s="90" t="s">
        <v>51</v>
      </c>
      <c r="C30" s="91"/>
      <c r="D30" s="61" t="s">
        <v>21</v>
      </c>
      <c r="E30" s="92">
        <f>8.75*3</f>
        <v>26.25</v>
      </c>
      <c r="F30" s="87">
        <v>35000</v>
      </c>
      <c r="G30" s="88">
        <f t="shared" si="1"/>
        <v>918750</v>
      </c>
    </row>
    <row r="31" spans="1:7" ht="16.5" x14ac:dyDescent="0.25">
      <c r="A31" s="89"/>
      <c r="B31" s="90" t="s">
        <v>52</v>
      </c>
      <c r="C31" s="91"/>
      <c r="D31" s="61" t="s">
        <v>21</v>
      </c>
      <c r="E31" s="92">
        <v>21</v>
      </c>
      <c r="F31" s="87">
        <v>35000</v>
      </c>
      <c r="G31" s="88">
        <f t="shared" si="1"/>
        <v>735000</v>
      </c>
    </row>
    <row r="32" spans="1:7" ht="16.5" x14ac:dyDescent="0.25">
      <c r="A32" s="89"/>
      <c r="B32" s="90" t="s">
        <v>53</v>
      </c>
      <c r="C32" s="91" t="s">
        <v>49</v>
      </c>
      <c r="D32" s="61" t="s">
        <v>21</v>
      </c>
      <c r="E32" s="92">
        <f>2*2</f>
        <v>4</v>
      </c>
      <c r="F32" s="87">
        <v>35000</v>
      </c>
      <c r="G32" s="88">
        <f t="shared" si="1"/>
        <v>140000</v>
      </c>
    </row>
    <row r="33" spans="1:7" ht="16.5" x14ac:dyDescent="0.25">
      <c r="A33" s="89"/>
      <c r="B33" s="90" t="s">
        <v>54</v>
      </c>
      <c r="C33" s="91"/>
      <c r="D33" s="61" t="s">
        <v>21</v>
      </c>
      <c r="E33" s="92">
        <f>(2*3*2)</f>
        <v>12</v>
      </c>
      <c r="F33" s="87">
        <v>35000</v>
      </c>
      <c r="G33" s="88">
        <f t="shared" si="1"/>
        <v>420000</v>
      </c>
    </row>
    <row r="34" spans="1:7" ht="15.75" x14ac:dyDescent="0.25">
      <c r="A34" s="89"/>
      <c r="B34" s="90"/>
      <c r="C34" s="91"/>
      <c r="D34" s="61"/>
      <c r="E34" s="92"/>
      <c r="F34" s="87"/>
      <c r="G34" s="88">
        <f t="shared" si="1"/>
        <v>0</v>
      </c>
    </row>
    <row r="35" spans="1:7" ht="15.75" x14ac:dyDescent="0.25">
      <c r="A35" s="89">
        <v>3</v>
      </c>
      <c r="B35" s="94" t="s">
        <v>55</v>
      </c>
      <c r="C35" s="91"/>
      <c r="D35" s="61"/>
      <c r="E35" s="92"/>
      <c r="F35" s="87"/>
      <c r="G35" s="88">
        <f t="shared" si="1"/>
        <v>0</v>
      </c>
    </row>
    <row r="36" spans="1:7" ht="16.5" x14ac:dyDescent="0.25">
      <c r="A36" s="89"/>
      <c r="B36" s="90" t="s">
        <v>56</v>
      </c>
      <c r="C36" s="91"/>
      <c r="D36" s="61" t="s">
        <v>57</v>
      </c>
      <c r="E36" s="92">
        <f>(0.15*0.15*3*8)</f>
        <v>0.54</v>
      </c>
      <c r="F36" s="87">
        <v>552000</v>
      </c>
      <c r="G36" s="88">
        <f t="shared" si="1"/>
        <v>298080</v>
      </c>
    </row>
    <row r="37" spans="1:7" ht="15.75" x14ac:dyDescent="0.25">
      <c r="A37" s="89"/>
      <c r="B37" s="90"/>
      <c r="C37" s="91"/>
      <c r="D37" s="95"/>
      <c r="E37" s="92"/>
      <c r="F37" s="87"/>
      <c r="G37" s="88">
        <f t="shared" si="1"/>
        <v>0</v>
      </c>
    </row>
    <row r="38" spans="1:7" ht="15.75" x14ac:dyDescent="0.25">
      <c r="A38" s="89">
        <v>4</v>
      </c>
      <c r="B38" s="94" t="s">
        <v>58</v>
      </c>
      <c r="C38" s="91"/>
      <c r="D38" s="93"/>
      <c r="E38" s="92"/>
      <c r="F38" s="87"/>
      <c r="G38" s="88">
        <f t="shared" si="1"/>
        <v>0</v>
      </c>
    </row>
    <row r="39" spans="1:7" ht="18.75" x14ac:dyDescent="0.25">
      <c r="A39" s="89"/>
      <c r="B39" s="90" t="s">
        <v>59</v>
      </c>
      <c r="C39" s="91"/>
      <c r="D39" s="96" t="s">
        <v>60</v>
      </c>
      <c r="E39" s="92">
        <v>8</v>
      </c>
      <c r="F39" s="87">
        <v>75000</v>
      </c>
      <c r="G39" s="88">
        <f t="shared" si="1"/>
        <v>600000</v>
      </c>
    </row>
    <row r="40" spans="1:7" ht="15.75" x14ac:dyDescent="0.25">
      <c r="A40" s="89"/>
      <c r="B40" s="90"/>
      <c r="C40" s="91"/>
      <c r="D40" s="97"/>
      <c r="E40" s="92"/>
      <c r="F40" s="87"/>
      <c r="G40" s="88">
        <f t="shared" si="1"/>
        <v>0</v>
      </c>
    </row>
    <row r="41" spans="1:7" ht="15.75" x14ac:dyDescent="0.25">
      <c r="A41" s="89">
        <v>5</v>
      </c>
      <c r="B41" s="90" t="s">
        <v>61</v>
      </c>
      <c r="C41" s="91"/>
      <c r="D41" s="97" t="s">
        <v>62</v>
      </c>
      <c r="E41" s="92">
        <v>6</v>
      </c>
      <c r="F41" s="87">
        <v>200000</v>
      </c>
      <c r="G41" s="88">
        <f t="shared" si="1"/>
        <v>1200000</v>
      </c>
    </row>
    <row r="42" spans="1:7" ht="15.75" x14ac:dyDescent="0.25">
      <c r="A42" s="89"/>
      <c r="B42" s="90" t="s">
        <v>63</v>
      </c>
      <c r="C42" s="91"/>
      <c r="D42" s="97" t="s">
        <v>62</v>
      </c>
      <c r="E42" s="92">
        <v>1</v>
      </c>
      <c r="F42" s="87">
        <v>400000</v>
      </c>
      <c r="G42" s="88">
        <f t="shared" si="1"/>
        <v>400000</v>
      </c>
    </row>
    <row r="43" spans="1:7" ht="16.5" x14ac:dyDescent="0.25">
      <c r="A43" s="89">
        <v>6</v>
      </c>
      <c r="B43" s="90" t="s">
        <v>64</v>
      </c>
      <c r="C43" s="91"/>
      <c r="D43" s="61" t="s">
        <v>21</v>
      </c>
      <c r="E43" s="92">
        <f>E76+E77</f>
        <v>214.5</v>
      </c>
      <c r="F43" s="87">
        <v>20000</v>
      </c>
      <c r="G43" s="88">
        <f t="shared" si="1"/>
        <v>4290000</v>
      </c>
    </row>
    <row r="44" spans="1:7" ht="15.75" x14ac:dyDescent="0.25">
      <c r="A44" s="68"/>
      <c r="B44" s="69"/>
      <c r="C44" s="70" t="s">
        <v>65</v>
      </c>
      <c r="D44" s="71"/>
      <c r="E44" s="72"/>
      <c r="F44" s="87"/>
      <c r="G44" s="98">
        <f>SUM(G22:G43)</f>
        <v>14922080</v>
      </c>
    </row>
    <row r="45" spans="1:7" ht="15.75" x14ac:dyDescent="0.25">
      <c r="A45" s="82" t="s">
        <v>66</v>
      </c>
      <c r="B45" s="83" t="s">
        <v>67</v>
      </c>
      <c r="C45" s="99"/>
      <c r="D45" s="71"/>
      <c r="E45" s="72"/>
      <c r="F45" s="87"/>
      <c r="G45" s="88"/>
    </row>
    <row r="46" spans="1:7" ht="15.75" x14ac:dyDescent="0.25">
      <c r="A46" s="89">
        <v>1</v>
      </c>
      <c r="B46" s="94" t="s">
        <v>68</v>
      </c>
      <c r="C46" s="91"/>
      <c r="D46" s="61"/>
      <c r="E46" s="92"/>
      <c r="F46" s="87"/>
      <c r="G46" s="88"/>
    </row>
    <row r="47" spans="1:7" ht="16.5" x14ac:dyDescent="0.25">
      <c r="A47" s="89"/>
      <c r="B47" s="90" t="s">
        <v>69</v>
      </c>
      <c r="C47" s="91" t="s">
        <v>70</v>
      </c>
      <c r="D47" s="61" t="s">
        <v>57</v>
      </c>
      <c r="E47" s="92">
        <f>(0.5*0.5*3)</f>
        <v>0.75</v>
      </c>
      <c r="F47" s="87">
        <v>150000</v>
      </c>
      <c r="G47" s="88">
        <f t="shared" ref="G47:G53" si="2">E47*F47</f>
        <v>112500</v>
      </c>
    </row>
    <row r="48" spans="1:7" ht="16.5" x14ac:dyDescent="0.25">
      <c r="A48" s="89"/>
      <c r="B48" s="90" t="s">
        <v>71</v>
      </c>
      <c r="C48" s="91"/>
      <c r="D48" s="61" t="s">
        <v>57</v>
      </c>
      <c r="E48" s="92">
        <f>E47</f>
        <v>0.75</v>
      </c>
      <c r="F48" s="87">
        <v>132400</v>
      </c>
      <c r="G48" s="88">
        <f t="shared" si="2"/>
        <v>99300</v>
      </c>
    </row>
    <row r="49" spans="1:7" ht="16.5" x14ac:dyDescent="0.25">
      <c r="A49" s="89"/>
      <c r="B49" s="90" t="s">
        <v>72</v>
      </c>
      <c r="C49" s="91"/>
      <c r="D49" s="61" t="s">
        <v>57</v>
      </c>
      <c r="E49" s="92">
        <f>(0.1*1*1*5)</f>
        <v>0.5</v>
      </c>
      <c r="F49" s="87">
        <v>462400</v>
      </c>
      <c r="G49" s="88">
        <f t="shared" si="2"/>
        <v>231200</v>
      </c>
    </row>
    <row r="50" spans="1:7" ht="16.5" x14ac:dyDescent="0.25">
      <c r="A50" s="89"/>
      <c r="B50" s="90" t="s">
        <v>73</v>
      </c>
      <c r="C50" s="100" t="s">
        <v>74</v>
      </c>
      <c r="D50" s="61" t="s">
        <v>21</v>
      </c>
      <c r="E50" s="92">
        <f>(0.05*1*1*6)</f>
        <v>0.30000000000000004</v>
      </c>
      <c r="F50" s="87">
        <v>1045800</v>
      </c>
      <c r="G50" s="88">
        <f t="shared" si="2"/>
        <v>313740.00000000006</v>
      </c>
    </row>
    <row r="51" spans="1:7" ht="16.5" x14ac:dyDescent="0.25">
      <c r="A51" s="89">
        <v>2</v>
      </c>
      <c r="B51" s="90" t="s">
        <v>75</v>
      </c>
      <c r="C51" s="100" t="s">
        <v>76</v>
      </c>
      <c r="D51" s="61" t="s">
        <v>57</v>
      </c>
      <c r="E51" s="92">
        <f>(0.15*0.2*3*3)+(0.15*0.15*6)</f>
        <v>0.40500000000000003</v>
      </c>
      <c r="F51" s="87">
        <v>5793300</v>
      </c>
      <c r="G51" s="88">
        <f t="shared" si="2"/>
        <v>2346286.5</v>
      </c>
    </row>
    <row r="52" spans="1:7" ht="16.5" x14ac:dyDescent="0.25">
      <c r="A52" s="89">
        <v>3</v>
      </c>
      <c r="B52" s="90" t="s">
        <v>77</v>
      </c>
      <c r="C52" s="100" t="s">
        <v>76</v>
      </c>
      <c r="D52" s="61" t="s">
        <v>57</v>
      </c>
      <c r="E52" s="92">
        <f>(0.15*0.2*4*2)</f>
        <v>0.24</v>
      </c>
      <c r="F52" s="87">
        <v>5793300</v>
      </c>
      <c r="G52" s="88">
        <f t="shared" si="2"/>
        <v>1390392</v>
      </c>
    </row>
    <row r="53" spans="1:7" ht="16.5" x14ac:dyDescent="0.25">
      <c r="A53" s="89">
        <v>4</v>
      </c>
      <c r="B53" s="90" t="s">
        <v>78</v>
      </c>
      <c r="C53" s="100" t="s">
        <v>76</v>
      </c>
      <c r="D53" s="61" t="s">
        <v>57</v>
      </c>
      <c r="E53" s="92">
        <v>0.4</v>
      </c>
      <c r="F53" s="87">
        <v>5167150</v>
      </c>
      <c r="G53" s="88">
        <f t="shared" si="2"/>
        <v>2066860</v>
      </c>
    </row>
    <row r="54" spans="1:7" ht="15.75" x14ac:dyDescent="0.25">
      <c r="A54" s="68"/>
      <c r="B54" s="69"/>
      <c r="C54" s="70" t="s">
        <v>79</v>
      </c>
      <c r="D54" s="71"/>
      <c r="E54" s="101"/>
      <c r="F54" s="87"/>
      <c r="G54" s="98">
        <f>SUM(G47:G53)</f>
        <v>6560278.5</v>
      </c>
    </row>
    <row r="55" spans="1:7" ht="15.75" x14ac:dyDescent="0.25">
      <c r="A55" s="82" t="s">
        <v>80</v>
      </c>
      <c r="B55" s="83" t="s">
        <v>81</v>
      </c>
      <c r="C55" s="102"/>
      <c r="D55" s="85"/>
      <c r="E55" s="92"/>
      <c r="F55" s="87"/>
      <c r="G55" s="88"/>
    </row>
    <row r="56" spans="1:7" ht="15.75" x14ac:dyDescent="0.25">
      <c r="A56" s="89">
        <v>1</v>
      </c>
      <c r="B56" s="94" t="s">
        <v>82</v>
      </c>
      <c r="C56" s="102"/>
      <c r="D56" s="61"/>
      <c r="E56" s="92"/>
      <c r="F56" s="87"/>
      <c r="G56" s="88"/>
    </row>
    <row r="57" spans="1:7" ht="16.5" x14ac:dyDescent="0.25">
      <c r="A57" s="89"/>
      <c r="B57" s="90" t="s">
        <v>83</v>
      </c>
      <c r="C57" s="100" t="s">
        <v>84</v>
      </c>
      <c r="D57" s="61" t="s">
        <v>21</v>
      </c>
      <c r="E57" s="92">
        <f>(6.5*2*2)+(3*2)+(6*1.5)+(2*3)+(1*1.5)</f>
        <v>48.5</v>
      </c>
      <c r="F57" s="87">
        <f>[1]ANALISA!H697</f>
        <v>147700</v>
      </c>
      <c r="G57" s="88">
        <f t="shared" ref="G57:G99" si="3">E57*F57</f>
        <v>7163450</v>
      </c>
    </row>
    <row r="58" spans="1:7" ht="16.5" x14ac:dyDescent="0.25">
      <c r="A58" s="89"/>
      <c r="B58" s="90" t="s">
        <v>85</v>
      </c>
      <c r="C58" s="100" t="s">
        <v>86</v>
      </c>
      <c r="D58" s="61" t="s">
        <v>21</v>
      </c>
      <c r="E58" s="92">
        <f>E57*2</f>
        <v>97</v>
      </c>
      <c r="F58" s="87">
        <f>[1]ANALISA!H771</f>
        <v>85250</v>
      </c>
      <c r="G58" s="88">
        <f t="shared" si="3"/>
        <v>8269250</v>
      </c>
    </row>
    <row r="59" spans="1:7" ht="16.5" x14ac:dyDescent="0.25">
      <c r="A59" s="89"/>
      <c r="B59" s="90" t="s">
        <v>87</v>
      </c>
      <c r="C59" s="100"/>
      <c r="D59" s="61" t="s">
        <v>21</v>
      </c>
      <c r="E59" s="92">
        <f>E58</f>
        <v>97</v>
      </c>
      <c r="F59" s="87">
        <f>[1]ANALISA!H807</f>
        <v>43350</v>
      </c>
      <c r="G59" s="88">
        <f t="shared" si="3"/>
        <v>4204950</v>
      </c>
    </row>
    <row r="60" spans="1:7" ht="15.75" x14ac:dyDescent="0.25">
      <c r="A60" s="89"/>
      <c r="B60" s="90"/>
      <c r="C60" s="91"/>
      <c r="D60" s="61"/>
      <c r="E60" s="92"/>
      <c r="F60" s="87"/>
      <c r="G60" s="88">
        <f t="shared" si="3"/>
        <v>0</v>
      </c>
    </row>
    <row r="61" spans="1:7" ht="15.75" x14ac:dyDescent="0.25">
      <c r="A61" s="89">
        <v>2</v>
      </c>
      <c r="B61" s="94" t="s">
        <v>88</v>
      </c>
      <c r="C61" s="91"/>
      <c r="D61" s="61"/>
      <c r="E61" s="92"/>
      <c r="F61" s="87"/>
      <c r="G61" s="88">
        <f t="shared" si="3"/>
        <v>0</v>
      </c>
    </row>
    <row r="62" spans="1:7" ht="16.5" x14ac:dyDescent="0.25">
      <c r="A62" s="89"/>
      <c r="B62" s="90" t="s">
        <v>45</v>
      </c>
      <c r="C62" s="91" t="s">
        <v>89</v>
      </c>
      <c r="D62" s="61" t="s">
        <v>21</v>
      </c>
      <c r="E62" s="92">
        <f>3*6</f>
        <v>18</v>
      </c>
      <c r="F62" s="87">
        <v>350000</v>
      </c>
      <c r="G62" s="88">
        <f t="shared" si="3"/>
        <v>6300000</v>
      </c>
    </row>
    <row r="63" spans="1:7" ht="16.5" x14ac:dyDescent="0.25">
      <c r="A63" s="89"/>
      <c r="B63" s="90" t="s">
        <v>90</v>
      </c>
      <c r="C63" s="91" t="s">
        <v>89</v>
      </c>
      <c r="D63" s="61" t="s">
        <v>21</v>
      </c>
      <c r="E63" s="92">
        <f>(3*6)+(1.5*3)</f>
        <v>22.5</v>
      </c>
      <c r="F63" s="87">
        <v>350000</v>
      </c>
      <c r="G63" s="88">
        <f t="shared" si="3"/>
        <v>7875000</v>
      </c>
    </row>
    <row r="64" spans="1:7" ht="16.5" x14ac:dyDescent="0.25">
      <c r="A64" s="89"/>
      <c r="B64" s="90" t="s">
        <v>46</v>
      </c>
      <c r="C64" s="91" t="s">
        <v>91</v>
      </c>
      <c r="D64" s="61" t="s">
        <v>21</v>
      </c>
      <c r="E64" s="92">
        <f>2.5*6</f>
        <v>15</v>
      </c>
      <c r="F64" s="87">
        <v>400000</v>
      </c>
      <c r="G64" s="88">
        <f t="shared" si="3"/>
        <v>6000000</v>
      </c>
    </row>
    <row r="65" spans="1:7" ht="16.5" x14ac:dyDescent="0.25">
      <c r="A65" s="89"/>
      <c r="B65" s="90" t="s">
        <v>47</v>
      </c>
      <c r="C65" s="91" t="s">
        <v>91</v>
      </c>
      <c r="D65" s="61" t="s">
        <v>21</v>
      </c>
      <c r="E65" s="92">
        <f>(3*5)+(1.5*1.5)</f>
        <v>17.25</v>
      </c>
      <c r="F65" s="87">
        <v>400000</v>
      </c>
      <c r="G65" s="88">
        <f t="shared" si="3"/>
        <v>6900000</v>
      </c>
    </row>
    <row r="66" spans="1:7" ht="16.5" x14ac:dyDescent="0.25">
      <c r="A66" s="89"/>
      <c r="B66" s="90" t="s">
        <v>48</v>
      </c>
      <c r="C66" s="91" t="s">
        <v>91</v>
      </c>
      <c r="D66" s="61" t="s">
        <v>21</v>
      </c>
      <c r="E66" s="92">
        <f>1.5*2.4</f>
        <v>3.5999999999999996</v>
      </c>
      <c r="F66" s="87">
        <v>350000</v>
      </c>
      <c r="G66" s="88">
        <f t="shared" si="3"/>
        <v>1259999.9999999998</v>
      </c>
    </row>
    <row r="67" spans="1:7" ht="16.5" x14ac:dyDescent="0.25">
      <c r="A67" s="89"/>
      <c r="B67" s="90" t="s">
        <v>50</v>
      </c>
      <c r="C67" s="91" t="s">
        <v>91</v>
      </c>
      <c r="D67" s="61" t="s">
        <v>21</v>
      </c>
      <c r="E67" s="92">
        <f>(9.75*4)+(3*2)+(3*3.5)</f>
        <v>55.5</v>
      </c>
      <c r="F67" s="87">
        <v>400000</v>
      </c>
      <c r="G67" s="88">
        <f t="shared" si="3"/>
        <v>22200000</v>
      </c>
    </row>
    <row r="68" spans="1:7" ht="16.5" x14ac:dyDescent="0.25">
      <c r="A68" s="89"/>
      <c r="B68" s="90" t="s">
        <v>51</v>
      </c>
      <c r="C68" s="91" t="s">
        <v>91</v>
      </c>
      <c r="D68" s="61" t="s">
        <v>21</v>
      </c>
      <c r="E68" s="92">
        <f>8.75*3</f>
        <v>26.25</v>
      </c>
      <c r="F68" s="87">
        <v>400000</v>
      </c>
      <c r="G68" s="88">
        <f t="shared" si="3"/>
        <v>10500000</v>
      </c>
    </row>
    <row r="69" spans="1:7" ht="16.5" x14ac:dyDescent="0.25">
      <c r="A69" s="89"/>
      <c r="B69" s="90" t="s">
        <v>52</v>
      </c>
      <c r="C69" s="91" t="s">
        <v>91</v>
      </c>
      <c r="D69" s="61" t="s">
        <v>21</v>
      </c>
      <c r="E69" s="92">
        <v>23</v>
      </c>
      <c r="F69" s="87">
        <v>400000</v>
      </c>
      <c r="G69" s="88">
        <f t="shared" si="3"/>
        <v>9200000</v>
      </c>
    </row>
    <row r="70" spans="1:7" ht="16.5" x14ac:dyDescent="0.25">
      <c r="A70" s="89"/>
      <c r="B70" s="90" t="s">
        <v>53</v>
      </c>
      <c r="C70" s="91" t="s">
        <v>89</v>
      </c>
      <c r="D70" s="61" t="s">
        <v>21</v>
      </c>
      <c r="E70" s="92">
        <f>2*2</f>
        <v>4</v>
      </c>
      <c r="F70" s="87">
        <v>350000</v>
      </c>
      <c r="G70" s="88">
        <f t="shared" si="3"/>
        <v>1400000</v>
      </c>
    </row>
    <row r="71" spans="1:7" ht="16.5" x14ac:dyDescent="0.25">
      <c r="A71" s="89"/>
      <c r="B71" s="90" t="s">
        <v>54</v>
      </c>
      <c r="C71" s="91" t="s">
        <v>89</v>
      </c>
      <c r="D71" s="61" t="s">
        <v>21</v>
      </c>
      <c r="E71" s="92">
        <f>(2*3*2)+(3*0.8)</f>
        <v>14.4</v>
      </c>
      <c r="F71" s="87">
        <v>350000</v>
      </c>
      <c r="G71" s="88">
        <f t="shared" si="3"/>
        <v>5040000</v>
      </c>
    </row>
    <row r="72" spans="1:7" ht="18.75" x14ac:dyDescent="0.25">
      <c r="A72" s="89"/>
      <c r="B72" s="90" t="s">
        <v>92</v>
      </c>
      <c r="C72" s="91" t="s">
        <v>93</v>
      </c>
      <c r="D72" s="96" t="s">
        <v>60</v>
      </c>
      <c r="E72" s="92">
        <f>6+6+3</f>
        <v>15</v>
      </c>
      <c r="F72" s="87">
        <v>75000</v>
      </c>
      <c r="G72" s="88">
        <f t="shared" si="3"/>
        <v>1125000</v>
      </c>
    </row>
    <row r="73" spans="1:7" ht="18.75" x14ac:dyDescent="0.25">
      <c r="A73" s="89"/>
      <c r="B73" s="90" t="s">
        <v>92</v>
      </c>
      <c r="C73" s="91" t="s">
        <v>93</v>
      </c>
      <c r="D73" s="96" t="s">
        <v>60</v>
      </c>
      <c r="E73" s="92">
        <f>E64+E65+E67+E68+E69</f>
        <v>137</v>
      </c>
      <c r="F73" s="87">
        <v>75000</v>
      </c>
      <c r="G73" s="88">
        <f t="shared" si="3"/>
        <v>10275000</v>
      </c>
    </row>
    <row r="74" spans="1:7" ht="16.5" x14ac:dyDescent="0.25">
      <c r="A74" s="89"/>
      <c r="B74" s="90" t="s">
        <v>94</v>
      </c>
      <c r="C74" s="91" t="s">
        <v>89</v>
      </c>
      <c r="D74" s="61" t="s">
        <v>21</v>
      </c>
      <c r="E74" s="92">
        <f>(5*3)</f>
        <v>15</v>
      </c>
      <c r="F74" s="87">
        <v>400000</v>
      </c>
      <c r="G74" s="88">
        <f t="shared" si="3"/>
        <v>6000000</v>
      </c>
    </row>
    <row r="75" spans="1:7" ht="15.75" x14ac:dyDescent="0.25">
      <c r="A75" s="89"/>
      <c r="B75" s="90"/>
      <c r="C75" s="103"/>
      <c r="D75" s="61"/>
      <c r="E75" s="92"/>
      <c r="F75" s="87"/>
      <c r="G75" s="88">
        <f t="shared" si="3"/>
        <v>0</v>
      </c>
    </row>
    <row r="76" spans="1:7" ht="15.75" x14ac:dyDescent="0.25">
      <c r="A76" s="89">
        <v>3</v>
      </c>
      <c r="B76" s="94" t="s">
        <v>95</v>
      </c>
      <c r="C76" s="104" t="s">
        <v>96</v>
      </c>
      <c r="D76" s="61"/>
      <c r="E76" s="92"/>
      <c r="F76" s="87"/>
      <c r="G76" s="88">
        <f t="shared" si="3"/>
        <v>0</v>
      </c>
    </row>
    <row r="77" spans="1:7" ht="16.5" x14ac:dyDescent="0.25">
      <c r="A77" s="89"/>
      <c r="B77" s="90" t="s">
        <v>97</v>
      </c>
      <c r="C77" s="91"/>
      <c r="D77" s="61" t="s">
        <v>21</v>
      </c>
      <c r="E77" s="92">
        <f>SUM(E62:E72)</f>
        <v>214.5</v>
      </c>
      <c r="F77" s="87">
        <f>[2]RAB!$F$163</f>
        <v>156350</v>
      </c>
      <c r="G77" s="88">
        <f t="shared" si="3"/>
        <v>33537075</v>
      </c>
    </row>
    <row r="78" spans="1:7" ht="18.75" x14ac:dyDescent="0.25">
      <c r="A78" s="89"/>
      <c r="B78" s="90" t="s">
        <v>98</v>
      </c>
      <c r="C78" s="91" t="s">
        <v>99</v>
      </c>
      <c r="D78" s="96" t="s">
        <v>60</v>
      </c>
      <c r="E78" s="92">
        <f>E73</f>
        <v>137</v>
      </c>
      <c r="F78" s="87">
        <v>27000</v>
      </c>
      <c r="G78" s="88">
        <f t="shared" si="3"/>
        <v>3699000</v>
      </c>
    </row>
    <row r="79" spans="1:7" ht="15.75" x14ac:dyDescent="0.25">
      <c r="A79" s="89"/>
      <c r="B79" s="90"/>
      <c r="C79" s="91"/>
      <c r="D79" s="93"/>
      <c r="E79" s="93"/>
      <c r="F79" s="93"/>
      <c r="G79" s="88">
        <f t="shared" si="3"/>
        <v>0</v>
      </c>
    </row>
    <row r="80" spans="1:7" ht="15.75" x14ac:dyDescent="0.25">
      <c r="A80" s="89">
        <v>4</v>
      </c>
      <c r="B80" s="94" t="s">
        <v>100</v>
      </c>
      <c r="C80" s="91"/>
      <c r="D80" s="97"/>
      <c r="E80" s="92"/>
      <c r="F80" s="87"/>
      <c r="G80" s="88">
        <f t="shared" si="3"/>
        <v>0</v>
      </c>
    </row>
    <row r="81" spans="1:7" ht="15.75" x14ac:dyDescent="0.25">
      <c r="A81" s="89"/>
      <c r="B81" s="90" t="s">
        <v>101</v>
      </c>
      <c r="C81" s="91" t="s">
        <v>102</v>
      </c>
      <c r="D81" s="105" t="s">
        <v>62</v>
      </c>
      <c r="E81" s="92">
        <v>1</v>
      </c>
      <c r="F81" s="87">
        <f>4*7000000</f>
        <v>28000000</v>
      </c>
      <c r="G81" s="88">
        <f t="shared" si="3"/>
        <v>28000000</v>
      </c>
    </row>
    <row r="82" spans="1:7" ht="15.75" x14ac:dyDescent="0.25">
      <c r="A82" s="89"/>
      <c r="B82" s="90" t="s">
        <v>103</v>
      </c>
      <c r="C82" s="91" t="s">
        <v>104</v>
      </c>
      <c r="D82" s="97" t="s">
        <v>62</v>
      </c>
      <c r="E82" s="92">
        <v>1</v>
      </c>
      <c r="F82" s="87">
        <v>14000000</v>
      </c>
      <c r="G82" s="88">
        <f t="shared" si="3"/>
        <v>14000000</v>
      </c>
    </row>
    <row r="83" spans="1:7" ht="15.75" x14ac:dyDescent="0.25">
      <c r="A83" s="89"/>
      <c r="B83" s="90" t="s">
        <v>105</v>
      </c>
      <c r="C83" s="91" t="s">
        <v>106</v>
      </c>
      <c r="D83" s="106" t="s">
        <v>62</v>
      </c>
      <c r="E83" s="92">
        <v>1</v>
      </c>
      <c r="F83" s="87">
        <f>(7000000*2)+(5000000*2)</f>
        <v>24000000</v>
      </c>
      <c r="G83" s="88">
        <f t="shared" si="3"/>
        <v>24000000</v>
      </c>
    </row>
    <row r="84" spans="1:7" ht="15.75" x14ac:dyDescent="0.25">
      <c r="A84" s="89"/>
      <c r="B84" s="90" t="s">
        <v>107</v>
      </c>
      <c r="C84" s="91" t="s">
        <v>108</v>
      </c>
      <c r="D84" s="107" t="s">
        <v>62</v>
      </c>
      <c r="E84" s="92">
        <v>1</v>
      </c>
      <c r="F84" s="87">
        <f>(7000000*2)+(5000000*2)</f>
        <v>24000000</v>
      </c>
      <c r="G84" s="88">
        <f t="shared" si="3"/>
        <v>24000000</v>
      </c>
    </row>
    <row r="85" spans="1:7" ht="15.75" x14ac:dyDescent="0.25">
      <c r="A85" s="89"/>
      <c r="B85" s="90" t="s">
        <v>109</v>
      </c>
      <c r="C85" s="91" t="s">
        <v>110</v>
      </c>
      <c r="D85" s="107" t="s">
        <v>62</v>
      </c>
      <c r="E85" s="92">
        <v>1</v>
      </c>
      <c r="F85" s="87">
        <f>8000000*6</f>
        <v>48000000</v>
      </c>
      <c r="G85" s="88">
        <f t="shared" si="3"/>
        <v>48000000</v>
      </c>
    </row>
    <row r="86" spans="1:7" ht="15.75" x14ac:dyDescent="0.25">
      <c r="A86" s="89"/>
      <c r="B86" s="90" t="s">
        <v>111</v>
      </c>
      <c r="C86" s="91" t="s">
        <v>112</v>
      </c>
      <c r="D86" s="107" t="s">
        <v>62</v>
      </c>
      <c r="E86" s="92">
        <v>1</v>
      </c>
      <c r="F86" s="87">
        <v>4750000</v>
      </c>
      <c r="G86" s="88">
        <f t="shared" si="3"/>
        <v>4750000</v>
      </c>
    </row>
    <row r="87" spans="1:7" ht="15.75" x14ac:dyDescent="0.25">
      <c r="A87" s="89"/>
      <c r="B87" s="90" t="s">
        <v>113</v>
      </c>
      <c r="C87" s="91" t="s">
        <v>104</v>
      </c>
      <c r="D87" s="97" t="s">
        <v>62</v>
      </c>
      <c r="E87" s="92">
        <v>1</v>
      </c>
      <c r="F87" s="87">
        <v>10000000</v>
      </c>
      <c r="G87" s="88">
        <f t="shared" si="3"/>
        <v>10000000</v>
      </c>
    </row>
    <row r="88" spans="1:7" ht="15.75" x14ac:dyDescent="0.25">
      <c r="A88" s="89"/>
      <c r="B88" s="90" t="s">
        <v>114</v>
      </c>
      <c r="C88" s="91" t="s">
        <v>115</v>
      </c>
      <c r="D88" s="106" t="s">
        <v>62</v>
      </c>
      <c r="E88" s="92">
        <v>1</v>
      </c>
      <c r="F88" s="87">
        <v>2000000</v>
      </c>
      <c r="G88" s="88">
        <f t="shared" si="3"/>
        <v>2000000</v>
      </c>
    </row>
    <row r="89" spans="1:7" ht="15.75" x14ac:dyDescent="0.25">
      <c r="A89" s="89"/>
      <c r="B89" s="90" t="s">
        <v>116</v>
      </c>
      <c r="C89" s="91" t="s">
        <v>115</v>
      </c>
      <c r="D89" s="106" t="s">
        <v>62</v>
      </c>
      <c r="E89" s="92">
        <v>1</v>
      </c>
      <c r="F89" s="87">
        <v>1500000</v>
      </c>
      <c r="G89" s="88">
        <f t="shared" si="3"/>
        <v>1500000</v>
      </c>
    </row>
    <row r="90" spans="1:7" ht="15.75" x14ac:dyDescent="0.25">
      <c r="A90" s="89"/>
      <c r="B90" s="90" t="s">
        <v>117</v>
      </c>
      <c r="C90" s="91" t="s">
        <v>115</v>
      </c>
      <c r="D90" s="106" t="s">
        <v>62</v>
      </c>
      <c r="E90" s="92">
        <v>1</v>
      </c>
      <c r="F90" s="87">
        <v>1500000</v>
      </c>
      <c r="G90" s="88">
        <f t="shared" si="3"/>
        <v>1500000</v>
      </c>
    </row>
    <row r="91" spans="1:7" ht="15.75" x14ac:dyDescent="0.25">
      <c r="A91" s="89"/>
      <c r="B91" s="90"/>
      <c r="C91" s="91"/>
      <c r="D91" s="106"/>
      <c r="E91" s="92"/>
      <c r="F91" s="87"/>
      <c r="G91" s="88">
        <f t="shared" si="3"/>
        <v>0</v>
      </c>
    </row>
    <row r="92" spans="1:7" ht="15.75" x14ac:dyDescent="0.25">
      <c r="A92" s="89">
        <v>5</v>
      </c>
      <c r="B92" s="90" t="s">
        <v>118</v>
      </c>
      <c r="C92" s="91"/>
      <c r="D92" s="108"/>
      <c r="E92" s="92"/>
      <c r="F92" s="87"/>
      <c r="G92" s="88">
        <f t="shared" si="3"/>
        <v>0</v>
      </c>
    </row>
    <row r="93" spans="1:7" ht="18.75" x14ac:dyDescent="0.25">
      <c r="A93" s="89"/>
      <c r="B93" s="90" t="s">
        <v>119</v>
      </c>
      <c r="C93" s="91" t="s">
        <v>120</v>
      </c>
      <c r="D93" s="96" t="s">
        <v>60</v>
      </c>
      <c r="E93" s="92">
        <v>8</v>
      </c>
      <c r="F93" s="87">
        <v>1700000</v>
      </c>
      <c r="G93" s="88">
        <f t="shared" si="3"/>
        <v>13600000</v>
      </c>
    </row>
    <row r="94" spans="1:7" ht="15.75" x14ac:dyDescent="0.25">
      <c r="A94" s="89"/>
      <c r="B94" s="90"/>
      <c r="C94" s="91"/>
      <c r="D94" s="97"/>
      <c r="E94" s="92"/>
      <c r="F94" s="87"/>
      <c r="G94" s="88">
        <f t="shared" si="3"/>
        <v>0</v>
      </c>
    </row>
    <row r="95" spans="1:7" ht="15.75" x14ac:dyDescent="0.25">
      <c r="A95" s="89">
        <v>6</v>
      </c>
      <c r="B95" s="90" t="s">
        <v>121</v>
      </c>
      <c r="C95" s="91"/>
      <c r="D95" s="108"/>
      <c r="E95" s="92"/>
      <c r="F95" s="87"/>
      <c r="G95" s="88">
        <f t="shared" si="3"/>
        <v>0</v>
      </c>
    </row>
    <row r="96" spans="1:7" ht="16.5" x14ac:dyDescent="0.25">
      <c r="A96" s="89"/>
      <c r="B96" s="90" t="s">
        <v>122</v>
      </c>
      <c r="C96" s="91" t="s">
        <v>123</v>
      </c>
      <c r="D96" s="61" t="s">
        <v>21</v>
      </c>
      <c r="E96" s="92">
        <v>4.5</v>
      </c>
      <c r="F96" s="87">
        <v>1350000</v>
      </c>
      <c r="G96" s="88">
        <f t="shared" si="3"/>
        <v>6075000</v>
      </c>
    </row>
    <row r="97" spans="1:7" ht="15.75" x14ac:dyDescent="0.25">
      <c r="A97" s="89"/>
      <c r="B97" s="90"/>
      <c r="C97" s="91"/>
      <c r="D97" s="97"/>
      <c r="E97" s="92"/>
      <c r="F97" s="87"/>
      <c r="G97" s="88">
        <f t="shared" si="3"/>
        <v>0</v>
      </c>
    </row>
    <row r="98" spans="1:7" ht="15.75" x14ac:dyDescent="0.25">
      <c r="A98" s="89">
        <v>7</v>
      </c>
      <c r="B98" s="90" t="s">
        <v>124</v>
      </c>
      <c r="C98" s="91"/>
      <c r="D98" s="108"/>
      <c r="E98" s="92"/>
      <c r="F98" s="87"/>
      <c r="G98" s="88">
        <f t="shared" si="3"/>
        <v>0</v>
      </c>
    </row>
    <row r="99" spans="1:7" ht="16.5" x14ac:dyDescent="0.25">
      <c r="A99" s="89"/>
      <c r="B99" s="90" t="s">
        <v>125</v>
      </c>
      <c r="C99" s="91" t="s">
        <v>126</v>
      </c>
      <c r="D99" s="61" t="s">
        <v>21</v>
      </c>
      <c r="E99" s="92">
        <f>E77+571.8</f>
        <v>786.3</v>
      </c>
      <c r="F99" s="87">
        <v>45000</v>
      </c>
      <c r="G99" s="88">
        <f t="shared" si="3"/>
        <v>35383500</v>
      </c>
    </row>
    <row r="100" spans="1:7" ht="15.75" x14ac:dyDescent="0.25">
      <c r="A100" s="89"/>
      <c r="B100" s="90"/>
      <c r="C100" s="91"/>
      <c r="D100" s="95"/>
      <c r="E100" s="92"/>
      <c r="F100" s="87"/>
      <c r="G100" s="88"/>
    </row>
    <row r="101" spans="1:7" ht="15.75" x14ac:dyDescent="0.25">
      <c r="A101" s="89"/>
      <c r="B101" s="90"/>
      <c r="C101" s="70" t="s">
        <v>127</v>
      </c>
      <c r="D101" s="71"/>
      <c r="E101" s="101"/>
      <c r="F101" s="87"/>
      <c r="G101" s="98">
        <f>SUM(G57:G100)</f>
        <v>363757225</v>
      </c>
    </row>
    <row r="102" spans="1:7" ht="15.75" x14ac:dyDescent="0.25">
      <c r="A102" s="89"/>
      <c r="B102" s="109"/>
      <c r="C102" s="70"/>
      <c r="D102" s="71"/>
      <c r="E102" s="101"/>
      <c r="F102" s="87"/>
      <c r="G102" s="98"/>
    </row>
    <row r="103" spans="1:7" ht="15.75" x14ac:dyDescent="0.25">
      <c r="A103" s="82" t="s">
        <v>128</v>
      </c>
      <c r="B103" s="110" t="s">
        <v>129</v>
      </c>
      <c r="C103" s="91"/>
      <c r="D103" s="97"/>
      <c r="E103" s="92"/>
      <c r="F103" s="87"/>
      <c r="G103" s="88">
        <f t="shared" ref="G103:G108" si="4">E103*F103</f>
        <v>0</v>
      </c>
    </row>
    <row r="104" spans="1:7" ht="15.75" x14ac:dyDescent="0.25">
      <c r="A104" s="58">
        <v>1</v>
      </c>
      <c r="B104" s="90" t="s">
        <v>130</v>
      </c>
      <c r="C104" s="100" t="s">
        <v>131</v>
      </c>
      <c r="D104" s="96" t="s">
        <v>29</v>
      </c>
      <c r="E104" s="92">
        <v>1</v>
      </c>
      <c r="F104" s="87">
        <v>450000</v>
      </c>
      <c r="G104" s="88">
        <f t="shared" si="4"/>
        <v>450000</v>
      </c>
    </row>
    <row r="105" spans="1:7" ht="15.75" x14ac:dyDescent="0.25">
      <c r="A105" s="58">
        <v>2</v>
      </c>
      <c r="B105" s="90" t="s">
        <v>132</v>
      </c>
      <c r="C105" s="111" t="s">
        <v>133</v>
      </c>
      <c r="D105" s="96" t="s">
        <v>29</v>
      </c>
      <c r="E105" s="92">
        <v>1</v>
      </c>
      <c r="F105" s="87">
        <v>1500000</v>
      </c>
      <c r="G105" s="88">
        <f t="shared" si="4"/>
        <v>1500000</v>
      </c>
    </row>
    <row r="106" spans="1:7" ht="15.75" x14ac:dyDescent="0.25">
      <c r="A106" s="58">
        <v>3</v>
      </c>
      <c r="B106" s="90" t="s">
        <v>134</v>
      </c>
      <c r="C106" s="112" t="s">
        <v>135</v>
      </c>
      <c r="D106" s="96" t="s">
        <v>136</v>
      </c>
      <c r="E106" s="92">
        <v>20</v>
      </c>
      <c r="F106" s="87">
        <v>275000</v>
      </c>
      <c r="G106" s="88">
        <f t="shared" si="4"/>
        <v>5500000</v>
      </c>
    </row>
    <row r="107" spans="1:7" ht="15.75" x14ac:dyDescent="0.25">
      <c r="A107" s="58">
        <v>4</v>
      </c>
      <c r="B107" s="90" t="s">
        <v>137</v>
      </c>
      <c r="C107" s="60" t="s">
        <v>138</v>
      </c>
      <c r="D107" s="97" t="s">
        <v>136</v>
      </c>
      <c r="E107" s="92">
        <v>18</v>
      </c>
      <c r="F107" s="87">
        <v>300000</v>
      </c>
      <c r="G107" s="88">
        <f t="shared" si="4"/>
        <v>5400000</v>
      </c>
    </row>
    <row r="108" spans="1:7" ht="15.75" x14ac:dyDescent="0.25">
      <c r="A108" s="113">
        <v>5</v>
      </c>
      <c r="B108" s="114" t="s">
        <v>139</v>
      </c>
      <c r="C108" s="115" t="s">
        <v>140</v>
      </c>
      <c r="D108" s="116" t="s">
        <v>136</v>
      </c>
      <c r="E108" s="117">
        <v>6</v>
      </c>
      <c r="F108" s="118">
        <v>900000</v>
      </c>
      <c r="G108" s="119">
        <f t="shared" si="4"/>
        <v>5400000</v>
      </c>
    </row>
    <row r="109" spans="1:7" ht="15.75" x14ac:dyDescent="0.25">
      <c r="A109" s="68"/>
      <c r="B109" s="69"/>
      <c r="C109" s="70" t="s">
        <v>141</v>
      </c>
      <c r="D109" s="71"/>
      <c r="E109" s="101"/>
      <c r="F109" s="87"/>
      <c r="G109" s="98">
        <f>SUM(G103:G108)</f>
        <v>18250000</v>
      </c>
    </row>
    <row r="110" spans="1:7" ht="15.75" x14ac:dyDescent="0.25">
      <c r="A110" s="68"/>
      <c r="B110" s="69"/>
      <c r="C110" s="70"/>
      <c r="D110" s="71"/>
      <c r="E110" s="101"/>
      <c r="F110" s="87"/>
      <c r="G110" s="98"/>
    </row>
    <row r="111" spans="1:7" ht="15.75" x14ac:dyDescent="0.25">
      <c r="A111" s="82" t="s">
        <v>142</v>
      </c>
      <c r="B111" s="83" t="s">
        <v>143</v>
      </c>
      <c r="C111" s="120"/>
      <c r="D111" s="85"/>
      <c r="E111" s="92"/>
      <c r="F111" s="121"/>
      <c r="G111" s="98"/>
    </row>
    <row r="112" spans="1:7" ht="15.75" x14ac:dyDescent="0.25">
      <c r="A112" s="82" t="s">
        <v>40</v>
      </c>
      <c r="B112" s="83" t="s">
        <v>144</v>
      </c>
      <c r="C112" s="120"/>
      <c r="D112" s="85"/>
      <c r="E112" s="92"/>
      <c r="F112" s="121"/>
      <c r="G112" s="98"/>
    </row>
    <row r="113" spans="1:7" ht="15.75" x14ac:dyDescent="0.25">
      <c r="A113" s="89">
        <v>1</v>
      </c>
      <c r="B113" s="94" t="s">
        <v>145</v>
      </c>
      <c r="C113" s="91"/>
      <c r="D113" s="61"/>
      <c r="E113" s="92"/>
      <c r="F113" s="87"/>
      <c r="G113" s="88"/>
    </row>
    <row r="114" spans="1:7" ht="16.5" x14ac:dyDescent="0.25">
      <c r="A114" s="89"/>
      <c r="B114" s="90" t="s">
        <v>146</v>
      </c>
      <c r="C114" s="91" t="s">
        <v>43</v>
      </c>
      <c r="D114" s="61" t="s">
        <v>21</v>
      </c>
      <c r="E114" s="92">
        <f>(3+2+3+3)*3+(4*3)</f>
        <v>45</v>
      </c>
      <c r="F114" s="87">
        <f>F22</f>
        <v>59800</v>
      </c>
      <c r="G114" s="88">
        <f>E114*F114</f>
        <v>2691000</v>
      </c>
    </row>
    <row r="115" spans="1:7" ht="16.5" x14ac:dyDescent="0.25">
      <c r="A115" s="89"/>
      <c r="B115" s="90" t="s">
        <v>147</v>
      </c>
      <c r="C115" s="91" t="s">
        <v>43</v>
      </c>
      <c r="D115" s="61" t="s">
        <v>21</v>
      </c>
      <c r="E115" s="92">
        <f>(3+3)*3</f>
        <v>18</v>
      </c>
      <c r="F115" s="87">
        <f>F114</f>
        <v>59800</v>
      </c>
      <c r="G115" s="88">
        <f t="shared" ref="G115:G133" si="5">E115*F115</f>
        <v>1076400</v>
      </c>
    </row>
    <row r="116" spans="1:7" ht="15.75" x14ac:dyDescent="0.25">
      <c r="A116" s="89"/>
      <c r="B116" s="90"/>
      <c r="C116" s="91"/>
      <c r="D116" s="93"/>
      <c r="E116" s="93"/>
      <c r="F116" s="93"/>
      <c r="G116" s="88">
        <f t="shared" si="5"/>
        <v>0</v>
      </c>
    </row>
    <row r="117" spans="1:7" ht="15.75" x14ac:dyDescent="0.25">
      <c r="A117" s="89">
        <v>2</v>
      </c>
      <c r="B117" s="94" t="s">
        <v>44</v>
      </c>
      <c r="C117" s="91"/>
      <c r="D117" s="95"/>
      <c r="E117" s="92"/>
      <c r="F117" s="87"/>
      <c r="G117" s="88">
        <f t="shared" si="5"/>
        <v>0</v>
      </c>
    </row>
    <row r="118" spans="1:7" ht="16.5" x14ac:dyDescent="0.25">
      <c r="A118" s="89"/>
      <c r="B118" s="90" t="s">
        <v>148</v>
      </c>
      <c r="C118" s="91"/>
      <c r="D118" s="61" t="s">
        <v>21</v>
      </c>
      <c r="E118" s="92">
        <f>(6*5.2)+(1.5*3)+(3*7)</f>
        <v>56.7</v>
      </c>
      <c r="F118" s="87">
        <v>35000</v>
      </c>
      <c r="G118" s="88">
        <f t="shared" si="5"/>
        <v>1984500</v>
      </c>
    </row>
    <row r="119" spans="1:7" ht="16.5" x14ac:dyDescent="0.25">
      <c r="A119" s="89"/>
      <c r="B119" s="90" t="s">
        <v>149</v>
      </c>
      <c r="C119" s="91"/>
      <c r="D119" s="61" t="s">
        <v>21</v>
      </c>
      <c r="E119" s="92">
        <f>(4.75*4)+(1.5*2)</f>
        <v>22</v>
      </c>
      <c r="F119" s="87">
        <v>35000</v>
      </c>
      <c r="G119" s="88">
        <f t="shared" si="5"/>
        <v>770000</v>
      </c>
    </row>
    <row r="120" spans="1:7" ht="16.5" x14ac:dyDescent="0.25">
      <c r="A120" s="89"/>
      <c r="B120" s="90" t="s">
        <v>150</v>
      </c>
      <c r="C120" s="91"/>
      <c r="D120" s="61" t="s">
        <v>21</v>
      </c>
      <c r="E120" s="92">
        <f>(9*1.2)</f>
        <v>10.799999999999999</v>
      </c>
      <c r="F120" s="87">
        <v>35000</v>
      </c>
      <c r="G120" s="88">
        <f t="shared" si="5"/>
        <v>377999.99999999994</v>
      </c>
    </row>
    <row r="121" spans="1:7" ht="16.5" x14ac:dyDescent="0.25">
      <c r="A121" s="89"/>
      <c r="B121" s="90" t="s">
        <v>151</v>
      </c>
      <c r="C121" s="91"/>
      <c r="D121" s="61" t="s">
        <v>21</v>
      </c>
      <c r="E121" s="92">
        <f>(3*2)+(3*1)</f>
        <v>9</v>
      </c>
      <c r="F121" s="87">
        <v>35000</v>
      </c>
      <c r="G121" s="88">
        <f t="shared" si="5"/>
        <v>315000</v>
      </c>
    </row>
    <row r="122" spans="1:7" ht="16.5" x14ac:dyDescent="0.25">
      <c r="A122" s="89"/>
      <c r="B122" s="90" t="s">
        <v>152</v>
      </c>
      <c r="C122" s="91"/>
      <c r="D122" s="61" t="s">
        <v>21</v>
      </c>
      <c r="E122" s="92"/>
      <c r="F122" s="87"/>
      <c r="G122" s="88"/>
    </row>
    <row r="123" spans="1:7" ht="15.75" x14ac:dyDescent="0.25">
      <c r="A123" s="89"/>
      <c r="B123" s="90"/>
      <c r="C123" s="91"/>
      <c r="D123" s="61"/>
      <c r="E123" s="92"/>
      <c r="F123" s="87"/>
      <c r="G123" s="88"/>
    </row>
    <row r="124" spans="1:7" ht="15.75" x14ac:dyDescent="0.25">
      <c r="A124" s="89">
        <v>3</v>
      </c>
      <c r="B124" s="94" t="s">
        <v>55</v>
      </c>
      <c r="C124" s="91"/>
      <c r="D124" s="61"/>
      <c r="E124" s="92"/>
      <c r="F124" s="87"/>
      <c r="G124" s="88">
        <f t="shared" si="5"/>
        <v>0</v>
      </c>
    </row>
    <row r="125" spans="1:7" ht="16.5" x14ac:dyDescent="0.25">
      <c r="A125" s="89"/>
      <c r="B125" s="90" t="s">
        <v>56</v>
      </c>
      <c r="C125" s="91"/>
      <c r="D125" s="61" t="s">
        <v>57</v>
      </c>
      <c r="E125" s="92">
        <f>(0.15*0.15*3*7)</f>
        <v>0.47250000000000003</v>
      </c>
      <c r="F125" s="87">
        <v>552000</v>
      </c>
      <c r="G125" s="88">
        <f t="shared" si="5"/>
        <v>260820.00000000003</v>
      </c>
    </row>
    <row r="126" spans="1:7" ht="15.75" x14ac:dyDescent="0.25">
      <c r="A126" s="89"/>
      <c r="B126" s="90"/>
      <c r="C126" s="91"/>
      <c r="D126" s="95"/>
      <c r="E126" s="92"/>
      <c r="F126" s="87"/>
      <c r="G126" s="88">
        <f t="shared" si="5"/>
        <v>0</v>
      </c>
    </row>
    <row r="127" spans="1:7" ht="15.75" x14ac:dyDescent="0.25">
      <c r="A127" s="89">
        <v>4</v>
      </c>
      <c r="B127" s="94" t="s">
        <v>58</v>
      </c>
      <c r="C127" s="91"/>
      <c r="D127" s="93"/>
      <c r="E127" s="92"/>
      <c r="F127" s="87"/>
      <c r="G127" s="88">
        <f t="shared" si="5"/>
        <v>0</v>
      </c>
    </row>
    <row r="128" spans="1:7" ht="18.75" x14ac:dyDescent="0.25">
      <c r="A128" s="89"/>
      <c r="B128" s="90" t="s">
        <v>153</v>
      </c>
      <c r="C128" s="91"/>
      <c r="D128" s="96" t="s">
        <v>60</v>
      </c>
      <c r="E128" s="92">
        <v>15</v>
      </c>
      <c r="F128" s="87">
        <v>50000</v>
      </c>
      <c r="G128" s="88">
        <f t="shared" si="5"/>
        <v>750000</v>
      </c>
    </row>
    <row r="129" spans="1:7" ht="18.75" x14ac:dyDescent="0.25">
      <c r="A129" s="89"/>
      <c r="B129" s="90" t="s">
        <v>154</v>
      </c>
      <c r="C129" s="91"/>
      <c r="D129" s="96" t="s">
        <v>60</v>
      </c>
      <c r="E129" s="92">
        <v>5</v>
      </c>
      <c r="F129" s="87">
        <v>50000</v>
      </c>
      <c r="G129" s="88">
        <f t="shared" si="5"/>
        <v>250000</v>
      </c>
    </row>
    <row r="130" spans="1:7" ht="15.75" x14ac:dyDescent="0.25">
      <c r="A130" s="89"/>
      <c r="B130" s="90"/>
      <c r="C130" s="91"/>
      <c r="D130" s="97"/>
      <c r="E130" s="92"/>
      <c r="F130" s="87"/>
      <c r="G130" s="88">
        <f t="shared" si="5"/>
        <v>0</v>
      </c>
    </row>
    <row r="131" spans="1:7" ht="15.75" x14ac:dyDescent="0.25">
      <c r="A131" s="89">
        <v>5</v>
      </c>
      <c r="B131" s="90" t="s">
        <v>61</v>
      </c>
      <c r="C131" s="91"/>
      <c r="D131" s="97" t="s">
        <v>62</v>
      </c>
      <c r="E131" s="92">
        <v>4</v>
      </c>
      <c r="F131" s="87">
        <v>200000</v>
      </c>
      <c r="G131" s="88">
        <f>E131*F131</f>
        <v>800000</v>
      </c>
    </row>
    <row r="132" spans="1:7" ht="16.5" x14ac:dyDescent="0.25">
      <c r="A132" s="89">
        <v>6</v>
      </c>
      <c r="B132" s="90" t="s">
        <v>64</v>
      </c>
      <c r="C132" s="91"/>
      <c r="D132" s="61" t="s">
        <v>21</v>
      </c>
      <c r="E132" s="92">
        <f>SUM(E118:E121)</f>
        <v>98.5</v>
      </c>
      <c r="F132" s="87">
        <v>25000</v>
      </c>
      <c r="G132" s="88">
        <f>E132*F132</f>
        <v>2462500</v>
      </c>
    </row>
    <row r="133" spans="1:7" ht="15.75" x14ac:dyDescent="0.25">
      <c r="A133" s="89"/>
      <c r="B133" s="90"/>
      <c r="C133" s="91"/>
    </row>
    <row r="134" spans="1:7" ht="15.75" x14ac:dyDescent="0.25">
      <c r="A134" s="68"/>
      <c r="B134" s="122"/>
      <c r="C134" s="70" t="s">
        <v>155</v>
      </c>
      <c r="D134" s="71"/>
      <c r="E134" s="72"/>
      <c r="F134" s="87"/>
      <c r="G134" s="98">
        <f>SUM(G114:G132)</f>
        <v>11738220</v>
      </c>
    </row>
    <row r="135" spans="1:7" ht="15.75" x14ac:dyDescent="0.25">
      <c r="A135" s="82" t="s">
        <v>66</v>
      </c>
      <c r="B135" s="83" t="s">
        <v>67</v>
      </c>
      <c r="C135" s="99"/>
      <c r="D135" s="71"/>
      <c r="E135" s="72"/>
      <c r="F135" s="87"/>
      <c r="G135" s="88"/>
    </row>
    <row r="136" spans="1:7" ht="16.5" x14ac:dyDescent="0.25">
      <c r="A136" s="89">
        <v>1</v>
      </c>
      <c r="B136" s="90" t="s">
        <v>156</v>
      </c>
      <c r="C136" s="100" t="s">
        <v>76</v>
      </c>
      <c r="D136" s="61" t="s">
        <v>57</v>
      </c>
      <c r="E136" s="92">
        <f>(0.15*0.15*3.5*6)</f>
        <v>0.47250000000000003</v>
      </c>
      <c r="F136" s="87">
        <f>F52</f>
        <v>5793300</v>
      </c>
      <c r="G136" s="88">
        <f>E136*F136</f>
        <v>2737334.25</v>
      </c>
    </row>
    <row r="137" spans="1:7" ht="16.5" x14ac:dyDescent="0.25">
      <c r="A137" s="89">
        <v>2</v>
      </c>
      <c r="B137" s="90" t="s">
        <v>157</v>
      </c>
      <c r="C137" s="100" t="s">
        <v>76</v>
      </c>
      <c r="D137" s="61" t="s">
        <v>57</v>
      </c>
      <c r="E137" s="92">
        <f>(0.15*0.15*12)</f>
        <v>0.27</v>
      </c>
      <c r="F137" s="87">
        <f>F51</f>
        <v>5793300</v>
      </c>
      <c r="G137" s="88">
        <f t="shared" ref="G137:G140" si="6">E137*F137</f>
        <v>1564191</v>
      </c>
    </row>
    <row r="138" spans="1:7" ht="16.5" x14ac:dyDescent="0.25">
      <c r="A138" s="89">
        <v>3</v>
      </c>
      <c r="B138" s="90" t="s">
        <v>158</v>
      </c>
      <c r="C138" s="100" t="s">
        <v>76</v>
      </c>
      <c r="D138" s="61" t="s">
        <v>57</v>
      </c>
      <c r="E138" s="92">
        <f>(1*0.12*8)</f>
        <v>0.96</v>
      </c>
      <c r="F138" s="87">
        <f>F52</f>
        <v>5793300</v>
      </c>
      <c r="G138" s="88">
        <f t="shared" si="6"/>
        <v>5561568</v>
      </c>
    </row>
    <row r="139" spans="1:7" ht="16.5" x14ac:dyDescent="0.25">
      <c r="A139" s="89">
        <v>4</v>
      </c>
      <c r="B139" s="90" t="s">
        <v>159</v>
      </c>
      <c r="C139" s="100" t="s">
        <v>160</v>
      </c>
      <c r="D139" s="61" t="s">
        <v>57</v>
      </c>
      <c r="E139" s="92">
        <f>(3*2*0.15)+(3*0.8*0.13)</f>
        <v>1.212</v>
      </c>
      <c r="F139" s="87">
        <f>F53</f>
        <v>5167150</v>
      </c>
      <c r="G139" s="88">
        <f t="shared" si="6"/>
        <v>6262585.7999999998</v>
      </c>
    </row>
    <row r="140" spans="1:7" ht="16.5" x14ac:dyDescent="0.25">
      <c r="A140" s="89">
        <v>5</v>
      </c>
      <c r="B140" s="90" t="s">
        <v>161</v>
      </c>
      <c r="C140" s="91" t="s">
        <v>162</v>
      </c>
      <c r="D140" s="61" t="s">
        <v>21</v>
      </c>
      <c r="E140" s="92">
        <f>(4*2)+(2*2)+(8*1)+(3*2)</f>
        <v>26</v>
      </c>
      <c r="F140" s="87">
        <v>75000</v>
      </c>
      <c r="G140" s="88">
        <f t="shared" si="6"/>
        <v>1950000</v>
      </c>
    </row>
    <row r="141" spans="1:7" ht="15.75" x14ac:dyDescent="0.25">
      <c r="A141" s="68"/>
      <c r="B141" s="69"/>
      <c r="C141" s="70" t="s">
        <v>163</v>
      </c>
      <c r="D141" s="71"/>
      <c r="E141" s="101"/>
      <c r="F141" s="87"/>
      <c r="G141" s="98">
        <f>SUM(G136:G140)</f>
        <v>18075679.050000001</v>
      </c>
    </row>
    <row r="142" spans="1:7" ht="15.75" x14ac:dyDescent="0.25">
      <c r="A142" s="82" t="s">
        <v>80</v>
      </c>
      <c r="B142" s="83" t="s">
        <v>81</v>
      </c>
      <c r="C142" s="102"/>
      <c r="D142" s="85"/>
      <c r="E142" s="92"/>
      <c r="F142" s="87"/>
      <c r="G142" s="88"/>
    </row>
    <row r="143" spans="1:7" ht="15.75" x14ac:dyDescent="0.25">
      <c r="A143" s="89">
        <v>1</v>
      </c>
      <c r="B143" s="94" t="s">
        <v>164</v>
      </c>
      <c r="C143" s="91"/>
      <c r="D143" s="61"/>
      <c r="E143" s="92"/>
      <c r="F143" s="87"/>
      <c r="G143" s="88"/>
    </row>
    <row r="144" spans="1:7" ht="16.5" x14ac:dyDescent="0.25">
      <c r="A144" s="89"/>
      <c r="B144" s="90" t="s">
        <v>165</v>
      </c>
      <c r="C144" s="100" t="s">
        <v>84</v>
      </c>
      <c r="D144" s="61" t="s">
        <v>21</v>
      </c>
      <c r="E144" s="92">
        <f>(10+5+4)*3</f>
        <v>57</v>
      </c>
      <c r="F144" s="87">
        <f>F57</f>
        <v>147700</v>
      </c>
      <c r="G144" s="88">
        <f>E144*F144</f>
        <v>8418900</v>
      </c>
    </row>
    <row r="145" spans="1:7" ht="16.5" x14ac:dyDescent="0.25">
      <c r="A145" s="89"/>
      <c r="B145" s="90" t="s">
        <v>85</v>
      </c>
      <c r="C145" s="100" t="s">
        <v>86</v>
      </c>
      <c r="D145" s="61" t="s">
        <v>21</v>
      </c>
      <c r="E145" s="92">
        <f>E144*2</f>
        <v>114</v>
      </c>
      <c r="F145" s="87">
        <f>F58</f>
        <v>85250</v>
      </c>
      <c r="G145" s="88">
        <f t="shared" ref="G145:G190" si="7">E145*F145</f>
        <v>9718500</v>
      </c>
    </row>
    <row r="146" spans="1:7" ht="16.5" x14ac:dyDescent="0.25">
      <c r="A146" s="89"/>
      <c r="B146" s="90" t="s">
        <v>87</v>
      </c>
      <c r="C146" s="91"/>
      <c r="D146" s="61" t="s">
        <v>21</v>
      </c>
      <c r="E146" s="92">
        <f>E145</f>
        <v>114</v>
      </c>
      <c r="F146" s="87">
        <f>F59</f>
        <v>43350</v>
      </c>
      <c r="G146" s="88">
        <f t="shared" si="7"/>
        <v>4941900</v>
      </c>
    </row>
    <row r="147" spans="1:7" ht="15.75" x14ac:dyDescent="0.25">
      <c r="A147" s="89"/>
      <c r="B147" s="90"/>
      <c r="C147" s="91"/>
      <c r="D147" s="61"/>
      <c r="E147" s="92"/>
      <c r="F147" s="87"/>
      <c r="G147" s="88">
        <f t="shared" si="7"/>
        <v>0</v>
      </c>
    </row>
    <row r="148" spans="1:7" ht="15.75" x14ac:dyDescent="0.25">
      <c r="A148" s="89">
        <v>2</v>
      </c>
      <c r="B148" s="94" t="s">
        <v>166</v>
      </c>
      <c r="C148" s="91"/>
      <c r="D148" s="61"/>
      <c r="E148" s="92"/>
      <c r="F148" s="87"/>
      <c r="G148" s="88">
        <f t="shared" si="7"/>
        <v>0</v>
      </c>
    </row>
    <row r="149" spans="1:7" ht="16.5" x14ac:dyDescent="0.25">
      <c r="A149" s="89"/>
      <c r="B149" s="90" t="s">
        <v>167</v>
      </c>
      <c r="C149" s="91" t="s">
        <v>168</v>
      </c>
      <c r="D149" s="61" t="s">
        <v>21</v>
      </c>
      <c r="E149" s="92">
        <f>2*2.2</f>
        <v>4.4000000000000004</v>
      </c>
      <c r="F149" s="87">
        <v>750000</v>
      </c>
      <c r="G149" s="88">
        <f t="shared" si="7"/>
        <v>3300000.0000000005</v>
      </c>
    </row>
    <row r="150" spans="1:7" ht="15.75" x14ac:dyDescent="0.25">
      <c r="A150" s="89"/>
      <c r="B150" s="90"/>
      <c r="C150" s="91"/>
      <c r="D150" s="96"/>
      <c r="E150" s="92"/>
      <c r="F150" s="87"/>
      <c r="G150" s="88">
        <f t="shared" si="7"/>
        <v>0</v>
      </c>
    </row>
    <row r="151" spans="1:7" ht="15.75" x14ac:dyDescent="0.25">
      <c r="A151" s="89">
        <v>3</v>
      </c>
      <c r="B151" s="94" t="s">
        <v>169</v>
      </c>
      <c r="C151" s="91"/>
      <c r="D151" s="61"/>
      <c r="E151" s="92"/>
      <c r="F151" s="87"/>
      <c r="G151" s="88">
        <f t="shared" si="7"/>
        <v>0</v>
      </c>
    </row>
    <row r="152" spans="1:7" ht="16.5" x14ac:dyDescent="0.25">
      <c r="A152" s="89"/>
      <c r="B152" s="94" t="s">
        <v>170</v>
      </c>
      <c r="C152" s="91" t="s">
        <v>171</v>
      </c>
      <c r="D152" s="61" t="s">
        <v>21</v>
      </c>
      <c r="E152" s="92">
        <f>(2+4+2+2+1.5)*2.8</f>
        <v>32.199999999999996</v>
      </c>
      <c r="F152" s="87">
        <v>400000</v>
      </c>
      <c r="G152" s="88">
        <f t="shared" si="7"/>
        <v>12879999.999999998</v>
      </c>
    </row>
    <row r="153" spans="1:7" ht="15.75" x14ac:dyDescent="0.25">
      <c r="A153" s="89"/>
      <c r="B153" s="94" t="s">
        <v>172</v>
      </c>
      <c r="C153" s="91"/>
      <c r="D153" s="61"/>
      <c r="E153" s="92"/>
      <c r="F153" s="87"/>
      <c r="G153" s="88">
        <f t="shared" si="7"/>
        <v>0</v>
      </c>
    </row>
    <row r="154" spans="1:7" ht="16.5" x14ac:dyDescent="0.25">
      <c r="A154" s="89"/>
      <c r="B154" s="90" t="s">
        <v>148</v>
      </c>
      <c r="C154" s="91" t="s">
        <v>91</v>
      </c>
      <c r="D154" s="61" t="s">
        <v>21</v>
      </c>
      <c r="E154" s="92">
        <f>(6*5.2)+(1.5*3)+(3*7)</f>
        <v>56.7</v>
      </c>
      <c r="F154" s="87">
        <v>400000</v>
      </c>
      <c r="G154" s="88">
        <f t="shared" si="7"/>
        <v>22680000</v>
      </c>
    </row>
    <row r="155" spans="1:7" ht="16.5" x14ac:dyDescent="0.25">
      <c r="A155" s="89"/>
      <c r="B155" s="90" t="s">
        <v>149</v>
      </c>
      <c r="C155" s="91" t="s">
        <v>91</v>
      </c>
      <c r="D155" s="61" t="s">
        <v>21</v>
      </c>
      <c r="E155" s="92">
        <f>(4.75*4)+(1.5*2)</f>
        <v>22</v>
      </c>
      <c r="F155" s="87">
        <v>400000</v>
      </c>
      <c r="G155" s="88">
        <f t="shared" si="7"/>
        <v>8800000</v>
      </c>
    </row>
    <row r="156" spans="1:7" ht="16.5" x14ac:dyDescent="0.25">
      <c r="A156" s="89"/>
      <c r="B156" s="90" t="s">
        <v>150</v>
      </c>
      <c r="C156" s="91" t="s">
        <v>91</v>
      </c>
      <c r="D156" s="61" t="s">
        <v>21</v>
      </c>
      <c r="E156" s="92">
        <f>(9*1.2)</f>
        <v>10.799999999999999</v>
      </c>
      <c r="F156" s="87">
        <v>400000</v>
      </c>
      <c r="G156" s="88">
        <f t="shared" si="7"/>
        <v>4320000</v>
      </c>
    </row>
    <row r="157" spans="1:7" ht="16.5" x14ac:dyDescent="0.25">
      <c r="A157" s="89"/>
      <c r="B157" s="90" t="s">
        <v>173</v>
      </c>
      <c r="C157" s="91" t="s">
        <v>89</v>
      </c>
      <c r="D157" s="61" t="s">
        <v>21</v>
      </c>
      <c r="E157" s="92">
        <f>(4*2)+(2*1.5)</f>
        <v>11</v>
      </c>
      <c r="F157" s="87">
        <v>350000</v>
      </c>
      <c r="G157" s="88">
        <f t="shared" si="7"/>
        <v>3850000</v>
      </c>
    </row>
    <row r="158" spans="1:7" ht="15.75" x14ac:dyDescent="0.25">
      <c r="A158" s="89"/>
      <c r="B158" s="90"/>
      <c r="C158" s="91"/>
      <c r="D158" s="61"/>
      <c r="E158" s="92"/>
      <c r="F158" s="87"/>
      <c r="G158" s="88"/>
    </row>
    <row r="159" spans="1:7" ht="16.5" x14ac:dyDescent="0.25">
      <c r="A159" s="89"/>
      <c r="B159" s="90" t="s">
        <v>151</v>
      </c>
      <c r="C159" s="91" t="s">
        <v>89</v>
      </c>
      <c r="D159" s="61" t="s">
        <v>21</v>
      </c>
      <c r="E159" s="92">
        <f>(3*2)+(3*1)+(0.8*3)</f>
        <v>11.4</v>
      </c>
      <c r="F159" s="87">
        <v>350000</v>
      </c>
      <c r="G159" s="88">
        <f t="shared" si="7"/>
        <v>3990000</v>
      </c>
    </row>
    <row r="160" spans="1:7" ht="16.5" x14ac:dyDescent="0.25">
      <c r="A160" s="89"/>
      <c r="B160" s="90" t="s">
        <v>174</v>
      </c>
      <c r="C160" s="100" t="s">
        <v>175</v>
      </c>
      <c r="D160" s="61" t="s">
        <v>21</v>
      </c>
      <c r="E160" s="92">
        <v>51.11</v>
      </c>
      <c r="F160" s="87">
        <v>65000</v>
      </c>
      <c r="G160" s="88">
        <f t="shared" si="7"/>
        <v>3322150</v>
      </c>
    </row>
    <row r="161" spans="1:7" ht="16.5" x14ac:dyDescent="0.25">
      <c r="A161" s="89"/>
      <c r="B161" s="90" t="s">
        <v>94</v>
      </c>
      <c r="C161" s="91" t="s">
        <v>89</v>
      </c>
      <c r="D161" s="61" t="s">
        <v>21</v>
      </c>
      <c r="E161" s="92">
        <f>(4*1)</f>
        <v>4</v>
      </c>
      <c r="F161" s="87">
        <v>400000</v>
      </c>
      <c r="G161" s="88">
        <f t="shared" si="7"/>
        <v>1600000</v>
      </c>
    </row>
    <row r="162" spans="1:7" ht="15.75" x14ac:dyDescent="0.25">
      <c r="A162" s="89"/>
      <c r="B162" s="90" t="s">
        <v>176</v>
      </c>
      <c r="C162" s="103" t="s">
        <v>177</v>
      </c>
      <c r="D162" s="61" t="s">
        <v>178</v>
      </c>
      <c r="E162" s="92">
        <v>2</v>
      </c>
      <c r="F162" s="87">
        <v>2500000</v>
      </c>
      <c r="G162" s="88">
        <f t="shared" si="7"/>
        <v>5000000</v>
      </c>
    </row>
    <row r="163" spans="1:7" ht="15.75" x14ac:dyDescent="0.25">
      <c r="A163" s="89"/>
      <c r="B163" s="90"/>
      <c r="C163" s="103"/>
      <c r="D163" s="61"/>
      <c r="E163" s="92"/>
      <c r="F163" s="87"/>
      <c r="G163" s="88">
        <f t="shared" si="7"/>
        <v>0</v>
      </c>
    </row>
    <row r="164" spans="1:7" ht="15.75" x14ac:dyDescent="0.25">
      <c r="A164" s="89">
        <v>4</v>
      </c>
      <c r="B164" s="94" t="s">
        <v>95</v>
      </c>
      <c r="C164" s="104" t="s">
        <v>96</v>
      </c>
      <c r="D164" s="61"/>
      <c r="E164" s="92"/>
      <c r="F164" s="87"/>
      <c r="G164" s="88">
        <f t="shared" si="7"/>
        <v>0</v>
      </c>
    </row>
    <row r="165" spans="1:7" ht="16.5" x14ac:dyDescent="0.25">
      <c r="A165" s="89"/>
      <c r="B165" s="90" t="s">
        <v>97</v>
      </c>
      <c r="C165" s="91"/>
      <c r="D165" s="61" t="s">
        <v>21</v>
      </c>
      <c r="E165" s="92">
        <f>SUM(E146:E159)</f>
        <v>262.5</v>
      </c>
      <c r="F165" s="87">
        <f>F77</f>
        <v>156350</v>
      </c>
      <c r="G165" s="88">
        <f t="shared" si="7"/>
        <v>41041875</v>
      </c>
    </row>
    <row r="166" spans="1:7" ht="18.75" x14ac:dyDescent="0.25">
      <c r="A166" s="89"/>
      <c r="B166" s="90" t="s">
        <v>98</v>
      </c>
      <c r="C166" s="91" t="s">
        <v>99</v>
      </c>
      <c r="D166" s="96" t="s">
        <v>60</v>
      </c>
      <c r="E166" s="92">
        <f>E160</f>
        <v>51.11</v>
      </c>
      <c r="F166" s="87">
        <v>27000</v>
      </c>
      <c r="G166" s="88">
        <f t="shared" si="7"/>
        <v>1379970</v>
      </c>
    </row>
    <row r="167" spans="1:7" ht="16.5" x14ac:dyDescent="0.25">
      <c r="A167" s="89"/>
      <c r="B167" s="90" t="s">
        <v>179</v>
      </c>
      <c r="C167" s="91" t="s">
        <v>180</v>
      </c>
      <c r="D167" s="61" t="s">
        <v>21</v>
      </c>
      <c r="E167" s="92">
        <v>8</v>
      </c>
      <c r="F167" s="87">
        <v>350000</v>
      </c>
      <c r="G167" s="88">
        <f t="shared" si="7"/>
        <v>2800000</v>
      </c>
    </row>
    <row r="168" spans="1:7" ht="15.75" x14ac:dyDescent="0.25">
      <c r="A168" s="89"/>
      <c r="B168" s="90"/>
      <c r="C168" s="91"/>
      <c r="D168" s="97"/>
      <c r="E168" s="92"/>
      <c r="F168" s="87"/>
      <c r="G168" s="88">
        <f t="shared" si="7"/>
        <v>0</v>
      </c>
    </row>
    <row r="169" spans="1:7" ht="15.75" x14ac:dyDescent="0.25">
      <c r="A169" s="89">
        <v>5</v>
      </c>
      <c r="B169" s="94" t="s">
        <v>100</v>
      </c>
      <c r="C169" s="91"/>
      <c r="D169" s="107"/>
      <c r="E169" s="92"/>
      <c r="F169" s="87"/>
      <c r="G169" s="88">
        <f t="shared" si="7"/>
        <v>0</v>
      </c>
    </row>
    <row r="170" spans="1:7" ht="15.75" x14ac:dyDescent="0.25">
      <c r="A170" s="89">
        <v>1</v>
      </c>
      <c r="B170" s="90" t="s">
        <v>181</v>
      </c>
      <c r="C170" s="91" t="s">
        <v>182</v>
      </c>
      <c r="D170" s="97" t="s">
        <v>62</v>
      </c>
      <c r="E170" s="92">
        <v>1</v>
      </c>
      <c r="F170" s="87">
        <v>9300000</v>
      </c>
      <c r="G170" s="88">
        <f t="shared" si="7"/>
        <v>9300000</v>
      </c>
    </row>
    <row r="171" spans="1:7" ht="15.75" x14ac:dyDescent="0.25">
      <c r="A171" s="89">
        <v>2</v>
      </c>
      <c r="B171" s="90" t="s">
        <v>183</v>
      </c>
      <c r="C171" s="91" t="s">
        <v>184</v>
      </c>
      <c r="D171" s="106" t="s">
        <v>62</v>
      </c>
      <c r="E171" s="92">
        <v>1</v>
      </c>
      <c r="F171" s="87">
        <f>(3500000+3500000)+(6500000)</f>
        <v>13500000</v>
      </c>
      <c r="G171" s="88">
        <f t="shared" si="7"/>
        <v>13500000</v>
      </c>
    </row>
    <row r="172" spans="1:7" ht="15.75" x14ac:dyDescent="0.25">
      <c r="A172" s="89">
        <v>3</v>
      </c>
      <c r="B172" s="90" t="s">
        <v>185</v>
      </c>
      <c r="C172" s="91" t="s">
        <v>186</v>
      </c>
      <c r="D172" s="106" t="s">
        <v>62</v>
      </c>
      <c r="E172" s="92">
        <v>1</v>
      </c>
      <c r="F172" s="87">
        <f>(4000000*3)</f>
        <v>12000000</v>
      </c>
      <c r="G172" s="88">
        <f t="shared" si="7"/>
        <v>12000000</v>
      </c>
    </row>
    <row r="173" spans="1:7" ht="16.5" x14ac:dyDescent="0.25">
      <c r="A173" s="89">
        <v>4</v>
      </c>
      <c r="B173" s="90" t="s">
        <v>187</v>
      </c>
      <c r="C173" s="91" t="s">
        <v>188</v>
      </c>
      <c r="D173" s="123" t="s">
        <v>21</v>
      </c>
      <c r="E173" s="92">
        <f>3*4</f>
        <v>12</v>
      </c>
      <c r="F173" s="87">
        <v>950000</v>
      </c>
      <c r="G173" s="88">
        <f t="shared" si="7"/>
        <v>11400000</v>
      </c>
    </row>
    <row r="174" spans="1:7" ht="15.75" x14ac:dyDescent="0.25">
      <c r="A174" s="89">
        <v>5</v>
      </c>
      <c r="B174" s="90" t="s">
        <v>189</v>
      </c>
      <c r="C174" s="91" t="s">
        <v>190</v>
      </c>
      <c r="D174" s="106" t="s">
        <v>62</v>
      </c>
      <c r="E174" s="92">
        <v>2</v>
      </c>
      <c r="F174" s="87">
        <v>1200000</v>
      </c>
      <c r="G174" s="88">
        <f t="shared" si="7"/>
        <v>2400000</v>
      </c>
    </row>
    <row r="175" spans="1:7" ht="15.75" x14ac:dyDescent="0.25">
      <c r="A175" s="89">
        <v>6</v>
      </c>
      <c r="B175" s="90" t="s">
        <v>191</v>
      </c>
      <c r="C175" s="91" t="s">
        <v>115</v>
      </c>
      <c r="D175" s="106" t="s">
        <v>62</v>
      </c>
      <c r="E175" s="92">
        <v>1</v>
      </c>
      <c r="F175" s="87">
        <v>2000000</v>
      </c>
      <c r="G175" s="88">
        <f t="shared" si="7"/>
        <v>2000000</v>
      </c>
    </row>
    <row r="176" spans="1:7" ht="15.75" x14ac:dyDescent="0.25">
      <c r="A176" s="89">
        <v>7</v>
      </c>
      <c r="B176" s="90" t="s">
        <v>192</v>
      </c>
      <c r="C176" s="91" t="s">
        <v>115</v>
      </c>
      <c r="D176" s="106" t="s">
        <v>62</v>
      </c>
      <c r="E176" s="92">
        <v>1</v>
      </c>
      <c r="F176" s="87">
        <v>2000000</v>
      </c>
      <c r="G176" s="88">
        <f t="shared" si="7"/>
        <v>2000000</v>
      </c>
    </row>
    <row r="177" spans="1:7" ht="15.75" x14ac:dyDescent="0.25">
      <c r="A177" s="89">
        <v>8</v>
      </c>
      <c r="B177" s="90" t="s">
        <v>193</v>
      </c>
      <c r="C177" s="91" t="s">
        <v>194</v>
      </c>
      <c r="D177" s="107" t="s">
        <v>62</v>
      </c>
      <c r="E177" s="92">
        <v>2</v>
      </c>
      <c r="F177" s="87">
        <v>6500000</v>
      </c>
      <c r="G177" s="88">
        <f t="shared" si="7"/>
        <v>13000000</v>
      </c>
    </row>
    <row r="178" spans="1:7" ht="15.75" x14ac:dyDescent="0.25">
      <c r="A178" s="89">
        <v>9</v>
      </c>
      <c r="B178" s="90" t="s">
        <v>195</v>
      </c>
      <c r="C178" s="91" t="s">
        <v>196</v>
      </c>
      <c r="D178" s="97" t="s">
        <v>62</v>
      </c>
      <c r="E178" s="92">
        <v>1</v>
      </c>
      <c r="F178" s="87">
        <v>5500000</v>
      </c>
      <c r="G178" s="88">
        <f t="shared" si="7"/>
        <v>5500000</v>
      </c>
    </row>
    <row r="179" spans="1:7" ht="16.5" x14ac:dyDescent="0.25">
      <c r="A179" s="89">
        <v>10</v>
      </c>
      <c r="B179" s="90" t="s">
        <v>197</v>
      </c>
      <c r="C179" s="91" t="s">
        <v>198</v>
      </c>
      <c r="D179" s="61" t="s">
        <v>21</v>
      </c>
      <c r="E179" s="92">
        <f>4</f>
        <v>4</v>
      </c>
      <c r="F179" s="87">
        <v>800000</v>
      </c>
      <c r="G179" s="88">
        <f t="shared" si="7"/>
        <v>3200000</v>
      </c>
    </row>
    <row r="180" spans="1:7" ht="15.75" x14ac:dyDescent="0.25">
      <c r="A180" s="89"/>
      <c r="B180" s="90"/>
      <c r="C180" s="91"/>
      <c r="D180" s="61"/>
      <c r="E180" s="92"/>
      <c r="F180" s="87"/>
      <c r="G180" s="88">
        <f t="shared" si="7"/>
        <v>0</v>
      </c>
    </row>
    <row r="181" spans="1:7" ht="15.75" x14ac:dyDescent="0.25">
      <c r="A181" s="89">
        <v>6</v>
      </c>
      <c r="B181" s="90" t="s">
        <v>118</v>
      </c>
      <c r="C181" s="91"/>
      <c r="D181" s="97"/>
      <c r="E181" s="92"/>
      <c r="F181" s="87"/>
      <c r="G181" s="88">
        <f t="shared" si="7"/>
        <v>0</v>
      </c>
    </row>
    <row r="182" spans="1:7" ht="18.75" x14ac:dyDescent="0.25">
      <c r="A182" s="89"/>
      <c r="B182" s="90" t="s">
        <v>199</v>
      </c>
      <c r="C182" s="91" t="s">
        <v>120</v>
      </c>
      <c r="D182" s="96" t="s">
        <v>60</v>
      </c>
      <c r="E182" s="92">
        <v>8</v>
      </c>
      <c r="F182" s="87">
        <v>1700000</v>
      </c>
      <c r="G182" s="88">
        <f t="shared" si="7"/>
        <v>13600000</v>
      </c>
    </row>
    <row r="183" spans="1:7" ht="18.75" x14ac:dyDescent="0.25">
      <c r="A183" s="89"/>
      <c r="B183" s="90" t="s">
        <v>200</v>
      </c>
      <c r="C183" s="91" t="s">
        <v>120</v>
      </c>
      <c r="D183" s="96" t="s">
        <v>60</v>
      </c>
      <c r="E183" s="92">
        <v>4.5</v>
      </c>
      <c r="F183" s="87">
        <v>1700000</v>
      </c>
      <c r="G183" s="88">
        <f t="shared" si="7"/>
        <v>7650000</v>
      </c>
    </row>
    <row r="184" spans="1:7" ht="15.75" x14ac:dyDescent="0.25">
      <c r="A184" s="89"/>
      <c r="B184" s="90"/>
      <c r="C184" s="91"/>
      <c r="D184" s="124"/>
      <c r="E184" s="92"/>
      <c r="F184" s="87"/>
      <c r="G184" s="88">
        <f t="shared" si="7"/>
        <v>0</v>
      </c>
    </row>
    <row r="185" spans="1:7" ht="15.75" x14ac:dyDescent="0.25">
      <c r="A185" s="89">
        <v>7</v>
      </c>
      <c r="B185" s="90" t="s">
        <v>121</v>
      </c>
      <c r="C185" s="91"/>
      <c r="D185" s="97"/>
      <c r="E185" s="92"/>
      <c r="F185" s="87"/>
      <c r="G185" s="88">
        <f t="shared" si="7"/>
        <v>0</v>
      </c>
    </row>
    <row r="186" spans="1:7" ht="16.5" x14ac:dyDescent="0.25">
      <c r="A186" s="89"/>
      <c r="B186" s="90" t="s">
        <v>122</v>
      </c>
      <c r="C186" s="91" t="s">
        <v>123</v>
      </c>
      <c r="D186" s="61" t="s">
        <v>21</v>
      </c>
      <c r="E186" s="92">
        <f>3*4.8</f>
        <v>14.399999999999999</v>
      </c>
      <c r="F186" s="87">
        <v>1300000</v>
      </c>
      <c r="G186" s="88">
        <f t="shared" si="7"/>
        <v>18720000</v>
      </c>
    </row>
    <row r="187" spans="1:7" ht="16.5" x14ac:dyDescent="0.25">
      <c r="A187" s="89"/>
      <c r="B187" s="90" t="s">
        <v>201</v>
      </c>
      <c r="C187" s="91" t="s">
        <v>202</v>
      </c>
      <c r="D187" s="61" t="s">
        <v>21</v>
      </c>
      <c r="E187" s="92">
        <f>10*2</f>
        <v>20</v>
      </c>
      <c r="F187" s="87">
        <v>1600000</v>
      </c>
      <c r="G187" s="88">
        <f t="shared" si="7"/>
        <v>32000000</v>
      </c>
    </row>
    <row r="188" spans="1:7" ht="15.75" x14ac:dyDescent="0.25">
      <c r="A188" s="89"/>
      <c r="B188" s="90"/>
      <c r="C188" s="91"/>
      <c r="D188" s="61"/>
      <c r="E188" s="92"/>
      <c r="F188" s="87"/>
      <c r="G188" s="88">
        <f t="shared" si="7"/>
        <v>0</v>
      </c>
    </row>
    <row r="189" spans="1:7" ht="15.75" x14ac:dyDescent="0.25">
      <c r="A189" s="89">
        <v>8</v>
      </c>
      <c r="B189" s="90" t="s">
        <v>124</v>
      </c>
      <c r="C189" s="91"/>
      <c r="D189" s="97"/>
      <c r="E189" s="92"/>
      <c r="F189" s="87"/>
      <c r="G189" s="88">
        <f t="shared" si="7"/>
        <v>0</v>
      </c>
    </row>
    <row r="190" spans="1:7" ht="16.5" x14ac:dyDescent="0.25">
      <c r="A190" s="89"/>
      <c r="B190" s="90" t="s">
        <v>125</v>
      </c>
      <c r="C190" s="91" t="s">
        <v>126</v>
      </c>
      <c r="D190" s="61" t="s">
        <v>21</v>
      </c>
      <c r="E190" s="92">
        <f>E165+330+20</f>
        <v>612.5</v>
      </c>
      <c r="F190" s="87">
        <v>45000</v>
      </c>
      <c r="G190" s="88">
        <f t="shared" si="7"/>
        <v>27562500</v>
      </c>
    </row>
    <row r="191" spans="1:7" ht="15.75" x14ac:dyDescent="0.25">
      <c r="A191" s="89"/>
      <c r="B191" s="90"/>
      <c r="C191" s="70" t="s">
        <v>203</v>
      </c>
      <c r="D191" s="71"/>
      <c r="E191" s="101"/>
      <c r="F191" s="87"/>
      <c r="G191" s="98">
        <f>SUM(G144:G190)</f>
        <v>311875795</v>
      </c>
    </row>
    <row r="192" spans="1:7" ht="15.75" x14ac:dyDescent="0.25">
      <c r="A192" s="89"/>
      <c r="B192" s="109"/>
      <c r="C192" s="91"/>
      <c r="D192" s="91"/>
      <c r="E192" s="92"/>
      <c r="F192" s="87"/>
      <c r="G192" s="88"/>
    </row>
    <row r="193" spans="1:7" ht="15.75" x14ac:dyDescent="0.25">
      <c r="A193" s="82" t="s">
        <v>128</v>
      </c>
      <c r="B193" s="110" t="s">
        <v>204</v>
      </c>
      <c r="C193" s="91"/>
      <c r="D193" s="97"/>
      <c r="E193" s="92"/>
      <c r="F193" s="87"/>
      <c r="G193" s="88"/>
    </row>
    <row r="194" spans="1:7" ht="15.75" x14ac:dyDescent="0.25">
      <c r="A194" s="89">
        <v>1</v>
      </c>
      <c r="B194" s="90" t="s">
        <v>130</v>
      </c>
      <c r="C194" s="125" t="s">
        <v>205</v>
      </c>
      <c r="D194" s="96" t="s">
        <v>29</v>
      </c>
      <c r="E194" s="92">
        <v>1</v>
      </c>
      <c r="F194" s="87">
        <v>1000000</v>
      </c>
      <c r="G194" s="88">
        <f t="shared" ref="G194:G203" si="8">E194*F194</f>
        <v>1000000</v>
      </c>
    </row>
    <row r="195" spans="1:7" ht="15.75" x14ac:dyDescent="0.25">
      <c r="A195" s="89">
        <v>2</v>
      </c>
      <c r="B195" s="90" t="s">
        <v>206</v>
      </c>
      <c r="C195" s="100" t="s">
        <v>207</v>
      </c>
      <c r="D195" s="96" t="s">
        <v>29</v>
      </c>
      <c r="E195" s="92">
        <v>1</v>
      </c>
      <c r="F195" s="87">
        <v>500000</v>
      </c>
      <c r="G195" s="88">
        <f t="shared" si="8"/>
        <v>500000</v>
      </c>
    </row>
    <row r="196" spans="1:7" ht="15.75" x14ac:dyDescent="0.25">
      <c r="A196" s="89">
        <v>3</v>
      </c>
      <c r="B196" s="90" t="s">
        <v>208</v>
      </c>
      <c r="C196" s="112" t="s">
        <v>209</v>
      </c>
      <c r="D196" s="96" t="s">
        <v>29</v>
      </c>
      <c r="E196" s="92">
        <v>1</v>
      </c>
      <c r="F196" s="87">
        <v>1500000</v>
      </c>
      <c r="G196" s="88">
        <f t="shared" si="8"/>
        <v>1500000</v>
      </c>
    </row>
    <row r="197" spans="1:7" ht="15.75" x14ac:dyDescent="0.25">
      <c r="A197" s="89">
        <v>4</v>
      </c>
      <c r="B197" s="90" t="s">
        <v>134</v>
      </c>
      <c r="C197" s="112" t="s">
        <v>135</v>
      </c>
      <c r="D197" s="96" t="s">
        <v>136</v>
      </c>
      <c r="E197" s="92">
        <v>22</v>
      </c>
      <c r="F197" s="87">
        <v>275000</v>
      </c>
      <c r="G197" s="88">
        <f t="shared" si="8"/>
        <v>6050000</v>
      </c>
    </row>
    <row r="198" spans="1:7" ht="15.75" x14ac:dyDescent="0.25">
      <c r="A198" s="89">
        <v>5</v>
      </c>
      <c r="B198" s="90" t="s">
        <v>137</v>
      </c>
      <c r="C198" s="60" t="s">
        <v>138</v>
      </c>
      <c r="D198" s="97" t="s">
        <v>136</v>
      </c>
      <c r="E198" s="92">
        <v>10</v>
      </c>
      <c r="F198" s="87">
        <v>375000</v>
      </c>
      <c r="G198" s="88">
        <f t="shared" si="8"/>
        <v>3750000</v>
      </c>
    </row>
    <row r="199" spans="1:7" ht="15.75" x14ac:dyDescent="0.25">
      <c r="A199" s="89">
        <v>6</v>
      </c>
      <c r="B199" s="90" t="s">
        <v>210</v>
      </c>
      <c r="C199" s="126" t="s">
        <v>211</v>
      </c>
      <c r="D199" s="106" t="s">
        <v>212</v>
      </c>
      <c r="E199" s="92">
        <v>1</v>
      </c>
      <c r="F199" s="87">
        <v>13000000</v>
      </c>
      <c r="G199" s="88">
        <f t="shared" si="8"/>
        <v>13000000</v>
      </c>
    </row>
    <row r="200" spans="1:7" ht="15.75" x14ac:dyDescent="0.25">
      <c r="A200" s="89">
        <v>7</v>
      </c>
      <c r="B200" s="90" t="s">
        <v>213</v>
      </c>
      <c r="C200" s="100" t="s">
        <v>214</v>
      </c>
      <c r="D200" s="106" t="s">
        <v>212</v>
      </c>
      <c r="E200" s="92">
        <v>1</v>
      </c>
      <c r="F200" s="87">
        <v>8500000</v>
      </c>
      <c r="G200" s="88">
        <f t="shared" si="8"/>
        <v>8500000</v>
      </c>
    </row>
    <row r="201" spans="1:7" ht="15.75" x14ac:dyDescent="0.25">
      <c r="A201" s="89">
        <v>8</v>
      </c>
      <c r="B201" s="90" t="s">
        <v>215</v>
      </c>
      <c r="C201" s="100" t="s">
        <v>216</v>
      </c>
      <c r="D201" s="106" t="s">
        <v>212</v>
      </c>
      <c r="E201" s="92">
        <v>1</v>
      </c>
      <c r="F201" s="87">
        <v>5500000</v>
      </c>
      <c r="G201" s="88">
        <f t="shared" si="8"/>
        <v>5500000</v>
      </c>
    </row>
    <row r="202" spans="1:7" ht="15.75" x14ac:dyDescent="0.25">
      <c r="A202" s="89">
        <v>9</v>
      </c>
      <c r="B202" s="90" t="s">
        <v>217</v>
      </c>
      <c r="C202" s="100" t="s">
        <v>216</v>
      </c>
      <c r="D202" s="106" t="s">
        <v>218</v>
      </c>
      <c r="E202" s="92">
        <v>1</v>
      </c>
      <c r="F202" s="87">
        <v>3500000</v>
      </c>
      <c r="G202" s="88">
        <f t="shared" si="8"/>
        <v>3500000</v>
      </c>
    </row>
    <row r="203" spans="1:7" ht="15.75" x14ac:dyDescent="0.25">
      <c r="A203" s="89">
        <v>10</v>
      </c>
      <c r="B203" s="90" t="s">
        <v>219</v>
      </c>
      <c r="C203" s="100" t="s">
        <v>220</v>
      </c>
      <c r="D203" s="107" t="s">
        <v>218</v>
      </c>
      <c r="E203" s="92">
        <v>3</v>
      </c>
      <c r="F203" s="87">
        <v>350000</v>
      </c>
      <c r="G203" s="88">
        <f t="shared" si="8"/>
        <v>1050000</v>
      </c>
    </row>
    <row r="204" spans="1:7" ht="15.75" x14ac:dyDescent="0.25">
      <c r="A204" s="68"/>
      <c r="B204" s="69"/>
      <c r="C204" s="70" t="s">
        <v>221</v>
      </c>
      <c r="D204" s="71"/>
      <c r="E204" s="101"/>
      <c r="F204" s="87"/>
      <c r="G204" s="98">
        <f>SUM(G194:G203)</f>
        <v>44350000</v>
      </c>
    </row>
    <row r="205" spans="1:7" ht="15.75" x14ac:dyDescent="0.25">
      <c r="A205" s="82" t="s">
        <v>222</v>
      </c>
      <c r="B205" s="110" t="s">
        <v>223</v>
      </c>
      <c r="C205" s="91"/>
      <c r="D205" s="71"/>
      <c r="E205" s="101"/>
      <c r="F205" s="87"/>
      <c r="G205" s="98"/>
    </row>
    <row r="206" spans="1:7" ht="15.75" x14ac:dyDescent="0.25">
      <c r="A206" s="82" t="s">
        <v>40</v>
      </c>
      <c r="B206" s="83" t="s">
        <v>224</v>
      </c>
      <c r="C206" s="91"/>
      <c r="D206" s="127"/>
      <c r="E206" s="101"/>
      <c r="F206" s="87"/>
      <c r="G206" s="98"/>
    </row>
    <row r="207" spans="1:7" ht="16.5" x14ac:dyDescent="0.25">
      <c r="A207" s="89">
        <v>1</v>
      </c>
      <c r="B207" s="90" t="s">
        <v>69</v>
      </c>
      <c r="C207" s="91" t="s">
        <v>70</v>
      </c>
      <c r="D207" s="61" t="s">
        <v>57</v>
      </c>
      <c r="E207" s="92">
        <f>(1*1*1*4)</f>
        <v>4</v>
      </c>
      <c r="F207" s="87">
        <v>150000</v>
      </c>
      <c r="G207" s="88">
        <f t="shared" ref="G207:G230" si="9">E207*F207</f>
        <v>600000</v>
      </c>
    </row>
    <row r="208" spans="1:7" ht="16.5" x14ac:dyDescent="0.25">
      <c r="A208" s="89">
        <v>2</v>
      </c>
      <c r="B208" s="90" t="s">
        <v>225</v>
      </c>
      <c r="C208" s="91"/>
      <c r="D208" s="61" t="s">
        <v>57</v>
      </c>
      <c r="E208" s="92">
        <f>E207*0.5</f>
        <v>2</v>
      </c>
      <c r="F208" s="87">
        <v>100000</v>
      </c>
      <c r="G208" s="88">
        <f t="shared" si="9"/>
        <v>200000</v>
      </c>
    </row>
    <row r="209" spans="1:7" ht="16.5" x14ac:dyDescent="0.25">
      <c r="A209" s="89">
        <v>3</v>
      </c>
      <c r="B209" s="90" t="s">
        <v>71</v>
      </c>
      <c r="C209" s="91"/>
      <c r="D209" s="61" t="s">
        <v>57</v>
      </c>
      <c r="E209" s="92">
        <f>E208</f>
        <v>2</v>
      </c>
      <c r="F209" s="87">
        <v>50000</v>
      </c>
      <c r="G209" s="88">
        <f t="shared" si="9"/>
        <v>100000</v>
      </c>
    </row>
    <row r="210" spans="1:7" ht="18.75" x14ac:dyDescent="0.25">
      <c r="A210" s="89">
        <v>4</v>
      </c>
      <c r="B210" s="90" t="s">
        <v>226</v>
      </c>
      <c r="C210" s="94"/>
      <c r="D210" s="96" t="s">
        <v>227</v>
      </c>
      <c r="E210" s="92">
        <f>E209</f>
        <v>2</v>
      </c>
      <c r="F210" s="86">
        <v>800000</v>
      </c>
      <c r="G210" s="88">
        <f t="shared" si="9"/>
        <v>1600000</v>
      </c>
    </row>
    <row r="211" spans="1:7" ht="16.5" x14ac:dyDescent="0.25">
      <c r="A211" s="89">
        <v>5</v>
      </c>
      <c r="B211" s="90" t="s">
        <v>228</v>
      </c>
      <c r="C211" s="100" t="s">
        <v>76</v>
      </c>
      <c r="D211" s="61" t="s">
        <v>57</v>
      </c>
      <c r="E211" s="92">
        <f>0.8*0.8*0.25*4</f>
        <v>0.64000000000000012</v>
      </c>
      <c r="F211" s="86">
        <f>F136</f>
        <v>5793300</v>
      </c>
      <c r="G211" s="88">
        <f t="shared" si="9"/>
        <v>3707712.0000000009</v>
      </c>
    </row>
    <row r="212" spans="1:7" ht="18.75" x14ac:dyDescent="0.25">
      <c r="A212" s="89">
        <v>6</v>
      </c>
      <c r="B212" s="90" t="s">
        <v>229</v>
      </c>
      <c r="C212" s="94" t="s">
        <v>76</v>
      </c>
      <c r="D212" s="96" t="s">
        <v>227</v>
      </c>
      <c r="E212" s="128">
        <f>(0.2*0.45*4*5)</f>
        <v>1.8000000000000003</v>
      </c>
      <c r="F212" s="129">
        <f>F136</f>
        <v>5793300</v>
      </c>
      <c r="G212" s="88">
        <f t="shared" si="9"/>
        <v>10427940.000000002</v>
      </c>
    </row>
    <row r="213" spans="1:7" ht="18.75" x14ac:dyDescent="0.25">
      <c r="A213" s="89">
        <v>7</v>
      </c>
      <c r="B213" s="90" t="s">
        <v>230</v>
      </c>
      <c r="C213" s="94" t="s">
        <v>76</v>
      </c>
      <c r="D213" s="96" t="s">
        <v>227</v>
      </c>
      <c r="E213" s="92">
        <f>0.15*0.4*45</f>
        <v>2.6999999999999997</v>
      </c>
      <c r="F213" s="129">
        <f>F211</f>
        <v>5793300</v>
      </c>
      <c r="G213" s="88">
        <f t="shared" si="9"/>
        <v>15641909.999999998</v>
      </c>
    </row>
    <row r="214" spans="1:7" ht="18.75" x14ac:dyDescent="0.25">
      <c r="A214" s="89">
        <v>8</v>
      </c>
      <c r="B214" s="90" t="s">
        <v>231</v>
      </c>
      <c r="C214" s="94" t="s">
        <v>76</v>
      </c>
      <c r="D214" s="96" t="s">
        <v>227</v>
      </c>
      <c r="E214" s="92">
        <f>(4*6.5*0.12)+(2*4*0.12)</f>
        <v>4.08</v>
      </c>
      <c r="F214" s="129">
        <f>F211</f>
        <v>5793300</v>
      </c>
      <c r="G214" s="88">
        <f t="shared" si="9"/>
        <v>23636664</v>
      </c>
    </row>
    <row r="215" spans="1:7" ht="18.75" x14ac:dyDescent="0.25">
      <c r="A215" s="89">
        <v>9</v>
      </c>
      <c r="B215" s="90" t="s">
        <v>232</v>
      </c>
      <c r="C215" s="94"/>
      <c r="D215" s="96" t="s">
        <v>60</v>
      </c>
      <c r="E215" s="92">
        <v>11</v>
      </c>
      <c r="F215" s="86">
        <v>450000</v>
      </c>
      <c r="G215" s="88">
        <f t="shared" si="9"/>
        <v>4950000</v>
      </c>
    </row>
    <row r="216" spans="1:7" ht="18.75" x14ac:dyDescent="0.25">
      <c r="A216" s="89">
        <v>10</v>
      </c>
      <c r="B216" s="90" t="s">
        <v>233</v>
      </c>
      <c r="C216" s="94" t="s">
        <v>234</v>
      </c>
      <c r="D216" s="96" t="s">
        <v>235</v>
      </c>
      <c r="E216" s="128">
        <f>6*1.5*3</f>
        <v>27</v>
      </c>
      <c r="F216" s="86">
        <f>F144</f>
        <v>147700</v>
      </c>
      <c r="G216" s="88">
        <f t="shared" si="9"/>
        <v>3987900</v>
      </c>
    </row>
    <row r="217" spans="1:7" ht="18.75" x14ac:dyDescent="0.25">
      <c r="A217" s="89">
        <v>11</v>
      </c>
      <c r="B217" s="90" t="s">
        <v>236</v>
      </c>
      <c r="C217" s="94" t="s">
        <v>86</v>
      </c>
      <c r="D217" s="96" t="s">
        <v>235</v>
      </c>
      <c r="E217" s="92">
        <f>E216*2</f>
        <v>54</v>
      </c>
      <c r="F217" s="86">
        <f>F145+F146</f>
        <v>128600</v>
      </c>
      <c r="G217" s="88">
        <f t="shared" si="9"/>
        <v>6944400</v>
      </c>
    </row>
    <row r="218" spans="1:7" ht="18.75" x14ac:dyDescent="0.25">
      <c r="A218" s="89">
        <v>12</v>
      </c>
      <c r="B218" s="90" t="s">
        <v>237</v>
      </c>
      <c r="C218" s="130" t="s">
        <v>238</v>
      </c>
      <c r="D218" s="96" t="s">
        <v>60</v>
      </c>
      <c r="E218" s="92">
        <v>11</v>
      </c>
      <c r="F218" s="86">
        <v>750000</v>
      </c>
      <c r="G218" s="88">
        <f t="shared" si="9"/>
        <v>8250000</v>
      </c>
    </row>
    <row r="219" spans="1:7" ht="15.75" x14ac:dyDescent="0.25">
      <c r="A219" s="89">
        <v>13</v>
      </c>
      <c r="B219" s="90" t="s">
        <v>239</v>
      </c>
      <c r="C219" s="130" t="s">
        <v>240</v>
      </c>
      <c r="D219" s="85" t="s">
        <v>241</v>
      </c>
      <c r="E219" s="92">
        <f>(0.25+0.45)*2*4*4</f>
        <v>22.4</v>
      </c>
      <c r="F219" s="86">
        <v>450000</v>
      </c>
      <c r="G219" s="88">
        <f t="shared" si="9"/>
        <v>10080000</v>
      </c>
    </row>
    <row r="220" spans="1:7" ht="18.75" x14ac:dyDescent="0.25">
      <c r="A220" s="89">
        <v>14</v>
      </c>
      <c r="B220" s="131" t="s">
        <v>242</v>
      </c>
      <c r="C220" s="94"/>
      <c r="D220" s="96" t="s">
        <v>235</v>
      </c>
      <c r="E220" s="92">
        <f>(4*6.5)+(2*4)</f>
        <v>34</v>
      </c>
      <c r="F220" s="86">
        <v>75000</v>
      </c>
      <c r="G220" s="88">
        <f t="shared" si="9"/>
        <v>2550000</v>
      </c>
    </row>
    <row r="221" spans="1:7" ht="18.75" x14ac:dyDescent="0.25">
      <c r="A221" s="89">
        <v>15</v>
      </c>
      <c r="B221" s="90" t="s">
        <v>243</v>
      </c>
      <c r="C221" s="91" t="s">
        <v>89</v>
      </c>
      <c r="D221" s="96" t="s">
        <v>235</v>
      </c>
      <c r="E221" s="92">
        <f>(4*6.5)+(2*4)</f>
        <v>34</v>
      </c>
      <c r="F221" s="86">
        <v>350000</v>
      </c>
      <c r="G221" s="88">
        <f t="shared" si="9"/>
        <v>11900000</v>
      </c>
    </row>
    <row r="222" spans="1:7" ht="18.75" x14ac:dyDescent="0.25">
      <c r="A222" s="89">
        <v>16</v>
      </c>
      <c r="B222" s="90" t="s">
        <v>244</v>
      </c>
      <c r="C222" s="94" t="s">
        <v>245</v>
      </c>
      <c r="D222" s="96" t="s">
        <v>235</v>
      </c>
      <c r="E222" s="92">
        <f>(4*6.5)+(2*4)</f>
        <v>34</v>
      </c>
      <c r="F222" s="86">
        <f>F165</f>
        <v>156350</v>
      </c>
      <c r="G222" s="88">
        <f t="shared" si="9"/>
        <v>5315900</v>
      </c>
    </row>
    <row r="223" spans="1:7" ht="18.75" x14ac:dyDescent="0.25">
      <c r="A223" s="89">
        <v>17</v>
      </c>
      <c r="B223" s="90" t="s">
        <v>246</v>
      </c>
      <c r="C223" s="94"/>
      <c r="D223" s="96" t="s">
        <v>60</v>
      </c>
      <c r="E223" s="132">
        <v>35</v>
      </c>
      <c r="F223" s="86">
        <v>27000</v>
      </c>
      <c r="G223" s="88">
        <f t="shared" si="9"/>
        <v>945000</v>
      </c>
    </row>
    <row r="224" spans="1:7" ht="18.75" x14ac:dyDescent="0.25">
      <c r="A224" s="89">
        <v>18</v>
      </c>
      <c r="B224" s="90" t="s">
        <v>247</v>
      </c>
      <c r="C224" s="91" t="s">
        <v>120</v>
      </c>
      <c r="D224" s="96" t="s">
        <v>60</v>
      </c>
      <c r="E224" s="92">
        <f>4+4+4+2</f>
        <v>14</v>
      </c>
      <c r="F224" s="87">
        <v>1700000</v>
      </c>
      <c r="G224" s="88">
        <f t="shared" si="9"/>
        <v>23800000</v>
      </c>
    </row>
    <row r="225" spans="1:7" ht="18.75" x14ac:dyDescent="0.25">
      <c r="A225" s="89">
        <v>19</v>
      </c>
      <c r="B225" s="90" t="s">
        <v>248</v>
      </c>
      <c r="C225" s="94" t="s">
        <v>249</v>
      </c>
      <c r="D225" s="96" t="s">
        <v>235</v>
      </c>
      <c r="E225" s="92">
        <f>40</f>
        <v>40</v>
      </c>
      <c r="F225" s="86">
        <v>65000</v>
      </c>
      <c r="G225" s="88">
        <f t="shared" si="9"/>
        <v>2600000</v>
      </c>
    </row>
    <row r="226" spans="1:7" ht="15.75" x14ac:dyDescent="0.25">
      <c r="A226" s="89">
        <v>20</v>
      </c>
      <c r="B226" s="90" t="s">
        <v>250</v>
      </c>
      <c r="C226" s="94" t="s">
        <v>251</v>
      </c>
      <c r="D226" s="85" t="s">
        <v>218</v>
      </c>
      <c r="E226" s="92">
        <v>3</v>
      </c>
      <c r="F226" s="86">
        <v>350000</v>
      </c>
      <c r="G226" s="88">
        <f t="shared" si="9"/>
        <v>1050000</v>
      </c>
    </row>
    <row r="227" spans="1:7" ht="18.75" x14ac:dyDescent="0.25">
      <c r="A227" s="89">
        <v>21</v>
      </c>
      <c r="B227" s="90" t="s">
        <v>252</v>
      </c>
      <c r="C227" s="94" t="s">
        <v>133</v>
      </c>
      <c r="D227" s="96" t="s">
        <v>60</v>
      </c>
      <c r="E227" s="92">
        <v>8</v>
      </c>
      <c r="F227" s="86">
        <v>120000</v>
      </c>
      <c r="G227" s="88">
        <f t="shared" si="9"/>
        <v>960000</v>
      </c>
    </row>
    <row r="228" spans="1:7" ht="15.75" x14ac:dyDescent="0.25">
      <c r="A228" s="89">
        <v>22</v>
      </c>
      <c r="B228" s="90" t="s">
        <v>253</v>
      </c>
      <c r="C228" s="94" t="s">
        <v>135</v>
      </c>
      <c r="D228" s="85" t="s">
        <v>254</v>
      </c>
      <c r="E228" s="92">
        <v>6</v>
      </c>
      <c r="F228" s="86">
        <v>275000</v>
      </c>
      <c r="G228" s="88">
        <f t="shared" si="9"/>
        <v>1650000</v>
      </c>
    </row>
    <row r="229" spans="1:7" ht="15.75" x14ac:dyDescent="0.25">
      <c r="A229" s="89">
        <v>23</v>
      </c>
      <c r="B229" s="90" t="s">
        <v>255</v>
      </c>
      <c r="C229" s="94" t="s">
        <v>256</v>
      </c>
      <c r="D229" s="85" t="s">
        <v>241</v>
      </c>
      <c r="E229" s="92">
        <v>2</v>
      </c>
      <c r="F229" s="86">
        <v>275000</v>
      </c>
      <c r="G229" s="88">
        <f t="shared" si="9"/>
        <v>550000</v>
      </c>
    </row>
    <row r="230" spans="1:7" ht="15.75" x14ac:dyDescent="0.25">
      <c r="A230" s="89">
        <v>24</v>
      </c>
      <c r="B230" s="90" t="s">
        <v>257</v>
      </c>
      <c r="C230" s="94"/>
      <c r="D230" s="85" t="s">
        <v>241</v>
      </c>
      <c r="E230" s="92">
        <v>4</v>
      </c>
      <c r="F230" s="133">
        <v>325000</v>
      </c>
      <c r="G230" s="88">
        <f t="shared" si="9"/>
        <v>1300000</v>
      </c>
    </row>
    <row r="231" spans="1:7" ht="15.75" x14ac:dyDescent="0.25">
      <c r="A231" s="68"/>
      <c r="B231" s="134"/>
      <c r="C231" s="70" t="s">
        <v>258</v>
      </c>
      <c r="D231" s="71"/>
      <c r="E231" s="101"/>
      <c r="F231" s="87"/>
      <c r="G231" s="98">
        <f>SUM(G207:G230)</f>
        <v>142747426</v>
      </c>
    </row>
    <row r="232" spans="1:7" ht="15.75" x14ac:dyDescent="0.25">
      <c r="A232" s="82" t="s">
        <v>66</v>
      </c>
      <c r="B232" s="83" t="s">
        <v>259</v>
      </c>
      <c r="C232" s="99"/>
      <c r="D232" s="71"/>
      <c r="E232" s="72"/>
      <c r="F232" s="87"/>
      <c r="G232" s="88"/>
    </row>
    <row r="233" spans="1:7" ht="16.5" x14ac:dyDescent="0.25">
      <c r="A233" s="89">
        <v>1</v>
      </c>
      <c r="B233" s="90" t="s">
        <v>69</v>
      </c>
      <c r="C233" s="91" t="s">
        <v>70</v>
      </c>
      <c r="D233" s="61" t="s">
        <v>57</v>
      </c>
      <c r="E233" s="92">
        <f>0.6*0.7*6</f>
        <v>2.52</v>
      </c>
      <c r="F233" s="87">
        <v>150000</v>
      </c>
      <c r="G233" s="88">
        <f t="shared" ref="G233:G244" si="10">E233*F233</f>
        <v>378000</v>
      </c>
    </row>
    <row r="234" spans="1:7" ht="16.5" x14ac:dyDescent="0.25">
      <c r="A234" s="89">
        <v>2</v>
      </c>
      <c r="B234" s="90" t="s">
        <v>71</v>
      </c>
      <c r="C234" s="91"/>
      <c r="D234" s="61" t="s">
        <v>57</v>
      </c>
      <c r="E234" s="92">
        <f>E233</f>
        <v>2.52</v>
      </c>
      <c r="F234" s="87">
        <v>50000</v>
      </c>
      <c r="G234" s="88">
        <f t="shared" si="10"/>
        <v>126000</v>
      </c>
    </row>
    <row r="235" spans="1:7" ht="18.75" x14ac:dyDescent="0.25">
      <c r="A235" s="89">
        <v>3</v>
      </c>
      <c r="B235" s="90" t="s">
        <v>226</v>
      </c>
      <c r="C235" s="94"/>
      <c r="D235" s="96" t="s">
        <v>227</v>
      </c>
      <c r="E235" s="92">
        <f>0.6*0.07*6</f>
        <v>0.252</v>
      </c>
      <c r="F235" s="86">
        <v>800000</v>
      </c>
      <c r="G235" s="88">
        <f t="shared" si="10"/>
        <v>201600</v>
      </c>
    </row>
    <row r="236" spans="1:7" ht="16.5" x14ac:dyDescent="0.25">
      <c r="A236" s="89">
        <v>4</v>
      </c>
      <c r="B236" s="90" t="s">
        <v>260</v>
      </c>
      <c r="C236" s="100" t="s">
        <v>76</v>
      </c>
      <c r="D236" s="61" t="s">
        <v>57</v>
      </c>
      <c r="E236" s="92">
        <f>(10*0.15*0.25)+(0.15*0.2*8)</f>
        <v>0.61499999999999999</v>
      </c>
      <c r="F236" s="86">
        <f>F211</f>
        <v>5793300</v>
      </c>
      <c r="G236" s="88">
        <f t="shared" si="10"/>
        <v>3562879.5</v>
      </c>
    </row>
    <row r="237" spans="1:7" ht="18.75" x14ac:dyDescent="0.25">
      <c r="A237" s="89">
        <v>5</v>
      </c>
      <c r="B237" s="90" t="s">
        <v>229</v>
      </c>
      <c r="C237" s="94" t="s">
        <v>76</v>
      </c>
      <c r="D237" s="96" t="s">
        <v>227</v>
      </c>
      <c r="E237" s="128">
        <f>0.15*0.2*3*4</f>
        <v>0.36</v>
      </c>
      <c r="F237" s="129">
        <f>F213</f>
        <v>5793300</v>
      </c>
      <c r="G237" s="88">
        <f t="shared" si="10"/>
        <v>2085588</v>
      </c>
    </row>
    <row r="238" spans="1:7" ht="18.75" x14ac:dyDescent="0.25">
      <c r="A238" s="89">
        <v>6</v>
      </c>
      <c r="B238" s="90" t="s">
        <v>233</v>
      </c>
      <c r="C238" s="94" t="s">
        <v>234</v>
      </c>
      <c r="D238" s="96" t="s">
        <v>235</v>
      </c>
      <c r="E238" s="128">
        <f>(6*2.2)+(6*1)</f>
        <v>19.200000000000003</v>
      </c>
      <c r="F238" s="86">
        <f>F216</f>
        <v>147700</v>
      </c>
      <c r="G238" s="88">
        <f t="shared" si="10"/>
        <v>2835840.0000000005</v>
      </c>
    </row>
    <row r="239" spans="1:7" ht="18.75" x14ac:dyDescent="0.25">
      <c r="A239" s="89">
        <v>7</v>
      </c>
      <c r="B239" s="90" t="s">
        <v>236</v>
      </c>
      <c r="C239" s="94" t="s">
        <v>86</v>
      </c>
      <c r="D239" s="96" t="s">
        <v>235</v>
      </c>
      <c r="E239" s="92">
        <f>E238*2</f>
        <v>38.400000000000006</v>
      </c>
      <c r="F239" s="86">
        <f>F217</f>
        <v>128600</v>
      </c>
      <c r="G239" s="88">
        <f t="shared" si="10"/>
        <v>4938240.0000000009</v>
      </c>
    </row>
    <row r="240" spans="1:7" ht="18.75" x14ac:dyDescent="0.25">
      <c r="A240" s="89">
        <v>8</v>
      </c>
      <c r="B240" s="90" t="s">
        <v>261</v>
      </c>
      <c r="C240" s="91"/>
      <c r="D240" s="96" t="s">
        <v>235</v>
      </c>
      <c r="E240" s="128">
        <f>6*2</f>
        <v>12</v>
      </c>
      <c r="F240" s="86">
        <f>F218</f>
        <v>750000</v>
      </c>
      <c r="G240" s="88">
        <f t="shared" si="10"/>
        <v>9000000</v>
      </c>
    </row>
    <row r="241" spans="1:7" ht="18.75" x14ac:dyDescent="0.25">
      <c r="A241" s="89">
        <v>9</v>
      </c>
      <c r="B241" s="90" t="s">
        <v>262</v>
      </c>
      <c r="C241" s="91"/>
      <c r="D241" s="96" t="s">
        <v>263</v>
      </c>
      <c r="E241" s="128">
        <f t="shared" ref="E241" si="11">6*2</f>
        <v>12</v>
      </c>
      <c r="F241" s="86">
        <v>1500000</v>
      </c>
      <c r="G241" s="88">
        <f t="shared" si="10"/>
        <v>18000000</v>
      </c>
    </row>
    <row r="242" spans="1:7" ht="18.75" x14ac:dyDescent="0.25">
      <c r="A242" s="89">
        <v>10</v>
      </c>
      <c r="B242" s="90" t="s">
        <v>264</v>
      </c>
      <c r="C242" s="91"/>
      <c r="D242" s="96" t="s">
        <v>265</v>
      </c>
      <c r="E242" s="128">
        <f>6*1</f>
        <v>6</v>
      </c>
      <c r="F242" s="86">
        <v>1200000</v>
      </c>
      <c r="G242" s="88">
        <f t="shared" si="10"/>
        <v>7200000</v>
      </c>
    </row>
    <row r="243" spans="1:7" ht="18.75" x14ac:dyDescent="0.25">
      <c r="A243" s="89">
        <v>11</v>
      </c>
      <c r="B243" s="90" t="s">
        <v>266</v>
      </c>
      <c r="C243" s="94" t="s">
        <v>249</v>
      </c>
      <c r="D243" s="96" t="s">
        <v>235</v>
      </c>
      <c r="E243" s="92">
        <f>E239</f>
        <v>38.400000000000006</v>
      </c>
      <c r="F243" s="86">
        <v>65000</v>
      </c>
      <c r="G243" s="88">
        <f t="shared" si="10"/>
        <v>2496000.0000000005</v>
      </c>
    </row>
    <row r="244" spans="1:7" ht="15.75" x14ac:dyDescent="0.25">
      <c r="A244" s="89">
        <v>12</v>
      </c>
      <c r="B244" s="90" t="s">
        <v>134</v>
      </c>
      <c r="C244" s="91"/>
      <c r="D244" s="97" t="s">
        <v>267</v>
      </c>
      <c r="E244" s="128">
        <v>3</v>
      </c>
      <c r="F244" s="87">
        <v>350000</v>
      </c>
      <c r="G244" s="88">
        <f t="shared" si="10"/>
        <v>1050000</v>
      </c>
    </row>
    <row r="245" spans="1:7" ht="16.5" thickBot="1" x14ac:dyDescent="0.3">
      <c r="A245" s="68"/>
      <c r="B245" s="69"/>
      <c r="C245" s="70" t="s">
        <v>268</v>
      </c>
      <c r="D245" s="71"/>
      <c r="E245" s="101"/>
      <c r="F245" s="87"/>
      <c r="G245" s="98">
        <f>SUM(G233:G244)</f>
        <v>51874147.5</v>
      </c>
    </row>
    <row r="246" spans="1:7" ht="16.5" thickBot="1" x14ac:dyDescent="0.3">
      <c r="A246" s="135"/>
      <c r="B246" s="136"/>
      <c r="C246" s="49"/>
      <c r="D246" s="137"/>
      <c r="E246" s="138"/>
      <c r="F246" s="139"/>
      <c r="G246" s="140"/>
    </row>
  </sheetData>
  <mergeCells count="4">
    <mergeCell ref="A6:A7"/>
    <mergeCell ref="B6:B7"/>
    <mergeCell ref="D6:D7"/>
    <mergeCell ref="E6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AA85-806F-4C54-A5F0-4C82EEC78325}">
  <dimension ref="A1:R286"/>
  <sheetViews>
    <sheetView workbookViewId="0">
      <selection sqref="A1:XFD1048576"/>
    </sheetView>
  </sheetViews>
  <sheetFormatPr defaultRowHeight="15" x14ac:dyDescent="0.25"/>
  <cols>
    <col min="1" max="1" width="5.7109375" customWidth="1"/>
    <col min="2" max="2" width="42" customWidth="1"/>
    <col min="3" max="3" width="51.7109375" customWidth="1"/>
    <col min="4" max="4" width="7.140625" customWidth="1"/>
    <col min="5" max="5" width="7.28515625" customWidth="1"/>
    <col min="6" max="6" width="13" hidden="1" customWidth="1"/>
    <col min="7" max="8" width="11.85546875" hidden="1" customWidth="1"/>
    <col min="9" max="9" width="15.140625" customWidth="1"/>
    <col min="10" max="10" width="14.7109375" customWidth="1"/>
    <col min="12" max="12" width="14" customWidth="1"/>
    <col min="13" max="13" width="14.42578125" customWidth="1"/>
    <col min="14" max="14" width="15.28515625" customWidth="1"/>
    <col min="15" max="15" width="13.7109375" customWidth="1"/>
    <col min="16" max="16" width="16" customWidth="1"/>
    <col min="17" max="17" width="16.7109375" customWidth="1"/>
    <col min="18" max="18" width="13.5703125" bestFit="1" customWidth="1"/>
  </cols>
  <sheetData>
    <row r="1" spans="1:18" ht="18.75" x14ac:dyDescent="0.3">
      <c r="B1" s="141" t="s">
        <v>0</v>
      </c>
      <c r="C1" s="142" t="s">
        <v>269</v>
      </c>
    </row>
    <row r="2" spans="1:18" ht="15.75" x14ac:dyDescent="0.25">
      <c r="B2" s="143" t="s">
        <v>1</v>
      </c>
      <c r="C2" s="144" t="s">
        <v>270</v>
      </c>
    </row>
    <row r="3" spans="1:18" ht="15.75" x14ac:dyDescent="0.25">
      <c r="B3" s="143" t="s">
        <v>3</v>
      </c>
      <c r="C3" s="144" t="s">
        <v>4</v>
      </c>
    </row>
    <row r="4" spans="1:18" ht="15.75" x14ac:dyDescent="0.25">
      <c r="B4" s="143" t="s">
        <v>5</v>
      </c>
      <c r="C4" s="144" t="s">
        <v>271</v>
      </c>
    </row>
    <row r="5" spans="1:18" ht="19.5" thickBot="1" x14ac:dyDescent="0.35">
      <c r="B5" s="143" t="s">
        <v>7</v>
      </c>
      <c r="C5" s="144" t="s">
        <v>272</v>
      </c>
      <c r="J5" s="145" t="s">
        <v>273</v>
      </c>
      <c r="O5" s="142" t="s">
        <v>274</v>
      </c>
      <c r="Q5" s="145" t="s">
        <v>275</v>
      </c>
    </row>
    <row r="6" spans="1:18" ht="18.75" x14ac:dyDescent="0.25">
      <c r="A6" s="930" t="s">
        <v>276</v>
      </c>
      <c r="B6" s="926" t="s">
        <v>277</v>
      </c>
      <c r="C6" s="926" t="s">
        <v>278</v>
      </c>
      <c r="D6" s="926" t="s">
        <v>279</v>
      </c>
      <c r="E6" s="930" t="s">
        <v>280</v>
      </c>
      <c r="F6" s="146" t="s">
        <v>281</v>
      </c>
      <c r="G6" s="146" t="s">
        <v>282</v>
      </c>
      <c r="H6" s="146" t="s">
        <v>282</v>
      </c>
      <c r="I6" s="926" t="s">
        <v>283</v>
      </c>
      <c r="J6" s="928" t="s">
        <v>284</v>
      </c>
      <c r="K6" s="930" t="s">
        <v>280</v>
      </c>
      <c r="L6" s="146" t="s">
        <v>281</v>
      </c>
      <c r="M6" s="146" t="s">
        <v>282</v>
      </c>
      <c r="N6" s="146" t="s">
        <v>282</v>
      </c>
      <c r="O6" s="926" t="s">
        <v>283</v>
      </c>
      <c r="P6" s="928" t="s">
        <v>284</v>
      </c>
      <c r="Q6" s="928" t="s">
        <v>284</v>
      </c>
    </row>
    <row r="7" spans="1:18" ht="19.5" thickBot="1" x14ac:dyDescent="0.3">
      <c r="A7" s="931"/>
      <c r="B7" s="935"/>
      <c r="C7" s="935"/>
      <c r="D7" s="935"/>
      <c r="E7" s="931"/>
      <c r="F7" s="147" t="s">
        <v>285</v>
      </c>
      <c r="G7" s="147" t="s">
        <v>286</v>
      </c>
      <c r="H7" s="147" t="s">
        <v>287</v>
      </c>
      <c r="I7" s="935"/>
      <c r="J7" s="934"/>
      <c r="K7" s="931"/>
      <c r="L7" s="147" t="s">
        <v>285</v>
      </c>
      <c r="M7" s="147" t="s">
        <v>286</v>
      </c>
      <c r="N7" s="147" t="s">
        <v>287</v>
      </c>
      <c r="O7" s="935"/>
      <c r="P7" s="934"/>
      <c r="Q7" s="934"/>
    </row>
    <row r="8" spans="1:18" x14ac:dyDescent="0.25">
      <c r="A8" s="148" t="s">
        <v>288</v>
      </c>
      <c r="B8" s="149" t="s">
        <v>289</v>
      </c>
      <c r="C8" s="149" t="s">
        <v>282</v>
      </c>
      <c r="D8" s="150" t="s">
        <v>290</v>
      </c>
      <c r="E8" s="151" t="s">
        <v>282</v>
      </c>
      <c r="F8" s="151"/>
      <c r="G8" s="151"/>
      <c r="H8" s="151"/>
      <c r="I8" s="151"/>
      <c r="J8" s="152"/>
      <c r="K8" s="151" t="s">
        <v>282</v>
      </c>
      <c r="L8" s="151"/>
      <c r="M8" s="151"/>
      <c r="N8" s="151"/>
      <c r="O8" s="151"/>
      <c r="P8" s="152"/>
      <c r="Q8" s="153"/>
    </row>
    <row r="9" spans="1:18" x14ac:dyDescent="0.25">
      <c r="A9" s="154">
        <v>1</v>
      </c>
      <c r="B9" s="155" t="s">
        <v>25</v>
      </c>
      <c r="C9" s="156" t="s">
        <v>26</v>
      </c>
      <c r="D9" s="157" t="s">
        <v>29</v>
      </c>
      <c r="E9" s="158">
        <v>1</v>
      </c>
      <c r="F9" s="159"/>
      <c r="G9" s="159"/>
      <c r="H9" s="159">
        <v>1500000</v>
      </c>
      <c r="I9" s="160">
        <f t="shared" ref="I9:I12" si="0">H9+G9+F9</f>
        <v>1500000</v>
      </c>
      <c r="J9" s="161">
        <f>I9*E9</f>
        <v>1500000</v>
      </c>
      <c r="K9" s="158">
        <v>1</v>
      </c>
      <c r="L9" s="159"/>
      <c r="M9" s="159"/>
      <c r="N9" s="159">
        <v>1500000</v>
      </c>
      <c r="O9" s="160">
        <f t="shared" ref="O9:O12" si="1">N9+M9+L9</f>
        <v>1500000</v>
      </c>
      <c r="P9" s="161">
        <f>O9*K9</f>
        <v>1500000</v>
      </c>
      <c r="Q9" s="162">
        <f>P9-J9</f>
        <v>0</v>
      </c>
    </row>
    <row r="10" spans="1:18" ht="30" x14ac:dyDescent="0.25">
      <c r="A10" s="163">
        <v>2</v>
      </c>
      <c r="B10" s="164" t="s">
        <v>291</v>
      </c>
      <c r="C10" s="165" t="s">
        <v>26</v>
      </c>
      <c r="D10" s="166" t="s">
        <v>29</v>
      </c>
      <c r="E10" s="167">
        <v>1</v>
      </c>
      <c r="F10" s="168"/>
      <c r="G10" s="168"/>
      <c r="H10" s="168">
        <v>7500000</v>
      </c>
      <c r="I10" s="169">
        <f t="shared" si="0"/>
        <v>7500000</v>
      </c>
      <c r="J10" s="162">
        <f t="shared" ref="J10:J12" si="2">I10*E10</f>
        <v>7500000</v>
      </c>
      <c r="K10" s="167">
        <v>1</v>
      </c>
      <c r="L10" s="168"/>
      <c r="M10" s="168"/>
      <c r="N10" s="168">
        <v>7500000</v>
      </c>
      <c r="O10" s="169">
        <f t="shared" si="1"/>
        <v>7500000</v>
      </c>
      <c r="P10" s="162">
        <f t="shared" ref="P10:P12" si="3">O10*K10</f>
        <v>7500000</v>
      </c>
      <c r="Q10" s="162">
        <f t="shared" ref="Q10:Q88" si="4">P10-J10</f>
        <v>0</v>
      </c>
    </row>
    <row r="11" spans="1:18" x14ac:dyDescent="0.25">
      <c r="A11" s="170">
        <v>3</v>
      </c>
      <c r="B11" s="171" t="s">
        <v>292</v>
      </c>
      <c r="C11" s="172" t="s">
        <v>31</v>
      </c>
      <c r="D11" s="173" t="s">
        <v>29</v>
      </c>
      <c r="E11" s="174">
        <v>1</v>
      </c>
      <c r="F11" s="175"/>
      <c r="G11" s="175"/>
      <c r="H11" s="175">
        <v>2000000</v>
      </c>
      <c r="I11" s="176">
        <f t="shared" si="0"/>
        <v>2000000</v>
      </c>
      <c r="J11" s="177">
        <f t="shared" si="2"/>
        <v>2000000</v>
      </c>
      <c r="K11" s="174">
        <v>1</v>
      </c>
      <c r="L11" s="175"/>
      <c r="M11" s="175"/>
      <c r="N11" s="175">
        <v>500000</v>
      </c>
      <c r="O11" s="176">
        <f t="shared" si="1"/>
        <v>500000</v>
      </c>
      <c r="P11" s="177">
        <f t="shared" si="3"/>
        <v>500000</v>
      </c>
      <c r="Q11" s="178">
        <f t="shared" si="4"/>
        <v>-1500000</v>
      </c>
      <c r="R11" t="s">
        <v>293</v>
      </c>
    </row>
    <row r="12" spans="1:18" x14ac:dyDescent="0.25">
      <c r="A12" s="154">
        <v>4</v>
      </c>
      <c r="B12" s="179" t="s">
        <v>294</v>
      </c>
      <c r="C12" s="180"/>
      <c r="D12" s="181" t="s">
        <v>29</v>
      </c>
      <c r="E12" s="182">
        <v>1</v>
      </c>
      <c r="F12" s="159"/>
      <c r="G12" s="159"/>
      <c r="H12" s="159">
        <v>6000000</v>
      </c>
      <c r="I12" s="160">
        <f t="shared" si="0"/>
        <v>6000000</v>
      </c>
      <c r="J12" s="161">
        <f t="shared" si="2"/>
        <v>6000000</v>
      </c>
      <c r="K12" s="182">
        <v>1</v>
      </c>
      <c r="L12" s="159"/>
      <c r="M12" s="159"/>
      <c r="N12" s="159">
        <v>6000000</v>
      </c>
      <c r="O12" s="160">
        <f t="shared" si="1"/>
        <v>6000000</v>
      </c>
      <c r="P12" s="161">
        <f t="shared" si="3"/>
        <v>6000000</v>
      </c>
      <c r="Q12" s="162">
        <f t="shared" si="4"/>
        <v>0</v>
      </c>
    </row>
    <row r="13" spans="1:18" x14ac:dyDescent="0.25">
      <c r="A13" s="154" t="s">
        <v>282</v>
      </c>
      <c r="B13" s="183" t="s">
        <v>282</v>
      </c>
      <c r="C13" s="184" t="s">
        <v>282</v>
      </c>
      <c r="D13" s="185" t="s">
        <v>282</v>
      </c>
      <c r="E13" s="186" t="s">
        <v>282</v>
      </c>
      <c r="F13" s="187"/>
      <c r="G13" s="187"/>
      <c r="H13" s="187"/>
      <c r="I13" s="188" t="s">
        <v>295</v>
      </c>
      <c r="J13" s="189">
        <f>SUM(J9:J12)</f>
        <v>17000000</v>
      </c>
      <c r="K13" s="186" t="s">
        <v>282</v>
      </c>
      <c r="L13" s="187"/>
      <c r="M13" s="187"/>
      <c r="N13" s="187"/>
      <c r="O13" s="188" t="s">
        <v>295</v>
      </c>
      <c r="P13" s="189">
        <f>SUM(P9:P12)</f>
        <v>15500000</v>
      </c>
      <c r="Q13" s="162"/>
    </row>
    <row r="14" spans="1:18" x14ac:dyDescent="0.25">
      <c r="A14" s="190" t="s">
        <v>23</v>
      </c>
      <c r="B14" s="191" t="s">
        <v>296</v>
      </c>
      <c r="C14" s="191" t="s">
        <v>282</v>
      </c>
      <c r="D14" s="185" t="s">
        <v>290</v>
      </c>
      <c r="E14" s="192" t="s">
        <v>282</v>
      </c>
      <c r="F14" s="193"/>
      <c r="G14" s="193"/>
      <c r="H14" s="193"/>
      <c r="I14" s="193"/>
      <c r="J14" s="161"/>
      <c r="K14" s="192" t="s">
        <v>282</v>
      </c>
      <c r="L14" s="193"/>
      <c r="M14" s="193"/>
      <c r="N14" s="193"/>
      <c r="O14" s="193"/>
      <c r="P14" s="161"/>
      <c r="Q14" s="162"/>
    </row>
    <row r="15" spans="1:18" x14ac:dyDescent="0.25">
      <c r="A15" s="194" t="s">
        <v>297</v>
      </c>
      <c r="B15" s="191" t="s">
        <v>298</v>
      </c>
      <c r="C15" s="191"/>
      <c r="D15" s="185"/>
      <c r="E15" s="192"/>
      <c r="F15" s="193"/>
      <c r="G15" s="193"/>
      <c r="H15" s="193"/>
      <c r="I15" s="193"/>
      <c r="J15" s="161"/>
      <c r="K15" s="192"/>
      <c r="L15" s="193"/>
      <c r="M15" s="193"/>
      <c r="N15" s="193"/>
      <c r="O15" s="193"/>
      <c r="P15" s="161"/>
      <c r="Q15" s="162"/>
    </row>
    <row r="16" spans="1:18" x14ac:dyDescent="0.25">
      <c r="A16" s="154">
        <v>1</v>
      </c>
      <c r="B16" s="184" t="s">
        <v>299</v>
      </c>
      <c r="C16" s="184" t="s">
        <v>300</v>
      </c>
      <c r="D16" s="185" t="s">
        <v>301</v>
      </c>
      <c r="E16" s="192">
        <f>5*8</f>
        <v>40</v>
      </c>
      <c r="F16" s="159"/>
      <c r="G16" s="159">
        <v>40000</v>
      </c>
      <c r="H16" s="159">
        <v>10000</v>
      </c>
      <c r="I16" s="160">
        <f>H16+G16+F16</f>
        <v>50000</v>
      </c>
      <c r="J16" s="161">
        <f t="shared" ref="J16:J20" si="5">I16*E16</f>
        <v>2000000</v>
      </c>
      <c r="K16" s="192">
        <f>5*8</f>
        <v>40</v>
      </c>
      <c r="L16" s="159"/>
      <c r="M16" s="159">
        <v>40000</v>
      </c>
      <c r="N16" s="159">
        <v>10000</v>
      </c>
      <c r="O16" s="160">
        <f>N16+M16+L16</f>
        <v>50000</v>
      </c>
      <c r="P16" s="161">
        <f t="shared" ref="P16:P22" si="6">O16*K16</f>
        <v>2000000</v>
      </c>
      <c r="Q16" s="162">
        <f t="shared" si="4"/>
        <v>0</v>
      </c>
    </row>
    <row r="17" spans="1:18" x14ac:dyDescent="0.25">
      <c r="A17" s="154">
        <v>2</v>
      </c>
      <c r="B17" s="184" t="s">
        <v>302</v>
      </c>
      <c r="C17" s="184" t="s">
        <v>303</v>
      </c>
      <c r="D17" s="185" t="s">
        <v>178</v>
      </c>
      <c r="E17" s="192">
        <f>(8+10)</f>
        <v>18</v>
      </c>
      <c r="F17" s="159">
        <v>200000</v>
      </c>
      <c r="G17" s="159">
        <v>100000</v>
      </c>
      <c r="H17" s="195"/>
      <c r="I17" s="160">
        <f>H17+G17+F17</f>
        <v>300000</v>
      </c>
      <c r="J17" s="161">
        <f t="shared" si="5"/>
        <v>5400000</v>
      </c>
      <c r="K17" s="192">
        <f>(8+10)</f>
        <v>18</v>
      </c>
      <c r="L17" s="159">
        <v>200000</v>
      </c>
      <c r="M17" s="159">
        <v>100000</v>
      </c>
      <c r="N17" s="195"/>
      <c r="O17" s="160">
        <f>N17+M17+L17</f>
        <v>300000</v>
      </c>
      <c r="P17" s="161">
        <f t="shared" si="6"/>
        <v>5400000</v>
      </c>
      <c r="Q17" s="162">
        <f t="shared" si="4"/>
        <v>0</v>
      </c>
    </row>
    <row r="18" spans="1:18" x14ac:dyDescent="0.25">
      <c r="A18" s="154">
        <v>3</v>
      </c>
      <c r="B18" s="184" t="s">
        <v>304</v>
      </c>
      <c r="C18" s="184" t="s">
        <v>305</v>
      </c>
      <c r="D18" s="185" t="s">
        <v>178</v>
      </c>
      <c r="E18" s="192">
        <v>14</v>
      </c>
      <c r="F18" s="159">
        <v>200000</v>
      </c>
      <c r="G18" s="159">
        <v>100000</v>
      </c>
      <c r="H18" s="195"/>
      <c r="I18" s="160">
        <f>H18+G18+F18</f>
        <v>300000</v>
      </c>
      <c r="J18" s="161">
        <f t="shared" si="5"/>
        <v>4200000</v>
      </c>
      <c r="K18" s="192">
        <v>14</v>
      </c>
      <c r="L18" s="159">
        <v>200000</v>
      </c>
      <c r="M18" s="159">
        <v>100000</v>
      </c>
      <c r="N18" s="195"/>
      <c r="O18" s="160">
        <f>N18+M18+L18</f>
        <v>300000</v>
      </c>
      <c r="P18" s="161">
        <f t="shared" si="6"/>
        <v>4200000</v>
      </c>
      <c r="Q18" s="162">
        <f t="shared" si="4"/>
        <v>0</v>
      </c>
    </row>
    <row r="19" spans="1:18" x14ac:dyDescent="0.25">
      <c r="A19" s="154">
        <v>4</v>
      </c>
      <c r="B19" s="184" t="s">
        <v>306</v>
      </c>
      <c r="C19" s="184" t="s">
        <v>307</v>
      </c>
      <c r="D19" s="185" t="s">
        <v>301</v>
      </c>
      <c r="E19" s="192">
        <f>E16</f>
        <v>40</v>
      </c>
      <c r="F19" s="159">
        <v>300000</v>
      </c>
      <c r="G19" s="159">
        <v>100000</v>
      </c>
      <c r="H19" s="195"/>
      <c r="I19" s="160">
        <f>H19+G19+F19</f>
        <v>400000</v>
      </c>
      <c r="J19" s="161">
        <f t="shared" si="5"/>
        <v>16000000</v>
      </c>
      <c r="K19" s="192">
        <f>K16</f>
        <v>40</v>
      </c>
      <c r="L19" s="159">
        <v>300000</v>
      </c>
      <c r="M19" s="159">
        <v>100000</v>
      </c>
      <c r="N19" s="195"/>
      <c r="O19" s="160">
        <f>N19+M19+L19</f>
        <v>400000</v>
      </c>
      <c r="P19" s="161">
        <f t="shared" si="6"/>
        <v>16000000</v>
      </c>
      <c r="Q19" s="162">
        <f t="shared" si="4"/>
        <v>0</v>
      </c>
    </row>
    <row r="20" spans="1:18" x14ac:dyDescent="0.25">
      <c r="A20" s="170"/>
      <c r="B20" s="196" t="s">
        <v>308</v>
      </c>
      <c r="C20" s="196" t="s">
        <v>309</v>
      </c>
      <c r="D20" s="197" t="s">
        <v>301</v>
      </c>
      <c r="E20" s="198">
        <f>5*8</f>
        <v>40</v>
      </c>
      <c r="F20" s="175"/>
      <c r="G20" s="175">
        <v>40000</v>
      </c>
      <c r="H20" s="175">
        <v>10000</v>
      </c>
      <c r="I20" s="176">
        <f>H20+G20+F20</f>
        <v>50000</v>
      </c>
      <c r="J20" s="177">
        <f t="shared" si="5"/>
        <v>2000000</v>
      </c>
      <c r="K20" s="198">
        <f>5*8</f>
        <v>40</v>
      </c>
      <c r="L20" s="175">
        <v>25000</v>
      </c>
      <c r="M20" s="175">
        <v>200000</v>
      </c>
      <c r="N20" s="175">
        <v>10000</v>
      </c>
      <c r="O20" s="176">
        <f>N20+M20+L20</f>
        <v>235000</v>
      </c>
      <c r="P20" s="177">
        <f t="shared" si="6"/>
        <v>9400000</v>
      </c>
      <c r="Q20" s="199">
        <f t="shared" si="4"/>
        <v>7400000</v>
      </c>
    </row>
    <row r="21" spans="1:18" x14ac:dyDescent="0.25">
      <c r="A21" s="154"/>
      <c r="B21" s="200" t="s">
        <v>310</v>
      </c>
      <c r="C21" s="200" t="s">
        <v>311</v>
      </c>
      <c r="D21" s="201" t="s">
        <v>218</v>
      </c>
      <c r="E21" s="202"/>
      <c r="F21" s="202"/>
      <c r="G21" s="202"/>
      <c r="H21" s="202"/>
      <c r="I21" s="202"/>
      <c r="J21" s="202"/>
      <c r="K21" s="203">
        <v>4</v>
      </c>
      <c r="L21" s="204">
        <v>400000</v>
      </c>
      <c r="M21" s="202"/>
      <c r="N21" s="202"/>
      <c r="O21" s="205">
        <f t="shared" ref="O21:O22" si="7">N21+M21+L21</f>
        <v>400000</v>
      </c>
      <c r="P21" s="177">
        <f t="shared" si="6"/>
        <v>1600000</v>
      </c>
      <c r="Q21" s="199">
        <f t="shared" si="4"/>
        <v>1600000</v>
      </c>
    </row>
    <row r="22" spans="1:18" x14ac:dyDescent="0.25">
      <c r="A22" s="154"/>
      <c r="B22" s="202"/>
      <c r="C22" s="200" t="s">
        <v>312</v>
      </c>
      <c r="D22" s="206" t="s">
        <v>218</v>
      </c>
      <c r="E22" s="202"/>
      <c r="F22" s="202"/>
      <c r="G22" s="202"/>
      <c r="H22" s="202"/>
      <c r="I22" s="202"/>
      <c r="J22" s="202"/>
      <c r="K22" s="203">
        <v>2</v>
      </c>
      <c r="L22" s="207">
        <v>1250000</v>
      </c>
      <c r="M22" s="202"/>
      <c r="N22" s="202"/>
      <c r="O22" s="208">
        <f t="shared" si="7"/>
        <v>1250000</v>
      </c>
      <c r="P22" s="209">
        <f t="shared" si="6"/>
        <v>2500000</v>
      </c>
      <c r="Q22" s="210">
        <f t="shared" si="4"/>
        <v>2500000</v>
      </c>
    </row>
    <row r="23" spans="1:18" ht="30" x14ac:dyDescent="0.25">
      <c r="A23" s="163"/>
      <c r="B23" s="211" t="s">
        <v>313</v>
      </c>
      <c r="C23" s="212"/>
      <c r="D23" s="213"/>
      <c r="E23" s="214"/>
      <c r="F23" s="168"/>
      <c r="G23" s="168"/>
      <c r="H23" s="215"/>
      <c r="I23" s="169"/>
      <c r="J23" s="162"/>
      <c r="K23" s="214"/>
      <c r="L23" s="168"/>
      <c r="M23" s="168"/>
      <c r="N23" s="215"/>
      <c r="O23" s="216"/>
      <c r="P23" s="162"/>
      <c r="Q23" s="162"/>
    </row>
    <row r="24" spans="1:18" x14ac:dyDescent="0.25">
      <c r="A24" s="170">
        <v>1</v>
      </c>
      <c r="B24" s="217" t="s">
        <v>314</v>
      </c>
      <c r="C24" s="217" t="s">
        <v>315</v>
      </c>
      <c r="D24" s="213" t="s">
        <v>301</v>
      </c>
      <c r="E24" s="214"/>
      <c r="F24" s="168"/>
      <c r="G24" s="168"/>
      <c r="H24" s="215"/>
      <c r="I24" s="169"/>
      <c r="J24" s="162"/>
      <c r="K24" s="198">
        <f>(5.5*3.78)+(1.1*3.77)</f>
        <v>24.936999999999998</v>
      </c>
      <c r="L24" s="175">
        <v>90000</v>
      </c>
      <c r="M24" s="175">
        <v>45000</v>
      </c>
      <c r="N24" s="175">
        <v>10000</v>
      </c>
      <c r="O24" s="176">
        <f t="shared" ref="O24:O25" si="8">N24+M24+L24</f>
        <v>145000</v>
      </c>
      <c r="P24" s="177">
        <f t="shared" ref="P24:P30" si="9">O24*K24</f>
        <v>3615864.9999999995</v>
      </c>
      <c r="Q24" s="218">
        <f t="shared" si="4"/>
        <v>3615864.9999999995</v>
      </c>
      <c r="R24" t="s">
        <v>316</v>
      </c>
    </row>
    <row r="25" spans="1:18" x14ac:dyDescent="0.25">
      <c r="A25" s="170">
        <v>2</v>
      </c>
      <c r="B25" s="217" t="s">
        <v>317</v>
      </c>
      <c r="C25" s="219" t="s">
        <v>318</v>
      </c>
      <c r="D25" s="213" t="s">
        <v>301</v>
      </c>
      <c r="E25" s="214"/>
      <c r="F25" s="168"/>
      <c r="G25" s="168"/>
      <c r="H25" s="215"/>
      <c r="I25" s="169"/>
      <c r="J25" s="162"/>
      <c r="K25" s="198">
        <f>K24*2</f>
        <v>49.873999999999995</v>
      </c>
      <c r="L25" s="175">
        <v>75000</v>
      </c>
      <c r="M25" s="175">
        <v>20000</v>
      </c>
      <c r="N25" s="175">
        <v>10000</v>
      </c>
      <c r="O25" s="176">
        <f t="shared" si="8"/>
        <v>105000</v>
      </c>
      <c r="P25" s="177">
        <f t="shared" si="9"/>
        <v>5236769.9999999991</v>
      </c>
      <c r="Q25" s="218">
        <f t="shared" si="4"/>
        <v>5236769.9999999991</v>
      </c>
      <c r="R25" t="s">
        <v>316</v>
      </c>
    </row>
    <row r="26" spans="1:18" x14ac:dyDescent="0.25">
      <c r="A26" s="170">
        <v>3</v>
      </c>
      <c r="B26" s="217" t="s">
        <v>319</v>
      </c>
      <c r="C26" s="220" t="s">
        <v>320</v>
      </c>
      <c r="D26" s="213" t="s">
        <v>301</v>
      </c>
      <c r="E26" s="214"/>
      <c r="F26" s="168"/>
      <c r="G26" s="168"/>
      <c r="H26" s="215"/>
      <c r="I26" s="169"/>
      <c r="J26" s="162"/>
      <c r="K26" s="221">
        <f>K25</f>
        <v>49.873999999999995</v>
      </c>
      <c r="L26" s="222">
        <v>25000</v>
      </c>
      <c r="M26" s="222">
        <v>5000</v>
      </c>
      <c r="N26" s="222">
        <v>2500</v>
      </c>
      <c r="O26" s="223">
        <f>N26+M26+L26</f>
        <v>32500</v>
      </c>
      <c r="P26" s="224">
        <f t="shared" si="9"/>
        <v>1620904.9999999998</v>
      </c>
      <c r="Q26" s="218">
        <f t="shared" si="4"/>
        <v>1620904.9999999998</v>
      </c>
      <c r="R26" t="s">
        <v>316</v>
      </c>
    </row>
    <row r="27" spans="1:18" ht="30" x14ac:dyDescent="0.25">
      <c r="A27" s="170">
        <v>4</v>
      </c>
      <c r="B27" s="225" t="s">
        <v>321</v>
      </c>
      <c r="C27" s="226" t="s">
        <v>322</v>
      </c>
      <c r="D27" s="227" t="s">
        <v>301</v>
      </c>
      <c r="E27" s="228"/>
      <c r="F27" s="229"/>
      <c r="G27" s="229"/>
      <c r="H27" s="229"/>
      <c r="I27" s="230"/>
      <c r="J27" s="231"/>
      <c r="K27" s="232">
        <f>1*5</f>
        <v>5</v>
      </c>
      <c r="L27" s="233"/>
      <c r="M27" s="234">
        <v>100000</v>
      </c>
      <c r="N27" s="234">
        <v>70000</v>
      </c>
      <c r="O27" s="235">
        <f t="shared" ref="O27:O29" si="10">N27+M27+L27</f>
        <v>170000</v>
      </c>
      <c r="P27" s="236">
        <f t="shared" si="9"/>
        <v>850000</v>
      </c>
      <c r="Q27" s="218">
        <f t="shared" si="4"/>
        <v>850000</v>
      </c>
      <c r="R27" t="s">
        <v>316</v>
      </c>
    </row>
    <row r="28" spans="1:18" ht="30" x14ac:dyDescent="0.25">
      <c r="A28" s="170">
        <v>5</v>
      </c>
      <c r="B28" s="225" t="s">
        <v>323</v>
      </c>
      <c r="C28" s="226" t="s">
        <v>322</v>
      </c>
      <c r="D28" s="227" t="s">
        <v>301</v>
      </c>
      <c r="E28" s="228"/>
      <c r="F28" s="229"/>
      <c r="G28" s="229"/>
      <c r="H28" s="229"/>
      <c r="I28" s="230"/>
      <c r="J28" s="231"/>
      <c r="K28" s="232">
        <f>5*8</f>
        <v>40</v>
      </c>
      <c r="L28" s="233"/>
      <c r="M28" s="234">
        <v>100000</v>
      </c>
      <c r="N28" s="234">
        <v>70000</v>
      </c>
      <c r="O28" s="235">
        <f t="shared" si="10"/>
        <v>170000</v>
      </c>
      <c r="P28" s="236">
        <f t="shared" si="9"/>
        <v>6800000</v>
      </c>
      <c r="Q28" s="218">
        <f t="shared" si="4"/>
        <v>6800000</v>
      </c>
      <c r="R28" t="s">
        <v>316</v>
      </c>
    </row>
    <row r="29" spans="1:18" ht="30" x14ac:dyDescent="0.25">
      <c r="A29" s="170">
        <v>6</v>
      </c>
      <c r="B29" s="225" t="s">
        <v>324</v>
      </c>
      <c r="C29" s="226" t="s">
        <v>322</v>
      </c>
      <c r="D29" s="227" t="s">
        <v>301</v>
      </c>
      <c r="E29" s="228"/>
      <c r="F29" s="229"/>
      <c r="G29" s="229"/>
      <c r="H29" s="229"/>
      <c r="I29" s="230"/>
      <c r="J29" s="231"/>
      <c r="K29" s="232">
        <f>8*1.5</f>
        <v>12</v>
      </c>
      <c r="L29" s="233"/>
      <c r="M29" s="234">
        <v>100000</v>
      </c>
      <c r="N29" s="234">
        <v>70000</v>
      </c>
      <c r="O29" s="235">
        <f t="shared" si="10"/>
        <v>170000</v>
      </c>
      <c r="P29" s="236">
        <f t="shared" si="9"/>
        <v>2040000</v>
      </c>
      <c r="Q29" s="218">
        <f t="shared" si="4"/>
        <v>2040000</v>
      </c>
      <c r="R29" t="s">
        <v>316</v>
      </c>
    </row>
    <row r="30" spans="1:18" x14ac:dyDescent="0.25">
      <c r="A30" s="170">
        <v>7</v>
      </c>
      <c r="B30" s="225" t="s">
        <v>325</v>
      </c>
      <c r="C30" s="226"/>
      <c r="D30" s="197" t="s">
        <v>326</v>
      </c>
      <c r="E30" s="228"/>
      <c r="F30" s="229"/>
      <c r="G30" s="229"/>
      <c r="H30" s="229"/>
      <c r="I30" s="237"/>
      <c r="J30" s="231"/>
      <c r="K30" s="232"/>
      <c r="L30" s="175">
        <v>225000</v>
      </c>
      <c r="M30" s="175">
        <v>100000</v>
      </c>
      <c r="N30" s="175">
        <v>5000</v>
      </c>
      <c r="O30" s="176">
        <f>N30+M30+L30</f>
        <v>330000</v>
      </c>
      <c r="P30" s="177">
        <f t="shared" si="9"/>
        <v>0</v>
      </c>
      <c r="Q30" s="162">
        <f t="shared" si="4"/>
        <v>0</v>
      </c>
    </row>
    <row r="31" spans="1:18" x14ac:dyDescent="0.25">
      <c r="A31" s="194"/>
      <c r="B31" s="184"/>
      <c r="C31" s="184"/>
      <c r="D31" s="185"/>
      <c r="E31" s="186"/>
      <c r="F31" s="187"/>
      <c r="G31" s="187"/>
      <c r="H31" s="187"/>
      <c r="I31" s="188" t="s">
        <v>327</v>
      </c>
      <c r="J31" s="189">
        <f>SUM(J16:J19)</f>
        <v>27600000</v>
      </c>
      <c r="K31" s="186"/>
      <c r="L31" s="187"/>
      <c r="M31" s="187"/>
      <c r="N31" s="187"/>
      <c r="O31" s="188" t="s">
        <v>327</v>
      </c>
      <c r="P31" s="189">
        <f>SUM(P16:P26)</f>
        <v>51573540</v>
      </c>
      <c r="Q31" s="218">
        <f>SUM(Q16:Q26)</f>
        <v>21973540</v>
      </c>
    </row>
    <row r="32" spans="1:18" x14ac:dyDescent="0.25">
      <c r="A32" s="194" t="s">
        <v>328</v>
      </c>
      <c r="B32" s="936" t="s">
        <v>329</v>
      </c>
      <c r="C32" s="937"/>
      <c r="D32" s="185"/>
      <c r="E32" s="192"/>
      <c r="F32" s="195"/>
      <c r="G32" s="195"/>
      <c r="H32" s="195"/>
      <c r="I32" s="195"/>
      <c r="J32" s="161"/>
      <c r="K32" s="192"/>
      <c r="L32" s="195"/>
      <c r="M32" s="195"/>
      <c r="N32" s="195"/>
      <c r="O32" s="195"/>
      <c r="P32" s="161"/>
      <c r="Q32" s="162"/>
    </row>
    <row r="33" spans="1:17" x14ac:dyDescent="0.25">
      <c r="A33" s="163">
        <v>1</v>
      </c>
      <c r="B33" s="212" t="s">
        <v>330</v>
      </c>
      <c r="C33" s="212" t="s">
        <v>300</v>
      </c>
      <c r="D33" s="213" t="s">
        <v>301</v>
      </c>
      <c r="E33" s="214">
        <f>(3*3)+(2*3)+(2*3)</f>
        <v>21</v>
      </c>
      <c r="F33" s="168"/>
      <c r="G33" s="168">
        <v>75000</v>
      </c>
      <c r="H33" s="168">
        <v>10000</v>
      </c>
      <c r="I33" s="169">
        <f t="shared" ref="I33:I40" si="11">H33+G33+F33</f>
        <v>85000</v>
      </c>
      <c r="J33" s="162">
        <f t="shared" ref="J33" si="12">I33*E33</f>
        <v>1785000</v>
      </c>
      <c r="K33" s="214">
        <f>(3*3)+(2*3)+(2*3)</f>
        <v>21</v>
      </c>
      <c r="L33" s="168"/>
      <c r="M33" s="168">
        <v>75000</v>
      </c>
      <c r="N33" s="168">
        <v>10000</v>
      </c>
      <c r="O33" s="169">
        <f t="shared" ref="O33:O40" si="13">N33+M33+L33</f>
        <v>85000</v>
      </c>
      <c r="P33" s="162">
        <f t="shared" ref="P33" si="14">O33*K33</f>
        <v>1785000</v>
      </c>
      <c r="Q33" s="162">
        <f t="shared" si="4"/>
        <v>0</v>
      </c>
    </row>
    <row r="34" spans="1:17" x14ac:dyDescent="0.25">
      <c r="A34" s="154">
        <v>2</v>
      </c>
      <c r="B34" s="184" t="s">
        <v>331</v>
      </c>
      <c r="C34" s="184"/>
      <c r="D34" s="185" t="s">
        <v>301</v>
      </c>
      <c r="E34" s="192">
        <f>(0.7*10)+(2.5*4)</f>
        <v>17</v>
      </c>
      <c r="F34" s="159"/>
      <c r="G34" s="159">
        <v>50000</v>
      </c>
      <c r="H34" s="159">
        <v>10000</v>
      </c>
      <c r="I34" s="160">
        <f t="shared" si="11"/>
        <v>60000</v>
      </c>
      <c r="J34" s="161">
        <f>I34*E34</f>
        <v>1020000</v>
      </c>
      <c r="K34" s="192">
        <f>(0.7*10)+(2.5*4)</f>
        <v>17</v>
      </c>
      <c r="L34" s="159"/>
      <c r="M34" s="159">
        <v>50000</v>
      </c>
      <c r="N34" s="159">
        <v>10000</v>
      </c>
      <c r="O34" s="160">
        <f t="shared" si="13"/>
        <v>60000</v>
      </c>
      <c r="P34" s="161">
        <f>O34*K34</f>
        <v>1020000</v>
      </c>
      <c r="Q34" s="162">
        <f t="shared" si="4"/>
        <v>0</v>
      </c>
    </row>
    <row r="35" spans="1:17" ht="30" x14ac:dyDescent="0.25">
      <c r="A35" s="154">
        <v>3</v>
      </c>
      <c r="B35" s="184" t="s">
        <v>332</v>
      </c>
      <c r="C35" s="184"/>
      <c r="D35" s="185" t="s">
        <v>333</v>
      </c>
      <c r="E35" s="192">
        <v>4</v>
      </c>
      <c r="F35" s="159"/>
      <c r="G35" s="159">
        <v>150000</v>
      </c>
      <c r="H35" s="195"/>
      <c r="I35" s="160">
        <f t="shared" si="11"/>
        <v>150000</v>
      </c>
      <c r="J35" s="161">
        <f t="shared" ref="J35:J40" si="15">I35*E35</f>
        <v>600000</v>
      </c>
      <c r="K35" s="192">
        <v>4</v>
      </c>
      <c r="L35" s="159"/>
      <c r="M35" s="159">
        <v>150000</v>
      </c>
      <c r="N35" s="195"/>
      <c r="O35" s="160">
        <f t="shared" si="13"/>
        <v>150000</v>
      </c>
      <c r="P35" s="161">
        <f t="shared" ref="P35:P40" si="16">O35*K35</f>
        <v>600000</v>
      </c>
      <c r="Q35" s="162">
        <f t="shared" si="4"/>
        <v>0</v>
      </c>
    </row>
    <row r="36" spans="1:17" ht="30" x14ac:dyDescent="0.25">
      <c r="A36" s="154">
        <v>4</v>
      </c>
      <c r="B36" s="238" t="s">
        <v>334</v>
      </c>
      <c r="C36" s="184" t="s">
        <v>282</v>
      </c>
      <c r="D36" s="185" t="s">
        <v>326</v>
      </c>
      <c r="E36" s="192">
        <v>1</v>
      </c>
      <c r="F36" s="159"/>
      <c r="G36" s="159">
        <v>450000</v>
      </c>
      <c r="H36" s="195"/>
      <c r="I36" s="160">
        <f t="shared" si="11"/>
        <v>450000</v>
      </c>
      <c r="J36" s="161">
        <f t="shared" si="15"/>
        <v>450000</v>
      </c>
      <c r="K36" s="192">
        <v>1</v>
      </c>
      <c r="L36" s="159"/>
      <c r="M36" s="159">
        <v>450000</v>
      </c>
      <c r="N36" s="195"/>
      <c r="O36" s="160">
        <f t="shared" si="13"/>
        <v>450000</v>
      </c>
      <c r="P36" s="161">
        <f t="shared" si="16"/>
        <v>450000</v>
      </c>
      <c r="Q36" s="162">
        <f t="shared" si="4"/>
        <v>0</v>
      </c>
    </row>
    <row r="37" spans="1:17" x14ac:dyDescent="0.25">
      <c r="A37" s="154">
        <v>5</v>
      </c>
      <c r="B37" s="184" t="s">
        <v>335</v>
      </c>
      <c r="C37" s="184"/>
      <c r="D37" s="185" t="s">
        <v>301</v>
      </c>
      <c r="E37" s="192">
        <f>(3.5*4)+(4*8)+(2*2.5)+(17)</f>
        <v>68</v>
      </c>
      <c r="F37" s="159"/>
      <c r="G37" s="159">
        <v>50000</v>
      </c>
      <c r="H37" s="159">
        <v>10000</v>
      </c>
      <c r="I37" s="160">
        <f t="shared" si="11"/>
        <v>60000</v>
      </c>
      <c r="J37" s="161">
        <f t="shared" si="15"/>
        <v>4080000</v>
      </c>
      <c r="K37" s="192">
        <f>(3.5*4)+(4*8)+(2*2.5)+(17)</f>
        <v>68</v>
      </c>
      <c r="L37" s="159"/>
      <c r="M37" s="159">
        <v>50000</v>
      </c>
      <c r="N37" s="159">
        <v>10000</v>
      </c>
      <c r="O37" s="160">
        <f t="shared" si="13"/>
        <v>60000</v>
      </c>
      <c r="P37" s="161">
        <f t="shared" si="16"/>
        <v>4080000</v>
      </c>
      <c r="Q37" s="162">
        <f t="shared" si="4"/>
        <v>0</v>
      </c>
    </row>
    <row r="38" spans="1:17" x14ac:dyDescent="0.25">
      <c r="A38" s="154">
        <v>6</v>
      </c>
      <c r="B38" s="238" t="s">
        <v>336</v>
      </c>
      <c r="C38" s="184"/>
      <c r="D38" s="185" t="s">
        <v>337</v>
      </c>
      <c r="E38" s="192">
        <f>(0.8*0.8*0.8*4)+(0.4*0.6*7)</f>
        <v>3.7280000000000006</v>
      </c>
      <c r="F38" s="159"/>
      <c r="G38" s="159">
        <v>250000</v>
      </c>
      <c r="H38" s="195"/>
      <c r="I38" s="160">
        <f t="shared" si="11"/>
        <v>250000</v>
      </c>
      <c r="J38" s="161">
        <f t="shared" si="15"/>
        <v>932000.00000000012</v>
      </c>
      <c r="K38" s="192">
        <f>(0.8*0.8*0.8*4)+(0.4*0.6*7)</f>
        <v>3.7280000000000006</v>
      </c>
      <c r="L38" s="159"/>
      <c r="M38" s="159">
        <v>250000</v>
      </c>
      <c r="N38" s="195"/>
      <c r="O38" s="160">
        <f t="shared" si="13"/>
        <v>250000</v>
      </c>
      <c r="P38" s="161">
        <f t="shared" si="16"/>
        <v>932000.00000000012</v>
      </c>
      <c r="Q38" s="162">
        <f t="shared" si="4"/>
        <v>0</v>
      </c>
    </row>
    <row r="39" spans="1:17" x14ac:dyDescent="0.25">
      <c r="A39" s="154">
        <v>7</v>
      </c>
      <c r="B39" s="238" t="s">
        <v>338</v>
      </c>
      <c r="C39" s="184" t="s">
        <v>282</v>
      </c>
      <c r="D39" s="185" t="s">
        <v>337</v>
      </c>
      <c r="E39" s="192">
        <f>(0.8*0.8*0.1*4)+(0.4*0.1*7)</f>
        <v>0.53600000000000003</v>
      </c>
      <c r="F39" s="159"/>
      <c r="G39" s="159">
        <v>350000</v>
      </c>
      <c r="H39" s="195"/>
      <c r="I39" s="160">
        <f t="shared" si="11"/>
        <v>350000</v>
      </c>
      <c r="J39" s="161">
        <f t="shared" si="15"/>
        <v>187600</v>
      </c>
      <c r="K39" s="192">
        <f>(0.8*0.8*0.1*4)+(0.4*0.1*7)</f>
        <v>0.53600000000000003</v>
      </c>
      <c r="L39" s="159"/>
      <c r="M39" s="159">
        <v>350000</v>
      </c>
      <c r="N39" s="195"/>
      <c r="O39" s="160">
        <f t="shared" si="13"/>
        <v>350000</v>
      </c>
      <c r="P39" s="161">
        <f t="shared" si="16"/>
        <v>187600</v>
      </c>
      <c r="Q39" s="162">
        <f t="shared" si="4"/>
        <v>0</v>
      </c>
    </row>
    <row r="40" spans="1:17" x14ac:dyDescent="0.25">
      <c r="A40" s="154">
        <v>8</v>
      </c>
      <c r="B40" s="238" t="s">
        <v>339</v>
      </c>
      <c r="C40" s="184" t="s">
        <v>282</v>
      </c>
      <c r="D40" s="185" t="s">
        <v>337</v>
      </c>
      <c r="E40" s="192">
        <f>E39</f>
        <v>0.53600000000000003</v>
      </c>
      <c r="F40" s="159">
        <v>700000</v>
      </c>
      <c r="G40" s="159">
        <v>200000</v>
      </c>
      <c r="H40" s="195"/>
      <c r="I40" s="160">
        <f t="shared" si="11"/>
        <v>900000</v>
      </c>
      <c r="J40" s="161">
        <f t="shared" si="15"/>
        <v>482400</v>
      </c>
      <c r="K40" s="192">
        <f>K39</f>
        <v>0.53600000000000003</v>
      </c>
      <c r="L40" s="159">
        <v>700000</v>
      </c>
      <c r="M40" s="159">
        <v>200000</v>
      </c>
      <c r="N40" s="195"/>
      <c r="O40" s="160">
        <f t="shared" si="13"/>
        <v>900000</v>
      </c>
      <c r="P40" s="161">
        <f t="shared" si="16"/>
        <v>482400</v>
      </c>
      <c r="Q40" s="162">
        <f t="shared" si="4"/>
        <v>0</v>
      </c>
    </row>
    <row r="41" spans="1:17" x14ac:dyDescent="0.25">
      <c r="A41" s="154">
        <v>9</v>
      </c>
      <c r="B41" s="238" t="s">
        <v>340</v>
      </c>
      <c r="C41" s="184" t="s">
        <v>282</v>
      </c>
      <c r="D41" s="185" t="s">
        <v>290</v>
      </c>
      <c r="E41" s="192"/>
      <c r="F41" s="239"/>
      <c r="G41" s="195"/>
      <c r="H41" s="195"/>
      <c r="I41" s="195"/>
      <c r="J41" s="161"/>
      <c r="K41" s="192"/>
      <c r="L41" s="239"/>
      <c r="M41" s="195"/>
      <c r="N41" s="195"/>
      <c r="O41" s="195"/>
      <c r="P41" s="161"/>
      <c r="Q41" s="162">
        <f t="shared" si="4"/>
        <v>0</v>
      </c>
    </row>
    <row r="42" spans="1:17" x14ac:dyDescent="0.25">
      <c r="A42" s="154"/>
      <c r="B42" s="240" t="s">
        <v>341</v>
      </c>
      <c r="C42" s="184" t="s">
        <v>342</v>
      </c>
      <c r="D42" s="185" t="s">
        <v>337</v>
      </c>
      <c r="E42" s="192">
        <f>(0.6*0.6*0.25)*6</f>
        <v>0.54</v>
      </c>
      <c r="F42" s="159">
        <v>850000</v>
      </c>
      <c r="G42" s="159">
        <v>160000</v>
      </c>
      <c r="H42" s="159">
        <v>75000</v>
      </c>
      <c r="I42" s="160">
        <f>H42+G42+F42</f>
        <v>1085000</v>
      </c>
      <c r="J42" s="161">
        <f t="shared" ref="J42:J44" si="17">I42*E42</f>
        <v>585900</v>
      </c>
      <c r="K42" s="192">
        <f>(0.6*0.6*0.25)*6</f>
        <v>0.54</v>
      </c>
      <c r="L42" s="159">
        <v>850000</v>
      </c>
      <c r="M42" s="159">
        <v>160000</v>
      </c>
      <c r="N42" s="159">
        <v>75000</v>
      </c>
      <c r="O42" s="160">
        <f>N42+M42+L42</f>
        <v>1085000</v>
      </c>
      <c r="P42" s="161">
        <f t="shared" ref="P42:P44" si="18">O42*K42</f>
        <v>585900</v>
      </c>
      <c r="Q42" s="162">
        <f t="shared" si="4"/>
        <v>0</v>
      </c>
    </row>
    <row r="43" spans="1:17" x14ac:dyDescent="0.25">
      <c r="A43" s="154"/>
      <c r="B43" s="240" t="s">
        <v>343</v>
      </c>
      <c r="C43" s="184" t="s">
        <v>344</v>
      </c>
      <c r="D43" s="185" t="s">
        <v>345</v>
      </c>
      <c r="E43" s="192">
        <f>E42*200</f>
        <v>108</v>
      </c>
      <c r="F43" s="159">
        <v>16000</v>
      </c>
      <c r="G43" s="159">
        <v>2500</v>
      </c>
      <c r="H43" s="159">
        <v>500</v>
      </c>
      <c r="I43" s="160">
        <f>H43+G43+F43</f>
        <v>19000</v>
      </c>
      <c r="J43" s="161">
        <f t="shared" si="17"/>
        <v>2052000</v>
      </c>
      <c r="K43" s="192">
        <f>K42*200</f>
        <v>108</v>
      </c>
      <c r="L43" s="159">
        <v>16000</v>
      </c>
      <c r="M43" s="159">
        <v>2500</v>
      </c>
      <c r="N43" s="159">
        <v>500</v>
      </c>
      <c r="O43" s="160">
        <f>N43+M43+L43</f>
        <v>19000</v>
      </c>
      <c r="P43" s="161">
        <f t="shared" si="18"/>
        <v>2052000</v>
      </c>
      <c r="Q43" s="162">
        <f t="shared" si="4"/>
        <v>0</v>
      </c>
    </row>
    <row r="44" spans="1:17" x14ac:dyDescent="0.25">
      <c r="A44" s="154"/>
      <c r="B44" s="240" t="s">
        <v>346</v>
      </c>
      <c r="C44" s="184" t="s">
        <v>347</v>
      </c>
      <c r="D44" s="185" t="s">
        <v>301</v>
      </c>
      <c r="E44" s="192">
        <f>(1*4*0.2*6)</f>
        <v>4.8000000000000007</v>
      </c>
      <c r="F44" s="159">
        <v>75000</v>
      </c>
      <c r="G44" s="159">
        <v>40000</v>
      </c>
      <c r="H44" s="159">
        <v>10000</v>
      </c>
      <c r="I44" s="160">
        <f>H44+G44+F44</f>
        <v>125000</v>
      </c>
      <c r="J44" s="161">
        <f t="shared" si="17"/>
        <v>600000.00000000012</v>
      </c>
      <c r="K44" s="192">
        <f>(1*4*0.2*6)</f>
        <v>4.8000000000000007</v>
      </c>
      <c r="L44" s="159">
        <v>75000</v>
      </c>
      <c r="M44" s="159">
        <v>40000</v>
      </c>
      <c r="N44" s="159">
        <v>10000</v>
      </c>
      <c r="O44" s="160">
        <f>N44+M44+L44</f>
        <v>125000</v>
      </c>
      <c r="P44" s="161">
        <f t="shared" si="18"/>
        <v>600000.00000000012</v>
      </c>
      <c r="Q44" s="162">
        <f t="shared" si="4"/>
        <v>0</v>
      </c>
    </row>
    <row r="45" spans="1:17" x14ac:dyDescent="0.25">
      <c r="A45" s="154">
        <v>10</v>
      </c>
      <c r="B45" s="238" t="s">
        <v>348</v>
      </c>
      <c r="C45" s="241" t="s">
        <v>282</v>
      </c>
      <c r="D45" s="185" t="s">
        <v>290</v>
      </c>
      <c r="E45" s="242"/>
      <c r="F45" s="243"/>
      <c r="G45" s="243"/>
      <c r="H45" s="243"/>
      <c r="I45" s="243"/>
      <c r="J45" s="161"/>
      <c r="K45" s="242"/>
      <c r="L45" s="243"/>
      <c r="M45" s="243"/>
      <c r="N45" s="243"/>
      <c r="O45" s="243"/>
      <c r="P45" s="161"/>
      <c r="Q45" s="162">
        <f t="shared" si="4"/>
        <v>0</v>
      </c>
    </row>
    <row r="46" spans="1:17" x14ac:dyDescent="0.25">
      <c r="A46" s="154"/>
      <c r="B46" s="244" t="s">
        <v>341</v>
      </c>
      <c r="C46" s="184" t="s">
        <v>342</v>
      </c>
      <c r="D46" s="185" t="s">
        <v>337</v>
      </c>
      <c r="E46" s="242">
        <f>(0.15*0.3*7)</f>
        <v>0.315</v>
      </c>
      <c r="F46" s="159">
        <v>850000</v>
      </c>
      <c r="G46" s="245">
        <v>160000</v>
      </c>
      <c r="H46" s="245">
        <v>75000</v>
      </c>
      <c r="I46" s="246">
        <f>H46+G46+F46</f>
        <v>1085000</v>
      </c>
      <c r="J46" s="161">
        <f t="shared" ref="J46:J48" si="19">I46*E46</f>
        <v>341775</v>
      </c>
      <c r="K46" s="242">
        <f>(0.15*0.3*7)</f>
        <v>0.315</v>
      </c>
      <c r="L46" s="159">
        <v>850000</v>
      </c>
      <c r="M46" s="245">
        <v>160000</v>
      </c>
      <c r="N46" s="245">
        <v>75000</v>
      </c>
      <c r="O46" s="246">
        <f>N46+M46+L46</f>
        <v>1085000</v>
      </c>
      <c r="P46" s="161">
        <f t="shared" ref="P46:P48" si="20">O46*K46</f>
        <v>341775</v>
      </c>
      <c r="Q46" s="162">
        <f t="shared" si="4"/>
        <v>0</v>
      </c>
    </row>
    <row r="47" spans="1:17" x14ac:dyDescent="0.25">
      <c r="A47" s="154"/>
      <c r="B47" s="244" t="s">
        <v>343</v>
      </c>
      <c r="C47" s="241" t="s">
        <v>344</v>
      </c>
      <c r="D47" s="185" t="s">
        <v>345</v>
      </c>
      <c r="E47" s="242">
        <f>E46*200</f>
        <v>63</v>
      </c>
      <c r="F47" s="245">
        <v>12700</v>
      </c>
      <c r="G47" s="245">
        <v>2500</v>
      </c>
      <c r="H47" s="245">
        <v>500</v>
      </c>
      <c r="I47" s="246">
        <f>H47+G47+F47</f>
        <v>15700</v>
      </c>
      <c r="J47" s="161">
        <f t="shared" si="19"/>
        <v>989100</v>
      </c>
      <c r="K47" s="242">
        <f>K46*200</f>
        <v>63</v>
      </c>
      <c r="L47" s="245">
        <v>12700</v>
      </c>
      <c r="M47" s="245">
        <v>2500</v>
      </c>
      <c r="N47" s="245">
        <v>500</v>
      </c>
      <c r="O47" s="246">
        <f>N47+M47+L47</f>
        <v>15700</v>
      </c>
      <c r="P47" s="161">
        <f t="shared" si="20"/>
        <v>989100</v>
      </c>
      <c r="Q47" s="162">
        <f t="shared" si="4"/>
        <v>0</v>
      </c>
    </row>
    <row r="48" spans="1:17" x14ac:dyDescent="0.25">
      <c r="A48" s="154"/>
      <c r="B48" s="247" t="s">
        <v>346</v>
      </c>
      <c r="C48" s="248" t="s">
        <v>347</v>
      </c>
      <c r="D48" s="185" t="s">
        <v>301</v>
      </c>
      <c r="E48" s="242">
        <f>(0.3*3*4)</f>
        <v>3.5999999999999996</v>
      </c>
      <c r="F48" s="159">
        <v>75000</v>
      </c>
      <c r="G48" s="245">
        <v>40000</v>
      </c>
      <c r="H48" s="245">
        <v>10000</v>
      </c>
      <c r="I48" s="246">
        <f>H48+G48+F48</f>
        <v>125000</v>
      </c>
      <c r="J48" s="161">
        <f t="shared" si="19"/>
        <v>449999.99999999994</v>
      </c>
      <c r="K48" s="242">
        <f>(0.3*3*4)</f>
        <v>3.5999999999999996</v>
      </c>
      <c r="L48" s="159">
        <v>75000</v>
      </c>
      <c r="M48" s="245">
        <v>40000</v>
      </c>
      <c r="N48" s="245">
        <v>10000</v>
      </c>
      <c r="O48" s="246">
        <f>N48+M48+L48</f>
        <v>125000</v>
      </c>
      <c r="P48" s="161">
        <f t="shared" si="20"/>
        <v>449999.99999999994</v>
      </c>
      <c r="Q48" s="162">
        <f t="shared" si="4"/>
        <v>0</v>
      </c>
    </row>
    <row r="49" spans="1:17" x14ac:dyDescent="0.25">
      <c r="A49" s="154">
        <v>11</v>
      </c>
      <c r="B49" s="238" t="s">
        <v>349</v>
      </c>
      <c r="C49" s="184" t="s">
        <v>282</v>
      </c>
      <c r="D49" s="185" t="s">
        <v>290</v>
      </c>
      <c r="E49" s="192" t="s">
        <v>282</v>
      </c>
      <c r="F49" s="195"/>
      <c r="G49" s="195"/>
      <c r="H49" s="195"/>
      <c r="I49" s="195"/>
      <c r="J49" s="161"/>
      <c r="K49" s="192" t="s">
        <v>282</v>
      </c>
      <c r="L49" s="195"/>
      <c r="M49" s="195"/>
      <c r="N49" s="195"/>
      <c r="O49" s="195"/>
      <c r="P49" s="161"/>
      <c r="Q49" s="162">
        <f t="shared" si="4"/>
        <v>0</v>
      </c>
    </row>
    <row r="50" spans="1:17" x14ac:dyDescent="0.25">
      <c r="A50" s="154"/>
      <c r="B50" s="240" t="s">
        <v>341</v>
      </c>
      <c r="C50" s="184" t="s">
        <v>342</v>
      </c>
      <c r="D50" s="185" t="s">
        <v>337</v>
      </c>
      <c r="E50" s="192">
        <f>(0.15*0.3*4*8)</f>
        <v>1.44</v>
      </c>
      <c r="F50" s="159">
        <v>850000</v>
      </c>
      <c r="G50" s="159">
        <v>160000</v>
      </c>
      <c r="H50" s="159">
        <v>75000</v>
      </c>
      <c r="I50" s="160">
        <f>H50+G50+F50</f>
        <v>1085000</v>
      </c>
      <c r="J50" s="161">
        <f t="shared" ref="J50:J52" si="21">I50*E50</f>
        <v>1562400</v>
      </c>
      <c r="K50" s="192">
        <f>(0.15*0.3*4*8)</f>
        <v>1.44</v>
      </c>
      <c r="L50" s="159">
        <v>850000</v>
      </c>
      <c r="M50" s="159">
        <v>160000</v>
      </c>
      <c r="N50" s="159">
        <v>75000</v>
      </c>
      <c r="O50" s="160">
        <f>N50+M50+L50</f>
        <v>1085000</v>
      </c>
      <c r="P50" s="161">
        <f t="shared" ref="P50:P52" si="22">O50*K50</f>
        <v>1562400</v>
      </c>
      <c r="Q50" s="162">
        <f t="shared" si="4"/>
        <v>0</v>
      </c>
    </row>
    <row r="51" spans="1:17" x14ac:dyDescent="0.25">
      <c r="A51" s="154"/>
      <c r="B51" s="240" t="s">
        <v>343</v>
      </c>
      <c r="C51" s="184" t="s">
        <v>344</v>
      </c>
      <c r="D51" s="185" t="s">
        <v>345</v>
      </c>
      <c r="E51" s="192">
        <f>E50*200</f>
        <v>288</v>
      </c>
      <c r="F51" s="159">
        <v>16000</v>
      </c>
      <c r="G51" s="159">
        <v>2500</v>
      </c>
      <c r="H51" s="159">
        <v>500</v>
      </c>
      <c r="I51" s="160">
        <f>H51+G51+F51</f>
        <v>19000</v>
      </c>
      <c r="J51" s="161">
        <f t="shared" si="21"/>
        <v>5472000</v>
      </c>
      <c r="K51" s="192">
        <f>K50*200</f>
        <v>288</v>
      </c>
      <c r="L51" s="159">
        <v>16000</v>
      </c>
      <c r="M51" s="159">
        <v>2500</v>
      </c>
      <c r="N51" s="159">
        <v>500</v>
      </c>
      <c r="O51" s="160">
        <f>N51+M51+L51</f>
        <v>19000</v>
      </c>
      <c r="P51" s="161">
        <f t="shared" si="22"/>
        <v>5472000</v>
      </c>
      <c r="Q51" s="162">
        <f t="shared" si="4"/>
        <v>0</v>
      </c>
    </row>
    <row r="52" spans="1:17" x14ac:dyDescent="0.25">
      <c r="A52" s="154"/>
      <c r="B52" s="240" t="s">
        <v>346</v>
      </c>
      <c r="C52" s="249" t="s">
        <v>347</v>
      </c>
      <c r="D52" s="185" t="s">
        <v>301</v>
      </c>
      <c r="E52" s="192">
        <f>(0.3*4*6)</f>
        <v>7.1999999999999993</v>
      </c>
      <c r="F52" s="159">
        <v>75000</v>
      </c>
      <c r="G52" s="159">
        <v>40000</v>
      </c>
      <c r="H52" s="159">
        <v>10000</v>
      </c>
      <c r="I52" s="160">
        <f>H52+G52+F52</f>
        <v>125000</v>
      </c>
      <c r="J52" s="161">
        <f t="shared" si="21"/>
        <v>899999.99999999988</v>
      </c>
      <c r="K52" s="192">
        <f>(0.3*4*6)</f>
        <v>7.1999999999999993</v>
      </c>
      <c r="L52" s="159">
        <v>75000</v>
      </c>
      <c r="M52" s="159">
        <v>40000</v>
      </c>
      <c r="N52" s="159">
        <v>10000</v>
      </c>
      <c r="O52" s="160">
        <f>N52+M52+L52</f>
        <v>125000</v>
      </c>
      <c r="P52" s="161">
        <f t="shared" si="22"/>
        <v>899999.99999999988</v>
      </c>
      <c r="Q52" s="162">
        <f t="shared" si="4"/>
        <v>0</v>
      </c>
    </row>
    <row r="53" spans="1:17" x14ac:dyDescent="0.25">
      <c r="A53" s="154">
        <v>12</v>
      </c>
      <c r="B53" s="238" t="s">
        <v>350</v>
      </c>
      <c r="C53" s="184" t="s">
        <v>282</v>
      </c>
      <c r="D53" s="185"/>
      <c r="E53" s="192"/>
      <c r="F53" s="250"/>
      <c r="G53" s="195"/>
      <c r="H53" s="195"/>
      <c r="I53" s="251"/>
      <c r="J53" s="161"/>
      <c r="K53" s="192"/>
      <c r="L53" s="250"/>
      <c r="M53" s="195"/>
      <c r="N53" s="195"/>
      <c r="O53" s="251"/>
      <c r="P53" s="161"/>
      <c r="Q53" s="162">
        <f t="shared" si="4"/>
        <v>0</v>
      </c>
    </row>
    <row r="54" spans="1:17" x14ac:dyDescent="0.25">
      <c r="A54" s="154"/>
      <c r="B54" s="240" t="s">
        <v>341</v>
      </c>
      <c r="C54" s="184" t="s">
        <v>342</v>
      </c>
      <c r="D54" s="185" t="s">
        <v>337</v>
      </c>
      <c r="E54" s="192">
        <f>(0.15*0.35*32)+(0.15*0.3*25)+(0.15*0.25*9)+(0.2*0.4*10)</f>
        <v>3.9424999999999999</v>
      </c>
      <c r="F54" s="159">
        <v>850000</v>
      </c>
      <c r="G54" s="159">
        <v>160000</v>
      </c>
      <c r="H54" s="159">
        <v>75000</v>
      </c>
      <c r="I54" s="160">
        <f>H54+G54+F54</f>
        <v>1085000</v>
      </c>
      <c r="J54" s="161">
        <f t="shared" ref="J54:J56" si="23">I54*E54</f>
        <v>4277612.5</v>
      </c>
      <c r="K54" s="192">
        <f>(0.15*0.35*32)+(0.15*0.3*25)+(0.15*0.25*9)+(0.2*0.4*10)</f>
        <v>3.9424999999999999</v>
      </c>
      <c r="L54" s="159">
        <v>850000</v>
      </c>
      <c r="M54" s="159">
        <v>160000</v>
      </c>
      <c r="N54" s="159">
        <v>75000</v>
      </c>
      <c r="O54" s="160">
        <f>N54+M54+L54</f>
        <v>1085000</v>
      </c>
      <c r="P54" s="161">
        <f t="shared" ref="P54:P56" si="24">O54*K54</f>
        <v>4277612.5</v>
      </c>
      <c r="Q54" s="162">
        <f t="shared" si="4"/>
        <v>0</v>
      </c>
    </row>
    <row r="55" spans="1:17" x14ac:dyDescent="0.25">
      <c r="A55" s="154"/>
      <c r="B55" s="240" t="s">
        <v>343</v>
      </c>
      <c r="C55" s="184" t="s">
        <v>344</v>
      </c>
      <c r="D55" s="185" t="s">
        <v>345</v>
      </c>
      <c r="E55" s="192">
        <f>E54*200</f>
        <v>788.5</v>
      </c>
      <c r="F55" s="159">
        <v>16000</v>
      </c>
      <c r="G55" s="159">
        <v>2500</v>
      </c>
      <c r="H55" s="159">
        <v>500</v>
      </c>
      <c r="I55" s="160">
        <f>H55+G55+F55</f>
        <v>19000</v>
      </c>
      <c r="J55" s="161">
        <f t="shared" si="23"/>
        <v>14981500</v>
      </c>
      <c r="K55" s="192">
        <f>K54*200</f>
        <v>788.5</v>
      </c>
      <c r="L55" s="159">
        <v>16000</v>
      </c>
      <c r="M55" s="159">
        <v>2500</v>
      </c>
      <c r="N55" s="159">
        <v>500</v>
      </c>
      <c r="O55" s="160">
        <f>N55+M55+L55</f>
        <v>19000</v>
      </c>
      <c r="P55" s="161">
        <f t="shared" si="24"/>
        <v>14981500</v>
      </c>
      <c r="Q55" s="162">
        <f t="shared" si="4"/>
        <v>0</v>
      </c>
    </row>
    <row r="56" spans="1:17" x14ac:dyDescent="0.25">
      <c r="A56" s="154"/>
      <c r="B56" s="240" t="s">
        <v>346</v>
      </c>
      <c r="C56" s="249" t="s">
        <v>347</v>
      </c>
      <c r="D56" s="185" t="s">
        <v>301</v>
      </c>
      <c r="E56" s="192">
        <f>(0.35+0.15+0.35)*76</f>
        <v>64.599999999999994</v>
      </c>
      <c r="F56" s="159">
        <v>100000</v>
      </c>
      <c r="G56" s="159">
        <v>40000</v>
      </c>
      <c r="H56" s="159">
        <v>10000</v>
      </c>
      <c r="I56" s="160">
        <f>H56+G56+F56</f>
        <v>150000</v>
      </c>
      <c r="J56" s="161">
        <f t="shared" si="23"/>
        <v>9690000</v>
      </c>
      <c r="K56" s="192">
        <f>(0.35+0.15+0.35)*76</f>
        <v>64.599999999999994</v>
      </c>
      <c r="L56" s="159">
        <v>100000</v>
      </c>
      <c r="M56" s="159">
        <v>40000</v>
      </c>
      <c r="N56" s="159">
        <v>10000</v>
      </c>
      <c r="O56" s="160">
        <f>N56+M56+L56</f>
        <v>150000</v>
      </c>
      <c r="P56" s="161">
        <f t="shared" si="24"/>
        <v>9690000</v>
      </c>
      <c r="Q56" s="162">
        <f t="shared" si="4"/>
        <v>0</v>
      </c>
    </row>
    <row r="57" spans="1:17" x14ac:dyDescent="0.25">
      <c r="A57" s="154">
        <v>13</v>
      </c>
      <c r="B57" s="238" t="s">
        <v>351</v>
      </c>
      <c r="C57" s="184" t="s">
        <v>282</v>
      </c>
      <c r="D57" s="185"/>
      <c r="E57" s="192"/>
      <c r="F57" s="250"/>
      <c r="G57" s="195"/>
      <c r="H57" s="195"/>
      <c r="I57" s="195"/>
      <c r="J57" s="161"/>
      <c r="K57" s="192"/>
      <c r="L57" s="250"/>
      <c r="M57" s="195"/>
      <c r="N57" s="195"/>
      <c r="O57" s="195"/>
      <c r="P57" s="161"/>
      <c r="Q57" s="162">
        <f t="shared" si="4"/>
        <v>0</v>
      </c>
    </row>
    <row r="58" spans="1:17" x14ac:dyDescent="0.25">
      <c r="A58" s="154"/>
      <c r="B58" s="240" t="s">
        <v>341</v>
      </c>
      <c r="C58" s="184" t="s">
        <v>342</v>
      </c>
      <c r="D58" s="185" t="s">
        <v>337</v>
      </c>
      <c r="E58" s="192">
        <f>(4*8*0.12)+(17.5*0.12)+(1.5*2.7*0.12)+(5*2*0.12)+(3.5*1*0.12)</f>
        <v>8.0459999999999994</v>
      </c>
      <c r="F58" s="159">
        <v>850000</v>
      </c>
      <c r="G58" s="159">
        <v>160000</v>
      </c>
      <c r="H58" s="159">
        <v>75000</v>
      </c>
      <c r="I58" s="160">
        <f>H58+G58+F58</f>
        <v>1085000</v>
      </c>
      <c r="J58" s="161">
        <f t="shared" ref="J58:J93" si="25">I58*E58</f>
        <v>8729910</v>
      </c>
      <c r="K58" s="192">
        <f>(4*8*0.12)+(17.5*0.12)+(1.5*2.7*0.12)+(5*2*0.12)+(3.5*1*0.12)</f>
        <v>8.0459999999999994</v>
      </c>
      <c r="L58" s="159">
        <v>850000</v>
      </c>
      <c r="M58" s="159">
        <v>160000</v>
      </c>
      <c r="N58" s="159">
        <v>75000</v>
      </c>
      <c r="O58" s="160">
        <f>N58+M58+L58</f>
        <v>1085000</v>
      </c>
      <c r="P58" s="161">
        <f t="shared" ref="P58:P93" si="26">O58*K58</f>
        <v>8729910</v>
      </c>
      <c r="Q58" s="162">
        <f t="shared" si="4"/>
        <v>0</v>
      </c>
    </row>
    <row r="59" spans="1:17" x14ac:dyDescent="0.25">
      <c r="A59" s="154"/>
      <c r="B59" s="240" t="s">
        <v>343</v>
      </c>
      <c r="C59" s="184" t="s">
        <v>344</v>
      </c>
      <c r="D59" s="185" t="s">
        <v>345</v>
      </c>
      <c r="E59" s="192">
        <f>E58*125</f>
        <v>1005.7499999999999</v>
      </c>
      <c r="F59" s="159">
        <v>16000</v>
      </c>
      <c r="G59" s="159">
        <v>2500</v>
      </c>
      <c r="H59" s="159">
        <v>500</v>
      </c>
      <c r="I59" s="160">
        <f>H59+G59+F59</f>
        <v>19000</v>
      </c>
      <c r="J59" s="161">
        <f t="shared" si="25"/>
        <v>19109249.999999996</v>
      </c>
      <c r="K59" s="192">
        <f>K58*125</f>
        <v>1005.7499999999999</v>
      </c>
      <c r="L59" s="159">
        <v>16000</v>
      </c>
      <c r="M59" s="159">
        <v>2500</v>
      </c>
      <c r="N59" s="159">
        <v>500</v>
      </c>
      <c r="O59" s="160">
        <f>N59+M59+L59</f>
        <v>19000</v>
      </c>
      <c r="P59" s="161">
        <f t="shared" si="26"/>
        <v>19109249.999999996</v>
      </c>
      <c r="Q59" s="162">
        <f t="shared" si="4"/>
        <v>0</v>
      </c>
    </row>
    <row r="60" spans="1:17" x14ac:dyDescent="0.25">
      <c r="A60" s="154"/>
      <c r="B60" s="240" t="s">
        <v>346</v>
      </c>
      <c r="C60" s="249" t="s">
        <v>347</v>
      </c>
      <c r="D60" s="185" t="s">
        <v>301</v>
      </c>
      <c r="E60" s="192">
        <f>(4*8)+17.5+3+8</f>
        <v>60.5</v>
      </c>
      <c r="F60" s="159">
        <v>100000</v>
      </c>
      <c r="G60" s="159">
        <v>40000</v>
      </c>
      <c r="H60" s="159">
        <v>10000</v>
      </c>
      <c r="I60" s="160">
        <f>H60+G60+F60</f>
        <v>150000</v>
      </c>
      <c r="J60" s="161">
        <f t="shared" si="25"/>
        <v>9075000</v>
      </c>
      <c r="K60" s="192">
        <f>(4*8)+17.5+3+8</f>
        <v>60.5</v>
      </c>
      <c r="L60" s="159">
        <v>100000</v>
      </c>
      <c r="M60" s="159">
        <v>40000</v>
      </c>
      <c r="N60" s="159">
        <v>10000</v>
      </c>
      <c r="O60" s="160">
        <f>N60+M60+L60</f>
        <v>150000</v>
      </c>
      <c r="P60" s="161">
        <f t="shared" si="26"/>
        <v>9075000</v>
      </c>
      <c r="Q60" s="162">
        <f t="shared" si="4"/>
        <v>0</v>
      </c>
    </row>
    <row r="61" spans="1:17" ht="30" x14ac:dyDescent="0.25">
      <c r="A61" s="154">
        <v>14</v>
      </c>
      <c r="B61" s="238" t="s">
        <v>352</v>
      </c>
      <c r="C61" s="184" t="s">
        <v>353</v>
      </c>
      <c r="D61" s="185" t="s">
        <v>301</v>
      </c>
      <c r="E61" s="192">
        <f>(4*5)-(2*2)+4.5+8</f>
        <v>28.5</v>
      </c>
      <c r="F61" s="159">
        <v>75000</v>
      </c>
      <c r="G61" s="159">
        <v>10000</v>
      </c>
      <c r="H61" s="195"/>
      <c r="I61" s="160">
        <f t="shared" ref="I61:I71" si="27">H61+G61+F61</f>
        <v>85000</v>
      </c>
      <c r="J61" s="161">
        <f t="shared" si="25"/>
        <v>2422500</v>
      </c>
      <c r="K61" s="192">
        <f>(4*5)-(2*2)+4.5+8</f>
        <v>28.5</v>
      </c>
      <c r="L61" s="159">
        <v>75000</v>
      </c>
      <c r="M61" s="159">
        <v>10000</v>
      </c>
      <c r="N61" s="195"/>
      <c r="O61" s="160">
        <f t="shared" ref="O61:O73" si="28">N61+M61+L61</f>
        <v>85000</v>
      </c>
      <c r="P61" s="161">
        <f t="shared" si="26"/>
        <v>2422500</v>
      </c>
      <c r="Q61" s="162">
        <f t="shared" si="4"/>
        <v>0</v>
      </c>
    </row>
    <row r="62" spans="1:17" x14ac:dyDescent="0.25">
      <c r="A62" s="154">
        <v>15</v>
      </c>
      <c r="B62" s="238" t="s">
        <v>354</v>
      </c>
      <c r="C62" s="184" t="s">
        <v>355</v>
      </c>
      <c r="D62" s="185" t="s">
        <v>301</v>
      </c>
      <c r="E62" s="192">
        <f>(3*3)+(2*3)+(4* 3)+(2*2)+(4.5)+(8*2)</f>
        <v>51.5</v>
      </c>
      <c r="F62" s="159">
        <v>95000</v>
      </c>
      <c r="G62" s="159">
        <v>25000</v>
      </c>
      <c r="H62" s="159">
        <v>5000</v>
      </c>
      <c r="I62" s="160">
        <f t="shared" si="27"/>
        <v>125000</v>
      </c>
      <c r="J62" s="161">
        <f t="shared" si="25"/>
        <v>6437500</v>
      </c>
      <c r="K62" s="192">
        <f>(3*3)+(2*3)+(4* 3)+(2*2)+(4.5)+(8*2)</f>
        <v>51.5</v>
      </c>
      <c r="L62" s="159">
        <v>95000</v>
      </c>
      <c r="M62" s="159">
        <v>25000</v>
      </c>
      <c r="N62" s="159">
        <v>5000</v>
      </c>
      <c r="O62" s="160">
        <f t="shared" si="28"/>
        <v>125000</v>
      </c>
      <c r="P62" s="161">
        <f t="shared" si="26"/>
        <v>6437500</v>
      </c>
      <c r="Q62" s="162">
        <f t="shared" si="4"/>
        <v>0</v>
      </c>
    </row>
    <row r="63" spans="1:17" x14ac:dyDescent="0.25">
      <c r="A63" s="154">
        <v>16</v>
      </c>
      <c r="B63" s="238" t="s">
        <v>356</v>
      </c>
      <c r="C63" s="184" t="s">
        <v>357</v>
      </c>
      <c r="D63" s="185" t="s">
        <v>178</v>
      </c>
      <c r="E63" s="192">
        <f>(2+3)*2+(3+4)*2+(2+2)*2</f>
        <v>32</v>
      </c>
      <c r="F63" s="159">
        <v>95000</v>
      </c>
      <c r="G63" s="159">
        <v>25000</v>
      </c>
      <c r="H63" s="159">
        <v>5000</v>
      </c>
      <c r="I63" s="160">
        <f t="shared" si="27"/>
        <v>125000</v>
      </c>
      <c r="J63" s="161">
        <f t="shared" si="25"/>
        <v>4000000</v>
      </c>
      <c r="K63" s="192">
        <f>(2+3)*2+(3+4)*2+(2+2)*2</f>
        <v>32</v>
      </c>
      <c r="L63" s="159">
        <v>95000</v>
      </c>
      <c r="M63" s="159">
        <v>25000</v>
      </c>
      <c r="N63" s="159">
        <v>5000</v>
      </c>
      <c r="O63" s="160">
        <f t="shared" si="28"/>
        <v>125000</v>
      </c>
      <c r="P63" s="161">
        <f t="shared" si="26"/>
        <v>4000000</v>
      </c>
      <c r="Q63" s="162">
        <f t="shared" si="4"/>
        <v>0</v>
      </c>
    </row>
    <row r="64" spans="1:17" x14ac:dyDescent="0.25">
      <c r="A64" s="154">
        <v>17</v>
      </c>
      <c r="B64" s="238" t="s">
        <v>358</v>
      </c>
      <c r="C64" s="184" t="s">
        <v>359</v>
      </c>
      <c r="D64" s="185" t="s">
        <v>178</v>
      </c>
      <c r="E64" s="192">
        <f>(10+5)*2</f>
        <v>30</v>
      </c>
      <c r="F64" s="159">
        <v>22500</v>
      </c>
      <c r="G64" s="159">
        <v>5000</v>
      </c>
      <c r="H64" s="195"/>
      <c r="I64" s="160">
        <f t="shared" si="27"/>
        <v>27500</v>
      </c>
      <c r="J64" s="161">
        <f t="shared" si="25"/>
        <v>825000</v>
      </c>
      <c r="K64" s="192">
        <f>(10+5)*2</f>
        <v>30</v>
      </c>
      <c r="L64" s="159">
        <v>22500</v>
      </c>
      <c r="M64" s="159">
        <v>5000</v>
      </c>
      <c r="N64" s="195"/>
      <c r="O64" s="160">
        <f t="shared" si="28"/>
        <v>27500</v>
      </c>
      <c r="P64" s="161">
        <f t="shared" si="26"/>
        <v>825000</v>
      </c>
      <c r="Q64" s="162">
        <f t="shared" si="4"/>
        <v>0</v>
      </c>
    </row>
    <row r="65" spans="1:18" ht="30" x14ac:dyDescent="0.25">
      <c r="A65" s="154">
        <v>18</v>
      </c>
      <c r="B65" s="238" t="s">
        <v>360</v>
      </c>
      <c r="C65" s="241" t="s">
        <v>322</v>
      </c>
      <c r="D65" s="185" t="s">
        <v>301</v>
      </c>
      <c r="E65" s="192">
        <f>(12+20+9+9+6)</f>
        <v>56</v>
      </c>
      <c r="F65" s="233"/>
      <c r="G65" s="159">
        <v>100000</v>
      </c>
      <c r="H65" s="159">
        <v>70000</v>
      </c>
      <c r="I65" s="160">
        <f t="shared" si="27"/>
        <v>170000</v>
      </c>
      <c r="J65" s="161">
        <f t="shared" si="25"/>
        <v>9520000</v>
      </c>
      <c r="K65" s="192">
        <f>(12+20+9+9+6)</f>
        <v>56</v>
      </c>
      <c r="L65" s="233"/>
      <c r="M65" s="159">
        <v>100000</v>
      </c>
      <c r="N65" s="159">
        <v>70000</v>
      </c>
      <c r="O65" s="160">
        <f t="shared" si="28"/>
        <v>170000</v>
      </c>
      <c r="P65" s="161">
        <f t="shared" si="26"/>
        <v>9520000</v>
      </c>
      <c r="Q65" s="162">
        <f t="shared" si="4"/>
        <v>0</v>
      </c>
    </row>
    <row r="66" spans="1:18" ht="30" x14ac:dyDescent="0.25">
      <c r="A66" s="154">
        <v>19</v>
      </c>
      <c r="B66" s="238" t="s">
        <v>361</v>
      </c>
      <c r="C66" s="241" t="s">
        <v>322</v>
      </c>
      <c r="D66" s="185" t="s">
        <v>301</v>
      </c>
      <c r="E66" s="192">
        <v>17</v>
      </c>
      <c r="F66" s="233"/>
      <c r="G66" s="159">
        <v>100000</v>
      </c>
      <c r="H66" s="159">
        <v>70000</v>
      </c>
      <c r="I66" s="160">
        <f t="shared" si="27"/>
        <v>170000</v>
      </c>
      <c r="J66" s="161">
        <f t="shared" si="25"/>
        <v>2890000</v>
      </c>
      <c r="K66" s="192">
        <v>17</v>
      </c>
      <c r="L66" s="233"/>
      <c r="M66" s="159">
        <v>100000</v>
      </c>
      <c r="N66" s="159">
        <v>70000</v>
      </c>
      <c r="O66" s="160">
        <f t="shared" si="28"/>
        <v>170000</v>
      </c>
      <c r="P66" s="161">
        <f t="shared" si="26"/>
        <v>2890000</v>
      </c>
      <c r="Q66" s="162">
        <f t="shared" si="4"/>
        <v>0</v>
      </c>
    </row>
    <row r="67" spans="1:18" ht="30" x14ac:dyDescent="0.25">
      <c r="A67" s="154">
        <v>20</v>
      </c>
      <c r="B67" s="238" t="s">
        <v>362</v>
      </c>
      <c r="C67" s="241" t="s">
        <v>322</v>
      </c>
      <c r="D67" s="185" t="s">
        <v>301</v>
      </c>
      <c r="E67" s="192">
        <v>4.5</v>
      </c>
      <c r="F67" s="233"/>
      <c r="G67" s="159">
        <v>100000</v>
      </c>
      <c r="H67" s="159">
        <v>70000</v>
      </c>
      <c r="I67" s="160">
        <f t="shared" si="27"/>
        <v>170000</v>
      </c>
      <c r="J67" s="161">
        <f t="shared" si="25"/>
        <v>765000</v>
      </c>
      <c r="K67" s="192">
        <v>4.5</v>
      </c>
      <c r="L67" s="233"/>
      <c r="M67" s="159">
        <v>100000</v>
      </c>
      <c r="N67" s="159">
        <v>70000</v>
      </c>
      <c r="O67" s="160">
        <f t="shared" si="28"/>
        <v>170000</v>
      </c>
      <c r="P67" s="161">
        <f t="shared" si="26"/>
        <v>765000</v>
      </c>
      <c r="Q67" s="162">
        <f t="shared" si="4"/>
        <v>0</v>
      </c>
    </row>
    <row r="68" spans="1:18" ht="30" x14ac:dyDescent="0.25">
      <c r="A68" s="163"/>
      <c r="B68" s="252" t="s">
        <v>363</v>
      </c>
      <c r="C68" s="253" t="s">
        <v>322</v>
      </c>
      <c r="D68" s="213" t="s">
        <v>301</v>
      </c>
      <c r="E68" s="254">
        <f>(1.7+2.5)*2*2.7</f>
        <v>22.680000000000003</v>
      </c>
      <c r="F68" s="233"/>
      <c r="G68" s="168">
        <v>100000</v>
      </c>
      <c r="H68" s="168">
        <v>70000</v>
      </c>
      <c r="I68" s="169">
        <f t="shared" si="27"/>
        <v>170000</v>
      </c>
      <c r="J68" s="162">
        <f t="shared" si="25"/>
        <v>3855600.0000000005</v>
      </c>
      <c r="K68" s="254">
        <f>(1.7+2.5)*2*2.7</f>
        <v>22.680000000000003</v>
      </c>
      <c r="L68" s="233"/>
      <c r="M68" s="168">
        <v>100000</v>
      </c>
      <c r="N68" s="168">
        <v>70000</v>
      </c>
      <c r="O68" s="169">
        <f t="shared" si="28"/>
        <v>170000</v>
      </c>
      <c r="P68" s="162">
        <f t="shared" si="26"/>
        <v>3855600.0000000005</v>
      </c>
      <c r="Q68" s="162">
        <f t="shared" si="4"/>
        <v>0</v>
      </c>
    </row>
    <row r="69" spans="1:18" ht="30" x14ac:dyDescent="0.25">
      <c r="A69" s="163"/>
      <c r="B69" s="252" t="s">
        <v>364</v>
      </c>
      <c r="C69" s="253" t="s">
        <v>322</v>
      </c>
      <c r="D69" s="213" t="s">
        <v>301</v>
      </c>
      <c r="E69" s="254">
        <v>5</v>
      </c>
      <c r="F69" s="233"/>
      <c r="G69" s="168">
        <v>100000</v>
      </c>
      <c r="H69" s="168">
        <v>70000</v>
      </c>
      <c r="I69" s="169">
        <f t="shared" si="27"/>
        <v>170000</v>
      </c>
      <c r="J69" s="162">
        <f t="shared" si="25"/>
        <v>850000</v>
      </c>
      <c r="K69" s="254">
        <v>5</v>
      </c>
      <c r="L69" s="233"/>
      <c r="M69" s="168">
        <v>100000</v>
      </c>
      <c r="N69" s="168">
        <v>70000</v>
      </c>
      <c r="O69" s="169">
        <f t="shared" si="28"/>
        <v>170000</v>
      </c>
      <c r="P69" s="162">
        <f t="shared" si="26"/>
        <v>850000</v>
      </c>
      <c r="Q69" s="162">
        <f t="shared" si="4"/>
        <v>0</v>
      </c>
    </row>
    <row r="70" spans="1:18" ht="30" x14ac:dyDescent="0.25">
      <c r="A70" s="163"/>
      <c r="B70" s="252" t="s">
        <v>365</v>
      </c>
      <c r="C70" s="253" t="s">
        <v>322</v>
      </c>
      <c r="D70" s="213" t="s">
        <v>301</v>
      </c>
      <c r="E70" s="254">
        <f>(1+2)*2*1.6</f>
        <v>9.6000000000000014</v>
      </c>
      <c r="F70" s="233"/>
      <c r="G70" s="168">
        <v>100000</v>
      </c>
      <c r="H70" s="168">
        <v>70000</v>
      </c>
      <c r="I70" s="169">
        <f t="shared" si="27"/>
        <v>170000</v>
      </c>
      <c r="J70" s="162">
        <f t="shared" si="25"/>
        <v>1632000.0000000002</v>
      </c>
      <c r="K70" s="254">
        <f>(1+2)*2*1.6</f>
        <v>9.6000000000000014</v>
      </c>
      <c r="L70" s="233"/>
      <c r="M70" s="168">
        <v>100000</v>
      </c>
      <c r="N70" s="168">
        <v>70000</v>
      </c>
      <c r="O70" s="169">
        <f t="shared" si="28"/>
        <v>170000</v>
      </c>
      <c r="P70" s="162">
        <f t="shared" si="26"/>
        <v>1632000.0000000002</v>
      </c>
      <c r="Q70" s="162">
        <f t="shared" si="4"/>
        <v>0</v>
      </c>
    </row>
    <row r="71" spans="1:18" ht="30" x14ac:dyDescent="0.25">
      <c r="A71" s="163"/>
      <c r="B71" s="252" t="s">
        <v>366</v>
      </c>
      <c r="C71" s="253" t="s">
        <v>322</v>
      </c>
      <c r="D71" s="213" t="s">
        <v>301</v>
      </c>
      <c r="E71" s="254">
        <f>1*2</f>
        <v>2</v>
      </c>
      <c r="F71" s="233"/>
      <c r="G71" s="168">
        <v>100000</v>
      </c>
      <c r="H71" s="168">
        <v>70000</v>
      </c>
      <c r="I71" s="169">
        <f t="shared" si="27"/>
        <v>170000</v>
      </c>
      <c r="J71" s="162">
        <f t="shared" si="25"/>
        <v>340000</v>
      </c>
      <c r="K71" s="254">
        <f>1*2</f>
        <v>2</v>
      </c>
      <c r="L71" s="233"/>
      <c r="M71" s="168">
        <v>100000</v>
      </c>
      <c r="N71" s="168">
        <v>70000</v>
      </c>
      <c r="O71" s="169">
        <f t="shared" si="28"/>
        <v>170000</v>
      </c>
      <c r="P71" s="162">
        <f t="shared" si="26"/>
        <v>340000</v>
      </c>
      <c r="Q71" s="162">
        <f t="shared" si="4"/>
        <v>0</v>
      </c>
    </row>
    <row r="72" spans="1:18" ht="30" x14ac:dyDescent="0.25">
      <c r="A72" s="255"/>
      <c r="B72" s="225" t="s">
        <v>367</v>
      </c>
      <c r="C72" s="226" t="s">
        <v>322</v>
      </c>
      <c r="D72" s="227" t="s">
        <v>301</v>
      </c>
      <c r="E72" s="228"/>
      <c r="F72" s="229"/>
      <c r="G72" s="229"/>
      <c r="H72" s="229"/>
      <c r="I72" s="230"/>
      <c r="J72" s="231"/>
      <c r="K72" s="232">
        <f>2.75*4</f>
        <v>11</v>
      </c>
      <c r="L72" s="233"/>
      <c r="M72" s="234">
        <v>100000</v>
      </c>
      <c r="N72" s="234">
        <v>70000</v>
      </c>
      <c r="O72" s="235">
        <f t="shared" si="28"/>
        <v>170000</v>
      </c>
      <c r="P72" s="236">
        <f t="shared" si="26"/>
        <v>1870000</v>
      </c>
      <c r="Q72" s="218">
        <f t="shared" si="4"/>
        <v>1870000</v>
      </c>
      <c r="R72" t="s">
        <v>316</v>
      </c>
    </row>
    <row r="73" spans="1:18" ht="30" x14ac:dyDescent="0.25">
      <c r="A73" s="255"/>
      <c r="B73" s="256" t="s">
        <v>368</v>
      </c>
      <c r="C73" s="257" t="s">
        <v>322</v>
      </c>
      <c r="D73" s="227" t="s">
        <v>178</v>
      </c>
      <c r="E73" s="228"/>
      <c r="F73" s="229"/>
      <c r="G73" s="229"/>
      <c r="H73" s="229"/>
      <c r="I73" s="230"/>
      <c r="J73" s="231"/>
      <c r="K73" s="258">
        <v>40</v>
      </c>
      <c r="L73" s="259"/>
      <c r="M73" s="260">
        <v>100000</v>
      </c>
      <c r="N73" s="260">
        <v>70000</v>
      </c>
      <c r="O73" s="261">
        <f t="shared" si="28"/>
        <v>170000</v>
      </c>
      <c r="P73" s="262">
        <f t="shared" si="26"/>
        <v>6800000</v>
      </c>
      <c r="Q73" s="218">
        <f t="shared" si="4"/>
        <v>6800000</v>
      </c>
      <c r="R73" t="s">
        <v>316</v>
      </c>
    </row>
    <row r="74" spans="1:18" x14ac:dyDescent="0.25">
      <c r="A74" s="163"/>
      <c r="B74" s="252"/>
      <c r="C74" s="263"/>
      <c r="D74" s="213"/>
      <c r="E74" s="254"/>
      <c r="F74" s="168"/>
      <c r="G74" s="168"/>
      <c r="H74" s="168"/>
      <c r="I74" s="169"/>
      <c r="J74" s="162"/>
      <c r="K74" s="254"/>
      <c r="L74" s="168"/>
      <c r="M74" s="168"/>
      <c r="N74" s="168"/>
      <c r="O74" s="169"/>
      <c r="P74" s="162"/>
      <c r="Q74" s="162"/>
    </row>
    <row r="75" spans="1:18" x14ac:dyDescent="0.25">
      <c r="A75" s="154">
        <v>21</v>
      </c>
      <c r="B75" s="238" t="s">
        <v>369</v>
      </c>
      <c r="C75" s="184" t="s">
        <v>370</v>
      </c>
      <c r="D75" s="213" t="s">
        <v>29</v>
      </c>
      <c r="E75" s="192">
        <v>1</v>
      </c>
      <c r="F75" s="159">
        <v>500000</v>
      </c>
      <c r="G75" s="159">
        <v>400000</v>
      </c>
      <c r="H75" s="195"/>
      <c r="I75" s="160">
        <f>H75+G75+F75</f>
        <v>900000</v>
      </c>
      <c r="J75" s="161">
        <f t="shared" si="25"/>
        <v>900000</v>
      </c>
      <c r="K75" s="192">
        <v>1</v>
      </c>
      <c r="L75" s="159">
        <v>500000</v>
      </c>
      <c r="M75" s="159">
        <v>400000</v>
      </c>
      <c r="N75" s="195"/>
      <c r="O75" s="160">
        <f>N75+M75+L75</f>
        <v>900000</v>
      </c>
      <c r="P75" s="161">
        <f t="shared" si="26"/>
        <v>900000</v>
      </c>
      <c r="Q75" s="162">
        <f t="shared" si="4"/>
        <v>0</v>
      </c>
    </row>
    <row r="76" spans="1:18" x14ac:dyDescent="0.25">
      <c r="A76" s="154">
        <v>22</v>
      </c>
      <c r="B76" s="238" t="s">
        <v>371</v>
      </c>
      <c r="C76" s="184"/>
      <c r="D76" s="213" t="s">
        <v>29</v>
      </c>
      <c r="E76" s="192">
        <v>1</v>
      </c>
      <c r="F76" s="159">
        <v>300000</v>
      </c>
      <c r="G76" s="159">
        <v>400000</v>
      </c>
      <c r="H76" s="195"/>
      <c r="I76" s="160">
        <f>H76+G76+F76</f>
        <v>700000</v>
      </c>
      <c r="J76" s="161">
        <f t="shared" si="25"/>
        <v>700000</v>
      </c>
      <c r="K76" s="192">
        <v>1</v>
      </c>
      <c r="L76" s="159">
        <v>300000</v>
      </c>
      <c r="M76" s="159">
        <v>400000</v>
      </c>
      <c r="N76" s="195"/>
      <c r="O76" s="160">
        <f>N76+M76+L76</f>
        <v>700000</v>
      </c>
      <c r="P76" s="161">
        <f t="shared" si="26"/>
        <v>700000</v>
      </c>
      <c r="Q76" s="162">
        <f t="shared" si="4"/>
        <v>0</v>
      </c>
    </row>
    <row r="77" spans="1:18" x14ac:dyDescent="0.25">
      <c r="A77" s="170">
        <v>23</v>
      </c>
      <c r="B77" s="217" t="s">
        <v>372</v>
      </c>
      <c r="C77" s="219" t="s">
        <v>282</v>
      </c>
      <c r="D77" s="197" t="s">
        <v>326</v>
      </c>
      <c r="E77" s="198">
        <v>8</v>
      </c>
      <c r="F77" s="175">
        <v>225000</v>
      </c>
      <c r="G77" s="175">
        <v>100000</v>
      </c>
      <c r="H77" s="175">
        <v>5000</v>
      </c>
      <c r="I77" s="176">
        <f>H77+G77+F77</f>
        <v>330000</v>
      </c>
      <c r="J77" s="177">
        <f t="shared" si="25"/>
        <v>2640000</v>
      </c>
      <c r="K77" s="198">
        <v>8</v>
      </c>
      <c r="L77" s="175">
        <v>225000</v>
      </c>
      <c r="M77" s="175">
        <v>100000</v>
      </c>
      <c r="N77" s="175">
        <v>5000</v>
      </c>
      <c r="O77" s="176">
        <f>N77+M77+L77</f>
        <v>330000</v>
      </c>
      <c r="P77" s="177">
        <f t="shared" si="26"/>
        <v>2640000</v>
      </c>
      <c r="Q77" s="162">
        <f t="shared" si="4"/>
        <v>0</v>
      </c>
    </row>
    <row r="78" spans="1:18" x14ac:dyDescent="0.25">
      <c r="A78" s="170">
        <v>24</v>
      </c>
      <c r="B78" s="217" t="s">
        <v>373</v>
      </c>
      <c r="C78" s="219" t="s">
        <v>374</v>
      </c>
      <c r="D78" s="197" t="s">
        <v>326</v>
      </c>
      <c r="E78" s="198">
        <v>14</v>
      </c>
      <c r="F78" s="175">
        <v>100000</v>
      </c>
      <c r="G78" s="175">
        <v>25000</v>
      </c>
      <c r="H78" s="175">
        <v>5000</v>
      </c>
      <c r="I78" s="176">
        <f>H78+G78+F78</f>
        <v>130000</v>
      </c>
      <c r="J78" s="177">
        <f t="shared" si="25"/>
        <v>1820000</v>
      </c>
      <c r="K78" s="198">
        <v>14</v>
      </c>
      <c r="L78" s="175">
        <v>100000</v>
      </c>
      <c r="M78" s="175">
        <v>25000</v>
      </c>
      <c r="N78" s="175">
        <v>5000</v>
      </c>
      <c r="O78" s="176">
        <f>N78+M78+L78</f>
        <v>130000</v>
      </c>
      <c r="P78" s="177">
        <f t="shared" si="26"/>
        <v>1820000</v>
      </c>
      <c r="Q78" s="162">
        <f t="shared" si="4"/>
        <v>0</v>
      </c>
    </row>
    <row r="79" spans="1:18" x14ac:dyDescent="0.25">
      <c r="A79" s="170">
        <v>25</v>
      </c>
      <c r="B79" s="217" t="s">
        <v>375</v>
      </c>
      <c r="C79" s="219"/>
      <c r="D79" s="197" t="s">
        <v>178</v>
      </c>
      <c r="E79" s="198">
        <v>32</v>
      </c>
      <c r="F79" s="175">
        <v>30000</v>
      </c>
      <c r="G79" s="175">
        <v>15000</v>
      </c>
      <c r="H79" s="264"/>
      <c r="I79" s="176">
        <f t="shared" ref="I79:I80" si="29">H79+G79+F79</f>
        <v>45000</v>
      </c>
      <c r="J79" s="177">
        <f t="shared" si="25"/>
        <v>1440000</v>
      </c>
      <c r="K79" s="198">
        <v>32</v>
      </c>
      <c r="L79" s="175">
        <v>30000</v>
      </c>
      <c r="M79" s="175">
        <v>15000</v>
      </c>
      <c r="N79" s="264"/>
      <c r="O79" s="176">
        <f t="shared" ref="O79:O80" si="30">N79+M79+L79</f>
        <v>45000</v>
      </c>
      <c r="P79" s="177">
        <f t="shared" si="26"/>
        <v>1440000</v>
      </c>
      <c r="Q79" s="162">
        <f t="shared" si="4"/>
        <v>0</v>
      </c>
    </row>
    <row r="80" spans="1:18" x14ac:dyDescent="0.25">
      <c r="A80" s="170">
        <v>26</v>
      </c>
      <c r="B80" s="217" t="s">
        <v>376</v>
      </c>
      <c r="C80" s="219" t="s">
        <v>282</v>
      </c>
      <c r="D80" s="197" t="s">
        <v>326</v>
      </c>
      <c r="E80" s="198">
        <v>6</v>
      </c>
      <c r="F80" s="175">
        <v>225000</v>
      </c>
      <c r="G80" s="175">
        <v>25000</v>
      </c>
      <c r="H80" s="175">
        <v>5000</v>
      </c>
      <c r="I80" s="176">
        <f t="shared" si="29"/>
        <v>255000</v>
      </c>
      <c r="J80" s="177">
        <f t="shared" si="25"/>
        <v>1530000</v>
      </c>
      <c r="K80" s="198">
        <v>6</v>
      </c>
      <c r="L80" s="175">
        <v>225000</v>
      </c>
      <c r="M80" s="175">
        <v>25000</v>
      </c>
      <c r="N80" s="175">
        <v>5000</v>
      </c>
      <c r="O80" s="176">
        <f t="shared" si="30"/>
        <v>255000</v>
      </c>
      <c r="P80" s="177">
        <f t="shared" si="26"/>
        <v>1530000</v>
      </c>
      <c r="Q80" s="162">
        <f t="shared" si="4"/>
        <v>0</v>
      </c>
    </row>
    <row r="81" spans="1:17" x14ac:dyDescent="0.25">
      <c r="A81" s="154">
        <v>27</v>
      </c>
      <c r="B81" s="238" t="s">
        <v>377</v>
      </c>
      <c r="C81" s="184" t="s">
        <v>378</v>
      </c>
      <c r="D81" s="213" t="s">
        <v>178</v>
      </c>
      <c r="E81" s="192">
        <v>8</v>
      </c>
      <c r="F81" s="159">
        <v>500000</v>
      </c>
      <c r="G81" s="159">
        <v>100000</v>
      </c>
      <c r="H81" s="195"/>
      <c r="I81" s="160">
        <f>H81+G81+F81</f>
        <v>600000</v>
      </c>
      <c r="J81" s="161">
        <f t="shared" si="25"/>
        <v>4800000</v>
      </c>
      <c r="K81" s="192">
        <v>8</v>
      </c>
      <c r="L81" s="159">
        <v>500000</v>
      </c>
      <c r="M81" s="159">
        <v>100000</v>
      </c>
      <c r="N81" s="195"/>
      <c r="O81" s="160">
        <f>N81+M81+L81</f>
        <v>600000</v>
      </c>
      <c r="P81" s="161">
        <f t="shared" si="26"/>
        <v>4800000</v>
      </c>
      <c r="Q81" s="162">
        <f t="shared" si="4"/>
        <v>0</v>
      </c>
    </row>
    <row r="82" spans="1:17" ht="30" x14ac:dyDescent="0.25">
      <c r="A82" s="170">
        <v>28</v>
      </c>
      <c r="B82" s="217" t="s">
        <v>379</v>
      </c>
      <c r="C82" s="265" t="s">
        <v>380</v>
      </c>
      <c r="D82" s="197" t="s">
        <v>218</v>
      </c>
      <c r="E82" s="198">
        <v>1</v>
      </c>
      <c r="F82" s="175">
        <v>2750000</v>
      </c>
      <c r="G82" s="175">
        <v>450000</v>
      </c>
      <c r="H82" s="175">
        <v>50000</v>
      </c>
      <c r="I82" s="176">
        <f t="shared" ref="I82:I93" si="31">H82+G82+F82</f>
        <v>3250000</v>
      </c>
      <c r="J82" s="177">
        <f t="shared" si="25"/>
        <v>3250000</v>
      </c>
      <c r="K82" s="198">
        <v>1</v>
      </c>
      <c r="L82" s="175">
        <v>2750000</v>
      </c>
      <c r="M82" s="233">
        <v>450000</v>
      </c>
      <c r="N82" s="175">
        <v>50000</v>
      </c>
      <c r="O82" s="176">
        <f t="shared" ref="O82:O93" si="32">N82+M82+L82</f>
        <v>3250000</v>
      </c>
      <c r="P82" s="177">
        <f t="shared" si="26"/>
        <v>3250000</v>
      </c>
      <c r="Q82" s="162">
        <f t="shared" si="4"/>
        <v>0</v>
      </c>
    </row>
    <row r="83" spans="1:17" x14ac:dyDescent="0.25">
      <c r="A83" s="170">
        <v>29</v>
      </c>
      <c r="B83" s="217" t="s">
        <v>381</v>
      </c>
      <c r="C83" s="265" t="s">
        <v>382</v>
      </c>
      <c r="D83" s="197" t="s">
        <v>218</v>
      </c>
      <c r="E83" s="198">
        <v>1</v>
      </c>
      <c r="F83" s="175">
        <v>2750000</v>
      </c>
      <c r="G83" s="175">
        <v>450000</v>
      </c>
      <c r="H83" s="175">
        <v>50000</v>
      </c>
      <c r="I83" s="176">
        <f t="shared" si="31"/>
        <v>3250000</v>
      </c>
      <c r="J83" s="177">
        <f t="shared" si="25"/>
        <v>3250000</v>
      </c>
      <c r="K83" s="198">
        <v>1</v>
      </c>
      <c r="L83" s="175">
        <v>500000</v>
      </c>
      <c r="M83" s="233">
        <v>450000</v>
      </c>
      <c r="N83" s="175">
        <v>50000</v>
      </c>
      <c r="O83" s="176">
        <f t="shared" si="32"/>
        <v>1000000</v>
      </c>
      <c r="P83" s="266">
        <f t="shared" si="26"/>
        <v>1000000</v>
      </c>
      <c r="Q83" s="178">
        <f t="shared" si="4"/>
        <v>-2250000</v>
      </c>
    </row>
    <row r="84" spans="1:17" ht="30" x14ac:dyDescent="0.25">
      <c r="A84" s="170"/>
      <c r="B84" s="217" t="s">
        <v>383</v>
      </c>
      <c r="C84" s="265" t="s">
        <v>384</v>
      </c>
      <c r="D84" s="197"/>
      <c r="E84" s="198"/>
      <c r="F84" s="175"/>
      <c r="G84" s="175"/>
      <c r="H84" s="175"/>
      <c r="I84" s="176"/>
      <c r="J84" s="177"/>
      <c r="K84" s="198">
        <v>1</v>
      </c>
      <c r="L84" s="175">
        <f>(4500000*2)+(2500000)</f>
        <v>11500000</v>
      </c>
      <c r="M84" s="233">
        <v>500000</v>
      </c>
      <c r="N84" s="264"/>
      <c r="O84" s="176">
        <f t="shared" si="32"/>
        <v>12000000</v>
      </c>
      <c r="P84" s="177">
        <f t="shared" si="26"/>
        <v>12000000</v>
      </c>
      <c r="Q84" s="218">
        <f t="shared" si="4"/>
        <v>12000000</v>
      </c>
    </row>
    <row r="85" spans="1:17" ht="30" x14ac:dyDescent="0.25">
      <c r="A85" s="170">
        <v>30</v>
      </c>
      <c r="B85" s="217" t="s">
        <v>385</v>
      </c>
      <c r="C85" s="265" t="s">
        <v>386</v>
      </c>
      <c r="D85" s="197" t="s">
        <v>218</v>
      </c>
      <c r="E85" s="198">
        <v>1</v>
      </c>
      <c r="F85" s="175">
        <v>4500000</v>
      </c>
      <c r="G85" s="175">
        <v>1500000</v>
      </c>
      <c r="H85" s="175">
        <v>50000</v>
      </c>
      <c r="I85" s="176">
        <f t="shared" si="31"/>
        <v>6050000</v>
      </c>
      <c r="J85" s="177">
        <f t="shared" si="25"/>
        <v>6050000</v>
      </c>
      <c r="K85" s="198">
        <v>1</v>
      </c>
      <c r="L85" s="175">
        <v>4500000</v>
      </c>
      <c r="M85" s="233">
        <v>1500000</v>
      </c>
      <c r="N85" s="175">
        <v>50000</v>
      </c>
      <c r="O85" s="176">
        <f t="shared" si="32"/>
        <v>6050000</v>
      </c>
      <c r="P85" s="177">
        <f t="shared" si="26"/>
        <v>6050000</v>
      </c>
      <c r="Q85" s="162">
        <f t="shared" si="4"/>
        <v>0</v>
      </c>
    </row>
    <row r="86" spans="1:17" x14ac:dyDescent="0.25">
      <c r="A86" s="163"/>
      <c r="B86" s="252" t="s">
        <v>387</v>
      </c>
      <c r="C86" s="212" t="s">
        <v>388</v>
      </c>
      <c r="D86" s="213" t="s">
        <v>218</v>
      </c>
      <c r="E86" s="214">
        <v>1</v>
      </c>
      <c r="F86" s="168"/>
      <c r="G86" s="168">
        <v>450000</v>
      </c>
      <c r="H86" s="168">
        <v>50000</v>
      </c>
      <c r="I86" s="169">
        <f t="shared" si="31"/>
        <v>500000</v>
      </c>
      <c r="J86" s="162">
        <f t="shared" si="25"/>
        <v>500000</v>
      </c>
      <c r="K86" s="214">
        <v>1</v>
      </c>
      <c r="L86" s="168"/>
      <c r="M86" s="168">
        <v>450000</v>
      </c>
      <c r="N86" s="168">
        <v>50000</v>
      </c>
      <c r="O86" s="169">
        <f t="shared" si="32"/>
        <v>500000</v>
      </c>
      <c r="P86" s="162">
        <f t="shared" si="26"/>
        <v>500000</v>
      </c>
      <c r="Q86" s="162">
        <f t="shared" si="4"/>
        <v>0</v>
      </c>
    </row>
    <row r="87" spans="1:17" ht="30" x14ac:dyDescent="0.25">
      <c r="A87" s="170">
        <v>31</v>
      </c>
      <c r="B87" s="217" t="s">
        <v>389</v>
      </c>
      <c r="C87" s="219" t="s">
        <v>390</v>
      </c>
      <c r="D87" s="197" t="s">
        <v>218</v>
      </c>
      <c r="E87" s="198">
        <v>1</v>
      </c>
      <c r="F87" s="175">
        <v>15000000</v>
      </c>
      <c r="G87" s="175">
        <v>500000</v>
      </c>
      <c r="H87" s="264"/>
      <c r="I87" s="176">
        <f t="shared" si="31"/>
        <v>15500000</v>
      </c>
      <c r="J87" s="177">
        <f t="shared" si="25"/>
        <v>15500000</v>
      </c>
      <c r="K87" s="198">
        <v>1</v>
      </c>
      <c r="L87" s="175">
        <v>15000000</v>
      </c>
      <c r="M87" s="175">
        <v>500000</v>
      </c>
      <c r="N87" s="267">
        <v>2500000</v>
      </c>
      <c r="O87" s="176">
        <f t="shared" si="32"/>
        <v>18000000</v>
      </c>
      <c r="P87" s="266">
        <f t="shared" si="26"/>
        <v>18000000</v>
      </c>
      <c r="Q87" s="218">
        <f t="shared" si="4"/>
        <v>2500000</v>
      </c>
    </row>
    <row r="88" spans="1:17" x14ac:dyDescent="0.25">
      <c r="A88" s="170">
        <v>32</v>
      </c>
      <c r="B88" s="217" t="s">
        <v>391</v>
      </c>
      <c r="C88" s="219" t="s">
        <v>392</v>
      </c>
      <c r="D88" s="197" t="s">
        <v>218</v>
      </c>
      <c r="E88" s="198">
        <v>1</v>
      </c>
      <c r="F88" s="175">
        <v>4500000</v>
      </c>
      <c r="G88" s="175">
        <v>250000</v>
      </c>
      <c r="H88" s="175"/>
      <c r="I88" s="176">
        <f t="shared" si="31"/>
        <v>4750000</v>
      </c>
      <c r="J88" s="177">
        <f t="shared" si="25"/>
        <v>4750000</v>
      </c>
      <c r="K88" s="198">
        <v>1</v>
      </c>
      <c r="L88" s="175">
        <v>4500000</v>
      </c>
      <c r="M88" s="175">
        <v>250000</v>
      </c>
      <c r="N88" s="175"/>
      <c r="O88" s="176">
        <f t="shared" si="32"/>
        <v>4750000</v>
      </c>
      <c r="P88" s="177">
        <f t="shared" si="26"/>
        <v>4750000</v>
      </c>
      <c r="Q88" s="162">
        <f t="shared" si="4"/>
        <v>0</v>
      </c>
    </row>
    <row r="89" spans="1:17" x14ac:dyDescent="0.25">
      <c r="A89" s="154"/>
      <c r="B89" s="268" t="s">
        <v>393</v>
      </c>
      <c r="C89" s="184"/>
      <c r="D89" s="213"/>
      <c r="E89" s="192"/>
      <c r="F89" s="159"/>
      <c r="G89" s="159"/>
      <c r="H89" s="159"/>
      <c r="I89" s="160"/>
      <c r="J89" s="161"/>
      <c r="K89" s="192"/>
      <c r="L89" s="159"/>
      <c r="M89" s="159"/>
      <c r="N89" s="159"/>
      <c r="O89" s="160"/>
      <c r="P89" s="161"/>
      <c r="Q89" s="162"/>
    </row>
    <row r="90" spans="1:17" x14ac:dyDescent="0.25">
      <c r="A90" s="154">
        <v>33</v>
      </c>
      <c r="B90" s="238" t="s">
        <v>314</v>
      </c>
      <c r="C90" s="238" t="s">
        <v>315</v>
      </c>
      <c r="D90" s="213" t="s">
        <v>301</v>
      </c>
      <c r="E90" s="192">
        <f>(3+4)*3 +(1.5*3)</f>
        <v>25.5</v>
      </c>
      <c r="F90" s="159">
        <v>90000</v>
      </c>
      <c r="G90" s="159">
        <v>45000</v>
      </c>
      <c r="H90" s="159">
        <v>10000</v>
      </c>
      <c r="I90" s="160">
        <f t="shared" si="31"/>
        <v>145000</v>
      </c>
      <c r="J90" s="161">
        <f t="shared" si="25"/>
        <v>3697500</v>
      </c>
      <c r="K90" s="192">
        <f>(3+4)*3 +(1.5*3)</f>
        <v>25.5</v>
      </c>
      <c r="L90" s="159">
        <v>90000</v>
      </c>
      <c r="M90" s="159">
        <v>45000</v>
      </c>
      <c r="N90" s="159">
        <v>10000</v>
      </c>
      <c r="O90" s="160">
        <f t="shared" si="32"/>
        <v>145000</v>
      </c>
      <c r="P90" s="161">
        <f t="shared" si="26"/>
        <v>3697500</v>
      </c>
      <c r="Q90" s="162">
        <f t="shared" ref="Q90:Q168" si="33">P90-J90</f>
        <v>0</v>
      </c>
    </row>
    <row r="91" spans="1:17" x14ac:dyDescent="0.25">
      <c r="A91" s="154">
        <v>34</v>
      </c>
      <c r="B91" s="238" t="s">
        <v>317</v>
      </c>
      <c r="C91" s="184" t="s">
        <v>318</v>
      </c>
      <c r="D91" s="213" t="s">
        <v>301</v>
      </c>
      <c r="E91" s="192">
        <f>E90*2</f>
        <v>51</v>
      </c>
      <c r="F91" s="159">
        <v>75000</v>
      </c>
      <c r="G91" s="159">
        <v>20000</v>
      </c>
      <c r="H91" s="159">
        <v>10000</v>
      </c>
      <c r="I91" s="160">
        <f t="shared" si="31"/>
        <v>105000</v>
      </c>
      <c r="J91" s="161">
        <f t="shared" si="25"/>
        <v>5355000</v>
      </c>
      <c r="K91" s="192">
        <f>K90*2</f>
        <v>51</v>
      </c>
      <c r="L91" s="159">
        <v>75000</v>
      </c>
      <c r="M91" s="159">
        <v>20000</v>
      </c>
      <c r="N91" s="159">
        <v>10000</v>
      </c>
      <c r="O91" s="160">
        <f t="shared" si="32"/>
        <v>105000</v>
      </c>
      <c r="P91" s="161">
        <f t="shared" si="26"/>
        <v>5355000</v>
      </c>
      <c r="Q91" s="162">
        <f t="shared" si="33"/>
        <v>0</v>
      </c>
    </row>
    <row r="92" spans="1:17" x14ac:dyDescent="0.25">
      <c r="A92" s="154">
        <v>35</v>
      </c>
      <c r="B92" s="238" t="s">
        <v>394</v>
      </c>
      <c r="C92" s="184" t="s">
        <v>395</v>
      </c>
      <c r="D92" s="213" t="s">
        <v>326</v>
      </c>
      <c r="E92" s="192">
        <v>1</v>
      </c>
      <c r="F92" s="159">
        <v>1500000</v>
      </c>
      <c r="G92" s="159">
        <v>500000</v>
      </c>
      <c r="H92" s="195"/>
      <c r="I92" s="160">
        <f t="shared" si="31"/>
        <v>2000000</v>
      </c>
      <c r="J92" s="161">
        <f t="shared" si="25"/>
        <v>2000000</v>
      </c>
      <c r="K92" s="192">
        <v>1</v>
      </c>
      <c r="L92" s="159">
        <v>1500000</v>
      </c>
      <c r="M92" s="159">
        <v>500000</v>
      </c>
      <c r="N92" s="195"/>
      <c r="O92" s="160">
        <f t="shared" si="32"/>
        <v>2000000</v>
      </c>
      <c r="P92" s="161">
        <f t="shared" si="26"/>
        <v>2000000</v>
      </c>
      <c r="Q92" s="162">
        <f t="shared" si="33"/>
        <v>0</v>
      </c>
    </row>
    <row r="93" spans="1:17" x14ac:dyDescent="0.25">
      <c r="A93" s="163"/>
      <c r="B93" s="252" t="s">
        <v>396</v>
      </c>
      <c r="C93" s="212" t="s">
        <v>397</v>
      </c>
      <c r="D93" s="213" t="s">
        <v>212</v>
      </c>
      <c r="E93" s="214">
        <v>1</v>
      </c>
      <c r="F93" s="269">
        <v>800000</v>
      </c>
      <c r="G93" s="269">
        <v>200000</v>
      </c>
      <c r="H93" s="215"/>
      <c r="I93" s="169">
        <f t="shared" si="31"/>
        <v>1000000</v>
      </c>
      <c r="J93" s="162">
        <f t="shared" si="25"/>
        <v>1000000</v>
      </c>
      <c r="K93" s="214">
        <v>1</v>
      </c>
      <c r="L93" s="269">
        <v>800000</v>
      </c>
      <c r="M93" s="269">
        <v>200000</v>
      </c>
      <c r="N93" s="215"/>
      <c r="O93" s="169">
        <f t="shared" si="32"/>
        <v>1000000</v>
      </c>
      <c r="P93" s="162">
        <f t="shared" si="26"/>
        <v>1000000</v>
      </c>
      <c r="Q93" s="162">
        <f t="shared" si="33"/>
        <v>0</v>
      </c>
    </row>
    <row r="94" spans="1:17" x14ac:dyDescent="0.25">
      <c r="A94" s="154">
        <v>24</v>
      </c>
      <c r="B94" s="238" t="s">
        <v>398</v>
      </c>
      <c r="C94" s="241" t="s">
        <v>282</v>
      </c>
      <c r="D94" s="185" t="s">
        <v>290</v>
      </c>
      <c r="E94" s="242" t="s">
        <v>282</v>
      </c>
      <c r="F94" s="243"/>
      <c r="G94" s="243"/>
      <c r="H94" s="243"/>
      <c r="I94" s="243"/>
      <c r="J94" s="161"/>
      <c r="K94" s="242" t="s">
        <v>282</v>
      </c>
      <c r="L94" s="243"/>
      <c r="M94" s="243"/>
      <c r="N94" s="243"/>
      <c r="O94" s="243"/>
      <c r="P94" s="161"/>
      <c r="Q94" s="162">
        <f t="shared" si="33"/>
        <v>0</v>
      </c>
    </row>
    <row r="95" spans="1:17" ht="30" x14ac:dyDescent="0.25">
      <c r="A95" s="170"/>
      <c r="B95" s="270" t="s">
        <v>399</v>
      </c>
      <c r="C95" s="271" t="s">
        <v>400</v>
      </c>
      <c r="D95" s="197" t="s">
        <v>218</v>
      </c>
      <c r="E95" s="242" t="s">
        <v>282</v>
      </c>
      <c r="F95" s="243"/>
      <c r="G95" s="243"/>
      <c r="H95" s="243"/>
      <c r="I95" s="243"/>
      <c r="J95" s="161"/>
      <c r="K95" s="221">
        <v>1</v>
      </c>
      <c r="L95" s="175"/>
      <c r="M95" s="222">
        <v>300000</v>
      </c>
      <c r="N95" s="222">
        <v>30000</v>
      </c>
      <c r="O95" s="223">
        <f>N95+M95+L95</f>
        <v>330000</v>
      </c>
      <c r="P95" s="177">
        <f t="shared" ref="P95:P99" si="34">O95*K95</f>
        <v>330000</v>
      </c>
      <c r="Q95" s="218">
        <f t="shared" si="33"/>
        <v>330000</v>
      </c>
    </row>
    <row r="96" spans="1:17" x14ac:dyDescent="0.25">
      <c r="A96" s="170"/>
      <c r="B96" s="270" t="s">
        <v>401</v>
      </c>
      <c r="C96" s="271" t="s">
        <v>402</v>
      </c>
      <c r="D96" s="197" t="s">
        <v>218</v>
      </c>
      <c r="E96" s="242" t="s">
        <v>282</v>
      </c>
      <c r="F96" s="243"/>
      <c r="G96" s="243"/>
      <c r="H96" s="243"/>
      <c r="I96" s="243"/>
      <c r="J96" s="161"/>
      <c r="K96" s="221">
        <v>1</v>
      </c>
      <c r="L96" s="175"/>
      <c r="M96" s="222">
        <v>100000</v>
      </c>
      <c r="N96" s="222">
        <v>20000</v>
      </c>
      <c r="O96" s="223">
        <f>N96+M96+L96</f>
        <v>120000</v>
      </c>
      <c r="P96" s="177">
        <f t="shared" si="34"/>
        <v>120000</v>
      </c>
      <c r="Q96" s="218">
        <f t="shared" si="33"/>
        <v>120000</v>
      </c>
    </row>
    <row r="97" spans="1:17" x14ac:dyDescent="0.25">
      <c r="A97" s="170"/>
      <c r="B97" s="270" t="s">
        <v>401</v>
      </c>
      <c r="C97" s="271" t="s">
        <v>403</v>
      </c>
      <c r="D97" s="197" t="s">
        <v>218</v>
      </c>
      <c r="E97" s="242" t="s">
        <v>282</v>
      </c>
      <c r="F97" s="243"/>
      <c r="G97" s="243"/>
      <c r="H97" s="243"/>
      <c r="I97" s="243"/>
      <c r="J97" s="161"/>
      <c r="K97" s="221">
        <v>1</v>
      </c>
      <c r="L97" s="175"/>
      <c r="M97" s="222">
        <v>100000</v>
      </c>
      <c r="N97" s="222">
        <v>20000</v>
      </c>
      <c r="O97" s="223">
        <f>N97+M97+L97</f>
        <v>120000</v>
      </c>
      <c r="P97" s="177">
        <f t="shared" si="34"/>
        <v>120000</v>
      </c>
      <c r="Q97" s="218">
        <f t="shared" si="33"/>
        <v>120000</v>
      </c>
    </row>
    <row r="98" spans="1:17" ht="30" x14ac:dyDescent="0.25">
      <c r="A98" s="170"/>
      <c r="B98" s="270" t="s">
        <v>250</v>
      </c>
      <c r="C98" s="271" t="s">
        <v>404</v>
      </c>
      <c r="D98" s="197" t="s">
        <v>218</v>
      </c>
      <c r="E98" s="242" t="s">
        <v>282</v>
      </c>
      <c r="F98" s="243"/>
      <c r="G98" s="243"/>
      <c r="H98" s="243"/>
      <c r="I98" s="243"/>
      <c r="J98" s="161"/>
      <c r="K98" s="221">
        <v>2</v>
      </c>
      <c r="L98" s="175"/>
      <c r="M98" s="222">
        <v>100000</v>
      </c>
      <c r="N98" s="222">
        <v>20000</v>
      </c>
      <c r="O98" s="223">
        <f>N98+M98+L98</f>
        <v>120000</v>
      </c>
      <c r="P98" s="177">
        <f t="shared" si="34"/>
        <v>240000</v>
      </c>
      <c r="Q98" s="218">
        <f t="shared" si="33"/>
        <v>240000</v>
      </c>
    </row>
    <row r="99" spans="1:17" ht="30" x14ac:dyDescent="0.25">
      <c r="A99" s="170"/>
      <c r="B99" s="270" t="s">
        <v>405</v>
      </c>
      <c r="C99" s="271" t="s">
        <v>406</v>
      </c>
      <c r="D99" s="197" t="s">
        <v>218</v>
      </c>
      <c r="E99" s="242" t="s">
        <v>282</v>
      </c>
      <c r="F99" s="243"/>
      <c r="G99" s="243"/>
      <c r="H99" s="243"/>
      <c r="I99" s="243"/>
      <c r="J99" s="161"/>
      <c r="K99" s="221">
        <v>1</v>
      </c>
      <c r="L99" s="175"/>
      <c r="M99" s="222">
        <v>100000</v>
      </c>
      <c r="N99" s="222">
        <v>20000</v>
      </c>
      <c r="O99" s="223">
        <f>N99+M99+L99</f>
        <v>120000</v>
      </c>
      <c r="P99" s="177">
        <f t="shared" si="34"/>
        <v>120000</v>
      </c>
      <c r="Q99" s="218">
        <f t="shared" si="33"/>
        <v>120000</v>
      </c>
    </row>
    <row r="100" spans="1:17" x14ac:dyDescent="0.25">
      <c r="A100" s="154">
        <v>25</v>
      </c>
      <c r="B100" s="272" t="s">
        <v>407</v>
      </c>
      <c r="C100" s="248" t="s">
        <v>282</v>
      </c>
      <c r="D100" s="185"/>
      <c r="E100" s="242" t="s">
        <v>282</v>
      </c>
      <c r="F100" s="243"/>
      <c r="G100" s="243"/>
      <c r="H100" s="243"/>
      <c r="I100" s="243"/>
      <c r="J100" s="161"/>
      <c r="K100" s="242" t="s">
        <v>282</v>
      </c>
      <c r="L100" s="243"/>
      <c r="M100" s="243"/>
      <c r="N100" s="243"/>
      <c r="O100" s="243"/>
      <c r="P100" s="161"/>
      <c r="Q100" s="218">
        <f t="shared" si="33"/>
        <v>0</v>
      </c>
    </row>
    <row r="101" spans="1:17" ht="30" x14ac:dyDescent="0.25">
      <c r="A101" s="170"/>
      <c r="B101" s="270" t="s">
        <v>408</v>
      </c>
      <c r="C101" s="271" t="s">
        <v>400</v>
      </c>
      <c r="D101" s="197" t="s">
        <v>218</v>
      </c>
      <c r="E101" s="242" t="s">
        <v>282</v>
      </c>
      <c r="F101" s="243"/>
      <c r="G101" s="243"/>
      <c r="H101" s="243"/>
      <c r="I101" s="243"/>
      <c r="J101" s="161"/>
      <c r="K101" s="221">
        <v>1</v>
      </c>
      <c r="L101" s="175"/>
      <c r="M101" s="222">
        <v>450000</v>
      </c>
      <c r="N101" s="222">
        <v>30000</v>
      </c>
      <c r="O101" s="223">
        <f>N101+M101+L101</f>
        <v>480000</v>
      </c>
      <c r="P101" s="177">
        <f t="shared" ref="P101:P102" si="35">O101*K101</f>
        <v>480000</v>
      </c>
      <c r="Q101" s="218">
        <f t="shared" si="33"/>
        <v>480000</v>
      </c>
    </row>
    <row r="102" spans="1:17" ht="30" x14ac:dyDescent="0.25">
      <c r="A102" s="170"/>
      <c r="B102" s="270" t="s">
        <v>405</v>
      </c>
      <c r="C102" s="271" t="s">
        <v>406</v>
      </c>
      <c r="D102" s="197" t="s">
        <v>218</v>
      </c>
      <c r="E102" s="242" t="s">
        <v>282</v>
      </c>
      <c r="F102" s="243"/>
      <c r="G102" s="243"/>
      <c r="H102" s="243"/>
      <c r="I102" s="243"/>
      <c r="J102" s="161"/>
      <c r="K102" s="221">
        <v>1</v>
      </c>
      <c r="L102" s="175"/>
      <c r="M102" s="222">
        <v>100000</v>
      </c>
      <c r="N102" s="222">
        <v>20000</v>
      </c>
      <c r="O102" s="223">
        <f>N102+M102+L102</f>
        <v>120000</v>
      </c>
      <c r="P102" s="177">
        <f t="shared" si="35"/>
        <v>120000</v>
      </c>
      <c r="Q102" s="218">
        <f t="shared" si="33"/>
        <v>120000</v>
      </c>
    </row>
    <row r="103" spans="1:17" x14ac:dyDescent="0.25">
      <c r="A103" s="154"/>
      <c r="B103" s="244"/>
      <c r="C103" s="184"/>
      <c r="D103" s="185"/>
      <c r="E103" s="192"/>
      <c r="F103" s="159"/>
      <c r="G103" s="195"/>
      <c r="H103" s="195"/>
      <c r="I103" s="188" t="s">
        <v>409</v>
      </c>
      <c r="J103" s="273">
        <f>SUM(J33:J93)</f>
        <v>181073547.5</v>
      </c>
      <c r="K103" s="192"/>
      <c r="L103" s="159"/>
      <c r="M103" s="195"/>
      <c r="N103" s="195"/>
      <c r="O103" s="188" t="s">
        <v>409</v>
      </c>
      <c r="P103" s="273">
        <f>SUM(P33:P93)</f>
        <v>201993547.5</v>
      </c>
      <c r="Q103" s="178"/>
    </row>
    <row r="104" spans="1:17" x14ac:dyDescent="0.25">
      <c r="A104" s="190" t="s">
        <v>36</v>
      </c>
      <c r="B104" s="191" t="s">
        <v>143</v>
      </c>
      <c r="C104" s="184"/>
      <c r="D104" s="185"/>
      <c r="E104" s="192"/>
      <c r="F104" s="159"/>
      <c r="G104" s="195"/>
      <c r="H104" s="195"/>
      <c r="I104" s="195"/>
      <c r="J104" s="273"/>
      <c r="K104" s="192"/>
      <c r="L104" s="159"/>
      <c r="M104" s="195"/>
      <c r="N104" s="195"/>
      <c r="O104" s="195"/>
      <c r="P104" s="273"/>
      <c r="Q104" s="162">
        <f t="shared" si="33"/>
        <v>0</v>
      </c>
    </row>
    <row r="105" spans="1:17" x14ac:dyDescent="0.25">
      <c r="A105" s="194" t="s">
        <v>297</v>
      </c>
      <c r="B105" s="932" t="s">
        <v>410</v>
      </c>
      <c r="C105" s="933"/>
      <c r="D105" s="185"/>
      <c r="E105" s="192"/>
      <c r="F105" s="159"/>
      <c r="G105" s="195"/>
      <c r="H105" s="195"/>
      <c r="I105" s="195"/>
      <c r="J105" s="273"/>
      <c r="K105" s="192"/>
      <c r="L105" s="159"/>
      <c r="M105" s="195"/>
      <c r="N105" s="195"/>
      <c r="O105" s="195"/>
      <c r="P105" s="273"/>
      <c r="Q105" s="162">
        <f t="shared" si="33"/>
        <v>0</v>
      </c>
    </row>
    <row r="106" spans="1:17" x14ac:dyDescent="0.25">
      <c r="A106" s="154">
        <v>1</v>
      </c>
      <c r="B106" s="249" t="s">
        <v>411</v>
      </c>
      <c r="C106" s="184"/>
      <c r="D106" s="185" t="s">
        <v>301</v>
      </c>
      <c r="E106" s="192">
        <f>(10*3)+(3.25*2)</f>
        <v>36.5</v>
      </c>
      <c r="F106" s="159"/>
      <c r="G106" s="159">
        <v>75000</v>
      </c>
      <c r="H106" s="159">
        <v>10000</v>
      </c>
      <c r="I106" s="160">
        <f>H106+G106+F106</f>
        <v>85000</v>
      </c>
      <c r="J106" s="161">
        <f t="shared" ref="J106:J108" si="36">I106*E106</f>
        <v>3102500</v>
      </c>
      <c r="K106" s="192">
        <f>(10*3)+(3.25*2)</f>
        <v>36.5</v>
      </c>
      <c r="L106" s="159"/>
      <c r="M106" s="159">
        <v>75000</v>
      </c>
      <c r="N106" s="159">
        <v>10000</v>
      </c>
      <c r="O106" s="160">
        <f>N106+M106+L106</f>
        <v>85000</v>
      </c>
      <c r="P106" s="161">
        <f t="shared" ref="P106:P108" si="37">O106*K106</f>
        <v>3102500</v>
      </c>
      <c r="Q106" s="162">
        <f t="shared" si="33"/>
        <v>0</v>
      </c>
    </row>
    <row r="107" spans="1:17" x14ac:dyDescent="0.25">
      <c r="A107" s="154">
        <v>2</v>
      </c>
      <c r="B107" s="249" t="s">
        <v>412</v>
      </c>
      <c r="C107" s="184"/>
      <c r="D107" s="185" t="s">
        <v>333</v>
      </c>
      <c r="E107" s="192">
        <v>3</v>
      </c>
      <c r="F107" s="159"/>
      <c r="G107" s="159">
        <v>150000</v>
      </c>
      <c r="H107" s="195"/>
      <c r="I107" s="160">
        <f>H107+G107+F107</f>
        <v>150000</v>
      </c>
      <c r="J107" s="161">
        <f t="shared" si="36"/>
        <v>450000</v>
      </c>
      <c r="K107" s="192">
        <v>3</v>
      </c>
      <c r="L107" s="159"/>
      <c r="M107" s="159">
        <v>150000</v>
      </c>
      <c r="N107" s="195"/>
      <c r="O107" s="160">
        <f>N107+M107+L107</f>
        <v>150000</v>
      </c>
      <c r="P107" s="161">
        <f t="shared" si="37"/>
        <v>450000</v>
      </c>
      <c r="Q107" s="162">
        <f t="shared" si="33"/>
        <v>0</v>
      </c>
    </row>
    <row r="108" spans="1:17" x14ac:dyDescent="0.25">
      <c r="A108" s="154">
        <v>3</v>
      </c>
      <c r="B108" s="249" t="s">
        <v>413</v>
      </c>
      <c r="C108" s="184"/>
      <c r="D108" s="185" t="s">
        <v>178</v>
      </c>
      <c r="E108" s="192">
        <v>4</v>
      </c>
      <c r="F108" s="159"/>
      <c r="G108" s="159">
        <v>100000</v>
      </c>
      <c r="H108" s="195"/>
      <c r="I108" s="160">
        <f>H108+G108+F108</f>
        <v>100000</v>
      </c>
      <c r="J108" s="161">
        <f t="shared" si="36"/>
        <v>400000</v>
      </c>
      <c r="K108" s="192">
        <v>4</v>
      </c>
      <c r="L108" s="159"/>
      <c r="M108" s="159">
        <v>100000</v>
      </c>
      <c r="N108" s="195"/>
      <c r="O108" s="160">
        <f>N108+M108+L108</f>
        <v>100000</v>
      </c>
      <c r="P108" s="161">
        <f t="shared" si="37"/>
        <v>400000</v>
      </c>
      <c r="Q108" s="162">
        <f t="shared" si="33"/>
        <v>0</v>
      </c>
    </row>
    <row r="109" spans="1:17" x14ac:dyDescent="0.25">
      <c r="A109" s="154">
        <v>4</v>
      </c>
      <c r="B109" s="240" t="s">
        <v>414</v>
      </c>
      <c r="C109" s="184" t="s">
        <v>282</v>
      </c>
      <c r="D109" s="185" t="s">
        <v>290</v>
      </c>
      <c r="E109" s="192" t="s">
        <v>282</v>
      </c>
      <c r="F109" s="195"/>
      <c r="G109" s="195"/>
      <c r="H109" s="195"/>
      <c r="I109" s="195"/>
      <c r="J109" s="161"/>
      <c r="K109" s="192" t="s">
        <v>282</v>
      </c>
      <c r="L109" s="195"/>
      <c r="M109" s="195"/>
      <c r="N109" s="195"/>
      <c r="O109" s="195"/>
      <c r="P109" s="161"/>
      <c r="Q109" s="162">
        <f t="shared" si="33"/>
        <v>0</v>
      </c>
    </row>
    <row r="110" spans="1:17" x14ac:dyDescent="0.25">
      <c r="A110" s="154"/>
      <c r="B110" s="240" t="s">
        <v>341</v>
      </c>
      <c r="C110" s="184" t="s">
        <v>342</v>
      </c>
      <c r="D110" s="185" t="s">
        <v>337</v>
      </c>
      <c r="E110" s="192">
        <f>(0.15*0.3*4*8)</f>
        <v>1.44</v>
      </c>
      <c r="F110" s="159">
        <v>850000</v>
      </c>
      <c r="G110" s="159">
        <v>160000</v>
      </c>
      <c r="H110" s="159">
        <v>75000</v>
      </c>
      <c r="I110" s="160">
        <f>H110+G110+F110</f>
        <v>1085000</v>
      </c>
      <c r="J110" s="161">
        <f t="shared" ref="J110:J112" si="38">I110*E110</f>
        <v>1562400</v>
      </c>
      <c r="K110" s="192">
        <f>(0.15*0.3*4*8)</f>
        <v>1.44</v>
      </c>
      <c r="L110" s="159">
        <v>850000</v>
      </c>
      <c r="M110" s="159">
        <v>160000</v>
      </c>
      <c r="N110" s="159">
        <v>75000</v>
      </c>
      <c r="O110" s="160">
        <f>N110+M110+L110</f>
        <v>1085000</v>
      </c>
      <c r="P110" s="161">
        <f t="shared" ref="P110:P112" si="39">O110*K110</f>
        <v>1562400</v>
      </c>
      <c r="Q110" s="162">
        <f t="shared" si="33"/>
        <v>0</v>
      </c>
    </row>
    <row r="111" spans="1:17" x14ac:dyDescent="0.25">
      <c r="A111" s="154"/>
      <c r="B111" s="240" t="s">
        <v>343</v>
      </c>
      <c r="C111" s="184" t="s">
        <v>344</v>
      </c>
      <c r="D111" s="185" t="s">
        <v>345</v>
      </c>
      <c r="E111" s="192">
        <f>E110*200</f>
        <v>288</v>
      </c>
      <c r="F111" s="159">
        <v>16000</v>
      </c>
      <c r="G111" s="159">
        <v>2500</v>
      </c>
      <c r="H111" s="159">
        <v>500</v>
      </c>
      <c r="I111" s="160">
        <f>H111+G111+F111</f>
        <v>19000</v>
      </c>
      <c r="J111" s="161">
        <f t="shared" si="38"/>
        <v>5472000</v>
      </c>
      <c r="K111" s="192">
        <f>K110*200</f>
        <v>288</v>
      </c>
      <c r="L111" s="159">
        <v>16000</v>
      </c>
      <c r="M111" s="159">
        <v>2500</v>
      </c>
      <c r="N111" s="159">
        <v>500</v>
      </c>
      <c r="O111" s="160">
        <f>N111+M111+L111</f>
        <v>19000</v>
      </c>
      <c r="P111" s="161">
        <f t="shared" si="39"/>
        <v>5472000</v>
      </c>
      <c r="Q111" s="162">
        <f t="shared" si="33"/>
        <v>0</v>
      </c>
    </row>
    <row r="112" spans="1:17" x14ac:dyDescent="0.25">
      <c r="A112" s="154"/>
      <c r="B112" s="274" t="s">
        <v>346</v>
      </c>
      <c r="C112" s="249" t="s">
        <v>347</v>
      </c>
      <c r="D112" s="185" t="s">
        <v>301</v>
      </c>
      <c r="E112" s="192">
        <f>(0.3*4*8)</f>
        <v>9.6</v>
      </c>
      <c r="F112" s="159">
        <v>75000</v>
      </c>
      <c r="G112" s="159">
        <v>40000</v>
      </c>
      <c r="H112" s="159">
        <v>10000</v>
      </c>
      <c r="I112" s="160">
        <f>H112+G112+F112</f>
        <v>125000</v>
      </c>
      <c r="J112" s="161">
        <f t="shared" si="38"/>
        <v>1200000</v>
      </c>
      <c r="K112" s="192">
        <f>(0.3*4*8)</f>
        <v>9.6</v>
      </c>
      <c r="L112" s="159">
        <v>75000</v>
      </c>
      <c r="M112" s="159">
        <v>40000</v>
      </c>
      <c r="N112" s="159">
        <v>10000</v>
      </c>
      <c r="O112" s="160">
        <f>N112+M112+L112</f>
        <v>125000</v>
      </c>
      <c r="P112" s="161">
        <f t="shared" si="39"/>
        <v>1200000</v>
      </c>
      <c r="Q112" s="162">
        <f t="shared" si="33"/>
        <v>0</v>
      </c>
    </row>
    <row r="113" spans="1:17" x14ac:dyDescent="0.25">
      <c r="A113" s="154">
        <v>5</v>
      </c>
      <c r="B113" s="274" t="s">
        <v>415</v>
      </c>
      <c r="C113" s="249" t="s">
        <v>282</v>
      </c>
      <c r="D113" s="185"/>
      <c r="E113" s="192"/>
      <c r="F113" s="250"/>
      <c r="G113" s="195"/>
      <c r="H113" s="195"/>
      <c r="I113" s="251"/>
      <c r="J113" s="161"/>
      <c r="K113" s="192"/>
      <c r="L113" s="250"/>
      <c r="M113" s="195"/>
      <c r="N113" s="195"/>
      <c r="O113" s="251"/>
      <c r="P113" s="161"/>
      <c r="Q113" s="162">
        <f t="shared" si="33"/>
        <v>0</v>
      </c>
    </row>
    <row r="114" spans="1:17" x14ac:dyDescent="0.25">
      <c r="A114" s="190"/>
      <c r="B114" s="274" t="s">
        <v>341</v>
      </c>
      <c r="C114" s="249" t="s">
        <v>416</v>
      </c>
      <c r="D114" s="185" t="s">
        <v>337</v>
      </c>
      <c r="E114" s="192">
        <f>(0.15*0.3*34)</f>
        <v>1.53</v>
      </c>
      <c r="F114" s="159">
        <v>850000</v>
      </c>
      <c r="G114" s="159">
        <v>160000</v>
      </c>
      <c r="H114" s="159">
        <v>75000</v>
      </c>
      <c r="I114" s="160">
        <f>H114+G114+F114</f>
        <v>1085000</v>
      </c>
      <c r="J114" s="161">
        <f t="shared" ref="J114:J116" si="40">I114*E114</f>
        <v>1660050</v>
      </c>
      <c r="K114" s="192">
        <f>(0.15*0.3*34)</f>
        <v>1.53</v>
      </c>
      <c r="L114" s="159">
        <v>850000</v>
      </c>
      <c r="M114" s="159">
        <v>160000</v>
      </c>
      <c r="N114" s="159">
        <v>75000</v>
      </c>
      <c r="O114" s="160">
        <f>N114+M114+L114</f>
        <v>1085000</v>
      </c>
      <c r="P114" s="161">
        <f t="shared" ref="P114:P116" si="41">O114*K114</f>
        <v>1660050</v>
      </c>
      <c r="Q114" s="162">
        <f t="shared" si="33"/>
        <v>0</v>
      </c>
    </row>
    <row r="115" spans="1:17" x14ac:dyDescent="0.25">
      <c r="A115" s="190"/>
      <c r="B115" s="274" t="s">
        <v>343</v>
      </c>
      <c r="C115" s="249" t="s">
        <v>344</v>
      </c>
      <c r="D115" s="185" t="s">
        <v>345</v>
      </c>
      <c r="E115" s="192">
        <f>E114*200</f>
        <v>306</v>
      </c>
      <c r="F115" s="159">
        <v>16000</v>
      </c>
      <c r="G115" s="159">
        <v>2500</v>
      </c>
      <c r="H115" s="159">
        <v>500</v>
      </c>
      <c r="I115" s="160">
        <f>H115+G115+F115</f>
        <v>19000</v>
      </c>
      <c r="J115" s="161">
        <f t="shared" si="40"/>
        <v>5814000</v>
      </c>
      <c r="K115" s="192">
        <f>K114*200</f>
        <v>306</v>
      </c>
      <c r="L115" s="159">
        <v>16000</v>
      </c>
      <c r="M115" s="159">
        <v>2500</v>
      </c>
      <c r="N115" s="159">
        <v>500</v>
      </c>
      <c r="O115" s="160">
        <f>N115+M115+L115</f>
        <v>19000</v>
      </c>
      <c r="P115" s="161">
        <f t="shared" si="41"/>
        <v>5814000</v>
      </c>
      <c r="Q115" s="162">
        <f t="shared" si="33"/>
        <v>0</v>
      </c>
    </row>
    <row r="116" spans="1:17" x14ac:dyDescent="0.25">
      <c r="A116" s="190"/>
      <c r="B116" s="274" t="s">
        <v>346</v>
      </c>
      <c r="C116" s="249" t="s">
        <v>347</v>
      </c>
      <c r="D116" s="185" t="s">
        <v>301</v>
      </c>
      <c r="E116" s="192">
        <f>(0.3+0.15+0.3)*22</f>
        <v>16.5</v>
      </c>
      <c r="F116" s="159">
        <v>100000</v>
      </c>
      <c r="G116" s="159">
        <v>40000</v>
      </c>
      <c r="H116" s="159">
        <v>10000</v>
      </c>
      <c r="I116" s="160">
        <f>H116+G116+F116</f>
        <v>150000</v>
      </c>
      <c r="J116" s="161">
        <f t="shared" si="40"/>
        <v>2475000</v>
      </c>
      <c r="K116" s="192">
        <f>(0.3+0.15+0.3)*22</f>
        <v>16.5</v>
      </c>
      <c r="L116" s="159">
        <v>100000</v>
      </c>
      <c r="M116" s="159">
        <v>40000</v>
      </c>
      <c r="N116" s="159">
        <v>10000</v>
      </c>
      <c r="O116" s="160">
        <f>N116+M116+L116</f>
        <v>150000</v>
      </c>
      <c r="P116" s="161">
        <f t="shared" si="41"/>
        <v>2475000</v>
      </c>
      <c r="Q116" s="162">
        <f t="shared" si="33"/>
        <v>0</v>
      </c>
    </row>
    <row r="117" spans="1:17" x14ac:dyDescent="0.25">
      <c r="A117" s="154">
        <v>6</v>
      </c>
      <c r="B117" s="274" t="s">
        <v>417</v>
      </c>
      <c r="C117" s="249" t="s">
        <v>282</v>
      </c>
      <c r="D117" s="185"/>
      <c r="E117" s="192"/>
      <c r="F117" s="250"/>
      <c r="G117" s="195"/>
      <c r="H117" s="195"/>
      <c r="I117" s="195"/>
      <c r="J117" s="161"/>
      <c r="K117" s="192"/>
      <c r="L117" s="250"/>
      <c r="M117" s="195"/>
      <c r="N117" s="195"/>
      <c r="O117" s="195"/>
      <c r="P117" s="161"/>
      <c r="Q117" s="162">
        <f t="shared" si="33"/>
        <v>0</v>
      </c>
    </row>
    <row r="118" spans="1:17" x14ac:dyDescent="0.25">
      <c r="A118" s="154"/>
      <c r="B118" s="274" t="s">
        <v>341</v>
      </c>
      <c r="C118" s="249" t="s">
        <v>342</v>
      </c>
      <c r="D118" s="185" t="s">
        <v>337</v>
      </c>
      <c r="E118" s="192">
        <f>(3.5*1.5*0.12)+(3.5*4*0.12)+(1.4*3.5*0.12)+(3.5*2*0.12)</f>
        <v>3.738</v>
      </c>
      <c r="F118" s="159">
        <v>850000</v>
      </c>
      <c r="G118" s="159">
        <v>160000</v>
      </c>
      <c r="H118" s="159">
        <v>75000</v>
      </c>
      <c r="I118" s="160">
        <f>H118+G118+F118</f>
        <v>1085000</v>
      </c>
      <c r="J118" s="161">
        <f t="shared" ref="J118:J137" si="42">I118*E118</f>
        <v>4055730</v>
      </c>
      <c r="K118" s="192">
        <f>(3.5*1.5*0.12)+(3.5*4*0.12)+(1.4*3.5*0.12)+(3.5*2*0.12)</f>
        <v>3.738</v>
      </c>
      <c r="L118" s="159">
        <v>850000</v>
      </c>
      <c r="M118" s="159">
        <v>160000</v>
      </c>
      <c r="N118" s="159">
        <v>75000</v>
      </c>
      <c r="O118" s="160">
        <f>N118+M118+L118</f>
        <v>1085000</v>
      </c>
      <c r="P118" s="161">
        <f t="shared" ref="P118:P137" si="43">O118*K118</f>
        <v>4055730</v>
      </c>
      <c r="Q118" s="162">
        <f t="shared" si="33"/>
        <v>0</v>
      </c>
    </row>
    <row r="119" spans="1:17" x14ac:dyDescent="0.25">
      <c r="A119" s="154"/>
      <c r="B119" s="274" t="s">
        <v>343</v>
      </c>
      <c r="C119" s="249" t="s">
        <v>344</v>
      </c>
      <c r="D119" s="185" t="s">
        <v>345</v>
      </c>
      <c r="E119" s="192">
        <f>E118*150</f>
        <v>560.70000000000005</v>
      </c>
      <c r="F119" s="159">
        <v>16000</v>
      </c>
      <c r="G119" s="159">
        <v>2500</v>
      </c>
      <c r="H119" s="159">
        <v>500</v>
      </c>
      <c r="I119" s="160">
        <f>H119+G119+F119</f>
        <v>19000</v>
      </c>
      <c r="J119" s="161">
        <f t="shared" si="42"/>
        <v>10653300</v>
      </c>
      <c r="K119" s="192">
        <f>K118*150</f>
        <v>560.70000000000005</v>
      </c>
      <c r="L119" s="159">
        <v>16000</v>
      </c>
      <c r="M119" s="159">
        <v>2500</v>
      </c>
      <c r="N119" s="159">
        <v>500</v>
      </c>
      <c r="O119" s="160">
        <f>N119+M119+L119</f>
        <v>19000</v>
      </c>
      <c r="P119" s="161">
        <f t="shared" si="43"/>
        <v>10653300</v>
      </c>
      <c r="Q119" s="162">
        <f t="shared" si="33"/>
        <v>0</v>
      </c>
    </row>
    <row r="120" spans="1:17" x14ac:dyDescent="0.25">
      <c r="A120" s="154"/>
      <c r="B120" s="274" t="s">
        <v>346</v>
      </c>
      <c r="C120" s="249" t="s">
        <v>347</v>
      </c>
      <c r="D120" s="185" t="s">
        <v>301</v>
      </c>
      <c r="E120" s="192">
        <f>(3.5*1.5)+(3.5*4)+(1.4*3.5)+(3.5*2)</f>
        <v>31.15</v>
      </c>
      <c r="F120" s="159">
        <v>100000</v>
      </c>
      <c r="G120" s="159">
        <v>40000</v>
      </c>
      <c r="H120" s="159">
        <v>10000</v>
      </c>
      <c r="I120" s="160">
        <f>H120+G120+F120</f>
        <v>150000</v>
      </c>
      <c r="J120" s="161">
        <f t="shared" si="42"/>
        <v>4672500</v>
      </c>
      <c r="K120" s="192">
        <f>(3.5*1.5)+(3.5*4)+(1.4*3.5)+(3.5*2)</f>
        <v>31.15</v>
      </c>
      <c r="L120" s="159">
        <v>100000</v>
      </c>
      <c r="M120" s="159">
        <v>40000</v>
      </c>
      <c r="N120" s="159">
        <v>10000</v>
      </c>
      <c r="O120" s="160">
        <f>N120+M120+L120</f>
        <v>150000</v>
      </c>
      <c r="P120" s="161">
        <f t="shared" si="43"/>
        <v>4672500</v>
      </c>
      <c r="Q120" s="162">
        <f t="shared" si="33"/>
        <v>0</v>
      </c>
    </row>
    <row r="121" spans="1:17" x14ac:dyDescent="0.25">
      <c r="A121" s="154">
        <v>7</v>
      </c>
      <c r="B121" s="275" t="s">
        <v>418</v>
      </c>
      <c r="C121" s="249" t="s">
        <v>282</v>
      </c>
      <c r="D121" s="185" t="s">
        <v>301</v>
      </c>
      <c r="E121" s="192">
        <f>(3.5*1.5)+(3.5*4)+(1.4*3.5)+(3.5*2)</f>
        <v>31.15</v>
      </c>
      <c r="F121" s="159">
        <v>75000</v>
      </c>
      <c r="G121" s="195"/>
      <c r="H121" s="195"/>
      <c r="I121" s="160">
        <f t="shared" ref="I121:I135" si="44">H121+G121+F121</f>
        <v>75000</v>
      </c>
      <c r="J121" s="161">
        <f t="shared" si="42"/>
        <v>2336250</v>
      </c>
      <c r="K121" s="192">
        <f>(3.5*1.5)+(3.5*4)+(1.4*3.5)+(3.5*2)</f>
        <v>31.15</v>
      </c>
      <c r="L121" s="159">
        <v>75000</v>
      </c>
      <c r="M121" s="195"/>
      <c r="N121" s="195"/>
      <c r="O121" s="160">
        <f t="shared" ref="O121:O135" si="45">N121+M121+L121</f>
        <v>75000</v>
      </c>
      <c r="P121" s="161">
        <f t="shared" si="43"/>
        <v>2336250</v>
      </c>
      <c r="Q121" s="162">
        <f t="shared" si="33"/>
        <v>0</v>
      </c>
    </row>
    <row r="122" spans="1:17" x14ac:dyDescent="0.25">
      <c r="A122" s="154">
        <v>8</v>
      </c>
      <c r="B122" s="275" t="s">
        <v>419</v>
      </c>
      <c r="C122" s="249" t="s">
        <v>282</v>
      </c>
      <c r="D122" s="185" t="s">
        <v>301</v>
      </c>
      <c r="E122" s="192">
        <f>E121</f>
        <v>31.15</v>
      </c>
      <c r="F122" s="159">
        <v>60000</v>
      </c>
      <c r="G122" s="159">
        <v>45000</v>
      </c>
      <c r="H122" s="195"/>
      <c r="I122" s="160">
        <f t="shared" si="44"/>
        <v>105000</v>
      </c>
      <c r="J122" s="161">
        <f t="shared" si="42"/>
        <v>3270750</v>
      </c>
      <c r="K122" s="192">
        <f>K121</f>
        <v>31.15</v>
      </c>
      <c r="L122" s="159">
        <v>60000</v>
      </c>
      <c r="M122" s="159">
        <v>45000</v>
      </c>
      <c r="N122" s="195"/>
      <c r="O122" s="160">
        <f t="shared" si="45"/>
        <v>105000</v>
      </c>
      <c r="P122" s="161">
        <f t="shared" si="43"/>
        <v>3270750</v>
      </c>
      <c r="Q122" s="162">
        <f t="shared" si="33"/>
        <v>0</v>
      </c>
    </row>
    <row r="123" spans="1:17" x14ac:dyDescent="0.25">
      <c r="A123" s="154">
        <v>9</v>
      </c>
      <c r="B123" s="275" t="s">
        <v>354</v>
      </c>
      <c r="C123" s="249" t="s">
        <v>355</v>
      </c>
      <c r="D123" s="185" t="s">
        <v>301</v>
      </c>
      <c r="E123" s="192">
        <f>18+9+12+15+8+5</f>
        <v>67</v>
      </c>
      <c r="F123" s="159">
        <v>95000</v>
      </c>
      <c r="G123" s="159">
        <v>25000</v>
      </c>
      <c r="H123" s="159">
        <v>5000</v>
      </c>
      <c r="I123" s="160">
        <f t="shared" si="44"/>
        <v>125000</v>
      </c>
      <c r="J123" s="161">
        <f t="shared" si="42"/>
        <v>8375000</v>
      </c>
      <c r="K123" s="192">
        <f>18+9+12+15+8+5</f>
        <v>67</v>
      </c>
      <c r="L123" s="159">
        <v>95000</v>
      </c>
      <c r="M123" s="159">
        <v>25000</v>
      </c>
      <c r="N123" s="159">
        <v>5000</v>
      </c>
      <c r="O123" s="160">
        <f t="shared" si="45"/>
        <v>125000</v>
      </c>
      <c r="P123" s="161">
        <f t="shared" si="43"/>
        <v>8375000</v>
      </c>
      <c r="Q123" s="162">
        <f t="shared" si="33"/>
        <v>0</v>
      </c>
    </row>
    <row r="124" spans="1:17" x14ac:dyDescent="0.25">
      <c r="A124" s="154">
        <v>10</v>
      </c>
      <c r="B124" s="275" t="s">
        <v>356</v>
      </c>
      <c r="C124" s="249" t="s">
        <v>357</v>
      </c>
      <c r="D124" s="185" t="s">
        <v>178</v>
      </c>
      <c r="E124" s="192">
        <f>(3.5+2.5)*2*2+(2.5+2.5)*2*2</f>
        <v>44</v>
      </c>
      <c r="F124" s="159">
        <v>95000</v>
      </c>
      <c r="G124" s="159">
        <v>25000</v>
      </c>
      <c r="H124" s="159">
        <v>5000</v>
      </c>
      <c r="I124" s="160">
        <f t="shared" si="44"/>
        <v>125000</v>
      </c>
      <c r="J124" s="161">
        <f t="shared" si="42"/>
        <v>5500000</v>
      </c>
      <c r="K124" s="192">
        <f>(3.5+2.5)*2*2+(2.5+2.5)*2*2</f>
        <v>44</v>
      </c>
      <c r="L124" s="159">
        <v>95000</v>
      </c>
      <c r="M124" s="159">
        <v>25000</v>
      </c>
      <c r="N124" s="159">
        <v>5000</v>
      </c>
      <c r="O124" s="160">
        <f t="shared" si="45"/>
        <v>125000</v>
      </c>
      <c r="P124" s="161">
        <f t="shared" si="43"/>
        <v>5500000</v>
      </c>
      <c r="Q124" s="162">
        <f t="shared" si="33"/>
        <v>0</v>
      </c>
    </row>
    <row r="125" spans="1:17" x14ac:dyDescent="0.25">
      <c r="A125" s="154">
        <v>11</v>
      </c>
      <c r="B125" s="275" t="s">
        <v>358</v>
      </c>
      <c r="C125" s="249" t="s">
        <v>359</v>
      </c>
      <c r="D125" s="185" t="s">
        <v>178</v>
      </c>
      <c r="E125" s="192">
        <f>E124</f>
        <v>44</v>
      </c>
      <c r="F125" s="159">
        <v>22500</v>
      </c>
      <c r="G125" s="159">
        <v>5000</v>
      </c>
      <c r="H125" s="195"/>
      <c r="I125" s="160">
        <f t="shared" si="44"/>
        <v>27500</v>
      </c>
      <c r="J125" s="161">
        <f t="shared" si="42"/>
        <v>1210000</v>
      </c>
      <c r="K125" s="192">
        <f>K124</f>
        <v>44</v>
      </c>
      <c r="L125" s="159">
        <v>22500</v>
      </c>
      <c r="M125" s="159">
        <v>5000</v>
      </c>
      <c r="N125" s="195"/>
      <c r="O125" s="160">
        <f t="shared" si="45"/>
        <v>27500</v>
      </c>
      <c r="P125" s="161">
        <f t="shared" si="43"/>
        <v>1210000</v>
      </c>
      <c r="Q125" s="162">
        <f t="shared" si="33"/>
        <v>0</v>
      </c>
    </row>
    <row r="126" spans="1:17" ht="30" x14ac:dyDescent="0.25">
      <c r="A126" s="154">
        <v>12</v>
      </c>
      <c r="B126" s="275" t="s">
        <v>420</v>
      </c>
      <c r="C126" s="248" t="s">
        <v>322</v>
      </c>
      <c r="D126" s="185" t="s">
        <v>301</v>
      </c>
      <c r="E126" s="192">
        <f>18+9+12+15+4</f>
        <v>58</v>
      </c>
      <c r="F126" s="233"/>
      <c r="G126" s="159">
        <v>100000</v>
      </c>
      <c r="H126" s="159">
        <v>70000</v>
      </c>
      <c r="I126" s="160">
        <f t="shared" si="44"/>
        <v>170000</v>
      </c>
      <c r="J126" s="161">
        <f t="shared" si="42"/>
        <v>9860000</v>
      </c>
      <c r="K126" s="192">
        <f>18+9+12+15+4</f>
        <v>58</v>
      </c>
      <c r="L126" s="233"/>
      <c r="M126" s="159">
        <v>100000</v>
      </c>
      <c r="N126" s="159">
        <v>70000</v>
      </c>
      <c r="O126" s="160">
        <f t="shared" si="45"/>
        <v>170000</v>
      </c>
      <c r="P126" s="161">
        <f t="shared" si="43"/>
        <v>9860000</v>
      </c>
      <c r="Q126" s="162">
        <f t="shared" si="33"/>
        <v>0</v>
      </c>
    </row>
    <row r="127" spans="1:17" ht="30" x14ac:dyDescent="0.25">
      <c r="A127" s="154">
        <v>13</v>
      </c>
      <c r="B127" s="275" t="s">
        <v>368</v>
      </c>
      <c r="C127" s="248" t="s">
        <v>322</v>
      </c>
      <c r="D127" s="185" t="s">
        <v>178</v>
      </c>
      <c r="E127" s="192">
        <v>50</v>
      </c>
      <c r="F127" s="233"/>
      <c r="G127" s="159">
        <v>100000</v>
      </c>
      <c r="H127" s="159">
        <v>70000</v>
      </c>
      <c r="I127" s="160">
        <f t="shared" si="44"/>
        <v>170000</v>
      </c>
      <c r="J127" s="161">
        <f t="shared" si="42"/>
        <v>8500000</v>
      </c>
      <c r="K127" s="192">
        <v>50</v>
      </c>
      <c r="L127" s="233"/>
      <c r="M127" s="159">
        <v>100000</v>
      </c>
      <c r="N127" s="159">
        <v>70000</v>
      </c>
      <c r="O127" s="160">
        <f t="shared" si="45"/>
        <v>170000</v>
      </c>
      <c r="P127" s="161">
        <f t="shared" si="43"/>
        <v>8500000</v>
      </c>
      <c r="Q127" s="162">
        <f t="shared" si="33"/>
        <v>0</v>
      </c>
    </row>
    <row r="128" spans="1:17" ht="30" x14ac:dyDescent="0.25">
      <c r="A128" s="154">
        <v>14</v>
      </c>
      <c r="B128" s="275" t="s">
        <v>421</v>
      </c>
      <c r="C128" s="248" t="s">
        <v>322</v>
      </c>
      <c r="D128" s="185" t="s">
        <v>301</v>
      </c>
      <c r="E128" s="242">
        <f>2*5</f>
        <v>10</v>
      </c>
      <c r="F128" s="233"/>
      <c r="G128" s="159">
        <v>100000</v>
      </c>
      <c r="H128" s="159">
        <v>70000</v>
      </c>
      <c r="I128" s="160">
        <f t="shared" si="44"/>
        <v>170000</v>
      </c>
      <c r="J128" s="161">
        <f t="shared" si="42"/>
        <v>1700000</v>
      </c>
      <c r="K128" s="242">
        <f>2*5</f>
        <v>10</v>
      </c>
      <c r="L128" s="233"/>
      <c r="M128" s="159">
        <v>100000</v>
      </c>
      <c r="N128" s="159">
        <v>70000</v>
      </c>
      <c r="O128" s="160">
        <f t="shared" si="45"/>
        <v>170000</v>
      </c>
      <c r="P128" s="161">
        <f t="shared" si="43"/>
        <v>1700000</v>
      </c>
      <c r="Q128" s="162">
        <f t="shared" si="33"/>
        <v>0</v>
      </c>
    </row>
    <row r="129" spans="1:17" ht="30" x14ac:dyDescent="0.25">
      <c r="A129" s="154">
        <v>15</v>
      </c>
      <c r="B129" s="275" t="s">
        <v>422</v>
      </c>
      <c r="C129" s="248" t="s">
        <v>322</v>
      </c>
      <c r="D129" s="185" t="s">
        <v>301</v>
      </c>
      <c r="E129" s="242">
        <f>(3+2.5)*2*3</f>
        <v>33</v>
      </c>
      <c r="F129" s="233"/>
      <c r="G129" s="159">
        <v>100000</v>
      </c>
      <c r="H129" s="159">
        <v>70000</v>
      </c>
      <c r="I129" s="160">
        <f t="shared" si="44"/>
        <v>170000</v>
      </c>
      <c r="J129" s="161">
        <f t="shared" si="42"/>
        <v>5610000</v>
      </c>
      <c r="K129" s="242">
        <f>(3+2.5)*2*3</f>
        <v>33</v>
      </c>
      <c r="L129" s="233"/>
      <c r="M129" s="159">
        <v>100000</v>
      </c>
      <c r="N129" s="159">
        <v>70000</v>
      </c>
      <c r="O129" s="160">
        <f t="shared" si="45"/>
        <v>170000</v>
      </c>
      <c r="P129" s="161">
        <f t="shared" si="43"/>
        <v>5610000</v>
      </c>
      <c r="Q129" s="162">
        <f t="shared" si="33"/>
        <v>0</v>
      </c>
    </row>
    <row r="130" spans="1:17" ht="30" x14ac:dyDescent="0.25">
      <c r="A130" s="154">
        <v>16</v>
      </c>
      <c r="B130" s="275" t="s">
        <v>423</v>
      </c>
      <c r="C130" s="248" t="s">
        <v>322</v>
      </c>
      <c r="D130" s="185" t="s">
        <v>301</v>
      </c>
      <c r="E130" s="242">
        <f>(1.5+2.7)*2*3</f>
        <v>25.200000000000003</v>
      </c>
      <c r="F130" s="233"/>
      <c r="G130" s="159">
        <v>100000</v>
      </c>
      <c r="H130" s="159">
        <v>70000</v>
      </c>
      <c r="I130" s="160">
        <f t="shared" si="44"/>
        <v>170000</v>
      </c>
      <c r="J130" s="161">
        <f t="shared" si="42"/>
        <v>4284000.0000000009</v>
      </c>
      <c r="K130" s="242">
        <f>(1.5+2.7)*2*3</f>
        <v>25.200000000000003</v>
      </c>
      <c r="L130" s="233"/>
      <c r="M130" s="159">
        <v>100000</v>
      </c>
      <c r="N130" s="159">
        <v>70000</v>
      </c>
      <c r="O130" s="160">
        <f t="shared" si="45"/>
        <v>170000</v>
      </c>
      <c r="P130" s="161">
        <f t="shared" si="43"/>
        <v>4284000.0000000009</v>
      </c>
      <c r="Q130" s="162">
        <f t="shared" si="33"/>
        <v>0</v>
      </c>
    </row>
    <row r="131" spans="1:17" ht="30" x14ac:dyDescent="0.25">
      <c r="A131" s="154">
        <v>17</v>
      </c>
      <c r="B131" s="275" t="s">
        <v>424</v>
      </c>
      <c r="C131" s="248" t="s">
        <v>322</v>
      </c>
      <c r="D131" s="185" t="s">
        <v>301</v>
      </c>
      <c r="E131" s="242">
        <v>8</v>
      </c>
      <c r="F131" s="233"/>
      <c r="G131" s="159">
        <v>100000</v>
      </c>
      <c r="H131" s="159">
        <v>70000</v>
      </c>
      <c r="I131" s="160">
        <f t="shared" si="44"/>
        <v>170000</v>
      </c>
      <c r="J131" s="161">
        <f t="shared" si="42"/>
        <v>1360000</v>
      </c>
      <c r="K131" s="242">
        <v>8</v>
      </c>
      <c r="L131" s="233"/>
      <c r="M131" s="159">
        <v>100000</v>
      </c>
      <c r="N131" s="159">
        <v>70000</v>
      </c>
      <c r="O131" s="160">
        <f t="shared" si="45"/>
        <v>170000</v>
      </c>
      <c r="P131" s="161">
        <f t="shared" si="43"/>
        <v>1360000</v>
      </c>
      <c r="Q131" s="162">
        <f t="shared" si="33"/>
        <v>0</v>
      </c>
    </row>
    <row r="132" spans="1:17" ht="30" x14ac:dyDescent="0.25">
      <c r="A132" s="154">
        <v>18</v>
      </c>
      <c r="B132" s="275" t="s">
        <v>425</v>
      </c>
      <c r="C132" s="248" t="s">
        <v>322</v>
      </c>
      <c r="D132" s="185" t="s">
        <v>301</v>
      </c>
      <c r="E132" s="242">
        <v>5</v>
      </c>
      <c r="F132" s="233"/>
      <c r="G132" s="159">
        <v>100000</v>
      </c>
      <c r="H132" s="159">
        <v>70000</v>
      </c>
      <c r="I132" s="160">
        <f t="shared" si="44"/>
        <v>170000</v>
      </c>
      <c r="J132" s="161">
        <f t="shared" si="42"/>
        <v>850000</v>
      </c>
      <c r="K132" s="242">
        <v>5</v>
      </c>
      <c r="L132" s="233"/>
      <c r="M132" s="159">
        <v>100000</v>
      </c>
      <c r="N132" s="159">
        <v>70000</v>
      </c>
      <c r="O132" s="160">
        <f t="shared" si="45"/>
        <v>170000</v>
      </c>
      <c r="P132" s="161">
        <f t="shared" si="43"/>
        <v>850000</v>
      </c>
      <c r="Q132" s="162">
        <f t="shared" si="33"/>
        <v>0</v>
      </c>
    </row>
    <row r="133" spans="1:17" ht="30" x14ac:dyDescent="0.25">
      <c r="A133" s="154">
        <v>19</v>
      </c>
      <c r="B133" s="275" t="s">
        <v>426</v>
      </c>
      <c r="C133" s="248" t="s">
        <v>322</v>
      </c>
      <c r="D133" s="185" t="s">
        <v>301</v>
      </c>
      <c r="E133" s="242">
        <f>15</f>
        <v>15</v>
      </c>
      <c r="F133" s="233"/>
      <c r="G133" s="159">
        <v>100000</v>
      </c>
      <c r="H133" s="159">
        <v>70000</v>
      </c>
      <c r="I133" s="160">
        <f t="shared" si="44"/>
        <v>170000</v>
      </c>
      <c r="J133" s="161">
        <f t="shared" si="42"/>
        <v>2550000</v>
      </c>
      <c r="K133" s="242">
        <f>15</f>
        <v>15</v>
      </c>
      <c r="L133" s="233"/>
      <c r="M133" s="159">
        <v>100000</v>
      </c>
      <c r="N133" s="159">
        <v>70000</v>
      </c>
      <c r="O133" s="160">
        <f t="shared" si="45"/>
        <v>170000</v>
      </c>
      <c r="P133" s="161">
        <f t="shared" si="43"/>
        <v>2550000</v>
      </c>
      <c r="Q133" s="162">
        <f t="shared" si="33"/>
        <v>0</v>
      </c>
    </row>
    <row r="134" spans="1:17" x14ac:dyDescent="0.25">
      <c r="A134" s="154">
        <v>20</v>
      </c>
      <c r="B134" s="238" t="s">
        <v>314</v>
      </c>
      <c r="C134" s="238" t="s">
        <v>315</v>
      </c>
      <c r="D134" s="185" t="s">
        <v>301</v>
      </c>
      <c r="E134" s="192">
        <f>(8+4+4+4+5+4.5)*3.5</f>
        <v>103.25</v>
      </c>
      <c r="F134" s="159">
        <v>30000</v>
      </c>
      <c r="G134" s="159">
        <v>45000</v>
      </c>
      <c r="H134" s="159">
        <v>10000</v>
      </c>
      <c r="I134" s="160">
        <f t="shared" si="44"/>
        <v>85000</v>
      </c>
      <c r="J134" s="161">
        <f t="shared" si="42"/>
        <v>8776250</v>
      </c>
      <c r="K134" s="192">
        <f>(8+4+4+4+5+4.5)*3.5</f>
        <v>103.25</v>
      </c>
      <c r="L134" s="159">
        <v>30000</v>
      </c>
      <c r="M134" s="159">
        <v>45000</v>
      </c>
      <c r="N134" s="159">
        <v>10000</v>
      </c>
      <c r="O134" s="160">
        <f t="shared" si="45"/>
        <v>85000</v>
      </c>
      <c r="P134" s="161">
        <f t="shared" si="43"/>
        <v>8776250</v>
      </c>
      <c r="Q134" s="162">
        <f t="shared" si="33"/>
        <v>0</v>
      </c>
    </row>
    <row r="135" spans="1:17" x14ac:dyDescent="0.25">
      <c r="A135" s="154">
        <v>21</v>
      </c>
      <c r="B135" s="238" t="s">
        <v>317</v>
      </c>
      <c r="C135" s="184" t="s">
        <v>318</v>
      </c>
      <c r="D135" s="185" t="s">
        <v>301</v>
      </c>
      <c r="E135" s="192">
        <f>E134*2</f>
        <v>206.5</v>
      </c>
      <c r="F135" s="159">
        <v>15000</v>
      </c>
      <c r="G135" s="159">
        <v>20000</v>
      </c>
      <c r="H135" s="159">
        <v>10000</v>
      </c>
      <c r="I135" s="160">
        <f t="shared" si="44"/>
        <v>45000</v>
      </c>
      <c r="J135" s="161">
        <f t="shared" si="42"/>
        <v>9292500</v>
      </c>
      <c r="K135" s="192">
        <f>K134*2</f>
        <v>206.5</v>
      </c>
      <c r="L135" s="159">
        <v>15000</v>
      </c>
      <c r="M135" s="159">
        <v>20000</v>
      </c>
      <c r="N135" s="159">
        <v>10000</v>
      </c>
      <c r="O135" s="160">
        <f t="shared" si="45"/>
        <v>45000</v>
      </c>
      <c r="P135" s="161">
        <f t="shared" si="43"/>
        <v>9292500</v>
      </c>
      <c r="Q135" s="162">
        <f t="shared" si="33"/>
        <v>0</v>
      </c>
    </row>
    <row r="136" spans="1:17" x14ac:dyDescent="0.25">
      <c r="A136" s="154">
        <v>22</v>
      </c>
      <c r="B136" s="238" t="s">
        <v>369</v>
      </c>
      <c r="C136" s="184" t="s">
        <v>370</v>
      </c>
      <c r="D136" s="185" t="s">
        <v>29</v>
      </c>
      <c r="E136" s="192">
        <v>1</v>
      </c>
      <c r="F136" s="159">
        <v>500000</v>
      </c>
      <c r="G136" s="159">
        <v>400000</v>
      </c>
      <c r="H136" s="195"/>
      <c r="I136" s="160">
        <f>H136+G136+F136</f>
        <v>900000</v>
      </c>
      <c r="J136" s="161">
        <f t="shared" si="42"/>
        <v>900000</v>
      </c>
      <c r="K136" s="192">
        <v>1</v>
      </c>
      <c r="L136" s="159">
        <v>500000</v>
      </c>
      <c r="M136" s="159">
        <v>400000</v>
      </c>
      <c r="N136" s="195"/>
      <c r="O136" s="160">
        <f>N136+M136+L136</f>
        <v>900000</v>
      </c>
      <c r="P136" s="161">
        <f t="shared" si="43"/>
        <v>900000</v>
      </c>
      <c r="Q136" s="162">
        <f t="shared" si="33"/>
        <v>0</v>
      </c>
    </row>
    <row r="137" spans="1:17" x14ac:dyDescent="0.25">
      <c r="A137" s="154">
        <v>23</v>
      </c>
      <c r="B137" s="238" t="s">
        <v>427</v>
      </c>
      <c r="C137" s="184" t="s">
        <v>428</v>
      </c>
      <c r="D137" s="185" t="s">
        <v>29</v>
      </c>
      <c r="E137" s="192">
        <v>1</v>
      </c>
      <c r="F137" s="159">
        <v>300000</v>
      </c>
      <c r="G137" s="159">
        <v>400000</v>
      </c>
      <c r="H137" s="195"/>
      <c r="I137" s="160">
        <f>H137+G137+F137</f>
        <v>700000</v>
      </c>
      <c r="J137" s="161">
        <f t="shared" si="42"/>
        <v>700000</v>
      </c>
      <c r="K137" s="192">
        <v>1</v>
      </c>
      <c r="L137" s="159">
        <v>300000</v>
      </c>
      <c r="M137" s="159">
        <v>400000</v>
      </c>
      <c r="N137" s="195"/>
      <c r="O137" s="160">
        <f>N137+M137+L137</f>
        <v>700000</v>
      </c>
      <c r="P137" s="161">
        <f t="shared" si="43"/>
        <v>700000</v>
      </c>
      <c r="Q137" s="162">
        <f t="shared" si="33"/>
        <v>0</v>
      </c>
    </row>
    <row r="138" spans="1:17" x14ac:dyDescent="0.25">
      <c r="A138" s="154">
        <v>24</v>
      </c>
      <c r="B138" s="238" t="s">
        <v>429</v>
      </c>
      <c r="C138" s="241" t="s">
        <v>282</v>
      </c>
      <c r="D138" s="185" t="s">
        <v>290</v>
      </c>
      <c r="E138" s="242" t="s">
        <v>282</v>
      </c>
      <c r="F138" s="243"/>
      <c r="G138" s="243"/>
      <c r="H138" s="243"/>
      <c r="I138" s="243"/>
      <c r="J138" s="161"/>
      <c r="K138" s="242" t="s">
        <v>282</v>
      </c>
      <c r="L138" s="243"/>
      <c r="M138" s="243"/>
      <c r="N138" s="243"/>
      <c r="O138" s="243"/>
      <c r="P138" s="161"/>
      <c r="Q138" s="162">
        <f t="shared" si="33"/>
        <v>0</v>
      </c>
    </row>
    <row r="139" spans="1:17" ht="30" x14ac:dyDescent="0.25">
      <c r="A139" s="154"/>
      <c r="B139" s="244" t="s">
        <v>399</v>
      </c>
      <c r="C139" s="248" t="s">
        <v>400</v>
      </c>
      <c r="D139" s="185" t="s">
        <v>218</v>
      </c>
      <c r="E139" s="242">
        <v>1</v>
      </c>
      <c r="F139" s="233"/>
      <c r="G139" s="245">
        <v>300000</v>
      </c>
      <c r="H139" s="245">
        <v>30000</v>
      </c>
      <c r="I139" s="246">
        <f>H139+G139+F139</f>
        <v>330000</v>
      </c>
      <c r="J139" s="161">
        <f t="shared" ref="J139:J143" si="46">I139*E139</f>
        <v>330000</v>
      </c>
      <c r="K139" s="242">
        <v>1</v>
      </c>
      <c r="L139" s="233"/>
      <c r="M139" s="245">
        <v>300000</v>
      </c>
      <c r="N139" s="245">
        <v>30000</v>
      </c>
      <c r="O139" s="246">
        <f>N139+M139+L139</f>
        <v>330000</v>
      </c>
      <c r="P139" s="161">
        <f t="shared" ref="P139:P143" si="47">O139*K139</f>
        <v>330000</v>
      </c>
      <c r="Q139" s="162">
        <f t="shared" si="33"/>
        <v>0</v>
      </c>
    </row>
    <row r="140" spans="1:17" x14ac:dyDescent="0.25">
      <c r="A140" s="170"/>
      <c r="B140" s="276" t="s">
        <v>401</v>
      </c>
      <c r="C140" s="271" t="s">
        <v>402</v>
      </c>
      <c r="D140" s="197" t="s">
        <v>218</v>
      </c>
      <c r="E140" s="221">
        <v>1</v>
      </c>
      <c r="F140" s="175"/>
      <c r="G140" s="222">
        <v>100000</v>
      </c>
      <c r="H140" s="222">
        <v>20000</v>
      </c>
      <c r="I140" s="223">
        <f>H140+G140+F140</f>
        <v>120000</v>
      </c>
      <c r="J140" s="177">
        <f t="shared" si="46"/>
        <v>120000</v>
      </c>
      <c r="K140" s="221">
        <v>1</v>
      </c>
      <c r="L140" s="175"/>
      <c r="M140" s="222">
        <v>100000</v>
      </c>
      <c r="N140" s="222">
        <v>20000</v>
      </c>
      <c r="O140" s="223">
        <f>N140+M140+L140</f>
        <v>120000</v>
      </c>
      <c r="P140" s="177">
        <f t="shared" si="47"/>
        <v>120000</v>
      </c>
      <c r="Q140" s="162">
        <f t="shared" si="33"/>
        <v>0</v>
      </c>
    </row>
    <row r="141" spans="1:17" x14ac:dyDescent="0.25">
      <c r="A141" s="154"/>
      <c r="B141" s="274" t="s">
        <v>401</v>
      </c>
      <c r="C141" s="248" t="s">
        <v>403</v>
      </c>
      <c r="D141" s="185" t="s">
        <v>218</v>
      </c>
      <c r="E141" s="242">
        <v>1</v>
      </c>
      <c r="F141" s="233"/>
      <c r="G141" s="245">
        <v>100000</v>
      </c>
      <c r="H141" s="245">
        <v>20000</v>
      </c>
      <c r="I141" s="246">
        <f>H141+G141+F141</f>
        <v>120000</v>
      </c>
      <c r="J141" s="161">
        <f t="shared" si="46"/>
        <v>120000</v>
      </c>
      <c r="K141" s="242">
        <v>1</v>
      </c>
      <c r="L141" s="233"/>
      <c r="M141" s="245">
        <v>100000</v>
      </c>
      <c r="N141" s="245">
        <v>20000</v>
      </c>
      <c r="O141" s="246">
        <f>N141+M141+L141</f>
        <v>120000</v>
      </c>
      <c r="P141" s="161">
        <f t="shared" si="47"/>
        <v>120000</v>
      </c>
      <c r="Q141" s="162">
        <f t="shared" si="33"/>
        <v>0</v>
      </c>
    </row>
    <row r="142" spans="1:17" ht="30" x14ac:dyDescent="0.25">
      <c r="A142" s="154"/>
      <c r="B142" s="274" t="s">
        <v>250</v>
      </c>
      <c r="C142" s="248" t="s">
        <v>404</v>
      </c>
      <c r="D142" s="185" t="s">
        <v>218</v>
      </c>
      <c r="E142" s="242">
        <v>2</v>
      </c>
      <c r="F142" s="233"/>
      <c r="G142" s="245">
        <v>100000</v>
      </c>
      <c r="H142" s="245">
        <v>20000</v>
      </c>
      <c r="I142" s="246">
        <f>H142+G142+F142</f>
        <v>120000</v>
      </c>
      <c r="J142" s="161">
        <f t="shared" si="46"/>
        <v>240000</v>
      </c>
      <c r="K142" s="242">
        <v>2</v>
      </c>
      <c r="L142" s="233"/>
      <c r="M142" s="245">
        <v>100000</v>
      </c>
      <c r="N142" s="245">
        <v>20000</v>
      </c>
      <c r="O142" s="246">
        <f>N142+M142+L142</f>
        <v>120000</v>
      </c>
      <c r="P142" s="161">
        <f t="shared" si="47"/>
        <v>240000</v>
      </c>
      <c r="Q142" s="162">
        <f t="shared" si="33"/>
        <v>0</v>
      </c>
    </row>
    <row r="143" spans="1:17" ht="30" x14ac:dyDescent="0.25">
      <c r="A143" s="154"/>
      <c r="B143" s="274" t="s">
        <v>405</v>
      </c>
      <c r="C143" s="248" t="s">
        <v>406</v>
      </c>
      <c r="D143" s="185" t="s">
        <v>218</v>
      </c>
      <c r="E143" s="242">
        <v>1</v>
      </c>
      <c r="F143" s="233"/>
      <c r="G143" s="245">
        <v>100000</v>
      </c>
      <c r="H143" s="245">
        <v>20000</v>
      </c>
      <c r="I143" s="246">
        <f>H143+G143+F143</f>
        <v>120000</v>
      </c>
      <c r="J143" s="161">
        <f t="shared" si="46"/>
        <v>120000</v>
      </c>
      <c r="K143" s="242">
        <v>1</v>
      </c>
      <c r="L143" s="233"/>
      <c r="M143" s="245">
        <v>100000</v>
      </c>
      <c r="N143" s="245">
        <v>20000</v>
      </c>
      <c r="O143" s="246">
        <f>N143+M143+L143</f>
        <v>120000</v>
      </c>
      <c r="P143" s="161">
        <f t="shared" si="47"/>
        <v>120000</v>
      </c>
      <c r="Q143" s="162">
        <f t="shared" si="33"/>
        <v>0</v>
      </c>
    </row>
    <row r="144" spans="1:17" x14ac:dyDescent="0.25">
      <c r="A144" s="154">
        <v>25</v>
      </c>
      <c r="B144" s="274" t="s">
        <v>430</v>
      </c>
      <c r="C144" s="248" t="s">
        <v>282</v>
      </c>
      <c r="D144" s="185"/>
      <c r="E144" s="242" t="s">
        <v>282</v>
      </c>
      <c r="F144" s="243"/>
      <c r="G144" s="243"/>
      <c r="H144" s="243"/>
      <c r="I144" s="243"/>
      <c r="J144" s="161"/>
      <c r="K144" s="242" t="s">
        <v>282</v>
      </c>
      <c r="L144" s="243"/>
      <c r="M144" s="243"/>
      <c r="N144" s="243"/>
      <c r="O144" s="243"/>
      <c r="P144" s="161"/>
      <c r="Q144" s="162">
        <f t="shared" si="33"/>
        <v>0</v>
      </c>
    </row>
    <row r="145" spans="1:17" ht="30" x14ac:dyDescent="0.25">
      <c r="A145" s="154"/>
      <c r="B145" s="274" t="s">
        <v>399</v>
      </c>
      <c r="C145" s="248" t="s">
        <v>400</v>
      </c>
      <c r="D145" s="185" t="s">
        <v>218</v>
      </c>
      <c r="E145" s="242">
        <v>1</v>
      </c>
      <c r="F145" s="233"/>
      <c r="G145" s="245">
        <v>300000</v>
      </c>
      <c r="H145" s="245">
        <v>30000</v>
      </c>
      <c r="I145" s="246">
        <f>H145+G145+F145</f>
        <v>330000</v>
      </c>
      <c r="J145" s="161">
        <f t="shared" ref="J145:J172" si="48">I145*E145</f>
        <v>330000</v>
      </c>
      <c r="K145" s="242">
        <v>1</v>
      </c>
      <c r="L145" s="233"/>
      <c r="M145" s="245">
        <v>300000</v>
      </c>
      <c r="N145" s="245">
        <v>30000</v>
      </c>
      <c r="O145" s="246">
        <f>N145+M145+L145</f>
        <v>330000</v>
      </c>
      <c r="P145" s="161">
        <f t="shared" ref="P145:P176" si="49">O145*K145</f>
        <v>330000</v>
      </c>
      <c r="Q145" s="162">
        <f t="shared" si="33"/>
        <v>0</v>
      </c>
    </row>
    <row r="146" spans="1:17" x14ac:dyDescent="0.25">
      <c r="A146" s="170"/>
      <c r="B146" s="277" t="s">
        <v>401</v>
      </c>
      <c r="C146" s="271" t="s">
        <v>402</v>
      </c>
      <c r="D146" s="197" t="s">
        <v>218</v>
      </c>
      <c r="E146" s="221">
        <v>1</v>
      </c>
      <c r="F146" s="175"/>
      <c r="G146" s="222">
        <v>100000</v>
      </c>
      <c r="H146" s="222">
        <v>20000</v>
      </c>
      <c r="I146" s="223">
        <f>H146+G146+F146</f>
        <v>120000</v>
      </c>
      <c r="J146" s="177">
        <f t="shared" si="48"/>
        <v>120000</v>
      </c>
      <c r="K146" s="221">
        <v>1</v>
      </c>
      <c r="L146" s="175"/>
      <c r="M146" s="222">
        <v>100000</v>
      </c>
      <c r="N146" s="222">
        <v>20000</v>
      </c>
      <c r="O146" s="223">
        <f>N146+M146+L146</f>
        <v>120000</v>
      </c>
      <c r="P146" s="177">
        <f t="shared" si="49"/>
        <v>120000</v>
      </c>
      <c r="Q146" s="162">
        <f t="shared" si="33"/>
        <v>0</v>
      </c>
    </row>
    <row r="147" spans="1:17" x14ac:dyDescent="0.25">
      <c r="A147" s="154"/>
      <c r="B147" s="274" t="s">
        <v>401</v>
      </c>
      <c r="C147" s="248" t="s">
        <v>403</v>
      </c>
      <c r="D147" s="185" t="s">
        <v>218</v>
      </c>
      <c r="E147" s="242">
        <v>1</v>
      </c>
      <c r="F147" s="233"/>
      <c r="G147" s="245">
        <v>100000</v>
      </c>
      <c r="H147" s="245">
        <v>20000</v>
      </c>
      <c r="I147" s="246">
        <f>H147+G147+F147</f>
        <v>120000</v>
      </c>
      <c r="J147" s="161">
        <f t="shared" si="48"/>
        <v>120000</v>
      </c>
      <c r="K147" s="242">
        <v>1</v>
      </c>
      <c r="L147" s="233"/>
      <c r="M147" s="245">
        <v>100000</v>
      </c>
      <c r="N147" s="245">
        <v>20000</v>
      </c>
      <c r="O147" s="246">
        <f>N147+M147+L147</f>
        <v>120000</v>
      </c>
      <c r="P147" s="161">
        <f t="shared" si="49"/>
        <v>120000</v>
      </c>
      <c r="Q147" s="162">
        <f t="shared" si="33"/>
        <v>0</v>
      </c>
    </row>
    <row r="148" spans="1:17" ht="30" x14ac:dyDescent="0.25">
      <c r="A148" s="154"/>
      <c r="B148" s="274" t="s">
        <v>431</v>
      </c>
      <c r="C148" s="248" t="s">
        <v>406</v>
      </c>
      <c r="D148" s="185" t="s">
        <v>218</v>
      </c>
      <c r="E148" s="242">
        <v>2</v>
      </c>
      <c r="F148" s="233"/>
      <c r="G148" s="245">
        <v>100000</v>
      </c>
      <c r="H148" s="245">
        <v>20000</v>
      </c>
      <c r="I148" s="246">
        <f>H148+G148+F148</f>
        <v>120000</v>
      </c>
      <c r="J148" s="161">
        <f t="shared" si="48"/>
        <v>240000</v>
      </c>
      <c r="K148" s="242">
        <v>2</v>
      </c>
      <c r="L148" s="233"/>
      <c r="M148" s="245">
        <v>100000</v>
      </c>
      <c r="N148" s="245">
        <v>20000</v>
      </c>
      <c r="O148" s="246">
        <f>N148+M148+L148</f>
        <v>120000</v>
      </c>
      <c r="P148" s="161">
        <f t="shared" si="49"/>
        <v>240000</v>
      </c>
      <c r="Q148" s="162">
        <f t="shared" si="33"/>
        <v>0</v>
      </c>
    </row>
    <row r="149" spans="1:17" ht="30" x14ac:dyDescent="0.25">
      <c r="A149" s="154"/>
      <c r="B149" s="274" t="s">
        <v>405</v>
      </c>
      <c r="C149" s="248" t="s">
        <v>406</v>
      </c>
      <c r="D149" s="185" t="s">
        <v>218</v>
      </c>
      <c r="E149" s="242">
        <v>1</v>
      </c>
      <c r="F149" s="233"/>
      <c r="G149" s="245">
        <v>100000</v>
      </c>
      <c r="H149" s="245">
        <v>20000</v>
      </c>
      <c r="I149" s="246">
        <f>H149+G149+F149</f>
        <v>120000</v>
      </c>
      <c r="J149" s="161">
        <f t="shared" si="48"/>
        <v>120000</v>
      </c>
      <c r="K149" s="242">
        <v>1</v>
      </c>
      <c r="L149" s="233"/>
      <c r="M149" s="245">
        <v>100000</v>
      </c>
      <c r="N149" s="245">
        <v>20000</v>
      </c>
      <c r="O149" s="246">
        <f>N149+M149+L149</f>
        <v>120000</v>
      </c>
      <c r="P149" s="161">
        <f t="shared" si="49"/>
        <v>120000</v>
      </c>
      <c r="Q149" s="162">
        <f t="shared" si="33"/>
        <v>0</v>
      </c>
    </row>
    <row r="150" spans="1:17" ht="30" x14ac:dyDescent="0.25">
      <c r="A150" s="163">
        <v>26</v>
      </c>
      <c r="B150" s="278" t="s">
        <v>432</v>
      </c>
      <c r="C150" s="279" t="s">
        <v>433</v>
      </c>
      <c r="D150" s="213" t="s">
        <v>218</v>
      </c>
      <c r="E150" s="214">
        <v>1</v>
      </c>
      <c r="F150" s="168">
        <v>2750000</v>
      </c>
      <c r="G150" s="168">
        <v>450000</v>
      </c>
      <c r="H150" s="168">
        <v>50000</v>
      </c>
      <c r="I150" s="169">
        <f t="shared" ref="I150:I156" si="50">H150+G150+F150</f>
        <v>3250000</v>
      </c>
      <c r="J150" s="162">
        <f t="shared" si="48"/>
        <v>3250000</v>
      </c>
      <c r="K150" s="214">
        <v>1</v>
      </c>
      <c r="L150" s="168">
        <v>2750000</v>
      </c>
      <c r="M150" s="233">
        <v>450000</v>
      </c>
      <c r="N150" s="168">
        <v>50000</v>
      </c>
      <c r="O150" s="169">
        <f t="shared" ref="O150:O156" si="51">N150+M150+L150</f>
        <v>3250000</v>
      </c>
      <c r="P150" s="162">
        <f t="shared" si="49"/>
        <v>3250000</v>
      </c>
      <c r="Q150" s="162">
        <f t="shared" si="33"/>
        <v>0</v>
      </c>
    </row>
    <row r="151" spans="1:17" x14ac:dyDescent="0.25">
      <c r="A151" s="163">
        <v>27</v>
      </c>
      <c r="B151" s="278" t="s">
        <v>434</v>
      </c>
      <c r="C151" s="279" t="s">
        <v>435</v>
      </c>
      <c r="D151" s="213" t="s">
        <v>218</v>
      </c>
      <c r="E151" s="214">
        <v>1</v>
      </c>
      <c r="F151" s="168">
        <v>4500000</v>
      </c>
      <c r="G151" s="168">
        <v>450000</v>
      </c>
      <c r="H151" s="168">
        <v>50000</v>
      </c>
      <c r="I151" s="169">
        <f t="shared" si="50"/>
        <v>5000000</v>
      </c>
      <c r="J151" s="162">
        <f t="shared" si="48"/>
        <v>5000000</v>
      </c>
      <c r="K151" s="214">
        <v>1</v>
      </c>
      <c r="L151" s="168">
        <v>4500000</v>
      </c>
      <c r="M151" s="233">
        <v>450000</v>
      </c>
      <c r="N151" s="168">
        <v>50000</v>
      </c>
      <c r="O151" s="169">
        <f t="shared" si="51"/>
        <v>5000000</v>
      </c>
      <c r="P151" s="162">
        <f t="shared" si="49"/>
        <v>5000000</v>
      </c>
      <c r="Q151" s="162">
        <f t="shared" si="33"/>
        <v>0</v>
      </c>
    </row>
    <row r="152" spans="1:17" ht="30" x14ac:dyDescent="0.25">
      <c r="A152" s="170">
        <v>28</v>
      </c>
      <c r="B152" s="217" t="s">
        <v>436</v>
      </c>
      <c r="C152" s="219" t="s">
        <v>433</v>
      </c>
      <c r="D152" s="197" t="s">
        <v>218</v>
      </c>
      <c r="E152" s="198">
        <v>1</v>
      </c>
      <c r="F152" s="175">
        <v>2750000</v>
      </c>
      <c r="G152" s="175">
        <v>450000</v>
      </c>
      <c r="H152" s="175">
        <v>50000</v>
      </c>
      <c r="I152" s="176">
        <f t="shared" si="50"/>
        <v>3250000</v>
      </c>
      <c r="J152" s="177">
        <f t="shared" si="48"/>
        <v>3250000</v>
      </c>
      <c r="K152" s="198">
        <v>1</v>
      </c>
      <c r="L152" s="175">
        <v>2750000</v>
      </c>
      <c r="M152" s="233">
        <v>450000</v>
      </c>
      <c r="N152" s="175">
        <v>50000</v>
      </c>
      <c r="O152" s="176">
        <f t="shared" si="51"/>
        <v>3250000</v>
      </c>
      <c r="P152" s="177">
        <f t="shared" si="49"/>
        <v>3250000</v>
      </c>
      <c r="Q152" s="162">
        <f t="shared" si="33"/>
        <v>0</v>
      </c>
    </row>
    <row r="153" spans="1:17" x14ac:dyDescent="0.25">
      <c r="A153" s="170">
        <v>29</v>
      </c>
      <c r="B153" s="217" t="s">
        <v>437</v>
      </c>
      <c r="C153" s="220" t="s">
        <v>438</v>
      </c>
      <c r="D153" s="197" t="s">
        <v>218</v>
      </c>
      <c r="E153" s="198">
        <v>1</v>
      </c>
      <c r="F153" s="175">
        <v>4000000</v>
      </c>
      <c r="G153" s="175">
        <v>450000</v>
      </c>
      <c r="H153" s="175">
        <v>50000</v>
      </c>
      <c r="I153" s="176">
        <f t="shared" si="50"/>
        <v>4500000</v>
      </c>
      <c r="J153" s="177">
        <f t="shared" si="48"/>
        <v>4500000</v>
      </c>
      <c r="K153" s="198">
        <v>1</v>
      </c>
      <c r="L153" s="175">
        <v>4000000</v>
      </c>
      <c r="M153" s="233">
        <v>450000</v>
      </c>
      <c r="N153" s="175">
        <v>50000</v>
      </c>
      <c r="O153" s="176">
        <f t="shared" si="51"/>
        <v>4500000</v>
      </c>
      <c r="P153" s="177">
        <f t="shared" si="49"/>
        <v>4500000</v>
      </c>
      <c r="Q153" s="162">
        <f t="shared" si="33"/>
        <v>0</v>
      </c>
    </row>
    <row r="154" spans="1:17" x14ac:dyDescent="0.25">
      <c r="A154" s="170">
        <v>30</v>
      </c>
      <c r="B154" s="217" t="s">
        <v>439</v>
      </c>
      <c r="C154" s="220" t="s">
        <v>438</v>
      </c>
      <c r="D154" s="197" t="s">
        <v>218</v>
      </c>
      <c r="E154" s="198">
        <v>1</v>
      </c>
      <c r="F154" s="175">
        <v>4000000</v>
      </c>
      <c r="G154" s="175">
        <v>250000</v>
      </c>
      <c r="H154" s="175">
        <v>50000</v>
      </c>
      <c r="I154" s="176">
        <f t="shared" si="50"/>
        <v>4300000</v>
      </c>
      <c r="J154" s="177">
        <f t="shared" si="48"/>
        <v>4300000</v>
      </c>
      <c r="K154" s="198">
        <v>1</v>
      </c>
      <c r="L154" s="175">
        <v>4000000</v>
      </c>
      <c r="M154" s="233">
        <v>250000</v>
      </c>
      <c r="N154" s="175">
        <v>50000</v>
      </c>
      <c r="O154" s="176">
        <f t="shared" si="51"/>
        <v>4300000</v>
      </c>
      <c r="P154" s="177">
        <f t="shared" si="49"/>
        <v>4300000</v>
      </c>
      <c r="Q154" s="162">
        <f t="shared" si="33"/>
        <v>0</v>
      </c>
    </row>
    <row r="155" spans="1:17" x14ac:dyDescent="0.25">
      <c r="A155" s="170">
        <v>31</v>
      </c>
      <c r="B155" s="217" t="s">
        <v>440</v>
      </c>
      <c r="C155" s="220" t="s">
        <v>441</v>
      </c>
      <c r="D155" s="197" t="s">
        <v>218</v>
      </c>
      <c r="E155" s="198">
        <v>1</v>
      </c>
      <c r="F155" s="175">
        <v>4000000</v>
      </c>
      <c r="G155" s="175">
        <v>450000</v>
      </c>
      <c r="H155" s="175"/>
      <c r="I155" s="176">
        <f t="shared" si="50"/>
        <v>4450000</v>
      </c>
      <c r="J155" s="177">
        <f t="shared" si="48"/>
        <v>4450000</v>
      </c>
      <c r="K155" s="198">
        <v>1</v>
      </c>
      <c r="L155" s="175">
        <v>4000000</v>
      </c>
      <c r="M155" s="233">
        <v>450000</v>
      </c>
      <c r="N155" s="175"/>
      <c r="O155" s="176">
        <f t="shared" si="51"/>
        <v>4450000</v>
      </c>
      <c r="P155" s="177">
        <f t="shared" si="49"/>
        <v>4450000</v>
      </c>
      <c r="Q155" s="162">
        <f t="shared" si="33"/>
        <v>0</v>
      </c>
    </row>
    <row r="156" spans="1:17" x14ac:dyDescent="0.25">
      <c r="A156" s="280">
        <v>32</v>
      </c>
      <c r="B156" s="281" t="s">
        <v>442</v>
      </c>
      <c r="C156" s="219" t="s">
        <v>443</v>
      </c>
      <c r="D156" s="197" t="s">
        <v>218</v>
      </c>
      <c r="E156" s="198">
        <v>1</v>
      </c>
      <c r="F156" s="175"/>
      <c r="G156" s="175">
        <v>500000</v>
      </c>
      <c r="H156" s="175"/>
      <c r="I156" s="176">
        <f t="shared" si="50"/>
        <v>500000</v>
      </c>
      <c r="J156" s="177">
        <f t="shared" si="48"/>
        <v>500000</v>
      </c>
      <c r="K156" s="198">
        <v>1</v>
      </c>
      <c r="L156" s="175"/>
      <c r="M156" s="175">
        <v>500000</v>
      </c>
      <c r="N156" s="175"/>
      <c r="O156" s="176">
        <f t="shared" si="51"/>
        <v>500000</v>
      </c>
      <c r="P156" s="177">
        <f t="shared" si="49"/>
        <v>500000</v>
      </c>
      <c r="Q156" s="162">
        <f t="shared" si="33"/>
        <v>0</v>
      </c>
    </row>
    <row r="157" spans="1:17" x14ac:dyDescent="0.25">
      <c r="A157" s="282"/>
      <c r="B157" s="268" t="s">
        <v>444</v>
      </c>
      <c r="C157" s="283"/>
      <c r="D157" s="213"/>
      <c r="E157" s="214"/>
      <c r="F157" s="168"/>
      <c r="G157" s="168"/>
      <c r="H157" s="168"/>
      <c r="I157" s="169"/>
      <c r="J157" s="162"/>
      <c r="K157" s="214">
        <v>1</v>
      </c>
      <c r="L157" s="168"/>
      <c r="M157" s="168"/>
      <c r="N157" s="168"/>
      <c r="O157" s="169"/>
      <c r="P157" s="162"/>
      <c r="Q157" s="162"/>
    </row>
    <row r="158" spans="1:17" x14ac:dyDescent="0.25">
      <c r="A158" s="202"/>
      <c r="B158" s="284" t="s">
        <v>393</v>
      </c>
      <c r="C158" s="285"/>
      <c r="D158" s="213" t="s">
        <v>218</v>
      </c>
      <c r="E158" s="214"/>
      <c r="F158" s="168"/>
      <c r="G158" s="168"/>
      <c r="H158" s="168"/>
      <c r="I158" s="169"/>
      <c r="J158" s="162"/>
      <c r="K158" s="198">
        <v>1</v>
      </c>
      <c r="L158" s="175"/>
      <c r="M158" s="175"/>
      <c r="N158" s="175"/>
      <c r="O158" s="176"/>
      <c r="P158" s="177"/>
      <c r="Q158" s="162"/>
    </row>
    <row r="159" spans="1:17" x14ac:dyDescent="0.25">
      <c r="A159" s="202"/>
      <c r="B159" s="284" t="s">
        <v>387</v>
      </c>
      <c r="C159" s="285"/>
      <c r="D159" s="213" t="s">
        <v>218</v>
      </c>
      <c r="E159" s="214"/>
      <c r="F159" s="168"/>
      <c r="G159" s="168"/>
      <c r="H159" s="168"/>
      <c r="I159" s="169"/>
      <c r="J159" s="162"/>
      <c r="K159" s="198">
        <v>1</v>
      </c>
      <c r="L159" s="175"/>
      <c r="M159" s="175"/>
      <c r="N159" s="175"/>
      <c r="O159" s="176"/>
      <c r="P159" s="177"/>
      <c r="Q159" s="162"/>
    </row>
    <row r="160" spans="1:17" x14ac:dyDescent="0.25">
      <c r="A160" s="202"/>
      <c r="B160" s="284" t="s">
        <v>445</v>
      </c>
      <c r="C160" s="285"/>
      <c r="D160" s="213" t="s">
        <v>218</v>
      </c>
      <c r="E160" s="214"/>
      <c r="F160" s="168"/>
      <c r="G160" s="168"/>
      <c r="H160" s="168"/>
      <c r="I160" s="169"/>
      <c r="J160" s="162"/>
      <c r="K160" s="198">
        <v>1</v>
      </c>
      <c r="L160" s="175"/>
      <c r="M160" s="175"/>
      <c r="N160" s="175"/>
      <c r="O160" s="176"/>
      <c r="P160" s="177"/>
      <c r="Q160" s="162"/>
    </row>
    <row r="161" spans="1:17" x14ac:dyDescent="0.25">
      <c r="A161" s="202"/>
      <c r="B161" s="284" t="s">
        <v>446</v>
      </c>
      <c r="C161" s="285"/>
      <c r="D161" s="213" t="s">
        <v>218</v>
      </c>
      <c r="E161" s="214"/>
      <c r="F161" s="168"/>
      <c r="G161" s="168"/>
      <c r="H161" s="168"/>
      <c r="I161" s="169"/>
      <c r="J161" s="162"/>
      <c r="K161" s="198">
        <v>1</v>
      </c>
      <c r="L161" s="175"/>
      <c r="M161" s="175"/>
      <c r="N161" s="175"/>
      <c r="O161" s="176"/>
      <c r="P161" s="177"/>
      <c r="Q161" s="162"/>
    </row>
    <row r="162" spans="1:17" x14ac:dyDescent="0.25">
      <c r="A162" s="202"/>
      <c r="B162" s="284" t="s">
        <v>447</v>
      </c>
      <c r="C162" s="285"/>
      <c r="D162" s="213" t="s">
        <v>218</v>
      </c>
      <c r="E162" s="214"/>
      <c r="F162" s="168"/>
      <c r="G162" s="168"/>
      <c r="H162" s="168"/>
      <c r="I162" s="169"/>
      <c r="J162" s="162"/>
      <c r="K162" s="198">
        <v>1</v>
      </c>
      <c r="L162" s="175"/>
      <c r="M162" s="175"/>
      <c r="N162" s="175"/>
      <c r="O162" s="176"/>
      <c r="P162" s="177"/>
      <c r="Q162" s="162"/>
    </row>
    <row r="163" spans="1:17" x14ac:dyDescent="0.25">
      <c r="A163" s="286">
        <v>33</v>
      </c>
      <c r="B163" s="287" t="s">
        <v>372</v>
      </c>
      <c r="C163" s="219" t="s">
        <v>282</v>
      </c>
      <c r="D163" s="197" t="s">
        <v>326</v>
      </c>
      <c r="E163" s="198">
        <v>8</v>
      </c>
      <c r="F163" s="175">
        <v>225000</v>
      </c>
      <c r="G163" s="175">
        <v>100000</v>
      </c>
      <c r="H163" s="175">
        <v>5000</v>
      </c>
      <c r="I163" s="176">
        <f>H163+G163+F163</f>
        <v>330000</v>
      </c>
      <c r="J163" s="177">
        <f t="shared" si="48"/>
        <v>2640000</v>
      </c>
      <c r="K163" s="198">
        <v>8</v>
      </c>
      <c r="L163" s="175">
        <v>225000</v>
      </c>
      <c r="M163" s="175">
        <v>100000</v>
      </c>
      <c r="N163" s="175">
        <v>5000</v>
      </c>
      <c r="O163" s="176">
        <f>N163+M163+L163</f>
        <v>330000</v>
      </c>
      <c r="P163" s="177">
        <f t="shared" si="49"/>
        <v>2640000</v>
      </c>
      <c r="Q163" s="162">
        <f t="shared" si="33"/>
        <v>0</v>
      </c>
    </row>
    <row r="164" spans="1:17" x14ac:dyDescent="0.25">
      <c r="A164" s="170">
        <v>34</v>
      </c>
      <c r="B164" s="217" t="s">
        <v>373</v>
      </c>
      <c r="C164" s="219" t="s">
        <v>374</v>
      </c>
      <c r="D164" s="197" t="s">
        <v>326</v>
      </c>
      <c r="E164" s="198">
        <v>14</v>
      </c>
      <c r="F164" s="175">
        <v>100000</v>
      </c>
      <c r="G164" s="175">
        <v>25000</v>
      </c>
      <c r="H164" s="175">
        <v>5000</v>
      </c>
      <c r="I164" s="176">
        <f>H164+G164+F164</f>
        <v>130000</v>
      </c>
      <c r="J164" s="177">
        <f t="shared" si="48"/>
        <v>1820000</v>
      </c>
      <c r="K164" s="198">
        <v>14</v>
      </c>
      <c r="L164" s="175">
        <v>100000</v>
      </c>
      <c r="M164" s="175">
        <v>25000</v>
      </c>
      <c r="N164" s="175">
        <v>5000</v>
      </c>
      <c r="O164" s="176">
        <f>N164+M164+L164</f>
        <v>130000</v>
      </c>
      <c r="P164" s="177">
        <f t="shared" si="49"/>
        <v>1820000</v>
      </c>
      <c r="Q164" s="162">
        <f t="shared" si="33"/>
        <v>0</v>
      </c>
    </row>
    <row r="165" spans="1:17" x14ac:dyDescent="0.25">
      <c r="A165" s="170">
        <v>35</v>
      </c>
      <c r="B165" s="217" t="s">
        <v>375</v>
      </c>
      <c r="C165" s="219"/>
      <c r="D165" s="197" t="s">
        <v>178</v>
      </c>
      <c r="E165" s="198">
        <v>32</v>
      </c>
      <c r="F165" s="175">
        <v>30000</v>
      </c>
      <c r="G165" s="175">
        <v>15000</v>
      </c>
      <c r="H165" s="264"/>
      <c r="I165" s="176">
        <f t="shared" ref="I165:I166" si="52">H165+G165+F165</f>
        <v>45000</v>
      </c>
      <c r="J165" s="177">
        <f t="shared" si="48"/>
        <v>1440000</v>
      </c>
      <c r="K165" s="198">
        <v>32</v>
      </c>
      <c r="L165" s="175">
        <v>30000</v>
      </c>
      <c r="M165" s="175">
        <v>15000</v>
      </c>
      <c r="N165" s="264"/>
      <c r="O165" s="176">
        <f t="shared" ref="O165:O166" si="53">N165+M165+L165</f>
        <v>45000</v>
      </c>
      <c r="P165" s="177">
        <f t="shared" si="49"/>
        <v>1440000</v>
      </c>
      <c r="Q165" s="162">
        <f t="shared" si="33"/>
        <v>0</v>
      </c>
    </row>
    <row r="166" spans="1:17" x14ac:dyDescent="0.25">
      <c r="A166" s="170">
        <v>36</v>
      </c>
      <c r="B166" s="217" t="s">
        <v>376</v>
      </c>
      <c r="C166" s="219" t="s">
        <v>282</v>
      </c>
      <c r="D166" s="197" t="s">
        <v>326</v>
      </c>
      <c r="E166" s="198">
        <v>6</v>
      </c>
      <c r="F166" s="175">
        <v>225000</v>
      </c>
      <c r="G166" s="175">
        <v>25000</v>
      </c>
      <c r="H166" s="175">
        <v>5000</v>
      </c>
      <c r="I166" s="176">
        <f t="shared" si="52"/>
        <v>255000</v>
      </c>
      <c r="J166" s="177">
        <f t="shared" si="48"/>
        <v>1530000</v>
      </c>
      <c r="K166" s="198">
        <v>6</v>
      </c>
      <c r="L166" s="175">
        <v>225000</v>
      </c>
      <c r="M166" s="175">
        <v>25000</v>
      </c>
      <c r="N166" s="175">
        <v>5000</v>
      </c>
      <c r="O166" s="176">
        <f t="shared" si="53"/>
        <v>255000</v>
      </c>
      <c r="P166" s="177">
        <f t="shared" si="49"/>
        <v>1530000</v>
      </c>
      <c r="Q166" s="162">
        <f t="shared" si="33"/>
        <v>0</v>
      </c>
    </row>
    <row r="167" spans="1:17" x14ac:dyDescent="0.25">
      <c r="A167" s="170">
        <v>37</v>
      </c>
      <c r="B167" s="217" t="s">
        <v>448</v>
      </c>
      <c r="C167" s="220" t="s">
        <v>449</v>
      </c>
      <c r="D167" s="197" t="s">
        <v>218</v>
      </c>
      <c r="E167" s="221">
        <v>4</v>
      </c>
      <c r="F167" s="222">
        <v>550000</v>
      </c>
      <c r="G167" s="222"/>
      <c r="H167" s="222"/>
      <c r="I167" s="223">
        <f>H167+G167+F167</f>
        <v>550000</v>
      </c>
      <c r="J167" s="177">
        <f t="shared" si="48"/>
        <v>2200000</v>
      </c>
      <c r="K167" s="221">
        <v>4</v>
      </c>
      <c r="L167" s="222">
        <v>550000</v>
      </c>
      <c r="M167" s="222"/>
      <c r="N167" s="222"/>
      <c r="O167" s="223">
        <f>N167+M167+L167</f>
        <v>550000</v>
      </c>
      <c r="P167" s="177">
        <f t="shared" si="49"/>
        <v>2200000</v>
      </c>
      <c r="Q167" s="162">
        <f t="shared" si="33"/>
        <v>0</v>
      </c>
    </row>
    <row r="168" spans="1:17" x14ac:dyDescent="0.25">
      <c r="A168" s="154">
        <v>38</v>
      </c>
      <c r="B168" s="238" t="s">
        <v>394</v>
      </c>
      <c r="C168" s="184" t="s">
        <v>395</v>
      </c>
      <c r="D168" s="213" t="s">
        <v>326</v>
      </c>
      <c r="E168" s="192">
        <v>2</v>
      </c>
      <c r="F168" s="159">
        <v>1500000</v>
      </c>
      <c r="G168" s="159">
        <v>500000</v>
      </c>
      <c r="H168" s="195"/>
      <c r="I168" s="160">
        <f t="shared" ref="I168:I172" si="54">H168+G168+F168</f>
        <v>2000000</v>
      </c>
      <c r="J168" s="161">
        <f t="shared" si="48"/>
        <v>4000000</v>
      </c>
      <c r="K168" s="192">
        <v>2</v>
      </c>
      <c r="L168" s="159">
        <v>1500000</v>
      </c>
      <c r="M168" s="159">
        <v>500000</v>
      </c>
      <c r="N168" s="195"/>
      <c r="O168" s="160">
        <f t="shared" ref="O168:O174" si="55">N168+M168+L168</f>
        <v>2000000</v>
      </c>
      <c r="P168" s="161">
        <f t="shared" si="49"/>
        <v>4000000</v>
      </c>
      <c r="Q168" s="162">
        <f t="shared" si="33"/>
        <v>0</v>
      </c>
    </row>
    <row r="169" spans="1:17" x14ac:dyDescent="0.25">
      <c r="A169" s="163">
        <v>39</v>
      </c>
      <c r="B169" s="252" t="s">
        <v>450</v>
      </c>
      <c r="C169" s="253" t="s">
        <v>451</v>
      </c>
      <c r="D169" s="213" t="s">
        <v>178</v>
      </c>
      <c r="E169" s="214">
        <v>5</v>
      </c>
      <c r="F169" s="269">
        <v>1600000</v>
      </c>
      <c r="G169" s="269">
        <v>100000</v>
      </c>
      <c r="H169" s="215"/>
      <c r="I169" s="169">
        <f t="shared" si="54"/>
        <v>1700000</v>
      </c>
      <c r="J169" s="162">
        <f t="shared" si="48"/>
        <v>8500000</v>
      </c>
      <c r="K169" s="214">
        <v>5</v>
      </c>
      <c r="L169" s="269">
        <v>1600000</v>
      </c>
      <c r="M169" s="269">
        <v>100000</v>
      </c>
      <c r="N169" s="215"/>
      <c r="O169" s="169">
        <f t="shared" si="55"/>
        <v>1700000</v>
      </c>
      <c r="P169" s="162">
        <f t="shared" si="49"/>
        <v>8500000</v>
      </c>
      <c r="Q169" s="162">
        <f t="shared" ref="Q169:Q183" si="56">P169-J169</f>
        <v>0</v>
      </c>
    </row>
    <row r="170" spans="1:17" x14ac:dyDescent="0.25">
      <c r="A170" s="154">
        <v>40</v>
      </c>
      <c r="B170" s="238" t="s">
        <v>452</v>
      </c>
      <c r="C170" s="184" t="s">
        <v>453</v>
      </c>
      <c r="D170" s="213" t="s">
        <v>178</v>
      </c>
      <c r="E170" s="192">
        <v>4</v>
      </c>
      <c r="F170" s="245">
        <v>750000</v>
      </c>
      <c r="G170" s="245">
        <v>100000</v>
      </c>
      <c r="H170" s="195"/>
      <c r="I170" s="160">
        <f t="shared" si="54"/>
        <v>850000</v>
      </c>
      <c r="J170" s="161">
        <f t="shared" si="48"/>
        <v>3400000</v>
      </c>
      <c r="K170" s="192">
        <v>4</v>
      </c>
      <c r="L170" s="245">
        <v>750000</v>
      </c>
      <c r="M170" s="245">
        <v>100000</v>
      </c>
      <c r="N170" s="195"/>
      <c r="O170" s="160">
        <f t="shared" si="55"/>
        <v>850000</v>
      </c>
      <c r="P170" s="161">
        <f t="shared" si="49"/>
        <v>3400000</v>
      </c>
      <c r="Q170" s="162">
        <f t="shared" si="56"/>
        <v>0</v>
      </c>
    </row>
    <row r="171" spans="1:17" x14ac:dyDescent="0.25">
      <c r="A171" s="154">
        <v>41</v>
      </c>
      <c r="B171" s="238" t="s">
        <v>454</v>
      </c>
      <c r="C171" s="184" t="s">
        <v>455</v>
      </c>
      <c r="D171" s="213" t="s">
        <v>301</v>
      </c>
      <c r="E171" s="192">
        <f>5*4</f>
        <v>20</v>
      </c>
      <c r="F171" s="245">
        <v>750000</v>
      </c>
      <c r="G171" s="245">
        <v>200000</v>
      </c>
      <c r="H171" s="195"/>
      <c r="I171" s="160">
        <f t="shared" si="54"/>
        <v>950000</v>
      </c>
      <c r="J171" s="161">
        <f t="shared" si="48"/>
        <v>19000000</v>
      </c>
      <c r="K171" s="192">
        <f>5*4</f>
        <v>20</v>
      </c>
      <c r="L171" s="245">
        <v>750000</v>
      </c>
      <c r="M171" s="245">
        <v>200000</v>
      </c>
      <c r="N171" s="195"/>
      <c r="O171" s="160">
        <f t="shared" si="55"/>
        <v>950000</v>
      </c>
      <c r="P171" s="161">
        <f t="shared" si="49"/>
        <v>19000000</v>
      </c>
      <c r="Q171" s="162">
        <f t="shared" si="56"/>
        <v>0</v>
      </c>
    </row>
    <row r="172" spans="1:17" x14ac:dyDescent="0.25">
      <c r="A172" s="163"/>
      <c r="B172" s="252" t="s">
        <v>456</v>
      </c>
      <c r="C172" s="212" t="s">
        <v>397</v>
      </c>
      <c r="D172" s="213" t="s">
        <v>212</v>
      </c>
      <c r="E172" s="214">
        <v>1</v>
      </c>
      <c r="F172" s="269">
        <v>800000</v>
      </c>
      <c r="G172" s="269">
        <v>200000</v>
      </c>
      <c r="H172" s="215"/>
      <c r="I172" s="169">
        <f t="shared" si="54"/>
        <v>1000000</v>
      </c>
      <c r="J172" s="162">
        <f t="shared" si="48"/>
        <v>1000000</v>
      </c>
      <c r="K172" s="214">
        <v>1</v>
      </c>
      <c r="L172" s="269">
        <v>800000</v>
      </c>
      <c r="M172" s="269">
        <v>200000</v>
      </c>
      <c r="N172" s="215"/>
      <c r="O172" s="169">
        <f t="shared" si="55"/>
        <v>1000000</v>
      </c>
      <c r="P172" s="162">
        <f t="shared" si="49"/>
        <v>1000000</v>
      </c>
      <c r="Q172" s="162">
        <f t="shared" si="56"/>
        <v>0</v>
      </c>
    </row>
    <row r="173" spans="1:17" x14ac:dyDescent="0.25">
      <c r="A173" s="170"/>
      <c r="B173" s="217" t="s">
        <v>457</v>
      </c>
      <c r="C173" s="219" t="s">
        <v>458</v>
      </c>
      <c r="D173" s="213" t="s">
        <v>301</v>
      </c>
      <c r="E173" s="214"/>
      <c r="F173" s="269"/>
      <c r="G173" s="269"/>
      <c r="H173" s="215"/>
      <c r="I173" s="169"/>
      <c r="J173" s="162"/>
      <c r="K173" s="198">
        <f>(2.5*5)</f>
        <v>12.5</v>
      </c>
      <c r="L173" s="222">
        <v>1200000</v>
      </c>
      <c r="M173" s="222">
        <v>200000</v>
      </c>
      <c r="N173" s="264"/>
      <c r="O173" s="176">
        <f t="shared" si="55"/>
        <v>1400000</v>
      </c>
      <c r="P173" s="177">
        <f t="shared" si="49"/>
        <v>17500000</v>
      </c>
      <c r="Q173" s="218">
        <f t="shared" si="56"/>
        <v>17500000</v>
      </c>
    </row>
    <row r="174" spans="1:17" x14ac:dyDescent="0.25">
      <c r="A174" s="170"/>
      <c r="B174" s="217" t="s">
        <v>459</v>
      </c>
      <c r="C174" s="219" t="s">
        <v>460</v>
      </c>
      <c r="D174" s="213" t="s">
        <v>301</v>
      </c>
      <c r="E174" s="214"/>
      <c r="F174" s="269"/>
      <c r="G174" s="269"/>
      <c r="H174" s="215"/>
      <c r="I174" s="169"/>
      <c r="J174" s="162"/>
      <c r="K174" s="198">
        <f>2*3</f>
        <v>6</v>
      </c>
      <c r="L174" s="222">
        <v>800000</v>
      </c>
      <c r="M174" s="222"/>
      <c r="N174" s="264"/>
      <c r="O174" s="176">
        <f t="shared" si="55"/>
        <v>800000</v>
      </c>
      <c r="P174" s="177">
        <f t="shared" si="49"/>
        <v>4800000</v>
      </c>
      <c r="Q174" s="218">
        <f t="shared" si="56"/>
        <v>4800000</v>
      </c>
    </row>
    <row r="175" spans="1:17" x14ac:dyDescent="0.25">
      <c r="A175" s="170"/>
      <c r="B175" s="217" t="s">
        <v>461</v>
      </c>
      <c r="C175" s="219"/>
      <c r="D175" s="213" t="s">
        <v>301</v>
      </c>
      <c r="E175" s="214"/>
      <c r="F175" s="168"/>
      <c r="G175" s="168">
        <v>75000</v>
      </c>
      <c r="H175" s="168">
        <v>10000</v>
      </c>
      <c r="I175" s="169"/>
      <c r="J175" s="162"/>
      <c r="K175" s="198">
        <f>(0.2*0.2*60)</f>
        <v>2.4000000000000004</v>
      </c>
      <c r="L175" s="175">
        <f>20000*25</f>
        <v>500000</v>
      </c>
      <c r="M175" s="175">
        <v>150000</v>
      </c>
      <c r="N175" s="175">
        <v>10000</v>
      </c>
      <c r="O175" s="176">
        <f>N175+M175+L175</f>
        <v>660000</v>
      </c>
      <c r="P175" s="177">
        <f t="shared" si="49"/>
        <v>1584000.0000000002</v>
      </c>
      <c r="Q175" s="218">
        <f t="shared" si="56"/>
        <v>1584000.0000000002</v>
      </c>
    </row>
    <row r="176" spans="1:17" x14ac:dyDescent="0.25">
      <c r="A176" s="170"/>
      <c r="B176" s="217" t="s">
        <v>462</v>
      </c>
      <c r="C176" s="219"/>
      <c r="D176" s="213" t="s">
        <v>301</v>
      </c>
      <c r="E176" s="214"/>
      <c r="F176" s="168"/>
      <c r="G176" s="168">
        <v>75000</v>
      </c>
      <c r="H176" s="168">
        <v>10000</v>
      </c>
      <c r="I176" s="169"/>
      <c r="J176" s="162"/>
      <c r="K176" s="198">
        <f>(5.4*3)+(2*6)</f>
        <v>28.200000000000003</v>
      </c>
      <c r="L176" s="175">
        <v>75000</v>
      </c>
      <c r="M176" s="175">
        <v>25000</v>
      </c>
      <c r="N176" s="175"/>
      <c r="O176" s="176">
        <f>N176+M176+L176</f>
        <v>100000</v>
      </c>
      <c r="P176" s="177">
        <f t="shared" si="49"/>
        <v>2820000.0000000005</v>
      </c>
      <c r="Q176" s="218">
        <f t="shared" si="56"/>
        <v>2820000.0000000005</v>
      </c>
    </row>
    <row r="177" spans="1:17" x14ac:dyDescent="0.25">
      <c r="A177" s="288"/>
      <c r="B177" s="289"/>
      <c r="C177" s="184"/>
      <c r="D177" s="185"/>
      <c r="E177" s="192"/>
      <c r="F177" s="159"/>
      <c r="G177" s="159"/>
      <c r="H177" s="159"/>
      <c r="I177" s="188" t="s">
        <v>463</v>
      </c>
      <c r="J177" s="273">
        <f>SUM(J106:J173)</f>
        <v>189232230</v>
      </c>
      <c r="K177" s="192"/>
      <c r="L177" s="159"/>
      <c r="M177" s="159"/>
      <c r="N177" s="159"/>
      <c r="O177" s="188" t="s">
        <v>463</v>
      </c>
      <c r="P177" s="273">
        <f>SUM(P106:P174)</f>
        <v>211532230</v>
      </c>
      <c r="Q177" s="218"/>
    </row>
    <row r="178" spans="1:17" ht="30" x14ac:dyDescent="0.25">
      <c r="A178" s="190" t="s">
        <v>222</v>
      </c>
      <c r="B178" s="289" t="s">
        <v>464</v>
      </c>
      <c r="C178" s="191" t="s">
        <v>465</v>
      </c>
      <c r="D178" s="185" t="s">
        <v>290</v>
      </c>
      <c r="E178" s="192" t="s">
        <v>282</v>
      </c>
      <c r="F178" s="193"/>
      <c r="G178" s="193"/>
      <c r="H178" s="193"/>
      <c r="I178" s="193"/>
      <c r="J178" s="161"/>
      <c r="K178" s="192" t="s">
        <v>282</v>
      </c>
      <c r="L178" s="193"/>
      <c r="M178" s="193"/>
      <c r="N178" s="193"/>
      <c r="O178" s="193"/>
      <c r="P178" s="161"/>
      <c r="Q178" s="162">
        <f t="shared" si="56"/>
        <v>0</v>
      </c>
    </row>
    <row r="179" spans="1:17" x14ac:dyDescent="0.25">
      <c r="A179" s="170">
        <v>1</v>
      </c>
      <c r="B179" s="217" t="s">
        <v>466</v>
      </c>
      <c r="C179" s="220" t="s">
        <v>467</v>
      </c>
      <c r="D179" s="197" t="s">
        <v>301</v>
      </c>
      <c r="E179" s="221">
        <f>10*7*3*2</f>
        <v>420</v>
      </c>
      <c r="F179" s="222">
        <v>40000</v>
      </c>
      <c r="G179" s="222">
        <v>5000</v>
      </c>
      <c r="H179" s="222">
        <v>2500</v>
      </c>
      <c r="I179" s="223">
        <f>H179+G179+F179</f>
        <v>47500</v>
      </c>
      <c r="J179" s="224">
        <f t="shared" ref="J179:J183" si="57">I179*E179</f>
        <v>19950000</v>
      </c>
      <c r="K179" s="221">
        <f>10*7*3*2</f>
        <v>420</v>
      </c>
      <c r="L179" s="222">
        <v>20000</v>
      </c>
      <c r="M179" s="222">
        <v>5000</v>
      </c>
      <c r="N179" s="222">
        <v>2500</v>
      </c>
      <c r="O179" s="223">
        <f>N179+M179+L179</f>
        <v>27500</v>
      </c>
      <c r="P179" s="224">
        <f t="shared" ref="P179:P183" si="58">O179*K179</f>
        <v>11550000</v>
      </c>
      <c r="Q179" s="178">
        <f t="shared" si="56"/>
        <v>-8400000</v>
      </c>
    </row>
    <row r="180" spans="1:17" x14ac:dyDescent="0.25">
      <c r="A180" s="170">
        <v>2</v>
      </c>
      <c r="B180" s="217" t="s">
        <v>319</v>
      </c>
      <c r="C180" s="220" t="s">
        <v>468</v>
      </c>
      <c r="D180" s="197" t="s">
        <v>301</v>
      </c>
      <c r="E180" s="221">
        <f>8*8*2</f>
        <v>128</v>
      </c>
      <c r="F180" s="222">
        <v>50000</v>
      </c>
      <c r="G180" s="222">
        <v>5000</v>
      </c>
      <c r="H180" s="222">
        <v>2500</v>
      </c>
      <c r="I180" s="223">
        <f>H180+G180+F180</f>
        <v>57500</v>
      </c>
      <c r="J180" s="224">
        <f t="shared" si="57"/>
        <v>7360000</v>
      </c>
      <c r="K180" s="221">
        <f>8*8*2</f>
        <v>128</v>
      </c>
      <c r="L180" s="222">
        <v>25000</v>
      </c>
      <c r="M180" s="222">
        <v>5000</v>
      </c>
      <c r="N180" s="222">
        <v>2500</v>
      </c>
      <c r="O180" s="223">
        <f>N180+M180+L180</f>
        <v>32500</v>
      </c>
      <c r="P180" s="224">
        <f t="shared" si="58"/>
        <v>4160000</v>
      </c>
      <c r="Q180" s="178">
        <f t="shared" si="56"/>
        <v>-3200000</v>
      </c>
    </row>
    <row r="181" spans="1:17" x14ac:dyDescent="0.25">
      <c r="A181" s="170">
        <v>3</v>
      </c>
      <c r="B181" s="217" t="s">
        <v>469</v>
      </c>
      <c r="C181" s="220" t="s">
        <v>467</v>
      </c>
      <c r="D181" s="197" t="s">
        <v>301</v>
      </c>
      <c r="E181" s="221">
        <f>8*12*2</f>
        <v>192</v>
      </c>
      <c r="F181" s="222">
        <v>40000</v>
      </c>
      <c r="G181" s="222">
        <v>5000</v>
      </c>
      <c r="H181" s="222">
        <v>2500</v>
      </c>
      <c r="I181" s="223">
        <f>H181+G181+F181</f>
        <v>47500</v>
      </c>
      <c r="J181" s="224">
        <f t="shared" si="57"/>
        <v>9120000</v>
      </c>
      <c r="K181" s="221">
        <f>8*12*2</f>
        <v>192</v>
      </c>
      <c r="L181" s="222">
        <v>20000</v>
      </c>
      <c r="M181" s="222">
        <v>5000</v>
      </c>
      <c r="N181" s="222">
        <v>2500</v>
      </c>
      <c r="O181" s="223">
        <f>N181+M181+L181</f>
        <v>27500</v>
      </c>
      <c r="P181" s="224">
        <f t="shared" si="58"/>
        <v>5280000</v>
      </c>
      <c r="Q181" s="178">
        <f t="shared" si="56"/>
        <v>-3840000</v>
      </c>
    </row>
    <row r="182" spans="1:17" x14ac:dyDescent="0.25">
      <c r="A182" s="170">
        <v>4</v>
      </c>
      <c r="B182" s="217" t="s">
        <v>470</v>
      </c>
      <c r="C182" s="220" t="s">
        <v>467</v>
      </c>
      <c r="D182" s="197" t="s">
        <v>301</v>
      </c>
      <c r="E182" s="221">
        <f>10*4</f>
        <v>40</v>
      </c>
      <c r="F182" s="222">
        <v>40000</v>
      </c>
      <c r="G182" s="222">
        <v>5000</v>
      </c>
      <c r="H182" s="222">
        <v>2500</v>
      </c>
      <c r="I182" s="223">
        <f>H182+G182+F182</f>
        <v>47500</v>
      </c>
      <c r="J182" s="224">
        <f t="shared" si="57"/>
        <v>1900000</v>
      </c>
      <c r="K182" s="221">
        <f>10*4</f>
        <v>40</v>
      </c>
      <c r="L182" s="222">
        <v>20000</v>
      </c>
      <c r="M182" s="222">
        <v>5000</v>
      </c>
      <c r="N182" s="222">
        <v>2500</v>
      </c>
      <c r="O182" s="223">
        <f>N182+M182+L182</f>
        <v>27500</v>
      </c>
      <c r="P182" s="224">
        <f t="shared" si="58"/>
        <v>1100000</v>
      </c>
      <c r="Q182" s="178">
        <f t="shared" si="56"/>
        <v>-800000</v>
      </c>
    </row>
    <row r="183" spans="1:17" x14ac:dyDescent="0.25">
      <c r="A183" s="170">
        <v>5</v>
      </c>
      <c r="B183" s="217" t="s">
        <v>471</v>
      </c>
      <c r="C183" s="220" t="s">
        <v>468</v>
      </c>
      <c r="D183" s="197" t="s">
        <v>178</v>
      </c>
      <c r="E183" s="221">
        <v>26.2</v>
      </c>
      <c r="F183" s="222">
        <v>25000</v>
      </c>
      <c r="G183" s="222">
        <v>500</v>
      </c>
      <c r="H183" s="222">
        <v>2500</v>
      </c>
      <c r="I183" s="223">
        <f>H183+G183+F183</f>
        <v>28000</v>
      </c>
      <c r="J183" s="224">
        <f t="shared" si="57"/>
        <v>733600</v>
      </c>
      <c r="K183" s="221">
        <v>26.2</v>
      </c>
      <c r="L183" s="222">
        <v>15000</v>
      </c>
      <c r="M183" s="222">
        <v>500</v>
      </c>
      <c r="N183" s="222">
        <v>2500</v>
      </c>
      <c r="O183" s="223">
        <f>N183+M183+L183</f>
        <v>18000</v>
      </c>
      <c r="P183" s="224">
        <f t="shared" si="58"/>
        <v>471600</v>
      </c>
      <c r="Q183" s="178">
        <f t="shared" si="56"/>
        <v>-262000</v>
      </c>
    </row>
    <row r="184" spans="1:17" ht="15.75" thickBot="1" x14ac:dyDescent="0.3">
      <c r="A184" s="290"/>
      <c r="B184" s="274"/>
      <c r="C184" s="291"/>
      <c r="D184" s="292"/>
      <c r="E184" s="293"/>
      <c r="F184" s="294"/>
      <c r="G184" s="295"/>
      <c r="H184" s="295"/>
      <c r="I184" s="296" t="s">
        <v>472</v>
      </c>
      <c r="J184" s="297">
        <f>SUM(J179:J183)</f>
        <v>39063600</v>
      </c>
      <c r="K184" s="293"/>
      <c r="L184" s="294"/>
      <c r="M184" s="295"/>
      <c r="N184" s="295"/>
      <c r="O184" s="296" t="s">
        <v>472</v>
      </c>
      <c r="P184" s="297">
        <f>SUM(P179:P183)</f>
        <v>22561600</v>
      </c>
      <c r="Q184" s="162"/>
    </row>
    <row r="185" spans="1:17" ht="15.75" thickBot="1" x14ac:dyDescent="0.3">
      <c r="A185" s="298"/>
      <c r="B185" s="299"/>
      <c r="C185" s="299"/>
      <c r="D185" s="299"/>
      <c r="E185" s="299"/>
      <c r="F185" s="299"/>
      <c r="G185" s="299"/>
      <c r="H185" s="299"/>
      <c r="I185" s="299"/>
      <c r="J185" s="300" t="e">
        <f>#REF!</f>
        <v>#REF!</v>
      </c>
      <c r="K185" s="299"/>
      <c r="L185" s="299"/>
      <c r="M185" s="299"/>
      <c r="N185" s="299"/>
      <c r="O185" s="299"/>
      <c r="P185" s="300"/>
      <c r="Q185" s="300"/>
    </row>
    <row r="188" spans="1:17" ht="15.75" thickBot="1" x14ac:dyDescent="0.3"/>
    <row r="189" spans="1:17" ht="18" customHeight="1" x14ac:dyDescent="0.25">
      <c r="A189" s="930" t="s">
        <v>276</v>
      </c>
      <c r="B189" s="926" t="s">
        <v>277</v>
      </c>
      <c r="C189" s="926" t="s">
        <v>278</v>
      </c>
      <c r="D189" s="926" t="s">
        <v>279</v>
      </c>
      <c r="E189" s="930" t="s">
        <v>280</v>
      </c>
      <c r="F189" s="146" t="s">
        <v>281</v>
      </c>
      <c r="G189" s="146" t="s">
        <v>282</v>
      </c>
      <c r="H189" s="146" t="s">
        <v>282</v>
      </c>
      <c r="I189" s="926" t="s">
        <v>283</v>
      </c>
      <c r="J189" s="928" t="s">
        <v>284</v>
      </c>
      <c r="K189" s="930" t="s">
        <v>280</v>
      </c>
      <c r="L189" s="146" t="s">
        <v>281</v>
      </c>
      <c r="M189" s="146" t="s">
        <v>282</v>
      </c>
      <c r="N189" s="146" t="s">
        <v>282</v>
      </c>
      <c r="O189" s="926" t="s">
        <v>283</v>
      </c>
      <c r="P189" s="928" t="s">
        <v>284</v>
      </c>
      <c r="Q189" s="928" t="s">
        <v>284</v>
      </c>
    </row>
    <row r="190" spans="1:17" ht="19.5" thickBot="1" x14ac:dyDescent="0.3">
      <c r="A190" s="931"/>
      <c r="B190" s="927"/>
      <c r="C190" s="927"/>
      <c r="D190" s="927"/>
      <c r="E190" s="931"/>
      <c r="F190" s="147" t="s">
        <v>285</v>
      </c>
      <c r="G190" s="147" t="s">
        <v>286</v>
      </c>
      <c r="H190" s="147" t="s">
        <v>287</v>
      </c>
      <c r="I190" s="927"/>
      <c r="J190" s="929"/>
      <c r="K190" s="931"/>
      <c r="L190" s="147" t="s">
        <v>285</v>
      </c>
      <c r="M190" s="147" t="s">
        <v>286</v>
      </c>
      <c r="N190" s="147" t="s">
        <v>287</v>
      </c>
      <c r="O190" s="927"/>
      <c r="P190" s="929"/>
      <c r="Q190" s="929"/>
    </row>
    <row r="192" spans="1:17" x14ac:dyDescent="0.25">
      <c r="A192" s="301"/>
      <c r="B192" s="301"/>
      <c r="C192" s="301"/>
      <c r="D192" s="301"/>
      <c r="E192" s="301"/>
      <c r="F192" s="301"/>
      <c r="G192" s="301"/>
      <c r="H192" s="301"/>
      <c r="I192" s="301"/>
      <c r="J192" s="301"/>
      <c r="K192" s="301"/>
      <c r="L192" s="301"/>
      <c r="M192" s="301"/>
      <c r="N192" s="301"/>
      <c r="O192" s="301"/>
      <c r="P192" s="301"/>
      <c r="Q192" s="302"/>
    </row>
    <row r="193" spans="1:18" x14ac:dyDescent="0.25">
      <c r="A193" s="286">
        <v>3</v>
      </c>
      <c r="B193" s="171" t="s">
        <v>292</v>
      </c>
      <c r="C193" s="303" t="s">
        <v>31</v>
      </c>
      <c r="D193" s="304" t="s">
        <v>29</v>
      </c>
      <c r="E193" s="305">
        <v>1</v>
      </c>
      <c r="F193" s="306"/>
      <c r="G193" s="306"/>
      <c r="H193" s="306">
        <v>2000000</v>
      </c>
      <c r="I193" s="307">
        <f t="shared" ref="I193" si="59">H193+G193+F193</f>
        <v>2000000</v>
      </c>
      <c r="J193" s="308">
        <f t="shared" ref="J193" si="60">I193*E193</f>
        <v>2000000</v>
      </c>
      <c r="K193" s="305">
        <v>1</v>
      </c>
      <c r="L193" s="306"/>
      <c r="M193" s="306"/>
      <c r="N193" s="306">
        <v>500000</v>
      </c>
      <c r="O193" s="307">
        <f t="shared" ref="O193" si="61">N193+M193+L193</f>
        <v>500000</v>
      </c>
      <c r="P193" s="308">
        <f t="shared" ref="P193" si="62">O193*K193</f>
        <v>500000</v>
      </c>
      <c r="Q193" s="309">
        <f t="shared" ref="Q193" si="63">P193-J193</f>
        <v>-1500000</v>
      </c>
      <c r="R193" t="s">
        <v>293</v>
      </c>
    </row>
    <row r="194" spans="1:18" x14ac:dyDescent="0.25">
      <c r="Q194" s="4"/>
    </row>
    <row r="195" spans="1:18" x14ac:dyDescent="0.25">
      <c r="A195" s="194" t="s">
        <v>297</v>
      </c>
      <c r="B195" s="191" t="s">
        <v>298</v>
      </c>
      <c r="C195" s="191"/>
      <c r="D195" s="185"/>
      <c r="E195" s="192"/>
      <c r="F195" s="193"/>
      <c r="G195" s="193"/>
      <c r="H195" s="193"/>
      <c r="I195" s="193"/>
      <c r="J195" s="161"/>
      <c r="K195" s="192"/>
      <c r="L195" s="193"/>
      <c r="M195" s="193"/>
      <c r="N195" s="193"/>
      <c r="O195" s="193"/>
      <c r="P195" s="161"/>
      <c r="Q195" s="162"/>
    </row>
    <row r="196" spans="1:18" x14ac:dyDescent="0.25">
      <c r="A196" s="154">
        <v>1</v>
      </c>
      <c r="B196" s="184" t="s">
        <v>299</v>
      </c>
      <c r="C196" s="184" t="s">
        <v>300</v>
      </c>
      <c r="D196" s="185" t="s">
        <v>301</v>
      </c>
      <c r="E196" s="192">
        <f>5*8</f>
        <v>40</v>
      </c>
      <c r="F196" s="159"/>
      <c r="G196" s="159">
        <v>40000</v>
      </c>
      <c r="H196" s="159">
        <v>10000</v>
      </c>
      <c r="I196" s="160">
        <f>H196+G196+F196</f>
        <v>50000</v>
      </c>
      <c r="J196" s="161">
        <f t="shared" ref="J196:J199" si="64">I196*E196</f>
        <v>2000000</v>
      </c>
      <c r="K196" s="192">
        <f>5*8</f>
        <v>40</v>
      </c>
      <c r="L196" s="159"/>
      <c r="M196" s="159">
        <v>40000</v>
      </c>
      <c r="N196" s="159">
        <v>10000</v>
      </c>
      <c r="O196" s="160">
        <f>N196+M196+L196</f>
        <v>50000</v>
      </c>
      <c r="P196" s="161">
        <f t="shared" ref="P196:P202" si="65">O196*K196</f>
        <v>2000000</v>
      </c>
      <c r="Q196" s="162">
        <f t="shared" ref="Q196:Q202" si="66">P196-J196</f>
        <v>0</v>
      </c>
    </row>
    <row r="197" spans="1:18" x14ac:dyDescent="0.25">
      <c r="A197" s="154">
        <v>2</v>
      </c>
      <c r="B197" s="184" t="s">
        <v>302</v>
      </c>
      <c r="C197" s="184" t="s">
        <v>303</v>
      </c>
      <c r="D197" s="185" t="s">
        <v>178</v>
      </c>
      <c r="E197" s="192">
        <f>(8+10)</f>
        <v>18</v>
      </c>
      <c r="F197" s="159">
        <v>200000</v>
      </c>
      <c r="G197" s="159">
        <v>100000</v>
      </c>
      <c r="H197" s="195"/>
      <c r="I197" s="160">
        <f>H197+G197+F197</f>
        <v>300000</v>
      </c>
      <c r="J197" s="161">
        <f t="shared" si="64"/>
        <v>5400000</v>
      </c>
      <c r="K197" s="192">
        <f>(8+10)</f>
        <v>18</v>
      </c>
      <c r="L197" s="159">
        <v>200000</v>
      </c>
      <c r="M197" s="159">
        <v>100000</v>
      </c>
      <c r="N197" s="195"/>
      <c r="O197" s="160">
        <f>N197+M197+L197</f>
        <v>300000</v>
      </c>
      <c r="P197" s="161">
        <f t="shared" si="65"/>
        <v>5400000</v>
      </c>
      <c r="Q197" s="162">
        <f t="shared" si="66"/>
        <v>0</v>
      </c>
    </row>
    <row r="198" spans="1:18" x14ac:dyDescent="0.25">
      <c r="A198" s="154">
        <v>3</v>
      </c>
      <c r="B198" s="184" t="s">
        <v>304</v>
      </c>
      <c r="C198" s="184" t="s">
        <v>305</v>
      </c>
      <c r="D198" s="185" t="s">
        <v>178</v>
      </c>
      <c r="E198" s="192">
        <v>14</v>
      </c>
      <c r="F198" s="159">
        <v>200000</v>
      </c>
      <c r="G198" s="159">
        <v>100000</v>
      </c>
      <c r="H198" s="195"/>
      <c r="I198" s="160">
        <f>H198+G198+F198</f>
        <v>300000</v>
      </c>
      <c r="J198" s="161">
        <f t="shared" si="64"/>
        <v>4200000</v>
      </c>
      <c r="K198" s="192">
        <v>14</v>
      </c>
      <c r="L198" s="159">
        <v>200000</v>
      </c>
      <c r="M198" s="159">
        <v>100000</v>
      </c>
      <c r="N198" s="195"/>
      <c r="O198" s="160">
        <f>N198+M198+L198</f>
        <v>300000</v>
      </c>
      <c r="P198" s="161">
        <f t="shared" si="65"/>
        <v>4200000</v>
      </c>
      <c r="Q198" s="162">
        <f t="shared" si="66"/>
        <v>0</v>
      </c>
    </row>
    <row r="199" spans="1:18" x14ac:dyDescent="0.25">
      <c r="A199" s="154">
        <v>4</v>
      </c>
      <c r="B199" s="184" t="s">
        <v>306</v>
      </c>
      <c r="C199" s="184" t="s">
        <v>307</v>
      </c>
      <c r="D199" s="185" t="s">
        <v>301</v>
      </c>
      <c r="E199" s="192">
        <f>E196</f>
        <v>40</v>
      </c>
      <c r="F199" s="159">
        <v>300000</v>
      </c>
      <c r="G199" s="159">
        <v>100000</v>
      </c>
      <c r="H199" s="195"/>
      <c r="I199" s="160">
        <f>H199+G199+F199</f>
        <v>400000</v>
      </c>
      <c r="J199" s="161">
        <f t="shared" si="64"/>
        <v>16000000</v>
      </c>
      <c r="K199" s="192">
        <f>K196</f>
        <v>40</v>
      </c>
      <c r="L199" s="159">
        <v>300000</v>
      </c>
      <c r="M199" s="159">
        <v>100000</v>
      </c>
      <c r="N199" s="195"/>
      <c r="O199" s="160">
        <f>N199+M199+L199</f>
        <v>400000</v>
      </c>
      <c r="P199" s="161">
        <f t="shared" si="65"/>
        <v>16000000</v>
      </c>
      <c r="Q199" s="162">
        <f t="shared" si="66"/>
        <v>0</v>
      </c>
    </row>
    <row r="200" spans="1:18" x14ac:dyDescent="0.25">
      <c r="A200" s="170"/>
      <c r="B200" s="196" t="s">
        <v>308</v>
      </c>
      <c r="C200" s="196" t="s">
        <v>309</v>
      </c>
      <c r="D200" s="197" t="s">
        <v>301</v>
      </c>
      <c r="E200" s="214"/>
      <c r="F200" s="168"/>
      <c r="G200" s="168">
        <v>40000</v>
      </c>
      <c r="H200" s="168">
        <v>10000</v>
      </c>
      <c r="I200" s="169"/>
      <c r="J200" s="162"/>
      <c r="K200" s="198">
        <f>5*8</f>
        <v>40</v>
      </c>
      <c r="L200" s="175">
        <v>25000</v>
      </c>
      <c r="M200" s="175">
        <v>200000</v>
      </c>
      <c r="N200" s="175">
        <v>10000</v>
      </c>
      <c r="O200" s="176">
        <f>N200+M200+L200</f>
        <v>235000</v>
      </c>
      <c r="P200" s="177">
        <f t="shared" si="65"/>
        <v>9400000</v>
      </c>
      <c r="Q200" s="218">
        <f t="shared" si="66"/>
        <v>9400000</v>
      </c>
    </row>
    <row r="201" spans="1:18" x14ac:dyDescent="0.25">
      <c r="A201" s="154"/>
      <c r="B201" s="200" t="s">
        <v>310</v>
      </c>
      <c r="C201" s="200" t="s">
        <v>311</v>
      </c>
      <c r="D201" s="201" t="s">
        <v>218</v>
      </c>
      <c r="E201" s="310"/>
      <c r="F201" s="310"/>
      <c r="G201" s="310"/>
      <c r="H201" s="310"/>
      <c r="I201" s="310"/>
      <c r="J201" s="310"/>
      <c r="K201" s="203">
        <v>4</v>
      </c>
      <c r="L201" s="204">
        <v>400000</v>
      </c>
      <c r="M201" s="202"/>
      <c r="N201" s="202"/>
      <c r="O201" s="205">
        <f t="shared" ref="O201:O202" si="67">N201+M201+L201</f>
        <v>400000</v>
      </c>
      <c r="P201" s="177">
        <f t="shared" si="65"/>
        <v>1600000</v>
      </c>
      <c r="Q201" s="218">
        <f t="shared" si="66"/>
        <v>1600000</v>
      </c>
    </row>
    <row r="202" spans="1:18" x14ac:dyDescent="0.25">
      <c r="A202" s="154"/>
      <c r="B202" s="202"/>
      <c r="C202" s="200" t="s">
        <v>312</v>
      </c>
      <c r="D202" s="206" t="s">
        <v>218</v>
      </c>
      <c r="E202" s="310"/>
      <c r="F202" s="310"/>
      <c r="G202" s="310"/>
      <c r="H202" s="310"/>
      <c r="I202" s="310"/>
      <c r="J202" s="310"/>
      <c r="K202" s="203">
        <v>2</v>
      </c>
      <c r="L202" s="207">
        <v>1250000</v>
      </c>
      <c r="M202" s="202"/>
      <c r="N202" s="202"/>
      <c r="O202" s="208">
        <f t="shared" si="67"/>
        <v>1250000</v>
      </c>
      <c r="P202" s="209">
        <f t="shared" si="65"/>
        <v>2500000</v>
      </c>
      <c r="Q202" s="311">
        <f t="shared" si="66"/>
        <v>2500000</v>
      </c>
    </row>
    <row r="203" spans="1:18" x14ac:dyDescent="0.25">
      <c r="Q203" s="4"/>
    </row>
    <row r="204" spans="1:18" x14ac:dyDescent="0.25">
      <c r="A204" s="170">
        <v>1</v>
      </c>
      <c r="B204" s="217" t="s">
        <v>314</v>
      </c>
      <c r="C204" s="217" t="s">
        <v>315</v>
      </c>
      <c r="D204" s="213" t="s">
        <v>301</v>
      </c>
      <c r="E204" s="214"/>
      <c r="F204" s="168"/>
      <c r="G204" s="168"/>
      <c r="H204" s="215"/>
      <c r="I204" s="169"/>
      <c r="J204" s="162"/>
      <c r="K204" s="198">
        <f>(5.5*3.78)+(1.1*3.77)</f>
        <v>24.936999999999998</v>
      </c>
      <c r="L204" s="175">
        <v>90000</v>
      </c>
      <c r="M204" s="175">
        <v>45000</v>
      </c>
      <c r="N204" s="175">
        <v>10000</v>
      </c>
      <c r="O204" s="176">
        <f t="shared" ref="O204:O205" si="68">N204+M204+L204</f>
        <v>145000</v>
      </c>
      <c r="P204" s="177">
        <f t="shared" ref="P204:P206" si="69">O204*K204</f>
        <v>3615864.9999999995</v>
      </c>
      <c r="Q204" s="218">
        <f t="shared" ref="Q204:Q206" si="70">P204-J204</f>
        <v>3615864.9999999995</v>
      </c>
      <c r="R204" t="s">
        <v>316</v>
      </c>
    </row>
    <row r="205" spans="1:18" x14ac:dyDescent="0.25">
      <c r="A205" s="170">
        <v>2</v>
      </c>
      <c r="B205" s="217" t="s">
        <v>317</v>
      </c>
      <c r="C205" s="219" t="s">
        <v>318</v>
      </c>
      <c r="D205" s="213" t="s">
        <v>301</v>
      </c>
      <c r="E205" s="214"/>
      <c r="F205" s="168"/>
      <c r="G205" s="168"/>
      <c r="H205" s="215"/>
      <c r="I205" s="169"/>
      <c r="J205" s="162"/>
      <c r="K205" s="198">
        <f>K204*2</f>
        <v>49.873999999999995</v>
      </c>
      <c r="L205" s="175">
        <v>75000</v>
      </c>
      <c r="M205" s="175">
        <v>20000</v>
      </c>
      <c r="N205" s="175">
        <v>10000</v>
      </c>
      <c r="O205" s="176">
        <f t="shared" si="68"/>
        <v>105000</v>
      </c>
      <c r="P205" s="177">
        <f t="shared" si="69"/>
        <v>5236769.9999999991</v>
      </c>
      <c r="Q205" s="218">
        <f t="shared" si="70"/>
        <v>5236769.9999999991</v>
      </c>
      <c r="R205" t="s">
        <v>316</v>
      </c>
    </row>
    <row r="206" spans="1:18" x14ac:dyDescent="0.25">
      <c r="A206" s="170">
        <v>3</v>
      </c>
      <c r="B206" s="217" t="s">
        <v>319</v>
      </c>
      <c r="C206" s="220" t="s">
        <v>320</v>
      </c>
      <c r="D206" s="213" t="s">
        <v>301</v>
      </c>
      <c r="E206" s="214"/>
      <c r="F206" s="168"/>
      <c r="G206" s="168"/>
      <c r="H206" s="215"/>
      <c r="I206" s="169"/>
      <c r="J206" s="162"/>
      <c r="K206" s="221">
        <f>K205</f>
        <v>49.873999999999995</v>
      </c>
      <c r="L206" s="222">
        <v>25000</v>
      </c>
      <c r="M206" s="222">
        <v>5000</v>
      </c>
      <c r="N206" s="222">
        <v>2500</v>
      </c>
      <c r="O206" s="223">
        <f>N206+M206+L206</f>
        <v>32500</v>
      </c>
      <c r="P206" s="224">
        <f t="shared" si="69"/>
        <v>1620904.9999999998</v>
      </c>
      <c r="Q206" s="218">
        <f t="shared" si="70"/>
        <v>1620904.9999999998</v>
      </c>
      <c r="R206" t="s">
        <v>316</v>
      </c>
    </row>
    <row r="207" spans="1:18" x14ac:dyDescent="0.25">
      <c r="Q207" s="4"/>
    </row>
    <row r="208" spans="1:18" ht="30" x14ac:dyDescent="0.25">
      <c r="A208" s="170">
        <v>4</v>
      </c>
      <c r="B208" s="217" t="s">
        <v>321</v>
      </c>
      <c r="C208" s="312" t="s">
        <v>322</v>
      </c>
      <c r="D208" s="213" t="s">
        <v>301</v>
      </c>
      <c r="E208" s="313"/>
      <c r="F208" s="314"/>
      <c r="G208" s="314"/>
      <c r="H208" s="314"/>
      <c r="I208" s="315"/>
      <c r="J208" s="316"/>
      <c r="K208" s="317">
        <f>1*5</f>
        <v>5</v>
      </c>
      <c r="L208" s="233"/>
      <c r="M208" s="318">
        <v>100000</v>
      </c>
      <c r="N208" s="318">
        <v>70000</v>
      </c>
      <c r="O208" s="319">
        <f t="shared" ref="O208:O210" si="71">N208+M208+L208</f>
        <v>170000</v>
      </c>
      <c r="P208" s="320">
        <f t="shared" ref="P208:P213" si="72">O208*K208</f>
        <v>850000</v>
      </c>
      <c r="Q208" s="218">
        <f t="shared" ref="Q208:Q213" si="73">P208-J208</f>
        <v>850000</v>
      </c>
      <c r="R208" t="s">
        <v>316</v>
      </c>
    </row>
    <row r="209" spans="1:18" ht="30" x14ac:dyDescent="0.25">
      <c r="A209" s="170">
        <v>5</v>
      </c>
      <c r="B209" s="217" t="s">
        <v>323</v>
      </c>
      <c r="C209" s="312" t="s">
        <v>322</v>
      </c>
      <c r="D209" s="213" t="s">
        <v>301</v>
      </c>
      <c r="E209" s="313"/>
      <c r="F209" s="314"/>
      <c r="G209" s="314"/>
      <c r="H209" s="314"/>
      <c r="I209" s="315"/>
      <c r="J209" s="316"/>
      <c r="K209" s="317">
        <f>5*8</f>
        <v>40</v>
      </c>
      <c r="L209" s="233"/>
      <c r="M209" s="318">
        <v>100000</v>
      </c>
      <c r="N209" s="318">
        <v>70000</v>
      </c>
      <c r="O209" s="319">
        <f t="shared" si="71"/>
        <v>170000</v>
      </c>
      <c r="P209" s="320">
        <f t="shared" si="72"/>
        <v>6800000</v>
      </c>
      <c r="Q209" s="218">
        <f t="shared" si="73"/>
        <v>6800000</v>
      </c>
      <c r="R209" t="s">
        <v>316</v>
      </c>
    </row>
    <row r="210" spans="1:18" ht="30" x14ac:dyDescent="0.25">
      <c r="A210" s="170">
        <v>6</v>
      </c>
      <c r="B210" s="217" t="s">
        <v>324</v>
      </c>
      <c r="C210" s="312" t="s">
        <v>322</v>
      </c>
      <c r="D210" s="213" t="s">
        <v>301</v>
      </c>
      <c r="E210" s="313"/>
      <c r="F210" s="314"/>
      <c r="G210" s="314"/>
      <c r="H210" s="314"/>
      <c r="I210" s="315"/>
      <c r="J210" s="316"/>
      <c r="K210" s="317">
        <f>8*1.5</f>
        <v>12</v>
      </c>
      <c r="L210" s="233"/>
      <c r="M210" s="318">
        <v>100000</v>
      </c>
      <c r="N210" s="318">
        <v>70000</v>
      </c>
      <c r="O210" s="319">
        <f t="shared" si="71"/>
        <v>170000</v>
      </c>
      <c r="P210" s="320">
        <f t="shared" si="72"/>
        <v>2040000</v>
      </c>
      <c r="Q210" s="218">
        <f t="shared" si="73"/>
        <v>2040000</v>
      </c>
      <c r="R210" t="s">
        <v>316</v>
      </c>
    </row>
    <row r="211" spans="1:18" x14ac:dyDescent="0.25">
      <c r="A211" s="170">
        <v>7</v>
      </c>
      <c r="B211" s="217" t="s">
        <v>325</v>
      </c>
      <c r="C211" s="312"/>
      <c r="D211" s="197" t="s">
        <v>326</v>
      </c>
      <c r="E211" s="313"/>
      <c r="F211" s="314"/>
      <c r="G211" s="314"/>
      <c r="H211" s="314"/>
      <c r="I211" s="321"/>
      <c r="J211" s="316"/>
      <c r="K211" s="317"/>
      <c r="L211" s="175">
        <v>225000</v>
      </c>
      <c r="M211" s="175">
        <v>100000</v>
      </c>
      <c r="N211" s="175">
        <v>5000</v>
      </c>
      <c r="O211" s="176">
        <f>N211+M211+L211</f>
        <v>330000</v>
      </c>
      <c r="P211" s="177">
        <f t="shared" si="72"/>
        <v>0</v>
      </c>
      <c r="Q211" s="162">
        <f t="shared" si="73"/>
        <v>0</v>
      </c>
    </row>
    <row r="212" spans="1:18" ht="30" x14ac:dyDescent="0.25">
      <c r="A212" s="322"/>
      <c r="B212" s="217" t="s">
        <v>367</v>
      </c>
      <c r="C212" s="312" t="s">
        <v>322</v>
      </c>
      <c r="D212" s="213" t="s">
        <v>301</v>
      </c>
      <c r="E212" s="313"/>
      <c r="F212" s="314"/>
      <c r="G212" s="314"/>
      <c r="H212" s="314"/>
      <c r="I212" s="315"/>
      <c r="J212" s="316"/>
      <c r="K212" s="317">
        <f>2.75*4</f>
        <v>11</v>
      </c>
      <c r="L212" s="233"/>
      <c r="M212" s="318">
        <v>100000</v>
      </c>
      <c r="N212" s="318">
        <v>70000</v>
      </c>
      <c r="O212" s="319">
        <f t="shared" ref="O212:O213" si="74">N212+M212+L212</f>
        <v>170000</v>
      </c>
      <c r="P212" s="320">
        <f t="shared" si="72"/>
        <v>1870000</v>
      </c>
      <c r="Q212" s="218">
        <f t="shared" si="73"/>
        <v>1870000</v>
      </c>
      <c r="R212" t="s">
        <v>316</v>
      </c>
    </row>
    <row r="213" spans="1:18" ht="30" x14ac:dyDescent="0.25">
      <c r="A213" s="322"/>
      <c r="B213" s="323" t="s">
        <v>368</v>
      </c>
      <c r="C213" s="220" t="s">
        <v>322</v>
      </c>
      <c r="D213" s="213" t="s">
        <v>178</v>
      </c>
      <c r="E213" s="313"/>
      <c r="F213" s="314"/>
      <c r="G213" s="314"/>
      <c r="H213" s="314"/>
      <c r="I213" s="315"/>
      <c r="J213" s="316"/>
      <c r="K213" s="198">
        <v>40</v>
      </c>
      <c r="L213" s="233"/>
      <c r="M213" s="175">
        <v>100000</v>
      </c>
      <c r="N213" s="175">
        <v>70000</v>
      </c>
      <c r="O213" s="176">
        <f t="shared" si="74"/>
        <v>170000</v>
      </c>
      <c r="P213" s="177">
        <f t="shared" si="72"/>
        <v>6800000</v>
      </c>
      <c r="Q213" s="218">
        <f t="shared" si="73"/>
        <v>6800000</v>
      </c>
      <c r="R213" t="s">
        <v>316</v>
      </c>
    </row>
    <row r="214" spans="1:18" x14ac:dyDescent="0.25">
      <c r="Q214" s="4"/>
    </row>
    <row r="215" spans="1:18" x14ac:dyDescent="0.25">
      <c r="A215" s="170">
        <v>23</v>
      </c>
      <c r="B215" s="217" t="s">
        <v>372</v>
      </c>
      <c r="C215" s="219" t="s">
        <v>282</v>
      </c>
      <c r="D215" s="197" t="s">
        <v>326</v>
      </c>
      <c r="E215" s="198">
        <v>8</v>
      </c>
      <c r="F215" s="175">
        <v>225000</v>
      </c>
      <c r="G215" s="175">
        <v>100000</v>
      </c>
      <c r="H215" s="175">
        <v>5000</v>
      </c>
      <c r="I215" s="176">
        <f>H215+G215+F215</f>
        <v>330000</v>
      </c>
      <c r="J215" s="177">
        <f t="shared" ref="J215:J218" si="75">I215*E215</f>
        <v>2640000</v>
      </c>
      <c r="K215" s="198">
        <v>14</v>
      </c>
      <c r="L215" s="175">
        <v>225000</v>
      </c>
      <c r="M215" s="175">
        <v>100000</v>
      </c>
      <c r="N215" s="175">
        <v>5000</v>
      </c>
      <c r="O215" s="176">
        <f>N215+M215+L215</f>
        <v>330000</v>
      </c>
      <c r="P215" s="177">
        <f t="shared" ref="P215:P218" si="76">O215*K215</f>
        <v>4620000</v>
      </c>
      <c r="Q215" s="218">
        <f t="shared" ref="Q215:Q218" si="77">P215-J215</f>
        <v>1980000</v>
      </c>
    </row>
    <row r="216" spans="1:18" x14ac:dyDescent="0.25">
      <c r="A216" s="170">
        <v>24</v>
      </c>
      <c r="B216" s="217" t="s">
        <v>373</v>
      </c>
      <c r="C216" s="219" t="s">
        <v>374</v>
      </c>
      <c r="D216" s="197" t="s">
        <v>326</v>
      </c>
      <c r="E216" s="198">
        <v>14</v>
      </c>
      <c r="F216" s="175">
        <v>100000</v>
      </c>
      <c r="G216" s="175">
        <v>25000</v>
      </c>
      <c r="H216" s="175">
        <v>5000</v>
      </c>
      <c r="I216" s="176">
        <f>H216+G216+F216</f>
        <v>130000</v>
      </c>
      <c r="J216" s="177">
        <f t="shared" si="75"/>
        <v>1820000</v>
      </c>
      <c r="K216" s="198">
        <v>14</v>
      </c>
      <c r="L216" s="175">
        <v>100000</v>
      </c>
      <c r="M216" s="175">
        <v>25000</v>
      </c>
      <c r="N216" s="175">
        <v>5000</v>
      </c>
      <c r="O216" s="176">
        <f>N216+M216+L216</f>
        <v>130000</v>
      </c>
      <c r="P216" s="177">
        <f t="shared" si="76"/>
        <v>1820000</v>
      </c>
      <c r="Q216" s="218">
        <f t="shared" si="77"/>
        <v>0</v>
      </c>
    </row>
    <row r="217" spans="1:18" x14ac:dyDescent="0.25">
      <c r="A217" s="170">
        <v>25</v>
      </c>
      <c r="B217" s="217" t="s">
        <v>375</v>
      </c>
      <c r="C217" s="219"/>
      <c r="D217" s="197" t="s">
        <v>178</v>
      </c>
      <c r="E217" s="198">
        <v>32</v>
      </c>
      <c r="F217" s="175">
        <v>30000</v>
      </c>
      <c r="G217" s="175">
        <v>15000</v>
      </c>
      <c r="H217" s="264"/>
      <c r="I217" s="176">
        <f t="shared" ref="I217:I218" si="78">H217+G217+F217</f>
        <v>45000</v>
      </c>
      <c r="J217" s="177">
        <f t="shared" si="75"/>
        <v>1440000</v>
      </c>
      <c r="K217" s="198">
        <v>30</v>
      </c>
      <c r="L217" s="175">
        <v>30000</v>
      </c>
      <c r="M217" s="175">
        <v>15000</v>
      </c>
      <c r="N217" s="264"/>
      <c r="O217" s="176">
        <f t="shared" ref="O217:O218" si="79">N217+M217+L217</f>
        <v>45000</v>
      </c>
      <c r="P217" s="177">
        <f t="shared" si="76"/>
        <v>1350000</v>
      </c>
      <c r="Q217" s="218">
        <f t="shared" si="77"/>
        <v>-90000</v>
      </c>
    </row>
    <row r="218" spans="1:18" x14ac:dyDescent="0.25">
      <c r="A218" s="170">
        <v>26</v>
      </c>
      <c r="B218" s="217" t="s">
        <v>376</v>
      </c>
      <c r="C218" s="219" t="s">
        <v>282</v>
      </c>
      <c r="D218" s="197" t="s">
        <v>326</v>
      </c>
      <c r="E218" s="198">
        <v>6</v>
      </c>
      <c r="F218" s="175">
        <v>225000</v>
      </c>
      <c r="G218" s="175">
        <v>25000</v>
      </c>
      <c r="H218" s="175">
        <v>5000</v>
      </c>
      <c r="I218" s="176">
        <f t="shared" si="78"/>
        <v>255000</v>
      </c>
      <c r="J218" s="177">
        <f t="shared" si="75"/>
        <v>1530000</v>
      </c>
      <c r="K218" s="198">
        <v>21</v>
      </c>
      <c r="L218" s="175">
        <v>225000</v>
      </c>
      <c r="M218" s="175">
        <v>25000</v>
      </c>
      <c r="N218" s="175">
        <v>5000</v>
      </c>
      <c r="O218" s="176">
        <f t="shared" si="79"/>
        <v>255000</v>
      </c>
      <c r="P218" s="177">
        <f t="shared" si="76"/>
        <v>5355000</v>
      </c>
      <c r="Q218" s="218">
        <f t="shared" si="77"/>
        <v>3825000</v>
      </c>
    </row>
    <row r="219" spans="1:18" x14ac:dyDescent="0.25">
      <c r="A219" s="324"/>
      <c r="B219" s="325" t="s">
        <v>473</v>
      </c>
      <c r="C219" s="324"/>
      <c r="K219" s="326">
        <v>3</v>
      </c>
      <c r="Q219" s="327"/>
    </row>
    <row r="220" spans="1:18" x14ac:dyDescent="0.25">
      <c r="A220" s="286">
        <v>33</v>
      </c>
      <c r="B220" s="287" t="s">
        <v>372</v>
      </c>
      <c r="C220" s="328" t="s">
        <v>282</v>
      </c>
      <c r="D220" s="197" t="s">
        <v>326</v>
      </c>
      <c r="E220" s="198">
        <v>8</v>
      </c>
      <c r="F220" s="175">
        <v>225000</v>
      </c>
      <c r="G220" s="175">
        <v>100000</v>
      </c>
      <c r="H220" s="175">
        <v>5000</v>
      </c>
      <c r="I220" s="176">
        <f>H220+G220+F220</f>
        <v>330000</v>
      </c>
      <c r="J220" s="177">
        <f t="shared" ref="J220:J223" si="80">I220*E220</f>
        <v>2640000</v>
      </c>
      <c r="K220" s="198">
        <v>14</v>
      </c>
      <c r="L220" s="175">
        <v>225000</v>
      </c>
      <c r="M220" s="175">
        <v>100000</v>
      </c>
      <c r="N220" s="175">
        <v>5000</v>
      </c>
      <c r="O220" s="176">
        <f>N220+M220+L220</f>
        <v>330000</v>
      </c>
      <c r="P220" s="177">
        <f t="shared" ref="P220:P223" si="81">O220*K220</f>
        <v>4620000</v>
      </c>
      <c r="Q220" s="218">
        <f t="shared" ref="Q220:Q223" si="82">P220-J220</f>
        <v>1980000</v>
      </c>
    </row>
    <row r="221" spans="1:18" x14ac:dyDescent="0.25">
      <c r="A221" s="170">
        <v>34</v>
      </c>
      <c r="B221" s="217" t="s">
        <v>373</v>
      </c>
      <c r="C221" s="219" t="s">
        <v>374</v>
      </c>
      <c r="D221" s="197" t="s">
        <v>326</v>
      </c>
      <c r="E221" s="198">
        <v>14</v>
      </c>
      <c r="F221" s="175">
        <v>100000</v>
      </c>
      <c r="G221" s="175">
        <v>25000</v>
      </c>
      <c r="H221" s="175">
        <v>5000</v>
      </c>
      <c r="I221" s="176">
        <f>H221+G221+F221</f>
        <v>130000</v>
      </c>
      <c r="J221" s="177">
        <f t="shared" si="80"/>
        <v>1820000</v>
      </c>
      <c r="K221" s="198">
        <v>14</v>
      </c>
      <c r="L221" s="175">
        <v>100000</v>
      </c>
      <c r="M221" s="175">
        <v>25000</v>
      </c>
      <c r="N221" s="175">
        <v>5000</v>
      </c>
      <c r="O221" s="176">
        <f>N221+M221+L221</f>
        <v>130000</v>
      </c>
      <c r="P221" s="177">
        <f t="shared" si="81"/>
        <v>1820000</v>
      </c>
      <c r="Q221" s="218">
        <f t="shared" si="82"/>
        <v>0</v>
      </c>
    </row>
    <row r="222" spans="1:18" x14ac:dyDescent="0.25">
      <c r="A222" s="170">
        <v>35</v>
      </c>
      <c r="B222" s="217" t="s">
        <v>375</v>
      </c>
      <c r="C222" s="219"/>
      <c r="D222" s="197" t="s">
        <v>178</v>
      </c>
      <c r="E222" s="198">
        <v>32</v>
      </c>
      <c r="F222" s="175">
        <v>30000</v>
      </c>
      <c r="G222" s="175">
        <v>15000</v>
      </c>
      <c r="H222" s="264"/>
      <c r="I222" s="176">
        <f t="shared" ref="I222:I223" si="83">H222+G222+F222</f>
        <v>45000</v>
      </c>
      <c r="J222" s="177">
        <f t="shared" si="80"/>
        <v>1440000</v>
      </c>
      <c r="K222" s="198">
        <v>15</v>
      </c>
      <c r="L222" s="175">
        <v>30000</v>
      </c>
      <c r="M222" s="175">
        <v>15000</v>
      </c>
      <c r="N222" s="264"/>
      <c r="O222" s="176">
        <f t="shared" ref="O222:O223" si="84">N222+M222+L222</f>
        <v>45000</v>
      </c>
      <c r="P222" s="177">
        <f t="shared" si="81"/>
        <v>675000</v>
      </c>
      <c r="Q222" s="218">
        <f t="shared" si="82"/>
        <v>-765000</v>
      </c>
    </row>
    <row r="223" spans="1:18" x14ac:dyDescent="0.25">
      <c r="A223" s="170">
        <v>36</v>
      </c>
      <c r="B223" s="217" t="s">
        <v>376</v>
      </c>
      <c r="C223" s="219" t="s">
        <v>282</v>
      </c>
      <c r="D223" s="197" t="s">
        <v>326</v>
      </c>
      <c r="E223" s="198">
        <v>6</v>
      </c>
      <c r="F223" s="175">
        <v>225000</v>
      </c>
      <c r="G223" s="175">
        <v>25000</v>
      </c>
      <c r="H223" s="175">
        <v>5000</v>
      </c>
      <c r="I223" s="176">
        <f t="shared" si="83"/>
        <v>255000</v>
      </c>
      <c r="J223" s="177">
        <f t="shared" si="80"/>
        <v>1530000</v>
      </c>
      <c r="K223" s="198">
        <v>36</v>
      </c>
      <c r="L223" s="175">
        <v>225000</v>
      </c>
      <c r="M223" s="175">
        <v>25000</v>
      </c>
      <c r="N223" s="175">
        <v>5000</v>
      </c>
      <c r="O223" s="176">
        <f t="shared" si="84"/>
        <v>255000</v>
      </c>
      <c r="P223" s="177">
        <f t="shared" si="81"/>
        <v>9180000</v>
      </c>
      <c r="Q223" s="218">
        <f t="shared" si="82"/>
        <v>7650000</v>
      </c>
    </row>
    <row r="224" spans="1:18" x14ac:dyDescent="0.25">
      <c r="A224" s="324"/>
      <c r="B224" s="325" t="s">
        <v>473</v>
      </c>
      <c r="C224" s="324"/>
      <c r="K224" s="326">
        <v>2</v>
      </c>
      <c r="Q224" s="4"/>
    </row>
    <row r="225" spans="1:17" ht="30" x14ac:dyDescent="0.25">
      <c r="A225" s="170">
        <v>28</v>
      </c>
      <c r="B225" s="217" t="s">
        <v>379</v>
      </c>
      <c r="C225" s="265" t="s">
        <v>380</v>
      </c>
      <c r="D225" s="197" t="s">
        <v>218</v>
      </c>
      <c r="E225" s="198">
        <v>1</v>
      </c>
      <c r="F225" s="175">
        <v>2750000</v>
      </c>
      <c r="G225" s="175">
        <v>450000</v>
      </c>
      <c r="H225" s="175">
        <v>50000</v>
      </c>
      <c r="I225" s="176">
        <f t="shared" ref="I225:I226" si="85">H225+G225+F225</f>
        <v>3250000</v>
      </c>
      <c r="J225" s="177">
        <f t="shared" ref="J225:J226" si="86">I225*E225</f>
        <v>3250000</v>
      </c>
      <c r="K225" s="198">
        <v>1</v>
      </c>
      <c r="L225" s="175">
        <v>2750000</v>
      </c>
      <c r="M225" s="233">
        <v>450000</v>
      </c>
      <c r="N225" s="175">
        <v>50000</v>
      </c>
      <c r="O225" s="176">
        <f t="shared" ref="O225:O230" si="87">N225+M225+L225</f>
        <v>3250000</v>
      </c>
      <c r="P225" s="177">
        <f t="shared" ref="P225:P230" si="88">O225*K225</f>
        <v>3250000</v>
      </c>
      <c r="Q225" s="162">
        <f t="shared" ref="Q225:Q230" si="89">P225-J225</f>
        <v>0</v>
      </c>
    </row>
    <row r="226" spans="1:17" x14ac:dyDescent="0.25">
      <c r="A226" s="170">
        <v>29</v>
      </c>
      <c r="B226" s="217" t="s">
        <v>381</v>
      </c>
      <c r="C226" s="265" t="s">
        <v>382</v>
      </c>
      <c r="D226" s="197" t="s">
        <v>218</v>
      </c>
      <c r="E226" s="198">
        <v>1</v>
      </c>
      <c r="F226" s="175">
        <v>2750000</v>
      </c>
      <c r="G226" s="175">
        <v>450000</v>
      </c>
      <c r="H226" s="175">
        <v>50000</v>
      </c>
      <c r="I226" s="176">
        <f t="shared" si="85"/>
        <v>3250000</v>
      </c>
      <c r="J226" s="177">
        <f t="shared" si="86"/>
        <v>3250000</v>
      </c>
      <c r="K226" s="198">
        <v>1</v>
      </c>
      <c r="L226" s="175">
        <v>500000</v>
      </c>
      <c r="M226" s="233">
        <v>450000</v>
      </c>
      <c r="N226" s="175">
        <v>50000</v>
      </c>
      <c r="O226" s="176">
        <f t="shared" si="87"/>
        <v>1000000</v>
      </c>
      <c r="P226" s="266">
        <f t="shared" si="88"/>
        <v>1000000</v>
      </c>
      <c r="Q226" s="178">
        <f t="shared" si="89"/>
        <v>-2250000</v>
      </c>
    </row>
    <row r="227" spans="1:17" ht="30" x14ac:dyDescent="0.25">
      <c r="A227" s="170"/>
      <c r="B227" s="217" t="s">
        <v>383</v>
      </c>
      <c r="C227" s="265" t="s">
        <v>384</v>
      </c>
      <c r="D227" s="197"/>
      <c r="E227" s="198"/>
      <c r="F227" s="175"/>
      <c r="G227" s="175"/>
      <c r="H227" s="175"/>
      <c r="I227" s="176"/>
      <c r="J227" s="177"/>
      <c r="K227" s="198">
        <v>1</v>
      </c>
      <c r="L227" s="175">
        <f>(4500000*2)+(2500000)</f>
        <v>11500000</v>
      </c>
      <c r="M227" s="233">
        <v>500000</v>
      </c>
      <c r="N227" s="264"/>
      <c r="O227" s="176">
        <f t="shared" si="87"/>
        <v>12000000</v>
      </c>
      <c r="P227" s="177">
        <f t="shared" si="88"/>
        <v>12000000</v>
      </c>
      <c r="Q227" s="218">
        <f t="shared" si="89"/>
        <v>12000000</v>
      </c>
    </row>
    <row r="228" spans="1:17" ht="30" x14ac:dyDescent="0.25">
      <c r="A228" s="170">
        <v>30</v>
      </c>
      <c r="B228" s="217" t="s">
        <v>385</v>
      </c>
      <c r="C228" s="265" t="s">
        <v>386</v>
      </c>
      <c r="D228" s="197" t="s">
        <v>218</v>
      </c>
      <c r="E228" s="198">
        <v>1</v>
      </c>
      <c r="F228" s="175">
        <v>4500000</v>
      </c>
      <c r="G228" s="175">
        <v>1500000</v>
      </c>
      <c r="H228" s="175">
        <v>50000</v>
      </c>
      <c r="I228" s="176">
        <f t="shared" ref="I228:I230" si="90">H228+G228+F228</f>
        <v>6050000</v>
      </c>
      <c r="J228" s="177">
        <f t="shared" ref="J228:J230" si="91">I228*E228</f>
        <v>6050000</v>
      </c>
      <c r="K228" s="198">
        <v>1</v>
      </c>
      <c r="L228" s="175">
        <v>4500000</v>
      </c>
      <c r="M228" s="233">
        <v>1500000</v>
      </c>
      <c r="N228" s="175">
        <v>50000</v>
      </c>
      <c r="O228" s="176">
        <f t="shared" si="87"/>
        <v>6050000</v>
      </c>
      <c r="P228" s="177">
        <f t="shared" si="88"/>
        <v>6050000</v>
      </c>
      <c r="Q228" s="162">
        <f t="shared" si="89"/>
        <v>0</v>
      </c>
    </row>
    <row r="229" spans="1:17" ht="30" x14ac:dyDescent="0.25">
      <c r="A229" s="170">
        <v>31</v>
      </c>
      <c r="B229" s="217" t="s">
        <v>389</v>
      </c>
      <c r="C229" s="219" t="s">
        <v>390</v>
      </c>
      <c r="D229" s="197" t="s">
        <v>218</v>
      </c>
      <c r="E229" s="198">
        <v>1</v>
      </c>
      <c r="F229" s="175">
        <v>15000000</v>
      </c>
      <c r="G229" s="175">
        <v>500000</v>
      </c>
      <c r="H229" s="264"/>
      <c r="I229" s="176">
        <f t="shared" si="90"/>
        <v>15500000</v>
      </c>
      <c r="J229" s="177">
        <f t="shared" si="91"/>
        <v>15500000</v>
      </c>
      <c r="K229" s="198">
        <v>1</v>
      </c>
      <c r="L229" s="175">
        <v>15000000</v>
      </c>
      <c r="M229" s="175">
        <v>500000</v>
      </c>
      <c r="N229" s="267">
        <v>2500000</v>
      </c>
      <c r="O229" s="176">
        <f t="shared" si="87"/>
        <v>18000000</v>
      </c>
      <c r="P229" s="266">
        <f t="shared" si="88"/>
        <v>18000000</v>
      </c>
      <c r="Q229" s="329">
        <f t="shared" si="89"/>
        <v>2500000</v>
      </c>
    </row>
    <row r="230" spans="1:17" x14ac:dyDescent="0.25">
      <c r="A230" s="170">
        <v>32</v>
      </c>
      <c r="B230" s="217" t="s">
        <v>391</v>
      </c>
      <c r="C230" s="219" t="s">
        <v>392</v>
      </c>
      <c r="D230" s="197" t="s">
        <v>218</v>
      </c>
      <c r="E230" s="198">
        <v>1</v>
      </c>
      <c r="F230" s="175">
        <v>4500000</v>
      </c>
      <c r="G230" s="175">
        <v>250000</v>
      </c>
      <c r="H230" s="175"/>
      <c r="I230" s="176">
        <f t="shared" si="90"/>
        <v>4750000</v>
      </c>
      <c r="J230" s="177">
        <f t="shared" si="91"/>
        <v>4750000</v>
      </c>
      <c r="K230" s="198">
        <v>1</v>
      </c>
      <c r="L230" s="175">
        <v>4500000</v>
      </c>
      <c r="M230" s="175">
        <v>250000</v>
      </c>
      <c r="N230" s="175"/>
      <c r="O230" s="176">
        <f t="shared" si="87"/>
        <v>4750000</v>
      </c>
      <c r="P230" s="177">
        <f t="shared" si="88"/>
        <v>4750000</v>
      </c>
      <c r="Q230" s="162">
        <f t="shared" si="89"/>
        <v>0</v>
      </c>
    </row>
    <row r="231" spans="1:17" x14ac:dyDescent="0.25">
      <c r="Q231" s="4"/>
    </row>
    <row r="232" spans="1:17" ht="30" x14ac:dyDescent="0.25">
      <c r="A232" s="170">
        <v>26</v>
      </c>
      <c r="B232" s="217" t="s">
        <v>432</v>
      </c>
      <c r="C232" s="219" t="s">
        <v>433</v>
      </c>
      <c r="D232" s="197" t="s">
        <v>218</v>
      </c>
      <c r="E232" s="198">
        <v>1</v>
      </c>
      <c r="F232" s="175">
        <v>2750000</v>
      </c>
      <c r="G232" s="175">
        <v>450000</v>
      </c>
      <c r="H232" s="175">
        <v>50000</v>
      </c>
      <c r="I232" s="176">
        <f t="shared" ref="I232:I238" si="92">H232+G232+F232</f>
        <v>3250000</v>
      </c>
      <c r="J232" s="177">
        <f t="shared" ref="J232:J238" si="93">I232*E232</f>
        <v>3250000</v>
      </c>
      <c r="K232" s="198">
        <v>1</v>
      </c>
      <c r="L232" s="175">
        <v>2750000</v>
      </c>
      <c r="M232" s="175">
        <v>450000</v>
      </c>
      <c r="N232" s="175">
        <v>50000</v>
      </c>
      <c r="O232" s="176">
        <f t="shared" ref="O232:O238" si="94">N232+M232+L232</f>
        <v>3250000</v>
      </c>
      <c r="P232" s="177">
        <f t="shared" ref="P232:P238" si="95">O232*K232</f>
        <v>3250000</v>
      </c>
      <c r="Q232" s="162">
        <f t="shared" ref="Q232:Q238" si="96">P232-J232</f>
        <v>0</v>
      </c>
    </row>
    <row r="233" spans="1:17" x14ac:dyDescent="0.25">
      <c r="A233" s="170">
        <v>27</v>
      </c>
      <c r="B233" s="217" t="s">
        <v>434</v>
      </c>
      <c r="C233" s="219" t="s">
        <v>435</v>
      </c>
      <c r="D233" s="197" t="s">
        <v>218</v>
      </c>
      <c r="E233" s="198">
        <v>1</v>
      </c>
      <c r="F233" s="175">
        <v>4500000</v>
      </c>
      <c r="G233" s="175">
        <v>450000</v>
      </c>
      <c r="H233" s="175">
        <v>50000</v>
      </c>
      <c r="I233" s="176">
        <f t="shared" si="92"/>
        <v>5000000</v>
      </c>
      <c r="J233" s="177">
        <f t="shared" si="93"/>
        <v>5000000</v>
      </c>
      <c r="K233" s="198">
        <v>1</v>
      </c>
      <c r="L233" s="175">
        <v>4500000</v>
      </c>
      <c r="M233" s="175">
        <v>450000</v>
      </c>
      <c r="N233" s="175">
        <v>50000</v>
      </c>
      <c r="O233" s="176">
        <f t="shared" si="94"/>
        <v>5000000</v>
      </c>
      <c r="P233" s="177">
        <f t="shared" si="95"/>
        <v>5000000</v>
      </c>
      <c r="Q233" s="162">
        <f t="shared" si="96"/>
        <v>0</v>
      </c>
    </row>
    <row r="234" spans="1:17" ht="30" x14ac:dyDescent="0.25">
      <c r="A234" s="170">
        <v>28</v>
      </c>
      <c r="B234" s="217" t="s">
        <v>436</v>
      </c>
      <c r="C234" s="219" t="s">
        <v>433</v>
      </c>
      <c r="D234" s="197" t="s">
        <v>218</v>
      </c>
      <c r="E234" s="198">
        <v>1</v>
      </c>
      <c r="F234" s="175">
        <v>2750000</v>
      </c>
      <c r="G234" s="175">
        <v>450000</v>
      </c>
      <c r="H234" s="175">
        <v>50000</v>
      </c>
      <c r="I234" s="176">
        <f t="shared" si="92"/>
        <v>3250000</v>
      </c>
      <c r="J234" s="177">
        <f t="shared" si="93"/>
        <v>3250000</v>
      </c>
      <c r="K234" s="198">
        <v>1</v>
      </c>
      <c r="L234" s="175">
        <v>2750000</v>
      </c>
      <c r="M234" s="233">
        <v>450000</v>
      </c>
      <c r="N234" s="175">
        <v>50000</v>
      </c>
      <c r="O234" s="176">
        <f t="shared" si="94"/>
        <v>3250000</v>
      </c>
      <c r="P234" s="177">
        <f t="shared" si="95"/>
        <v>3250000</v>
      </c>
      <c r="Q234" s="162">
        <f t="shared" si="96"/>
        <v>0</v>
      </c>
    </row>
    <row r="235" spans="1:17" x14ac:dyDescent="0.25">
      <c r="A235" s="170">
        <v>29</v>
      </c>
      <c r="B235" s="217" t="s">
        <v>437</v>
      </c>
      <c r="C235" s="220" t="s">
        <v>438</v>
      </c>
      <c r="D235" s="197" t="s">
        <v>218</v>
      </c>
      <c r="E235" s="198">
        <v>1</v>
      </c>
      <c r="F235" s="175">
        <v>4000000</v>
      </c>
      <c r="G235" s="175">
        <v>450000</v>
      </c>
      <c r="H235" s="175">
        <v>50000</v>
      </c>
      <c r="I235" s="176">
        <f t="shared" si="92"/>
        <v>4500000</v>
      </c>
      <c r="J235" s="177">
        <f t="shared" si="93"/>
        <v>4500000</v>
      </c>
      <c r="K235" s="198">
        <v>1</v>
      </c>
      <c r="L235" s="175">
        <v>4000000</v>
      </c>
      <c r="M235" s="233">
        <v>450000</v>
      </c>
      <c r="N235" s="175">
        <v>50000</v>
      </c>
      <c r="O235" s="176">
        <f t="shared" si="94"/>
        <v>4500000</v>
      </c>
      <c r="P235" s="177">
        <f t="shared" si="95"/>
        <v>4500000</v>
      </c>
      <c r="Q235" s="162">
        <f t="shared" si="96"/>
        <v>0</v>
      </c>
    </row>
    <row r="236" spans="1:17" x14ac:dyDescent="0.25">
      <c r="A236" s="170">
        <v>30</v>
      </c>
      <c r="B236" s="217" t="s">
        <v>439</v>
      </c>
      <c r="C236" s="220" t="s">
        <v>438</v>
      </c>
      <c r="D236" s="197" t="s">
        <v>218</v>
      </c>
      <c r="E236" s="198">
        <v>1</v>
      </c>
      <c r="F236" s="175">
        <v>4000000</v>
      </c>
      <c r="G236" s="175">
        <v>250000</v>
      </c>
      <c r="H236" s="175">
        <v>50000</v>
      </c>
      <c r="I236" s="176">
        <f t="shared" si="92"/>
        <v>4300000</v>
      </c>
      <c r="J236" s="177">
        <f t="shared" si="93"/>
        <v>4300000</v>
      </c>
      <c r="K236" s="198">
        <v>1</v>
      </c>
      <c r="L236" s="175">
        <v>4000000</v>
      </c>
      <c r="M236" s="233">
        <v>250000</v>
      </c>
      <c r="N236" s="175">
        <v>50000</v>
      </c>
      <c r="O236" s="176">
        <f t="shared" si="94"/>
        <v>4300000</v>
      </c>
      <c r="P236" s="177">
        <f t="shared" si="95"/>
        <v>4300000</v>
      </c>
      <c r="Q236" s="162">
        <f t="shared" si="96"/>
        <v>0</v>
      </c>
    </row>
    <row r="237" spans="1:17" x14ac:dyDescent="0.25">
      <c r="A237" s="170">
        <v>31</v>
      </c>
      <c r="B237" s="217" t="s">
        <v>440</v>
      </c>
      <c r="C237" s="220" t="s">
        <v>441</v>
      </c>
      <c r="D237" s="197" t="s">
        <v>218</v>
      </c>
      <c r="E237" s="198">
        <v>1</v>
      </c>
      <c r="F237" s="175">
        <v>4000000</v>
      </c>
      <c r="G237" s="175">
        <v>450000</v>
      </c>
      <c r="H237" s="175"/>
      <c r="I237" s="176">
        <f t="shared" si="92"/>
        <v>4450000</v>
      </c>
      <c r="J237" s="177">
        <f t="shared" si="93"/>
        <v>4450000</v>
      </c>
      <c r="K237" s="198">
        <v>1</v>
      </c>
      <c r="L237" s="175">
        <v>4000000</v>
      </c>
      <c r="M237" s="233">
        <v>450000</v>
      </c>
      <c r="N237" s="175"/>
      <c r="O237" s="176">
        <f t="shared" si="94"/>
        <v>4450000</v>
      </c>
      <c r="P237" s="177">
        <f t="shared" si="95"/>
        <v>4450000</v>
      </c>
      <c r="Q237" s="162">
        <f t="shared" si="96"/>
        <v>0</v>
      </c>
    </row>
    <row r="238" spans="1:17" x14ac:dyDescent="0.25">
      <c r="A238" s="330">
        <v>32</v>
      </c>
      <c r="B238" s="331" t="s">
        <v>442</v>
      </c>
      <c r="C238" s="219" t="s">
        <v>443</v>
      </c>
      <c r="D238" s="197" t="s">
        <v>218</v>
      </c>
      <c r="E238" s="198">
        <v>1</v>
      </c>
      <c r="F238" s="175"/>
      <c r="G238" s="175">
        <v>500000</v>
      </c>
      <c r="H238" s="175"/>
      <c r="I238" s="176">
        <f t="shared" si="92"/>
        <v>500000</v>
      </c>
      <c r="J238" s="177">
        <f t="shared" si="93"/>
        <v>500000</v>
      </c>
      <c r="K238" s="198">
        <v>1</v>
      </c>
      <c r="L238" s="175"/>
      <c r="M238" s="175">
        <v>500000</v>
      </c>
      <c r="N238" s="175"/>
      <c r="O238" s="176">
        <f t="shared" si="94"/>
        <v>500000</v>
      </c>
      <c r="P238" s="177">
        <f t="shared" si="95"/>
        <v>500000</v>
      </c>
      <c r="Q238" s="162">
        <f t="shared" si="96"/>
        <v>0</v>
      </c>
    </row>
    <row r="239" spans="1:17" x14ac:dyDescent="0.25">
      <c r="Q239" s="4"/>
    </row>
    <row r="240" spans="1:17" x14ac:dyDescent="0.25">
      <c r="A240" s="282"/>
      <c r="B240" s="268" t="s">
        <v>444</v>
      </c>
      <c r="C240" s="283"/>
      <c r="D240" s="213"/>
      <c r="E240" s="214"/>
      <c r="F240" s="168"/>
      <c r="G240" s="168"/>
      <c r="H240" s="168"/>
      <c r="I240" s="169"/>
      <c r="J240" s="162"/>
      <c r="K240" s="214">
        <v>1</v>
      </c>
      <c r="L240" s="168"/>
      <c r="M240" s="168"/>
      <c r="N240" s="168"/>
      <c r="O240" s="169"/>
      <c r="P240" s="162"/>
      <c r="Q240" s="162"/>
    </row>
    <row r="241" spans="1:17" x14ac:dyDescent="0.25">
      <c r="A241" s="202"/>
      <c r="B241" s="284" t="s">
        <v>393</v>
      </c>
      <c r="C241" s="285"/>
      <c r="D241" s="213" t="s">
        <v>218</v>
      </c>
      <c r="E241" s="214"/>
      <c r="F241" s="168"/>
      <c r="G241" s="168"/>
      <c r="H241" s="168"/>
      <c r="I241" s="169"/>
      <c r="J241" s="162"/>
      <c r="K241" s="198">
        <v>1</v>
      </c>
      <c r="L241" s="175"/>
      <c r="M241" s="175"/>
      <c r="N241" s="175"/>
      <c r="O241" s="176"/>
      <c r="P241" s="177"/>
      <c r="Q241" s="162"/>
    </row>
    <row r="242" spans="1:17" x14ac:dyDescent="0.25">
      <c r="A242" s="202"/>
      <c r="B242" s="284" t="s">
        <v>387</v>
      </c>
      <c r="C242" s="285"/>
      <c r="D242" s="213" t="s">
        <v>218</v>
      </c>
      <c r="E242" s="214"/>
      <c r="F242" s="168"/>
      <c r="G242" s="168"/>
      <c r="H242" s="168"/>
      <c r="I242" s="169"/>
      <c r="J242" s="162"/>
      <c r="K242" s="198">
        <v>1</v>
      </c>
      <c r="L242" s="175"/>
      <c r="M242" s="175"/>
      <c r="N242" s="175"/>
      <c r="O242" s="176"/>
      <c r="P242" s="177"/>
      <c r="Q242" s="162"/>
    </row>
    <row r="243" spans="1:17" x14ac:dyDescent="0.25">
      <c r="A243" s="202"/>
      <c r="B243" s="284" t="s">
        <v>445</v>
      </c>
      <c r="C243" s="285"/>
      <c r="D243" s="213" t="s">
        <v>218</v>
      </c>
      <c r="E243" s="214"/>
      <c r="F243" s="168"/>
      <c r="G243" s="168"/>
      <c r="H243" s="168"/>
      <c r="I243" s="169"/>
      <c r="J243" s="162"/>
      <c r="K243" s="198">
        <v>1</v>
      </c>
      <c r="L243" s="175"/>
      <c r="M243" s="175"/>
      <c r="N243" s="175"/>
      <c r="O243" s="176"/>
      <c r="P243" s="177"/>
      <c r="Q243" s="162"/>
    </row>
    <row r="244" spans="1:17" x14ac:dyDescent="0.25">
      <c r="A244" s="202"/>
      <c r="B244" s="284" t="s">
        <v>446</v>
      </c>
      <c r="C244" s="285"/>
      <c r="D244" s="213" t="s">
        <v>218</v>
      </c>
      <c r="E244" s="214"/>
      <c r="F244" s="168"/>
      <c r="G244" s="168"/>
      <c r="H244" s="168"/>
      <c r="I244" s="169"/>
      <c r="J244" s="162"/>
      <c r="K244" s="198">
        <v>1</v>
      </c>
      <c r="L244" s="175"/>
      <c r="M244" s="175"/>
      <c r="N244" s="175"/>
      <c r="O244" s="176"/>
      <c r="P244" s="177"/>
      <c r="Q244" s="162"/>
    </row>
    <row r="245" spans="1:17" x14ac:dyDescent="0.25">
      <c r="A245" s="202"/>
      <c r="B245" s="284" t="s">
        <v>447</v>
      </c>
      <c r="C245" s="285"/>
      <c r="D245" s="213" t="s">
        <v>218</v>
      </c>
      <c r="E245" s="214"/>
      <c r="F245" s="168"/>
      <c r="G245" s="168"/>
      <c r="H245" s="168"/>
      <c r="I245" s="169"/>
      <c r="J245" s="162"/>
      <c r="K245" s="198">
        <v>1</v>
      </c>
      <c r="L245" s="175"/>
      <c r="M245" s="175"/>
      <c r="N245" s="175"/>
      <c r="O245" s="176"/>
      <c r="P245" s="177"/>
      <c r="Q245" s="162"/>
    </row>
    <row r="246" spans="1:17" x14ac:dyDescent="0.25">
      <c r="A246" s="154"/>
      <c r="B246" s="268" t="s">
        <v>393</v>
      </c>
      <c r="C246" s="184"/>
      <c r="D246" s="213"/>
      <c r="E246" s="192"/>
      <c r="F246" s="159"/>
      <c r="G246" s="159"/>
      <c r="H246" s="159"/>
      <c r="I246" s="160"/>
      <c r="J246" s="161"/>
      <c r="K246" s="192"/>
      <c r="L246" s="159"/>
      <c r="M246" s="159"/>
      <c r="N246" s="159"/>
      <c r="O246" s="160"/>
      <c r="P246" s="161"/>
      <c r="Q246" s="162"/>
    </row>
    <row r="247" spans="1:17" x14ac:dyDescent="0.25">
      <c r="Q247" s="4"/>
    </row>
    <row r="248" spans="1:17" x14ac:dyDescent="0.25">
      <c r="A248" s="154">
        <v>24</v>
      </c>
      <c r="B248" s="238" t="s">
        <v>398</v>
      </c>
      <c r="C248" s="241" t="s">
        <v>282</v>
      </c>
      <c r="D248" s="185" t="s">
        <v>290</v>
      </c>
      <c r="E248" s="242" t="s">
        <v>282</v>
      </c>
      <c r="F248" s="243"/>
      <c r="G248" s="243"/>
      <c r="H248" s="243"/>
      <c r="I248" s="243"/>
      <c r="J248" s="161"/>
      <c r="K248" s="242" t="s">
        <v>282</v>
      </c>
      <c r="L248" s="243"/>
      <c r="M248" s="243"/>
      <c r="N248" s="243"/>
      <c r="O248" s="243"/>
      <c r="P248" s="161"/>
      <c r="Q248" s="162">
        <f t="shared" ref="Q248:Q256" si="97">P248-J248</f>
        <v>0</v>
      </c>
    </row>
    <row r="249" spans="1:17" ht="30" x14ac:dyDescent="0.25">
      <c r="A249" s="170"/>
      <c r="B249" s="270" t="s">
        <v>399</v>
      </c>
      <c r="C249" s="271" t="s">
        <v>400</v>
      </c>
      <c r="D249" s="197" t="s">
        <v>218</v>
      </c>
      <c r="E249" s="242" t="s">
        <v>282</v>
      </c>
      <c r="F249" s="243"/>
      <c r="G249" s="243"/>
      <c r="H249" s="243"/>
      <c r="I249" s="243"/>
      <c r="J249" s="161"/>
      <c r="K249" s="221">
        <v>1</v>
      </c>
      <c r="L249" s="175"/>
      <c r="M249" s="222">
        <v>300000</v>
      </c>
      <c r="N249" s="222">
        <v>30000</v>
      </c>
      <c r="O249" s="223">
        <f>N249+M249+L249</f>
        <v>330000</v>
      </c>
      <c r="P249" s="177">
        <f t="shared" ref="P249:P253" si="98">O249*K249</f>
        <v>330000</v>
      </c>
      <c r="Q249" s="199">
        <f t="shared" si="97"/>
        <v>330000</v>
      </c>
    </row>
    <row r="250" spans="1:17" x14ac:dyDescent="0.25">
      <c r="A250" s="170"/>
      <c r="B250" s="270" t="s">
        <v>401</v>
      </c>
      <c r="C250" s="271" t="s">
        <v>402</v>
      </c>
      <c r="D250" s="197" t="s">
        <v>218</v>
      </c>
      <c r="E250" s="242" t="s">
        <v>282</v>
      </c>
      <c r="F250" s="243"/>
      <c r="G250" s="243"/>
      <c r="H250" s="243"/>
      <c r="I250" s="243"/>
      <c r="J250" s="161"/>
      <c r="K250" s="221">
        <v>1</v>
      </c>
      <c r="L250" s="175"/>
      <c r="M250" s="222">
        <v>100000</v>
      </c>
      <c r="N250" s="222">
        <v>20000</v>
      </c>
      <c r="O250" s="223">
        <f>N250+M250+L250</f>
        <v>120000</v>
      </c>
      <c r="P250" s="177">
        <f t="shared" si="98"/>
        <v>120000</v>
      </c>
      <c r="Q250" s="199">
        <f t="shared" si="97"/>
        <v>120000</v>
      </c>
    </row>
    <row r="251" spans="1:17" x14ac:dyDescent="0.25">
      <c r="A251" s="170"/>
      <c r="B251" s="270" t="s">
        <v>401</v>
      </c>
      <c r="C251" s="271" t="s">
        <v>403</v>
      </c>
      <c r="D251" s="197" t="s">
        <v>218</v>
      </c>
      <c r="E251" s="242" t="s">
        <v>282</v>
      </c>
      <c r="F251" s="243"/>
      <c r="G251" s="243"/>
      <c r="H251" s="243"/>
      <c r="I251" s="243"/>
      <c r="J251" s="161"/>
      <c r="K251" s="221">
        <v>1</v>
      </c>
      <c r="L251" s="175"/>
      <c r="M251" s="222">
        <v>100000</v>
      </c>
      <c r="N251" s="222">
        <v>20000</v>
      </c>
      <c r="O251" s="223">
        <f>N251+M251+L251</f>
        <v>120000</v>
      </c>
      <c r="P251" s="177">
        <f t="shared" si="98"/>
        <v>120000</v>
      </c>
      <c r="Q251" s="199">
        <f t="shared" si="97"/>
        <v>120000</v>
      </c>
    </row>
    <row r="252" spans="1:17" ht="30" x14ac:dyDescent="0.25">
      <c r="A252" s="170"/>
      <c r="B252" s="270" t="s">
        <v>250</v>
      </c>
      <c r="C252" s="271" t="s">
        <v>404</v>
      </c>
      <c r="D252" s="197" t="s">
        <v>218</v>
      </c>
      <c r="E252" s="242" t="s">
        <v>282</v>
      </c>
      <c r="F252" s="243"/>
      <c r="G252" s="243"/>
      <c r="H252" s="243"/>
      <c r="I252" s="243"/>
      <c r="J252" s="161"/>
      <c r="K252" s="221">
        <v>2</v>
      </c>
      <c r="L252" s="175"/>
      <c r="M252" s="222">
        <v>100000</v>
      </c>
      <c r="N252" s="222">
        <v>20000</v>
      </c>
      <c r="O252" s="223">
        <f>N252+M252+L252</f>
        <v>120000</v>
      </c>
      <c r="P252" s="177">
        <f t="shared" si="98"/>
        <v>240000</v>
      </c>
      <c r="Q252" s="199">
        <f t="shared" si="97"/>
        <v>240000</v>
      </c>
    </row>
    <row r="253" spans="1:17" ht="30" x14ac:dyDescent="0.25">
      <c r="A253" s="170"/>
      <c r="B253" s="270" t="s">
        <v>405</v>
      </c>
      <c r="C253" s="271" t="s">
        <v>406</v>
      </c>
      <c r="D253" s="197" t="s">
        <v>218</v>
      </c>
      <c r="E253" s="242" t="s">
        <v>282</v>
      </c>
      <c r="F253" s="243"/>
      <c r="G253" s="243"/>
      <c r="H253" s="243"/>
      <c r="I253" s="243"/>
      <c r="J253" s="161"/>
      <c r="K253" s="221">
        <v>1</v>
      </c>
      <c r="L253" s="175"/>
      <c r="M253" s="222">
        <v>100000</v>
      </c>
      <c r="N253" s="222">
        <v>20000</v>
      </c>
      <c r="O253" s="223">
        <f>N253+M253+L253</f>
        <v>120000</v>
      </c>
      <c r="P253" s="177">
        <f t="shared" si="98"/>
        <v>120000</v>
      </c>
      <c r="Q253" s="199">
        <f t="shared" si="97"/>
        <v>120000</v>
      </c>
    </row>
    <row r="254" spans="1:17" ht="12.6" customHeight="1" x14ac:dyDescent="0.25">
      <c r="A254" s="154">
        <v>25</v>
      </c>
      <c r="B254" s="272" t="s">
        <v>407</v>
      </c>
      <c r="C254" s="248" t="s">
        <v>282</v>
      </c>
      <c r="D254" s="185"/>
      <c r="E254" s="242" t="s">
        <v>282</v>
      </c>
      <c r="F254" s="243"/>
      <c r="G254" s="243"/>
      <c r="H254" s="243"/>
      <c r="I254" s="243"/>
      <c r="J254" s="161"/>
      <c r="K254" s="242" t="s">
        <v>282</v>
      </c>
      <c r="L254" s="243"/>
      <c r="M254" s="243"/>
      <c r="N254" s="243"/>
      <c r="O254" s="243"/>
      <c r="P254" s="161"/>
      <c r="Q254" s="199">
        <f t="shared" si="97"/>
        <v>0</v>
      </c>
    </row>
    <row r="255" spans="1:17" ht="30" x14ac:dyDescent="0.25">
      <c r="A255" s="170"/>
      <c r="B255" s="270" t="s">
        <v>408</v>
      </c>
      <c r="C255" s="271" t="s">
        <v>400</v>
      </c>
      <c r="D255" s="197" t="s">
        <v>218</v>
      </c>
      <c r="E255" s="242" t="s">
        <v>282</v>
      </c>
      <c r="F255" s="243"/>
      <c r="G255" s="243"/>
      <c r="H255" s="243"/>
      <c r="I255" s="243"/>
      <c r="J255" s="161"/>
      <c r="K255" s="221">
        <v>1</v>
      </c>
      <c r="L255" s="175"/>
      <c r="M255" s="222">
        <v>450000</v>
      </c>
      <c r="N255" s="222">
        <v>30000</v>
      </c>
      <c r="O255" s="223">
        <f>N255+M255+L255</f>
        <v>480000</v>
      </c>
      <c r="P255" s="177">
        <f t="shared" ref="P255:P256" si="99">O255*K255</f>
        <v>480000</v>
      </c>
      <c r="Q255" s="199">
        <f t="shared" si="97"/>
        <v>480000</v>
      </c>
    </row>
    <row r="256" spans="1:17" ht="30" x14ac:dyDescent="0.25">
      <c r="A256" s="170"/>
      <c r="B256" s="270" t="s">
        <v>405</v>
      </c>
      <c r="C256" s="271" t="s">
        <v>406</v>
      </c>
      <c r="D256" s="197" t="s">
        <v>218</v>
      </c>
      <c r="E256" s="242" t="s">
        <v>282</v>
      </c>
      <c r="F256" s="243"/>
      <c r="G256" s="243"/>
      <c r="H256" s="243"/>
      <c r="I256" s="243"/>
      <c r="J256" s="161"/>
      <c r="K256" s="221">
        <v>1</v>
      </c>
      <c r="L256" s="175"/>
      <c r="M256" s="222">
        <v>100000</v>
      </c>
      <c r="N256" s="222">
        <v>20000</v>
      </c>
      <c r="O256" s="223">
        <f>N256+M256+L256</f>
        <v>120000</v>
      </c>
      <c r="P256" s="177">
        <f t="shared" si="99"/>
        <v>120000</v>
      </c>
      <c r="Q256" s="199">
        <f t="shared" si="97"/>
        <v>120000</v>
      </c>
    </row>
    <row r="257" spans="1:17" x14ac:dyDescent="0.25">
      <c r="A257" s="154"/>
      <c r="B257" s="238" t="s">
        <v>429</v>
      </c>
      <c r="Q257" s="332"/>
    </row>
    <row r="258" spans="1:17" x14ac:dyDescent="0.25">
      <c r="A258" s="170"/>
      <c r="B258" s="276" t="s">
        <v>401</v>
      </c>
      <c r="C258" s="271" t="s">
        <v>402</v>
      </c>
      <c r="D258" s="197" t="s">
        <v>218</v>
      </c>
      <c r="E258" s="221">
        <v>1</v>
      </c>
      <c r="F258" s="175"/>
      <c r="G258" s="222">
        <v>100000</v>
      </c>
      <c r="H258" s="222">
        <v>20000</v>
      </c>
      <c r="I258" s="223">
        <f>H258+G258+F258</f>
        <v>120000</v>
      </c>
      <c r="J258" s="177">
        <f t="shared" ref="J258" si="100">I258*E258</f>
        <v>120000</v>
      </c>
      <c r="K258" s="221">
        <v>1</v>
      </c>
      <c r="L258" s="175"/>
      <c r="M258" s="222">
        <v>100000</v>
      </c>
      <c r="N258" s="222">
        <v>20000</v>
      </c>
      <c r="O258" s="223">
        <f>N258+M258+L258</f>
        <v>120000</v>
      </c>
      <c r="P258" s="177">
        <f t="shared" ref="P258" si="101">O258*K258</f>
        <v>120000</v>
      </c>
      <c r="Q258" s="199">
        <f t="shared" ref="Q258" si="102">P258-J258</f>
        <v>0</v>
      </c>
    </row>
    <row r="259" spans="1:17" x14ac:dyDescent="0.25">
      <c r="B259" s="274" t="s">
        <v>430</v>
      </c>
      <c r="Q259" s="332"/>
    </row>
    <row r="260" spans="1:17" x14ac:dyDescent="0.25">
      <c r="A260" s="170"/>
      <c r="B260" s="277" t="s">
        <v>401</v>
      </c>
      <c r="C260" s="271" t="s">
        <v>402</v>
      </c>
      <c r="D260" s="197" t="s">
        <v>218</v>
      </c>
      <c r="E260" s="221">
        <v>1</v>
      </c>
      <c r="F260" s="175"/>
      <c r="G260" s="222">
        <v>100000</v>
      </c>
      <c r="H260" s="222">
        <v>20000</v>
      </c>
      <c r="I260" s="223">
        <f>H260+G260+F260</f>
        <v>120000</v>
      </c>
      <c r="J260" s="177">
        <f t="shared" ref="J260" si="103">I260*E260</f>
        <v>120000</v>
      </c>
      <c r="K260" s="221">
        <v>1</v>
      </c>
      <c r="L260" s="175"/>
      <c r="M260" s="222">
        <v>100000</v>
      </c>
      <c r="N260" s="222">
        <v>20000</v>
      </c>
      <c r="O260" s="223">
        <f>N260+M260+L260</f>
        <v>120000</v>
      </c>
      <c r="P260" s="177">
        <f t="shared" ref="P260" si="104">O260*K260</f>
        <v>120000</v>
      </c>
      <c r="Q260" s="199">
        <f t="shared" ref="Q260" si="105">P260-J260</f>
        <v>0</v>
      </c>
    </row>
    <row r="261" spans="1:17" x14ac:dyDescent="0.25">
      <c r="Q261" s="4"/>
    </row>
    <row r="262" spans="1:17" x14ac:dyDescent="0.25">
      <c r="A262" s="333"/>
      <c r="B262" s="225" t="s">
        <v>457</v>
      </c>
      <c r="C262" s="334" t="s">
        <v>458</v>
      </c>
      <c r="D262" s="213" t="s">
        <v>301</v>
      </c>
      <c r="E262" s="214"/>
      <c r="F262" s="269"/>
      <c r="G262" s="269"/>
      <c r="H262" s="215"/>
      <c r="I262" s="169"/>
      <c r="J262" s="162"/>
      <c r="K262" s="214"/>
      <c r="L262" s="269"/>
      <c r="M262" s="269"/>
      <c r="N262" s="215"/>
      <c r="O262" s="169"/>
      <c r="P262" s="169"/>
      <c r="Q262" s="162"/>
    </row>
    <row r="263" spans="1:17" x14ac:dyDescent="0.25">
      <c r="A263" s="170"/>
      <c r="B263" s="219" t="s">
        <v>299</v>
      </c>
      <c r="C263" s="219" t="s">
        <v>300</v>
      </c>
      <c r="D263" s="197" t="s">
        <v>301</v>
      </c>
      <c r="E263" s="214"/>
      <c r="F263" s="269"/>
      <c r="G263" s="269"/>
      <c r="H263" s="215"/>
      <c r="I263" s="169"/>
      <c r="J263" s="162"/>
      <c r="K263" s="198">
        <v>15</v>
      </c>
      <c r="L263" s="175">
        <v>700000</v>
      </c>
      <c r="M263" s="175">
        <v>40000</v>
      </c>
      <c r="N263" s="175">
        <v>10000</v>
      </c>
      <c r="O263" s="176">
        <f>N263+M263+L263</f>
        <v>750000</v>
      </c>
      <c r="P263" s="177">
        <f t="shared" ref="P263:P271" si="106">O263*K263</f>
        <v>11250000</v>
      </c>
      <c r="Q263" s="199">
        <f t="shared" ref="Q263:Q271" si="107">P263-J263</f>
        <v>11250000</v>
      </c>
    </row>
    <row r="264" spans="1:17" x14ac:dyDescent="0.25">
      <c r="A264" s="170"/>
      <c r="B264" s="219" t="s">
        <v>302</v>
      </c>
      <c r="C264" s="219" t="s">
        <v>303</v>
      </c>
      <c r="D264" s="197" t="s">
        <v>178</v>
      </c>
      <c r="E264" s="214"/>
      <c r="F264" s="269"/>
      <c r="G264" s="269"/>
      <c r="H264" s="215"/>
      <c r="I264" s="169"/>
      <c r="J264" s="162"/>
      <c r="K264" s="198">
        <v>7.8</v>
      </c>
      <c r="L264" s="175">
        <v>200000</v>
      </c>
      <c r="M264" s="175">
        <v>75000</v>
      </c>
      <c r="N264" s="264"/>
      <c r="O264" s="176">
        <f>N264+M264+L264</f>
        <v>275000</v>
      </c>
      <c r="P264" s="177">
        <f t="shared" si="106"/>
        <v>2145000</v>
      </c>
      <c r="Q264" s="199">
        <f t="shared" si="107"/>
        <v>2145000</v>
      </c>
    </row>
    <row r="265" spans="1:17" x14ac:dyDescent="0.25">
      <c r="A265" s="170"/>
      <c r="B265" s="219" t="s">
        <v>304</v>
      </c>
      <c r="C265" s="219" t="s">
        <v>305</v>
      </c>
      <c r="D265" s="197" t="s">
        <v>178</v>
      </c>
      <c r="E265" s="214"/>
      <c r="F265" s="269"/>
      <c r="G265" s="269"/>
      <c r="H265" s="215"/>
      <c r="I265" s="169"/>
      <c r="J265" s="162"/>
      <c r="K265" s="198">
        <v>7.8</v>
      </c>
      <c r="L265" s="175">
        <v>275000</v>
      </c>
      <c r="M265" s="175">
        <v>100000</v>
      </c>
      <c r="N265" s="264"/>
      <c r="O265" s="176">
        <f>N265+M265+L265</f>
        <v>375000</v>
      </c>
      <c r="P265" s="177">
        <f t="shared" si="106"/>
        <v>2925000</v>
      </c>
      <c r="Q265" s="199">
        <f t="shared" si="107"/>
        <v>2925000</v>
      </c>
    </row>
    <row r="266" spans="1:17" x14ac:dyDescent="0.25">
      <c r="A266" s="170"/>
      <c r="B266" s="335" t="s">
        <v>306</v>
      </c>
      <c r="C266" s="335" t="s">
        <v>307</v>
      </c>
      <c r="D266" s="197" t="s">
        <v>301</v>
      </c>
      <c r="E266" s="214"/>
      <c r="F266" s="269"/>
      <c r="G266" s="269"/>
      <c r="H266" s="215"/>
      <c r="I266" s="169"/>
      <c r="J266" s="162"/>
      <c r="K266" s="336">
        <f>K263</f>
        <v>15</v>
      </c>
      <c r="L266" s="204">
        <v>260000</v>
      </c>
      <c r="M266" s="204">
        <v>100000</v>
      </c>
      <c r="N266" s="337"/>
      <c r="O266" s="205">
        <f>N266+M266+L266</f>
        <v>360000</v>
      </c>
      <c r="P266" s="338">
        <f t="shared" si="106"/>
        <v>5400000</v>
      </c>
      <c r="Q266" s="199">
        <f t="shared" si="107"/>
        <v>5400000</v>
      </c>
    </row>
    <row r="267" spans="1:17" x14ac:dyDescent="0.25">
      <c r="A267" s="163"/>
      <c r="B267" s="252"/>
      <c r="C267" s="212"/>
      <c r="D267" s="213"/>
      <c r="E267" s="214"/>
      <c r="F267" s="269"/>
      <c r="G267" s="269"/>
      <c r="H267" s="215"/>
      <c r="I267" s="169"/>
      <c r="J267" s="162"/>
      <c r="K267" s="214"/>
      <c r="L267" s="269"/>
      <c r="M267" s="269"/>
      <c r="N267" s="215"/>
      <c r="O267" s="169"/>
      <c r="P267" s="162"/>
      <c r="Q267" s="199"/>
    </row>
    <row r="268" spans="1:17" x14ac:dyDescent="0.25">
      <c r="A268" s="170"/>
      <c r="B268" s="217" t="s">
        <v>459</v>
      </c>
      <c r="C268" s="219" t="s">
        <v>460</v>
      </c>
      <c r="D268" s="213" t="s">
        <v>301</v>
      </c>
      <c r="E268" s="214"/>
      <c r="F268" s="269"/>
      <c r="G268" s="269"/>
      <c r="H268" s="215"/>
      <c r="I268" s="169"/>
      <c r="J268" s="162"/>
      <c r="K268" s="198">
        <v>1</v>
      </c>
      <c r="L268" s="222">
        <v>350000</v>
      </c>
      <c r="M268" s="222">
        <v>900000</v>
      </c>
      <c r="N268" s="264"/>
      <c r="O268" s="176">
        <f t="shared" ref="O268" si="108">N268+M268+L268</f>
        <v>1250000</v>
      </c>
      <c r="P268" s="177">
        <f t="shared" si="106"/>
        <v>1250000</v>
      </c>
      <c r="Q268" s="199">
        <f t="shared" si="107"/>
        <v>1250000</v>
      </c>
    </row>
    <row r="269" spans="1:17" x14ac:dyDescent="0.25">
      <c r="A269" s="170"/>
      <c r="B269" s="217" t="s">
        <v>461</v>
      </c>
      <c r="C269" s="219"/>
      <c r="D269" s="213" t="s">
        <v>301</v>
      </c>
      <c r="E269" s="214"/>
      <c r="F269" s="168"/>
      <c r="G269" s="168">
        <v>75000</v>
      </c>
      <c r="H269" s="168">
        <v>10000</v>
      </c>
      <c r="I269" s="169"/>
      <c r="J269" s="162"/>
      <c r="K269" s="198">
        <f>(0.2*0.2*60)</f>
        <v>2.4000000000000004</v>
      </c>
      <c r="L269" s="175">
        <f>20000*25</f>
        <v>500000</v>
      </c>
      <c r="M269" s="175">
        <v>150000</v>
      </c>
      <c r="N269" s="175">
        <v>10000</v>
      </c>
      <c r="O269" s="176">
        <f>N269+M269+L269</f>
        <v>660000</v>
      </c>
      <c r="P269" s="177">
        <f t="shared" si="106"/>
        <v>1584000.0000000002</v>
      </c>
      <c r="Q269" s="199">
        <f t="shared" si="107"/>
        <v>1584000.0000000002</v>
      </c>
    </row>
    <row r="270" spans="1:17" x14ac:dyDescent="0.25">
      <c r="A270" s="170"/>
      <c r="B270" s="217" t="s">
        <v>462</v>
      </c>
      <c r="C270" s="219"/>
      <c r="D270" s="213" t="s">
        <v>301</v>
      </c>
      <c r="E270" s="214"/>
      <c r="F270" s="269"/>
      <c r="G270" s="269"/>
      <c r="H270" s="215"/>
      <c r="I270" s="169"/>
      <c r="J270" s="162"/>
      <c r="K270" s="198">
        <f>(5.4*3)+(2*6)</f>
        <v>28.200000000000003</v>
      </c>
      <c r="L270" s="175">
        <v>75000</v>
      </c>
      <c r="M270" s="175">
        <v>25000</v>
      </c>
      <c r="N270" s="175"/>
      <c r="O270" s="176">
        <f>N270+M270+L270</f>
        <v>100000</v>
      </c>
      <c r="P270" s="177">
        <f t="shared" si="106"/>
        <v>2820000.0000000005</v>
      </c>
      <c r="Q270" s="199">
        <f t="shared" si="107"/>
        <v>2820000.0000000005</v>
      </c>
    </row>
    <row r="271" spans="1:17" x14ac:dyDescent="0.25">
      <c r="A271" s="202"/>
      <c r="B271" s="200" t="s">
        <v>474</v>
      </c>
      <c r="C271" s="200"/>
      <c r="D271" s="339" t="s">
        <v>301</v>
      </c>
      <c r="E271" s="214"/>
      <c r="F271" s="168"/>
      <c r="G271" s="168">
        <v>75000</v>
      </c>
      <c r="H271" s="168">
        <v>10000</v>
      </c>
      <c r="I271" s="169"/>
      <c r="J271" s="162"/>
      <c r="K271" s="340">
        <v>1</v>
      </c>
      <c r="L271" s="341">
        <v>1000000</v>
      </c>
      <c r="M271" s="341">
        <v>300000</v>
      </c>
      <c r="N271" s="342"/>
      <c r="O271" s="343">
        <f>N271+M271+L271</f>
        <v>1300000</v>
      </c>
      <c r="P271" s="343">
        <f t="shared" si="106"/>
        <v>1300000</v>
      </c>
      <c r="Q271" s="344">
        <f t="shared" si="107"/>
        <v>1300000</v>
      </c>
    </row>
    <row r="272" spans="1:17" x14ac:dyDescent="0.25">
      <c r="E272" s="214"/>
      <c r="F272" s="269"/>
      <c r="G272" s="269"/>
      <c r="H272" s="215"/>
      <c r="I272" s="169"/>
      <c r="J272" s="162"/>
      <c r="Q272" s="4"/>
    </row>
    <row r="273" spans="1:17" ht="30" x14ac:dyDescent="0.25">
      <c r="A273" s="190" t="s">
        <v>222</v>
      </c>
      <c r="B273" s="289" t="s">
        <v>464</v>
      </c>
      <c r="C273" s="191" t="s">
        <v>465</v>
      </c>
      <c r="D273" s="185" t="s">
        <v>290</v>
      </c>
      <c r="E273" s="192" t="s">
        <v>282</v>
      </c>
      <c r="F273" s="193"/>
      <c r="G273" s="193"/>
      <c r="H273" s="193"/>
      <c r="I273" s="193"/>
      <c r="J273" s="161"/>
      <c r="K273" s="192" t="s">
        <v>282</v>
      </c>
      <c r="L273" s="193"/>
      <c r="M273" s="193"/>
      <c r="N273" s="193"/>
      <c r="O273" s="193"/>
      <c r="P273" s="161"/>
      <c r="Q273" s="162">
        <f t="shared" ref="Q273:Q282" si="109">P273-J273</f>
        <v>0</v>
      </c>
    </row>
    <row r="274" spans="1:17" x14ac:dyDescent="0.25">
      <c r="A274" s="170">
        <v>1</v>
      </c>
      <c r="B274" s="217" t="s">
        <v>466</v>
      </c>
      <c r="C274" s="220" t="s">
        <v>467</v>
      </c>
      <c r="D274" s="197" t="s">
        <v>301</v>
      </c>
      <c r="E274" s="221">
        <f>10*7*3*2</f>
        <v>420</v>
      </c>
      <c r="F274" s="222">
        <v>40000</v>
      </c>
      <c r="G274" s="222">
        <v>5000</v>
      </c>
      <c r="H274" s="222">
        <v>2500</v>
      </c>
      <c r="I274" s="223">
        <f>H274+G274+F274</f>
        <v>47500</v>
      </c>
      <c r="J274" s="224">
        <f t="shared" ref="J274:J278" si="110">I274*E274</f>
        <v>19950000</v>
      </c>
      <c r="K274" s="221">
        <f>10*7*3*2</f>
        <v>420</v>
      </c>
      <c r="L274" s="222">
        <v>20000</v>
      </c>
      <c r="M274" s="222">
        <v>5000</v>
      </c>
      <c r="N274" s="222">
        <v>2500</v>
      </c>
      <c r="O274" s="223">
        <f>N274+M274+L274</f>
        <v>27500</v>
      </c>
      <c r="P274" s="224">
        <f t="shared" ref="P274:P278" si="111">O274*K274</f>
        <v>11550000</v>
      </c>
      <c r="Q274" s="178">
        <f t="shared" si="109"/>
        <v>-8400000</v>
      </c>
    </row>
    <row r="275" spans="1:17" x14ac:dyDescent="0.25">
      <c r="A275" s="170">
        <v>2</v>
      </c>
      <c r="B275" s="217" t="s">
        <v>319</v>
      </c>
      <c r="C275" s="220" t="s">
        <v>468</v>
      </c>
      <c r="D275" s="197" t="s">
        <v>301</v>
      </c>
      <c r="E275" s="221">
        <f>8*8*2</f>
        <v>128</v>
      </c>
      <c r="F275" s="222">
        <v>50000</v>
      </c>
      <c r="G275" s="222">
        <v>5000</v>
      </c>
      <c r="H275" s="222">
        <v>2500</v>
      </c>
      <c r="I275" s="223">
        <f>H275+G275+F275</f>
        <v>57500</v>
      </c>
      <c r="J275" s="224">
        <f t="shared" si="110"/>
        <v>7360000</v>
      </c>
      <c r="K275" s="221">
        <f>8*8*2</f>
        <v>128</v>
      </c>
      <c r="L275" s="222">
        <v>25000</v>
      </c>
      <c r="M275" s="222">
        <v>5000</v>
      </c>
      <c r="N275" s="222">
        <v>2500</v>
      </c>
      <c r="O275" s="223">
        <f>N275+M275+L275</f>
        <v>32500</v>
      </c>
      <c r="P275" s="224">
        <f t="shared" si="111"/>
        <v>4160000</v>
      </c>
      <c r="Q275" s="178">
        <f t="shared" si="109"/>
        <v>-3200000</v>
      </c>
    </row>
    <row r="276" spans="1:17" x14ac:dyDescent="0.25">
      <c r="A276" s="170">
        <v>3</v>
      </c>
      <c r="B276" s="217" t="s">
        <v>469</v>
      </c>
      <c r="C276" s="220" t="s">
        <v>467</v>
      </c>
      <c r="D276" s="197" t="s">
        <v>301</v>
      </c>
      <c r="E276" s="221">
        <f>8*12*2</f>
        <v>192</v>
      </c>
      <c r="F276" s="222">
        <v>40000</v>
      </c>
      <c r="G276" s="222">
        <v>5000</v>
      </c>
      <c r="H276" s="222">
        <v>2500</v>
      </c>
      <c r="I276" s="223">
        <f>H276+G276+F276</f>
        <v>47500</v>
      </c>
      <c r="J276" s="224">
        <f t="shared" si="110"/>
        <v>9120000</v>
      </c>
      <c r="K276" s="221">
        <f>8*12*2</f>
        <v>192</v>
      </c>
      <c r="L276" s="222">
        <v>20000</v>
      </c>
      <c r="M276" s="222">
        <v>5000</v>
      </c>
      <c r="N276" s="222">
        <v>2500</v>
      </c>
      <c r="O276" s="223">
        <f>N276+M276+L276</f>
        <v>27500</v>
      </c>
      <c r="P276" s="224">
        <f t="shared" si="111"/>
        <v>5280000</v>
      </c>
      <c r="Q276" s="178">
        <f t="shared" si="109"/>
        <v>-3840000</v>
      </c>
    </row>
    <row r="277" spans="1:17" x14ac:dyDescent="0.25">
      <c r="A277" s="170">
        <v>4</v>
      </c>
      <c r="B277" s="217" t="s">
        <v>470</v>
      </c>
      <c r="C277" s="220" t="s">
        <v>467</v>
      </c>
      <c r="D277" s="197" t="s">
        <v>301</v>
      </c>
      <c r="E277" s="221">
        <f>10*4</f>
        <v>40</v>
      </c>
      <c r="F277" s="222">
        <v>40000</v>
      </c>
      <c r="G277" s="222">
        <v>5000</v>
      </c>
      <c r="H277" s="222">
        <v>2500</v>
      </c>
      <c r="I277" s="223">
        <f>H277+G277+F277</f>
        <v>47500</v>
      </c>
      <c r="J277" s="224">
        <f t="shared" si="110"/>
        <v>1900000</v>
      </c>
      <c r="K277" s="221">
        <f>10*4</f>
        <v>40</v>
      </c>
      <c r="L277" s="222">
        <v>20000</v>
      </c>
      <c r="M277" s="222">
        <v>5000</v>
      </c>
      <c r="N277" s="222">
        <v>2500</v>
      </c>
      <c r="O277" s="223">
        <f>N277+M277+L277</f>
        <v>27500</v>
      </c>
      <c r="P277" s="224">
        <f t="shared" si="111"/>
        <v>1100000</v>
      </c>
      <c r="Q277" s="178">
        <f t="shared" si="109"/>
        <v>-800000</v>
      </c>
    </row>
    <row r="278" spans="1:17" x14ac:dyDescent="0.25">
      <c r="A278" s="170">
        <v>5</v>
      </c>
      <c r="B278" s="217" t="s">
        <v>471</v>
      </c>
      <c r="C278" s="220" t="s">
        <v>468</v>
      </c>
      <c r="D278" s="197" t="s">
        <v>178</v>
      </c>
      <c r="E278" s="221">
        <v>26.2</v>
      </c>
      <c r="F278" s="222">
        <v>25000</v>
      </c>
      <c r="G278" s="222">
        <v>500</v>
      </c>
      <c r="H278" s="222">
        <v>2500</v>
      </c>
      <c r="I278" s="223">
        <f>H278+G278+F278</f>
        <v>28000</v>
      </c>
      <c r="J278" s="224">
        <f t="shared" si="110"/>
        <v>733600</v>
      </c>
      <c r="K278" s="221">
        <v>26.2</v>
      </c>
      <c r="L278" s="222">
        <v>15000</v>
      </c>
      <c r="M278" s="222">
        <v>500</v>
      </c>
      <c r="N278" s="222">
        <v>2500</v>
      </c>
      <c r="O278" s="223">
        <f>N278+M278+L278</f>
        <v>18000</v>
      </c>
      <c r="P278" s="224">
        <f t="shared" si="111"/>
        <v>471600</v>
      </c>
      <c r="Q278" s="178">
        <f t="shared" si="109"/>
        <v>-262000</v>
      </c>
    </row>
    <row r="279" spans="1:17" x14ac:dyDescent="0.25">
      <c r="Q279" s="178"/>
    </row>
    <row r="280" spans="1:17" x14ac:dyDescent="0.25">
      <c r="A280" s="342">
        <v>39</v>
      </c>
      <c r="B280" s="284" t="s">
        <v>452</v>
      </c>
      <c r="C280" s="219" t="s">
        <v>455</v>
      </c>
      <c r="D280" s="197" t="s">
        <v>301</v>
      </c>
      <c r="E280" s="198">
        <f>5*4</f>
        <v>20</v>
      </c>
      <c r="F280" s="222">
        <v>750000</v>
      </c>
      <c r="G280" s="222">
        <v>200000</v>
      </c>
      <c r="H280" s="264"/>
      <c r="I280" s="176">
        <f t="shared" ref="I280" si="112">H280+G280+F280</f>
        <v>950000</v>
      </c>
      <c r="J280" s="177">
        <f t="shared" ref="J280" si="113">I280*E280</f>
        <v>19000000</v>
      </c>
      <c r="K280" s="198">
        <f>5*4</f>
        <v>20</v>
      </c>
      <c r="L280" s="222">
        <v>850000</v>
      </c>
      <c r="M280" s="222">
        <v>200000</v>
      </c>
      <c r="N280" s="264"/>
      <c r="O280" s="176">
        <f t="shared" ref="O280:O281" si="114">N280+M280+L280</f>
        <v>1050000</v>
      </c>
      <c r="P280" s="177">
        <f t="shared" ref="P280:P282" si="115">O280*K280</f>
        <v>21000000</v>
      </c>
      <c r="Q280" s="218">
        <f t="shared" si="109"/>
        <v>2000000</v>
      </c>
    </row>
    <row r="281" spans="1:17" x14ac:dyDescent="0.25">
      <c r="A281" s="202"/>
      <c r="B281" s="200" t="s">
        <v>475</v>
      </c>
      <c r="C281" s="200"/>
      <c r="D281" s="339" t="s">
        <v>212</v>
      </c>
      <c r="E281" s="345"/>
      <c r="F281" s="346"/>
      <c r="G281" s="346"/>
      <c r="H281" s="347"/>
      <c r="I281" s="348"/>
      <c r="J281" s="348"/>
      <c r="K281" s="340">
        <v>1</v>
      </c>
      <c r="L281" s="341">
        <v>1200000</v>
      </c>
      <c r="M281" s="341">
        <v>200000</v>
      </c>
      <c r="N281" s="342"/>
      <c r="O281" s="343">
        <f t="shared" si="114"/>
        <v>1400000</v>
      </c>
      <c r="P281" s="343">
        <f t="shared" si="115"/>
        <v>1400000</v>
      </c>
      <c r="Q281" s="344">
        <f t="shared" si="109"/>
        <v>1400000</v>
      </c>
    </row>
    <row r="282" spans="1:17" x14ac:dyDescent="0.25">
      <c r="A282" s="202"/>
      <c r="B282" s="200" t="s">
        <v>474</v>
      </c>
      <c r="C282" s="200"/>
      <c r="D282" s="339" t="s">
        <v>301</v>
      </c>
      <c r="E282" s="345"/>
      <c r="F282" s="346"/>
      <c r="G282" s="346"/>
      <c r="H282" s="347"/>
      <c r="I282" s="348"/>
      <c r="J282" s="348"/>
      <c r="K282" s="340">
        <v>1</v>
      </c>
      <c r="L282" s="341">
        <v>1000000</v>
      </c>
      <c r="M282" s="341">
        <v>300000</v>
      </c>
      <c r="N282" s="342"/>
      <c r="O282" s="343">
        <f>N282+M282+L282</f>
        <v>1300000</v>
      </c>
      <c r="P282" s="343">
        <f t="shared" si="115"/>
        <v>1300000</v>
      </c>
      <c r="Q282" s="344">
        <f t="shared" si="109"/>
        <v>1300000</v>
      </c>
    </row>
    <row r="283" spans="1:17" x14ac:dyDescent="0.25">
      <c r="Q283" s="4"/>
    </row>
    <row r="284" spans="1:17" x14ac:dyDescent="0.25">
      <c r="A284" s="170"/>
      <c r="B284" s="196" t="s">
        <v>308</v>
      </c>
      <c r="C284" s="196" t="s">
        <v>309</v>
      </c>
      <c r="D284" s="197" t="s">
        <v>301</v>
      </c>
      <c r="E284" s="345"/>
      <c r="F284" s="346"/>
      <c r="G284" s="346"/>
      <c r="H284" s="347"/>
      <c r="I284" s="348"/>
      <c r="J284" s="348"/>
      <c r="K284" s="198">
        <f>5*8</f>
        <v>40</v>
      </c>
      <c r="L284" s="175">
        <v>25000</v>
      </c>
      <c r="M284" s="175">
        <v>200000</v>
      </c>
      <c r="N284" s="175">
        <v>10000</v>
      </c>
      <c r="O284" s="176">
        <f>N284+M284+L284</f>
        <v>235000</v>
      </c>
      <c r="P284" s="177">
        <f t="shared" ref="P284:P286" si="116">O284*K284</f>
        <v>9400000</v>
      </c>
      <c r="Q284" s="218">
        <f t="shared" ref="Q284:Q286" si="117">P284-J284</f>
        <v>9400000</v>
      </c>
    </row>
    <row r="285" spans="1:17" x14ac:dyDescent="0.25">
      <c r="A285" s="154"/>
      <c r="B285" s="200" t="s">
        <v>310</v>
      </c>
      <c r="C285" s="200" t="s">
        <v>311</v>
      </c>
      <c r="D285" s="201" t="s">
        <v>218</v>
      </c>
      <c r="E285" s="345"/>
      <c r="F285" s="346"/>
      <c r="G285" s="346"/>
      <c r="H285" s="347"/>
      <c r="I285" s="348"/>
      <c r="J285" s="348"/>
      <c r="K285" s="203">
        <v>4</v>
      </c>
      <c r="L285" s="204">
        <v>400000</v>
      </c>
      <c r="M285" s="202"/>
      <c r="N285" s="202"/>
      <c r="O285" s="205">
        <f t="shared" ref="O285:O286" si="118">N285+M285+L285</f>
        <v>400000</v>
      </c>
      <c r="P285" s="177">
        <f t="shared" si="116"/>
        <v>1600000</v>
      </c>
      <c r="Q285" s="218">
        <f t="shared" si="117"/>
        <v>1600000</v>
      </c>
    </row>
    <row r="286" spans="1:17" x14ac:dyDescent="0.25">
      <c r="A286" s="154"/>
      <c r="B286" s="202"/>
      <c r="C286" s="200" t="s">
        <v>312</v>
      </c>
      <c r="D286" s="206" t="s">
        <v>218</v>
      </c>
      <c r="E286" s="345"/>
      <c r="F286" s="346"/>
      <c r="G286" s="346"/>
      <c r="H286" s="347"/>
      <c r="I286" s="348"/>
      <c r="J286" s="348"/>
      <c r="K286" s="203">
        <v>2</v>
      </c>
      <c r="L286" s="207">
        <v>1250000</v>
      </c>
      <c r="M286" s="202"/>
      <c r="N286" s="202"/>
      <c r="O286" s="208">
        <f t="shared" si="118"/>
        <v>1250000</v>
      </c>
      <c r="P286" s="209">
        <f t="shared" si="116"/>
        <v>2500000</v>
      </c>
      <c r="Q286" s="311">
        <f t="shared" si="117"/>
        <v>2500000</v>
      </c>
    </row>
  </sheetData>
  <mergeCells count="24">
    <mergeCell ref="E6:E7"/>
    <mergeCell ref="I6:I7"/>
    <mergeCell ref="B32:C32"/>
    <mergeCell ref="A6:A7"/>
    <mergeCell ref="B6:B7"/>
    <mergeCell ref="C6:C7"/>
    <mergeCell ref="D6:D7"/>
    <mergeCell ref="J6:J7"/>
    <mergeCell ref="K6:K7"/>
    <mergeCell ref="O6:O7"/>
    <mergeCell ref="P6:P7"/>
    <mergeCell ref="Q6:Q7"/>
    <mergeCell ref="Q189:Q190"/>
    <mergeCell ref="B105:C105"/>
    <mergeCell ref="A189:A190"/>
    <mergeCell ref="B189:B190"/>
    <mergeCell ref="C189:C190"/>
    <mergeCell ref="D189:D190"/>
    <mergeCell ref="E189:E190"/>
    <mergeCell ref="I189:I190"/>
    <mergeCell ref="J189:J190"/>
    <mergeCell ref="K189:K190"/>
    <mergeCell ref="O189:O190"/>
    <mergeCell ref="P189:P19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1E10F-A798-4288-A7A3-ECC7AE3253E4}">
  <dimension ref="A1:O293"/>
  <sheetViews>
    <sheetView workbookViewId="0">
      <selection sqref="A1:XFD1048576"/>
    </sheetView>
  </sheetViews>
  <sheetFormatPr defaultRowHeight="15" x14ac:dyDescent="0.25"/>
  <cols>
    <col min="1" max="1" width="4.7109375" customWidth="1"/>
    <col min="2" max="2" width="39.28515625" customWidth="1"/>
    <col min="3" max="3" width="48.7109375" bestFit="1" customWidth="1"/>
    <col min="4" max="4" width="8.28515625" customWidth="1"/>
    <col min="5" max="5" width="0.140625" hidden="1" customWidth="1"/>
    <col min="6" max="6" width="12.85546875" hidden="1" customWidth="1"/>
    <col min="7" max="7" width="10.42578125" hidden="1" customWidth="1"/>
    <col min="8" max="8" width="11.85546875" hidden="1" customWidth="1"/>
    <col min="9" max="9" width="12.85546875" hidden="1" customWidth="1"/>
    <col min="10" max="10" width="14" customWidth="1"/>
    <col min="11" max="11" width="15" bestFit="1" customWidth="1"/>
    <col min="12" max="12" width="11.42578125" customWidth="1"/>
    <col min="13" max="13" width="12.42578125" customWidth="1"/>
    <col min="14" max="14" width="12.28515625" customWidth="1"/>
    <col min="15" max="15" width="12.85546875" customWidth="1"/>
  </cols>
  <sheetData>
    <row r="1" spans="1:15" ht="18.75" x14ac:dyDescent="0.3">
      <c r="B1" s="349" t="s">
        <v>476</v>
      </c>
      <c r="C1" s="350"/>
    </row>
    <row r="2" spans="1:15" ht="18" x14ac:dyDescent="0.25">
      <c r="B2" s="351" t="s">
        <v>1</v>
      </c>
      <c r="C2" s="352" t="s">
        <v>477</v>
      </c>
    </row>
    <row r="3" spans="1:15" ht="18" x14ac:dyDescent="0.25">
      <c r="B3" s="351" t="s">
        <v>3</v>
      </c>
      <c r="C3" s="352" t="s">
        <v>478</v>
      </c>
    </row>
    <row r="4" spans="1:15" ht="18" x14ac:dyDescent="0.25">
      <c r="B4" s="351" t="s">
        <v>5</v>
      </c>
      <c r="C4" s="352" t="s">
        <v>479</v>
      </c>
    </row>
    <row r="5" spans="1:15" ht="21" thickBot="1" x14ac:dyDescent="0.3">
      <c r="B5" s="351" t="s">
        <v>7</v>
      </c>
      <c r="C5" s="352" t="s">
        <v>8</v>
      </c>
      <c r="L5" s="353" t="s">
        <v>480</v>
      </c>
    </row>
    <row r="6" spans="1:15" ht="15.75" x14ac:dyDescent="0.25">
      <c r="A6" s="949" t="s">
        <v>276</v>
      </c>
      <c r="B6" s="938" t="s">
        <v>277</v>
      </c>
      <c r="C6" s="938" t="s">
        <v>278</v>
      </c>
      <c r="D6" s="938" t="s">
        <v>279</v>
      </c>
      <c r="E6" s="938" t="s">
        <v>280</v>
      </c>
      <c r="F6" s="938" t="s">
        <v>281</v>
      </c>
      <c r="G6" s="938" t="s">
        <v>282</v>
      </c>
      <c r="H6" s="938" t="s">
        <v>282</v>
      </c>
      <c r="I6" s="938" t="s">
        <v>283</v>
      </c>
      <c r="J6" s="940" t="s">
        <v>284</v>
      </c>
      <c r="K6" s="942" t="s">
        <v>481</v>
      </c>
      <c r="L6" s="944" t="s">
        <v>482</v>
      </c>
      <c r="M6" s="946" t="s">
        <v>481</v>
      </c>
      <c r="N6" s="947"/>
      <c r="O6" s="948"/>
    </row>
    <row r="7" spans="1:15" ht="19.5" thickBot="1" x14ac:dyDescent="0.3">
      <c r="A7" s="950"/>
      <c r="B7" s="939"/>
      <c r="C7" s="939"/>
      <c r="D7" s="939"/>
      <c r="E7" s="939"/>
      <c r="F7" s="354" t="s">
        <v>285</v>
      </c>
      <c r="G7" s="354" t="s">
        <v>286</v>
      </c>
      <c r="H7" s="354" t="s">
        <v>287</v>
      </c>
      <c r="I7" s="939"/>
      <c r="J7" s="941"/>
      <c r="K7" s="943"/>
      <c r="L7" s="945"/>
      <c r="M7" s="355" t="s">
        <v>483</v>
      </c>
      <c r="N7" s="355" t="s">
        <v>484</v>
      </c>
      <c r="O7" s="356" t="s">
        <v>485</v>
      </c>
    </row>
    <row r="8" spans="1:15" x14ac:dyDescent="0.25">
      <c r="A8" s="357" t="s">
        <v>288</v>
      </c>
      <c r="B8" s="358" t="s">
        <v>289</v>
      </c>
      <c r="C8" s="358" t="s">
        <v>282</v>
      </c>
      <c r="D8" s="150" t="s">
        <v>290</v>
      </c>
      <c r="E8" s="359" t="s">
        <v>282</v>
      </c>
      <c r="F8" s="359"/>
      <c r="G8" s="359"/>
      <c r="H8" s="359"/>
      <c r="I8" s="359"/>
      <c r="J8" s="360"/>
      <c r="K8" s="361"/>
      <c r="L8" s="362"/>
      <c r="M8" s="363"/>
      <c r="N8" s="363"/>
      <c r="O8" s="364"/>
    </row>
    <row r="9" spans="1:15" ht="15.75" x14ac:dyDescent="0.25">
      <c r="A9" s="154">
        <v>1</v>
      </c>
      <c r="B9" s="155" t="s">
        <v>486</v>
      </c>
      <c r="C9" s="365" t="s">
        <v>26</v>
      </c>
      <c r="D9" s="157" t="s">
        <v>29</v>
      </c>
      <c r="E9" s="158">
        <v>1</v>
      </c>
      <c r="F9" s="159"/>
      <c r="G9" s="159"/>
      <c r="H9" s="159">
        <v>1000000</v>
      </c>
      <c r="I9" s="160">
        <f t="shared" ref="I9:I11" si="0">H9+G9+F9</f>
        <v>1000000</v>
      </c>
      <c r="J9" s="161">
        <f>E9*I9</f>
        <v>1000000</v>
      </c>
      <c r="K9" s="366">
        <f>J9/J286</f>
        <v>1.556538221482851E-3</v>
      </c>
      <c r="L9" s="367">
        <v>0.35</v>
      </c>
      <c r="M9" s="368">
        <v>0</v>
      </c>
      <c r="N9" s="368">
        <f>K9*L9</f>
        <v>5.4478837751899788E-4</v>
      </c>
      <c r="O9" s="369"/>
    </row>
    <row r="10" spans="1:15" ht="30" x14ac:dyDescent="0.25">
      <c r="A10" s="154">
        <v>2</v>
      </c>
      <c r="B10" s="240" t="s">
        <v>291</v>
      </c>
      <c r="C10" s="370" t="s">
        <v>26</v>
      </c>
      <c r="D10" s="371" t="s">
        <v>29</v>
      </c>
      <c r="E10" s="372">
        <v>1</v>
      </c>
      <c r="F10" s="159"/>
      <c r="G10" s="159"/>
      <c r="H10" s="159">
        <v>3500000</v>
      </c>
      <c r="I10" s="160">
        <f t="shared" si="0"/>
        <v>3500000</v>
      </c>
      <c r="J10" s="161">
        <f t="shared" ref="J10:J11" si="1">E10*I10</f>
        <v>3500000</v>
      </c>
      <c r="K10" s="366">
        <f>J10/J286</f>
        <v>5.4478837751899788E-3</v>
      </c>
      <c r="L10" s="367">
        <v>0.35</v>
      </c>
      <c r="M10" s="368">
        <v>0</v>
      </c>
      <c r="N10" s="368">
        <f>K10*L10</f>
        <v>1.9067593213164924E-3</v>
      </c>
      <c r="O10" s="369"/>
    </row>
    <row r="11" spans="1:15" ht="15.75" x14ac:dyDescent="0.25">
      <c r="A11" s="154">
        <v>3</v>
      </c>
      <c r="B11" s="373" t="s">
        <v>292</v>
      </c>
      <c r="C11" s="370" t="s">
        <v>31</v>
      </c>
      <c r="D11" s="371" t="s">
        <v>29</v>
      </c>
      <c r="E11" s="372">
        <v>1</v>
      </c>
      <c r="F11" s="159"/>
      <c r="G11" s="159"/>
      <c r="H11" s="159">
        <v>1500000</v>
      </c>
      <c r="I11" s="160">
        <f t="shared" si="0"/>
        <v>1500000</v>
      </c>
      <c r="J11" s="161">
        <f t="shared" si="1"/>
        <v>1500000</v>
      </c>
      <c r="K11" s="366">
        <f>J11/J286</f>
        <v>2.3348073322242767E-3</v>
      </c>
      <c r="L11" s="367">
        <v>0.35</v>
      </c>
      <c r="M11" s="368">
        <v>0</v>
      </c>
      <c r="N11" s="368">
        <f>K11*L11</f>
        <v>8.1718256627849682E-4</v>
      </c>
      <c r="O11" s="369"/>
    </row>
    <row r="12" spans="1:15" ht="15.75" x14ac:dyDescent="0.25">
      <c r="A12" s="374" t="s">
        <v>282</v>
      </c>
      <c r="B12" s="375" t="s">
        <v>282</v>
      </c>
      <c r="C12" s="241" t="s">
        <v>282</v>
      </c>
      <c r="D12" s="185" t="s">
        <v>282</v>
      </c>
      <c r="E12" s="242" t="s">
        <v>282</v>
      </c>
      <c r="F12" s="243"/>
      <c r="G12" s="243"/>
      <c r="H12" s="243"/>
      <c r="I12" s="376" t="s">
        <v>295</v>
      </c>
      <c r="J12" s="273">
        <f>SUM(J9:J11)</f>
        <v>6000000</v>
      </c>
      <c r="K12" s="377">
        <f>SUM(K9:K11)</f>
        <v>9.3392293288971067E-3</v>
      </c>
      <c r="L12" s="367">
        <v>0</v>
      </c>
      <c r="M12" s="378">
        <f>SUM(M9:M11)</f>
        <v>0</v>
      </c>
      <c r="N12" s="378">
        <f>SUM(N9:N11)</f>
        <v>3.2687302651139873E-3</v>
      </c>
      <c r="O12" s="379"/>
    </row>
    <row r="13" spans="1:15" ht="15.75" x14ac:dyDescent="0.25">
      <c r="A13" s="380" t="s">
        <v>23</v>
      </c>
      <c r="B13" s="381" t="s">
        <v>296</v>
      </c>
      <c r="C13" s="381" t="s">
        <v>282</v>
      </c>
      <c r="D13" s="185" t="s">
        <v>290</v>
      </c>
      <c r="E13" s="242" t="s">
        <v>282</v>
      </c>
      <c r="F13" s="382"/>
      <c r="G13" s="382"/>
      <c r="H13" s="382"/>
      <c r="I13" s="382"/>
      <c r="J13" s="383"/>
      <c r="K13" s="366"/>
      <c r="L13" s="367"/>
      <c r="M13" s="368"/>
      <c r="N13" s="368"/>
      <c r="O13" s="369"/>
    </row>
    <row r="14" spans="1:15" ht="15.75" x14ac:dyDescent="0.25">
      <c r="A14" s="384" t="s">
        <v>297</v>
      </c>
      <c r="B14" s="385" t="s">
        <v>487</v>
      </c>
      <c r="C14" s="381"/>
      <c r="D14" s="185"/>
      <c r="E14" s="242"/>
      <c r="F14" s="382"/>
      <c r="G14" s="386"/>
      <c r="H14" s="387"/>
      <c r="I14" s="382"/>
      <c r="J14" s="383"/>
      <c r="K14" s="366"/>
      <c r="L14" s="367"/>
      <c r="M14" s="368"/>
      <c r="N14" s="368"/>
      <c r="O14" s="369"/>
    </row>
    <row r="15" spans="1:15" ht="15.75" x14ac:dyDescent="0.25">
      <c r="A15" s="388">
        <v>1</v>
      </c>
      <c r="B15" s="240" t="s">
        <v>488</v>
      </c>
      <c r="C15" s="241" t="s">
        <v>282</v>
      </c>
      <c r="D15" s="185" t="s">
        <v>337</v>
      </c>
      <c r="E15" s="242">
        <f>0.2*0.4*4</f>
        <v>0.32000000000000006</v>
      </c>
      <c r="F15" s="245"/>
      <c r="G15" s="245">
        <v>250000</v>
      </c>
      <c r="H15" s="243"/>
      <c r="I15" s="246">
        <f>H15+G15+F15</f>
        <v>250000</v>
      </c>
      <c r="J15" s="161">
        <f>E15*I15</f>
        <v>80000.000000000015</v>
      </c>
      <c r="K15" s="368">
        <f>J15/J286</f>
        <v>1.2452305771862811E-4</v>
      </c>
      <c r="L15" s="367">
        <v>1</v>
      </c>
      <c r="M15" s="368">
        <v>0</v>
      </c>
      <c r="N15" s="368">
        <f>K15*L15</f>
        <v>1.2452305771862811E-4</v>
      </c>
      <c r="O15" s="389"/>
    </row>
    <row r="16" spans="1:15" ht="15.75" x14ac:dyDescent="0.25">
      <c r="A16" s="390">
        <v>2</v>
      </c>
      <c r="B16" s="240" t="s">
        <v>338</v>
      </c>
      <c r="C16" s="241"/>
      <c r="D16" s="185" t="s">
        <v>337</v>
      </c>
      <c r="E16" s="242">
        <f>0.2*0.1*4</f>
        <v>8.0000000000000016E-2</v>
      </c>
      <c r="F16" s="245">
        <v>350000</v>
      </c>
      <c r="G16" s="245">
        <v>50000</v>
      </c>
      <c r="H16" s="243"/>
      <c r="I16" s="246">
        <f>H16+G16+F16</f>
        <v>400000</v>
      </c>
      <c r="J16" s="161">
        <f t="shared" ref="J16:J17" si="2">E16*I16</f>
        <v>32000.000000000007</v>
      </c>
      <c r="K16" s="368">
        <f>J16/J286</f>
        <v>4.9809223087451246E-5</v>
      </c>
      <c r="L16" s="367">
        <v>1</v>
      </c>
      <c r="M16" s="368">
        <v>0</v>
      </c>
      <c r="N16" s="368">
        <f t="shared" ref="N16:N64" si="3">K16*L16</f>
        <v>4.9809223087451246E-5</v>
      </c>
      <c r="O16" s="389"/>
    </row>
    <row r="17" spans="1:15" ht="15.75" x14ac:dyDescent="0.25">
      <c r="A17" s="390">
        <v>3</v>
      </c>
      <c r="B17" s="240" t="s">
        <v>339</v>
      </c>
      <c r="C17" s="241" t="s">
        <v>282</v>
      </c>
      <c r="D17" s="185" t="s">
        <v>337</v>
      </c>
      <c r="E17" s="242">
        <f>E16</f>
        <v>8.0000000000000016E-2</v>
      </c>
      <c r="F17" s="245">
        <v>700000</v>
      </c>
      <c r="G17" s="245">
        <v>200000</v>
      </c>
      <c r="H17" s="243"/>
      <c r="I17" s="246">
        <f>H17+G17+F17</f>
        <v>900000</v>
      </c>
      <c r="J17" s="161">
        <f t="shared" si="2"/>
        <v>72000.000000000015</v>
      </c>
      <c r="K17" s="368">
        <f>J17/J286</f>
        <v>1.120707519467653E-4</v>
      </c>
      <c r="L17" s="367">
        <v>1</v>
      </c>
      <c r="M17" s="368">
        <v>0</v>
      </c>
      <c r="N17" s="368">
        <f t="shared" si="3"/>
        <v>1.120707519467653E-4</v>
      </c>
      <c r="O17" s="389"/>
    </row>
    <row r="18" spans="1:15" ht="15.75" x14ac:dyDescent="0.25">
      <c r="A18" s="390">
        <v>4</v>
      </c>
      <c r="B18" s="240" t="s">
        <v>348</v>
      </c>
      <c r="C18" s="241" t="s">
        <v>282</v>
      </c>
      <c r="D18" s="185" t="s">
        <v>290</v>
      </c>
      <c r="E18" s="242" t="s">
        <v>282</v>
      </c>
      <c r="F18" s="243"/>
      <c r="G18" s="243"/>
      <c r="H18" s="243"/>
      <c r="I18" s="243"/>
      <c r="J18" s="391"/>
      <c r="K18" s="368"/>
      <c r="L18" s="367"/>
      <c r="M18" s="368"/>
      <c r="N18" s="392"/>
      <c r="O18" s="389"/>
    </row>
    <row r="19" spans="1:15" ht="15.75" x14ac:dyDescent="0.25">
      <c r="A19" s="393"/>
      <c r="B19" s="394" t="s">
        <v>341</v>
      </c>
      <c r="C19" s="395" t="s">
        <v>489</v>
      </c>
      <c r="D19" s="185" t="s">
        <v>337</v>
      </c>
      <c r="E19" s="242">
        <f>(0.15*0.25*4)</f>
        <v>0.15</v>
      </c>
      <c r="F19" s="245">
        <v>850000</v>
      </c>
      <c r="G19" s="245">
        <v>160000</v>
      </c>
      <c r="H19" s="245">
        <v>75000</v>
      </c>
      <c r="I19" s="246">
        <f>H19+G19+F19</f>
        <v>1085000</v>
      </c>
      <c r="J19" s="396">
        <f t="shared" ref="J19:J21" si="4">I19*E19</f>
        <v>162750</v>
      </c>
      <c r="K19" s="368">
        <f>J19/J286</f>
        <v>2.5332659554633399E-4</v>
      </c>
      <c r="L19" s="367">
        <v>1</v>
      </c>
      <c r="M19" s="368">
        <v>0</v>
      </c>
      <c r="N19" s="368">
        <f t="shared" si="3"/>
        <v>2.5332659554633399E-4</v>
      </c>
      <c r="O19" s="389"/>
    </row>
    <row r="20" spans="1:15" ht="15.75" x14ac:dyDescent="0.25">
      <c r="A20" s="393"/>
      <c r="B20" s="394" t="s">
        <v>343</v>
      </c>
      <c r="C20" s="395" t="s">
        <v>344</v>
      </c>
      <c r="D20" s="185" t="s">
        <v>345</v>
      </c>
      <c r="E20" s="242">
        <f>E19*200</f>
        <v>30</v>
      </c>
      <c r="F20" s="245">
        <v>14000</v>
      </c>
      <c r="G20" s="245">
        <v>2500</v>
      </c>
      <c r="H20" s="245">
        <v>1500</v>
      </c>
      <c r="I20" s="246">
        <f>H20+G20+F20</f>
        <v>18000</v>
      </c>
      <c r="J20" s="396">
        <f t="shared" si="4"/>
        <v>540000</v>
      </c>
      <c r="K20" s="368">
        <f>J20/J286</f>
        <v>8.4053063960073959E-4</v>
      </c>
      <c r="L20" s="367">
        <v>1</v>
      </c>
      <c r="M20" s="368">
        <v>0</v>
      </c>
      <c r="N20" s="368">
        <f t="shared" si="3"/>
        <v>8.4053063960073959E-4</v>
      </c>
      <c r="O20" s="389"/>
    </row>
    <row r="21" spans="1:15" ht="30" x14ac:dyDescent="0.25">
      <c r="A21" s="393"/>
      <c r="B21" s="394" t="s">
        <v>346</v>
      </c>
      <c r="C21" s="395" t="s">
        <v>347</v>
      </c>
      <c r="D21" s="185" t="s">
        <v>301</v>
      </c>
      <c r="E21" s="242">
        <f>(0.25*2*4)</f>
        <v>2</v>
      </c>
      <c r="F21" s="245">
        <v>80000</v>
      </c>
      <c r="G21" s="245">
        <v>40000</v>
      </c>
      <c r="H21" s="245">
        <v>10000</v>
      </c>
      <c r="I21" s="246">
        <f>H21+G21+F21</f>
        <v>130000</v>
      </c>
      <c r="J21" s="396">
        <f t="shared" si="4"/>
        <v>260000</v>
      </c>
      <c r="K21" s="368">
        <f>J21/J286</f>
        <v>4.0469993758554128E-4</v>
      </c>
      <c r="L21" s="367">
        <v>1</v>
      </c>
      <c r="M21" s="368">
        <v>0</v>
      </c>
      <c r="N21" s="368">
        <f t="shared" si="3"/>
        <v>4.0469993758554128E-4</v>
      </c>
      <c r="O21" s="389"/>
    </row>
    <row r="22" spans="1:15" ht="15.75" x14ac:dyDescent="0.25">
      <c r="A22" s="390">
        <v>5</v>
      </c>
      <c r="B22" s="397" t="s">
        <v>349</v>
      </c>
      <c r="C22" s="395" t="s">
        <v>282</v>
      </c>
      <c r="D22" s="398"/>
      <c r="E22" s="399" t="s">
        <v>282</v>
      </c>
      <c r="F22" s="400"/>
      <c r="G22" s="400"/>
      <c r="H22" s="400"/>
      <c r="I22" s="400"/>
      <c r="J22" s="401"/>
      <c r="K22" s="368"/>
      <c r="L22" s="367"/>
      <c r="M22" s="368"/>
      <c r="N22" s="392"/>
      <c r="O22" s="389"/>
    </row>
    <row r="23" spans="1:15" ht="15.75" x14ac:dyDescent="0.25">
      <c r="A23" s="402"/>
      <c r="B23" s="403" t="s">
        <v>341</v>
      </c>
      <c r="C23" s="395" t="s">
        <v>489</v>
      </c>
      <c r="D23" s="185" t="s">
        <v>337</v>
      </c>
      <c r="E23" s="399">
        <f>(0.15*0.3*4*2)</f>
        <v>0.36</v>
      </c>
      <c r="F23" s="245">
        <v>850000</v>
      </c>
      <c r="G23" s="245">
        <v>160000</v>
      </c>
      <c r="H23" s="245">
        <v>75000</v>
      </c>
      <c r="I23" s="246">
        <f t="shared" ref="I23:I25" si="5">H23+G23+F23</f>
        <v>1085000</v>
      </c>
      <c r="J23" s="161">
        <f t="shared" ref="J23:J25" si="6">E23*I23</f>
        <v>390600</v>
      </c>
      <c r="K23" s="368">
        <f>J23/J286</f>
        <v>6.0798382931120162E-4</v>
      </c>
      <c r="L23" s="367">
        <v>1</v>
      </c>
      <c r="M23" s="368">
        <v>0</v>
      </c>
      <c r="N23" s="368">
        <f t="shared" si="3"/>
        <v>6.0798382931120162E-4</v>
      </c>
      <c r="O23" s="389"/>
    </row>
    <row r="24" spans="1:15" ht="15.75" x14ac:dyDescent="0.25">
      <c r="A24" s="402"/>
      <c r="B24" s="403" t="s">
        <v>343</v>
      </c>
      <c r="C24" s="395" t="s">
        <v>344</v>
      </c>
      <c r="D24" s="185" t="s">
        <v>345</v>
      </c>
      <c r="E24" s="399">
        <f>E23*200</f>
        <v>72</v>
      </c>
      <c r="F24" s="245">
        <v>14000</v>
      </c>
      <c r="G24" s="245">
        <v>2500</v>
      </c>
      <c r="H24" s="245">
        <v>1500</v>
      </c>
      <c r="I24" s="246">
        <f t="shared" si="5"/>
        <v>18000</v>
      </c>
      <c r="J24" s="161">
        <f t="shared" si="6"/>
        <v>1296000</v>
      </c>
      <c r="K24" s="368">
        <f>J24/J286</f>
        <v>2.0172735350417748E-3</v>
      </c>
      <c r="L24" s="367">
        <v>1</v>
      </c>
      <c r="M24" s="368">
        <v>0</v>
      </c>
      <c r="N24" s="368">
        <f t="shared" si="3"/>
        <v>2.0172735350417748E-3</v>
      </c>
      <c r="O24" s="389"/>
    </row>
    <row r="25" spans="1:15" ht="30" x14ac:dyDescent="0.25">
      <c r="A25" s="374"/>
      <c r="B25" s="403" t="s">
        <v>346</v>
      </c>
      <c r="C25" s="395" t="s">
        <v>347</v>
      </c>
      <c r="D25" s="185" t="s">
        <v>301</v>
      </c>
      <c r="E25" s="399">
        <f>(0.2+0.4)*2*4</f>
        <v>4.8000000000000007</v>
      </c>
      <c r="F25" s="245">
        <v>100000</v>
      </c>
      <c r="G25" s="245">
        <v>40000</v>
      </c>
      <c r="H25" s="245">
        <v>10000</v>
      </c>
      <c r="I25" s="246">
        <f t="shared" si="5"/>
        <v>150000</v>
      </c>
      <c r="J25" s="161">
        <f t="shared" si="6"/>
        <v>720000.00000000012</v>
      </c>
      <c r="K25" s="368">
        <f>J25/J286</f>
        <v>1.120707519467653E-3</v>
      </c>
      <c r="L25" s="367">
        <v>1</v>
      </c>
      <c r="M25" s="368">
        <v>0</v>
      </c>
      <c r="N25" s="368">
        <f t="shared" si="3"/>
        <v>1.120707519467653E-3</v>
      </c>
      <c r="O25" s="389"/>
    </row>
    <row r="26" spans="1:15" ht="15.75" x14ac:dyDescent="0.25">
      <c r="A26" s="390">
        <v>6</v>
      </c>
      <c r="B26" s="404" t="s">
        <v>490</v>
      </c>
      <c r="C26" s="241" t="s">
        <v>282</v>
      </c>
      <c r="D26" s="185"/>
      <c r="E26" s="242"/>
      <c r="F26" s="405"/>
      <c r="G26" s="243"/>
      <c r="H26" s="243"/>
      <c r="I26" s="243"/>
      <c r="J26" s="161"/>
      <c r="K26" s="368"/>
      <c r="L26" s="367"/>
      <c r="M26" s="368"/>
      <c r="N26" s="392"/>
      <c r="O26" s="389"/>
    </row>
    <row r="27" spans="1:15" ht="15.75" x14ac:dyDescent="0.25">
      <c r="A27" s="402"/>
      <c r="B27" s="404" t="s">
        <v>341</v>
      </c>
      <c r="C27" s="395" t="s">
        <v>489</v>
      </c>
      <c r="D27" s="185" t="s">
        <v>337</v>
      </c>
      <c r="E27" s="242">
        <f>(4*0.12)</f>
        <v>0.48</v>
      </c>
      <c r="F27" s="245">
        <v>850000</v>
      </c>
      <c r="G27" s="245">
        <v>160000</v>
      </c>
      <c r="H27" s="245">
        <v>75000</v>
      </c>
      <c r="I27" s="246">
        <f>H27+G27+F27</f>
        <v>1085000</v>
      </c>
      <c r="J27" s="161">
        <f t="shared" ref="J27:J29" si="7">E27*I27</f>
        <v>520800</v>
      </c>
      <c r="K27" s="368">
        <f>J27/J286</f>
        <v>8.1064510574826879E-4</v>
      </c>
      <c r="L27" s="367">
        <v>1</v>
      </c>
      <c r="M27" s="368">
        <v>0</v>
      </c>
      <c r="N27" s="368">
        <f t="shared" si="3"/>
        <v>8.1064510574826879E-4</v>
      </c>
      <c r="O27" s="389"/>
    </row>
    <row r="28" spans="1:15" ht="15.75" x14ac:dyDescent="0.25">
      <c r="A28" s="402"/>
      <c r="B28" s="404" t="s">
        <v>343</v>
      </c>
      <c r="C28" s="395" t="s">
        <v>344</v>
      </c>
      <c r="D28" s="185" t="s">
        <v>345</v>
      </c>
      <c r="E28" s="242">
        <f>E27*150</f>
        <v>72</v>
      </c>
      <c r="F28" s="245">
        <v>14000</v>
      </c>
      <c r="G28" s="245">
        <v>2500</v>
      </c>
      <c r="H28" s="245">
        <v>1500</v>
      </c>
      <c r="I28" s="246">
        <f>H28+G28+F28</f>
        <v>18000</v>
      </c>
      <c r="J28" s="161">
        <f t="shared" si="7"/>
        <v>1296000</v>
      </c>
      <c r="K28" s="368">
        <f>J28/J286</f>
        <v>2.0172735350417748E-3</v>
      </c>
      <c r="L28" s="367">
        <v>1</v>
      </c>
      <c r="M28" s="368">
        <v>0</v>
      </c>
      <c r="N28" s="368">
        <f t="shared" si="3"/>
        <v>2.0172735350417748E-3</v>
      </c>
      <c r="O28" s="389"/>
    </row>
    <row r="29" spans="1:15" ht="30" x14ac:dyDescent="0.25">
      <c r="A29" s="374"/>
      <c r="B29" s="272" t="s">
        <v>346</v>
      </c>
      <c r="C29" s="395" t="s">
        <v>347</v>
      </c>
      <c r="D29" s="185" t="s">
        <v>301</v>
      </c>
      <c r="E29" s="242">
        <f>1.2*6</f>
        <v>7.1999999999999993</v>
      </c>
      <c r="F29" s="245">
        <v>100000</v>
      </c>
      <c r="G29" s="245">
        <v>40000</v>
      </c>
      <c r="H29" s="245">
        <v>10000</v>
      </c>
      <c r="I29" s="246">
        <f>H29+G29+F29</f>
        <v>150000</v>
      </c>
      <c r="J29" s="161">
        <f t="shared" si="7"/>
        <v>1080000</v>
      </c>
      <c r="K29" s="368">
        <f>J29/J286</f>
        <v>1.6810612792014792E-3</v>
      </c>
      <c r="L29" s="367">
        <v>1</v>
      </c>
      <c r="M29" s="368">
        <v>0</v>
      </c>
      <c r="N29" s="368">
        <f t="shared" si="3"/>
        <v>1.6810612792014792E-3</v>
      </c>
      <c r="O29" s="389"/>
    </row>
    <row r="30" spans="1:15" ht="15.75" x14ac:dyDescent="0.25">
      <c r="A30" s="390">
        <v>7</v>
      </c>
      <c r="B30" s="240" t="s">
        <v>491</v>
      </c>
      <c r="C30" s="241" t="s">
        <v>282</v>
      </c>
      <c r="D30" s="185"/>
      <c r="E30" s="242"/>
      <c r="F30" s="405"/>
      <c r="G30" s="243"/>
      <c r="H30" s="243"/>
      <c r="I30" s="406"/>
      <c r="J30" s="161"/>
      <c r="K30" s="368"/>
      <c r="L30" s="367"/>
      <c r="M30" s="368"/>
      <c r="N30" s="392"/>
      <c r="O30" s="389"/>
    </row>
    <row r="31" spans="1:15" ht="15.75" x14ac:dyDescent="0.25">
      <c r="A31" s="374"/>
      <c r="B31" s="240" t="s">
        <v>341</v>
      </c>
      <c r="C31" s="395" t="s">
        <v>492</v>
      </c>
      <c r="D31" s="185" t="s">
        <v>337</v>
      </c>
      <c r="E31" s="242">
        <f>(0.15*0.3*7)</f>
        <v>0.315</v>
      </c>
      <c r="F31" s="245">
        <v>850000</v>
      </c>
      <c r="G31" s="245">
        <v>160000</v>
      </c>
      <c r="H31" s="245">
        <v>75000</v>
      </c>
      <c r="I31" s="246">
        <f>H31+G31+F31</f>
        <v>1085000</v>
      </c>
      <c r="J31" s="161">
        <f t="shared" ref="J31:J54" si="8">E31*I31</f>
        <v>341775</v>
      </c>
      <c r="K31" s="368">
        <f>J31/J286</f>
        <v>5.3198585064730141E-4</v>
      </c>
      <c r="L31" s="367">
        <v>1</v>
      </c>
      <c r="M31" s="368">
        <v>0</v>
      </c>
      <c r="N31" s="368">
        <f t="shared" si="3"/>
        <v>5.3198585064730141E-4</v>
      </c>
      <c r="O31" s="389"/>
    </row>
    <row r="32" spans="1:15" ht="15.75" x14ac:dyDescent="0.25">
      <c r="A32" s="374"/>
      <c r="B32" s="240" t="s">
        <v>343</v>
      </c>
      <c r="C32" s="395" t="s">
        <v>344</v>
      </c>
      <c r="D32" s="185" t="s">
        <v>345</v>
      </c>
      <c r="E32" s="242">
        <f>E31*250</f>
        <v>78.75</v>
      </c>
      <c r="F32" s="245">
        <v>14000</v>
      </c>
      <c r="G32" s="245">
        <v>2500</v>
      </c>
      <c r="H32" s="245">
        <v>1500</v>
      </c>
      <c r="I32" s="246">
        <f>H32+G32+F32</f>
        <v>18000</v>
      </c>
      <c r="J32" s="161">
        <f t="shared" si="8"/>
        <v>1417500</v>
      </c>
      <c r="K32" s="368">
        <f>J32/J286</f>
        <v>2.2063929289519411E-3</v>
      </c>
      <c r="L32" s="367">
        <v>1</v>
      </c>
      <c r="M32" s="368">
        <v>0</v>
      </c>
      <c r="N32" s="368">
        <f t="shared" si="3"/>
        <v>2.2063929289519411E-3</v>
      </c>
      <c r="O32" s="389"/>
    </row>
    <row r="33" spans="1:15" ht="30" x14ac:dyDescent="0.25">
      <c r="A33" s="374"/>
      <c r="B33" s="240" t="s">
        <v>346</v>
      </c>
      <c r="C33" s="395" t="s">
        <v>347</v>
      </c>
      <c r="D33" s="185" t="s">
        <v>301</v>
      </c>
      <c r="E33" s="242">
        <f>(0.3*0.3*2.2)</f>
        <v>0.19800000000000001</v>
      </c>
      <c r="F33" s="245">
        <v>100000</v>
      </c>
      <c r="G33" s="245">
        <v>40000</v>
      </c>
      <c r="H33" s="245">
        <v>10000</v>
      </c>
      <c r="I33" s="246">
        <f>H33+G33+F33</f>
        <v>150000</v>
      </c>
      <c r="J33" s="161">
        <f t="shared" si="8"/>
        <v>29700</v>
      </c>
      <c r="K33" s="368">
        <f>J33/J286</f>
        <v>4.6229185178040674E-5</v>
      </c>
      <c r="L33" s="367">
        <v>1</v>
      </c>
      <c r="M33" s="368">
        <v>0</v>
      </c>
      <c r="N33" s="368">
        <f t="shared" si="3"/>
        <v>4.6229185178040674E-5</v>
      </c>
      <c r="O33" s="389"/>
    </row>
    <row r="34" spans="1:15" ht="15.75" x14ac:dyDescent="0.25">
      <c r="A34" s="388">
        <v>8</v>
      </c>
      <c r="B34" s="407" t="s">
        <v>493</v>
      </c>
      <c r="C34" s="395" t="s">
        <v>282</v>
      </c>
      <c r="D34" s="185"/>
      <c r="E34" s="399" t="s">
        <v>282</v>
      </c>
      <c r="F34" s="400"/>
      <c r="G34" s="400"/>
      <c r="H34" s="400"/>
      <c r="I34" s="246"/>
      <c r="J34" s="161"/>
      <c r="K34" s="368"/>
      <c r="L34" s="367"/>
      <c r="M34" s="368"/>
      <c r="N34" s="392"/>
      <c r="O34" s="389"/>
    </row>
    <row r="35" spans="1:15" ht="15.75" x14ac:dyDescent="0.25">
      <c r="A35" s="408"/>
      <c r="B35" s="409" t="s">
        <v>341</v>
      </c>
      <c r="C35" s="395" t="s">
        <v>489</v>
      </c>
      <c r="D35" s="185" t="s">
        <v>337</v>
      </c>
      <c r="E35" s="399">
        <f>3*0.12</f>
        <v>0.36</v>
      </c>
      <c r="F35" s="245">
        <v>850000</v>
      </c>
      <c r="G35" s="245">
        <v>160000</v>
      </c>
      <c r="H35" s="245">
        <v>75000</v>
      </c>
      <c r="I35" s="246">
        <f t="shared" ref="I35:I45" si="9">H35+G35+F35</f>
        <v>1085000</v>
      </c>
      <c r="J35" s="161">
        <f t="shared" si="8"/>
        <v>390600</v>
      </c>
      <c r="K35" s="368">
        <f>J35/J286</f>
        <v>6.0798382931120162E-4</v>
      </c>
      <c r="L35" s="367">
        <v>1</v>
      </c>
      <c r="M35" s="368">
        <v>0</v>
      </c>
      <c r="N35" s="368">
        <f t="shared" si="3"/>
        <v>6.0798382931120162E-4</v>
      </c>
      <c r="O35" s="389"/>
    </row>
    <row r="36" spans="1:15" ht="15.75" x14ac:dyDescent="0.25">
      <c r="A36" s="408"/>
      <c r="B36" s="409" t="s">
        <v>343</v>
      </c>
      <c r="C36" s="395" t="s">
        <v>344</v>
      </c>
      <c r="D36" s="185" t="s">
        <v>345</v>
      </c>
      <c r="E36" s="399">
        <v>35.090000000000003</v>
      </c>
      <c r="F36" s="245">
        <v>14000</v>
      </c>
      <c r="G36" s="245">
        <v>2500</v>
      </c>
      <c r="H36" s="245">
        <v>1500</v>
      </c>
      <c r="I36" s="246">
        <f t="shared" si="9"/>
        <v>18000</v>
      </c>
      <c r="J36" s="161">
        <f t="shared" si="8"/>
        <v>631620.00000000012</v>
      </c>
      <c r="K36" s="368">
        <f>J36/J286</f>
        <v>9.8314067145299864E-4</v>
      </c>
      <c r="L36" s="367">
        <v>1</v>
      </c>
      <c r="M36" s="368">
        <v>0</v>
      </c>
      <c r="N36" s="368">
        <f t="shared" si="3"/>
        <v>9.8314067145299864E-4</v>
      </c>
      <c r="O36" s="389"/>
    </row>
    <row r="37" spans="1:15" ht="30" x14ac:dyDescent="0.25">
      <c r="A37" s="408"/>
      <c r="B37" s="409" t="s">
        <v>346</v>
      </c>
      <c r="C37" s="395" t="s">
        <v>347</v>
      </c>
      <c r="D37" s="185" t="s">
        <v>301</v>
      </c>
      <c r="E37" s="399">
        <v>11.17</v>
      </c>
      <c r="F37" s="245">
        <v>100000</v>
      </c>
      <c r="G37" s="245">
        <v>40000</v>
      </c>
      <c r="H37" s="245">
        <v>10000</v>
      </c>
      <c r="I37" s="246">
        <f t="shared" si="9"/>
        <v>150000</v>
      </c>
      <c r="J37" s="161">
        <f t="shared" si="8"/>
        <v>1675500</v>
      </c>
      <c r="K37" s="368">
        <f>J37/J286</f>
        <v>2.607979790094517E-3</v>
      </c>
      <c r="L37" s="367">
        <v>1</v>
      </c>
      <c r="M37" s="368">
        <v>0</v>
      </c>
      <c r="N37" s="368">
        <f t="shared" si="3"/>
        <v>2.607979790094517E-3</v>
      </c>
      <c r="O37" s="389"/>
    </row>
    <row r="38" spans="1:15" ht="16.5" x14ac:dyDescent="0.25">
      <c r="A38" s="388">
        <v>9</v>
      </c>
      <c r="B38" s="410" t="s">
        <v>494</v>
      </c>
      <c r="C38" s="395" t="s">
        <v>495</v>
      </c>
      <c r="D38" s="185" t="s">
        <v>301</v>
      </c>
      <c r="E38" s="242">
        <f>(4*4)</f>
        <v>16</v>
      </c>
      <c r="F38" s="245">
        <v>85000</v>
      </c>
      <c r="G38" s="245">
        <v>45000</v>
      </c>
      <c r="H38" s="411">
        <v>10000</v>
      </c>
      <c r="I38" s="246">
        <f t="shared" si="9"/>
        <v>140000</v>
      </c>
      <c r="J38" s="161">
        <f t="shared" si="8"/>
        <v>2240000</v>
      </c>
      <c r="K38" s="368">
        <f>J38/J286</f>
        <v>3.4866456161215861E-3</v>
      </c>
      <c r="L38" s="367">
        <v>0.3</v>
      </c>
      <c r="M38" s="368">
        <v>0</v>
      </c>
      <c r="N38" s="368">
        <f t="shared" si="3"/>
        <v>1.0459936848364758E-3</v>
      </c>
      <c r="O38" s="389"/>
    </row>
    <row r="39" spans="1:15" ht="16.5" x14ac:dyDescent="0.25">
      <c r="A39" s="412">
        <v>10</v>
      </c>
      <c r="B39" s="240" t="s">
        <v>496</v>
      </c>
      <c r="C39" s="241" t="s">
        <v>497</v>
      </c>
      <c r="D39" s="185" t="s">
        <v>301</v>
      </c>
      <c r="E39" s="242">
        <f>E38</f>
        <v>16</v>
      </c>
      <c r="F39" s="245">
        <v>30000</v>
      </c>
      <c r="G39" s="245">
        <v>45000</v>
      </c>
      <c r="H39" s="411">
        <v>10000</v>
      </c>
      <c r="I39" s="246">
        <f t="shared" si="9"/>
        <v>85000</v>
      </c>
      <c r="J39" s="161">
        <f t="shared" si="8"/>
        <v>1360000</v>
      </c>
      <c r="K39" s="368">
        <f>J39/J286</f>
        <v>2.1168919812166774E-3</v>
      </c>
      <c r="L39" s="367">
        <v>0</v>
      </c>
      <c r="M39" s="368">
        <v>0</v>
      </c>
      <c r="N39" s="368">
        <f t="shared" si="3"/>
        <v>0</v>
      </c>
      <c r="O39" s="389"/>
    </row>
    <row r="40" spans="1:15" ht="16.5" x14ac:dyDescent="0.25">
      <c r="A40" s="388">
        <v>11</v>
      </c>
      <c r="B40" s="240" t="s">
        <v>498</v>
      </c>
      <c r="C40" s="241" t="s">
        <v>498</v>
      </c>
      <c r="D40" s="185" t="s">
        <v>301</v>
      </c>
      <c r="E40" s="242">
        <f>E39</f>
        <v>16</v>
      </c>
      <c r="F40" s="245">
        <v>15000</v>
      </c>
      <c r="G40" s="245">
        <v>20000</v>
      </c>
      <c r="H40" s="411">
        <v>10000</v>
      </c>
      <c r="I40" s="246">
        <f t="shared" si="9"/>
        <v>45000</v>
      </c>
      <c r="J40" s="161">
        <f t="shared" si="8"/>
        <v>720000</v>
      </c>
      <c r="K40" s="368">
        <f>J40/J286</f>
        <v>1.1207075194676528E-3</v>
      </c>
      <c r="L40" s="367">
        <v>0</v>
      </c>
      <c r="M40" s="368">
        <v>0</v>
      </c>
      <c r="N40" s="368">
        <f t="shared" si="3"/>
        <v>0</v>
      </c>
      <c r="O40" s="389"/>
    </row>
    <row r="41" spans="1:15" ht="30" x14ac:dyDescent="0.25">
      <c r="A41" s="412">
        <v>12</v>
      </c>
      <c r="B41" s="413" t="s">
        <v>499</v>
      </c>
      <c r="C41" s="241" t="s">
        <v>500</v>
      </c>
      <c r="D41" s="185" t="s">
        <v>301</v>
      </c>
      <c r="E41" s="414">
        <f>(2+2)*2*3</f>
        <v>24</v>
      </c>
      <c r="F41" s="245">
        <v>175000</v>
      </c>
      <c r="G41" s="245">
        <v>85000</v>
      </c>
      <c r="H41" s="245">
        <v>80000</v>
      </c>
      <c r="I41" s="246">
        <f t="shared" si="9"/>
        <v>340000</v>
      </c>
      <c r="J41" s="161">
        <f t="shared" si="8"/>
        <v>8160000</v>
      </c>
      <c r="K41" s="368">
        <f>J41/J286</f>
        <v>1.2701351887300065E-2</v>
      </c>
      <c r="L41" s="367">
        <v>0</v>
      </c>
      <c r="M41" s="368">
        <v>0</v>
      </c>
      <c r="N41" s="368">
        <f t="shared" si="3"/>
        <v>0</v>
      </c>
      <c r="O41" s="389"/>
    </row>
    <row r="42" spans="1:15" ht="30" x14ac:dyDescent="0.25">
      <c r="A42" s="388">
        <v>13</v>
      </c>
      <c r="B42" s="415" t="s">
        <v>501</v>
      </c>
      <c r="C42" s="241" t="s">
        <v>502</v>
      </c>
      <c r="D42" s="185" t="s">
        <v>301</v>
      </c>
      <c r="E42" s="416">
        <f>2*2</f>
        <v>4</v>
      </c>
      <c r="F42" s="245">
        <v>275000</v>
      </c>
      <c r="G42" s="245">
        <v>85000</v>
      </c>
      <c r="H42" s="245">
        <v>80000</v>
      </c>
      <c r="I42" s="246">
        <f t="shared" si="9"/>
        <v>440000</v>
      </c>
      <c r="J42" s="161">
        <f t="shared" si="8"/>
        <v>1760000</v>
      </c>
      <c r="K42" s="368">
        <f>J42/J286</f>
        <v>2.7395072698098177E-3</v>
      </c>
      <c r="L42" s="367">
        <v>0</v>
      </c>
      <c r="M42" s="368">
        <v>0</v>
      </c>
      <c r="N42" s="368">
        <f t="shared" si="3"/>
        <v>0</v>
      </c>
      <c r="O42" s="389"/>
    </row>
    <row r="43" spans="1:15" ht="30" x14ac:dyDescent="0.25">
      <c r="A43" s="412">
        <v>14</v>
      </c>
      <c r="B43" s="413" t="s">
        <v>503</v>
      </c>
      <c r="C43" s="395" t="s">
        <v>504</v>
      </c>
      <c r="D43" s="185" t="s">
        <v>301</v>
      </c>
      <c r="E43" s="414">
        <v>3</v>
      </c>
      <c r="F43" s="245">
        <v>255000</v>
      </c>
      <c r="G43" s="245">
        <v>85000</v>
      </c>
      <c r="H43" s="245">
        <v>80000</v>
      </c>
      <c r="I43" s="246">
        <f t="shared" si="9"/>
        <v>420000</v>
      </c>
      <c r="J43" s="161">
        <f t="shared" si="8"/>
        <v>1260000</v>
      </c>
      <c r="K43" s="368">
        <f>J43/J286</f>
        <v>1.9612381590683923E-3</v>
      </c>
      <c r="L43" s="367">
        <v>0</v>
      </c>
      <c r="M43" s="368">
        <v>0</v>
      </c>
      <c r="N43" s="368">
        <f t="shared" si="3"/>
        <v>0</v>
      </c>
      <c r="O43" s="389"/>
    </row>
    <row r="44" spans="1:15" ht="30" x14ac:dyDescent="0.25">
      <c r="A44" s="388">
        <v>15</v>
      </c>
      <c r="B44" s="415" t="s">
        <v>505</v>
      </c>
      <c r="C44" s="395" t="s">
        <v>506</v>
      </c>
      <c r="D44" s="185" t="s">
        <v>301</v>
      </c>
      <c r="E44" s="414">
        <v>3</v>
      </c>
      <c r="F44" s="245">
        <v>160000</v>
      </c>
      <c r="G44" s="245">
        <v>85000</v>
      </c>
      <c r="H44" s="245">
        <v>80000</v>
      </c>
      <c r="I44" s="246">
        <f t="shared" si="9"/>
        <v>325000</v>
      </c>
      <c r="J44" s="161">
        <f t="shared" si="8"/>
        <v>975000</v>
      </c>
      <c r="K44" s="368">
        <f>J44/J286</f>
        <v>1.5176247659457796E-3</v>
      </c>
      <c r="L44" s="367">
        <v>0</v>
      </c>
      <c r="M44" s="368">
        <v>0</v>
      </c>
      <c r="N44" s="368">
        <f t="shared" si="3"/>
        <v>0</v>
      </c>
      <c r="O44" s="389"/>
    </row>
    <row r="45" spans="1:15" ht="30" x14ac:dyDescent="0.25">
      <c r="A45" s="412">
        <v>16</v>
      </c>
      <c r="B45" s="240" t="s">
        <v>507</v>
      </c>
      <c r="C45" s="395" t="s">
        <v>508</v>
      </c>
      <c r="D45" s="185" t="s">
        <v>301</v>
      </c>
      <c r="E45" s="417">
        <f>E42</f>
        <v>4</v>
      </c>
      <c r="F45" s="245">
        <v>95000</v>
      </c>
      <c r="G45" s="245">
        <v>25000</v>
      </c>
      <c r="H45" s="245">
        <v>1500</v>
      </c>
      <c r="I45" s="246">
        <f t="shared" si="9"/>
        <v>121500</v>
      </c>
      <c r="J45" s="161">
        <f t="shared" si="8"/>
        <v>486000</v>
      </c>
      <c r="K45" s="368">
        <f>J45/J286</f>
        <v>7.5647757564066553E-4</v>
      </c>
      <c r="L45" s="367">
        <v>0</v>
      </c>
      <c r="M45" s="368">
        <v>0</v>
      </c>
      <c r="N45" s="368">
        <f t="shared" si="3"/>
        <v>0</v>
      </c>
      <c r="O45" s="389"/>
    </row>
    <row r="46" spans="1:15" ht="15.75" x14ac:dyDescent="0.25">
      <c r="A46" s="388">
        <v>17</v>
      </c>
      <c r="B46" s="240" t="s">
        <v>509</v>
      </c>
      <c r="C46" s="395" t="s">
        <v>359</v>
      </c>
      <c r="D46" s="185" t="s">
        <v>178</v>
      </c>
      <c r="E46" s="416">
        <v>8</v>
      </c>
      <c r="F46" s="245">
        <v>20000</v>
      </c>
      <c r="G46" s="245">
        <v>5000</v>
      </c>
      <c r="H46" s="245">
        <v>1500</v>
      </c>
      <c r="I46" s="246">
        <f>H46+G46+F46</f>
        <v>26500</v>
      </c>
      <c r="J46" s="161">
        <f t="shared" si="8"/>
        <v>212000</v>
      </c>
      <c r="K46" s="368">
        <f>J46/J286</f>
        <v>3.2998610295436443E-4</v>
      </c>
      <c r="L46" s="367">
        <v>0</v>
      </c>
      <c r="M46" s="368">
        <v>0</v>
      </c>
      <c r="N46" s="368">
        <f t="shared" si="3"/>
        <v>0</v>
      </c>
      <c r="O46" s="389"/>
    </row>
    <row r="47" spans="1:15" ht="15.75" x14ac:dyDescent="0.25">
      <c r="A47" s="412">
        <v>18</v>
      </c>
      <c r="B47" s="418" t="s">
        <v>510</v>
      </c>
      <c r="C47" s="241" t="s">
        <v>511</v>
      </c>
      <c r="D47" s="185" t="s">
        <v>212</v>
      </c>
      <c r="E47" s="419">
        <v>1</v>
      </c>
      <c r="F47" s="245">
        <v>4500000</v>
      </c>
      <c r="G47" s="245">
        <v>300000</v>
      </c>
      <c r="H47" s="243"/>
      <c r="I47" s="246">
        <f t="shared" ref="I47:I49" si="10">H47+G47+F47</f>
        <v>4800000</v>
      </c>
      <c r="J47" s="161">
        <f t="shared" si="8"/>
        <v>4800000</v>
      </c>
      <c r="K47" s="368">
        <f>J47/J286</f>
        <v>7.4713834631176847E-3</v>
      </c>
      <c r="L47" s="367">
        <v>0</v>
      </c>
      <c r="M47" s="368">
        <v>0</v>
      </c>
      <c r="N47" s="368">
        <f t="shared" si="3"/>
        <v>0</v>
      </c>
      <c r="O47" s="389"/>
    </row>
    <row r="48" spans="1:15" ht="15.75" x14ac:dyDescent="0.25">
      <c r="A48" s="388">
        <v>19</v>
      </c>
      <c r="B48" s="240" t="s">
        <v>369</v>
      </c>
      <c r="C48" s="241" t="s">
        <v>370</v>
      </c>
      <c r="D48" s="185" t="s">
        <v>29</v>
      </c>
      <c r="E48" s="242">
        <v>1</v>
      </c>
      <c r="F48" s="245">
        <v>800000</v>
      </c>
      <c r="G48" s="243"/>
      <c r="H48" s="245">
        <v>5000</v>
      </c>
      <c r="I48" s="246">
        <f t="shared" si="10"/>
        <v>805000</v>
      </c>
      <c r="J48" s="161">
        <f t="shared" si="8"/>
        <v>805000</v>
      </c>
      <c r="K48" s="368">
        <f>J48/J286</f>
        <v>1.2530132682936951E-3</v>
      </c>
      <c r="L48" s="367">
        <v>0</v>
      </c>
      <c r="M48" s="368">
        <v>0</v>
      </c>
      <c r="N48" s="368">
        <f t="shared" si="3"/>
        <v>0</v>
      </c>
      <c r="O48" s="389"/>
    </row>
    <row r="49" spans="1:15" ht="15.75" x14ac:dyDescent="0.25">
      <c r="A49" s="412">
        <v>20</v>
      </c>
      <c r="B49" s="240" t="s">
        <v>371</v>
      </c>
      <c r="C49" s="241" t="s">
        <v>428</v>
      </c>
      <c r="D49" s="185" t="s">
        <v>29</v>
      </c>
      <c r="E49" s="242">
        <v>1</v>
      </c>
      <c r="F49" s="245">
        <v>500000</v>
      </c>
      <c r="G49" s="243"/>
      <c r="H49" s="245">
        <v>5000</v>
      </c>
      <c r="I49" s="246">
        <f t="shared" si="10"/>
        <v>505000</v>
      </c>
      <c r="J49" s="161">
        <f t="shared" si="8"/>
        <v>505000</v>
      </c>
      <c r="K49" s="368">
        <f>J49/J286</f>
        <v>7.8605180184883978E-4</v>
      </c>
      <c r="L49" s="367">
        <v>0</v>
      </c>
      <c r="M49" s="368">
        <v>0</v>
      </c>
      <c r="N49" s="368">
        <f t="shared" si="3"/>
        <v>0</v>
      </c>
      <c r="O49" s="389"/>
    </row>
    <row r="50" spans="1:15" ht="15.75" x14ac:dyDescent="0.25">
      <c r="A50" s="388">
        <v>21</v>
      </c>
      <c r="B50" s="240" t="s">
        <v>372</v>
      </c>
      <c r="C50" s="241" t="s">
        <v>282</v>
      </c>
      <c r="D50" s="185" t="s">
        <v>326</v>
      </c>
      <c r="E50" s="242">
        <v>1</v>
      </c>
      <c r="F50" s="245">
        <v>275000</v>
      </c>
      <c r="G50" s="245">
        <v>25000</v>
      </c>
      <c r="H50" s="245">
        <v>5000</v>
      </c>
      <c r="I50" s="246">
        <f>H50+G50+F50</f>
        <v>305000</v>
      </c>
      <c r="J50" s="161">
        <f t="shared" si="8"/>
        <v>305000</v>
      </c>
      <c r="K50" s="368">
        <f>J50/J286</f>
        <v>4.7474415755226955E-4</v>
      </c>
      <c r="L50" s="367">
        <v>0</v>
      </c>
      <c r="M50" s="368">
        <v>0</v>
      </c>
      <c r="N50" s="368">
        <f t="shared" si="3"/>
        <v>0</v>
      </c>
      <c r="O50" s="389"/>
    </row>
    <row r="51" spans="1:15" ht="15.75" x14ac:dyDescent="0.25">
      <c r="A51" s="412">
        <v>22</v>
      </c>
      <c r="B51" s="244" t="s">
        <v>373</v>
      </c>
      <c r="C51" s="241" t="s">
        <v>374</v>
      </c>
      <c r="D51" s="185" t="s">
        <v>326</v>
      </c>
      <c r="E51" s="242">
        <v>1</v>
      </c>
      <c r="F51" s="245">
        <v>200000</v>
      </c>
      <c r="G51" s="245">
        <v>25000</v>
      </c>
      <c r="H51" s="243"/>
      <c r="I51" s="246">
        <f>H51+G51+F51</f>
        <v>225000</v>
      </c>
      <c r="J51" s="396">
        <f t="shared" ref="J51" si="11">I51*E51</f>
        <v>225000</v>
      </c>
      <c r="K51" s="368">
        <f>J51/J286</f>
        <v>3.5022109983364147E-4</v>
      </c>
      <c r="L51" s="367">
        <v>0</v>
      </c>
      <c r="M51" s="368">
        <v>0</v>
      </c>
      <c r="N51" s="368">
        <f t="shared" si="3"/>
        <v>0</v>
      </c>
      <c r="O51" s="389"/>
    </row>
    <row r="52" spans="1:15" ht="15.75" x14ac:dyDescent="0.25">
      <c r="A52" s="388">
        <v>23</v>
      </c>
      <c r="B52" s="240" t="s">
        <v>376</v>
      </c>
      <c r="C52" s="241" t="s">
        <v>282</v>
      </c>
      <c r="D52" s="185" t="s">
        <v>326</v>
      </c>
      <c r="E52" s="242">
        <v>1</v>
      </c>
      <c r="F52" s="245">
        <v>300000</v>
      </c>
      <c r="G52" s="245">
        <v>25000</v>
      </c>
      <c r="H52" s="245">
        <v>5000</v>
      </c>
      <c r="I52" s="246">
        <f>H52+G52+F52</f>
        <v>330000</v>
      </c>
      <c r="J52" s="161">
        <f t="shared" si="8"/>
        <v>330000</v>
      </c>
      <c r="K52" s="368">
        <f>J52/J286</f>
        <v>5.1365761308934084E-4</v>
      </c>
      <c r="L52" s="367">
        <v>0</v>
      </c>
      <c r="M52" s="368">
        <v>0</v>
      </c>
      <c r="N52" s="368">
        <f t="shared" si="3"/>
        <v>0</v>
      </c>
      <c r="O52" s="389"/>
    </row>
    <row r="53" spans="1:15" ht="15.75" x14ac:dyDescent="0.25">
      <c r="A53" s="412">
        <v>24</v>
      </c>
      <c r="B53" s="413" t="s">
        <v>469</v>
      </c>
      <c r="C53" s="241" t="s">
        <v>512</v>
      </c>
      <c r="D53" s="185" t="s">
        <v>301</v>
      </c>
      <c r="E53" s="420">
        <f>E45</f>
        <v>4</v>
      </c>
      <c r="F53" s="245">
        <v>27500</v>
      </c>
      <c r="G53" s="245">
        <v>15000</v>
      </c>
      <c r="H53" s="245">
        <v>2500</v>
      </c>
      <c r="I53" s="246">
        <f t="shared" ref="I53:I54" si="12">H53+G53+F53</f>
        <v>45000</v>
      </c>
      <c r="J53" s="161">
        <f t="shared" si="8"/>
        <v>180000</v>
      </c>
      <c r="K53" s="368">
        <f>J53/J286</f>
        <v>2.801768798669132E-4</v>
      </c>
      <c r="L53" s="367">
        <v>0</v>
      </c>
      <c r="M53" s="368">
        <v>0</v>
      </c>
      <c r="N53" s="368">
        <f t="shared" si="3"/>
        <v>0</v>
      </c>
      <c r="O53" s="389"/>
    </row>
    <row r="54" spans="1:15" ht="15.75" x14ac:dyDescent="0.25">
      <c r="A54" s="388">
        <v>25</v>
      </c>
      <c r="B54" s="413" t="s">
        <v>513</v>
      </c>
      <c r="C54" s="241" t="s">
        <v>514</v>
      </c>
      <c r="D54" s="185" t="s">
        <v>301</v>
      </c>
      <c r="E54" s="420">
        <f>(4+2.5)*4</f>
        <v>26</v>
      </c>
      <c r="F54" s="245">
        <v>45000</v>
      </c>
      <c r="G54" s="245">
        <v>15000</v>
      </c>
      <c r="H54" s="245">
        <v>2500</v>
      </c>
      <c r="I54" s="246">
        <f t="shared" si="12"/>
        <v>62500</v>
      </c>
      <c r="J54" s="161">
        <f t="shared" si="8"/>
        <v>1625000</v>
      </c>
      <c r="K54" s="368">
        <f>J54/J286</f>
        <v>2.5293746099096328E-3</v>
      </c>
      <c r="L54" s="367">
        <v>0</v>
      </c>
      <c r="M54" s="368">
        <v>0</v>
      </c>
      <c r="N54" s="368">
        <f t="shared" si="3"/>
        <v>0</v>
      </c>
      <c r="O54" s="389"/>
    </row>
    <row r="55" spans="1:15" ht="15.75" x14ac:dyDescent="0.25">
      <c r="A55" s="412">
        <v>26</v>
      </c>
      <c r="B55" s="421" t="s">
        <v>515</v>
      </c>
      <c r="C55" s="241"/>
      <c r="D55" s="185"/>
      <c r="E55" s="422"/>
      <c r="F55" s="245"/>
      <c r="G55" s="245"/>
      <c r="H55" s="245"/>
      <c r="I55" s="246"/>
      <c r="J55" s="161"/>
      <c r="K55" s="392"/>
      <c r="L55" s="367"/>
      <c r="M55" s="368"/>
      <c r="N55" s="392"/>
      <c r="O55" s="389"/>
    </row>
    <row r="56" spans="1:15" ht="15.75" x14ac:dyDescent="0.25">
      <c r="A56" s="412"/>
      <c r="B56" s="423" t="s">
        <v>399</v>
      </c>
      <c r="C56" s="424" t="s">
        <v>516</v>
      </c>
      <c r="D56" s="213" t="s">
        <v>517</v>
      </c>
      <c r="E56" s="425">
        <v>1</v>
      </c>
      <c r="F56" s="426">
        <v>4500000</v>
      </c>
      <c r="G56" s="269">
        <v>100000</v>
      </c>
      <c r="H56" s="269">
        <v>30000</v>
      </c>
      <c r="I56" s="427">
        <f t="shared" ref="I56:I61" si="13">H56+G56+F56</f>
        <v>4630000</v>
      </c>
      <c r="J56" s="428">
        <f t="shared" ref="J56:J61" si="14">E56*I56</f>
        <v>4630000</v>
      </c>
      <c r="K56" s="368">
        <f>J56/J286</f>
        <v>7.2067719654656005E-3</v>
      </c>
      <c r="L56" s="367">
        <v>0</v>
      </c>
      <c r="M56" s="368">
        <v>0</v>
      </c>
      <c r="N56" s="368">
        <f t="shared" si="3"/>
        <v>0</v>
      </c>
      <c r="O56" s="389"/>
    </row>
    <row r="57" spans="1:15" ht="15.75" x14ac:dyDescent="0.25">
      <c r="A57" s="429"/>
      <c r="B57" s="423" t="s">
        <v>518</v>
      </c>
      <c r="C57" s="430" t="s">
        <v>519</v>
      </c>
      <c r="D57" s="213" t="s">
        <v>517</v>
      </c>
      <c r="E57" s="425">
        <v>1</v>
      </c>
      <c r="F57" s="426">
        <v>650000</v>
      </c>
      <c r="G57" s="269">
        <v>100000</v>
      </c>
      <c r="H57" s="269">
        <v>30000</v>
      </c>
      <c r="I57" s="427">
        <f t="shared" si="13"/>
        <v>780000</v>
      </c>
      <c r="J57" s="428">
        <f t="shared" si="14"/>
        <v>780000</v>
      </c>
      <c r="K57" s="368">
        <f>J57/J286</f>
        <v>1.2140998127566239E-3</v>
      </c>
      <c r="L57" s="367">
        <v>0</v>
      </c>
      <c r="M57" s="368">
        <v>0</v>
      </c>
      <c r="N57" s="368">
        <f t="shared" si="3"/>
        <v>0</v>
      </c>
      <c r="O57" s="389"/>
    </row>
    <row r="58" spans="1:15" ht="15.75" x14ac:dyDescent="0.25">
      <c r="A58" s="388"/>
      <c r="B58" s="423" t="s">
        <v>520</v>
      </c>
      <c r="C58" s="430" t="s">
        <v>521</v>
      </c>
      <c r="D58" s="431" t="s">
        <v>517</v>
      </c>
      <c r="E58" s="432">
        <v>1</v>
      </c>
      <c r="F58" s="433">
        <v>900000</v>
      </c>
      <c r="G58" s="433">
        <v>20000</v>
      </c>
      <c r="H58" s="433">
        <v>50000</v>
      </c>
      <c r="I58" s="434">
        <f t="shared" si="13"/>
        <v>970000</v>
      </c>
      <c r="J58" s="428">
        <f t="shared" si="14"/>
        <v>970000</v>
      </c>
      <c r="K58" s="368">
        <f>J58/J286</f>
        <v>1.5098420748383655E-3</v>
      </c>
      <c r="L58" s="367">
        <v>0</v>
      </c>
      <c r="M58" s="368">
        <v>0</v>
      </c>
      <c r="N58" s="368">
        <f t="shared" si="3"/>
        <v>0</v>
      </c>
      <c r="O58" s="389"/>
    </row>
    <row r="59" spans="1:15" ht="15.75" x14ac:dyDescent="0.25">
      <c r="A59" s="412"/>
      <c r="B59" s="423" t="s">
        <v>401</v>
      </c>
      <c r="C59" s="430" t="s">
        <v>522</v>
      </c>
      <c r="D59" s="431" t="s">
        <v>517</v>
      </c>
      <c r="E59" s="432">
        <v>1</v>
      </c>
      <c r="F59" s="433">
        <v>1400000</v>
      </c>
      <c r="G59" s="433">
        <v>200000</v>
      </c>
      <c r="H59" s="433">
        <v>15000</v>
      </c>
      <c r="I59" s="434">
        <f t="shared" si="13"/>
        <v>1615000</v>
      </c>
      <c r="J59" s="428">
        <f t="shared" si="14"/>
        <v>1615000</v>
      </c>
      <c r="K59" s="368">
        <f>J59/J286</f>
        <v>2.5138092276948045E-3</v>
      </c>
      <c r="L59" s="367">
        <v>0</v>
      </c>
      <c r="M59" s="368">
        <v>0</v>
      </c>
      <c r="N59" s="368">
        <f t="shared" si="3"/>
        <v>0</v>
      </c>
      <c r="O59" s="389"/>
    </row>
    <row r="60" spans="1:15" ht="15.75" x14ac:dyDescent="0.25">
      <c r="A60" s="388"/>
      <c r="B60" s="423" t="s">
        <v>250</v>
      </c>
      <c r="C60" s="430" t="s">
        <v>523</v>
      </c>
      <c r="D60" s="431" t="s">
        <v>517</v>
      </c>
      <c r="E60" s="432">
        <v>2</v>
      </c>
      <c r="F60" s="433">
        <v>250000</v>
      </c>
      <c r="G60" s="433">
        <v>25000</v>
      </c>
      <c r="H60" s="433">
        <v>30000</v>
      </c>
      <c r="I60" s="434">
        <f t="shared" si="13"/>
        <v>305000</v>
      </c>
      <c r="J60" s="428">
        <f t="shared" si="14"/>
        <v>610000</v>
      </c>
      <c r="K60" s="368">
        <f>J60/J286</f>
        <v>9.494883151045391E-4</v>
      </c>
      <c r="L60" s="367">
        <v>0</v>
      </c>
      <c r="M60" s="368">
        <v>0</v>
      </c>
      <c r="N60" s="368">
        <f t="shared" si="3"/>
        <v>0</v>
      </c>
      <c r="O60" s="389"/>
    </row>
    <row r="61" spans="1:15" ht="15.75" x14ac:dyDescent="0.25">
      <c r="A61" s="412"/>
      <c r="B61" s="423" t="s">
        <v>405</v>
      </c>
      <c r="C61" s="430" t="s">
        <v>524</v>
      </c>
      <c r="D61" s="431" t="s">
        <v>517</v>
      </c>
      <c r="E61" s="432">
        <v>1</v>
      </c>
      <c r="F61" s="433">
        <v>1000000</v>
      </c>
      <c r="G61" s="433">
        <v>75000</v>
      </c>
      <c r="H61" s="433">
        <v>30000</v>
      </c>
      <c r="I61" s="434">
        <f t="shared" si="13"/>
        <v>1105000</v>
      </c>
      <c r="J61" s="428">
        <f t="shared" si="14"/>
        <v>1105000</v>
      </c>
      <c r="K61" s="368">
        <f>J61/J286</f>
        <v>1.7199747347385504E-3</v>
      </c>
      <c r="L61" s="367">
        <v>0</v>
      </c>
      <c r="M61" s="368">
        <v>0</v>
      </c>
      <c r="N61" s="368">
        <f t="shared" si="3"/>
        <v>0</v>
      </c>
      <c r="O61" s="389"/>
    </row>
    <row r="62" spans="1:15" ht="15.75" x14ac:dyDescent="0.25">
      <c r="A62" s="412">
        <v>27</v>
      </c>
      <c r="B62" s="240" t="s">
        <v>525</v>
      </c>
      <c r="C62" s="430"/>
      <c r="D62" s="185" t="s">
        <v>290</v>
      </c>
      <c r="E62" s="242" t="s">
        <v>282</v>
      </c>
      <c r="F62" s="243"/>
      <c r="G62" s="243"/>
      <c r="H62" s="243"/>
      <c r="I62" s="243"/>
      <c r="J62" s="391"/>
      <c r="K62" s="368"/>
      <c r="L62" s="367"/>
      <c r="M62" s="368"/>
      <c r="N62" s="392"/>
      <c r="O62" s="389"/>
    </row>
    <row r="63" spans="1:15" ht="15.75" x14ac:dyDescent="0.25">
      <c r="A63" s="412"/>
      <c r="B63" s="244" t="s">
        <v>526</v>
      </c>
      <c r="C63" s="241" t="s">
        <v>527</v>
      </c>
      <c r="D63" s="185" t="s">
        <v>517</v>
      </c>
      <c r="E63" s="242">
        <v>1</v>
      </c>
      <c r="F63" s="245">
        <v>750000</v>
      </c>
      <c r="G63" s="245">
        <v>100000</v>
      </c>
      <c r="H63" s="245"/>
      <c r="I63" s="246">
        <f>H63+G63+F63</f>
        <v>850000</v>
      </c>
      <c r="J63" s="391">
        <f t="shared" ref="J63:J64" si="15">I63*E63</f>
        <v>850000</v>
      </c>
      <c r="K63" s="368">
        <f>J63/J286</f>
        <v>1.3230574882604233E-3</v>
      </c>
      <c r="L63" s="367">
        <v>0</v>
      </c>
      <c r="M63" s="368">
        <v>0</v>
      </c>
      <c r="N63" s="368">
        <f t="shared" si="3"/>
        <v>0</v>
      </c>
      <c r="O63" s="389"/>
    </row>
    <row r="64" spans="1:15" ht="30" x14ac:dyDescent="0.25">
      <c r="A64" s="412"/>
      <c r="B64" s="244" t="s">
        <v>528</v>
      </c>
      <c r="C64" s="241" t="s">
        <v>529</v>
      </c>
      <c r="D64" s="185" t="s">
        <v>517</v>
      </c>
      <c r="E64" s="242">
        <v>1</v>
      </c>
      <c r="F64" s="245">
        <v>750000</v>
      </c>
      <c r="G64" s="245">
        <v>30000</v>
      </c>
      <c r="H64" s="245">
        <v>10000</v>
      </c>
      <c r="I64" s="246">
        <f>H64+G64+F64</f>
        <v>790000</v>
      </c>
      <c r="J64" s="391">
        <f t="shared" si="15"/>
        <v>790000</v>
      </c>
      <c r="K64" s="368">
        <f>J64/J286</f>
        <v>1.2296651949714522E-3</v>
      </c>
      <c r="L64" s="367">
        <v>0</v>
      </c>
      <c r="M64" s="368">
        <v>0</v>
      </c>
      <c r="N64" s="368">
        <f t="shared" si="3"/>
        <v>0</v>
      </c>
      <c r="O64" s="389"/>
    </row>
    <row r="65" spans="1:15" ht="30" x14ac:dyDescent="0.25">
      <c r="A65" s="402"/>
      <c r="B65" s="435"/>
      <c r="C65" s="241"/>
      <c r="D65" s="185"/>
      <c r="E65" s="242"/>
      <c r="F65" s="245"/>
      <c r="G65" s="245"/>
      <c r="H65" s="245"/>
      <c r="I65" s="376" t="s">
        <v>327</v>
      </c>
      <c r="J65" s="273">
        <f>SUM(J15:J64)</f>
        <v>48234845</v>
      </c>
      <c r="K65" s="377">
        <f>SUM(K15:K64)</f>
        <v>7.5079379849800981E-2</v>
      </c>
      <c r="L65" s="367">
        <v>0</v>
      </c>
      <c r="M65" s="378">
        <f>SUM(M15:M64)</f>
        <v>0</v>
      </c>
      <c r="N65" s="378">
        <f>SUM(N15:N64)</f>
        <v>1.8069610949770089E-2</v>
      </c>
      <c r="O65" s="379"/>
    </row>
    <row r="66" spans="1:15" ht="15.75" x14ac:dyDescent="0.25">
      <c r="A66" s="436" t="s">
        <v>328</v>
      </c>
      <c r="B66" s="437" t="s">
        <v>530</v>
      </c>
      <c r="C66" s="381"/>
      <c r="D66" s="185"/>
      <c r="E66" s="242"/>
      <c r="F66" s="382"/>
      <c r="G66" s="382"/>
      <c r="H66" s="382"/>
      <c r="I66" s="382"/>
      <c r="J66" s="383"/>
      <c r="K66" s="392"/>
      <c r="L66" s="367"/>
      <c r="M66" s="392"/>
      <c r="N66" s="392"/>
      <c r="O66" s="389"/>
    </row>
    <row r="67" spans="1:15" ht="15.75" x14ac:dyDescent="0.25">
      <c r="A67" s="374">
        <v>1</v>
      </c>
      <c r="B67" s="240" t="s">
        <v>531</v>
      </c>
      <c r="C67" s="241" t="s">
        <v>282</v>
      </c>
      <c r="D67" s="185" t="s">
        <v>337</v>
      </c>
      <c r="E67" s="242">
        <f>2.2*0.6*0.6</f>
        <v>0.79200000000000004</v>
      </c>
      <c r="F67" s="245"/>
      <c r="G67" s="245">
        <v>250000</v>
      </c>
      <c r="H67" s="243"/>
      <c r="I67" s="246">
        <f>H67+G67+F67</f>
        <v>250000</v>
      </c>
      <c r="J67" s="161">
        <f>E67*I67</f>
        <v>198000</v>
      </c>
      <c r="K67" s="368">
        <f>J67/J286</f>
        <v>3.0819456785360449E-4</v>
      </c>
      <c r="L67" s="367">
        <v>1</v>
      </c>
      <c r="M67" s="392">
        <v>0</v>
      </c>
      <c r="N67" s="392">
        <f t="shared" ref="N67:N92" si="16">K67*L67</f>
        <v>3.0819456785360449E-4</v>
      </c>
      <c r="O67" s="389"/>
    </row>
    <row r="68" spans="1:15" ht="30" x14ac:dyDescent="0.25">
      <c r="A68" s="374">
        <v>2</v>
      </c>
      <c r="B68" s="240" t="s">
        <v>532</v>
      </c>
      <c r="C68" s="241" t="s">
        <v>282</v>
      </c>
      <c r="D68" s="185" t="s">
        <v>337</v>
      </c>
      <c r="E68" s="242">
        <f>(0.2*0.5*7)+(2.4*4*0.12)</f>
        <v>1.8519999999999999</v>
      </c>
      <c r="F68" s="245"/>
      <c r="G68" s="245">
        <v>700000</v>
      </c>
      <c r="H68" s="243"/>
      <c r="I68" s="246">
        <f>H68+G68+F68</f>
        <v>700000</v>
      </c>
      <c r="J68" s="161">
        <f>E68*I68</f>
        <v>1296400</v>
      </c>
      <c r="K68" s="368">
        <f>J68/J286</f>
        <v>2.0178961503303679E-3</v>
      </c>
      <c r="L68" s="367">
        <v>1</v>
      </c>
      <c r="M68" s="392">
        <v>0</v>
      </c>
      <c r="N68" s="392">
        <f t="shared" si="16"/>
        <v>2.0178961503303679E-3</v>
      </c>
      <c r="O68" s="389"/>
    </row>
    <row r="69" spans="1:15" ht="15.75" x14ac:dyDescent="0.25">
      <c r="A69" s="374">
        <v>3</v>
      </c>
      <c r="B69" s="240" t="s">
        <v>533</v>
      </c>
      <c r="C69" s="241" t="s">
        <v>282</v>
      </c>
      <c r="D69" s="185" t="s">
        <v>337</v>
      </c>
      <c r="E69" s="242">
        <f>2.5*0.6*0.6</f>
        <v>0.89999999999999991</v>
      </c>
      <c r="F69" s="245"/>
      <c r="G69" s="245">
        <v>250000</v>
      </c>
      <c r="H69" s="243"/>
      <c r="I69" s="246">
        <f>H69+G69+F69</f>
        <v>250000</v>
      </c>
      <c r="J69" s="161">
        <f>E69*I69</f>
        <v>224999.99999999997</v>
      </c>
      <c r="K69" s="368">
        <f>J69/J286</f>
        <v>3.5022109983364141E-4</v>
      </c>
      <c r="L69" s="367">
        <v>1</v>
      </c>
      <c r="M69" s="392">
        <v>0</v>
      </c>
      <c r="N69" s="392">
        <f t="shared" si="16"/>
        <v>3.5022109983364141E-4</v>
      </c>
      <c r="O69" s="389"/>
    </row>
    <row r="70" spans="1:15" ht="15.75" x14ac:dyDescent="0.25">
      <c r="A70" s="374">
        <v>4</v>
      </c>
      <c r="B70" s="240" t="s">
        <v>338</v>
      </c>
      <c r="C70" s="241"/>
      <c r="D70" s="185" t="s">
        <v>337</v>
      </c>
      <c r="E70" s="242">
        <f>2.5*0.6*0.05</f>
        <v>7.5000000000000011E-2</v>
      </c>
      <c r="F70" s="245">
        <v>350000</v>
      </c>
      <c r="G70" s="245">
        <v>50000</v>
      </c>
      <c r="H70" s="243"/>
      <c r="I70" s="246">
        <f>H70+G70+F70</f>
        <v>400000</v>
      </c>
      <c r="J70" s="161">
        <f t="shared" ref="J70:J92" si="17">E70*I70</f>
        <v>30000.000000000004</v>
      </c>
      <c r="K70" s="368">
        <f>J70/J286</f>
        <v>4.6696146644485537E-5</v>
      </c>
      <c r="L70" s="367">
        <v>1</v>
      </c>
      <c r="M70" s="392">
        <v>0</v>
      </c>
      <c r="N70" s="392">
        <f t="shared" si="16"/>
        <v>4.6696146644485537E-5</v>
      </c>
      <c r="O70" s="389"/>
    </row>
    <row r="71" spans="1:15" ht="15.75" x14ac:dyDescent="0.25">
      <c r="A71" s="374">
        <v>5</v>
      </c>
      <c r="B71" s="240" t="s">
        <v>339</v>
      </c>
      <c r="C71" s="241" t="s">
        <v>282</v>
      </c>
      <c r="D71" s="185" t="s">
        <v>337</v>
      </c>
      <c r="E71" s="242">
        <f>E70</f>
        <v>7.5000000000000011E-2</v>
      </c>
      <c r="F71" s="245">
        <v>700000</v>
      </c>
      <c r="G71" s="245">
        <v>200000</v>
      </c>
      <c r="H71" s="243"/>
      <c r="I71" s="246">
        <f>H71+G71+F71</f>
        <v>900000</v>
      </c>
      <c r="J71" s="161">
        <f t="shared" si="17"/>
        <v>67500.000000000015</v>
      </c>
      <c r="K71" s="368">
        <f>J71/J286</f>
        <v>1.0506632995009246E-4</v>
      </c>
      <c r="L71" s="367">
        <v>1</v>
      </c>
      <c r="M71" s="392">
        <v>0</v>
      </c>
      <c r="N71" s="392">
        <f t="shared" si="16"/>
        <v>1.0506632995009246E-4</v>
      </c>
      <c r="O71" s="389"/>
    </row>
    <row r="72" spans="1:15" ht="15.75" x14ac:dyDescent="0.25">
      <c r="A72" s="374">
        <v>6</v>
      </c>
      <c r="B72" s="438" t="s">
        <v>348</v>
      </c>
      <c r="C72" s="395" t="s">
        <v>282</v>
      </c>
      <c r="D72" s="185" t="s">
        <v>290</v>
      </c>
      <c r="E72" s="242"/>
      <c r="F72" s="439"/>
      <c r="G72" s="243"/>
      <c r="H72" s="243"/>
      <c r="I72" s="243"/>
      <c r="J72" s="161"/>
      <c r="K72" s="368"/>
      <c r="L72" s="367"/>
      <c r="M72" s="392"/>
      <c r="N72" s="392"/>
      <c r="O72" s="389"/>
    </row>
    <row r="73" spans="1:15" ht="15.75" x14ac:dyDescent="0.25">
      <c r="A73" s="374"/>
      <c r="B73" s="440" t="s">
        <v>341</v>
      </c>
      <c r="C73" s="395" t="s">
        <v>489</v>
      </c>
      <c r="D73" s="185" t="s">
        <v>301</v>
      </c>
      <c r="E73" s="242">
        <f>0.15*0.3*2.5</f>
        <v>0.11249999999999999</v>
      </c>
      <c r="F73" s="245"/>
      <c r="G73" s="245">
        <v>100000</v>
      </c>
      <c r="H73" s="245"/>
      <c r="I73" s="246">
        <f>H73+G73+F73</f>
        <v>100000</v>
      </c>
      <c r="J73" s="161">
        <f t="shared" si="17"/>
        <v>11249.999999999998</v>
      </c>
      <c r="K73" s="368">
        <f>J73/J286</f>
        <v>1.7511054991682071E-5</v>
      </c>
      <c r="L73" s="367">
        <v>1</v>
      </c>
      <c r="M73" s="392">
        <v>0</v>
      </c>
      <c r="N73" s="392">
        <f t="shared" si="16"/>
        <v>1.7511054991682071E-5</v>
      </c>
      <c r="O73" s="389"/>
    </row>
    <row r="74" spans="1:15" ht="15.75" x14ac:dyDescent="0.25">
      <c r="A74" s="374"/>
      <c r="B74" s="440" t="s">
        <v>343</v>
      </c>
      <c r="C74" s="395" t="s">
        <v>344</v>
      </c>
      <c r="D74" s="185" t="s">
        <v>345</v>
      </c>
      <c r="E74" s="242">
        <f>E73*250</f>
        <v>28.124999999999996</v>
      </c>
      <c r="F74" s="245">
        <v>14000</v>
      </c>
      <c r="G74" s="245">
        <v>2500</v>
      </c>
      <c r="H74" s="245">
        <v>1500</v>
      </c>
      <c r="I74" s="246">
        <f>H74+G74+F74</f>
        <v>18000</v>
      </c>
      <c r="J74" s="161">
        <f t="shared" si="17"/>
        <v>506249.99999999994</v>
      </c>
      <c r="K74" s="368">
        <f>J74/J286</f>
        <v>7.8799747462569326E-4</v>
      </c>
      <c r="L74" s="367">
        <v>1</v>
      </c>
      <c r="M74" s="392">
        <v>0</v>
      </c>
      <c r="N74" s="392">
        <f t="shared" si="16"/>
        <v>7.8799747462569326E-4</v>
      </c>
      <c r="O74" s="389"/>
    </row>
    <row r="75" spans="1:15" ht="30" x14ac:dyDescent="0.25">
      <c r="A75" s="374"/>
      <c r="B75" s="440" t="s">
        <v>346</v>
      </c>
      <c r="C75" s="395" t="s">
        <v>347</v>
      </c>
      <c r="D75" s="185" t="s">
        <v>301</v>
      </c>
      <c r="E75" s="242">
        <f>(0.3*0.3*2.2)</f>
        <v>0.19800000000000001</v>
      </c>
      <c r="F75" s="245">
        <v>80000</v>
      </c>
      <c r="G75" s="245">
        <v>40000</v>
      </c>
      <c r="H75" s="245">
        <v>10000</v>
      </c>
      <c r="I75" s="246">
        <f>H75+G75+F75</f>
        <v>130000</v>
      </c>
      <c r="J75" s="161">
        <f t="shared" si="17"/>
        <v>25740</v>
      </c>
      <c r="K75" s="368">
        <f>J75/J286</f>
        <v>4.0065293820968583E-5</v>
      </c>
      <c r="L75" s="367">
        <v>1</v>
      </c>
      <c r="M75" s="392">
        <v>0</v>
      </c>
      <c r="N75" s="392">
        <f t="shared" si="16"/>
        <v>4.0065293820968583E-5</v>
      </c>
      <c r="O75" s="389"/>
    </row>
    <row r="76" spans="1:15" ht="15.75" x14ac:dyDescent="0.25">
      <c r="A76" s="374">
        <v>7</v>
      </c>
      <c r="B76" s="438" t="s">
        <v>534</v>
      </c>
      <c r="C76" s="395" t="s">
        <v>282</v>
      </c>
      <c r="D76" s="398"/>
      <c r="E76" s="399"/>
      <c r="F76" s="400"/>
      <c r="G76" s="400"/>
      <c r="H76" s="400"/>
      <c r="I76" s="246"/>
      <c r="J76" s="161"/>
      <c r="K76" s="368"/>
      <c r="L76" s="367"/>
      <c r="M76" s="392"/>
      <c r="N76" s="392"/>
      <c r="O76" s="389"/>
    </row>
    <row r="77" spans="1:15" ht="15.75" x14ac:dyDescent="0.25">
      <c r="A77" s="374"/>
      <c r="B77" s="440" t="s">
        <v>341</v>
      </c>
      <c r="C77" s="395" t="s">
        <v>489</v>
      </c>
      <c r="D77" s="185" t="s">
        <v>337</v>
      </c>
      <c r="E77" s="416">
        <v>2.4</v>
      </c>
      <c r="F77" s="245">
        <v>850000</v>
      </c>
      <c r="G77" s="245">
        <v>160000</v>
      </c>
      <c r="H77" s="245">
        <v>75000</v>
      </c>
      <c r="I77" s="246">
        <f t="shared" ref="I77:I79" si="18">H77+G77+F77</f>
        <v>1085000</v>
      </c>
      <c r="J77" s="161">
        <f t="shared" si="17"/>
        <v>2604000</v>
      </c>
      <c r="K77" s="368">
        <f>J77/J286</f>
        <v>4.0532255287413438E-3</v>
      </c>
      <c r="L77" s="367">
        <v>1</v>
      </c>
      <c r="M77" s="392">
        <v>0</v>
      </c>
      <c r="N77" s="392">
        <f t="shared" si="16"/>
        <v>4.0532255287413438E-3</v>
      </c>
      <c r="O77" s="389"/>
    </row>
    <row r="78" spans="1:15" ht="15.75" x14ac:dyDescent="0.25">
      <c r="A78" s="374"/>
      <c r="B78" s="440" t="s">
        <v>343</v>
      </c>
      <c r="C78" s="395" t="s">
        <v>344</v>
      </c>
      <c r="D78" s="185" t="s">
        <v>345</v>
      </c>
      <c r="E78" s="416">
        <f>E77*200</f>
        <v>480</v>
      </c>
      <c r="F78" s="245">
        <v>14000</v>
      </c>
      <c r="G78" s="245">
        <v>2500</v>
      </c>
      <c r="H78" s="245">
        <v>1500</v>
      </c>
      <c r="I78" s="246">
        <f t="shared" si="18"/>
        <v>18000</v>
      </c>
      <c r="J78" s="161">
        <f t="shared" si="17"/>
        <v>8640000</v>
      </c>
      <c r="K78" s="368">
        <f>J78/J286</f>
        <v>1.3448490233611833E-2</v>
      </c>
      <c r="L78" s="367">
        <v>1</v>
      </c>
      <c r="M78" s="392">
        <v>0</v>
      </c>
      <c r="N78" s="392">
        <f t="shared" si="16"/>
        <v>1.3448490233611833E-2</v>
      </c>
      <c r="O78" s="389"/>
    </row>
    <row r="79" spans="1:15" ht="30" x14ac:dyDescent="0.25">
      <c r="A79" s="374"/>
      <c r="B79" s="440" t="s">
        <v>346</v>
      </c>
      <c r="C79" s="395" t="s">
        <v>347</v>
      </c>
      <c r="D79" s="185" t="s">
        <v>301</v>
      </c>
      <c r="E79" s="416">
        <f>1.2*10</f>
        <v>12</v>
      </c>
      <c r="F79" s="245">
        <v>100000</v>
      </c>
      <c r="G79" s="245">
        <v>40000</v>
      </c>
      <c r="H79" s="245">
        <v>10000</v>
      </c>
      <c r="I79" s="246">
        <f t="shared" si="18"/>
        <v>150000</v>
      </c>
      <c r="J79" s="161">
        <f t="shared" si="17"/>
        <v>1800000</v>
      </c>
      <c r="K79" s="368">
        <f>J79/J286</f>
        <v>2.8017687986691318E-3</v>
      </c>
      <c r="L79" s="367">
        <v>1</v>
      </c>
      <c r="M79" s="392">
        <v>0</v>
      </c>
      <c r="N79" s="392">
        <f t="shared" si="16"/>
        <v>2.8017687986691318E-3</v>
      </c>
      <c r="O79" s="389"/>
    </row>
    <row r="80" spans="1:15" ht="15.75" x14ac:dyDescent="0.25">
      <c r="A80" s="374">
        <v>8</v>
      </c>
      <c r="B80" s="240" t="s">
        <v>491</v>
      </c>
      <c r="C80" s="241" t="s">
        <v>282</v>
      </c>
      <c r="D80" s="185"/>
      <c r="E80" s="242"/>
      <c r="F80" s="405"/>
      <c r="G80" s="243"/>
      <c r="H80" s="243"/>
      <c r="I80" s="406"/>
      <c r="J80" s="161"/>
      <c r="K80" s="368"/>
      <c r="L80" s="367"/>
      <c r="M80" s="392"/>
      <c r="N80" s="392"/>
      <c r="O80" s="389"/>
    </row>
    <row r="81" spans="1:15" ht="15.75" x14ac:dyDescent="0.25">
      <c r="A81" s="374"/>
      <c r="B81" s="240" t="s">
        <v>341</v>
      </c>
      <c r="C81" s="395" t="s">
        <v>489</v>
      </c>
      <c r="D81" s="185" t="s">
        <v>337</v>
      </c>
      <c r="E81" s="242">
        <f>(0.15*0.3*7)</f>
        <v>0.315</v>
      </c>
      <c r="F81" s="245">
        <v>850000</v>
      </c>
      <c r="G81" s="245">
        <v>160000</v>
      </c>
      <c r="H81" s="245">
        <v>75000</v>
      </c>
      <c r="I81" s="246">
        <f>H81+G81+F81</f>
        <v>1085000</v>
      </c>
      <c r="J81" s="161">
        <f t="shared" si="17"/>
        <v>341775</v>
      </c>
      <c r="K81" s="368">
        <f>J81/J286</f>
        <v>5.3198585064730141E-4</v>
      </c>
      <c r="L81" s="367">
        <v>1</v>
      </c>
      <c r="M81" s="392">
        <v>0</v>
      </c>
      <c r="N81" s="392">
        <f t="shared" si="16"/>
        <v>5.3198585064730141E-4</v>
      </c>
      <c r="O81" s="389"/>
    </row>
    <row r="82" spans="1:15" ht="15.75" x14ac:dyDescent="0.25">
      <c r="A82" s="374"/>
      <c r="B82" s="240" t="s">
        <v>343</v>
      </c>
      <c r="C82" s="395" t="s">
        <v>344</v>
      </c>
      <c r="D82" s="185" t="s">
        <v>345</v>
      </c>
      <c r="E82" s="242">
        <f>E81*250</f>
        <v>78.75</v>
      </c>
      <c r="F82" s="245">
        <v>14000</v>
      </c>
      <c r="G82" s="245">
        <v>2500</v>
      </c>
      <c r="H82" s="245">
        <v>1500</v>
      </c>
      <c r="I82" s="246">
        <f>H82+G82+F82</f>
        <v>18000</v>
      </c>
      <c r="J82" s="161">
        <f t="shared" si="17"/>
        <v>1417500</v>
      </c>
      <c r="K82" s="368">
        <f>J82/J286</f>
        <v>2.2063929289519411E-3</v>
      </c>
      <c r="L82" s="367">
        <v>1</v>
      </c>
      <c r="M82" s="392">
        <v>0</v>
      </c>
      <c r="N82" s="392">
        <f t="shared" si="16"/>
        <v>2.2063929289519411E-3</v>
      </c>
      <c r="O82" s="389"/>
    </row>
    <row r="83" spans="1:15" ht="30" x14ac:dyDescent="0.25">
      <c r="A83" s="374"/>
      <c r="B83" s="240" t="s">
        <v>346</v>
      </c>
      <c r="C83" s="395" t="s">
        <v>347</v>
      </c>
      <c r="D83" s="185" t="s">
        <v>301</v>
      </c>
      <c r="E83" s="242">
        <f>(0.3*0.3*2.2)</f>
        <v>0.19800000000000001</v>
      </c>
      <c r="F83" s="245">
        <v>100000</v>
      </c>
      <c r="G83" s="245">
        <v>40000</v>
      </c>
      <c r="H83" s="245">
        <v>10000</v>
      </c>
      <c r="I83" s="246">
        <f>H83+G83+F83</f>
        <v>150000</v>
      </c>
      <c r="J83" s="161">
        <f t="shared" si="17"/>
        <v>29700</v>
      </c>
      <c r="K83" s="368">
        <f>J83/J286</f>
        <v>4.6229185178040674E-5</v>
      </c>
      <c r="L83" s="367">
        <v>1</v>
      </c>
      <c r="M83" s="392">
        <v>0</v>
      </c>
      <c r="N83" s="392">
        <f t="shared" si="16"/>
        <v>4.6229185178040674E-5</v>
      </c>
      <c r="O83" s="389"/>
    </row>
    <row r="84" spans="1:15" ht="15.75" x14ac:dyDescent="0.25">
      <c r="A84" s="374">
        <v>9</v>
      </c>
      <c r="B84" s="240" t="s">
        <v>535</v>
      </c>
      <c r="C84" s="395" t="s">
        <v>536</v>
      </c>
      <c r="D84" s="185" t="s">
        <v>301</v>
      </c>
      <c r="E84" s="441">
        <f>(1.2*8)</f>
        <v>9.6</v>
      </c>
      <c r="F84" s="245">
        <v>95000</v>
      </c>
      <c r="G84" s="245">
        <v>45000</v>
      </c>
      <c r="H84" s="245">
        <v>1500</v>
      </c>
      <c r="I84" s="246">
        <f>H84+G84+F84</f>
        <v>141500</v>
      </c>
      <c r="J84" s="161">
        <f t="shared" si="17"/>
        <v>1358400</v>
      </c>
      <c r="K84" s="368">
        <f>J84/J286</f>
        <v>2.114401520062305E-3</v>
      </c>
      <c r="L84" s="367">
        <v>0</v>
      </c>
      <c r="M84" s="392">
        <v>0</v>
      </c>
      <c r="N84" s="392">
        <f t="shared" si="16"/>
        <v>0</v>
      </c>
      <c r="O84" s="389"/>
    </row>
    <row r="85" spans="1:15" ht="30" x14ac:dyDescent="0.25">
      <c r="A85" s="374">
        <v>10</v>
      </c>
      <c r="B85" s="240" t="s">
        <v>537</v>
      </c>
      <c r="C85" s="241" t="s">
        <v>538</v>
      </c>
      <c r="D85" s="185" t="s">
        <v>178</v>
      </c>
      <c r="E85" s="242">
        <v>21</v>
      </c>
      <c r="F85" s="245">
        <v>195000</v>
      </c>
      <c r="G85" s="245">
        <v>85000</v>
      </c>
      <c r="H85" s="245">
        <v>80000</v>
      </c>
      <c r="I85" s="246">
        <f t="shared" ref="I85:I90" si="19">H85+G85+F85</f>
        <v>360000</v>
      </c>
      <c r="J85" s="161">
        <f t="shared" si="17"/>
        <v>7560000</v>
      </c>
      <c r="K85" s="368">
        <f>J85/J286</f>
        <v>1.1767428954410353E-2</v>
      </c>
      <c r="L85" s="367">
        <v>0</v>
      </c>
      <c r="M85" s="392">
        <v>0</v>
      </c>
      <c r="N85" s="392">
        <f t="shared" si="16"/>
        <v>0</v>
      </c>
      <c r="O85" s="389"/>
    </row>
    <row r="86" spans="1:15" ht="30" x14ac:dyDescent="0.25">
      <c r="A86" s="374">
        <v>11</v>
      </c>
      <c r="B86" s="240" t="s">
        <v>539</v>
      </c>
      <c r="C86" s="241" t="s">
        <v>538</v>
      </c>
      <c r="D86" s="185" t="s">
        <v>301</v>
      </c>
      <c r="E86" s="242">
        <f>2.5*2</f>
        <v>5</v>
      </c>
      <c r="F86" s="245">
        <v>195000</v>
      </c>
      <c r="G86" s="245">
        <v>85000</v>
      </c>
      <c r="H86" s="245">
        <v>80000</v>
      </c>
      <c r="I86" s="246">
        <f t="shared" si="19"/>
        <v>360000</v>
      </c>
      <c r="J86" s="161">
        <f t="shared" si="17"/>
        <v>1800000</v>
      </c>
      <c r="K86" s="368">
        <f>J86/J286</f>
        <v>2.8017687986691318E-3</v>
      </c>
      <c r="L86" s="367">
        <v>0</v>
      </c>
      <c r="M86" s="392">
        <v>0</v>
      </c>
      <c r="N86" s="392">
        <f t="shared" si="16"/>
        <v>0</v>
      </c>
      <c r="O86" s="389"/>
    </row>
    <row r="87" spans="1:15" ht="30" x14ac:dyDescent="0.25">
      <c r="A87" s="374">
        <v>12</v>
      </c>
      <c r="B87" s="240" t="s">
        <v>540</v>
      </c>
      <c r="C87" s="241" t="s">
        <v>541</v>
      </c>
      <c r="D87" s="185" t="s">
        <v>178</v>
      </c>
      <c r="E87" s="242">
        <v>7</v>
      </c>
      <c r="F87" s="245">
        <v>65000</v>
      </c>
      <c r="G87" s="245">
        <v>15000</v>
      </c>
      <c r="H87" s="245">
        <v>10000</v>
      </c>
      <c r="I87" s="246">
        <f t="shared" si="19"/>
        <v>90000</v>
      </c>
      <c r="J87" s="161">
        <f t="shared" si="17"/>
        <v>630000</v>
      </c>
      <c r="K87" s="368">
        <f>J87/J286</f>
        <v>9.8061907953419613E-4</v>
      </c>
      <c r="L87" s="367">
        <v>0</v>
      </c>
      <c r="M87" s="392">
        <v>0</v>
      </c>
      <c r="N87" s="392">
        <f t="shared" si="16"/>
        <v>0</v>
      </c>
      <c r="O87" s="389"/>
    </row>
    <row r="88" spans="1:15" ht="15.75" x14ac:dyDescent="0.25">
      <c r="A88" s="374">
        <v>13</v>
      </c>
      <c r="B88" s="240" t="s">
        <v>542</v>
      </c>
      <c r="C88" s="241" t="s">
        <v>543</v>
      </c>
      <c r="D88" s="185" t="s">
        <v>178</v>
      </c>
      <c r="E88" s="242">
        <v>16</v>
      </c>
      <c r="F88" s="245">
        <v>700000</v>
      </c>
      <c r="G88" s="245">
        <v>200000</v>
      </c>
      <c r="H88" s="243"/>
      <c r="I88" s="246">
        <f t="shared" si="19"/>
        <v>900000</v>
      </c>
      <c r="J88" s="161">
        <f t="shared" si="17"/>
        <v>14400000</v>
      </c>
      <c r="K88" s="368">
        <f>J88/J286</f>
        <v>2.2414150389353054E-2</v>
      </c>
      <c r="L88" s="367">
        <v>0</v>
      </c>
      <c r="M88" s="392">
        <v>0</v>
      </c>
      <c r="N88" s="392">
        <f t="shared" si="16"/>
        <v>0</v>
      </c>
      <c r="O88" s="389"/>
    </row>
    <row r="89" spans="1:15" ht="15.75" x14ac:dyDescent="0.25">
      <c r="A89" s="374">
        <v>14</v>
      </c>
      <c r="B89" s="240" t="s">
        <v>266</v>
      </c>
      <c r="C89" s="241" t="s">
        <v>514</v>
      </c>
      <c r="D89" s="185" t="s">
        <v>301</v>
      </c>
      <c r="E89" s="242">
        <v>20</v>
      </c>
      <c r="F89" s="245">
        <v>45000</v>
      </c>
      <c r="G89" s="245">
        <v>15000</v>
      </c>
      <c r="H89" s="245">
        <v>2500</v>
      </c>
      <c r="I89" s="246">
        <f t="shared" si="19"/>
        <v>62500</v>
      </c>
      <c r="J89" s="161">
        <f t="shared" si="17"/>
        <v>1250000</v>
      </c>
      <c r="K89" s="368">
        <f>J89/J286</f>
        <v>1.9456727768535638E-3</v>
      </c>
      <c r="L89" s="367">
        <v>0</v>
      </c>
      <c r="M89" s="392">
        <v>0</v>
      </c>
      <c r="N89" s="392">
        <f t="shared" si="16"/>
        <v>0</v>
      </c>
      <c r="O89" s="389"/>
    </row>
    <row r="90" spans="1:15" ht="15.75" x14ac:dyDescent="0.25">
      <c r="A90" s="374">
        <v>15</v>
      </c>
      <c r="B90" s="240" t="s">
        <v>469</v>
      </c>
      <c r="C90" s="241" t="s">
        <v>512</v>
      </c>
      <c r="D90" s="185" t="s">
        <v>301</v>
      </c>
      <c r="E90" s="242">
        <f>2*6</f>
        <v>12</v>
      </c>
      <c r="F90" s="245">
        <v>27500</v>
      </c>
      <c r="G90" s="245">
        <v>15000</v>
      </c>
      <c r="H90" s="245">
        <v>2500</v>
      </c>
      <c r="I90" s="246">
        <f t="shared" si="19"/>
        <v>45000</v>
      </c>
      <c r="J90" s="161">
        <f t="shared" si="17"/>
        <v>540000</v>
      </c>
      <c r="K90" s="368">
        <f>J90/J286</f>
        <v>8.4053063960073959E-4</v>
      </c>
      <c r="L90" s="367">
        <v>0</v>
      </c>
      <c r="M90" s="392">
        <v>0</v>
      </c>
      <c r="N90" s="392">
        <f t="shared" si="16"/>
        <v>0</v>
      </c>
      <c r="O90" s="389"/>
    </row>
    <row r="91" spans="1:15" ht="15.75" x14ac:dyDescent="0.25">
      <c r="A91" s="374">
        <v>16</v>
      </c>
      <c r="B91" s="240" t="s">
        <v>372</v>
      </c>
      <c r="C91" s="241" t="s">
        <v>282</v>
      </c>
      <c r="D91" s="185" t="s">
        <v>326</v>
      </c>
      <c r="E91" s="242">
        <v>2</v>
      </c>
      <c r="F91" s="245">
        <v>275000</v>
      </c>
      <c r="G91" s="245">
        <v>25000</v>
      </c>
      <c r="H91" s="245">
        <v>5000</v>
      </c>
      <c r="I91" s="246">
        <f>H91+G91+F91</f>
        <v>305000</v>
      </c>
      <c r="J91" s="161">
        <f t="shared" si="17"/>
        <v>610000</v>
      </c>
      <c r="K91" s="368">
        <f>J91/J286</f>
        <v>9.494883151045391E-4</v>
      </c>
      <c r="L91" s="367">
        <v>0</v>
      </c>
      <c r="M91" s="392">
        <v>0</v>
      </c>
      <c r="N91" s="392">
        <f t="shared" si="16"/>
        <v>0</v>
      </c>
      <c r="O91" s="389"/>
    </row>
    <row r="92" spans="1:15" ht="15.75" x14ac:dyDescent="0.25">
      <c r="A92" s="374">
        <v>17</v>
      </c>
      <c r="B92" s="240" t="s">
        <v>376</v>
      </c>
      <c r="C92" s="241" t="s">
        <v>282</v>
      </c>
      <c r="D92" s="185" t="s">
        <v>326</v>
      </c>
      <c r="E92" s="242">
        <v>1</v>
      </c>
      <c r="F92" s="245">
        <v>300000</v>
      </c>
      <c r="G92" s="245">
        <v>25000</v>
      </c>
      <c r="H92" s="245">
        <v>5000</v>
      </c>
      <c r="I92" s="246">
        <f>H92+G92+F92</f>
        <v>330000</v>
      </c>
      <c r="J92" s="161">
        <f t="shared" si="17"/>
        <v>330000</v>
      </c>
      <c r="K92" s="368">
        <f>J92/J286</f>
        <v>5.1365761308934084E-4</v>
      </c>
      <c r="L92" s="367">
        <v>0</v>
      </c>
      <c r="M92" s="392">
        <v>0</v>
      </c>
      <c r="N92" s="392">
        <f t="shared" si="16"/>
        <v>0</v>
      </c>
      <c r="O92" s="389"/>
    </row>
    <row r="93" spans="1:15" ht="30" x14ac:dyDescent="0.25">
      <c r="A93" s="374"/>
      <c r="B93" s="244"/>
      <c r="C93" s="241"/>
      <c r="D93" s="185"/>
      <c r="E93" s="242"/>
      <c r="F93" s="245"/>
      <c r="G93" s="243"/>
      <c r="H93" s="243"/>
      <c r="I93" s="376" t="s">
        <v>409</v>
      </c>
      <c r="J93" s="273">
        <f>SUM(J67:J92)</f>
        <v>45671515</v>
      </c>
      <c r="K93" s="377">
        <f>SUM(K67:K92)</f>
        <v>7.1089458730527355E-2</v>
      </c>
      <c r="L93" s="367"/>
      <c r="M93" s="378">
        <f>SUM(M67:M92)</f>
        <v>0</v>
      </c>
      <c r="N93" s="378">
        <f>SUM(N67:N92)</f>
        <v>2.6761740643850125E-2</v>
      </c>
      <c r="O93" s="379"/>
    </row>
    <row r="94" spans="1:15" ht="15.75" x14ac:dyDescent="0.25">
      <c r="A94" s="442" t="s">
        <v>36</v>
      </c>
      <c r="B94" s="443" t="s">
        <v>544</v>
      </c>
      <c r="C94" s="437" t="s">
        <v>282</v>
      </c>
      <c r="D94" s="213" t="s">
        <v>290</v>
      </c>
      <c r="E94" s="254" t="s">
        <v>282</v>
      </c>
      <c r="F94" s="444"/>
      <c r="G94" s="444"/>
      <c r="H94" s="444"/>
      <c r="I94" s="444"/>
      <c r="J94" s="445"/>
      <c r="K94" s="368"/>
      <c r="L94" s="367"/>
      <c r="M94" s="392"/>
      <c r="N94" s="392"/>
      <c r="O94" s="389"/>
    </row>
    <row r="95" spans="1:15" ht="15.75" x14ac:dyDescent="0.25">
      <c r="A95" s="384" t="s">
        <v>297</v>
      </c>
      <c r="B95" s="385" t="s">
        <v>545</v>
      </c>
      <c r="C95" s="381"/>
      <c r="D95" s="185"/>
      <c r="E95" s="242"/>
      <c r="F95" s="382"/>
      <c r="G95" s="386"/>
      <c r="H95" s="387"/>
      <c r="I95" s="382"/>
      <c r="J95" s="383"/>
      <c r="K95" s="368"/>
      <c r="L95" s="367"/>
      <c r="M95" s="392"/>
      <c r="N95" s="392"/>
      <c r="O95" s="389"/>
    </row>
    <row r="96" spans="1:15" ht="15.75" x14ac:dyDescent="0.25">
      <c r="A96" s="390">
        <v>1</v>
      </c>
      <c r="B96" s="397" t="s">
        <v>349</v>
      </c>
      <c r="C96" s="395" t="s">
        <v>282</v>
      </c>
      <c r="D96" s="398"/>
      <c r="E96" s="399" t="s">
        <v>282</v>
      </c>
      <c r="F96" s="400"/>
      <c r="G96" s="400"/>
      <c r="H96" s="400"/>
      <c r="I96" s="400"/>
      <c r="J96" s="401"/>
      <c r="K96" s="368"/>
      <c r="L96" s="367"/>
      <c r="M96" s="392"/>
      <c r="N96" s="392"/>
      <c r="O96" s="389"/>
    </row>
    <row r="97" spans="1:15" ht="15.75" x14ac:dyDescent="0.25">
      <c r="A97" s="402"/>
      <c r="B97" s="403" t="s">
        <v>341</v>
      </c>
      <c r="C97" s="395" t="s">
        <v>489</v>
      </c>
      <c r="D97" s="185" t="s">
        <v>337</v>
      </c>
      <c r="E97" s="399">
        <f>(0.15*0.3*4*2)</f>
        <v>0.36</v>
      </c>
      <c r="F97" s="245">
        <v>850000</v>
      </c>
      <c r="G97" s="245">
        <v>160000</v>
      </c>
      <c r="H97" s="245">
        <v>75000</v>
      </c>
      <c r="I97" s="246">
        <f t="shared" ref="I97:I99" si="20">H97+G97+F97</f>
        <v>1085000</v>
      </c>
      <c r="J97" s="161">
        <f t="shared" ref="J97:J99" si="21">E97*I97</f>
        <v>390600</v>
      </c>
      <c r="K97" s="392">
        <f>J97/J286</f>
        <v>6.0798382931120162E-4</v>
      </c>
      <c r="L97" s="367">
        <v>1</v>
      </c>
      <c r="M97" s="392">
        <v>0</v>
      </c>
      <c r="N97" s="392">
        <f t="shared" ref="N97:N144" si="22">K97*L97</f>
        <v>6.0798382931120162E-4</v>
      </c>
      <c r="O97" s="392"/>
    </row>
    <row r="98" spans="1:15" ht="15.75" x14ac:dyDescent="0.25">
      <c r="A98" s="402"/>
      <c r="B98" s="403" t="s">
        <v>343</v>
      </c>
      <c r="C98" s="395" t="s">
        <v>344</v>
      </c>
      <c r="D98" s="185" t="s">
        <v>345</v>
      </c>
      <c r="E98" s="399">
        <f>E97*200</f>
        <v>72</v>
      </c>
      <c r="F98" s="245">
        <v>14000</v>
      </c>
      <c r="G98" s="245">
        <v>2500</v>
      </c>
      <c r="H98" s="245">
        <v>1500</v>
      </c>
      <c r="I98" s="246">
        <f t="shared" si="20"/>
        <v>18000</v>
      </c>
      <c r="J98" s="161">
        <f t="shared" si="21"/>
        <v>1296000</v>
      </c>
      <c r="K98" s="392">
        <f>J98/J286</f>
        <v>2.0172735350417748E-3</v>
      </c>
      <c r="L98" s="367">
        <v>1</v>
      </c>
      <c r="M98" s="392">
        <v>0</v>
      </c>
      <c r="N98" s="392">
        <f t="shared" si="22"/>
        <v>2.0172735350417748E-3</v>
      </c>
      <c r="O98" s="392"/>
    </row>
    <row r="99" spans="1:15" ht="30" x14ac:dyDescent="0.25">
      <c r="A99" s="374"/>
      <c r="B99" s="403" t="s">
        <v>346</v>
      </c>
      <c r="C99" s="395" t="s">
        <v>347</v>
      </c>
      <c r="D99" s="185" t="s">
        <v>301</v>
      </c>
      <c r="E99" s="399">
        <f>(0.2+0.4)*2*4</f>
        <v>4.8000000000000007</v>
      </c>
      <c r="F99" s="245">
        <v>100000</v>
      </c>
      <c r="G99" s="245">
        <v>40000</v>
      </c>
      <c r="H99" s="245">
        <v>10000</v>
      </c>
      <c r="I99" s="246">
        <f t="shared" si="20"/>
        <v>150000</v>
      </c>
      <c r="J99" s="161">
        <f t="shared" si="21"/>
        <v>720000.00000000012</v>
      </c>
      <c r="K99" s="392">
        <f>J99/J286</f>
        <v>1.120707519467653E-3</v>
      </c>
      <c r="L99" s="367">
        <v>1</v>
      </c>
      <c r="M99" s="392">
        <v>0</v>
      </c>
      <c r="N99" s="392">
        <f t="shared" si="22"/>
        <v>1.120707519467653E-3</v>
      </c>
      <c r="O99" s="392"/>
    </row>
    <row r="100" spans="1:15" ht="15.75" x14ac:dyDescent="0.25">
      <c r="A100" s="388">
        <v>2</v>
      </c>
      <c r="B100" s="240" t="s">
        <v>546</v>
      </c>
      <c r="C100" s="241" t="s">
        <v>547</v>
      </c>
      <c r="D100" s="185" t="s">
        <v>301</v>
      </c>
      <c r="E100" s="242">
        <v>4</v>
      </c>
      <c r="F100" s="245">
        <v>95000</v>
      </c>
      <c r="G100" s="245"/>
      <c r="H100" s="245"/>
      <c r="I100" s="246">
        <f>H100+G100+F100</f>
        <v>95000</v>
      </c>
      <c r="J100" s="396">
        <f t="shared" ref="J100" si="23">I100*E100</f>
        <v>380000</v>
      </c>
      <c r="K100" s="392">
        <f>J100/J286</f>
        <v>5.9148452416348343E-4</v>
      </c>
      <c r="L100" s="367">
        <v>0</v>
      </c>
      <c r="M100" s="392">
        <v>0</v>
      </c>
      <c r="N100" s="392">
        <f t="shared" si="22"/>
        <v>0</v>
      </c>
      <c r="O100" s="392"/>
    </row>
    <row r="101" spans="1:15" ht="16.5" x14ac:dyDescent="0.25">
      <c r="A101" s="412">
        <v>3</v>
      </c>
      <c r="B101" s="410" t="s">
        <v>494</v>
      </c>
      <c r="C101" s="395" t="s">
        <v>495</v>
      </c>
      <c r="D101" s="185" t="s">
        <v>301</v>
      </c>
      <c r="E101" s="242">
        <f>(4*4)</f>
        <v>16</v>
      </c>
      <c r="F101" s="245">
        <v>85000</v>
      </c>
      <c r="G101" s="245">
        <v>45000</v>
      </c>
      <c r="H101" s="411">
        <v>10000</v>
      </c>
      <c r="I101" s="246">
        <f t="shared" ref="I101:I106" si="24">H101+G101+F101</f>
        <v>140000</v>
      </c>
      <c r="J101" s="161">
        <f t="shared" ref="J101:J115" si="25">E101*I101</f>
        <v>2240000</v>
      </c>
      <c r="K101" s="392">
        <f>J101/J286</f>
        <v>3.4866456161215861E-3</v>
      </c>
      <c r="L101" s="367">
        <v>0</v>
      </c>
      <c r="M101" s="392">
        <v>0</v>
      </c>
      <c r="N101" s="392">
        <f t="shared" si="22"/>
        <v>0</v>
      </c>
      <c r="O101" s="392"/>
    </row>
    <row r="102" spans="1:15" ht="16.5" x14ac:dyDescent="0.25">
      <c r="A102" s="388">
        <v>4</v>
      </c>
      <c r="B102" s="240" t="s">
        <v>496</v>
      </c>
      <c r="C102" s="241" t="s">
        <v>497</v>
      </c>
      <c r="D102" s="185" t="s">
        <v>301</v>
      </c>
      <c r="E102" s="242">
        <f>E101</f>
        <v>16</v>
      </c>
      <c r="F102" s="245">
        <v>30000</v>
      </c>
      <c r="G102" s="245">
        <v>45000</v>
      </c>
      <c r="H102" s="411">
        <v>10000</v>
      </c>
      <c r="I102" s="246">
        <f t="shared" si="24"/>
        <v>85000</v>
      </c>
      <c r="J102" s="161">
        <f t="shared" si="25"/>
        <v>1360000</v>
      </c>
      <c r="K102" s="392">
        <f>J102/J286</f>
        <v>2.1168919812166774E-3</v>
      </c>
      <c r="L102" s="367">
        <v>0</v>
      </c>
      <c r="M102" s="392">
        <v>0</v>
      </c>
      <c r="N102" s="392">
        <f t="shared" si="22"/>
        <v>0</v>
      </c>
      <c r="O102" s="392"/>
    </row>
    <row r="103" spans="1:15" ht="16.5" x14ac:dyDescent="0.25">
      <c r="A103" s="412">
        <v>5</v>
      </c>
      <c r="B103" s="240" t="s">
        <v>498</v>
      </c>
      <c r="C103" s="241" t="s">
        <v>498</v>
      </c>
      <c r="D103" s="185" t="s">
        <v>301</v>
      </c>
      <c r="E103" s="242">
        <f>E102</f>
        <v>16</v>
      </c>
      <c r="F103" s="245">
        <v>15000</v>
      </c>
      <c r="G103" s="245">
        <v>20000</v>
      </c>
      <c r="H103" s="411">
        <v>10000</v>
      </c>
      <c r="I103" s="246">
        <f t="shared" si="24"/>
        <v>45000</v>
      </c>
      <c r="J103" s="161">
        <f t="shared" si="25"/>
        <v>720000</v>
      </c>
      <c r="K103" s="392">
        <f>J103/J286</f>
        <v>1.1207075194676528E-3</v>
      </c>
      <c r="L103" s="367">
        <v>0</v>
      </c>
      <c r="M103" s="392">
        <v>0</v>
      </c>
      <c r="N103" s="392">
        <f t="shared" si="22"/>
        <v>0</v>
      </c>
      <c r="O103" s="392"/>
    </row>
    <row r="104" spans="1:15" ht="30" x14ac:dyDescent="0.25">
      <c r="A104" s="388">
        <v>6</v>
      </c>
      <c r="B104" s="413" t="s">
        <v>499</v>
      </c>
      <c r="C104" s="241" t="s">
        <v>500</v>
      </c>
      <c r="D104" s="185" t="s">
        <v>301</v>
      </c>
      <c r="E104" s="414">
        <f>(2+2)*2*3</f>
        <v>24</v>
      </c>
      <c r="F104" s="245">
        <v>175000</v>
      </c>
      <c r="G104" s="245">
        <v>85000</v>
      </c>
      <c r="H104" s="245">
        <v>80000</v>
      </c>
      <c r="I104" s="246">
        <f t="shared" si="24"/>
        <v>340000</v>
      </c>
      <c r="J104" s="161">
        <f t="shared" si="25"/>
        <v>8160000</v>
      </c>
      <c r="K104" s="392">
        <f>J104/J286</f>
        <v>1.2701351887300065E-2</v>
      </c>
      <c r="L104" s="367">
        <v>0</v>
      </c>
      <c r="M104" s="392">
        <v>0</v>
      </c>
      <c r="N104" s="392">
        <f t="shared" si="22"/>
        <v>0</v>
      </c>
      <c r="O104" s="392"/>
    </row>
    <row r="105" spans="1:15" ht="30" x14ac:dyDescent="0.25">
      <c r="A105" s="412">
        <v>7</v>
      </c>
      <c r="B105" s="415" t="s">
        <v>548</v>
      </c>
      <c r="C105" s="241" t="s">
        <v>502</v>
      </c>
      <c r="D105" s="185" t="s">
        <v>301</v>
      </c>
      <c r="E105" s="416">
        <f>2*2</f>
        <v>4</v>
      </c>
      <c r="F105" s="245">
        <v>275000</v>
      </c>
      <c r="G105" s="245">
        <v>85000</v>
      </c>
      <c r="H105" s="245">
        <v>80000</v>
      </c>
      <c r="I105" s="246">
        <f t="shared" si="24"/>
        <v>440000</v>
      </c>
      <c r="J105" s="161">
        <f t="shared" si="25"/>
        <v>1760000</v>
      </c>
      <c r="K105" s="392">
        <f>J105/J286</f>
        <v>2.7395072698098177E-3</v>
      </c>
      <c r="L105" s="367">
        <v>0</v>
      </c>
      <c r="M105" s="392">
        <v>0</v>
      </c>
      <c r="N105" s="392">
        <f t="shared" si="22"/>
        <v>0</v>
      </c>
      <c r="O105" s="392"/>
    </row>
    <row r="106" spans="1:15" ht="30" x14ac:dyDescent="0.25">
      <c r="A106" s="388">
        <v>8</v>
      </c>
      <c r="B106" s="240" t="s">
        <v>507</v>
      </c>
      <c r="C106" s="395" t="s">
        <v>508</v>
      </c>
      <c r="D106" s="185" t="s">
        <v>301</v>
      </c>
      <c r="E106" s="417">
        <f>E105</f>
        <v>4</v>
      </c>
      <c r="F106" s="245">
        <v>95000</v>
      </c>
      <c r="G106" s="245">
        <v>25000</v>
      </c>
      <c r="H106" s="245">
        <v>1500</v>
      </c>
      <c r="I106" s="246">
        <f t="shared" si="24"/>
        <v>121500</v>
      </c>
      <c r="J106" s="161">
        <f t="shared" si="25"/>
        <v>486000</v>
      </c>
      <c r="K106" s="392">
        <f>J106/J286</f>
        <v>7.5647757564066553E-4</v>
      </c>
      <c r="L106" s="367">
        <v>0</v>
      </c>
      <c r="M106" s="392">
        <v>0</v>
      </c>
      <c r="N106" s="392">
        <f t="shared" si="22"/>
        <v>0</v>
      </c>
      <c r="O106" s="392"/>
    </row>
    <row r="107" spans="1:15" ht="15.75" x14ac:dyDescent="0.25">
      <c r="A107" s="412">
        <v>9</v>
      </c>
      <c r="B107" s="240" t="s">
        <v>509</v>
      </c>
      <c r="C107" s="395" t="s">
        <v>359</v>
      </c>
      <c r="D107" s="185" t="s">
        <v>178</v>
      </c>
      <c r="E107" s="416">
        <v>8</v>
      </c>
      <c r="F107" s="245">
        <v>20000</v>
      </c>
      <c r="G107" s="245">
        <v>5000</v>
      </c>
      <c r="H107" s="245">
        <v>1500</v>
      </c>
      <c r="I107" s="246">
        <f>H107+G107+F107</f>
        <v>26500</v>
      </c>
      <c r="J107" s="161">
        <f t="shared" si="25"/>
        <v>212000</v>
      </c>
      <c r="K107" s="392">
        <f>J107/J286</f>
        <v>3.2998610295436443E-4</v>
      </c>
      <c r="L107" s="367">
        <v>0</v>
      </c>
      <c r="M107" s="392">
        <v>0</v>
      </c>
      <c r="N107" s="392">
        <f t="shared" si="22"/>
        <v>0</v>
      </c>
      <c r="O107" s="392"/>
    </row>
    <row r="108" spans="1:15" ht="15.75" x14ac:dyDescent="0.25">
      <c r="A108" s="388">
        <v>10</v>
      </c>
      <c r="B108" s="446" t="s">
        <v>510</v>
      </c>
      <c r="C108" s="241" t="s">
        <v>441</v>
      </c>
      <c r="D108" s="185" t="s">
        <v>212</v>
      </c>
      <c r="E108" s="419">
        <v>1</v>
      </c>
      <c r="F108" s="245">
        <v>4500000</v>
      </c>
      <c r="G108" s="245">
        <v>300000</v>
      </c>
      <c r="H108" s="243"/>
      <c r="I108" s="246">
        <f t="shared" ref="I108:I110" si="26">H108+G108+F108</f>
        <v>4800000</v>
      </c>
      <c r="J108" s="161">
        <f t="shared" si="25"/>
        <v>4800000</v>
      </c>
      <c r="K108" s="392">
        <f>J108/J286</f>
        <v>7.4713834631176847E-3</v>
      </c>
      <c r="L108" s="367">
        <v>0</v>
      </c>
      <c r="M108" s="392">
        <v>0</v>
      </c>
      <c r="N108" s="392">
        <f t="shared" si="22"/>
        <v>0</v>
      </c>
      <c r="O108" s="392"/>
    </row>
    <row r="109" spans="1:15" ht="15.75" x14ac:dyDescent="0.25">
      <c r="A109" s="412">
        <v>11</v>
      </c>
      <c r="B109" s="240" t="s">
        <v>369</v>
      </c>
      <c r="C109" s="241" t="s">
        <v>370</v>
      </c>
      <c r="D109" s="185" t="s">
        <v>29</v>
      </c>
      <c r="E109" s="242">
        <v>1</v>
      </c>
      <c r="F109" s="245">
        <v>1000000</v>
      </c>
      <c r="G109" s="243"/>
      <c r="H109" s="245">
        <v>5000</v>
      </c>
      <c r="I109" s="246">
        <f t="shared" si="26"/>
        <v>1005000</v>
      </c>
      <c r="J109" s="161">
        <f t="shared" si="25"/>
        <v>1005000</v>
      </c>
      <c r="K109" s="392">
        <f>J109/J286</f>
        <v>1.5643209125902652E-3</v>
      </c>
      <c r="L109" s="367">
        <v>0</v>
      </c>
      <c r="M109" s="392">
        <v>0</v>
      </c>
      <c r="N109" s="392">
        <f t="shared" si="22"/>
        <v>0</v>
      </c>
      <c r="O109" s="392"/>
    </row>
    <row r="110" spans="1:15" ht="15.75" x14ac:dyDescent="0.25">
      <c r="A110" s="388">
        <v>12</v>
      </c>
      <c r="B110" s="240" t="s">
        <v>371</v>
      </c>
      <c r="C110" s="241" t="s">
        <v>428</v>
      </c>
      <c r="D110" s="185" t="s">
        <v>29</v>
      </c>
      <c r="E110" s="242">
        <v>1</v>
      </c>
      <c r="F110" s="245">
        <v>800000</v>
      </c>
      <c r="G110" s="243"/>
      <c r="H110" s="245">
        <v>5000</v>
      </c>
      <c r="I110" s="246">
        <f t="shared" si="26"/>
        <v>805000</v>
      </c>
      <c r="J110" s="161">
        <f t="shared" si="25"/>
        <v>805000</v>
      </c>
      <c r="K110" s="392">
        <f>J110/J286</f>
        <v>1.2530132682936951E-3</v>
      </c>
      <c r="L110" s="367">
        <v>0</v>
      </c>
      <c r="M110" s="392">
        <v>0</v>
      </c>
      <c r="N110" s="392">
        <f t="shared" si="22"/>
        <v>0</v>
      </c>
      <c r="O110" s="392"/>
    </row>
    <row r="111" spans="1:15" ht="15.75" x14ac:dyDescent="0.25">
      <c r="A111" s="412">
        <v>13</v>
      </c>
      <c r="B111" s="240" t="s">
        <v>372</v>
      </c>
      <c r="C111" s="241" t="s">
        <v>282</v>
      </c>
      <c r="D111" s="185" t="s">
        <v>326</v>
      </c>
      <c r="E111" s="242">
        <v>1</v>
      </c>
      <c r="F111" s="245">
        <v>275000</v>
      </c>
      <c r="G111" s="245">
        <v>25000</v>
      </c>
      <c r="H111" s="245">
        <v>5000</v>
      </c>
      <c r="I111" s="246">
        <f>H111+G111+F111</f>
        <v>305000</v>
      </c>
      <c r="J111" s="161">
        <f t="shared" si="25"/>
        <v>305000</v>
      </c>
      <c r="K111" s="392">
        <f>J111/J286</f>
        <v>4.7474415755226955E-4</v>
      </c>
      <c r="L111" s="367">
        <v>0</v>
      </c>
      <c r="M111" s="392">
        <v>0</v>
      </c>
      <c r="N111" s="392">
        <f t="shared" si="22"/>
        <v>0</v>
      </c>
      <c r="O111" s="392"/>
    </row>
    <row r="112" spans="1:15" ht="15.75" x14ac:dyDescent="0.25">
      <c r="A112" s="388">
        <v>14</v>
      </c>
      <c r="B112" s="244" t="s">
        <v>373</v>
      </c>
      <c r="C112" s="241" t="s">
        <v>374</v>
      </c>
      <c r="D112" s="185" t="s">
        <v>326</v>
      </c>
      <c r="E112" s="242">
        <v>1</v>
      </c>
      <c r="F112" s="245">
        <v>200000</v>
      </c>
      <c r="G112" s="245">
        <v>25000</v>
      </c>
      <c r="H112" s="243"/>
      <c r="I112" s="246">
        <f>H112+G112+F112</f>
        <v>225000</v>
      </c>
      <c r="J112" s="396">
        <f t="shared" ref="J112" si="27">I112*E112</f>
        <v>225000</v>
      </c>
      <c r="K112" s="392">
        <f>J112/J286</f>
        <v>3.5022109983364147E-4</v>
      </c>
      <c r="L112" s="367">
        <v>0</v>
      </c>
      <c r="M112" s="392">
        <v>0</v>
      </c>
      <c r="N112" s="392">
        <f t="shared" si="22"/>
        <v>0</v>
      </c>
      <c r="O112" s="392"/>
    </row>
    <row r="113" spans="1:15" ht="15.75" x14ac:dyDescent="0.25">
      <c r="A113" s="412">
        <v>15</v>
      </c>
      <c r="B113" s="240" t="s">
        <v>376</v>
      </c>
      <c r="C113" s="241" t="s">
        <v>282</v>
      </c>
      <c r="D113" s="185" t="s">
        <v>326</v>
      </c>
      <c r="E113" s="242">
        <v>1</v>
      </c>
      <c r="F113" s="245">
        <v>300000</v>
      </c>
      <c r="G113" s="245">
        <v>25000</v>
      </c>
      <c r="H113" s="245">
        <v>5000</v>
      </c>
      <c r="I113" s="246">
        <f>H113+G113+F113</f>
        <v>330000</v>
      </c>
      <c r="J113" s="161">
        <f t="shared" si="25"/>
        <v>330000</v>
      </c>
      <c r="K113" s="392">
        <f>J113/J286</f>
        <v>5.1365761308934084E-4</v>
      </c>
      <c r="L113" s="367">
        <v>0</v>
      </c>
      <c r="M113" s="392">
        <v>0</v>
      </c>
      <c r="N113" s="392">
        <f t="shared" si="22"/>
        <v>0</v>
      </c>
      <c r="O113" s="392"/>
    </row>
    <row r="114" spans="1:15" ht="15.75" x14ac:dyDescent="0.25">
      <c r="A114" s="388">
        <v>16</v>
      </c>
      <c r="B114" s="413" t="s">
        <v>469</v>
      </c>
      <c r="C114" s="241" t="s">
        <v>512</v>
      </c>
      <c r="D114" s="185" t="s">
        <v>301</v>
      </c>
      <c r="E114" s="420">
        <f>E106</f>
        <v>4</v>
      </c>
      <c r="F114" s="245">
        <v>27500</v>
      </c>
      <c r="G114" s="245">
        <v>15000</v>
      </c>
      <c r="H114" s="245">
        <v>2500</v>
      </c>
      <c r="I114" s="246">
        <f t="shared" ref="I114:I115" si="28">H114+G114+F114</f>
        <v>45000</v>
      </c>
      <c r="J114" s="161">
        <f t="shared" si="25"/>
        <v>180000</v>
      </c>
      <c r="K114" s="392">
        <f>J114/J286</f>
        <v>2.801768798669132E-4</v>
      </c>
      <c r="L114" s="367">
        <v>0</v>
      </c>
      <c r="M114" s="392">
        <v>0</v>
      </c>
      <c r="N114" s="392">
        <f t="shared" si="22"/>
        <v>0</v>
      </c>
      <c r="O114" s="392"/>
    </row>
    <row r="115" spans="1:15" ht="15.75" x14ac:dyDescent="0.25">
      <c r="A115" s="412">
        <v>17</v>
      </c>
      <c r="B115" s="413" t="s">
        <v>513</v>
      </c>
      <c r="C115" s="241" t="s">
        <v>514</v>
      </c>
      <c r="D115" s="185" t="s">
        <v>301</v>
      </c>
      <c r="E115" s="420">
        <f>(4+2.5)*4</f>
        <v>26</v>
      </c>
      <c r="F115" s="245">
        <v>45000</v>
      </c>
      <c r="G115" s="245">
        <v>15000</v>
      </c>
      <c r="H115" s="245">
        <v>2500</v>
      </c>
      <c r="I115" s="246">
        <f t="shared" si="28"/>
        <v>62500</v>
      </c>
      <c r="J115" s="161">
        <f t="shared" si="25"/>
        <v>1625000</v>
      </c>
      <c r="K115" s="392">
        <f>J115/J286</f>
        <v>2.5293746099096328E-3</v>
      </c>
      <c r="L115" s="367">
        <v>0</v>
      </c>
      <c r="M115" s="392">
        <v>0</v>
      </c>
      <c r="N115" s="392">
        <f t="shared" si="22"/>
        <v>0</v>
      </c>
      <c r="O115" s="392"/>
    </row>
    <row r="116" spans="1:15" ht="15.75" x14ac:dyDescent="0.25">
      <c r="A116" s="388">
        <v>18</v>
      </c>
      <c r="B116" s="421" t="s">
        <v>515</v>
      </c>
      <c r="C116" s="241"/>
      <c r="D116" s="185"/>
      <c r="E116" s="447"/>
      <c r="F116" s="245"/>
      <c r="G116" s="245"/>
      <c r="H116" s="245"/>
      <c r="I116" s="246"/>
      <c r="J116" s="161"/>
      <c r="K116" s="392"/>
      <c r="L116" s="367">
        <v>0</v>
      </c>
      <c r="M116" s="392">
        <v>0</v>
      </c>
      <c r="N116" s="392">
        <f t="shared" si="22"/>
        <v>0</v>
      </c>
      <c r="O116" s="389"/>
    </row>
    <row r="117" spans="1:15" ht="15.75" x14ac:dyDescent="0.25">
      <c r="A117" s="412"/>
      <c r="B117" s="423" t="s">
        <v>399</v>
      </c>
      <c r="C117" s="424" t="s">
        <v>516</v>
      </c>
      <c r="D117" s="213" t="s">
        <v>517</v>
      </c>
      <c r="E117" s="425">
        <v>1</v>
      </c>
      <c r="F117" s="426">
        <v>4500000</v>
      </c>
      <c r="G117" s="269">
        <v>100000</v>
      </c>
      <c r="H117" s="269">
        <v>30000</v>
      </c>
      <c r="I117" s="427">
        <f t="shared" ref="I117:I122" si="29">H117+G117+F117</f>
        <v>4630000</v>
      </c>
      <c r="J117" s="428">
        <f t="shared" ref="J117:J122" si="30">E117*I117</f>
        <v>4630000</v>
      </c>
      <c r="K117" s="392">
        <f>J117/J286</f>
        <v>7.2067719654656005E-3</v>
      </c>
      <c r="L117" s="367">
        <v>0</v>
      </c>
      <c r="M117" s="392">
        <v>0</v>
      </c>
      <c r="N117" s="392">
        <f t="shared" si="22"/>
        <v>0</v>
      </c>
      <c r="O117" s="392"/>
    </row>
    <row r="118" spans="1:15" ht="15.75" x14ac:dyDescent="0.25">
      <c r="A118" s="429"/>
      <c r="B118" s="423" t="s">
        <v>518</v>
      </c>
      <c r="C118" s="430" t="s">
        <v>519</v>
      </c>
      <c r="D118" s="213" t="s">
        <v>517</v>
      </c>
      <c r="E118" s="425">
        <v>1</v>
      </c>
      <c r="F118" s="426">
        <v>650000</v>
      </c>
      <c r="G118" s="269">
        <v>100000</v>
      </c>
      <c r="H118" s="269">
        <v>30000</v>
      </c>
      <c r="I118" s="427">
        <f t="shared" si="29"/>
        <v>780000</v>
      </c>
      <c r="J118" s="428">
        <f t="shared" si="30"/>
        <v>780000</v>
      </c>
      <c r="K118" s="392">
        <f>J118/J286</f>
        <v>1.2140998127566239E-3</v>
      </c>
      <c r="L118" s="367">
        <v>0</v>
      </c>
      <c r="M118" s="392">
        <v>0</v>
      </c>
      <c r="N118" s="392">
        <f t="shared" si="22"/>
        <v>0</v>
      </c>
      <c r="O118" s="392"/>
    </row>
    <row r="119" spans="1:15" ht="15.75" x14ac:dyDescent="0.25">
      <c r="A119" s="388"/>
      <c r="B119" s="423" t="s">
        <v>520</v>
      </c>
      <c r="C119" s="430" t="s">
        <v>521</v>
      </c>
      <c r="D119" s="431" t="s">
        <v>517</v>
      </c>
      <c r="E119" s="432">
        <v>1</v>
      </c>
      <c r="F119" s="433">
        <v>900000</v>
      </c>
      <c r="G119" s="433">
        <v>20000</v>
      </c>
      <c r="H119" s="433">
        <v>50000</v>
      </c>
      <c r="I119" s="434">
        <f t="shared" si="29"/>
        <v>970000</v>
      </c>
      <c r="J119" s="428">
        <f t="shared" si="30"/>
        <v>970000</v>
      </c>
      <c r="K119" s="392">
        <f>J119/J286</f>
        <v>1.5098420748383655E-3</v>
      </c>
      <c r="L119" s="367">
        <v>0</v>
      </c>
      <c r="M119" s="392">
        <v>0</v>
      </c>
      <c r="N119" s="392">
        <f t="shared" si="22"/>
        <v>0</v>
      </c>
      <c r="O119" s="392"/>
    </row>
    <row r="120" spans="1:15" ht="15.75" x14ac:dyDescent="0.25">
      <c r="A120" s="412"/>
      <c r="B120" s="423" t="s">
        <v>401</v>
      </c>
      <c r="C120" s="430" t="s">
        <v>522</v>
      </c>
      <c r="D120" s="431" t="s">
        <v>517</v>
      </c>
      <c r="E120" s="432">
        <v>1</v>
      </c>
      <c r="F120" s="433">
        <v>1400000</v>
      </c>
      <c r="G120" s="433">
        <v>200000</v>
      </c>
      <c r="H120" s="433">
        <v>15000</v>
      </c>
      <c r="I120" s="434">
        <f t="shared" si="29"/>
        <v>1615000</v>
      </c>
      <c r="J120" s="428">
        <f t="shared" si="30"/>
        <v>1615000</v>
      </c>
      <c r="K120" s="392">
        <f>J120/J286</f>
        <v>2.5138092276948045E-3</v>
      </c>
      <c r="L120" s="367">
        <v>0</v>
      </c>
      <c r="M120" s="392">
        <v>0</v>
      </c>
      <c r="N120" s="392">
        <f t="shared" si="22"/>
        <v>0</v>
      </c>
      <c r="O120" s="392"/>
    </row>
    <row r="121" spans="1:15" ht="15.75" x14ac:dyDescent="0.25">
      <c r="A121" s="388"/>
      <c r="B121" s="423" t="s">
        <v>250</v>
      </c>
      <c r="C121" s="430" t="s">
        <v>523</v>
      </c>
      <c r="D121" s="431" t="s">
        <v>517</v>
      </c>
      <c r="E121" s="432">
        <v>2</v>
      </c>
      <c r="F121" s="433">
        <v>250000</v>
      </c>
      <c r="G121" s="433">
        <v>25000</v>
      </c>
      <c r="H121" s="433">
        <v>30000</v>
      </c>
      <c r="I121" s="434">
        <f t="shared" si="29"/>
        <v>305000</v>
      </c>
      <c r="J121" s="428">
        <f t="shared" si="30"/>
        <v>610000</v>
      </c>
      <c r="K121" s="392">
        <f>J121/J286</f>
        <v>9.494883151045391E-4</v>
      </c>
      <c r="L121" s="367">
        <v>0</v>
      </c>
      <c r="M121" s="392">
        <v>0</v>
      </c>
      <c r="N121" s="392">
        <f t="shared" si="22"/>
        <v>0</v>
      </c>
      <c r="O121" s="392"/>
    </row>
    <row r="122" spans="1:15" ht="30" x14ac:dyDescent="0.25">
      <c r="A122" s="412"/>
      <c r="B122" s="423" t="s">
        <v>405</v>
      </c>
      <c r="C122" s="430" t="s">
        <v>549</v>
      </c>
      <c r="D122" s="431" t="s">
        <v>517</v>
      </c>
      <c r="E122" s="432">
        <v>1</v>
      </c>
      <c r="F122" s="433">
        <v>1000000</v>
      </c>
      <c r="G122" s="433">
        <v>75000</v>
      </c>
      <c r="H122" s="433">
        <v>30000</v>
      </c>
      <c r="I122" s="434">
        <f t="shared" si="29"/>
        <v>1105000</v>
      </c>
      <c r="J122" s="428">
        <f t="shared" si="30"/>
        <v>1105000</v>
      </c>
      <c r="K122" s="392">
        <f>J122/J286</f>
        <v>1.7199747347385504E-3</v>
      </c>
      <c r="L122" s="367">
        <v>0</v>
      </c>
      <c r="M122" s="392">
        <v>0</v>
      </c>
      <c r="N122" s="392">
        <f t="shared" si="22"/>
        <v>0</v>
      </c>
      <c r="O122" s="392"/>
    </row>
    <row r="123" spans="1:15" ht="30" x14ac:dyDescent="0.25">
      <c r="A123" s="402"/>
      <c r="B123" s="435"/>
      <c r="C123" s="241"/>
      <c r="D123" s="185"/>
      <c r="E123" s="242"/>
      <c r="F123" s="245"/>
      <c r="G123" s="245"/>
      <c r="H123" s="245"/>
      <c r="I123" s="376" t="s">
        <v>327</v>
      </c>
      <c r="J123" s="273">
        <f>SUM(J97:J122)</f>
        <v>36709600</v>
      </c>
      <c r="K123" s="377">
        <f>SUM(K97:K122)</f>
        <v>5.7139895495346885E-2</v>
      </c>
      <c r="L123" s="367">
        <v>0</v>
      </c>
      <c r="M123" s="378">
        <f>SUM(M97:M122)</f>
        <v>0</v>
      </c>
      <c r="N123" s="378">
        <f>SUM(N97:N122)</f>
        <v>3.7459648838206296E-3</v>
      </c>
      <c r="O123" s="379"/>
    </row>
    <row r="124" spans="1:15" ht="15.75" x14ac:dyDescent="0.25">
      <c r="A124" s="436" t="s">
        <v>328</v>
      </c>
      <c r="B124" s="437" t="s">
        <v>530</v>
      </c>
      <c r="C124" s="381"/>
      <c r="D124" s="185"/>
      <c r="E124" s="242"/>
      <c r="F124" s="382"/>
      <c r="G124" s="382"/>
      <c r="H124" s="382"/>
      <c r="I124" s="382"/>
      <c r="J124" s="383"/>
      <c r="K124" s="392"/>
      <c r="L124" s="367"/>
      <c r="M124" s="392"/>
      <c r="N124" s="392"/>
      <c r="O124" s="389"/>
    </row>
    <row r="125" spans="1:15" ht="15.75" x14ac:dyDescent="0.25">
      <c r="A125" s="374">
        <v>1</v>
      </c>
      <c r="B125" s="240" t="s">
        <v>550</v>
      </c>
      <c r="C125" s="241" t="s">
        <v>282</v>
      </c>
      <c r="D125" s="185" t="s">
        <v>337</v>
      </c>
      <c r="E125" s="242">
        <f>2.2*2.5</f>
        <v>5.5</v>
      </c>
      <c r="F125" s="245"/>
      <c r="G125" s="245">
        <v>250000</v>
      </c>
      <c r="H125" s="243"/>
      <c r="I125" s="246">
        <f>H125+G125+F125</f>
        <v>250000</v>
      </c>
      <c r="J125" s="161">
        <f>E125*I125</f>
        <v>1375000</v>
      </c>
      <c r="K125" s="392">
        <f>J125/J286</f>
        <v>2.1402400545389201E-3</v>
      </c>
      <c r="L125" s="367">
        <v>1</v>
      </c>
      <c r="M125" s="392">
        <v>0</v>
      </c>
      <c r="N125" s="392">
        <f t="shared" si="22"/>
        <v>2.1402400545389201E-3</v>
      </c>
      <c r="O125" s="392"/>
    </row>
    <row r="126" spans="1:15" ht="30" x14ac:dyDescent="0.25">
      <c r="A126" s="374">
        <v>2</v>
      </c>
      <c r="B126" s="240" t="s">
        <v>532</v>
      </c>
      <c r="C126" s="241" t="s">
        <v>282</v>
      </c>
      <c r="D126" s="185" t="s">
        <v>337</v>
      </c>
      <c r="E126" s="242">
        <f>(0.2*0.5*7)+(2.4*4*0.12)</f>
        <v>1.8519999999999999</v>
      </c>
      <c r="F126" s="245"/>
      <c r="G126" s="245">
        <v>700000</v>
      </c>
      <c r="H126" s="243"/>
      <c r="I126" s="246">
        <f>H126+G126+F126</f>
        <v>700000</v>
      </c>
      <c r="J126" s="161">
        <f t="shared" ref="J126:J144" si="31">E126*I126</f>
        <v>1296400</v>
      </c>
      <c r="K126" s="392">
        <f>J126/J286</f>
        <v>2.0178961503303679E-3</v>
      </c>
      <c r="L126" s="367">
        <v>1</v>
      </c>
      <c r="M126" s="392">
        <v>0</v>
      </c>
      <c r="N126" s="392">
        <f t="shared" si="22"/>
        <v>2.0178961503303679E-3</v>
      </c>
      <c r="O126" s="392"/>
    </row>
    <row r="127" spans="1:15" ht="15.75" x14ac:dyDescent="0.25">
      <c r="A127" s="374">
        <v>3</v>
      </c>
      <c r="B127" s="438" t="s">
        <v>534</v>
      </c>
      <c r="C127" s="395" t="s">
        <v>282</v>
      </c>
      <c r="D127" s="398"/>
      <c r="E127" s="399"/>
      <c r="F127" s="400"/>
      <c r="G127" s="400"/>
      <c r="H127" s="400"/>
      <c r="I127" s="246"/>
      <c r="J127" s="161">
        <f t="shared" si="31"/>
        <v>0</v>
      </c>
      <c r="K127" s="392"/>
      <c r="L127" s="367"/>
      <c r="M127" s="392"/>
      <c r="N127" s="392"/>
      <c r="O127" s="389"/>
    </row>
    <row r="128" spans="1:15" ht="15.75" x14ac:dyDescent="0.25">
      <c r="A128" s="374"/>
      <c r="B128" s="440" t="s">
        <v>341</v>
      </c>
      <c r="C128" s="395" t="s">
        <v>489</v>
      </c>
      <c r="D128" s="185" t="s">
        <v>337</v>
      </c>
      <c r="E128" s="416">
        <v>2.4</v>
      </c>
      <c r="F128" s="245">
        <v>850000</v>
      </c>
      <c r="G128" s="245">
        <v>160000</v>
      </c>
      <c r="H128" s="245">
        <v>75000</v>
      </c>
      <c r="I128" s="246">
        <f t="shared" ref="I128:I130" si="32">H128+G128+F128</f>
        <v>1085000</v>
      </c>
      <c r="J128" s="161">
        <f t="shared" si="31"/>
        <v>2604000</v>
      </c>
      <c r="K128" s="392">
        <f>J128/J286</f>
        <v>4.0532255287413438E-3</v>
      </c>
      <c r="L128" s="367">
        <v>1</v>
      </c>
      <c r="M128" s="392">
        <v>0</v>
      </c>
      <c r="N128" s="392">
        <f t="shared" si="22"/>
        <v>4.0532255287413438E-3</v>
      </c>
      <c r="O128" s="392"/>
    </row>
    <row r="129" spans="1:15" ht="15.75" x14ac:dyDescent="0.25">
      <c r="A129" s="374"/>
      <c r="B129" s="440" t="s">
        <v>343</v>
      </c>
      <c r="C129" s="395" t="s">
        <v>344</v>
      </c>
      <c r="D129" s="185" t="s">
        <v>345</v>
      </c>
      <c r="E129" s="416">
        <f>E128*200</f>
        <v>480</v>
      </c>
      <c r="F129" s="245">
        <v>14000</v>
      </c>
      <c r="G129" s="245">
        <v>2500</v>
      </c>
      <c r="H129" s="245">
        <v>1500</v>
      </c>
      <c r="I129" s="246">
        <f t="shared" si="32"/>
        <v>18000</v>
      </c>
      <c r="J129" s="161">
        <f t="shared" si="31"/>
        <v>8640000</v>
      </c>
      <c r="K129" s="392">
        <f>J129/J286</f>
        <v>1.3448490233611833E-2</v>
      </c>
      <c r="L129" s="367">
        <v>1</v>
      </c>
      <c r="M129" s="392">
        <v>0</v>
      </c>
      <c r="N129" s="392">
        <f t="shared" si="22"/>
        <v>1.3448490233611833E-2</v>
      </c>
      <c r="O129" s="392"/>
    </row>
    <row r="130" spans="1:15" ht="30" x14ac:dyDescent="0.25">
      <c r="A130" s="374"/>
      <c r="B130" s="440" t="s">
        <v>346</v>
      </c>
      <c r="C130" s="395" t="s">
        <v>347</v>
      </c>
      <c r="D130" s="185" t="s">
        <v>301</v>
      </c>
      <c r="E130" s="416">
        <f>1.2*10</f>
        <v>12</v>
      </c>
      <c r="F130" s="245">
        <v>100000</v>
      </c>
      <c r="G130" s="245">
        <v>40000</v>
      </c>
      <c r="H130" s="245">
        <v>10000</v>
      </c>
      <c r="I130" s="246">
        <f t="shared" si="32"/>
        <v>150000</v>
      </c>
      <c r="J130" s="161">
        <f t="shared" si="31"/>
        <v>1800000</v>
      </c>
      <c r="K130" s="392">
        <f>J130/J286</f>
        <v>2.8017687986691318E-3</v>
      </c>
      <c r="L130" s="367">
        <v>1</v>
      </c>
      <c r="M130" s="392">
        <v>0</v>
      </c>
      <c r="N130" s="392">
        <f t="shared" si="22"/>
        <v>2.8017687986691318E-3</v>
      </c>
      <c r="O130" s="392"/>
    </row>
    <row r="131" spans="1:15" ht="15.75" x14ac:dyDescent="0.25">
      <c r="A131" s="374">
        <v>4</v>
      </c>
      <c r="B131" s="240" t="s">
        <v>491</v>
      </c>
      <c r="C131" s="241" t="s">
        <v>282</v>
      </c>
      <c r="D131" s="185"/>
      <c r="E131" s="242"/>
      <c r="F131" s="405"/>
      <c r="G131" s="243"/>
      <c r="H131" s="243"/>
      <c r="I131" s="406"/>
      <c r="J131" s="161">
        <f t="shared" si="31"/>
        <v>0</v>
      </c>
      <c r="K131" s="392"/>
      <c r="L131" s="367"/>
      <c r="M131" s="392"/>
      <c r="N131" s="392"/>
      <c r="O131" s="389"/>
    </row>
    <row r="132" spans="1:15" ht="15.75" x14ac:dyDescent="0.25">
      <c r="A132" s="374"/>
      <c r="B132" s="240" t="s">
        <v>341</v>
      </c>
      <c r="C132" s="395" t="s">
        <v>489</v>
      </c>
      <c r="D132" s="185" t="s">
        <v>337</v>
      </c>
      <c r="E132" s="242">
        <f>(0.15*0.3*7)</f>
        <v>0.315</v>
      </c>
      <c r="F132" s="245">
        <v>850000</v>
      </c>
      <c r="G132" s="245">
        <v>160000</v>
      </c>
      <c r="H132" s="245">
        <v>75000</v>
      </c>
      <c r="I132" s="246">
        <f>H132+G132+F132</f>
        <v>1085000</v>
      </c>
      <c r="J132" s="161">
        <f t="shared" si="31"/>
        <v>341775</v>
      </c>
      <c r="K132" s="392">
        <f>J132/J286</f>
        <v>5.3198585064730141E-4</v>
      </c>
      <c r="L132" s="367">
        <v>1</v>
      </c>
      <c r="M132" s="392">
        <v>0</v>
      </c>
      <c r="N132" s="392">
        <f t="shared" si="22"/>
        <v>5.3198585064730141E-4</v>
      </c>
      <c r="O132" s="392"/>
    </row>
    <row r="133" spans="1:15" ht="15.75" x14ac:dyDescent="0.25">
      <c r="A133" s="374"/>
      <c r="B133" s="240" t="s">
        <v>343</v>
      </c>
      <c r="C133" s="395" t="s">
        <v>344</v>
      </c>
      <c r="D133" s="185" t="s">
        <v>345</v>
      </c>
      <c r="E133" s="242">
        <f>E132*250</f>
        <v>78.75</v>
      </c>
      <c r="F133" s="245">
        <v>14000</v>
      </c>
      <c r="G133" s="245">
        <v>2500</v>
      </c>
      <c r="H133" s="245">
        <v>1500</v>
      </c>
      <c r="I133" s="246">
        <f>H133+G133+F133</f>
        <v>18000</v>
      </c>
      <c r="J133" s="161">
        <f t="shared" si="31"/>
        <v>1417500</v>
      </c>
      <c r="K133" s="392">
        <f>J133/J286</f>
        <v>2.2063929289519411E-3</v>
      </c>
      <c r="L133" s="367">
        <v>1</v>
      </c>
      <c r="M133" s="392">
        <v>0</v>
      </c>
      <c r="N133" s="392">
        <f t="shared" si="22"/>
        <v>2.2063929289519411E-3</v>
      </c>
      <c r="O133" s="392"/>
    </row>
    <row r="134" spans="1:15" ht="30" x14ac:dyDescent="0.25">
      <c r="A134" s="374"/>
      <c r="B134" s="240" t="s">
        <v>346</v>
      </c>
      <c r="C134" s="395" t="s">
        <v>347</v>
      </c>
      <c r="D134" s="185" t="s">
        <v>301</v>
      </c>
      <c r="E134" s="242">
        <f>(0.3*0.3*2.2)</f>
        <v>0.19800000000000001</v>
      </c>
      <c r="F134" s="245">
        <v>100000</v>
      </c>
      <c r="G134" s="245">
        <v>40000</v>
      </c>
      <c r="H134" s="245">
        <v>10000</v>
      </c>
      <c r="I134" s="246">
        <f>H134+G134+F134</f>
        <v>150000</v>
      </c>
      <c r="J134" s="161">
        <f t="shared" si="31"/>
        <v>29700</v>
      </c>
      <c r="K134" s="392">
        <f>J134/J286</f>
        <v>4.6229185178040674E-5</v>
      </c>
      <c r="L134" s="367">
        <v>1</v>
      </c>
      <c r="M134" s="392">
        <v>0</v>
      </c>
      <c r="N134" s="392">
        <f t="shared" si="22"/>
        <v>4.6229185178040674E-5</v>
      </c>
      <c r="O134" s="392"/>
    </row>
    <row r="135" spans="1:15" ht="15.75" x14ac:dyDescent="0.25">
      <c r="A135" s="374">
        <v>5</v>
      </c>
      <c r="B135" s="240" t="s">
        <v>535</v>
      </c>
      <c r="C135" s="395" t="s">
        <v>536</v>
      </c>
      <c r="D135" s="185" t="s">
        <v>301</v>
      </c>
      <c r="E135" s="441">
        <f>(1.2*8)</f>
        <v>9.6</v>
      </c>
      <c r="F135" s="245">
        <v>95000</v>
      </c>
      <c r="G135" s="245">
        <v>45000</v>
      </c>
      <c r="H135" s="245">
        <v>1500</v>
      </c>
      <c r="I135" s="246">
        <f>H135+G135+F135</f>
        <v>141500</v>
      </c>
      <c r="J135" s="161">
        <f t="shared" si="31"/>
        <v>1358400</v>
      </c>
      <c r="K135" s="392">
        <f>J135/J286</f>
        <v>2.114401520062305E-3</v>
      </c>
      <c r="L135" s="367">
        <v>0</v>
      </c>
      <c r="M135" s="392">
        <v>0</v>
      </c>
      <c r="N135" s="392">
        <f t="shared" si="22"/>
        <v>0</v>
      </c>
      <c r="O135" s="392"/>
    </row>
    <row r="136" spans="1:15" ht="30" x14ac:dyDescent="0.25">
      <c r="A136" s="374">
        <v>6</v>
      </c>
      <c r="B136" s="240" t="s">
        <v>537</v>
      </c>
      <c r="C136" s="241" t="s">
        <v>538</v>
      </c>
      <c r="D136" s="185" t="s">
        <v>178</v>
      </c>
      <c r="E136" s="242">
        <v>21</v>
      </c>
      <c r="F136" s="245">
        <v>195000</v>
      </c>
      <c r="G136" s="245">
        <v>85000</v>
      </c>
      <c r="H136" s="245">
        <v>80000</v>
      </c>
      <c r="I136" s="246">
        <f t="shared" ref="I136:I141" si="33">H136+G136+F136</f>
        <v>360000</v>
      </c>
      <c r="J136" s="161">
        <f t="shared" si="31"/>
        <v>7560000</v>
      </c>
      <c r="K136" s="392">
        <f>J136/J286</f>
        <v>1.1767428954410353E-2</v>
      </c>
      <c r="L136" s="367">
        <v>0</v>
      </c>
      <c r="M136" s="392">
        <v>0</v>
      </c>
      <c r="N136" s="392">
        <f t="shared" si="22"/>
        <v>0</v>
      </c>
      <c r="O136" s="392"/>
    </row>
    <row r="137" spans="1:15" ht="30" x14ac:dyDescent="0.25">
      <c r="A137" s="374">
        <v>7</v>
      </c>
      <c r="B137" s="240" t="s">
        <v>539</v>
      </c>
      <c r="C137" s="241" t="s">
        <v>538</v>
      </c>
      <c r="D137" s="185" t="s">
        <v>301</v>
      </c>
      <c r="E137" s="242">
        <f>2.5*2</f>
        <v>5</v>
      </c>
      <c r="F137" s="245">
        <v>195000</v>
      </c>
      <c r="G137" s="245">
        <v>85000</v>
      </c>
      <c r="H137" s="245">
        <v>80000</v>
      </c>
      <c r="I137" s="246">
        <f t="shared" si="33"/>
        <v>360000</v>
      </c>
      <c r="J137" s="161">
        <f t="shared" si="31"/>
        <v>1800000</v>
      </c>
      <c r="K137" s="392">
        <f>J137/J286</f>
        <v>2.8017687986691318E-3</v>
      </c>
      <c r="L137" s="367">
        <v>0</v>
      </c>
      <c r="M137" s="392">
        <v>0</v>
      </c>
      <c r="N137" s="392">
        <f t="shared" si="22"/>
        <v>0</v>
      </c>
      <c r="O137" s="392"/>
    </row>
    <row r="138" spans="1:15" ht="30" x14ac:dyDescent="0.25">
      <c r="A138" s="374">
        <v>8</v>
      </c>
      <c r="B138" s="240" t="s">
        <v>540</v>
      </c>
      <c r="C138" s="241" t="s">
        <v>541</v>
      </c>
      <c r="D138" s="185" t="s">
        <v>178</v>
      </c>
      <c r="E138" s="242">
        <v>7</v>
      </c>
      <c r="F138" s="245">
        <v>65000</v>
      </c>
      <c r="G138" s="245">
        <v>15000</v>
      </c>
      <c r="H138" s="245">
        <v>10000</v>
      </c>
      <c r="I138" s="246">
        <f t="shared" si="33"/>
        <v>90000</v>
      </c>
      <c r="J138" s="161">
        <f t="shared" si="31"/>
        <v>630000</v>
      </c>
      <c r="K138" s="392">
        <f>J138/J286</f>
        <v>9.8061907953419613E-4</v>
      </c>
      <c r="L138" s="367">
        <v>0</v>
      </c>
      <c r="M138" s="392">
        <v>0</v>
      </c>
      <c r="N138" s="392">
        <f t="shared" si="22"/>
        <v>0</v>
      </c>
      <c r="O138" s="392"/>
    </row>
    <row r="139" spans="1:15" ht="15.75" x14ac:dyDescent="0.25">
      <c r="A139" s="374">
        <v>9</v>
      </c>
      <c r="B139" s="240" t="s">
        <v>542</v>
      </c>
      <c r="C139" s="241" t="s">
        <v>543</v>
      </c>
      <c r="D139" s="185" t="s">
        <v>178</v>
      </c>
      <c r="E139" s="242">
        <v>16</v>
      </c>
      <c r="F139" s="245">
        <v>700000</v>
      </c>
      <c r="G139" s="245">
        <v>200000</v>
      </c>
      <c r="H139" s="243"/>
      <c r="I139" s="246">
        <f t="shared" si="33"/>
        <v>900000</v>
      </c>
      <c r="J139" s="161">
        <f t="shared" si="31"/>
        <v>14400000</v>
      </c>
      <c r="K139" s="392">
        <f>J139/J286</f>
        <v>2.2414150389353054E-2</v>
      </c>
      <c r="L139" s="367">
        <v>0</v>
      </c>
      <c r="M139" s="392">
        <v>0</v>
      </c>
      <c r="N139" s="392">
        <f t="shared" si="22"/>
        <v>0</v>
      </c>
      <c r="O139" s="392"/>
    </row>
    <row r="140" spans="1:15" ht="15.75" x14ac:dyDescent="0.25">
      <c r="A140" s="374">
        <v>10</v>
      </c>
      <c r="B140" s="240" t="s">
        <v>266</v>
      </c>
      <c r="C140" s="241" t="s">
        <v>514</v>
      </c>
      <c r="D140" s="185" t="s">
        <v>301</v>
      </c>
      <c r="E140" s="242">
        <v>20</v>
      </c>
      <c r="F140" s="245">
        <v>45000</v>
      </c>
      <c r="G140" s="245">
        <v>15000</v>
      </c>
      <c r="H140" s="245">
        <v>2500</v>
      </c>
      <c r="I140" s="246">
        <f t="shared" si="33"/>
        <v>62500</v>
      </c>
      <c r="J140" s="161">
        <f t="shared" si="31"/>
        <v>1250000</v>
      </c>
      <c r="K140" s="392">
        <f>J140/J286</f>
        <v>1.9456727768535638E-3</v>
      </c>
      <c r="L140" s="367">
        <v>0</v>
      </c>
      <c r="M140" s="392">
        <v>0</v>
      </c>
      <c r="N140" s="392">
        <f t="shared" si="22"/>
        <v>0</v>
      </c>
      <c r="O140" s="392"/>
    </row>
    <row r="141" spans="1:15" ht="15.75" x14ac:dyDescent="0.25">
      <c r="A141" s="374">
        <v>11</v>
      </c>
      <c r="B141" s="240" t="s">
        <v>469</v>
      </c>
      <c r="C141" s="241" t="s">
        <v>512</v>
      </c>
      <c r="D141" s="185" t="s">
        <v>301</v>
      </c>
      <c r="E141" s="242">
        <f>2*6</f>
        <v>12</v>
      </c>
      <c r="F141" s="245">
        <v>27500</v>
      </c>
      <c r="G141" s="245">
        <v>15000</v>
      </c>
      <c r="H141" s="245">
        <v>2500</v>
      </c>
      <c r="I141" s="246">
        <f t="shared" si="33"/>
        <v>45000</v>
      </c>
      <c r="J141" s="161">
        <f t="shared" si="31"/>
        <v>540000</v>
      </c>
      <c r="K141" s="392">
        <f>J141/J286</f>
        <v>8.4053063960073959E-4</v>
      </c>
      <c r="L141" s="367">
        <v>0</v>
      </c>
      <c r="M141" s="392">
        <v>0</v>
      </c>
      <c r="N141" s="392">
        <f t="shared" si="22"/>
        <v>0</v>
      </c>
      <c r="O141" s="392"/>
    </row>
    <row r="142" spans="1:15" ht="15.75" x14ac:dyDescent="0.25">
      <c r="A142" s="374">
        <v>12</v>
      </c>
      <c r="B142" s="240" t="s">
        <v>372</v>
      </c>
      <c r="C142" s="241" t="s">
        <v>282</v>
      </c>
      <c r="D142" s="185" t="s">
        <v>326</v>
      </c>
      <c r="E142" s="242">
        <v>2</v>
      </c>
      <c r="F142" s="245">
        <v>275000</v>
      </c>
      <c r="G142" s="245">
        <v>25000</v>
      </c>
      <c r="H142" s="245">
        <v>5000</v>
      </c>
      <c r="I142" s="246">
        <f>H142+G142+F142</f>
        <v>305000</v>
      </c>
      <c r="J142" s="161">
        <f t="shared" si="31"/>
        <v>610000</v>
      </c>
      <c r="K142" s="392">
        <f>J142/J286</f>
        <v>9.494883151045391E-4</v>
      </c>
      <c r="L142" s="367">
        <v>0</v>
      </c>
      <c r="M142" s="392">
        <v>0</v>
      </c>
      <c r="N142" s="392">
        <f t="shared" si="22"/>
        <v>0</v>
      </c>
      <c r="O142" s="392"/>
    </row>
    <row r="143" spans="1:15" ht="15.75" x14ac:dyDescent="0.25">
      <c r="A143" s="374"/>
      <c r="B143" s="240"/>
      <c r="C143" s="241"/>
      <c r="D143" s="185"/>
      <c r="E143" s="242"/>
      <c r="F143" s="245"/>
      <c r="G143" s="245"/>
      <c r="H143" s="245"/>
      <c r="I143" s="246"/>
      <c r="J143" s="161"/>
      <c r="K143" s="392"/>
      <c r="L143" s="367"/>
      <c r="M143" s="392"/>
      <c r="N143" s="392"/>
      <c r="O143" s="389"/>
    </row>
    <row r="144" spans="1:15" ht="15.75" x14ac:dyDescent="0.25">
      <c r="A144" s="374">
        <v>13</v>
      </c>
      <c r="B144" s="240" t="s">
        <v>376</v>
      </c>
      <c r="C144" s="241" t="s">
        <v>282</v>
      </c>
      <c r="D144" s="185" t="s">
        <v>326</v>
      </c>
      <c r="E144" s="242">
        <v>1</v>
      </c>
      <c r="F144" s="245">
        <v>300000</v>
      </c>
      <c r="G144" s="245">
        <v>25000</v>
      </c>
      <c r="H144" s="245">
        <v>5000</v>
      </c>
      <c r="I144" s="246">
        <f>H144+G144+F144</f>
        <v>330000</v>
      </c>
      <c r="J144" s="161">
        <f t="shared" si="31"/>
        <v>330000</v>
      </c>
      <c r="K144" s="392">
        <f>J144/J286</f>
        <v>5.1365761308934084E-4</v>
      </c>
      <c r="L144" s="367">
        <v>0</v>
      </c>
      <c r="M144" s="392">
        <v>0</v>
      </c>
      <c r="N144" s="392">
        <f t="shared" si="22"/>
        <v>0</v>
      </c>
      <c r="O144" s="392"/>
    </row>
    <row r="145" spans="1:15" ht="30" x14ac:dyDescent="0.25">
      <c r="A145" s="374"/>
      <c r="B145" s="244"/>
      <c r="C145" s="241"/>
      <c r="D145" s="185"/>
      <c r="E145" s="242"/>
      <c r="F145" s="245"/>
      <c r="G145" s="243"/>
      <c r="H145" s="243"/>
      <c r="I145" s="376" t="s">
        <v>409</v>
      </c>
      <c r="J145" s="273">
        <f>SUM(J125:J144)</f>
        <v>45982775</v>
      </c>
      <c r="K145" s="377">
        <f>SUM(K125:K144)</f>
        <v>7.1573946817346107E-2</v>
      </c>
      <c r="L145" s="367"/>
      <c r="M145" s="378">
        <f>SUM(M125:M144)</f>
        <v>0</v>
      </c>
      <c r="N145" s="378">
        <f>SUM(N125:N144)</f>
        <v>2.7246228730668877E-2</v>
      </c>
      <c r="O145" s="379"/>
    </row>
    <row r="146" spans="1:15" ht="15.75" x14ac:dyDescent="0.25">
      <c r="A146" s="436" t="s">
        <v>551</v>
      </c>
      <c r="B146" s="437" t="s">
        <v>552</v>
      </c>
      <c r="C146" s="448"/>
      <c r="D146" s="449"/>
      <c r="E146" s="450"/>
      <c r="F146" s="450"/>
      <c r="G146" s="450"/>
      <c r="H146" s="450"/>
      <c r="I146" s="451"/>
      <c r="J146" s="273"/>
      <c r="K146" s="392"/>
      <c r="L146" s="367"/>
      <c r="M146" s="392"/>
      <c r="N146" s="392"/>
      <c r="O146" s="389"/>
    </row>
    <row r="147" spans="1:15" ht="15.75" x14ac:dyDescent="0.25">
      <c r="A147" s="374">
        <v>1</v>
      </c>
      <c r="B147" s="240" t="s">
        <v>553</v>
      </c>
      <c r="C147" s="241" t="s">
        <v>282</v>
      </c>
      <c r="D147" s="185" t="s">
        <v>337</v>
      </c>
      <c r="E147" s="242">
        <f>4*10</f>
        <v>40</v>
      </c>
      <c r="F147" s="245"/>
      <c r="G147" s="245">
        <v>75000</v>
      </c>
      <c r="H147" s="243"/>
      <c r="I147" s="246">
        <f>H147+G147+F147</f>
        <v>75000</v>
      </c>
      <c r="J147" s="161">
        <f>E147*I147</f>
        <v>3000000</v>
      </c>
      <c r="K147" s="392">
        <f>J147/J286</f>
        <v>4.6696146644485534E-3</v>
      </c>
      <c r="L147" s="367">
        <v>1</v>
      </c>
      <c r="M147" s="392">
        <v>0</v>
      </c>
      <c r="N147" s="392">
        <f t="shared" ref="N147:N210" si="34">K147*L147</f>
        <v>4.6696146644485534E-3</v>
      </c>
      <c r="O147" s="392"/>
    </row>
    <row r="148" spans="1:15" ht="15.75" x14ac:dyDescent="0.25">
      <c r="A148" s="374">
        <v>2</v>
      </c>
      <c r="B148" s="240" t="s">
        <v>64</v>
      </c>
      <c r="C148" s="241" t="s">
        <v>282</v>
      </c>
      <c r="D148" s="185" t="s">
        <v>337</v>
      </c>
      <c r="E148" s="242">
        <f>E147</f>
        <v>40</v>
      </c>
      <c r="F148" s="245"/>
      <c r="G148" s="245">
        <v>30000</v>
      </c>
      <c r="H148" s="243"/>
      <c r="I148" s="246">
        <f>H148+G148+F148</f>
        <v>30000</v>
      </c>
      <c r="J148" s="161">
        <f t="shared" ref="J148:J162" si="35">E148*I148</f>
        <v>1200000</v>
      </c>
      <c r="K148" s="392">
        <f>J148/J286</f>
        <v>1.8678458657794212E-3</v>
      </c>
      <c r="L148" s="367">
        <v>1</v>
      </c>
      <c r="M148" s="392">
        <v>0</v>
      </c>
      <c r="N148" s="392">
        <f t="shared" si="34"/>
        <v>1.8678458657794212E-3</v>
      </c>
      <c r="O148" s="392"/>
    </row>
    <row r="149" spans="1:15" ht="15.75" x14ac:dyDescent="0.25">
      <c r="A149" s="390">
        <v>3</v>
      </c>
      <c r="B149" s="404" t="s">
        <v>554</v>
      </c>
      <c r="C149" s="241" t="s">
        <v>282</v>
      </c>
      <c r="D149" s="185"/>
      <c r="E149" s="242"/>
      <c r="F149" s="405"/>
      <c r="G149" s="243"/>
      <c r="H149" s="243"/>
      <c r="I149" s="243"/>
      <c r="J149" s="161"/>
      <c r="K149" s="392"/>
      <c r="L149" s="367"/>
      <c r="M149" s="392"/>
      <c r="N149" s="392"/>
      <c r="O149" s="389"/>
    </row>
    <row r="150" spans="1:15" ht="15.75" x14ac:dyDescent="0.25">
      <c r="A150" s="402"/>
      <c r="B150" s="404" t="s">
        <v>341</v>
      </c>
      <c r="C150" s="395" t="s">
        <v>489</v>
      </c>
      <c r="D150" s="185" t="s">
        <v>337</v>
      </c>
      <c r="E150" s="242">
        <f>(4*10*0.12)</f>
        <v>4.8</v>
      </c>
      <c r="F150" s="245">
        <v>850000</v>
      </c>
      <c r="G150" s="245">
        <v>200000</v>
      </c>
      <c r="H150" s="245">
        <v>75000</v>
      </c>
      <c r="I150" s="246">
        <f>H150+G150+F150</f>
        <v>1125000</v>
      </c>
      <c r="J150" s="161">
        <f t="shared" si="35"/>
        <v>5400000</v>
      </c>
      <c r="K150" s="392">
        <f>J150/J286</f>
        <v>8.4053063960073948E-3</v>
      </c>
      <c r="L150" s="367">
        <v>1</v>
      </c>
      <c r="M150" s="392">
        <v>0</v>
      </c>
      <c r="N150" s="392">
        <f t="shared" si="34"/>
        <v>8.4053063960073948E-3</v>
      </c>
      <c r="O150" s="392"/>
    </row>
    <row r="151" spans="1:15" ht="15.75" x14ac:dyDescent="0.25">
      <c r="A151" s="402"/>
      <c r="B151" s="404" t="s">
        <v>343</v>
      </c>
      <c r="C151" s="395" t="s">
        <v>344</v>
      </c>
      <c r="D151" s="185" t="s">
        <v>345</v>
      </c>
      <c r="E151" s="242">
        <f>E150*150</f>
        <v>720</v>
      </c>
      <c r="F151" s="245">
        <v>14000</v>
      </c>
      <c r="G151" s="245">
        <v>2500</v>
      </c>
      <c r="H151" s="245">
        <v>1500</v>
      </c>
      <c r="I151" s="246">
        <f>H151+G151+F151</f>
        <v>18000</v>
      </c>
      <c r="J151" s="161">
        <f t="shared" si="35"/>
        <v>12960000</v>
      </c>
      <c r="K151" s="392">
        <f>J151/J286</f>
        <v>2.0172735350417748E-2</v>
      </c>
      <c r="L151" s="367">
        <v>1</v>
      </c>
      <c r="M151" s="392">
        <v>0</v>
      </c>
      <c r="N151" s="392">
        <f t="shared" si="34"/>
        <v>2.0172735350417748E-2</v>
      </c>
      <c r="O151" s="392"/>
    </row>
    <row r="152" spans="1:15" ht="30" x14ac:dyDescent="0.25">
      <c r="A152" s="374"/>
      <c r="B152" s="272" t="s">
        <v>346</v>
      </c>
      <c r="C152" s="395" t="s">
        <v>347</v>
      </c>
      <c r="D152" s="185" t="s">
        <v>301</v>
      </c>
      <c r="E152" s="242">
        <f>40</f>
        <v>40</v>
      </c>
      <c r="F152" s="245">
        <v>100000</v>
      </c>
      <c r="G152" s="245">
        <v>40000</v>
      </c>
      <c r="H152" s="245">
        <v>10000</v>
      </c>
      <c r="I152" s="246">
        <f>H152+G152+F152</f>
        <v>150000</v>
      </c>
      <c r="J152" s="161">
        <f t="shared" si="35"/>
        <v>6000000</v>
      </c>
      <c r="K152" s="392">
        <f>J152/J286</f>
        <v>9.3392293288971067E-3</v>
      </c>
      <c r="L152" s="367">
        <v>1</v>
      </c>
      <c r="M152" s="392">
        <v>0</v>
      </c>
      <c r="N152" s="392">
        <f t="shared" si="34"/>
        <v>9.3392293288971067E-3</v>
      </c>
      <c r="O152" s="392"/>
    </row>
    <row r="153" spans="1:15" ht="15.75" x14ac:dyDescent="0.25">
      <c r="A153" s="390">
        <v>4</v>
      </c>
      <c r="B153" s="240" t="s">
        <v>555</v>
      </c>
      <c r="C153" s="241" t="s">
        <v>282</v>
      </c>
      <c r="D153" s="185"/>
      <c r="E153" s="242"/>
      <c r="F153" s="405"/>
      <c r="G153" s="243"/>
      <c r="H153" s="243"/>
      <c r="I153" s="406"/>
      <c r="J153" s="161"/>
      <c r="K153" s="392"/>
      <c r="L153" s="367"/>
      <c r="M153" s="392"/>
      <c r="N153" s="392"/>
      <c r="O153" s="389"/>
    </row>
    <row r="154" spans="1:15" ht="15.75" x14ac:dyDescent="0.25">
      <c r="A154" s="374"/>
      <c r="B154" s="240" t="s">
        <v>341</v>
      </c>
      <c r="C154" s="395" t="s">
        <v>489</v>
      </c>
      <c r="D154" s="185" t="s">
        <v>337</v>
      </c>
      <c r="E154" s="242">
        <f>(0.15*0.4*42)</f>
        <v>2.52</v>
      </c>
      <c r="F154" s="245">
        <v>850000</v>
      </c>
      <c r="G154" s="245">
        <v>200000</v>
      </c>
      <c r="H154" s="245">
        <v>75000</v>
      </c>
      <c r="I154" s="246">
        <f>H154+G154+F154</f>
        <v>1125000</v>
      </c>
      <c r="J154" s="161">
        <f t="shared" si="35"/>
        <v>2835000</v>
      </c>
      <c r="K154" s="392">
        <f>J154/J286</f>
        <v>4.4127858579038823E-3</v>
      </c>
      <c r="L154" s="367">
        <v>1</v>
      </c>
      <c r="M154" s="392">
        <v>0</v>
      </c>
      <c r="N154" s="392">
        <f t="shared" si="34"/>
        <v>4.4127858579038823E-3</v>
      </c>
      <c r="O154" s="392"/>
    </row>
    <row r="155" spans="1:15" ht="15.75" x14ac:dyDescent="0.25">
      <c r="A155" s="374"/>
      <c r="B155" s="240" t="s">
        <v>343</v>
      </c>
      <c r="C155" s="395" t="s">
        <v>344</v>
      </c>
      <c r="D155" s="185" t="s">
        <v>345</v>
      </c>
      <c r="E155" s="242">
        <f>E154*250</f>
        <v>630</v>
      </c>
      <c r="F155" s="245">
        <v>14000</v>
      </c>
      <c r="G155" s="245">
        <v>2500</v>
      </c>
      <c r="H155" s="245">
        <v>1500</v>
      </c>
      <c r="I155" s="246">
        <f>H155+G155+F155</f>
        <v>18000</v>
      </c>
      <c r="J155" s="161">
        <f t="shared" si="35"/>
        <v>11340000</v>
      </c>
      <c r="K155" s="392">
        <f>J155/J286</f>
        <v>1.7651143431615529E-2</v>
      </c>
      <c r="L155" s="367">
        <v>1</v>
      </c>
      <c r="M155" s="392">
        <v>0</v>
      </c>
      <c r="N155" s="392">
        <f t="shared" si="34"/>
        <v>1.7651143431615529E-2</v>
      </c>
      <c r="O155" s="392"/>
    </row>
    <row r="156" spans="1:15" ht="30" x14ac:dyDescent="0.25">
      <c r="A156" s="374"/>
      <c r="B156" s="240" t="s">
        <v>346</v>
      </c>
      <c r="C156" s="395" t="s">
        <v>347</v>
      </c>
      <c r="D156" s="185" t="s">
        <v>301</v>
      </c>
      <c r="E156" s="242">
        <f>(0.3+0.3+0.2)*42</f>
        <v>33.6</v>
      </c>
      <c r="F156" s="245">
        <v>100000</v>
      </c>
      <c r="G156" s="245">
        <v>40000</v>
      </c>
      <c r="H156" s="245">
        <v>10000</v>
      </c>
      <c r="I156" s="246">
        <f>H156+G156+F156</f>
        <v>150000</v>
      </c>
      <c r="J156" s="161">
        <f t="shared" si="35"/>
        <v>5040000</v>
      </c>
      <c r="K156" s="392">
        <f>J156/J286</f>
        <v>7.8449526362735691E-3</v>
      </c>
      <c r="L156" s="367">
        <v>1</v>
      </c>
      <c r="M156" s="392">
        <v>0</v>
      </c>
      <c r="N156" s="392">
        <f t="shared" si="34"/>
        <v>7.8449526362735691E-3</v>
      </c>
      <c r="O156" s="392"/>
    </row>
    <row r="157" spans="1:15" ht="30" x14ac:dyDescent="0.25">
      <c r="A157" s="374">
        <v>5</v>
      </c>
      <c r="B157" s="240" t="s">
        <v>507</v>
      </c>
      <c r="C157" s="395" t="s">
        <v>508</v>
      </c>
      <c r="D157" s="185" t="s">
        <v>301</v>
      </c>
      <c r="E157" s="417">
        <f>E147</f>
        <v>40</v>
      </c>
      <c r="F157" s="245">
        <v>95000</v>
      </c>
      <c r="G157" s="245">
        <v>25000</v>
      </c>
      <c r="H157" s="245">
        <v>1500</v>
      </c>
      <c r="I157" s="246">
        <f>H157+G157+F157</f>
        <v>121500</v>
      </c>
      <c r="J157" s="161">
        <f t="shared" si="35"/>
        <v>4860000</v>
      </c>
      <c r="K157" s="392">
        <f>J157/J286</f>
        <v>7.5647757564066562E-3</v>
      </c>
      <c r="L157" s="367">
        <v>0</v>
      </c>
      <c r="M157" s="392">
        <v>0</v>
      </c>
      <c r="N157" s="392"/>
      <c r="O157" s="389"/>
    </row>
    <row r="158" spans="1:15" ht="15.75" x14ac:dyDescent="0.25">
      <c r="A158" s="374">
        <v>6</v>
      </c>
      <c r="B158" s="240" t="s">
        <v>509</v>
      </c>
      <c r="C158" s="395" t="s">
        <v>359</v>
      </c>
      <c r="D158" s="185" t="s">
        <v>178</v>
      </c>
      <c r="E158" s="416">
        <f>(4+10)*2</f>
        <v>28</v>
      </c>
      <c r="F158" s="245">
        <v>20000</v>
      </c>
      <c r="G158" s="245">
        <v>5000</v>
      </c>
      <c r="H158" s="245">
        <v>1500</v>
      </c>
      <c r="I158" s="246">
        <f>H158+G158+F158</f>
        <v>26500</v>
      </c>
      <c r="J158" s="161">
        <f t="shared" si="35"/>
        <v>742000</v>
      </c>
      <c r="K158" s="392">
        <f>J158/J286</f>
        <v>1.1549513603402754E-3</v>
      </c>
      <c r="L158" s="367">
        <v>0</v>
      </c>
      <c r="M158" s="392">
        <v>0</v>
      </c>
      <c r="N158" s="392">
        <f t="shared" si="34"/>
        <v>0</v>
      </c>
      <c r="O158" s="392"/>
    </row>
    <row r="159" spans="1:15" ht="15.75" x14ac:dyDescent="0.25">
      <c r="A159" s="374">
        <v>7</v>
      </c>
      <c r="B159" s="240" t="s">
        <v>266</v>
      </c>
      <c r="C159" s="241" t="s">
        <v>514</v>
      </c>
      <c r="D159" s="185" t="s">
        <v>301</v>
      </c>
      <c r="E159" s="242">
        <v>20</v>
      </c>
      <c r="F159" s="245">
        <v>45000</v>
      </c>
      <c r="G159" s="245">
        <v>15000</v>
      </c>
      <c r="H159" s="245">
        <v>2500</v>
      </c>
      <c r="I159" s="246">
        <f t="shared" ref="I159:I160" si="36">H159+G159+F159</f>
        <v>62500</v>
      </c>
      <c r="J159" s="161">
        <f t="shared" si="35"/>
        <v>1250000</v>
      </c>
      <c r="K159" s="392">
        <f>J159/J286</f>
        <v>1.9456727768535638E-3</v>
      </c>
      <c r="L159" s="367">
        <v>0</v>
      </c>
      <c r="M159" s="392">
        <v>0</v>
      </c>
      <c r="N159" s="392">
        <f t="shared" si="34"/>
        <v>0</v>
      </c>
      <c r="O159" s="392"/>
    </row>
    <row r="160" spans="1:15" ht="15.75" x14ac:dyDescent="0.25">
      <c r="A160" s="374">
        <v>8</v>
      </c>
      <c r="B160" s="240" t="s">
        <v>469</v>
      </c>
      <c r="C160" s="241" t="s">
        <v>512</v>
      </c>
      <c r="D160" s="185" t="s">
        <v>301</v>
      </c>
      <c r="E160" s="242">
        <f>E147</f>
        <v>40</v>
      </c>
      <c r="F160" s="245">
        <v>27500</v>
      </c>
      <c r="G160" s="245">
        <v>15000</v>
      </c>
      <c r="H160" s="245">
        <v>2500</v>
      </c>
      <c r="I160" s="246">
        <f t="shared" si="36"/>
        <v>45000</v>
      </c>
      <c r="J160" s="161">
        <f t="shared" si="35"/>
        <v>1800000</v>
      </c>
      <c r="K160" s="392">
        <f>J160/J286</f>
        <v>2.8017687986691318E-3</v>
      </c>
      <c r="L160" s="367">
        <v>0</v>
      </c>
      <c r="M160" s="392">
        <v>0</v>
      </c>
      <c r="N160" s="392">
        <f t="shared" si="34"/>
        <v>0</v>
      </c>
      <c r="O160" s="392"/>
    </row>
    <row r="161" spans="1:15" ht="15.75" x14ac:dyDescent="0.25">
      <c r="A161" s="374">
        <v>9</v>
      </c>
      <c r="B161" s="240" t="s">
        <v>372</v>
      </c>
      <c r="C161" s="241" t="s">
        <v>282</v>
      </c>
      <c r="D161" s="185" t="s">
        <v>326</v>
      </c>
      <c r="E161" s="242">
        <v>4</v>
      </c>
      <c r="F161" s="245">
        <v>275000</v>
      </c>
      <c r="G161" s="245">
        <v>25000</v>
      </c>
      <c r="H161" s="245">
        <v>5000</v>
      </c>
      <c r="I161" s="246">
        <f>H161+G161+F161</f>
        <v>305000</v>
      </c>
      <c r="J161" s="161">
        <f t="shared" si="35"/>
        <v>1220000</v>
      </c>
      <c r="K161" s="392">
        <f>J161/J286</f>
        <v>1.8989766302090782E-3</v>
      </c>
      <c r="L161" s="367">
        <v>0</v>
      </c>
      <c r="M161" s="392">
        <v>0</v>
      </c>
      <c r="N161" s="392">
        <f t="shared" si="34"/>
        <v>0</v>
      </c>
      <c r="O161" s="392"/>
    </row>
    <row r="162" spans="1:15" ht="15.75" x14ac:dyDescent="0.25">
      <c r="A162" s="374">
        <v>10</v>
      </c>
      <c r="B162" s="240" t="s">
        <v>376</v>
      </c>
      <c r="C162" s="241" t="s">
        <v>282</v>
      </c>
      <c r="D162" s="185" t="s">
        <v>326</v>
      </c>
      <c r="E162" s="242">
        <v>2</v>
      </c>
      <c r="F162" s="245">
        <v>300000</v>
      </c>
      <c r="G162" s="245">
        <v>25000</v>
      </c>
      <c r="H162" s="245">
        <v>5000</v>
      </c>
      <c r="I162" s="246">
        <f>H162+G162+F162</f>
        <v>330000</v>
      </c>
      <c r="J162" s="161">
        <f t="shared" si="35"/>
        <v>660000</v>
      </c>
      <c r="K162" s="392">
        <f>J162/J286</f>
        <v>1.0273152261786817E-3</v>
      </c>
      <c r="L162" s="367">
        <v>0</v>
      </c>
      <c r="M162" s="392">
        <v>0</v>
      </c>
      <c r="N162" s="392">
        <f t="shared" si="34"/>
        <v>0</v>
      </c>
      <c r="O162" s="392"/>
    </row>
    <row r="163" spans="1:15" ht="30" x14ac:dyDescent="0.25">
      <c r="A163" s="374"/>
      <c r="B163" s="244"/>
      <c r="C163" s="241"/>
      <c r="D163" s="185"/>
      <c r="E163" s="242"/>
      <c r="F163" s="245"/>
      <c r="G163" s="243"/>
      <c r="H163" s="243"/>
      <c r="I163" s="376" t="s">
        <v>409</v>
      </c>
      <c r="J163" s="273">
        <f>SUM(J147:J162)</f>
        <v>58307000</v>
      </c>
      <c r="K163" s="377">
        <f>SUM(K147:K162)</f>
        <v>9.0757074080000583E-2</v>
      </c>
      <c r="L163" s="367"/>
      <c r="M163" s="378">
        <f>SUM(M147:M162)</f>
        <v>0</v>
      </c>
      <c r="N163" s="378">
        <f>SUM(N147:N162)</f>
        <v>7.4363613531343201E-2</v>
      </c>
      <c r="O163" s="379"/>
    </row>
    <row r="164" spans="1:15" ht="15.75" x14ac:dyDescent="0.25">
      <c r="A164" s="442" t="s">
        <v>36</v>
      </c>
      <c r="B164" s="443" t="s">
        <v>556</v>
      </c>
      <c r="C164" s="241"/>
      <c r="D164" s="185"/>
      <c r="E164" s="242"/>
      <c r="F164" s="245"/>
      <c r="G164" s="452"/>
      <c r="H164" s="453"/>
      <c r="I164" s="454"/>
      <c r="J164" s="273"/>
      <c r="K164" s="392"/>
      <c r="L164" s="367"/>
      <c r="M164" s="392"/>
      <c r="N164" s="392"/>
      <c r="O164" s="389"/>
    </row>
    <row r="165" spans="1:15" ht="15.75" x14ac:dyDescent="0.25">
      <c r="A165" s="384" t="s">
        <v>297</v>
      </c>
      <c r="B165" s="385" t="s">
        <v>545</v>
      </c>
      <c r="C165" s="381"/>
      <c r="D165" s="185"/>
      <c r="E165" s="242"/>
      <c r="F165" s="382"/>
      <c r="G165" s="386"/>
      <c r="H165" s="387"/>
      <c r="I165" s="382"/>
      <c r="J165" s="383"/>
      <c r="K165" s="392"/>
      <c r="L165" s="367"/>
      <c r="M165" s="392"/>
      <c r="N165" s="392"/>
      <c r="O165" s="389"/>
    </row>
    <row r="166" spans="1:15" ht="15.75" x14ac:dyDescent="0.25">
      <c r="A166" s="390">
        <v>1</v>
      </c>
      <c r="B166" s="397" t="s">
        <v>349</v>
      </c>
      <c r="C166" s="395" t="s">
        <v>282</v>
      </c>
      <c r="D166" s="398"/>
      <c r="E166" s="399" t="s">
        <v>282</v>
      </c>
      <c r="F166" s="400"/>
      <c r="G166" s="400"/>
      <c r="H166" s="400"/>
      <c r="I166" s="400"/>
      <c r="J166" s="401"/>
      <c r="K166" s="392"/>
      <c r="L166" s="367"/>
      <c r="M166" s="392"/>
      <c r="N166" s="392"/>
      <c r="O166" s="389"/>
    </row>
    <row r="167" spans="1:15" ht="15.75" x14ac:dyDescent="0.25">
      <c r="A167" s="402"/>
      <c r="B167" s="403" t="s">
        <v>341</v>
      </c>
      <c r="C167" s="395" t="s">
        <v>489</v>
      </c>
      <c r="D167" s="185" t="s">
        <v>337</v>
      </c>
      <c r="E167" s="399">
        <f>(0.15*0.3*4*4)</f>
        <v>0.72</v>
      </c>
      <c r="F167" s="245">
        <v>850000</v>
      </c>
      <c r="G167" s="245">
        <v>200000</v>
      </c>
      <c r="H167" s="245">
        <v>75000</v>
      </c>
      <c r="I167" s="246">
        <f t="shared" ref="I167:I175" si="37">H167+G167+F167</f>
        <v>1125000</v>
      </c>
      <c r="J167" s="161">
        <f t="shared" ref="J167:J192" si="38">E167*I167</f>
        <v>810000</v>
      </c>
      <c r="K167" s="392">
        <f>J167/J286</f>
        <v>1.2607959594011092E-3</v>
      </c>
      <c r="L167" s="367">
        <v>1</v>
      </c>
      <c r="M167" s="392">
        <v>0</v>
      </c>
      <c r="N167" s="392">
        <f t="shared" si="34"/>
        <v>1.2607959594011092E-3</v>
      </c>
      <c r="O167" s="392"/>
    </row>
    <row r="168" spans="1:15" ht="15.75" x14ac:dyDescent="0.25">
      <c r="A168" s="402"/>
      <c r="B168" s="403" t="s">
        <v>343</v>
      </c>
      <c r="C168" s="395" t="s">
        <v>344</v>
      </c>
      <c r="D168" s="185" t="s">
        <v>345</v>
      </c>
      <c r="E168" s="399">
        <f>E167*200</f>
        <v>144</v>
      </c>
      <c r="F168" s="245">
        <v>14000</v>
      </c>
      <c r="G168" s="245">
        <v>2500</v>
      </c>
      <c r="H168" s="245">
        <v>1500</v>
      </c>
      <c r="I168" s="246">
        <f t="shared" si="37"/>
        <v>18000</v>
      </c>
      <c r="J168" s="161">
        <f t="shared" si="38"/>
        <v>2592000</v>
      </c>
      <c r="K168" s="392">
        <f>J168/J286</f>
        <v>4.0345470700835495E-3</v>
      </c>
      <c r="L168" s="367">
        <v>1</v>
      </c>
      <c r="M168" s="392">
        <v>0</v>
      </c>
      <c r="N168" s="392">
        <f t="shared" si="34"/>
        <v>4.0345470700835495E-3</v>
      </c>
      <c r="O168" s="392"/>
    </row>
    <row r="169" spans="1:15" ht="30" x14ac:dyDescent="0.25">
      <c r="A169" s="374"/>
      <c r="B169" s="403" t="s">
        <v>346</v>
      </c>
      <c r="C169" s="395" t="s">
        <v>347</v>
      </c>
      <c r="D169" s="185" t="s">
        <v>301</v>
      </c>
      <c r="E169" s="399">
        <f>(0.2+0.4)*4*4</f>
        <v>9.6000000000000014</v>
      </c>
      <c r="F169" s="245">
        <v>100000</v>
      </c>
      <c r="G169" s="245">
        <v>40000</v>
      </c>
      <c r="H169" s="245">
        <v>10000</v>
      </c>
      <c r="I169" s="246">
        <f t="shared" si="37"/>
        <v>150000</v>
      </c>
      <c r="J169" s="161">
        <f t="shared" si="38"/>
        <v>1440000.0000000002</v>
      </c>
      <c r="K169" s="392">
        <f>J169/J286</f>
        <v>2.241415038935306E-3</v>
      </c>
      <c r="L169" s="367">
        <v>1</v>
      </c>
      <c r="M169" s="392">
        <v>0</v>
      </c>
      <c r="N169" s="392">
        <f t="shared" si="34"/>
        <v>2.241415038935306E-3</v>
      </c>
      <c r="O169" s="392"/>
    </row>
    <row r="170" spans="1:15" ht="15.75" x14ac:dyDescent="0.25">
      <c r="A170" s="388">
        <v>2</v>
      </c>
      <c r="B170" s="240" t="s">
        <v>546</v>
      </c>
      <c r="C170" s="241" t="s">
        <v>547</v>
      </c>
      <c r="D170" s="185" t="s">
        <v>301</v>
      </c>
      <c r="E170" s="242">
        <v>4</v>
      </c>
      <c r="F170" s="245">
        <v>95000</v>
      </c>
      <c r="G170" s="245"/>
      <c r="H170" s="245"/>
      <c r="I170" s="246">
        <f>H170+G170+F170</f>
        <v>95000</v>
      </c>
      <c r="J170" s="161">
        <f t="shared" si="38"/>
        <v>380000</v>
      </c>
      <c r="K170" s="392">
        <f>J170/J286</f>
        <v>5.9148452416348343E-4</v>
      </c>
      <c r="L170" s="367">
        <v>0</v>
      </c>
      <c r="M170" s="392">
        <v>0</v>
      </c>
      <c r="N170" s="392">
        <f t="shared" si="34"/>
        <v>0</v>
      </c>
      <c r="O170" s="392"/>
    </row>
    <row r="171" spans="1:15" ht="16.5" x14ac:dyDescent="0.25">
      <c r="A171" s="388">
        <v>3</v>
      </c>
      <c r="B171" s="410" t="s">
        <v>494</v>
      </c>
      <c r="C171" s="395" t="s">
        <v>495</v>
      </c>
      <c r="D171" s="185" t="s">
        <v>301</v>
      </c>
      <c r="E171" s="242">
        <f>(2*4*4)</f>
        <v>32</v>
      </c>
      <c r="F171" s="245">
        <v>85000</v>
      </c>
      <c r="G171" s="245">
        <v>45000</v>
      </c>
      <c r="H171" s="411">
        <v>10000</v>
      </c>
      <c r="I171" s="246">
        <f t="shared" si="37"/>
        <v>140000</v>
      </c>
      <c r="J171" s="161">
        <f t="shared" si="38"/>
        <v>4480000</v>
      </c>
      <c r="K171" s="392">
        <f>J171/J286</f>
        <v>6.9732912322431721E-3</v>
      </c>
      <c r="L171" s="367">
        <v>0.9</v>
      </c>
      <c r="M171" s="392">
        <v>0</v>
      </c>
      <c r="N171" s="392">
        <f t="shared" si="34"/>
        <v>6.2759621090188551E-3</v>
      </c>
      <c r="O171" s="392"/>
    </row>
    <row r="172" spans="1:15" ht="16.5" x14ac:dyDescent="0.25">
      <c r="A172" s="412">
        <v>4</v>
      </c>
      <c r="B172" s="240" t="s">
        <v>496</v>
      </c>
      <c r="C172" s="241" t="s">
        <v>497</v>
      </c>
      <c r="D172" s="185" t="s">
        <v>301</v>
      </c>
      <c r="E172" s="242">
        <f>E171</f>
        <v>32</v>
      </c>
      <c r="F172" s="245">
        <v>30000</v>
      </c>
      <c r="G172" s="245">
        <v>45000</v>
      </c>
      <c r="H172" s="411">
        <v>10000</v>
      </c>
      <c r="I172" s="246">
        <f t="shared" si="37"/>
        <v>85000</v>
      </c>
      <c r="J172" s="161">
        <f t="shared" si="38"/>
        <v>2720000</v>
      </c>
      <c r="K172" s="392">
        <f>J172/J286</f>
        <v>4.2337839624333549E-3</v>
      </c>
      <c r="L172" s="367">
        <v>0</v>
      </c>
      <c r="M172" s="392">
        <v>0</v>
      </c>
      <c r="N172" s="392">
        <f t="shared" si="34"/>
        <v>0</v>
      </c>
      <c r="O172" s="392"/>
    </row>
    <row r="173" spans="1:15" ht="16.5" x14ac:dyDescent="0.25">
      <c r="A173" s="388">
        <v>5</v>
      </c>
      <c r="B173" s="240" t="s">
        <v>498</v>
      </c>
      <c r="C173" s="241" t="s">
        <v>498</v>
      </c>
      <c r="D173" s="185" t="s">
        <v>301</v>
      </c>
      <c r="E173" s="242">
        <f>E172</f>
        <v>32</v>
      </c>
      <c r="F173" s="245">
        <v>15000</v>
      </c>
      <c r="G173" s="245">
        <v>20000</v>
      </c>
      <c r="H173" s="411">
        <v>10000</v>
      </c>
      <c r="I173" s="246">
        <f t="shared" si="37"/>
        <v>45000</v>
      </c>
      <c r="J173" s="161">
        <f t="shared" si="38"/>
        <v>1440000</v>
      </c>
      <c r="K173" s="392">
        <f>J173/J286</f>
        <v>2.2414150389353056E-3</v>
      </c>
      <c r="L173" s="367">
        <v>0</v>
      </c>
      <c r="M173" s="392">
        <v>0</v>
      </c>
      <c r="N173" s="392">
        <f t="shared" si="34"/>
        <v>0</v>
      </c>
      <c r="O173" s="392"/>
    </row>
    <row r="174" spans="1:15" ht="30" x14ac:dyDescent="0.25">
      <c r="A174" s="388">
        <v>6</v>
      </c>
      <c r="B174" s="413" t="s">
        <v>499</v>
      </c>
      <c r="C174" s="241" t="s">
        <v>500</v>
      </c>
      <c r="D174" s="185" t="s">
        <v>301</v>
      </c>
      <c r="E174" s="414">
        <f>(2+2)*2*3</f>
        <v>24</v>
      </c>
      <c r="F174" s="245">
        <v>175000</v>
      </c>
      <c r="G174" s="245">
        <v>85000</v>
      </c>
      <c r="H174" s="245">
        <v>80000</v>
      </c>
      <c r="I174" s="246">
        <f t="shared" si="37"/>
        <v>340000</v>
      </c>
      <c r="J174" s="161">
        <f t="shared" si="38"/>
        <v>8160000</v>
      </c>
      <c r="K174" s="392">
        <f>J174/J286</f>
        <v>1.2701351887300065E-2</v>
      </c>
      <c r="L174" s="367">
        <v>0</v>
      </c>
      <c r="M174" s="392">
        <v>0</v>
      </c>
      <c r="N174" s="392">
        <f t="shared" si="34"/>
        <v>0</v>
      </c>
      <c r="O174" s="392"/>
    </row>
    <row r="175" spans="1:15" ht="30" x14ac:dyDescent="0.25">
      <c r="A175" s="412">
        <v>7</v>
      </c>
      <c r="B175" s="415" t="s">
        <v>548</v>
      </c>
      <c r="C175" s="241" t="s">
        <v>502</v>
      </c>
      <c r="D175" s="185" t="s">
        <v>301</v>
      </c>
      <c r="E175" s="416">
        <f>2*2</f>
        <v>4</v>
      </c>
      <c r="F175" s="245">
        <v>275000</v>
      </c>
      <c r="G175" s="245">
        <v>85000</v>
      </c>
      <c r="H175" s="245">
        <v>80000</v>
      </c>
      <c r="I175" s="246">
        <f t="shared" si="37"/>
        <v>440000</v>
      </c>
      <c r="J175" s="161">
        <f t="shared" si="38"/>
        <v>1760000</v>
      </c>
      <c r="K175" s="392">
        <f>J175/J286</f>
        <v>2.7395072698098177E-3</v>
      </c>
      <c r="L175" s="367">
        <v>0</v>
      </c>
      <c r="M175" s="392">
        <v>0</v>
      </c>
      <c r="N175" s="392">
        <f t="shared" si="34"/>
        <v>0</v>
      </c>
      <c r="O175" s="392"/>
    </row>
    <row r="176" spans="1:15" ht="30" x14ac:dyDescent="0.25">
      <c r="A176" s="388">
        <v>8</v>
      </c>
      <c r="B176" s="240" t="s">
        <v>507</v>
      </c>
      <c r="C176" s="395" t="s">
        <v>508</v>
      </c>
      <c r="D176" s="185" t="s">
        <v>301</v>
      </c>
      <c r="E176" s="417">
        <f>E175</f>
        <v>4</v>
      </c>
      <c r="F176" s="245">
        <v>95000</v>
      </c>
      <c r="G176" s="245">
        <v>25000</v>
      </c>
      <c r="H176" s="245">
        <v>1500</v>
      </c>
      <c r="I176" s="246">
        <f>H176+G176+F176</f>
        <v>121500</v>
      </c>
      <c r="J176" s="161">
        <f t="shared" si="38"/>
        <v>486000</v>
      </c>
      <c r="K176" s="392">
        <f>J176/J286</f>
        <v>7.5647757564066553E-4</v>
      </c>
      <c r="L176" s="367">
        <v>0</v>
      </c>
      <c r="M176" s="392">
        <v>0</v>
      </c>
      <c r="N176" s="392">
        <f t="shared" si="34"/>
        <v>0</v>
      </c>
      <c r="O176" s="392"/>
    </row>
    <row r="177" spans="1:15" ht="15.75" x14ac:dyDescent="0.25">
      <c r="A177" s="388">
        <v>9</v>
      </c>
      <c r="B177" s="240" t="s">
        <v>509</v>
      </c>
      <c r="C177" s="395" t="s">
        <v>359</v>
      </c>
      <c r="D177" s="185" t="s">
        <v>178</v>
      </c>
      <c r="E177" s="416">
        <v>8</v>
      </c>
      <c r="F177" s="245">
        <v>20000</v>
      </c>
      <c r="G177" s="245">
        <v>5000</v>
      </c>
      <c r="H177" s="245">
        <v>1500</v>
      </c>
      <c r="I177" s="246">
        <f>H177+G177+F177</f>
        <v>26500</v>
      </c>
      <c r="J177" s="161">
        <f t="shared" si="38"/>
        <v>212000</v>
      </c>
      <c r="K177" s="392">
        <f>J177/J286</f>
        <v>3.2998610295436443E-4</v>
      </c>
      <c r="L177" s="367">
        <v>0</v>
      </c>
      <c r="M177" s="392">
        <v>0</v>
      </c>
      <c r="N177" s="392">
        <f t="shared" si="34"/>
        <v>0</v>
      </c>
      <c r="O177" s="392"/>
    </row>
    <row r="178" spans="1:15" ht="15.75" x14ac:dyDescent="0.25">
      <c r="A178" s="412">
        <v>10</v>
      </c>
      <c r="B178" s="446" t="s">
        <v>510</v>
      </c>
      <c r="C178" s="241" t="s">
        <v>441</v>
      </c>
      <c r="D178" s="185" t="s">
        <v>212</v>
      </c>
      <c r="E178" s="419">
        <v>1</v>
      </c>
      <c r="F178" s="245">
        <v>4500000</v>
      </c>
      <c r="G178" s="245">
        <v>250000</v>
      </c>
      <c r="H178" s="243"/>
      <c r="I178" s="246">
        <f t="shared" ref="I178:I180" si="39">H178+G178+F178</f>
        <v>4750000</v>
      </c>
      <c r="J178" s="161">
        <f t="shared" si="38"/>
        <v>4750000</v>
      </c>
      <c r="K178" s="392">
        <f>J178/J286</f>
        <v>7.3935565520435419E-3</v>
      </c>
      <c r="L178" s="367">
        <v>0</v>
      </c>
      <c r="M178" s="392">
        <v>0</v>
      </c>
      <c r="N178" s="392">
        <f t="shared" si="34"/>
        <v>0</v>
      </c>
      <c r="O178" s="392"/>
    </row>
    <row r="179" spans="1:15" ht="15.75" x14ac:dyDescent="0.25">
      <c r="A179" s="388">
        <v>11</v>
      </c>
      <c r="B179" s="240" t="s">
        <v>369</v>
      </c>
      <c r="C179" s="241" t="s">
        <v>370</v>
      </c>
      <c r="D179" s="185" t="s">
        <v>29</v>
      </c>
      <c r="E179" s="242">
        <v>1</v>
      </c>
      <c r="F179" s="245">
        <v>1000000</v>
      </c>
      <c r="G179" s="243"/>
      <c r="H179" s="245">
        <v>5000</v>
      </c>
      <c r="I179" s="246">
        <f t="shared" si="39"/>
        <v>1005000</v>
      </c>
      <c r="J179" s="161">
        <f t="shared" si="38"/>
        <v>1005000</v>
      </c>
      <c r="K179" s="392">
        <f>J179/J286</f>
        <v>1.5643209125902652E-3</v>
      </c>
      <c r="L179" s="367">
        <v>0</v>
      </c>
      <c r="M179" s="392">
        <v>0</v>
      </c>
      <c r="N179" s="392">
        <f t="shared" si="34"/>
        <v>0</v>
      </c>
      <c r="O179" s="392"/>
    </row>
    <row r="180" spans="1:15" ht="15.75" x14ac:dyDescent="0.25">
      <c r="A180" s="388">
        <v>12</v>
      </c>
      <c r="B180" s="240" t="s">
        <v>371</v>
      </c>
      <c r="C180" s="241" t="s">
        <v>428</v>
      </c>
      <c r="D180" s="185" t="s">
        <v>29</v>
      </c>
      <c r="E180" s="242">
        <v>1</v>
      </c>
      <c r="F180" s="245">
        <v>800000</v>
      </c>
      <c r="G180" s="243"/>
      <c r="H180" s="245">
        <v>5000</v>
      </c>
      <c r="I180" s="246">
        <f t="shared" si="39"/>
        <v>805000</v>
      </c>
      <c r="J180" s="161">
        <f t="shared" si="38"/>
        <v>805000</v>
      </c>
      <c r="K180" s="392">
        <f>J180/J286</f>
        <v>1.2530132682936951E-3</v>
      </c>
      <c r="L180" s="367">
        <v>0</v>
      </c>
      <c r="M180" s="392">
        <v>0</v>
      </c>
      <c r="N180" s="392">
        <f t="shared" si="34"/>
        <v>0</v>
      </c>
      <c r="O180" s="392"/>
    </row>
    <row r="181" spans="1:15" ht="15.75" x14ac:dyDescent="0.25">
      <c r="A181" s="412">
        <v>13</v>
      </c>
      <c r="B181" s="240" t="s">
        <v>372</v>
      </c>
      <c r="C181" s="241" t="s">
        <v>282</v>
      </c>
      <c r="D181" s="185" t="s">
        <v>326</v>
      </c>
      <c r="E181" s="242">
        <v>1</v>
      </c>
      <c r="F181" s="245">
        <v>275000</v>
      </c>
      <c r="G181" s="245">
        <v>25000</v>
      </c>
      <c r="H181" s="245">
        <v>5000</v>
      </c>
      <c r="I181" s="246">
        <f>H181+G181+F181</f>
        <v>305000</v>
      </c>
      <c r="J181" s="161">
        <f t="shared" si="38"/>
        <v>305000</v>
      </c>
      <c r="K181" s="392">
        <f>J181/J286</f>
        <v>4.7474415755226955E-4</v>
      </c>
      <c r="L181" s="367">
        <v>0</v>
      </c>
      <c r="M181" s="392">
        <v>0</v>
      </c>
      <c r="N181" s="392">
        <f t="shared" si="34"/>
        <v>0</v>
      </c>
      <c r="O181" s="392"/>
    </row>
    <row r="182" spans="1:15" ht="15.75" x14ac:dyDescent="0.25">
      <c r="A182" s="429"/>
      <c r="B182" s="244" t="s">
        <v>373</v>
      </c>
      <c r="C182" s="241" t="s">
        <v>374</v>
      </c>
      <c r="D182" s="185" t="s">
        <v>326</v>
      </c>
      <c r="E182" s="242">
        <v>1</v>
      </c>
      <c r="F182" s="245">
        <v>200000</v>
      </c>
      <c r="G182" s="245">
        <v>25000</v>
      </c>
      <c r="H182" s="243"/>
      <c r="I182" s="246">
        <f>H182+G182+F182</f>
        <v>225000</v>
      </c>
      <c r="J182" s="396">
        <f t="shared" ref="J182" si="40">I182*E182</f>
        <v>225000</v>
      </c>
      <c r="K182" s="392">
        <f>J182/J286</f>
        <v>3.5022109983364147E-4</v>
      </c>
      <c r="L182" s="367">
        <v>0</v>
      </c>
      <c r="M182" s="392">
        <v>0</v>
      </c>
      <c r="N182" s="392">
        <f t="shared" si="34"/>
        <v>0</v>
      </c>
      <c r="O182" s="392"/>
    </row>
    <row r="183" spans="1:15" ht="15.75" x14ac:dyDescent="0.25">
      <c r="A183" s="388">
        <v>14</v>
      </c>
      <c r="B183" s="240" t="s">
        <v>376</v>
      </c>
      <c r="C183" s="241" t="s">
        <v>282</v>
      </c>
      <c r="D183" s="185" t="s">
        <v>326</v>
      </c>
      <c r="E183" s="242">
        <v>1</v>
      </c>
      <c r="F183" s="245">
        <v>300000</v>
      </c>
      <c r="G183" s="245">
        <v>25000</v>
      </c>
      <c r="H183" s="245">
        <v>5000</v>
      </c>
      <c r="I183" s="246">
        <f>H183+G183+F183</f>
        <v>330000</v>
      </c>
      <c r="J183" s="161">
        <f t="shared" si="38"/>
        <v>330000</v>
      </c>
      <c r="K183" s="392">
        <f>J183/J286</f>
        <v>5.1365761308934084E-4</v>
      </c>
      <c r="L183" s="367">
        <v>0</v>
      </c>
      <c r="M183" s="392">
        <v>0</v>
      </c>
      <c r="N183" s="392">
        <f t="shared" si="34"/>
        <v>0</v>
      </c>
      <c r="O183" s="392"/>
    </row>
    <row r="184" spans="1:15" ht="15.75" x14ac:dyDescent="0.25">
      <c r="A184" s="388">
        <v>15</v>
      </c>
      <c r="B184" s="413" t="s">
        <v>469</v>
      </c>
      <c r="C184" s="241" t="s">
        <v>512</v>
      </c>
      <c r="D184" s="185" t="s">
        <v>301</v>
      </c>
      <c r="E184" s="420">
        <f>E176</f>
        <v>4</v>
      </c>
      <c r="F184" s="245">
        <v>27500</v>
      </c>
      <c r="G184" s="245">
        <v>15000</v>
      </c>
      <c r="H184" s="245">
        <v>2500</v>
      </c>
      <c r="I184" s="246">
        <f t="shared" ref="I184:I185" si="41">H184+G184+F184</f>
        <v>45000</v>
      </c>
      <c r="J184" s="161">
        <f t="shared" si="38"/>
        <v>180000</v>
      </c>
      <c r="K184" s="392">
        <f>J184/J286</f>
        <v>2.801768798669132E-4</v>
      </c>
      <c r="L184" s="367">
        <v>0</v>
      </c>
      <c r="M184" s="392">
        <v>0</v>
      </c>
      <c r="N184" s="392">
        <f t="shared" si="34"/>
        <v>0</v>
      </c>
      <c r="O184" s="392"/>
    </row>
    <row r="185" spans="1:15" ht="15.75" x14ac:dyDescent="0.25">
      <c r="A185" s="412">
        <v>16</v>
      </c>
      <c r="B185" s="413" t="s">
        <v>557</v>
      </c>
      <c r="C185" s="241" t="s">
        <v>514</v>
      </c>
      <c r="D185" s="185" t="s">
        <v>301</v>
      </c>
      <c r="E185" s="420">
        <f>(4+2.5)*4</f>
        <v>26</v>
      </c>
      <c r="F185" s="245">
        <v>45000</v>
      </c>
      <c r="G185" s="245">
        <v>15000</v>
      </c>
      <c r="H185" s="245">
        <v>2500</v>
      </c>
      <c r="I185" s="246">
        <f t="shared" si="41"/>
        <v>62500</v>
      </c>
      <c r="J185" s="161">
        <f t="shared" si="38"/>
        <v>1625000</v>
      </c>
      <c r="K185" s="392">
        <f>J185/J286</f>
        <v>2.5293746099096328E-3</v>
      </c>
      <c r="L185" s="367">
        <v>0</v>
      </c>
      <c r="M185" s="392">
        <v>0</v>
      </c>
      <c r="N185" s="392">
        <f t="shared" si="34"/>
        <v>0</v>
      </c>
      <c r="O185" s="392"/>
    </row>
    <row r="186" spans="1:15" ht="15.75" x14ac:dyDescent="0.25">
      <c r="A186" s="388">
        <v>17</v>
      </c>
      <c r="B186" s="421" t="s">
        <v>515</v>
      </c>
      <c r="C186" s="241"/>
      <c r="D186" s="185"/>
      <c r="E186" s="447"/>
      <c r="F186" s="245"/>
      <c r="G186" s="245"/>
      <c r="H186" s="245"/>
      <c r="I186" s="246"/>
      <c r="J186" s="161"/>
      <c r="K186" s="392"/>
      <c r="L186" s="367"/>
      <c r="M186" s="392"/>
      <c r="N186" s="392"/>
      <c r="O186" s="389"/>
    </row>
    <row r="187" spans="1:15" ht="15.75" x14ac:dyDescent="0.25">
      <c r="A187" s="412"/>
      <c r="B187" s="423" t="s">
        <v>399</v>
      </c>
      <c r="C187" s="424" t="s">
        <v>516</v>
      </c>
      <c r="D187" s="213" t="s">
        <v>517</v>
      </c>
      <c r="E187" s="425">
        <v>1</v>
      </c>
      <c r="F187" s="426">
        <v>4500000</v>
      </c>
      <c r="G187" s="269">
        <v>100000</v>
      </c>
      <c r="H187" s="269">
        <v>30000</v>
      </c>
      <c r="I187" s="427">
        <f t="shared" ref="I187:I192" si="42">H187+G187+F187</f>
        <v>4630000</v>
      </c>
      <c r="J187" s="428">
        <f t="shared" si="38"/>
        <v>4630000</v>
      </c>
      <c r="K187" s="392">
        <f>J187/J286</f>
        <v>7.2067719654656005E-3</v>
      </c>
      <c r="L187" s="367">
        <v>0</v>
      </c>
      <c r="M187" s="392">
        <v>0</v>
      </c>
      <c r="N187" s="392">
        <f t="shared" si="34"/>
        <v>0</v>
      </c>
      <c r="O187" s="392"/>
    </row>
    <row r="188" spans="1:15" ht="15.75" x14ac:dyDescent="0.25">
      <c r="A188" s="429"/>
      <c r="B188" s="423" t="s">
        <v>518</v>
      </c>
      <c r="C188" s="430" t="s">
        <v>519</v>
      </c>
      <c r="D188" s="213" t="s">
        <v>517</v>
      </c>
      <c r="E188" s="425">
        <v>1</v>
      </c>
      <c r="F188" s="426">
        <v>650000</v>
      </c>
      <c r="G188" s="269">
        <v>100000</v>
      </c>
      <c r="H188" s="269">
        <v>30000</v>
      </c>
      <c r="I188" s="427">
        <f t="shared" si="42"/>
        <v>780000</v>
      </c>
      <c r="J188" s="428">
        <f t="shared" si="38"/>
        <v>780000</v>
      </c>
      <c r="K188" s="392">
        <f>J188/J286</f>
        <v>1.2140998127566239E-3</v>
      </c>
      <c r="L188" s="367">
        <v>0</v>
      </c>
      <c r="M188" s="392">
        <v>0</v>
      </c>
      <c r="N188" s="392">
        <f t="shared" si="34"/>
        <v>0</v>
      </c>
      <c r="O188" s="392"/>
    </row>
    <row r="189" spans="1:15" ht="15.75" x14ac:dyDescent="0.25">
      <c r="A189" s="388"/>
      <c r="B189" s="423" t="s">
        <v>520</v>
      </c>
      <c r="C189" s="430" t="s">
        <v>521</v>
      </c>
      <c r="D189" s="431" t="s">
        <v>517</v>
      </c>
      <c r="E189" s="432">
        <v>1</v>
      </c>
      <c r="F189" s="433">
        <v>900000</v>
      </c>
      <c r="G189" s="433">
        <v>20000</v>
      </c>
      <c r="H189" s="433">
        <v>50000</v>
      </c>
      <c r="I189" s="434">
        <f t="shared" si="42"/>
        <v>970000</v>
      </c>
      <c r="J189" s="428">
        <f t="shared" si="38"/>
        <v>970000</v>
      </c>
      <c r="K189" s="392">
        <f>J189/J286</f>
        <v>1.5098420748383655E-3</v>
      </c>
      <c r="L189" s="367">
        <v>0</v>
      </c>
      <c r="M189" s="392">
        <v>0</v>
      </c>
      <c r="N189" s="392">
        <f t="shared" si="34"/>
        <v>0</v>
      </c>
      <c r="O189" s="392"/>
    </row>
    <row r="190" spans="1:15" ht="15.75" x14ac:dyDescent="0.25">
      <c r="A190" s="412"/>
      <c r="B190" s="423" t="s">
        <v>401</v>
      </c>
      <c r="C190" s="430" t="s">
        <v>522</v>
      </c>
      <c r="D190" s="431" t="s">
        <v>517</v>
      </c>
      <c r="E190" s="432">
        <v>1</v>
      </c>
      <c r="F190" s="433">
        <v>1400000</v>
      </c>
      <c r="G190" s="433">
        <v>200000</v>
      </c>
      <c r="H190" s="433">
        <v>15000</v>
      </c>
      <c r="I190" s="434">
        <f t="shared" si="42"/>
        <v>1615000</v>
      </c>
      <c r="J190" s="428">
        <f t="shared" si="38"/>
        <v>1615000</v>
      </c>
      <c r="K190" s="392">
        <f>J190/J286</f>
        <v>2.5138092276948045E-3</v>
      </c>
      <c r="L190" s="367">
        <v>0</v>
      </c>
      <c r="M190" s="392">
        <v>0</v>
      </c>
      <c r="N190" s="392">
        <f t="shared" si="34"/>
        <v>0</v>
      </c>
      <c r="O190" s="392"/>
    </row>
    <row r="191" spans="1:15" ht="15.75" x14ac:dyDescent="0.25">
      <c r="A191" s="388"/>
      <c r="B191" s="423" t="s">
        <v>250</v>
      </c>
      <c r="C191" s="430" t="s">
        <v>523</v>
      </c>
      <c r="D191" s="431" t="s">
        <v>517</v>
      </c>
      <c r="E191" s="432">
        <v>2</v>
      </c>
      <c r="F191" s="433">
        <v>250000</v>
      </c>
      <c r="G191" s="433">
        <v>25000</v>
      </c>
      <c r="H191" s="433">
        <v>30000</v>
      </c>
      <c r="I191" s="434">
        <f t="shared" si="42"/>
        <v>305000</v>
      </c>
      <c r="J191" s="428">
        <f t="shared" si="38"/>
        <v>610000</v>
      </c>
      <c r="K191" s="392">
        <f>J191/J286</f>
        <v>9.494883151045391E-4</v>
      </c>
      <c r="L191" s="367">
        <v>0</v>
      </c>
      <c r="M191" s="392">
        <v>0</v>
      </c>
      <c r="N191" s="392">
        <f t="shared" si="34"/>
        <v>0</v>
      </c>
      <c r="O191" s="392"/>
    </row>
    <row r="192" spans="1:15" ht="30" x14ac:dyDescent="0.25">
      <c r="A192" s="412"/>
      <c r="B192" s="423" t="s">
        <v>405</v>
      </c>
      <c r="C192" s="430" t="s">
        <v>549</v>
      </c>
      <c r="D192" s="431" t="s">
        <v>517</v>
      </c>
      <c r="E192" s="432">
        <v>1</v>
      </c>
      <c r="F192" s="433">
        <v>1000000</v>
      </c>
      <c r="G192" s="433">
        <v>75000</v>
      </c>
      <c r="H192" s="433">
        <v>30000</v>
      </c>
      <c r="I192" s="434">
        <f t="shared" si="42"/>
        <v>1105000</v>
      </c>
      <c r="J192" s="428">
        <f t="shared" si="38"/>
        <v>1105000</v>
      </c>
      <c r="K192" s="392">
        <f>J192/J286</f>
        <v>1.7199747347385504E-3</v>
      </c>
      <c r="L192" s="367">
        <v>0</v>
      </c>
      <c r="M192" s="392">
        <v>0</v>
      </c>
      <c r="N192" s="392">
        <f t="shared" si="34"/>
        <v>0</v>
      </c>
      <c r="O192" s="392"/>
    </row>
    <row r="193" spans="1:15" ht="30" x14ac:dyDescent="0.25">
      <c r="A193" s="402"/>
      <c r="B193" s="455"/>
      <c r="C193" s="455"/>
      <c r="D193" s="456"/>
      <c r="E193" s="457"/>
      <c r="F193" s="458"/>
      <c r="G193" s="458"/>
      <c r="H193" s="458"/>
      <c r="I193" s="459" t="s">
        <v>327</v>
      </c>
      <c r="J193" s="460">
        <f>SUM(J167:J192)</f>
        <v>43415000</v>
      </c>
      <c r="K193" s="377">
        <f>SUM(K167:K192)</f>
        <v>6.7577106885677973E-2</v>
      </c>
      <c r="L193" s="367"/>
      <c r="M193" s="378">
        <f>SUM(M167:M192)</f>
        <v>0</v>
      </c>
      <c r="N193" s="378">
        <f>SUM(N167:N192)</f>
        <v>1.3812720177438821E-2</v>
      </c>
      <c r="O193" s="379"/>
    </row>
    <row r="194" spans="1:15" ht="15.75" x14ac:dyDescent="0.25">
      <c r="A194" s="436" t="s">
        <v>328</v>
      </c>
      <c r="B194" s="461" t="s">
        <v>530</v>
      </c>
      <c r="C194" s="462"/>
      <c r="D194" s="462"/>
      <c r="E194" s="462"/>
      <c r="F194" s="462"/>
      <c r="G194" s="462"/>
      <c r="H194" s="462"/>
      <c r="I194" s="462"/>
      <c r="J194" s="463"/>
      <c r="K194" s="392"/>
      <c r="L194" s="367"/>
      <c r="M194" s="392"/>
      <c r="N194" s="392"/>
      <c r="O194" s="389"/>
    </row>
    <row r="195" spans="1:15" ht="15.75" x14ac:dyDescent="0.25">
      <c r="A195" s="374">
        <v>1</v>
      </c>
      <c r="B195" s="438" t="s">
        <v>534</v>
      </c>
      <c r="C195" s="464"/>
      <c r="D195" s="464"/>
      <c r="E195" s="464"/>
      <c r="F195" s="464"/>
      <c r="G195" s="464"/>
      <c r="H195" s="464"/>
      <c r="I195" s="464"/>
      <c r="J195" s="465"/>
      <c r="K195" s="392"/>
      <c r="L195" s="367"/>
      <c r="M195" s="392"/>
      <c r="N195" s="392"/>
      <c r="O195" s="389"/>
    </row>
    <row r="196" spans="1:15" ht="15.75" x14ac:dyDescent="0.25">
      <c r="A196" s="374"/>
      <c r="B196" s="440" t="s">
        <v>341</v>
      </c>
      <c r="C196" s="395" t="s">
        <v>489</v>
      </c>
      <c r="D196" s="456" t="s">
        <v>337</v>
      </c>
      <c r="E196" s="466">
        <v>2.4</v>
      </c>
      <c r="F196" s="458">
        <v>850000</v>
      </c>
      <c r="G196" s="458">
        <v>160000</v>
      </c>
      <c r="H196" s="458">
        <v>75000</v>
      </c>
      <c r="I196" s="467">
        <f t="shared" ref="I196:I198" si="43">H196+G196+F196</f>
        <v>1085000</v>
      </c>
      <c r="J196" s="428">
        <f t="shared" ref="J196:J198" si="44">E196*I196</f>
        <v>2604000</v>
      </c>
      <c r="K196" s="392">
        <f>J196/J286</f>
        <v>4.0532255287413438E-3</v>
      </c>
      <c r="L196" s="367">
        <v>0</v>
      </c>
      <c r="M196" s="392">
        <v>0</v>
      </c>
      <c r="N196" s="392">
        <f t="shared" si="34"/>
        <v>0</v>
      </c>
      <c r="O196" s="392"/>
    </row>
    <row r="197" spans="1:15" ht="15.75" x14ac:dyDescent="0.25">
      <c r="A197" s="374"/>
      <c r="B197" s="440" t="s">
        <v>343</v>
      </c>
      <c r="C197" s="468" t="s">
        <v>344</v>
      </c>
      <c r="D197" s="456" t="s">
        <v>345</v>
      </c>
      <c r="E197" s="466">
        <f>E196*200</f>
        <v>480</v>
      </c>
      <c r="F197" s="458">
        <v>14000</v>
      </c>
      <c r="G197" s="458">
        <v>2500</v>
      </c>
      <c r="H197" s="458">
        <v>1500</v>
      </c>
      <c r="I197" s="467">
        <f t="shared" si="43"/>
        <v>18000</v>
      </c>
      <c r="J197" s="428">
        <f t="shared" si="44"/>
        <v>8640000</v>
      </c>
      <c r="K197" s="392">
        <f>J197/J286</f>
        <v>1.3448490233611833E-2</v>
      </c>
      <c r="L197" s="367">
        <v>0</v>
      </c>
      <c r="M197" s="392">
        <v>0</v>
      </c>
      <c r="N197" s="392">
        <f t="shared" si="34"/>
        <v>0</v>
      </c>
      <c r="O197" s="392"/>
    </row>
    <row r="198" spans="1:15" ht="30" x14ac:dyDescent="0.25">
      <c r="A198" s="374"/>
      <c r="B198" s="440" t="s">
        <v>346</v>
      </c>
      <c r="C198" s="468" t="s">
        <v>347</v>
      </c>
      <c r="D198" s="469" t="s">
        <v>301</v>
      </c>
      <c r="E198" s="416">
        <f>1.2*10</f>
        <v>12</v>
      </c>
      <c r="F198" s="470">
        <v>100000</v>
      </c>
      <c r="G198" s="458">
        <v>40000</v>
      </c>
      <c r="H198" s="458">
        <v>10000</v>
      </c>
      <c r="I198" s="467">
        <f t="shared" si="43"/>
        <v>150000</v>
      </c>
      <c r="J198" s="428">
        <f t="shared" si="44"/>
        <v>1800000</v>
      </c>
      <c r="K198" s="392">
        <f>J198/J286</f>
        <v>2.8017687986691318E-3</v>
      </c>
      <c r="L198" s="367">
        <v>0</v>
      </c>
      <c r="M198" s="392">
        <v>0</v>
      </c>
      <c r="N198" s="392">
        <f t="shared" si="34"/>
        <v>0</v>
      </c>
      <c r="O198" s="392"/>
    </row>
    <row r="199" spans="1:15" ht="15.75" x14ac:dyDescent="0.25">
      <c r="A199" s="374">
        <v>2</v>
      </c>
      <c r="B199" s="471" t="s">
        <v>491</v>
      </c>
      <c r="C199" s="435" t="s">
        <v>282</v>
      </c>
      <c r="D199" s="185"/>
      <c r="E199" s="242"/>
      <c r="F199" s="472"/>
      <c r="G199" s="473"/>
      <c r="H199" s="473"/>
      <c r="I199" s="474"/>
      <c r="J199" s="428"/>
      <c r="K199" s="392"/>
      <c r="L199" s="367"/>
      <c r="M199" s="392"/>
      <c r="N199" s="392"/>
      <c r="O199" s="389"/>
    </row>
    <row r="200" spans="1:15" ht="15.75" x14ac:dyDescent="0.25">
      <c r="A200" s="374"/>
      <c r="B200" s="471" t="s">
        <v>341</v>
      </c>
      <c r="C200" s="395" t="s">
        <v>489</v>
      </c>
      <c r="D200" s="185" t="s">
        <v>337</v>
      </c>
      <c r="E200" s="242">
        <f>(0.15*0.3*7)</f>
        <v>0.315</v>
      </c>
      <c r="F200" s="245">
        <v>850000</v>
      </c>
      <c r="G200" s="470">
        <v>160000</v>
      </c>
      <c r="H200" s="458">
        <v>75000</v>
      </c>
      <c r="I200" s="475">
        <f>H200+G200+F200</f>
        <v>1085000</v>
      </c>
      <c r="J200" s="161">
        <f t="shared" ref="J200:J211" si="45">E200*I200</f>
        <v>341775</v>
      </c>
      <c r="K200" s="392">
        <f>J200/J286</f>
        <v>5.3198585064730141E-4</v>
      </c>
      <c r="L200" s="367">
        <v>0</v>
      </c>
      <c r="M200" s="392">
        <v>0</v>
      </c>
      <c r="N200" s="392">
        <f t="shared" si="34"/>
        <v>0</v>
      </c>
      <c r="O200" s="392"/>
    </row>
    <row r="201" spans="1:15" ht="15.75" x14ac:dyDescent="0.25">
      <c r="A201" s="374"/>
      <c r="B201" s="471" t="s">
        <v>343</v>
      </c>
      <c r="C201" s="395" t="s">
        <v>344</v>
      </c>
      <c r="D201" s="185" t="s">
        <v>345</v>
      </c>
      <c r="E201" s="242">
        <f>E200*200</f>
        <v>63</v>
      </c>
      <c r="F201" s="245">
        <v>14000</v>
      </c>
      <c r="G201" s="245">
        <v>2500</v>
      </c>
      <c r="H201" s="470">
        <v>1500</v>
      </c>
      <c r="I201" s="475">
        <f>H201+G201+F201</f>
        <v>18000</v>
      </c>
      <c r="J201" s="161">
        <f t="shared" si="45"/>
        <v>1134000</v>
      </c>
      <c r="K201" s="392">
        <f>J201/J286</f>
        <v>1.7651143431615531E-3</v>
      </c>
      <c r="L201" s="367">
        <v>0</v>
      </c>
      <c r="M201" s="392">
        <v>0</v>
      </c>
      <c r="N201" s="392">
        <f t="shared" si="34"/>
        <v>0</v>
      </c>
      <c r="O201" s="392"/>
    </row>
    <row r="202" spans="1:15" ht="30" x14ac:dyDescent="0.25">
      <c r="A202" s="374"/>
      <c r="B202" s="240" t="s">
        <v>346</v>
      </c>
      <c r="C202" s="395" t="s">
        <v>347</v>
      </c>
      <c r="D202" s="185" t="s">
        <v>301</v>
      </c>
      <c r="E202" s="242">
        <f>(0.3*0.3*2.2)</f>
        <v>0.19800000000000001</v>
      </c>
      <c r="F202" s="245">
        <v>100000</v>
      </c>
      <c r="G202" s="245">
        <v>40000</v>
      </c>
      <c r="H202" s="245">
        <v>10000</v>
      </c>
      <c r="I202" s="246">
        <f>H202+G202+F202</f>
        <v>150000</v>
      </c>
      <c r="J202" s="161">
        <f t="shared" si="45"/>
        <v>29700</v>
      </c>
      <c r="K202" s="392">
        <f>J202/J286</f>
        <v>4.6229185178040674E-5</v>
      </c>
      <c r="L202" s="367">
        <v>0</v>
      </c>
      <c r="M202" s="392">
        <v>0</v>
      </c>
      <c r="N202" s="392">
        <f t="shared" si="34"/>
        <v>0</v>
      </c>
      <c r="O202" s="392"/>
    </row>
    <row r="203" spans="1:15" ht="15.75" x14ac:dyDescent="0.25">
      <c r="A203" s="374">
        <v>3</v>
      </c>
      <c r="B203" s="240" t="s">
        <v>535</v>
      </c>
      <c r="C203" s="395" t="s">
        <v>536</v>
      </c>
      <c r="D203" s="185" t="s">
        <v>301</v>
      </c>
      <c r="E203" s="441">
        <f>(1.2*8)</f>
        <v>9.6</v>
      </c>
      <c r="F203" s="245">
        <v>95000</v>
      </c>
      <c r="G203" s="245">
        <v>45000</v>
      </c>
      <c r="H203" s="245">
        <v>1500</v>
      </c>
      <c r="I203" s="246">
        <f>H203+G203+F203</f>
        <v>141500</v>
      </c>
      <c r="J203" s="161">
        <f t="shared" si="45"/>
        <v>1358400</v>
      </c>
      <c r="K203" s="392">
        <f>J203/J286</f>
        <v>2.114401520062305E-3</v>
      </c>
      <c r="L203" s="367">
        <v>0</v>
      </c>
      <c r="M203" s="392">
        <v>0</v>
      </c>
      <c r="N203" s="392">
        <f t="shared" si="34"/>
        <v>0</v>
      </c>
      <c r="O203" s="392"/>
    </row>
    <row r="204" spans="1:15" ht="30" x14ac:dyDescent="0.25">
      <c r="A204" s="374">
        <v>4</v>
      </c>
      <c r="B204" s="240" t="s">
        <v>537</v>
      </c>
      <c r="C204" s="241" t="s">
        <v>538</v>
      </c>
      <c r="D204" s="185" t="s">
        <v>178</v>
      </c>
      <c r="E204" s="242">
        <v>21</v>
      </c>
      <c r="F204" s="245">
        <v>195000</v>
      </c>
      <c r="G204" s="245">
        <v>85000</v>
      </c>
      <c r="H204" s="245">
        <v>80000</v>
      </c>
      <c r="I204" s="246">
        <f t="shared" ref="I204:I209" si="46">H204+G204+F204</f>
        <v>360000</v>
      </c>
      <c r="J204" s="161">
        <f t="shared" si="45"/>
        <v>7560000</v>
      </c>
      <c r="K204" s="392">
        <f>J204/J286</f>
        <v>1.1767428954410353E-2</v>
      </c>
      <c r="L204" s="367">
        <v>0</v>
      </c>
      <c r="M204" s="392">
        <v>0</v>
      </c>
      <c r="N204" s="392">
        <f t="shared" si="34"/>
        <v>0</v>
      </c>
      <c r="O204" s="392"/>
    </row>
    <row r="205" spans="1:15" ht="30" x14ac:dyDescent="0.25">
      <c r="A205" s="374">
        <v>5</v>
      </c>
      <c r="B205" s="240" t="s">
        <v>539</v>
      </c>
      <c r="C205" s="241" t="s">
        <v>538</v>
      </c>
      <c r="D205" s="185" t="s">
        <v>301</v>
      </c>
      <c r="E205" s="242">
        <f>2.5*2</f>
        <v>5</v>
      </c>
      <c r="F205" s="245">
        <v>195000</v>
      </c>
      <c r="G205" s="245">
        <v>85000</v>
      </c>
      <c r="H205" s="245">
        <v>80000</v>
      </c>
      <c r="I205" s="246">
        <f t="shared" si="46"/>
        <v>360000</v>
      </c>
      <c r="J205" s="161">
        <f t="shared" si="45"/>
        <v>1800000</v>
      </c>
      <c r="K205" s="392">
        <f>J205/J286</f>
        <v>2.8017687986691318E-3</v>
      </c>
      <c r="L205" s="367">
        <v>0</v>
      </c>
      <c r="M205" s="392">
        <v>0</v>
      </c>
      <c r="N205" s="392">
        <f t="shared" si="34"/>
        <v>0</v>
      </c>
      <c r="O205" s="392"/>
    </row>
    <row r="206" spans="1:15" ht="30" x14ac:dyDescent="0.25">
      <c r="A206" s="374">
        <v>6</v>
      </c>
      <c r="B206" s="240" t="s">
        <v>540</v>
      </c>
      <c r="C206" s="241" t="s">
        <v>541</v>
      </c>
      <c r="D206" s="185" t="s">
        <v>178</v>
      </c>
      <c r="E206" s="242">
        <v>7</v>
      </c>
      <c r="F206" s="245">
        <v>65000</v>
      </c>
      <c r="G206" s="245">
        <v>15000</v>
      </c>
      <c r="H206" s="245">
        <v>10000</v>
      </c>
      <c r="I206" s="246">
        <f t="shared" si="46"/>
        <v>90000</v>
      </c>
      <c r="J206" s="161">
        <f t="shared" si="45"/>
        <v>630000</v>
      </c>
      <c r="K206" s="392">
        <f>J206/J286</f>
        <v>9.8061907953419613E-4</v>
      </c>
      <c r="L206" s="367">
        <v>0</v>
      </c>
      <c r="M206" s="392">
        <v>0</v>
      </c>
      <c r="N206" s="392">
        <f t="shared" si="34"/>
        <v>0</v>
      </c>
      <c r="O206" s="392"/>
    </row>
    <row r="207" spans="1:15" ht="15.75" x14ac:dyDescent="0.25">
      <c r="A207" s="374">
        <v>7</v>
      </c>
      <c r="B207" s="240" t="s">
        <v>542</v>
      </c>
      <c r="C207" s="241" t="s">
        <v>543</v>
      </c>
      <c r="D207" s="185" t="s">
        <v>178</v>
      </c>
      <c r="E207" s="242">
        <v>16</v>
      </c>
      <c r="F207" s="245">
        <v>700000</v>
      </c>
      <c r="G207" s="245">
        <v>200000</v>
      </c>
      <c r="H207" s="243"/>
      <c r="I207" s="246">
        <f t="shared" si="46"/>
        <v>900000</v>
      </c>
      <c r="J207" s="161">
        <f t="shared" si="45"/>
        <v>14400000</v>
      </c>
      <c r="K207" s="392">
        <f>J207/J286</f>
        <v>2.2414150389353054E-2</v>
      </c>
      <c r="L207" s="367">
        <v>0</v>
      </c>
      <c r="M207" s="392">
        <v>0</v>
      </c>
      <c r="N207" s="392">
        <f t="shared" si="34"/>
        <v>0</v>
      </c>
      <c r="O207" s="392"/>
    </row>
    <row r="208" spans="1:15" ht="15.75" x14ac:dyDescent="0.25">
      <c r="A208" s="374">
        <v>8</v>
      </c>
      <c r="B208" s="240" t="s">
        <v>266</v>
      </c>
      <c r="C208" s="241" t="s">
        <v>514</v>
      </c>
      <c r="D208" s="185" t="s">
        <v>301</v>
      </c>
      <c r="E208" s="242">
        <v>20</v>
      </c>
      <c r="F208" s="245">
        <v>45000</v>
      </c>
      <c r="G208" s="245">
        <v>15000</v>
      </c>
      <c r="H208" s="245">
        <v>2500</v>
      </c>
      <c r="I208" s="246">
        <f t="shared" si="46"/>
        <v>62500</v>
      </c>
      <c r="J208" s="161">
        <f t="shared" si="45"/>
        <v>1250000</v>
      </c>
      <c r="K208" s="392">
        <f>J208/J286</f>
        <v>1.9456727768535638E-3</v>
      </c>
      <c r="L208" s="367">
        <v>0</v>
      </c>
      <c r="M208" s="392">
        <v>0</v>
      </c>
      <c r="N208" s="392">
        <f t="shared" si="34"/>
        <v>0</v>
      </c>
      <c r="O208" s="392"/>
    </row>
    <row r="209" spans="1:15" ht="15.75" x14ac:dyDescent="0.25">
      <c r="A209" s="374">
        <v>9</v>
      </c>
      <c r="B209" s="240" t="s">
        <v>469</v>
      </c>
      <c r="C209" s="241" t="s">
        <v>512</v>
      </c>
      <c r="D209" s="185" t="s">
        <v>301</v>
      </c>
      <c r="E209" s="242">
        <f>2*6</f>
        <v>12</v>
      </c>
      <c r="F209" s="245">
        <v>27500</v>
      </c>
      <c r="G209" s="245">
        <v>15000</v>
      </c>
      <c r="H209" s="245">
        <v>2500</v>
      </c>
      <c r="I209" s="246">
        <f t="shared" si="46"/>
        <v>45000</v>
      </c>
      <c r="J209" s="161">
        <f t="shared" si="45"/>
        <v>540000</v>
      </c>
      <c r="K209" s="392">
        <f>J209/J286</f>
        <v>8.4053063960073959E-4</v>
      </c>
      <c r="L209" s="367">
        <v>0</v>
      </c>
      <c r="M209" s="392">
        <v>0</v>
      </c>
      <c r="N209" s="392">
        <f t="shared" si="34"/>
        <v>0</v>
      </c>
      <c r="O209" s="392"/>
    </row>
    <row r="210" spans="1:15" ht="15.75" x14ac:dyDescent="0.25">
      <c r="A210" s="374">
        <v>10</v>
      </c>
      <c r="B210" s="240" t="s">
        <v>372</v>
      </c>
      <c r="C210" s="241" t="s">
        <v>558</v>
      </c>
      <c r="D210" s="185" t="s">
        <v>326</v>
      </c>
      <c r="E210" s="242">
        <v>2</v>
      </c>
      <c r="F210" s="245">
        <v>275000</v>
      </c>
      <c r="G210" s="245">
        <v>25000</v>
      </c>
      <c r="H210" s="245">
        <v>5000</v>
      </c>
      <c r="I210" s="246">
        <f>H210+G210+F210</f>
        <v>305000</v>
      </c>
      <c r="J210" s="161">
        <f t="shared" si="45"/>
        <v>610000</v>
      </c>
      <c r="K210" s="392">
        <f>J210/J286</f>
        <v>9.494883151045391E-4</v>
      </c>
      <c r="L210" s="367">
        <v>0</v>
      </c>
      <c r="M210" s="392">
        <v>0</v>
      </c>
      <c r="N210" s="392">
        <f t="shared" si="34"/>
        <v>0</v>
      </c>
      <c r="O210" s="392"/>
    </row>
    <row r="211" spans="1:15" ht="15.75" x14ac:dyDescent="0.25">
      <c r="A211" s="374">
        <v>11</v>
      </c>
      <c r="B211" s="240" t="s">
        <v>376</v>
      </c>
      <c r="C211" s="241" t="s">
        <v>282</v>
      </c>
      <c r="D211" s="185" t="s">
        <v>326</v>
      </c>
      <c r="E211" s="242">
        <v>1</v>
      </c>
      <c r="F211" s="245">
        <v>300000</v>
      </c>
      <c r="G211" s="245">
        <v>25000</v>
      </c>
      <c r="H211" s="245">
        <v>5000</v>
      </c>
      <c r="I211" s="246">
        <f>H211+G211+F211</f>
        <v>330000</v>
      </c>
      <c r="J211" s="161">
        <f t="shared" si="45"/>
        <v>330000</v>
      </c>
      <c r="K211" s="392">
        <f>J211/J286</f>
        <v>5.1365761308934084E-4</v>
      </c>
      <c r="L211" s="367">
        <v>0</v>
      </c>
      <c r="M211" s="392">
        <v>0</v>
      </c>
      <c r="N211" s="392">
        <f t="shared" ref="N211" si="47">K211*L211</f>
        <v>0</v>
      </c>
      <c r="O211" s="392"/>
    </row>
    <row r="212" spans="1:15" ht="30" x14ac:dyDescent="0.25">
      <c r="A212" s="374"/>
      <c r="B212" s="244"/>
      <c r="C212" s="241"/>
      <c r="D212" s="185"/>
      <c r="E212" s="242"/>
      <c r="F212" s="245"/>
      <c r="G212" s="243"/>
      <c r="H212" s="243"/>
      <c r="I212" s="376" t="s">
        <v>409</v>
      </c>
      <c r="J212" s="273">
        <f>SUM(J196:J211)</f>
        <v>43027875</v>
      </c>
      <c r="K212" s="377">
        <f>SUM(K196:K211)</f>
        <v>6.6974532026686434E-2</v>
      </c>
      <c r="L212" s="367"/>
      <c r="M212" s="378">
        <f>SUM(M196:M211)</f>
        <v>0</v>
      </c>
      <c r="N212" s="378">
        <f>SUM(N196:N211)</f>
        <v>0</v>
      </c>
      <c r="O212" s="379"/>
    </row>
    <row r="213" spans="1:15" ht="15.75" x14ac:dyDescent="0.25">
      <c r="A213" s="436" t="s">
        <v>551</v>
      </c>
      <c r="B213" s="437" t="s">
        <v>559</v>
      </c>
      <c r="C213" s="448"/>
      <c r="D213" s="449"/>
      <c r="E213" s="450"/>
      <c r="F213" s="450"/>
      <c r="G213" s="450"/>
      <c r="H213" s="450"/>
      <c r="I213" s="451"/>
      <c r="J213" s="273"/>
      <c r="K213" s="392"/>
      <c r="L213" s="367"/>
      <c r="M213" s="392"/>
      <c r="N213" s="392"/>
      <c r="O213" s="389"/>
    </row>
    <row r="214" spans="1:15" ht="15.75" x14ac:dyDescent="0.25">
      <c r="A214" s="390">
        <v>1</v>
      </c>
      <c r="B214" s="397" t="s">
        <v>349</v>
      </c>
      <c r="C214" s="395" t="s">
        <v>282</v>
      </c>
      <c r="D214" s="398"/>
      <c r="E214" s="399" t="s">
        <v>282</v>
      </c>
      <c r="F214" s="400"/>
      <c r="G214" s="400"/>
      <c r="H214" s="400"/>
      <c r="I214" s="400"/>
      <c r="J214" s="401"/>
      <c r="K214" s="392"/>
      <c r="L214" s="367"/>
      <c r="M214" s="392"/>
      <c r="N214" s="392"/>
      <c r="O214" s="389"/>
    </row>
    <row r="215" spans="1:15" ht="15.75" x14ac:dyDescent="0.25">
      <c r="A215" s="402"/>
      <c r="B215" s="403" t="s">
        <v>341</v>
      </c>
      <c r="C215" s="395" t="s">
        <v>489</v>
      </c>
      <c r="D215" s="185" t="s">
        <v>337</v>
      </c>
      <c r="E215" s="399">
        <f>(0.15*0.3*4*14)</f>
        <v>2.52</v>
      </c>
      <c r="F215" s="245">
        <v>850000</v>
      </c>
      <c r="G215" s="245">
        <v>200000</v>
      </c>
      <c r="H215" s="245">
        <v>75000</v>
      </c>
      <c r="I215" s="246">
        <f t="shared" ref="I215:I217" si="48">H215+G215+F215</f>
        <v>1125000</v>
      </c>
      <c r="J215" s="161">
        <f t="shared" ref="J215:J241" si="49">E215*I215</f>
        <v>2835000</v>
      </c>
      <c r="K215" s="392">
        <f>J215/J286</f>
        <v>4.4127858579038823E-3</v>
      </c>
      <c r="L215" s="367">
        <v>1</v>
      </c>
      <c r="M215" s="392">
        <v>0</v>
      </c>
      <c r="N215" s="392">
        <f t="shared" ref="N215:N277" si="50">K215*L215</f>
        <v>4.4127858579038823E-3</v>
      </c>
      <c r="O215" s="392"/>
    </row>
    <row r="216" spans="1:15" ht="15.75" x14ac:dyDescent="0.25">
      <c r="A216" s="402"/>
      <c r="B216" s="403" t="s">
        <v>343</v>
      </c>
      <c r="C216" s="395" t="s">
        <v>344</v>
      </c>
      <c r="D216" s="185" t="s">
        <v>345</v>
      </c>
      <c r="E216" s="399">
        <f>E215*200</f>
        <v>504</v>
      </c>
      <c r="F216" s="245">
        <v>14000</v>
      </c>
      <c r="G216" s="245">
        <v>2500</v>
      </c>
      <c r="H216" s="245">
        <v>1500</v>
      </c>
      <c r="I216" s="246">
        <f t="shared" si="48"/>
        <v>18000</v>
      </c>
      <c r="J216" s="161">
        <f t="shared" si="49"/>
        <v>9072000</v>
      </c>
      <c r="K216" s="392">
        <f>J216/J286</f>
        <v>1.4120914745292425E-2</v>
      </c>
      <c r="L216" s="367">
        <v>1</v>
      </c>
      <c r="M216" s="392">
        <v>0</v>
      </c>
      <c r="N216" s="392">
        <f t="shared" si="50"/>
        <v>1.4120914745292425E-2</v>
      </c>
      <c r="O216" s="392"/>
    </row>
    <row r="217" spans="1:15" ht="30" x14ac:dyDescent="0.25">
      <c r="A217" s="374"/>
      <c r="B217" s="403" t="s">
        <v>346</v>
      </c>
      <c r="C217" s="395" t="s">
        <v>347</v>
      </c>
      <c r="D217" s="185" t="s">
        <v>301</v>
      </c>
      <c r="E217" s="399">
        <f>(0.2+0.4)*2*14</f>
        <v>16.800000000000004</v>
      </c>
      <c r="F217" s="245">
        <v>100000</v>
      </c>
      <c r="G217" s="245">
        <v>40000</v>
      </c>
      <c r="H217" s="245">
        <v>10000</v>
      </c>
      <c r="I217" s="246">
        <f t="shared" si="48"/>
        <v>150000</v>
      </c>
      <c r="J217" s="161">
        <f t="shared" si="49"/>
        <v>2520000.0000000005</v>
      </c>
      <c r="K217" s="392">
        <f>J217/J286</f>
        <v>3.9224763181367854E-3</v>
      </c>
      <c r="L217" s="367">
        <v>1</v>
      </c>
      <c r="M217" s="392">
        <v>0</v>
      </c>
      <c r="N217" s="392">
        <f t="shared" si="50"/>
        <v>3.9224763181367854E-3</v>
      </c>
      <c r="O217" s="392"/>
    </row>
    <row r="218" spans="1:15" ht="15.75" x14ac:dyDescent="0.25">
      <c r="A218" s="390">
        <v>3</v>
      </c>
      <c r="B218" s="404" t="s">
        <v>560</v>
      </c>
      <c r="C218" s="241" t="s">
        <v>282</v>
      </c>
      <c r="D218" s="185"/>
      <c r="E218" s="242"/>
      <c r="F218" s="405"/>
      <c r="G218" s="243"/>
      <c r="H218" s="243"/>
      <c r="I218" s="243"/>
      <c r="J218" s="161"/>
      <c r="K218" s="392"/>
      <c r="L218" s="367"/>
      <c r="M218" s="392"/>
      <c r="N218" s="392"/>
      <c r="O218" s="389"/>
    </row>
    <row r="219" spans="1:15" ht="15.75" x14ac:dyDescent="0.25">
      <c r="A219" s="402"/>
      <c r="B219" s="404" t="s">
        <v>341</v>
      </c>
      <c r="C219" s="395" t="s">
        <v>489</v>
      </c>
      <c r="D219" s="185" t="s">
        <v>337</v>
      </c>
      <c r="E219" s="242">
        <f>14*4*0.12</f>
        <v>6.72</v>
      </c>
      <c r="F219" s="245">
        <v>850000</v>
      </c>
      <c r="G219" s="245">
        <v>200000</v>
      </c>
      <c r="H219" s="245">
        <v>75000</v>
      </c>
      <c r="I219" s="246">
        <f>H219+G219+F219</f>
        <v>1125000</v>
      </c>
      <c r="J219" s="161">
        <f t="shared" si="49"/>
        <v>7560000</v>
      </c>
      <c r="K219" s="392">
        <f>J219/J286</f>
        <v>1.1767428954410353E-2</v>
      </c>
      <c r="L219" s="367">
        <v>0</v>
      </c>
      <c r="M219" s="392">
        <v>0</v>
      </c>
      <c r="N219" s="392">
        <f t="shared" si="50"/>
        <v>0</v>
      </c>
      <c r="O219" s="392"/>
    </row>
    <row r="220" spans="1:15" ht="15.75" x14ac:dyDescent="0.25">
      <c r="A220" s="402"/>
      <c r="B220" s="404" t="s">
        <v>343</v>
      </c>
      <c r="C220" s="395" t="s">
        <v>344</v>
      </c>
      <c r="D220" s="185" t="s">
        <v>345</v>
      </c>
      <c r="E220" s="242">
        <f>E219*150</f>
        <v>1008</v>
      </c>
      <c r="F220" s="245">
        <v>14000</v>
      </c>
      <c r="G220" s="245">
        <v>2500</v>
      </c>
      <c r="H220" s="245">
        <v>1500</v>
      </c>
      <c r="I220" s="246">
        <f>H220+G220+F220</f>
        <v>18000</v>
      </c>
      <c r="J220" s="161">
        <f t="shared" si="49"/>
        <v>18144000</v>
      </c>
      <c r="K220" s="392">
        <f>J220/J286</f>
        <v>2.824182949058485E-2</v>
      </c>
      <c r="L220" s="367">
        <v>0</v>
      </c>
      <c r="M220" s="392">
        <v>0</v>
      </c>
      <c r="N220" s="392">
        <f t="shared" si="50"/>
        <v>0</v>
      </c>
      <c r="O220" s="392"/>
    </row>
    <row r="221" spans="1:15" ht="30" x14ac:dyDescent="0.25">
      <c r="A221" s="374"/>
      <c r="B221" s="272" t="s">
        <v>346</v>
      </c>
      <c r="C221" s="395" t="s">
        <v>347</v>
      </c>
      <c r="D221" s="185" t="s">
        <v>301</v>
      </c>
      <c r="E221" s="242">
        <f>4*14</f>
        <v>56</v>
      </c>
      <c r="F221" s="245">
        <v>100000</v>
      </c>
      <c r="G221" s="245">
        <v>40000</v>
      </c>
      <c r="H221" s="245">
        <v>10000</v>
      </c>
      <c r="I221" s="246">
        <f>H221+G221+F221</f>
        <v>150000</v>
      </c>
      <c r="J221" s="161">
        <f t="shared" si="49"/>
        <v>8400000</v>
      </c>
      <c r="K221" s="392">
        <f>J221/J286</f>
        <v>1.3074921060455949E-2</v>
      </c>
      <c r="L221" s="367">
        <v>0</v>
      </c>
      <c r="M221" s="392">
        <v>0</v>
      </c>
      <c r="N221" s="392">
        <f t="shared" si="50"/>
        <v>0</v>
      </c>
      <c r="O221" s="392"/>
    </row>
    <row r="222" spans="1:15" ht="30" x14ac:dyDescent="0.25">
      <c r="A222" s="390">
        <v>4</v>
      </c>
      <c r="B222" s="240" t="s">
        <v>561</v>
      </c>
      <c r="C222" s="241" t="s">
        <v>282</v>
      </c>
      <c r="D222" s="185"/>
      <c r="E222" s="242"/>
      <c r="F222" s="405"/>
      <c r="G222" s="243"/>
      <c r="H222" s="243"/>
      <c r="I222" s="406"/>
      <c r="J222" s="161"/>
      <c r="K222" s="392"/>
      <c r="L222" s="367">
        <v>0</v>
      </c>
      <c r="M222" s="392">
        <v>0</v>
      </c>
      <c r="N222" s="392">
        <f t="shared" si="50"/>
        <v>0</v>
      </c>
      <c r="O222" s="389"/>
    </row>
    <row r="223" spans="1:15" ht="15.75" x14ac:dyDescent="0.25">
      <c r="A223" s="374"/>
      <c r="B223" s="240" t="s">
        <v>341</v>
      </c>
      <c r="C223" s="395" t="s">
        <v>489</v>
      </c>
      <c r="D223" s="185" t="s">
        <v>337</v>
      </c>
      <c r="E223" s="242">
        <f>(0.15*0.4*65)</f>
        <v>3.9</v>
      </c>
      <c r="F223" s="245">
        <v>850000</v>
      </c>
      <c r="G223" s="245">
        <v>200000</v>
      </c>
      <c r="H223" s="245">
        <v>75000</v>
      </c>
      <c r="I223" s="246">
        <f>H223+G223+F223</f>
        <v>1125000</v>
      </c>
      <c r="J223" s="161">
        <f t="shared" si="49"/>
        <v>4387500</v>
      </c>
      <c r="K223" s="392">
        <f>J223/J286</f>
        <v>6.8293114467560092E-3</v>
      </c>
      <c r="L223" s="367">
        <v>0</v>
      </c>
      <c r="M223" s="392">
        <v>0</v>
      </c>
      <c r="N223" s="392">
        <f t="shared" si="50"/>
        <v>0</v>
      </c>
      <c r="O223" s="392"/>
    </row>
    <row r="224" spans="1:15" ht="15.75" x14ac:dyDescent="0.25">
      <c r="A224" s="374"/>
      <c r="B224" s="240" t="s">
        <v>343</v>
      </c>
      <c r="C224" s="395" t="s">
        <v>344</v>
      </c>
      <c r="D224" s="185" t="s">
        <v>345</v>
      </c>
      <c r="E224" s="242">
        <f>E223*200</f>
        <v>780</v>
      </c>
      <c r="F224" s="245">
        <v>14000</v>
      </c>
      <c r="G224" s="245">
        <v>2500</v>
      </c>
      <c r="H224" s="245">
        <v>1500</v>
      </c>
      <c r="I224" s="246">
        <f>H224+G224+F224</f>
        <v>18000</v>
      </c>
      <c r="J224" s="161">
        <f t="shared" si="49"/>
        <v>14040000</v>
      </c>
      <c r="K224" s="392">
        <f>J224/J286</f>
        <v>2.1853796629619227E-2</v>
      </c>
      <c r="L224" s="367">
        <v>0</v>
      </c>
      <c r="M224" s="392">
        <v>0</v>
      </c>
      <c r="N224" s="392">
        <f t="shared" si="50"/>
        <v>0</v>
      </c>
      <c r="O224" s="392"/>
    </row>
    <row r="225" spans="1:15" ht="30" x14ac:dyDescent="0.25">
      <c r="A225" s="374"/>
      <c r="B225" s="240" t="s">
        <v>346</v>
      </c>
      <c r="C225" s="395" t="s">
        <v>347</v>
      </c>
      <c r="D225" s="185" t="s">
        <v>301</v>
      </c>
      <c r="E225" s="242">
        <f>(0.3+0.3+0.2)*65</f>
        <v>52</v>
      </c>
      <c r="F225" s="245">
        <v>100000</v>
      </c>
      <c r="G225" s="245">
        <v>40000</v>
      </c>
      <c r="H225" s="245">
        <v>10000</v>
      </c>
      <c r="I225" s="246">
        <f>H225+G225+F225</f>
        <v>150000</v>
      </c>
      <c r="J225" s="161">
        <f t="shared" si="49"/>
        <v>7800000</v>
      </c>
      <c r="K225" s="392">
        <f>J225/J286</f>
        <v>1.2140998127566237E-2</v>
      </c>
      <c r="L225" s="367">
        <v>0</v>
      </c>
      <c r="M225" s="392">
        <v>0</v>
      </c>
      <c r="N225" s="392">
        <f t="shared" si="50"/>
        <v>0</v>
      </c>
      <c r="O225" s="392"/>
    </row>
    <row r="226" spans="1:15" ht="16.5" x14ac:dyDescent="0.25">
      <c r="A226" s="374">
        <v>5</v>
      </c>
      <c r="B226" s="410" t="s">
        <v>494</v>
      </c>
      <c r="C226" s="395" t="s">
        <v>495</v>
      </c>
      <c r="D226" s="185" t="s">
        <v>301</v>
      </c>
      <c r="E226" s="242">
        <f>(4+20+4)*3</f>
        <v>84</v>
      </c>
      <c r="F226" s="245">
        <v>85000</v>
      </c>
      <c r="G226" s="245">
        <v>45000</v>
      </c>
      <c r="H226" s="411">
        <v>10000</v>
      </c>
      <c r="I226" s="246">
        <f t="shared" ref="I226:I230" si="51">H226+G226+F226</f>
        <v>140000</v>
      </c>
      <c r="J226" s="161">
        <f t="shared" si="49"/>
        <v>11760000</v>
      </c>
      <c r="K226" s="392">
        <f>J226/J286</f>
        <v>1.8304889484638327E-2</v>
      </c>
      <c r="L226" s="367">
        <v>0.9</v>
      </c>
      <c r="M226" s="392">
        <v>0</v>
      </c>
      <c r="N226" s="392">
        <f t="shared" si="50"/>
        <v>1.6474400536174494E-2</v>
      </c>
      <c r="O226" s="392"/>
    </row>
    <row r="227" spans="1:15" ht="16.5" x14ac:dyDescent="0.25">
      <c r="A227" s="374">
        <v>6</v>
      </c>
      <c r="B227" s="240" t="s">
        <v>496</v>
      </c>
      <c r="C227" s="241" t="s">
        <v>497</v>
      </c>
      <c r="D227" s="185" t="s">
        <v>301</v>
      </c>
      <c r="E227" s="242">
        <f>E226*2</f>
        <v>168</v>
      </c>
      <c r="F227" s="245">
        <v>30000</v>
      </c>
      <c r="G227" s="245">
        <v>45000</v>
      </c>
      <c r="H227" s="411">
        <v>10000</v>
      </c>
      <c r="I227" s="246">
        <f t="shared" si="51"/>
        <v>85000</v>
      </c>
      <c r="J227" s="161">
        <f t="shared" si="49"/>
        <v>14280000</v>
      </c>
      <c r="K227" s="392">
        <f>J227/J286</f>
        <v>2.2227365802775113E-2</v>
      </c>
      <c r="L227" s="367">
        <v>0</v>
      </c>
      <c r="M227" s="392">
        <v>0</v>
      </c>
      <c r="N227" s="392">
        <f t="shared" si="50"/>
        <v>0</v>
      </c>
      <c r="O227" s="392"/>
    </row>
    <row r="228" spans="1:15" ht="16.5" x14ac:dyDescent="0.25">
      <c r="A228" s="374">
        <v>7</v>
      </c>
      <c r="B228" s="240" t="s">
        <v>498</v>
      </c>
      <c r="C228" s="241" t="s">
        <v>498</v>
      </c>
      <c r="D228" s="185" t="s">
        <v>301</v>
      </c>
      <c r="E228" s="242">
        <f>E227</f>
        <v>168</v>
      </c>
      <c r="F228" s="245">
        <v>15000</v>
      </c>
      <c r="G228" s="245">
        <v>20000</v>
      </c>
      <c r="H228" s="411">
        <v>10000</v>
      </c>
      <c r="I228" s="246">
        <f t="shared" si="51"/>
        <v>45000</v>
      </c>
      <c r="J228" s="161">
        <f t="shared" si="49"/>
        <v>7560000</v>
      </c>
      <c r="K228" s="392">
        <f>J228/J286</f>
        <v>1.1767428954410353E-2</v>
      </c>
      <c r="L228" s="367">
        <v>0</v>
      </c>
      <c r="M228" s="392">
        <v>0</v>
      </c>
      <c r="N228" s="392">
        <f t="shared" si="50"/>
        <v>0</v>
      </c>
      <c r="O228" s="392"/>
    </row>
    <row r="229" spans="1:15" ht="30" x14ac:dyDescent="0.25">
      <c r="A229" s="374">
        <v>8</v>
      </c>
      <c r="B229" s="413" t="s">
        <v>562</v>
      </c>
      <c r="C229" s="241" t="s">
        <v>538</v>
      </c>
      <c r="D229" s="185" t="s">
        <v>301</v>
      </c>
      <c r="E229" s="414">
        <f>(4*10)</f>
        <v>40</v>
      </c>
      <c r="F229" s="245">
        <v>195000</v>
      </c>
      <c r="G229" s="245">
        <v>85000</v>
      </c>
      <c r="H229" s="245">
        <v>80000</v>
      </c>
      <c r="I229" s="246">
        <f t="shared" si="51"/>
        <v>360000</v>
      </c>
      <c r="J229" s="161">
        <f t="shared" si="49"/>
        <v>14400000</v>
      </c>
      <c r="K229" s="392">
        <f>J229/J286</f>
        <v>2.2414150389353054E-2</v>
      </c>
      <c r="L229" s="367">
        <v>0</v>
      </c>
      <c r="M229" s="392">
        <v>0</v>
      </c>
      <c r="N229" s="392">
        <f t="shared" si="50"/>
        <v>0</v>
      </c>
      <c r="O229" s="392"/>
    </row>
    <row r="230" spans="1:15" ht="30" x14ac:dyDescent="0.25">
      <c r="A230" s="374">
        <v>9</v>
      </c>
      <c r="B230" s="415" t="s">
        <v>563</v>
      </c>
      <c r="C230" s="241" t="s">
        <v>541</v>
      </c>
      <c r="D230" s="185" t="s">
        <v>178</v>
      </c>
      <c r="E230" s="416">
        <f>(4+12)*2</f>
        <v>32</v>
      </c>
      <c r="F230" s="245">
        <v>65000</v>
      </c>
      <c r="G230" s="245">
        <v>15000</v>
      </c>
      <c r="H230" s="245">
        <v>10000</v>
      </c>
      <c r="I230" s="246">
        <f t="shared" si="51"/>
        <v>90000</v>
      </c>
      <c r="J230" s="161">
        <f t="shared" si="49"/>
        <v>2880000</v>
      </c>
      <c r="K230" s="392">
        <f>J230/J286</f>
        <v>4.4828300778706111E-3</v>
      </c>
      <c r="L230" s="367">
        <v>0</v>
      </c>
      <c r="M230" s="392">
        <v>0</v>
      </c>
      <c r="N230" s="392">
        <f t="shared" si="50"/>
        <v>0</v>
      </c>
      <c r="O230" s="392"/>
    </row>
    <row r="231" spans="1:15" ht="30" x14ac:dyDescent="0.25">
      <c r="A231" s="374">
        <v>10</v>
      </c>
      <c r="B231" s="240" t="s">
        <v>507</v>
      </c>
      <c r="C231" s="395" t="s">
        <v>508</v>
      </c>
      <c r="D231" s="185" t="s">
        <v>301</v>
      </c>
      <c r="E231" s="417">
        <f>(4*15)</f>
        <v>60</v>
      </c>
      <c r="F231" s="245">
        <v>95000</v>
      </c>
      <c r="G231" s="245">
        <v>25000</v>
      </c>
      <c r="H231" s="245">
        <v>1500</v>
      </c>
      <c r="I231" s="246">
        <f>H231+G231+F231</f>
        <v>121500</v>
      </c>
      <c r="J231" s="161">
        <f t="shared" si="49"/>
        <v>7290000</v>
      </c>
      <c r="K231" s="392">
        <f>J231/J286</f>
        <v>1.1347163634609983E-2</v>
      </c>
      <c r="L231" s="367">
        <v>0</v>
      </c>
      <c r="M231" s="392">
        <v>0</v>
      </c>
      <c r="N231" s="392">
        <f t="shared" si="50"/>
        <v>0</v>
      </c>
      <c r="O231" s="392"/>
    </row>
    <row r="232" spans="1:15" ht="15.75" x14ac:dyDescent="0.25">
      <c r="A232" s="374">
        <v>11</v>
      </c>
      <c r="B232" s="240" t="s">
        <v>509</v>
      </c>
      <c r="C232" s="395" t="s">
        <v>359</v>
      </c>
      <c r="D232" s="185" t="s">
        <v>178</v>
      </c>
      <c r="E232" s="416">
        <f>E229</f>
        <v>40</v>
      </c>
      <c r="F232" s="245">
        <v>20000</v>
      </c>
      <c r="G232" s="245">
        <v>5000</v>
      </c>
      <c r="H232" s="245">
        <v>1500</v>
      </c>
      <c r="I232" s="246">
        <f>H232+G232+F232</f>
        <v>26500</v>
      </c>
      <c r="J232" s="161">
        <f t="shared" si="49"/>
        <v>1060000</v>
      </c>
      <c r="K232" s="392">
        <f>J232/J286</f>
        <v>1.6499305147718221E-3</v>
      </c>
      <c r="L232" s="367">
        <v>0</v>
      </c>
      <c r="M232" s="392">
        <v>0</v>
      </c>
      <c r="N232" s="392">
        <f t="shared" si="50"/>
        <v>0</v>
      </c>
      <c r="O232" s="392"/>
    </row>
    <row r="233" spans="1:15" ht="15.75" x14ac:dyDescent="0.25">
      <c r="A233" s="374">
        <v>12</v>
      </c>
      <c r="B233" s="240" t="s">
        <v>266</v>
      </c>
      <c r="C233" s="241" t="s">
        <v>514</v>
      </c>
      <c r="D233" s="185" t="s">
        <v>301</v>
      </c>
      <c r="E233" s="242">
        <f>E228</f>
        <v>168</v>
      </c>
      <c r="F233" s="245">
        <v>45000</v>
      </c>
      <c r="G233" s="245">
        <v>10000</v>
      </c>
      <c r="H233" s="245">
        <v>2500</v>
      </c>
      <c r="I233" s="246">
        <f t="shared" ref="I233:I234" si="52">H233+G233+F233</f>
        <v>57500</v>
      </c>
      <c r="J233" s="161">
        <f t="shared" si="49"/>
        <v>9660000</v>
      </c>
      <c r="K233" s="392">
        <f>J233/J286</f>
        <v>1.503615921952434E-2</v>
      </c>
      <c r="L233" s="367">
        <v>0</v>
      </c>
      <c r="M233" s="392">
        <v>0</v>
      </c>
      <c r="N233" s="392">
        <f t="shared" si="50"/>
        <v>0</v>
      </c>
      <c r="O233" s="392"/>
    </row>
    <row r="234" spans="1:15" ht="15.75" x14ac:dyDescent="0.25">
      <c r="A234" s="374">
        <v>13</v>
      </c>
      <c r="B234" s="240" t="s">
        <v>469</v>
      </c>
      <c r="C234" s="241" t="s">
        <v>512</v>
      </c>
      <c r="D234" s="185" t="s">
        <v>301</v>
      </c>
      <c r="E234" s="242">
        <f>E231</f>
        <v>60</v>
      </c>
      <c r="F234" s="245">
        <v>27500</v>
      </c>
      <c r="G234" s="245">
        <v>15000</v>
      </c>
      <c r="H234" s="245">
        <v>2500</v>
      </c>
      <c r="I234" s="246">
        <f t="shared" si="52"/>
        <v>45000</v>
      </c>
      <c r="J234" s="161">
        <f t="shared" si="49"/>
        <v>2700000</v>
      </c>
      <c r="K234" s="392">
        <f>J234/J286</f>
        <v>4.2026531980036974E-3</v>
      </c>
      <c r="L234" s="367">
        <v>0</v>
      </c>
      <c r="M234" s="392">
        <v>0</v>
      </c>
      <c r="N234" s="392">
        <f t="shared" si="50"/>
        <v>0</v>
      </c>
      <c r="O234" s="392"/>
    </row>
    <row r="235" spans="1:15" ht="15.75" x14ac:dyDescent="0.25">
      <c r="A235" s="374">
        <v>14</v>
      </c>
      <c r="B235" s="244" t="s">
        <v>564</v>
      </c>
      <c r="C235" s="241" t="s">
        <v>558</v>
      </c>
      <c r="D235" s="185" t="s">
        <v>326</v>
      </c>
      <c r="E235" s="242">
        <v>2</v>
      </c>
      <c r="F235" s="245">
        <v>150000</v>
      </c>
      <c r="G235" s="245">
        <v>25000</v>
      </c>
      <c r="H235" s="243"/>
      <c r="I235" s="246">
        <f>H235+G235+F235</f>
        <v>175000</v>
      </c>
      <c r="J235" s="161">
        <f t="shared" si="49"/>
        <v>350000</v>
      </c>
      <c r="K235" s="392">
        <f>J235/J286</f>
        <v>5.4478837751899788E-4</v>
      </c>
      <c r="L235" s="367">
        <v>0</v>
      </c>
      <c r="M235" s="392">
        <v>0</v>
      </c>
      <c r="N235" s="392">
        <f t="shared" si="50"/>
        <v>0</v>
      </c>
      <c r="O235" s="392"/>
    </row>
    <row r="236" spans="1:15" ht="15.75" x14ac:dyDescent="0.25">
      <c r="A236" s="374"/>
      <c r="B236" s="244" t="s">
        <v>373</v>
      </c>
      <c r="C236" s="241" t="s">
        <v>374</v>
      </c>
      <c r="D236" s="185" t="s">
        <v>326</v>
      </c>
      <c r="E236" s="242">
        <v>4</v>
      </c>
      <c r="F236" s="245">
        <v>200000</v>
      </c>
      <c r="G236" s="245">
        <v>25000</v>
      </c>
      <c r="H236" s="243"/>
      <c r="I236" s="246">
        <f>H236+G236+F236</f>
        <v>225000</v>
      </c>
      <c r="J236" s="161">
        <f t="shared" si="49"/>
        <v>900000</v>
      </c>
      <c r="K236" s="392">
        <f>J236/J286</f>
        <v>1.4008843993345659E-3</v>
      </c>
      <c r="L236" s="367">
        <v>0</v>
      </c>
      <c r="M236" s="392">
        <v>0</v>
      </c>
      <c r="N236" s="392">
        <f t="shared" si="50"/>
        <v>0</v>
      </c>
      <c r="O236" s="392"/>
    </row>
    <row r="237" spans="1:15" ht="15.75" x14ac:dyDescent="0.25">
      <c r="A237" s="374">
        <v>15</v>
      </c>
      <c r="B237" s="240" t="s">
        <v>376</v>
      </c>
      <c r="C237" s="241" t="s">
        <v>282</v>
      </c>
      <c r="D237" s="185" t="s">
        <v>326</v>
      </c>
      <c r="E237" s="242">
        <v>4</v>
      </c>
      <c r="F237" s="245">
        <v>300000</v>
      </c>
      <c r="G237" s="245">
        <v>25000</v>
      </c>
      <c r="H237" s="245">
        <v>5000</v>
      </c>
      <c r="I237" s="246">
        <f>H237+G237+F237</f>
        <v>330000</v>
      </c>
      <c r="J237" s="161">
        <f t="shared" si="49"/>
        <v>1320000</v>
      </c>
      <c r="K237" s="392">
        <f>J237/J286</f>
        <v>2.0546304523573634E-3</v>
      </c>
      <c r="L237" s="367">
        <v>0</v>
      </c>
      <c r="M237" s="392">
        <v>0</v>
      </c>
      <c r="N237" s="392">
        <f t="shared" si="50"/>
        <v>0</v>
      </c>
      <c r="O237" s="392"/>
    </row>
    <row r="238" spans="1:15" ht="15.75" x14ac:dyDescent="0.25">
      <c r="A238" s="374">
        <v>16</v>
      </c>
      <c r="B238" s="240" t="s">
        <v>565</v>
      </c>
      <c r="C238" s="241" t="s">
        <v>566</v>
      </c>
      <c r="D238" s="185" t="s">
        <v>212</v>
      </c>
      <c r="E238" s="417">
        <v>1</v>
      </c>
      <c r="F238" s="245">
        <v>20000000</v>
      </c>
      <c r="G238" s="245">
        <v>500000</v>
      </c>
      <c r="H238" s="245">
        <v>1500</v>
      </c>
      <c r="I238" s="246">
        <f>H238+G238+F238</f>
        <v>20501500</v>
      </c>
      <c r="J238" s="161">
        <f t="shared" si="49"/>
        <v>20501500</v>
      </c>
      <c r="K238" s="392">
        <f>J238/J286</f>
        <v>3.1911368347730673E-2</v>
      </c>
      <c r="L238" s="367">
        <v>0</v>
      </c>
      <c r="M238" s="392">
        <v>0</v>
      </c>
      <c r="N238" s="392">
        <f t="shared" si="50"/>
        <v>0</v>
      </c>
      <c r="O238" s="392"/>
    </row>
    <row r="239" spans="1:15" ht="15.75" x14ac:dyDescent="0.25">
      <c r="A239" s="374">
        <v>17</v>
      </c>
      <c r="B239" s="240" t="s">
        <v>567</v>
      </c>
      <c r="C239" s="241" t="s">
        <v>566</v>
      </c>
      <c r="D239" s="185" t="s">
        <v>29</v>
      </c>
      <c r="E239" s="416">
        <v>1</v>
      </c>
      <c r="F239" s="245">
        <v>2000000</v>
      </c>
      <c r="G239" s="245">
        <v>500000</v>
      </c>
      <c r="H239" s="245"/>
      <c r="I239" s="246">
        <f>H239+G239+F239</f>
        <v>2500000</v>
      </c>
      <c r="J239" s="161">
        <f t="shared" si="49"/>
        <v>2500000</v>
      </c>
      <c r="K239" s="392">
        <f>J239/J286</f>
        <v>3.8913455537071275E-3</v>
      </c>
      <c r="L239" s="367">
        <v>0</v>
      </c>
      <c r="M239" s="392">
        <v>0</v>
      </c>
      <c r="N239" s="392">
        <f t="shared" si="50"/>
        <v>0</v>
      </c>
      <c r="O239" s="392"/>
    </row>
    <row r="240" spans="1:15" ht="15.75" x14ac:dyDescent="0.25">
      <c r="A240" s="374">
        <v>19</v>
      </c>
      <c r="B240" s="240" t="s">
        <v>568</v>
      </c>
      <c r="C240" s="241" t="s">
        <v>566</v>
      </c>
      <c r="D240" s="185" t="s">
        <v>218</v>
      </c>
      <c r="E240" s="416">
        <v>1</v>
      </c>
      <c r="F240" s="245">
        <v>6500000</v>
      </c>
      <c r="G240" s="245">
        <v>250000</v>
      </c>
      <c r="H240" s="245"/>
      <c r="I240" s="246">
        <f t="shared" ref="I240:I241" si="53">H240+G240+F240</f>
        <v>6750000</v>
      </c>
      <c r="J240" s="161">
        <f t="shared" si="49"/>
        <v>6750000</v>
      </c>
      <c r="K240" s="392">
        <f>J240/J286</f>
        <v>1.0506632995009244E-2</v>
      </c>
      <c r="L240" s="367">
        <v>0</v>
      </c>
      <c r="M240" s="392">
        <v>0</v>
      </c>
      <c r="N240" s="392">
        <f t="shared" si="50"/>
        <v>0</v>
      </c>
      <c r="O240" s="392"/>
    </row>
    <row r="241" spans="1:15" ht="15.75" x14ac:dyDescent="0.25">
      <c r="A241" s="374">
        <v>20</v>
      </c>
      <c r="B241" s="240" t="s">
        <v>569</v>
      </c>
      <c r="C241" s="241" t="s">
        <v>566</v>
      </c>
      <c r="D241" s="185" t="s">
        <v>218</v>
      </c>
      <c r="E241" s="417">
        <v>1</v>
      </c>
      <c r="F241" s="245">
        <v>5500000</v>
      </c>
      <c r="G241" s="245">
        <v>500000</v>
      </c>
      <c r="H241" s="245"/>
      <c r="I241" s="246">
        <f t="shared" si="53"/>
        <v>6000000</v>
      </c>
      <c r="J241" s="161">
        <f t="shared" si="49"/>
        <v>6000000</v>
      </c>
      <c r="K241" s="392">
        <f>J241/J286</f>
        <v>9.3392293288971067E-3</v>
      </c>
      <c r="L241" s="367">
        <v>0</v>
      </c>
      <c r="M241" s="392">
        <v>0</v>
      </c>
      <c r="N241" s="392">
        <f t="shared" si="50"/>
        <v>0</v>
      </c>
      <c r="O241" s="392"/>
    </row>
    <row r="242" spans="1:15" ht="30" x14ac:dyDescent="0.25">
      <c r="A242" s="374"/>
      <c r="B242" s="244"/>
      <c r="C242" s="241"/>
      <c r="D242" s="185"/>
      <c r="E242" s="242"/>
      <c r="F242" s="245"/>
      <c r="G242" s="243"/>
      <c r="H242" s="243"/>
      <c r="I242" s="376" t="s">
        <v>409</v>
      </c>
      <c r="J242" s="273">
        <f>SUM(J215:J241)</f>
        <v>184670000</v>
      </c>
      <c r="K242" s="377">
        <f>SUM(K215:K241)</f>
        <v>0.28744591336123815</v>
      </c>
      <c r="L242" s="367"/>
      <c r="M242" s="378">
        <f>SUM(M215:M241)</f>
        <v>0</v>
      </c>
      <c r="N242" s="378">
        <f>SUM(N215:N241)</f>
        <v>3.8930577457507581E-2</v>
      </c>
      <c r="O242" s="379"/>
    </row>
    <row r="243" spans="1:15" ht="15.75" x14ac:dyDescent="0.25">
      <c r="A243" s="374"/>
      <c r="B243" s="476"/>
      <c r="C243" s="448"/>
      <c r="D243" s="449"/>
      <c r="E243" s="450"/>
      <c r="F243" s="450"/>
      <c r="G243" s="450"/>
      <c r="H243" s="450"/>
      <c r="I243" s="451"/>
      <c r="J243" s="273"/>
      <c r="K243" s="392"/>
      <c r="L243" s="367"/>
      <c r="M243" s="392"/>
      <c r="N243" s="392"/>
      <c r="O243" s="389"/>
    </row>
    <row r="244" spans="1:15" ht="15.75" x14ac:dyDescent="0.25">
      <c r="A244" s="380" t="s">
        <v>570</v>
      </c>
      <c r="B244" s="477" t="s">
        <v>571</v>
      </c>
      <c r="C244" s="381" t="s">
        <v>282</v>
      </c>
      <c r="D244" s="185" t="s">
        <v>290</v>
      </c>
      <c r="E244" s="242" t="s">
        <v>282</v>
      </c>
      <c r="F244" s="382"/>
      <c r="G244" s="382"/>
      <c r="H244" s="382"/>
      <c r="I244" s="382"/>
      <c r="J244" s="383"/>
      <c r="K244" s="392"/>
      <c r="L244" s="367"/>
      <c r="M244" s="392"/>
      <c r="N244" s="392"/>
      <c r="O244" s="389"/>
    </row>
    <row r="245" spans="1:15" ht="15.75" x14ac:dyDescent="0.25">
      <c r="A245" s="374">
        <v>1</v>
      </c>
      <c r="B245" s="240" t="s">
        <v>572</v>
      </c>
      <c r="C245" s="241" t="s">
        <v>282</v>
      </c>
      <c r="D245" s="185" t="s">
        <v>290</v>
      </c>
      <c r="E245" s="242" t="s">
        <v>282</v>
      </c>
      <c r="F245" s="243"/>
      <c r="G245" s="243"/>
      <c r="H245" s="243"/>
      <c r="I245" s="243"/>
      <c r="J245" s="161"/>
      <c r="K245" s="392"/>
      <c r="L245" s="367"/>
      <c r="M245" s="392"/>
      <c r="N245" s="392"/>
      <c r="O245" s="389"/>
    </row>
    <row r="246" spans="1:15" ht="15.75" x14ac:dyDescent="0.25">
      <c r="A246" s="374"/>
      <c r="B246" s="240" t="s">
        <v>341</v>
      </c>
      <c r="C246" s="395" t="s">
        <v>492</v>
      </c>
      <c r="D246" s="185" t="s">
        <v>337</v>
      </c>
      <c r="E246" s="242">
        <f>(0.15*0.25)*3.5*6+(0.15*0.15*1.5*8)</f>
        <v>1.0575000000000001</v>
      </c>
      <c r="F246" s="245">
        <v>850000</v>
      </c>
      <c r="G246" s="245">
        <v>200000</v>
      </c>
      <c r="H246" s="245">
        <v>75000</v>
      </c>
      <c r="I246" s="246">
        <f>H246+G246+F246</f>
        <v>1125000</v>
      </c>
      <c r="J246" s="161">
        <f t="shared" ref="J246:J283" si="54">E246*I246</f>
        <v>1189687.5000000002</v>
      </c>
      <c r="K246" s="392">
        <f>J246/J286</f>
        <v>1.8517940653703796E-3</v>
      </c>
      <c r="L246" s="367">
        <v>0</v>
      </c>
      <c r="M246" s="392">
        <v>0</v>
      </c>
      <c r="N246" s="392">
        <f t="shared" si="50"/>
        <v>0</v>
      </c>
      <c r="O246" s="392"/>
    </row>
    <row r="247" spans="1:15" ht="15.75" x14ac:dyDescent="0.25">
      <c r="A247" s="374"/>
      <c r="B247" s="240" t="s">
        <v>343</v>
      </c>
      <c r="C247" s="395" t="s">
        <v>344</v>
      </c>
      <c r="D247" s="185" t="s">
        <v>345</v>
      </c>
      <c r="E247" s="242">
        <f>E246*200</f>
        <v>211.50000000000003</v>
      </c>
      <c r="F247" s="245">
        <v>14000</v>
      </c>
      <c r="G247" s="245">
        <v>2500</v>
      </c>
      <c r="H247" s="245">
        <v>1500</v>
      </c>
      <c r="I247" s="246">
        <f>H247+G247+F247</f>
        <v>18000</v>
      </c>
      <c r="J247" s="161">
        <f t="shared" si="54"/>
        <v>3807000.0000000005</v>
      </c>
      <c r="K247" s="392">
        <f>J247/J286</f>
        <v>5.9257410091852142E-3</v>
      </c>
      <c r="L247" s="367">
        <v>0</v>
      </c>
      <c r="M247" s="392">
        <v>0</v>
      </c>
      <c r="N247" s="392">
        <f t="shared" si="50"/>
        <v>0</v>
      </c>
      <c r="O247" s="392"/>
    </row>
    <row r="248" spans="1:15" ht="30" x14ac:dyDescent="0.25">
      <c r="A248" s="374"/>
      <c r="B248" s="240" t="s">
        <v>346</v>
      </c>
      <c r="C248" s="395" t="s">
        <v>347</v>
      </c>
      <c r="D248" s="185" t="s">
        <v>301</v>
      </c>
      <c r="E248" s="242">
        <f>(0.15+0.25)*2*4*4</f>
        <v>12.8</v>
      </c>
      <c r="F248" s="245">
        <v>100000</v>
      </c>
      <c r="G248" s="245">
        <v>40000</v>
      </c>
      <c r="H248" s="245">
        <v>10000</v>
      </c>
      <c r="I248" s="246">
        <f>H248+G248+F248</f>
        <v>150000</v>
      </c>
      <c r="J248" s="161">
        <f t="shared" si="54"/>
        <v>1920000</v>
      </c>
      <c r="K248" s="392">
        <f>J248/J286</f>
        <v>2.988553385247074E-3</v>
      </c>
      <c r="L248" s="367">
        <v>0</v>
      </c>
      <c r="M248" s="392">
        <v>0</v>
      </c>
      <c r="N248" s="392">
        <f t="shared" si="50"/>
        <v>0</v>
      </c>
      <c r="O248" s="392"/>
    </row>
    <row r="249" spans="1:15" ht="15.75" x14ac:dyDescent="0.25">
      <c r="A249" s="374">
        <v>2</v>
      </c>
      <c r="B249" s="240" t="s">
        <v>573</v>
      </c>
      <c r="C249" s="241" t="s">
        <v>282</v>
      </c>
      <c r="D249" s="185"/>
      <c r="E249" s="242"/>
      <c r="F249" s="405"/>
      <c r="G249" s="243"/>
      <c r="H249" s="243"/>
      <c r="I249" s="406"/>
      <c r="J249" s="161"/>
      <c r="K249" s="392"/>
      <c r="L249" s="367"/>
      <c r="M249" s="392"/>
      <c r="N249" s="392"/>
      <c r="O249" s="389"/>
    </row>
    <row r="250" spans="1:15" ht="15.75" x14ac:dyDescent="0.25">
      <c r="A250" s="374"/>
      <c r="B250" s="240" t="s">
        <v>341</v>
      </c>
      <c r="C250" s="395" t="s">
        <v>492</v>
      </c>
      <c r="D250" s="185" t="s">
        <v>337</v>
      </c>
      <c r="E250" s="242">
        <f>0.15*0.2*16</f>
        <v>0.48</v>
      </c>
      <c r="F250" s="245">
        <v>850000</v>
      </c>
      <c r="G250" s="245">
        <v>200000</v>
      </c>
      <c r="H250" s="245">
        <v>75000</v>
      </c>
      <c r="I250" s="246">
        <f>H250+G250+F250</f>
        <v>1125000</v>
      </c>
      <c r="J250" s="161">
        <f t="shared" si="54"/>
        <v>540000</v>
      </c>
      <c r="K250" s="392">
        <f>J250/J286</f>
        <v>8.4053063960073959E-4</v>
      </c>
      <c r="L250" s="367">
        <v>0</v>
      </c>
      <c r="M250" s="392">
        <v>0</v>
      </c>
      <c r="N250" s="392">
        <f t="shared" si="50"/>
        <v>0</v>
      </c>
      <c r="O250" s="392"/>
    </row>
    <row r="251" spans="1:15" ht="15.75" x14ac:dyDescent="0.25">
      <c r="A251" s="374"/>
      <c r="B251" s="240" t="s">
        <v>343</v>
      </c>
      <c r="C251" s="395" t="s">
        <v>344</v>
      </c>
      <c r="D251" s="185" t="s">
        <v>345</v>
      </c>
      <c r="E251" s="242">
        <f>E250*200</f>
        <v>96</v>
      </c>
      <c r="F251" s="245">
        <v>14000</v>
      </c>
      <c r="G251" s="245">
        <v>2500</v>
      </c>
      <c r="H251" s="245">
        <v>1500</v>
      </c>
      <c r="I251" s="246">
        <f>H251+G251+F251</f>
        <v>18000</v>
      </c>
      <c r="J251" s="161">
        <f t="shared" si="54"/>
        <v>1728000</v>
      </c>
      <c r="K251" s="392">
        <f>J251/J286</f>
        <v>2.6896980467223663E-3</v>
      </c>
      <c r="L251" s="367">
        <v>0</v>
      </c>
      <c r="M251" s="392">
        <v>0</v>
      </c>
      <c r="N251" s="392">
        <f t="shared" si="50"/>
        <v>0</v>
      </c>
      <c r="O251" s="392"/>
    </row>
    <row r="252" spans="1:15" ht="30" x14ac:dyDescent="0.25">
      <c r="A252" s="374"/>
      <c r="B252" s="272" t="s">
        <v>346</v>
      </c>
      <c r="C252" s="395" t="s">
        <v>347</v>
      </c>
      <c r="D252" s="185" t="s">
        <v>301</v>
      </c>
      <c r="E252" s="242">
        <f>(0.4+0.15+0.4)*16</f>
        <v>15.200000000000001</v>
      </c>
      <c r="F252" s="245">
        <v>100000</v>
      </c>
      <c r="G252" s="245">
        <v>40000</v>
      </c>
      <c r="H252" s="245">
        <v>10000</v>
      </c>
      <c r="I252" s="246">
        <f>H252+G252+F252</f>
        <v>150000</v>
      </c>
      <c r="J252" s="161">
        <f t="shared" si="54"/>
        <v>2280000</v>
      </c>
      <c r="K252" s="392">
        <f>J252/J286</f>
        <v>3.5489071449809001E-3</v>
      </c>
      <c r="L252" s="367">
        <v>0</v>
      </c>
      <c r="M252" s="392">
        <v>0</v>
      </c>
      <c r="N252" s="392">
        <f t="shared" si="50"/>
        <v>0</v>
      </c>
      <c r="O252" s="392"/>
    </row>
    <row r="253" spans="1:15" ht="15.75" x14ac:dyDescent="0.25">
      <c r="A253" s="374">
        <v>3</v>
      </c>
      <c r="B253" s="240" t="s">
        <v>574</v>
      </c>
      <c r="C253" s="241" t="s">
        <v>282</v>
      </c>
      <c r="D253" s="185"/>
      <c r="E253" s="242"/>
      <c r="F253" s="405"/>
      <c r="G253" s="243"/>
      <c r="H253" s="243"/>
      <c r="I253" s="243"/>
      <c r="J253" s="161"/>
      <c r="K253" s="392"/>
      <c r="L253" s="367"/>
      <c r="M253" s="392"/>
      <c r="N253" s="392"/>
      <c r="O253" s="389"/>
    </row>
    <row r="254" spans="1:15" ht="15.75" x14ac:dyDescent="0.25">
      <c r="A254" s="374"/>
      <c r="B254" s="240" t="s">
        <v>341</v>
      </c>
      <c r="C254" s="395" t="s">
        <v>492</v>
      </c>
      <c r="D254" s="185" t="s">
        <v>337</v>
      </c>
      <c r="E254" s="242">
        <f>(3*4*0.12)</f>
        <v>1.44</v>
      </c>
      <c r="F254" s="245">
        <v>850000</v>
      </c>
      <c r="G254" s="245">
        <v>200000</v>
      </c>
      <c r="H254" s="245">
        <v>75000</v>
      </c>
      <c r="I254" s="246">
        <f>H254+G254+F254</f>
        <v>1125000</v>
      </c>
      <c r="J254" s="161">
        <f t="shared" si="54"/>
        <v>1620000</v>
      </c>
      <c r="K254" s="392">
        <f>J254/J286</f>
        <v>2.5215919188022184E-3</v>
      </c>
      <c r="L254" s="367">
        <v>0</v>
      </c>
      <c r="M254" s="392">
        <v>0</v>
      </c>
      <c r="N254" s="392">
        <f t="shared" si="50"/>
        <v>0</v>
      </c>
      <c r="O254" s="392"/>
    </row>
    <row r="255" spans="1:15" ht="15.75" x14ac:dyDescent="0.25">
      <c r="A255" s="374"/>
      <c r="B255" s="240" t="s">
        <v>343</v>
      </c>
      <c r="C255" s="395" t="s">
        <v>344</v>
      </c>
      <c r="D255" s="185" t="s">
        <v>345</v>
      </c>
      <c r="E255" s="242">
        <f>E254*150</f>
        <v>216</v>
      </c>
      <c r="F255" s="245">
        <v>14000</v>
      </c>
      <c r="G255" s="245">
        <v>2500</v>
      </c>
      <c r="H255" s="245">
        <v>1500</v>
      </c>
      <c r="I255" s="246">
        <f>H255+G255+F255</f>
        <v>18000</v>
      </c>
      <c r="J255" s="161">
        <f t="shared" si="54"/>
        <v>3888000</v>
      </c>
      <c r="K255" s="392">
        <f>J255/J286</f>
        <v>6.0518206051253243E-3</v>
      </c>
      <c r="L255" s="367">
        <v>0</v>
      </c>
      <c r="M255" s="392">
        <v>0</v>
      </c>
      <c r="N255" s="392">
        <f t="shared" si="50"/>
        <v>0</v>
      </c>
      <c r="O255" s="392"/>
    </row>
    <row r="256" spans="1:15" ht="30" x14ac:dyDescent="0.25">
      <c r="A256" s="374"/>
      <c r="B256" s="240" t="s">
        <v>346</v>
      </c>
      <c r="C256" s="395" t="s">
        <v>347</v>
      </c>
      <c r="D256" s="185" t="s">
        <v>301</v>
      </c>
      <c r="E256" s="242">
        <f>3*4</f>
        <v>12</v>
      </c>
      <c r="F256" s="245">
        <v>100000</v>
      </c>
      <c r="G256" s="245">
        <v>40000</v>
      </c>
      <c r="H256" s="245">
        <v>10000</v>
      </c>
      <c r="I256" s="246">
        <f>H256+G256+F256</f>
        <v>150000</v>
      </c>
      <c r="J256" s="161">
        <f t="shared" si="54"/>
        <v>1800000</v>
      </c>
      <c r="K256" s="392">
        <f>J256/J286</f>
        <v>2.8017687986691318E-3</v>
      </c>
      <c r="L256" s="367">
        <v>0</v>
      </c>
      <c r="M256" s="392">
        <v>0</v>
      </c>
      <c r="N256" s="392">
        <f t="shared" si="50"/>
        <v>0</v>
      </c>
      <c r="O256" s="392"/>
    </row>
    <row r="257" spans="1:15" ht="15.75" x14ac:dyDescent="0.25">
      <c r="A257" s="374">
        <v>5</v>
      </c>
      <c r="B257" s="240" t="s">
        <v>575</v>
      </c>
      <c r="C257" s="395"/>
      <c r="D257" s="185"/>
      <c r="E257" s="242"/>
      <c r="F257" s="245"/>
      <c r="G257" s="245"/>
      <c r="H257" s="245"/>
      <c r="I257" s="246"/>
      <c r="J257" s="161"/>
      <c r="K257" s="392"/>
      <c r="L257" s="367"/>
      <c r="M257" s="392"/>
      <c r="N257" s="392"/>
      <c r="O257" s="389"/>
    </row>
    <row r="258" spans="1:15" ht="15.75" x14ac:dyDescent="0.25">
      <c r="A258" s="374"/>
      <c r="B258" s="240" t="s">
        <v>576</v>
      </c>
      <c r="C258" s="395"/>
      <c r="D258" s="185" t="s">
        <v>301</v>
      </c>
      <c r="E258" s="242">
        <f>6*4</f>
        <v>24</v>
      </c>
      <c r="F258" s="245">
        <v>100000</v>
      </c>
      <c r="G258" s="245">
        <v>75000</v>
      </c>
      <c r="H258" s="245">
        <v>10000</v>
      </c>
      <c r="I258" s="246">
        <f>H258+G258+F258</f>
        <v>185000</v>
      </c>
      <c r="J258" s="161">
        <f t="shared" si="54"/>
        <v>4440000</v>
      </c>
      <c r="K258" s="392">
        <f>J258/J286</f>
        <v>6.9110297033838581E-3</v>
      </c>
      <c r="L258" s="367">
        <v>0</v>
      </c>
      <c r="M258" s="392">
        <v>0</v>
      </c>
      <c r="N258" s="392">
        <f t="shared" si="50"/>
        <v>0</v>
      </c>
      <c r="O258" s="392"/>
    </row>
    <row r="259" spans="1:15" ht="15.75" x14ac:dyDescent="0.25">
      <c r="A259" s="374"/>
      <c r="B259" s="240" t="s">
        <v>577</v>
      </c>
      <c r="C259" s="395"/>
      <c r="D259" s="185" t="s">
        <v>301</v>
      </c>
      <c r="E259" s="242">
        <f>6*4</f>
        <v>24</v>
      </c>
      <c r="F259" s="245">
        <v>25000</v>
      </c>
      <c r="G259" s="245">
        <v>5000</v>
      </c>
      <c r="H259" s="245"/>
      <c r="I259" s="246">
        <f>H259+G259+F259</f>
        <v>30000</v>
      </c>
      <c r="J259" s="161">
        <f t="shared" si="54"/>
        <v>720000</v>
      </c>
      <c r="K259" s="392">
        <f>J259/J286</f>
        <v>1.1207075194676528E-3</v>
      </c>
      <c r="L259" s="367">
        <v>0</v>
      </c>
      <c r="M259" s="392">
        <v>0</v>
      </c>
      <c r="N259" s="392">
        <f t="shared" si="50"/>
        <v>0</v>
      </c>
      <c r="O259" s="392"/>
    </row>
    <row r="260" spans="1:15" ht="15.75" x14ac:dyDescent="0.25">
      <c r="A260" s="374"/>
      <c r="B260" s="240" t="s">
        <v>578</v>
      </c>
      <c r="C260" s="395" t="s">
        <v>579</v>
      </c>
      <c r="D260" s="185" t="s">
        <v>301</v>
      </c>
      <c r="E260" s="242">
        <f>6*4</f>
        <v>24</v>
      </c>
      <c r="F260" s="245"/>
      <c r="G260" s="245">
        <v>75000</v>
      </c>
      <c r="H260" s="245">
        <v>10000</v>
      </c>
      <c r="I260" s="246">
        <f>H260+G260+F260</f>
        <v>85000</v>
      </c>
      <c r="J260" s="161">
        <f t="shared" si="54"/>
        <v>2040000</v>
      </c>
      <c r="K260" s="392">
        <f>J260/J286</f>
        <v>3.1753379718250162E-3</v>
      </c>
      <c r="L260" s="367">
        <v>0</v>
      </c>
      <c r="M260" s="392">
        <v>0</v>
      </c>
      <c r="N260" s="392">
        <f t="shared" si="50"/>
        <v>0</v>
      </c>
      <c r="O260" s="392"/>
    </row>
    <row r="261" spans="1:15" ht="15.75" x14ac:dyDescent="0.25">
      <c r="A261" s="374"/>
      <c r="B261" s="240" t="s">
        <v>580</v>
      </c>
      <c r="C261" s="395" t="s">
        <v>581</v>
      </c>
      <c r="D261" s="185" t="s">
        <v>301</v>
      </c>
      <c r="E261" s="242">
        <f>6*4</f>
        <v>24</v>
      </c>
      <c r="F261" s="245"/>
      <c r="G261" s="245">
        <v>40000</v>
      </c>
      <c r="H261" s="245">
        <v>10000</v>
      </c>
      <c r="I261" s="246">
        <f>H261+G261+F261</f>
        <v>50000</v>
      </c>
      <c r="J261" s="161">
        <f t="shared" si="54"/>
        <v>1200000</v>
      </c>
      <c r="K261" s="392">
        <f>J261/J286</f>
        <v>1.8678458657794212E-3</v>
      </c>
      <c r="L261" s="367">
        <v>0</v>
      </c>
      <c r="M261" s="392">
        <v>0</v>
      </c>
      <c r="N261" s="392">
        <f t="shared" si="50"/>
        <v>0</v>
      </c>
      <c r="O261" s="392"/>
    </row>
    <row r="262" spans="1:15" ht="15.75" x14ac:dyDescent="0.25">
      <c r="A262" s="374">
        <v>6</v>
      </c>
      <c r="B262" s="240" t="s">
        <v>582</v>
      </c>
      <c r="C262" s="241" t="s">
        <v>282</v>
      </c>
      <c r="D262" s="185" t="s">
        <v>301</v>
      </c>
      <c r="E262" s="242">
        <f>14*4</f>
        <v>56</v>
      </c>
      <c r="F262" s="245">
        <v>75000</v>
      </c>
      <c r="G262" s="243"/>
      <c r="H262" s="245">
        <v>15000</v>
      </c>
      <c r="I262" s="246">
        <f t="shared" ref="I262:I275" si="55">H262+G262+F262</f>
        <v>90000</v>
      </c>
      <c r="J262" s="161">
        <f t="shared" si="54"/>
        <v>5040000</v>
      </c>
      <c r="K262" s="392">
        <f>J262/J286</f>
        <v>7.8449526362735691E-3</v>
      </c>
      <c r="L262" s="367">
        <v>0</v>
      </c>
      <c r="M262" s="392">
        <v>0</v>
      </c>
      <c r="N262" s="392">
        <f t="shared" si="50"/>
        <v>0</v>
      </c>
      <c r="O262" s="392"/>
    </row>
    <row r="263" spans="1:15" ht="15.75" x14ac:dyDescent="0.25">
      <c r="A263" s="374">
        <v>7</v>
      </c>
      <c r="B263" s="240" t="s">
        <v>583</v>
      </c>
      <c r="C263" s="241" t="s">
        <v>282</v>
      </c>
      <c r="D263" s="185" t="s">
        <v>301</v>
      </c>
      <c r="E263" s="242">
        <f>4*4</f>
        <v>16</v>
      </c>
      <c r="F263" s="245">
        <v>120000</v>
      </c>
      <c r="G263" s="245">
        <v>40000</v>
      </c>
      <c r="H263" s="243"/>
      <c r="I263" s="246">
        <f t="shared" si="55"/>
        <v>160000</v>
      </c>
      <c r="J263" s="161">
        <f t="shared" si="54"/>
        <v>2560000</v>
      </c>
      <c r="K263" s="392">
        <f>J263/J286</f>
        <v>3.9847378469960986E-3</v>
      </c>
      <c r="L263" s="367">
        <v>0</v>
      </c>
      <c r="M263" s="392">
        <v>0</v>
      </c>
      <c r="N263" s="392">
        <f t="shared" si="50"/>
        <v>0</v>
      </c>
      <c r="O263" s="392"/>
    </row>
    <row r="264" spans="1:15" ht="16.5" x14ac:dyDescent="0.25">
      <c r="A264" s="374">
        <v>8</v>
      </c>
      <c r="B264" s="240" t="s">
        <v>584</v>
      </c>
      <c r="C264" s="478" t="s">
        <v>585</v>
      </c>
      <c r="D264" s="479" t="s">
        <v>301</v>
      </c>
      <c r="E264" s="480">
        <f>(4+20+4)*3 +(4*3*1.5)</f>
        <v>102</v>
      </c>
      <c r="F264" s="245">
        <v>85000</v>
      </c>
      <c r="G264" s="245">
        <v>45000</v>
      </c>
      <c r="H264" s="411">
        <v>10000</v>
      </c>
      <c r="I264" s="481">
        <f t="shared" si="55"/>
        <v>140000</v>
      </c>
      <c r="J264" s="161">
        <f t="shared" si="54"/>
        <v>14280000</v>
      </c>
      <c r="K264" s="392">
        <f>J264/J286</f>
        <v>2.2227365802775113E-2</v>
      </c>
      <c r="L264" s="367">
        <v>0</v>
      </c>
      <c r="M264" s="392">
        <v>0</v>
      </c>
      <c r="N264" s="392">
        <f t="shared" si="50"/>
        <v>0</v>
      </c>
      <c r="O264" s="392"/>
    </row>
    <row r="265" spans="1:15" ht="16.5" x14ac:dyDescent="0.25">
      <c r="A265" s="374">
        <v>9</v>
      </c>
      <c r="B265" s="240" t="s">
        <v>496</v>
      </c>
      <c r="C265" s="241" t="s">
        <v>497</v>
      </c>
      <c r="D265" s="185" t="s">
        <v>301</v>
      </c>
      <c r="E265" s="242">
        <f>E264*2</f>
        <v>204</v>
      </c>
      <c r="F265" s="245">
        <v>30000</v>
      </c>
      <c r="G265" s="245">
        <v>45000</v>
      </c>
      <c r="H265" s="411">
        <v>10000</v>
      </c>
      <c r="I265" s="246">
        <f t="shared" si="55"/>
        <v>85000</v>
      </c>
      <c r="J265" s="161">
        <f t="shared" si="54"/>
        <v>17340000</v>
      </c>
      <c r="K265" s="392">
        <f>J265/J286</f>
        <v>2.6990372760512638E-2</v>
      </c>
      <c r="L265" s="367">
        <v>0</v>
      </c>
      <c r="M265" s="392">
        <v>0</v>
      </c>
      <c r="N265" s="392">
        <f t="shared" si="50"/>
        <v>0</v>
      </c>
      <c r="O265" s="392"/>
    </row>
    <row r="266" spans="1:15" ht="16.5" x14ac:dyDescent="0.25">
      <c r="A266" s="374">
        <v>10</v>
      </c>
      <c r="B266" s="240" t="s">
        <v>498</v>
      </c>
      <c r="C266" s="241" t="s">
        <v>498</v>
      </c>
      <c r="D266" s="185" t="s">
        <v>301</v>
      </c>
      <c r="E266" s="242">
        <f>E265</f>
        <v>204</v>
      </c>
      <c r="F266" s="245">
        <v>15000</v>
      </c>
      <c r="G266" s="245">
        <v>20000</v>
      </c>
      <c r="H266" s="411">
        <v>10000</v>
      </c>
      <c r="I266" s="246">
        <f t="shared" si="55"/>
        <v>45000</v>
      </c>
      <c r="J266" s="161">
        <f t="shared" si="54"/>
        <v>9180000</v>
      </c>
      <c r="K266" s="392">
        <f>J266/J286</f>
        <v>1.4289020873212573E-2</v>
      </c>
      <c r="L266" s="367">
        <v>0</v>
      </c>
      <c r="M266" s="392">
        <v>0</v>
      </c>
      <c r="N266" s="392">
        <f t="shared" si="50"/>
        <v>0</v>
      </c>
      <c r="O266" s="392"/>
    </row>
    <row r="267" spans="1:15" ht="30" x14ac:dyDescent="0.25">
      <c r="A267" s="374">
        <v>11</v>
      </c>
      <c r="B267" s="272" t="s">
        <v>354</v>
      </c>
      <c r="C267" s="248" t="s">
        <v>586</v>
      </c>
      <c r="D267" s="482" t="s">
        <v>301</v>
      </c>
      <c r="E267" s="483">
        <f>10*4</f>
        <v>40</v>
      </c>
      <c r="F267" s="245">
        <v>95000</v>
      </c>
      <c r="G267" s="245">
        <v>25000</v>
      </c>
      <c r="H267" s="245">
        <v>1500</v>
      </c>
      <c r="I267" s="484">
        <f t="shared" si="55"/>
        <v>121500</v>
      </c>
      <c r="J267" s="161">
        <f t="shared" si="54"/>
        <v>4860000</v>
      </c>
      <c r="K267" s="392">
        <f>J267/J286</f>
        <v>7.5647757564066562E-3</v>
      </c>
      <c r="L267" s="367">
        <v>0</v>
      </c>
      <c r="M267" s="392">
        <v>0</v>
      </c>
      <c r="N267" s="392">
        <f t="shared" si="50"/>
        <v>0</v>
      </c>
      <c r="O267" s="392"/>
    </row>
    <row r="268" spans="1:15" ht="15.75" x14ac:dyDescent="0.25">
      <c r="A268" s="374">
        <v>12</v>
      </c>
      <c r="B268" s="240" t="s">
        <v>246</v>
      </c>
      <c r="C268" s="241" t="s">
        <v>359</v>
      </c>
      <c r="D268" s="185" t="s">
        <v>178</v>
      </c>
      <c r="E268" s="242">
        <v>36</v>
      </c>
      <c r="F268" s="245">
        <v>22500</v>
      </c>
      <c r="G268" s="243"/>
      <c r="H268" s="243"/>
      <c r="I268" s="246">
        <f t="shared" si="55"/>
        <v>22500</v>
      </c>
      <c r="J268" s="161">
        <f t="shared" si="54"/>
        <v>810000</v>
      </c>
      <c r="K268" s="392">
        <f>J268/J286</f>
        <v>1.2607959594011092E-3</v>
      </c>
      <c r="L268" s="367">
        <v>0</v>
      </c>
      <c r="M268" s="392">
        <v>0</v>
      </c>
      <c r="N268" s="392">
        <f t="shared" si="50"/>
        <v>0</v>
      </c>
      <c r="O268" s="392"/>
    </row>
    <row r="269" spans="1:15" ht="30" x14ac:dyDescent="0.25">
      <c r="A269" s="374">
        <v>13</v>
      </c>
      <c r="B269" s="413" t="s">
        <v>587</v>
      </c>
      <c r="C269" s="241" t="s">
        <v>538</v>
      </c>
      <c r="D269" s="185" t="s">
        <v>301</v>
      </c>
      <c r="E269" s="414">
        <f>10*4</f>
        <v>40</v>
      </c>
      <c r="F269" s="245">
        <v>195000</v>
      </c>
      <c r="G269" s="245">
        <v>85000</v>
      </c>
      <c r="H269" s="245">
        <v>80000</v>
      </c>
      <c r="I269" s="246">
        <f t="shared" si="55"/>
        <v>360000</v>
      </c>
      <c r="J269" s="161">
        <f t="shared" si="54"/>
        <v>14400000</v>
      </c>
      <c r="K269" s="392">
        <f>J269/J286</f>
        <v>2.2414150389353054E-2</v>
      </c>
      <c r="L269" s="367">
        <v>0</v>
      </c>
      <c r="M269" s="392">
        <v>0</v>
      </c>
      <c r="N269" s="392">
        <f t="shared" si="50"/>
        <v>0</v>
      </c>
      <c r="O269" s="392"/>
    </row>
    <row r="270" spans="1:15" ht="30" x14ac:dyDescent="0.25">
      <c r="A270" s="374">
        <v>14</v>
      </c>
      <c r="B270" s="415" t="s">
        <v>588</v>
      </c>
      <c r="C270" s="241" t="s">
        <v>541</v>
      </c>
      <c r="D270" s="185" t="s">
        <v>301</v>
      </c>
      <c r="E270" s="416">
        <f>(4+10)*2</f>
        <v>28</v>
      </c>
      <c r="F270" s="245">
        <v>65000</v>
      </c>
      <c r="G270" s="245">
        <v>15000</v>
      </c>
      <c r="H270" s="245">
        <v>10000</v>
      </c>
      <c r="I270" s="246">
        <f t="shared" si="55"/>
        <v>90000</v>
      </c>
      <c r="J270" s="161">
        <f t="shared" si="54"/>
        <v>2520000</v>
      </c>
      <c r="K270" s="392">
        <f>J270/J286</f>
        <v>3.9224763181367845E-3</v>
      </c>
      <c r="L270" s="367">
        <v>0</v>
      </c>
      <c r="M270" s="392">
        <v>0</v>
      </c>
      <c r="N270" s="392">
        <f t="shared" si="50"/>
        <v>0</v>
      </c>
      <c r="O270" s="392"/>
    </row>
    <row r="271" spans="1:15" ht="30" x14ac:dyDescent="0.25">
      <c r="A271" s="374">
        <v>15</v>
      </c>
      <c r="B271" s="413" t="s">
        <v>589</v>
      </c>
      <c r="C271" s="241" t="s">
        <v>590</v>
      </c>
      <c r="D271" s="185" t="s">
        <v>301</v>
      </c>
      <c r="E271" s="414">
        <f>4*5</f>
        <v>20</v>
      </c>
      <c r="F271" s="245">
        <v>232000</v>
      </c>
      <c r="G271" s="245">
        <v>85000</v>
      </c>
      <c r="H271" s="245">
        <v>80000</v>
      </c>
      <c r="I271" s="246">
        <f t="shared" si="55"/>
        <v>397000</v>
      </c>
      <c r="J271" s="161">
        <f t="shared" si="54"/>
        <v>7940000</v>
      </c>
      <c r="K271" s="392">
        <f>J271/J286</f>
        <v>1.2358913478573838E-2</v>
      </c>
      <c r="L271" s="367">
        <v>0</v>
      </c>
      <c r="M271" s="392">
        <v>0</v>
      </c>
      <c r="N271" s="392">
        <f t="shared" si="50"/>
        <v>0</v>
      </c>
      <c r="O271" s="392"/>
    </row>
    <row r="272" spans="1:15" ht="15.75" x14ac:dyDescent="0.25">
      <c r="A272" s="374">
        <v>16</v>
      </c>
      <c r="B272" s="240" t="s">
        <v>266</v>
      </c>
      <c r="C272" s="241" t="s">
        <v>514</v>
      </c>
      <c r="D272" s="185" t="s">
        <v>301</v>
      </c>
      <c r="E272" s="242">
        <f>E266</f>
        <v>204</v>
      </c>
      <c r="F272" s="245">
        <v>37500</v>
      </c>
      <c r="G272" s="245">
        <v>15000</v>
      </c>
      <c r="H272" s="245">
        <v>2500</v>
      </c>
      <c r="I272" s="246">
        <f t="shared" si="55"/>
        <v>55000</v>
      </c>
      <c r="J272" s="161">
        <f t="shared" si="54"/>
        <v>11220000</v>
      </c>
      <c r="K272" s="392">
        <f>J272/J286</f>
        <v>1.7464358845037588E-2</v>
      </c>
      <c r="L272" s="367">
        <v>0</v>
      </c>
      <c r="M272" s="392">
        <v>0</v>
      </c>
      <c r="N272" s="392">
        <f t="shared" si="50"/>
        <v>0</v>
      </c>
      <c r="O272" s="392"/>
    </row>
    <row r="273" spans="1:15" ht="15.75" x14ac:dyDescent="0.25">
      <c r="A273" s="374">
        <v>17</v>
      </c>
      <c r="B273" s="240" t="s">
        <v>469</v>
      </c>
      <c r="C273" s="241" t="s">
        <v>512</v>
      </c>
      <c r="D273" s="185" t="s">
        <v>301</v>
      </c>
      <c r="E273" s="242">
        <f>E267</f>
        <v>40</v>
      </c>
      <c r="F273" s="245">
        <v>27500</v>
      </c>
      <c r="G273" s="245">
        <v>15000</v>
      </c>
      <c r="H273" s="245">
        <v>2500</v>
      </c>
      <c r="I273" s="246">
        <f t="shared" si="55"/>
        <v>45000</v>
      </c>
      <c r="J273" s="161">
        <f t="shared" si="54"/>
        <v>1800000</v>
      </c>
      <c r="K273" s="392">
        <f>J273/J286</f>
        <v>2.8017687986691318E-3</v>
      </c>
      <c r="L273" s="367">
        <v>0</v>
      </c>
      <c r="M273" s="392">
        <v>0</v>
      </c>
      <c r="N273" s="392">
        <f t="shared" si="50"/>
        <v>0</v>
      </c>
      <c r="O273" s="392"/>
    </row>
    <row r="274" spans="1:15" ht="15.75" x14ac:dyDescent="0.25">
      <c r="A274" s="374">
        <v>18</v>
      </c>
      <c r="B274" s="240" t="s">
        <v>591</v>
      </c>
      <c r="C274" s="241" t="s">
        <v>370</v>
      </c>
      <c r="D274" s="185" t="s">
        <v>178</v>
      </c>
      <c r="E274" s="242">
        <v>1</v>
      </c>
      <c r="F274" s="245">
        <v>700000</v>
      </c>
      <c r="G274" s="243"/>
      <c r="H274" s="243"/>
      <c r="I274" s="246">
        <f t="shared" si="55"/>
        <v>700000</v>
      </c>
      <c r="J274" s="161">
        <f t="shared" si="54"/>
        <v>700000</v>
      </c>
      <c r="K274" s="392">
        <f>J274/J286</f>
        <v>1.0895767550379958E-3</v>
      </c>
      <c r="L274" s="367">
        <v>0</v>
      </c>
      <c r="M274" s="392">
        <v>0</v>
      </c>
      <c r="N274" s="392">
        <f t="shared" si="50"/>
        <v>0</v>
      </c>
      <c r="O274" s="392"/>
    </row>
    <row r="275" spans="1:15" ht="15.75" x14ac:dyDescent="0.25">
      <c r="A275" s="374">
        <v>19</v>
      </c>
      <c r="B275" s="240" t="s">
        <v>371</v>
      </c>
      <c r="C275" s="241" t="s">
        <v>428</v>
      </c>
      <c r="D275" s="185" t="s">
        <v>29</v>
      </c>
      <c r="E275" s="242">
        <v>1</v>
      </c>
      <c r="F275" s="245">
        <v>500000</v>
      </c>
      <c r="G275" s="243"/>
      <c r="H275" s="245">
        <v>5000</v>
      </c>
      <c r="I275" s="246">
        <f t="shared" si="55"/>
        <v>505000</v>
      </c>
      <c r="J275" s="161">
        <f t="shared" si="54"/>
        <v>505000</v>
      </c>
      <c r="K275" s="392">
        <f>J275/J286</f>
        <v>7.8605180184883978E-4</v>
      </c>
      <c r="L275" s="367">
        <v>0</v>
      </c>
      <c r="M275" s="392">
        <v>0</v>
      </c>
      <c r="N275" s="392">
        <f t="shared" si="50"/>
        <v>0</v>
      </c>
      <c r="O275" s="392"/>
    </row>
    <row r="276" spans="1:15" ht="15.75" x14ac:dyDescent="0.25">
      <c r="A276" s="374">
        <v>20</v>
      </c>
      <c r="B276" s="240" t="s">
        <v>372</v>
      </c>
      <c r="C276" s="485" t="s">
        <v>135</v>
      </c>
      <c r="D276" s="185" t="s">
        <v>326</v>
      </c>
      <c r="E276" s="242">
        <v>4</v>
      </c>
      <c r="F276" s="245">
        <v>275000</v>
      </c>
      <c r="G276" s="245">
        <v>25000</v>
      </c>
      <c r="H276" s="245">
        <v>5000</v>
      </c>
      <c r="I276" s="246">
        <f>H276+G276+F276</f>
        <v>305000</v>
      </c>
      <c r="J276" s="161">
        <f t="shared" si="54"/>
        <v>1220000</v>
      </c>
      <c r="K276" s="392">
        <f>J276/J286</f>
        <v>1.8989766302090782E-3</v>
      </c>
      <c r="L276" s="367">
        <v>0</v>
      </c>
      <c r="M276" s="392">
        <v>0</v>
      </c>
      <c r="N276" s="392">
        <f t="shared" si="50"/>
        <v>0</v>
      </c>
      <c r="O276" s="392"/>
    </row>
    <row r="277" spans="1:15" ht="15.75" x14ac:dyDescent="0.25">
      <c r="A277" s="374">
        <v>21</v>
      </c>
      <c r="B277" s="240" t="s">
        <v>376</v>
      </c>
      <c r="C277" s="486" t="s">
        <v>138</v>
      </c>
      <c r="D277" s="185" t="s">
        <v>326</v>
      </c>
      <c r="E277" s="242">
        <v>2</v>
      </c>
      <c r="F277" s="245">
        <v>300000</v>
      </c>
      <c r="G277" s="245">
        <v>25000</v>
      </c>
      <c r="H277" s="245">
        <v>5000</v>
      </c>
      <c r="I277" s="246">
        <f>H277+G277+F277</f>
        <v>330000</v>
      </c>
      <c r="J277" s="161">
        <f t="shared" si="54"/>
        <v>660000</v>
      </c>
      <c r="K277" s="392">
        <f>J277/J286</f>
        <v>1.0273152261786817E-3</v>
      </c>
      <c r="L277" s="367">
        <v>0</v>
      </c>
      <c r="M277" s="392">
        <v>0</v>
      </c>
      <c r="N277" s="392">
        <f t="shared" si="50"/>
        <v>0</v>
      </c>
      <c r="O277" s="392"/>
    </row>
    <row r="278" spans="1:15" ht="15.75" x14ac:dyDescent="0.25">
      <c r="A278" s="374">
        <v>22</v>
      </c>
      <c r="B278" s="240" t="s">
        <v>592</v>
      </c>
      <c r="C278" s="241" t="s">
        <v>282</v>
      </c>
      <c r="D278" s="185" t="s">
        <v>290</v>
      </c>
      <c r="E278" s="242" t="s">
        <v>282</v>
      </c>
      <c r="F278" s="245"/>
      <c r="G278" s="243"/>
      <c r="H278" s="243"/>
      <c r="I278" s="243"/>
      <c r="J278" s="161"/>
      <c r="K278" s="392"/>
      <c r="L278" s="367"/>
      <c r="M278" s="392"/>
      <c r="N278" s="392"/>
      <c r="O278" s="389"/>
    </row>
    <row r="279" spans="1:15" ht="15.75" x14ac:dyDescent="0.25">
      <c r="A279" s="374">
        <v>23</v>
      </c>
      <c r="B279" s="244" t="s">
        <v>564</v>
      </c>
      <c r="C279" s="241" t="s">
        <v>558</v>
      </c>
      <c r="D279" s="185" t="s">
        <v>326</v>
      </c>
      <c r="E279" s="242">
        <v>2</v>
      </c>
      <c r="F279" s="245">
        <v>150000</v>
      </c>
      <c r="G279" s="245">
        <v>25000</v>
      </c>
      <c r="H279" s="243"/>
      <c r="I279" s="246">
        <f>H279+G279+F279</f>
        <v>175000</v>
      </c>
      <c r="J279" s="161">
        <f t="shared" si="54"/>
        <v>350000</v>
      </c>
      <c r="K279" s="392">
        <f>J279/J286</f>
        <v>5.4478837751899788E-4</v>
      </c>
      <c r="L279" s="367">
        <v>0</v>
      </c>
      <c r="M279" s="392">
        <v>0</v>
      </c>
      <c r="N279" s="392">
        <f t="shared" ref="N279:N283" si="56">K279*L279</f>
        <v>0</v>
      </c>
      <c r="O279" s="392"/>
    </row>
    <row r="280" spans="1:15" ht="15.75" x14ac:dyDescent="0.25">
      <c r="A280" s="374"/>
      <c r="B280" s="244" t="s">
        <v>373</v>
      </c>
      <c r="C280" s="241" t="s">
        <v>374</v>
      </c>
      <c r="D280" s="185" t="s">
        <v>326</v>
      </c>
      <c r="E280" s="242">
        <v>4</v>
      </c>
      <c r="F280" s="245">
        <v>200000</v>
      </c>
      <c r="G280" s="245">
        <v>25000</v>
      </c>
      <c r="H280" s="243"/>
      <c r="I280" s="246">
        <f>H280+G280+F280</f>
        <v>225000</v>
      </c>
      <c r="J280" s="161">
        <f t="shared" si="54"/>
        <v>900000</v>
      </c>
      <c r="K280" s="392">
        <f>J280/J286</f>
        <v>1.4008843993345659E-3</v>
      </c>
      <c r="L280" s="367">
        <v>0</v>
      </c>
      <c r="M280" s="392">
        <v>0</v>
      </c>
      <c r="N280" s="392">
        <f t="shared" si="56"/>
        <v>0</v>
      </c>
      <c r="O280" s="392"/>
    </row>
    <row r="281" spans="1:15" ht="15.75" x14ac:dyDescent="0.25">
      <c r="A281" s="374">
        <v>24</v>
      </c>
      <c r="B281" s="240" t="s">
        <v>593</v>
      </c>
      <c r="C281" s="241" t="s">
        <v>282</v>
      </c>
      <c r="D281" s="185" t="s">
        <v>178</v>
      </c>
      <c r="E281" s="242">
        <v>20</v>
      </c>
      <c r="F281" s="245">
        <v>25000</v>
      </c>
      <c r="G281" s="243"/>
      <c r="H281" s="243"/>
      <c r="I281" s="246">
        <f>H281+G281+F281</f>
        <v>25000</v>
      </c>
      <c r="J281" s="161">
        <f t="shared" si="54"/>
        <v>500000</v>
      </c>
      <c r="K281" s="392">
        <f>J281/J286</f>
        <v>7.7826911074142552E-4</v>
      </c>
      <c r="L281" s="367">
        <v>0</v>
      </c>
      <c r="M281" s="392">
        <v>0</v>
      </c>
      <c r="N281" s="392">
        <f t="shared" si="56"/>
        <v>0</v>
      </c>
      <c r="O281" s="392"/>
    </row>
    <row r="282" spans="1:15" ht="15.75" x14ac:dyDescent="0.25">
      <c r="A282" s="374">
        <v>25</v>
      </c>
      <c r="B282" s="240" t="s">
        <v>594</v>
      </c>
      <c r="C282" s="241" t="s">
        <v>595</v>
      </c>
      <c r="D282" s="185" t="s">
        <v>596</v>
      </c>
      <c r="E282" s="242">
        <v>1</v>
      </c>
      <c r="F282" s="245">
        <v>4500000</v>
      </c>
      <c r="G282" s="245">
        <v>250000</v>
      </c>
      <c r="H282" s="245"/>
      <c r="I282" s="246">
        <f>H282+G282+F282</f>
        <v>4750000</v>
      </c>
      <c r="J282" s="161">
        <f t="shared" si="54"/>
        <v>4750000</v>
      </c>
      <c r="K282" s="392">
        <f>J282/J286</f>
        <v>7.3935565520435419E-3</v>
      </c>
      <c r="L282" s="367">
        <v>0</v>
      </c>
      <c r="M282" s="392">
        <v>0</v>
      </c>
      <c r="N282" s="392">
        <f t="shared" si="56"/>
        <v>0</v>
      </c>
      <c r="O282" s="392"/>
    </row>
    <row r="283" spans="1:15" ht="15.75" x14ac:dyDescent="0.25">
      <c r="A283" s="374">
        <v>27</v>
      </c>
      <c r="B283" s="240" t="s">
        <v>448</v>
      </c>
      <c r="C283" s="241" t="s">
        <v>449</v>
      </c>
      <c r="D283" s="181" t="s">
        <v>218</v>
      </c>
      <c r="E283" s="242">
        <v>3</v>
      </c>
      <c r="F283" s="245">
        <v>550000</v>
      </c>
      <c r="G283" s="245">
        <v>25000</v>
      </c>
      <c r="H283" s="245"/>
      <c r="I283" s="246">
        <f>H283+G283+F283</f>
        <v>575000</v>
      </c>
      <c r="J283" s="161">
        <f t="shared" si="54"/>
        <v>1725000</v>
      </c>
      <c r="K283" s="392">
        <f>J283/J286</f>
        <v>2.685028432057918E-3</v>
      </c>
      <c r="L283" s="367">
        <v>0</v>
      </c>
      <c r="M283" s="392">
        <v>0</v>
      </c>
      <c r="N283" s="392">
        <f t="shared" si="56"/>
        <v>0</v>
      </c>
      <c r="O283" s="392"/>
    </row>
    <row r="284" spans="1:15" ht="15.75" x14ac:dyDescent="0.25">
      <c r="A284" s="374"/>
      <c r="B284" s="487" t="s">
        <v>282</v>
      </c>
      <c r="C284" s="488" t="s">
        <v>282</v>
      </c>
      <c r="D284" s="489" t="s">
        <v>282</v>
      </c>
      <c r="E284" s="490" t="s">
        <v>282</v>
      </c>
      <c r="F284" s="490"/>
      <c r="G284" s="490"/>
      <c r="H284" s="490"/>
      <c r="I284" s="491" t="s">
        <v>597</v>
      </c>
      <c r="J284" s="273">
        <f>SUM(J246:J283)</f>
        <v>130432687.5</v>
      </c>
      <c r="K284" s="377">
        <f>SUM(K246:K283)</f>
        <v>0.20302346342447847</v>
      </c>
      <c r="L284" s="492"/>
      <c r="M284" s="378">
        <f>SUM(M246:M283)</f>
        <v>0</v>
      </c>
      <c r="N284" s="378">
        <f>SUM(N246:N283)</f>
        <v>0</v>
      </c>
      <c r="O284" s="379"/>
    </row>
    <row r="285" spans="1:15" ht="15.75" thickBot="1" x14ac:dyDescent="0.3">
      <c r="A285" s="493"/>
      <c r="B285" s="494"/>
      <c r="C285" s="495"/>
      <c r="D285" s="496"/>
      <c r="E285" s="497"/>
      <c r="F285" s="497"/>
      <c r="G285" s="497"/>
      <c r="H285" s="497"/>
      <c r="I285" s="498"/>
      <c r="J285" s="499"/>
    </row>
    <row r="286" spans="1:15" ht="16.5" thickBot="1" x14ac:dyDescent="0.3">
      <c r="A286" s="500" t="s">
        <v>282</v>
      </c>
      <c r="B286" s="501"/>
      <c r="C286" s="502" t="s">
        <v>282</v>
      </c>
      <c r="D286" s="503" t="s">
        <v>282</v>
      </c>
      <c r="E286" s="504" t="s">
        <v>282</v>
      </c>
      <c r="F286" s="504"/>
      <c r="G286" s="504"/>
      <c r="H286" s="504"/>
      <c r="I286" s="504"/>
      <c r="J286" s="505">
        <f>J12+J65+J93+J123+J145+J163+J193+J212+J242+J284</f>
        <v>642451297.5</v>
      </c>
      <c r="K286" s="506">
        <f>K12+K65+K93+K123+K145+K163+K193+K212+K242+K284</f>
        <v>1</v>
      </c>
      <c r="L286" s="507"/>
      <c r="M286" s="508">
        <f>M148+M155+M213+M278+M285</f>
        <v>0</v>
      </c>
      <c r="N286" s="508">
        <f>N12+N65+N93+N123+N145+N163+N193+N212+N242+N284</f>
        <v>0.20619918663951331</v>
      </c>
      <c r="O286" s="509"/>
    </row>
    <row r="288" spans="1:15" x14ac:dyDescent="0.25">
      <c r="G288" s="510"/>
      <c r="H288" s="510"/>
      <c r="I288" s="510"/>
      <c r="J288" s="511"/>
    </row>
    <row r="289" spans="2:2" ht="18.75" x14ac:dyDescent="0.3">
      <c r="B289" s="512" t="s">
        <v>598</v>
      </c>
    </row>
    <row r="290" spans="2:2" ht="18.75" x14ac:dyDescent="0.3">
      <c r="B290" s="512"/>
    </row>
    <row r="291" spans="2:2" ht="18.75" x14ac:dyDescent="0.3">
      <c r="B291" s="512"/>
    </row>
    <row r="292" spans="2:2" ht="18.75" x14ac:dyDescent="0.3">
      <c r="B292" s="512"/>
    </row>
    <row r="293" spans="2:2" ht="18.75" x14ac:dyDescent="0.3">
      <c r="B293" s="142" t="s">
        <v>599</v>
      </c>
    </row>
  </sheetData>
  <mergeCells count="11">
    <mergeCell ref="F6:H6"/>
    <mergeCell ref="A6:A7"/>
    <mergeCell ref="B6:B7"/>
    <mergeCell ref="C6:C7"/>
    <mergeCell ref="D6:D7"/>
    <mergeCell ref="E6:E7"/>
    <mergeCell ref="I6:I7"/>
    <mergeCell ref="J6:J7"/>
    <mergeCell ref="K6:K7"/>
    <mergeCell ref="L6:L7"/>
    <mergeCell ref="M6:O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1E6FE-D265-4D6D-8FDF-EA1DA9EE3D36}">
  <dimension ref="A1:P443"/>
  <sheetViews>
    <sheetView workbookViewId="0">
      <selection sqref="A1:XFD1048576"/>
    </sheetView>
  </sheetViews>
  <sheetFormatPr defaultRowHeight="15" x14ac:dyDescent="0.25"/>
  <cols>
    <col min="1" max="1" width="8" customWidth="1"/>
    <col min="2" max="2" width="39.7109375" customWidth="1"/>
    <col min="3" max="3" width="84.28515625" customWidth="1"/>
    <col min="5" max="5" width="7.7109375" bestFit="1" customWidth="1"/>
    <col min="6" max="7" width="11.28515625" hidden="1" customWidth="1"/>
    <col min="8" max="8" width="11" customWidth="1"/>
    <col min="9" max="9" width="13.42578125" customWidth="1"/>
    <col min="10" max="10" width="8.7109375" hidden="1" customWidth="1"/>
    <col min="11" max="12" width="11.28515625" hidden="1" customWidth="1"/>
    <col min="13" max="13" width="13.7109375" hidden="1" customWidth="1"/>
    <col min="14" max="14" width="14" hidden="1" customWidth="1"/>
    <col min="15" max="15" width="14.140625" hidden="1" customWidth="1"/>
    <col min="16" max="16" width="8.85546875" hidden="1" customWidth="1"/>
    <col min="18" max="18" width="13.5703125" bestFit="1" customWidth="1"/>
    <col min="19" max="19" width="12.28515625" bestFit="1" customWidth="1"/>
  </cols>
  <sheetData>
    <row r="1" spans="1:16" ht="20.25" x14ac:dyDescent="0.25">
      <c r="A1" s="513"/>
      <c r="B1" s="514" t="s">
        <v>0</v>
      </c>
      <c r="C1" s="515"/>
      <c r="D1" s="515"/>
      <c r="E1" s="515"/>
      <c r="F1" s="515"/>
      <c r="G1" s="515"/>
      <c r="H1" s="515"/>
      <c r="I1" s="515"/>
    </row>
    <row r="2" spans="1:16" ht="18" x14ac:dyDescent="0.25">
      <c r="A2" s="516"/>
      <c r="B2" s="517" t="s">
        <v>1</v>
      </c>
      <c r="C2" s="518" t="s">
        <v>600</v>
      </c>
      <c r="D2" s="515"/>
      <c r="E2" s="515"/>
      <c r="F2" s="515"/>
      <c r="G2" s="515"/>
      <c r="H2" s="515"/>
      <c r="I2" s="515"/>
    </row>
    <row r="3" spans="1:16" ht="18" x14ac:dyDescent="0.25">
      <c r="A3" s="516"/>
      <c r="B3" s="517" t="s">
        <v>3</v>
      </c>
      <c r="C3" s="518" t="s">
        <v>4</v>
      </c>
      <c r="D3" s="515"/>
      <c r="E3" s="515"/>
      <c r="F3" s="515"/>
      <c r="G3" s="515"/>
      <c r="H3" s="515"/>
      <c r="I3" s="515"/>
    </row>
    <row r="4" spans="1:16" ht="18" x14ac:dyDescent="0.25">
      <c r="A4" s="516"/>
      <c r="B4" s="517" t="s">
        <v>5</v>
      </c>
      <c r="C4" s="518" t="s">
        <v>601</v>
      </c>
      <c r="D4" s="515"/>
      <c r="E4" s="515"/>
      <c r="F4" s="515"/>
      <c r="G4" s="515"/>
      <c r="H4" s="515"/>
      <c r="I4" s="515"/>
    </row>
    <row r="5" spans="1:16" ht="21.75" thickBot="1" x14ac:dyDescent="0.4">
      <c r="A5" s="516"/>
      <c r="B5" s="517" t="s">
        <v>7</v>
      </c>
      <c r="C5" s="518" t="s">
        <v>8</v>
      </c>
      <c r="D5" s="515"/>
      <c r="E5" s="515"/>
      <c r="F5" s="515"/>
      <c r="G5" s="519" t="s">
        <v>602</v>
      </c>
      <c r="H5" s="519"/>
      <c r="I5" s="515"/>
    </row>
    <row r="6" spans="1:16" ht="47.25" x14ac:dyDescent="0.25">
      <c r="A6" s="959" t="s">
        <v>9</v>
      </c>
      <c r="B6" s="961" t="s">
        <v>10</v>
      </c>
      <c r="C6" s="520" t="s">
        <v>11</v>
      </c>
      <c r="D6" s="961" t="s">
        <v>12</v>
      </c>
      <c r="E6" s="963" t="s">
        <v>13</v>
      </c>
      <c r="F6" s="951" t="s">
        <v>14</v>
      </c>
      <c r="G6" s="952"/>
      <c r="H6" s="521" t="s">
        <v>603</v>
      </c>
      <c r="I6" s="521" t="s">
        <v>15</v>
      </c>
      <c r="J6" s="963" t="s">
        <v>13</v>
      </c>
      <c r="K6" s="951" t="s">
        <v>14</v>
      </c>
      <c r="L6" s="952"/>
      <c r="M6" s="521" t="s">
        <v>603</v>
      </c>
      <c r="N6" s="521" t="s">
        <v>15</v>
      </c>
      <c r="O6" s="521" t="s">
        <v>604</v>
      </c>
    </row>
    <row r="7" spans="1:16" ht="16.5" thickBot="1" x14ac:dyDescent="0.3">
      <c r="A7" s="960"/>
      <c r="B7" s="962"/>
      <c r="C7" s="522"/>
      <c r="D7" s="962"/>
      <c r="E7" s="964"/>
      <c r="F7" s="523" t="s">
        <v>605</v>
      </c>
      <c r="G7" s="524" t="s">
        <v>606</v>
      </c>
      <c r="H7" s="525" t="s">
        <v>16</v>
      </c>
      <c r="I7" s="525" t="s">
        <v>16</v>
      </c>
      <c r="J7" s="964"/>
      <c r="K7" s="523" t="s">
        <v>605</v>
      </c>
      <c r="L7" s="524" t="s">
        <v>606</v>
      </c>
      <c r="M7" s="525" t="s">
        <v>16</v>
      </c>
      <c r="N7" s="525" t="s">
        <v>16</v>
      </c>
      <c r="O7" s="525" t="s">
        <v>16</v>
      </c>
    </row>
    <row r="8" spans="1:16" ht="15.75" x14ac:dyDescent="0.25">
      <c r="A8" s="526" t="s">
        <v>17</v>
      </c>
      <c r="B8" s="527" t="s">
        <v>24</v>
      </c>
      <c r="C8" s="528"/>
      <c r="D8" s="529"/>
      <c r="E8" s="530"/>
      <c r="F8" s="530"/>
      <c r="G8" s="531"/>
      <c r="H8" s="532"/>
      <c r="I8" s="533"/>
      <c r="J8" s="530"/>
      <c r="K8" s="530"/>
      <c r="L8" s="531"/>
      <c r="M8" s="532"/>
      <c r="N8" s="533"/>
      <c r="O8" s="533"/>
    </row>
    <row r="9" spans="1:16" ht="15.75" x14ac:dyDescent="0.25">
      <c r="A9" s="534">
        <v>1</v>
      </c>
      <c r="B9" s="535" t="s">
        <v>607</v>
      </c>
      <c r="C9" s="535" t="s">
        <v>26</v>
      </c>
      <c r="D9" s="536" t="s">
        <v>27</v>
      </c>
      <c r="E9" s="537">
        <v>4</v>
      </c>
      <c r="F9" s="537"/>
      <c r="G9" s="538">
        <v>500000</v>
      </c>
      <c r="H9" s="539">
        <f>F9+G9</f>
        <v>500000</v>
      </c>
      <c r="I9" s="540">
        <f>E9*H9</f>
        <v>2000000</v>
      </c>
      <c r="J9" s="537">
        <v>4</v>
      </c>
      <c r="K9" s="537"/>
      <c r="L9" s="538">
        <v>500000</v>
      </c>
      <c r="M9" s="539">
        <f>K9+L9</f>
        <v>500000</v>
      </c>
      <c r="N9" s="540">
        <f>J9*M9</f>
        <v>2000000</v>
      </c>
      <c r="O9" s="540">
        <f>N9-I9</f>
        <v>0</v>
      </c>
    </row>
    <row r="10" spans="1:16" ht="15.75" x14ac:dyDescent="0.25">
      <c r="A10" s="534">
        <v>2</v>
      </c>
      <c r="B10" s="535" t="s">
        <v>28</v>
      </c>
      <c r="C10" s="535" t="s">
        <v>26</v>
      </c>
      <c r="D10" s="536" t="s">
        <v>29</v>
      </c>
      <c r="E10" s="537">
        <v>1</v>
      </c>
      <c r="F10" s="537"/>
      <c r="G10" s="538">
        <v>4500000</v>
      </c>
      <c r="H10" s="539">
        <f t="shared" ref="H10:H73" si="0">F10+G10</f>
        <v>4500000</v>
      </c>
      <c r="I10" s="540">
        <f t="shared" ref="I10:I11" si="1">E10*H10</f>
        <v>4500000</v>
      </c>
      <c r="J10" s="537">
        <v>1</v>
      </c>
      <c r="K10" s="537"/>
      <c r="L10" s="538">
        <v>4500000</v>
      </c>
      <c r="M10" s="539">
        <f t="shared" ref="M10:M73" si="2">K10+L10</f>
        <v>4500000</v>
      </c>
      <c r="N10" s="540">
        <f t="shared" ref="N10:N11" si="3">J10*M10</f>
        <v>4500000</v>
      </c>
      <c r="O10" s="540">
        <f t="shared" ref="O10:O73" si="4">N10-I10</f>
        <v>0</v>
      </c>
    </row>
    <row r="11" spans="1:16" ht="15.75" x14ac:dyDescent="0.25">
      <c r="A11" s="534">
        <v>3</v>
      </c>
      <c r="B11" s="535" t="s">
        <v>608</v>
      </c>
      <c r="C11" s="535" t="s">
        <v>31</v>
      </c>
      <c r="D11" s="536" t="s">
        <v>29</v>
      </c>
      <c r="E11" s="537">
        <v>1</v>
      </c>
      <c r="F11" s="537"/>
      <c r="G11" s="538">
        <v>1000000</v>
      </c>
      <c r="H11" s="539">
        <f t="shared" si="0"/>
        <v>1000000</v>
      </c>
      <c r="I11" s="540">
        <f t="shared" si="1"/>
        <v>1000000</v>
      </c>
      <c r="J11" s="537">
        <v>1</v>
      </c>
      <c r="K11" s="537"/>
      <c r="L11" s="538">
        <v>1000000</v>
      </c>
      <c r="M11" s="539">
        <f t="shared" si="2"/>
        <v>1000000</v>
      </c>
      <c r="N11" s="540">
        <f t="shared" si="3"/>
        <v>1000000</v>
      </c>
      <c r="O11" s="540">
        <f t="shared" si="4"/>
        <v>0</v>
      </c>
    </row>
    <row r="12" spans="1:16" ht="15.75" x14ac:dyDescent="0.25">
      <c r="A12" s="534"/>
      <c r="B12" s="541"/>
      <c r="C12" s="542" t="s">
        <v>22</v>
      </c>
      <c r="D12" s="536"/>
      <c r="E12" s="537"/>
      <c r="F12" s="537"/>
      <c r="G12" s="542"/>
      <c r="H12" s="539">
        <f t="shared" si="0"/>
        <v>0</v>
      </c>
      <c r="I12" s="543">
        <f>SUM(I9:I11)</f>
        <v>7500000</v>
      </c>
      <c r="J12" s="537"/>
      <c r="K12" s="537"/>
      <c r="L12" s="542"/>
      <c r="M12" s="539">
        <f t="shared" si="2"/>
        <v>0</v>
      </c>
      <c r="N12" s="543">
        <f>SUM(N9:N11)</f>
        <v>7500000</v>
      </c>
      <c r="O12" s="540">
        <f t="shared" si="4"/>
        <v>0</v>
      </c>
    </row>
    <row r="13" spans="1:16" ht="15.75" x14ac:dyDescent="0.25">
      <c r="A13" s="544"/>
      <c r="B13" s="545"/>
      <c r="C13" s="546"/>
      <c r="D13" s="536"/>
      <c r="E13" s="547"/>
      <c r="F13" s="547"/>
      <c r="G13" s="548"/>
      <c r="H13" s="539">
        <f t="shared" si="0"/>
        <v>0</v>
      </c>
      <c r="I13" s="549"/>
      <c r="J13" s="547"/>
      <c r="K13" s="547"/>
      <c r="L13" s="548"/>
      <c r="M13" s="539">
        <f t="shared" si="2"/>
        <v>0</v>
      </c>
      <c r="N13" s="549"/>
      <c r="O13" s="540">
        <f t="shared" si="4"/>
        <v>0</v>
      </c>
    </row>
    <row r="14" spans="1:16" ht="15.75" x14ac:dyDescent="0.25">
      <c r="A14" s="550" t="s">
        <v>609</v>
      </c>
      <c r="B14" s="551" t="s">
        <v>610</v>
      </c>
      <c r="C14" s="552"/>
      <c r="D14" s="536"/>
      <c r="E14" s="547"/>
      <c r="F14" s="547"/>
      <c r="G14" s="548"/>
      <c r="H14" s="539">
        <f t="shared" si="0"/>
        <v>0</v>
      </c>
      <c r="I14" s="549"/>
      <c r="J14" s="547"/>
      <c r="K14" s="547"/>
      <c r="L14" s="548"/>
      <c r="M14" s="539">
        <f t="shared" si="2"/>
        <v>0</v>
      </c>
      <c r="N14" s="549"/>
      <c r="O14" s="540">
        <f t="shared" si="4"/>
        <v>0</v>
      </c>
    </row>
    <row r="15" spans="1:16" ht="18.75" x14ac:dyDescent="0.25">
      <c r="A15" s="553" t="s">
        <v>611</v>
      </c>
      <c r="B15" s="554" t="s">
        <v>612</v>
      </c>
      <c r="C15" s="554" t="s">
        <v>613</v>
      </c>
      <c r="D15" s="555" t="s">
        <v>614</v>
      </c>
      <c r="E15" s="556">
        <f>(10*10+(3*4))</f>
        <v>112</v>
      </c>
      <c r="F15" s="556"/>
      <c r="G15" s="557">
        <v>200000</v>
      </c>
      <c r="H15" s="539">
        <f t="shared" si="0"/>
        <v>200000</v>
      </c>
      <c r="I15" s="558">
        <f>E15*H15</f>
        <v>22400000</v>
      </c>
      <c r="J15" s="556">
        <f>(10*10+(3*4))</f>
        <v>112</v>
      </c>
      <c r="K15" s="556"/>
      <c r="L15" s="557">
        <v>250000</v>
      </c>
      <c r="M15" s="539">
        <f t="shared" si="2"/>
        <v>250000</v>
      </c>
      <c r="N15" s="558">
        <f>J15*M15</f>
        <v>28000000</v>
      </c>
      <c r="O15" s="559">
        <f t="shared" si="4"/>
        <v>5600000</v>
      </c>
      <c r="P15" s="560" t="s">
        <v>615</v>
      </c>
    </row>
    <row r="16" spans="1:16" ht="18.75" x14ac:dyDescent="0.25">
      <c r="A16" s="544"/>
      <c r="B16" s="561"/>
      <c r="C16" s="562" t="s">
        <v>616</v>
      </c>
      <c r="D16" s="555" t="s">
        <v>617</v>
      </c>
      <c r="E16" s="547">
        <f>E15</f>
        <v>112</v>
      </c>
      <c r="F16" s="547"/>
      <c r="G16" s="548">
        <v>550000</v>
      </c>
      <c r="H16" s="539">
        <f t="shared" si="0"/>
        <v>550000</v>
      </c>
      <c r="I16" s="558">
        <f t="shared" ref="I16:I72" si="5">E16*H16</f>
        <v>61600000</v>
      </c>
      <c r="J16" s="547">
        <f>J15</f>
        <v>112</v>
      </c>
      <c r="K16" s="547"/>
      <c r="L16" s="548">
        <v>590000</v>
      </c>
      <c r="M16" s="539">
        <f t="shared" si="2"/>
        <v>590000</v>
      </c>
      <c r="N16" s="558">
        <f t="shared" ref="N16:N72" si="6">J16*M16</f>
        <v>66080000</v>
      </c>
      <c r="O16" s="559">
        <f t="shared" si="4"/>
        <v>4480000</v>
      </c>
      <c r="P16" s="560" t="s">
        <v>618</v>
      </c>
    </row>
    <row r="17" spans="1:15" ht="18.75" x14ac:dyDescent="0.25">
      <c r="A17" s="544"/>
      <c r="B17" s="561"/>
      <c r="C17" s="554" t="s">
        <v>619</v>
      </c>
      <c r="D17" s="536" t="s">
        <v>60</v>
      </c>
      <c r="E17" s="563">
        <v>8</v>
      </c>
      <c r="F17" s="563"/>
      <c r="G17" s="557">
        <v>75000</v>
      </c>
      <c r="H17" s="539">
        <f t="shared" si="0"/>
        <v>75000</v>
      </c>
      <c r="I17" s="558">
        <f t="shared" si="5"/>
        <v>600000</v>
      </c>
      <c r="J17" s="563">
        <v>8</v>
      </c>
      <c r="K17" s="563"/>
      <c r="L17" s="557">
        <v>75000</v>
      </c>
      <c r="M17" s="539">
        <f t="shared" si="2"/>
        <v>75000</v>
      </c>
      <c r="N17" s="558">
        <f t="shared" si="6"/>
        <v>600000</v>
      </c>
      <c r="O17" s="540">
        <f t="shared" si="4"/>
        <v>0</v>
      </c>
    </row>
    <row r="18" spans="1:15" ht="18.75" x14ac:dyDescent="0.25">
      <c r="A18" s="544"/>
      <c r="B18" s="561"/>
      <c r="C18" s="562" t="s">
        <v>620</v>
      </c>
      <c r="D18" s="555" t="s">
        <v>617</v>
      </c>
      <c r="E18" s="563">
        <f>0.8*35</f>
        <v>28</v>
      </c>
      <c r="F18" s="563"/>
      <c r="G18" s="557">
        <v>750000</v>
      </c>
      <c r="H18" s="539">
        <f t="shared" si="0"/>
        <v>750000</v>
      </c>
      <c r="I18" s="558">
        <f t="shared" si="5"/>
        <v>21000000</v>
      </c>
      <c r="J18" s="563">
        <f>0.8*35</f>
        <v>28</v>
      </c>
      <c r="K18" s="563"/>
      <c r="L18" s="557">
        <v>750000</v>
      </c>
      <c r="M18" s="539">
        <f t="shared" si="2"/>
        <v>750000</v>
      </c>
      <c r="N18" s="558">
        <f t="shared" si="6"/>
        <v>21000000</v>
      </c>
      <c r="O18" s="540">
        <f t="shared" si="4"/>
        <v>0</v>
      </c>
    </row>
    <row r="19" spans="1:15" ht="15.75" x14ac:dyDescent="0.25">
      <c r="A19" s="544"/>
      <c r="B19" s="561"/>
      <c r="C19" s="554" t="s">
        <v>621</v>
      </c>
      <c r="D19" s="536"/>
      <c r="E19" s="547"/>
      <c r="F19" s="547"/>
      <c r="G19" s="548"/>
      <c r="H19" s="539">
        <f t="shared" si="0"/>
        <v>0</v>
      </c>
      <c r="I19" s="558">
        <f t="shared" si="5"/>
        <v>0</v>
      </c>
      <c r="J19" s="547"/>
      <c r="K19" s="547"/>
      <c r="L19" s="548"/>
      <c r="M19" s="539">
        <f t="shared" si="2"/>
        <v>0</v>
      </c>
      <c r="N19" s="558">
        <f t="shared" si="6"/>
        <v>0</v>
      </c>
      <c r="O19" s="540">
        <f t="shared" si="4"/>
        <v>0</v>
      </c>
    </row>
    <row r="20" spans="1:15" ht="18.75" x14ac:dyDescent="0.25">
      <c r="A20" s="544"/>
      <c r="B20" s="561"/>
      <c r="C20" s="554" t="s">
        <v>622</v>
      </c>
      <c r="D20" s="555" t="s">
        <v>614</v>
      </c>
      <c r="E20" s="556">
        <f>10</f>
        <v>10</v>
      </c>
      <c r="F20" s="556"/>
      <c r="G20" s="557">
        <v>175000</v>
      </c>
      <c r="H20" s="539">
        <f t="shared" si="0"/>
        <v>175000</v>
      </c>
      <c r="I20" s="558">
        <f t="shared" si="5"/>
        <v>1750000</v>
      </c>
      <c r="J20" s="556">
        <f>10</f>
        <v>10</v>
      </c>
      <c r="K20" s="556"/>
      <c r="L20" s="557">
        <v>175000</v>
      </c>
      <c r="M20" s="539">
        <f t="shared" si="2"/>
        <v>175000</v>
      </c>
      <c r="N20" s="558">
        <f t="shared" si="6"/>
        <v>1750000</v>
      </c>
      <c r="O20" s="540">
        <f t="shared" si="4"/>
        <v>0</v>
      </c>
    </row>
    <row r="21" spans="1:15" ht="18.75" x14ac:dyDescent="0.25">
      <c r="A21" s="544">
        <v>2</v>
      </c>
      <c r="B21" s="554" t="s">
        <v>623</v>
      </c>
      <c r="C21" s="554" t="s">
        <v>624</v>
      </c>
      <c r="D21" s="555" t="s">
        <v>617</v>
      </c>
      <c r="E21" s="563">
        <f>(10+10+10+4.5+4.5)*3.5</f>
        <v>136.5</v>
      </c>
      <c r="F21" s="563"/>
      <c r="G21" s="557">
        <v>65000</v>
      </c>
      <c r="H21" s="539">
        <f t="shared" si="0"/>
        <v>65000</v>
      </c>
      <c r="I21" s="558">
        <f t="shared" si="5"/>
        <v>8872500</v>
      </c>
      <c r="J21" s="563">
        <f>(10+10+10+4.5+4.5)*3.5</f>
        <v>136.5</v>
      </c>
      <c r="K21" s="563"/>
      <c r="L21" s="557">
        <v>65000</v>
      </c>
      <c r="M21" s="539">
        <f t="shared" si="2"/>
        <v>65000</v>
      </c>
      <c r="N21" s="558">
        <f t="shared" si="6"/>
        <v>8872500</v>
      </c>
      <c r="O21" s="540">
        <f t="shared" si="4"/>
        <v>0</v>
      </c>
    </row>
    <row r="22" spans="1:15" ht="15.75" x14ac:dyDescent="0.25">
      <c r="A22" s="544"/>
      <c r="B22" s="561"/>
      <c r="C22" s="554" t="s">
        <v>625</v>
      </c>
      <c r="D22" s="536"/>
      <c r="E22" s="547"/>
      <c r="F22" s="547"/>
      <c r="G22" s="548"/>
      <c r="H22" s="539">
        <f t="shared" si="0"/>
        <v>0</v>
      </c>
      <c r="I22" s="558">
        <f t="shared" si="5"/>
        <v>0</v>
      </c>
      <c r="J22" s="547"/>
      <c r="K22" s="547"/>
      <c r="L22" s="548"/>
      <c r="M22" s="539">
        <f t="shared" si="2"/>
        <v>0</v>
      </c>
      <c r="N22" s="558">
        <f t="shared" si="6"/>
        <v>0</v>
      </c>
      <c r="O22" s="540">
        <f t="shared" si="4"/>
        <v>0</v>
      </c>
    </row>
    <row r="23" spans="1:15" ht="18.75" x14ac:dyDescent="0.25">
      <c r="A23" s="544"/>
      <c r="B23" s="561"/>
      <c r="C23" s="554" t="s">
        <v>626</v>
      </c>
      <c r="D23" s="555" t="s">
        <v>614</v>
      </c>
      <c r="E23" s="563">
        <f>(15+10+7+10+10+4.5+4.5+4.5+4.5+4.5+3.5)*3</f>
        <v>234</v>
      </c>
      <c r="F23" s="563"/>
      <c r="G23" s="557">
        <v>55000</v>
      </c>
      <c r="H23" s="539">
        <f t="shared" si="0"/>
        <v>55000</v>
      </c>
      <c r="I23" s="558">
        <f t="shared" si="5"/>
        <v>12870000</v>
      </c>
      <c r="J23" s="563">
        <f>(15+10+7+10+10+4.5+4.5+4.5+4.5+4.5+3.5)*3</f>
        <v>234</v>
      </c>
      <c r="K23" s="563"/>
      <c r="L23" s="557">
        <v>55000</v>
      </c>
      <c r="M23" s="539">
        <f t="shared" si="2"/>
        <v>55000</v>
      </c>
      <c r="N23" s="558">
        <f t="shared" si="6"/>
        <v>12870000</v>
      </c>
      <c r="O23" s="540">
        <f t="shared" si="4"/>
        <v>0</v>
      </c>
    </row>
    <row r="24" spans="1:15" ht="15.75" x14ac:dyDescent="0.25">
      <c r="A24" s="544"/>
      <c r="B24" s="561"/>
      <c r="C24" s="554" t="s">
        <v>627</v>
      </c>
      <c r="D24" s="555"/>
      <c r="E24" s="563"/>
      <c r="F24" s="563"/>
      <c r="G24" s="557"/>
      <c r="H24" s="539">
        <f t="shared" si="0"/>
        <v>0</v>
      </c>
      <c r="I24" s="558">
        <f t="shared" si="5"/>
        <v>0</v>
      </c>
      <c r="J24" s="563"/>
      <c r="K24" s="563"/>
      <c r="L24" s="557"/>
      <c r="M24" s="539">
        <f t="shared" si="2"/>
        <v>0</v>
      </c>
      <c r="N24" s="558">
        <f t="shared" si="6"/>
        <v>0</v>
      </c>
      <c r="O24" s="540">
        <f t="shared" si="4"/>
        <v>0</v>
      </c>
    </row>
    <row r="25" spans="1:15" ht="18.75" x14ac:dyDescent="0.25">
      <c r="A25" s="553" t="s">
        <v>628</v>
      </c>
      <c r="B25" s="554" t="s">
        <v>629</v>
      </c>
      <c r="C25" s="554" t="s">
        <v>630</v>
      </c>
      <c r="D25" s="555" t="s">
        <v>614</v>
      </c>
      <c r="E25" s="547">
        <f>(10*3)</f>
        <v>30</v>
      </c>
      <c r="F25" s="547"/>
      <c r="G25" s="548">
        <v>900000</v>
      </c>
      <c r="H25" s="539">
        <f t="shared" si="0"/>
        <v>900000</v>
      </c>
      <c r="I25" s="558">
        <f t="shared" si="5"/>
        <v>27000000</v>
      </c>
      <c r="J25" s="547">
        <f>(10*3)</f>
        <v>30</v>
      </c>
      <c r="K25" s="547"/>
      <c r="L25" s="548">
        <v>900000</v>
      </c>
      <c r="M25" s="539">
        <f t="shared" si="2"/>
        <v>900000</v>
      </c>
      <c r="N25" s="558">
        <f t="shared" si="6"/>
        <v>27000000</v>
      </c>
      <c r="O25" s="540">
        <f t="shared" si="4"/>
        <v>0</v>
      </c>
    </row>
    <row r="26" spans="1:15" ht="18.75" x14ac:dyDescent="0.25">
      <c r="A26" s="553" t="s">
        <v>631</v>
      </c>
      <c r="B26" s="554" t="s">
        <v>632</v>
      </c>
      <c r="C26" s="554" t="s">
        <v>633</v>
      </c>
      <c r="D26" s="555" t="s">
        <v>614</v>
      </c>
      <c r="E26" s="547">
        <f>7.5*6</f>
        <v>45</v>
      </c>
      <c r="F26" s="547"/>
      <c r="G26" s="548">
        <v>1700000</v>
      </c>
      <c r="H26" s="539">
        <f t="shared" si="0"/>
        <v>1700000</v>
      </c>
      <c r="I26" s="558">
        <f t="shared" si="5"/>
        <v>76500000</v>
      </c>
      <c r="J26" s="547">
        <f>7.5*6</f>
        <v>45</v>
      </c>
      <c r="K26" s="547"/>
      <c r="L26" s="548">
        <v>1700000</v>
      </c>
      <c r="M26" s="539">
        <f t="shared" si="2"/>
        <v>1700000</v>
      </c>
      <c r="N26" s="558">
        <f t="shared" si="6"/>
        <v>76500000</v>
      </c>
      <c r="O26" s="540">
        <f t="shared" si="4"/>
        <v>0</v>
      </c>
    </row>
    <row r="27" spans="1:15" ht="15.75" x14ac:dyDescent="0.25">
      <c r="A27" s="553"/>
      <c r="B27" s="554"/>
      <c r="C27" s="562" t="s">
        <v>634</v>
      </c>
      <c r="D27" s="555" t="s">
        <v>178</v>
      </c>
      <c r="E27" s="547">
        <v>8</v>
      </c>
      <c r="F27" s="547"/>
      <c r="G27" s="548">
        <v>800000</v>
      </c>
      <c r="H27" s="539">
        <f t="shared" si="0"/>
        <v>800000</v>
      </c>
      <c r="I27" s="558">
        <f t="shared" si="5"/>
        <v>6400000</v>
      </c>
      <c r="J27" s="547">
        <v>8</v>
      </c>
      <c r="K27" s="547"/>
      <c r="L27" s="548">
        <v>800000</v>
      </c>
      <c r="M27" s="539">
        <f t="shared" si="2"/>
        <v>800000</v>
      </c>
      <c r="N27" s="558">
        <f t="shared" si="6"/>
        <v>6400000</v>
      </c>
      <c r="O27" s="540">
        <f t="shared" si="4"/>
        <v>0</v>
      </c>
    </row>
    <row r="28" spans="1:15" ht="15.75" x14ac:dyDescent="0.25">
      <c r="A28" s="564" t="s">
        <v>635</v>
      </c>
      <c r="B28" s="562" t="s">
        <v>636</v>
      </c>
      <c r="C28" s="562" t="s">
        <v>637</v>
      </c>
      <c r="D28" s="555" t="s">
        <v>62</v>
      </c>
      <c r="E28" s="547">
        <v>1</v>
      </c>
      <c r="F28" s="548">
        <v>13000000</v>
      </c>
      <c r="G28" s="548">
        <v>3000000</v>
      </c>
      <c r="H28" s="565">
        <f t="shared" si="0"/>
        <v>16000000</v>
      </c>
      <c r="I28" s="566">
        <f t="shared" si="5"/>
        <v>16000000</v>
      </c>
      <c r="J28" s="547">
        <v>1</v>
      </c>
      <c r="K28" s="548">
        <v>13000000</v>
      </c>
      <c r="L28" s="548">
        <v>3000000</v>
      </c>
      <c r="M28" s="565">
        <f t="shared" si="2"/>
        <v>16000000</v>
      </c>
      <c r="N28" s="566">
        <f t="shared" si="6"/>
        <v>16000000</v>
      </c>
      <c r="O28" s="540">
        <f t="shared" si="4"/>
        <v>0</v>
      </c>
    </row>
    <row r="29" spans="1:15" ht="15.75" x14ac:dyDescent="0.25">
      <c r="A29" s="544"/>
      <c r="B29" s="561"/>
      <c r="C29" s="554" t="s">
        <v>638</v>
      </c>
      <c r="D29" s="536"/>
      <c r="E29" s="547"/>
      <c r="F29" s="548"/>
      <c r="G29" s="548"/>
      <c r="H29" s="539">
        <f t="shared" si="0"/>
        <v>0</v>
      </c>
      <c r="I29" s="558">
        <f t="shared" si="5"/>
        <v>0</v>
      </c>
      <c r="J29" s="547"/>
      <c r="K29" s="548"/>
      <c r="L29" s="548"/>
      <c r="M29" s="539">
        <f t="shared" si="2"/>
        <v>0</v>
      </c>
      <c r="N29" s="558">
        <f t="shared" si="6"/>
        <v>0</v>
      </c>
      <c r="O29" s="540">
        <f t="shared" si="4"/>
        <v>0</v>
      </c>
    </row>
    <row r="30" spans="1:15" ht="15.75" x14ac:dyDescent="0.25">
      <c r="A30" s="544"/>
      <c r="B30" s="561"/>
      <c r="C30" s="554" t="s">
        <v>639</v>
      </c>
      <c r="D30" s="536"/>
      <c r="E30" s="547"/>
      <c r="F30" s="548"/>
      <c r="G30" s="548"/>
      <c r="H30" s="539">
        <f t="shared" si="0"/>
        <v>0</v>
      </c>
      <c r="I30" s="558">
        <f t="shared" si="5"/>
        <v>0</v>
      </c>
      <c r="J30" s="547"/>
      <c r="K30" s="548"/>
      <c r="L30" s="548"/>
      <c r="M30" s="539">
        <f t="shared" si="2"/>
        <v>0</v>
      </c>
      <c r="N30" s="558">
        <f t="shared" si="6"/>
        <v>0</v>
      </c>
      <c r="O30" s="540">
        <f t="shared" si="4"/>
        <v>0</v>
      </c>
    </row>
    <row r="31" spans="1:15" ht="15.75" x14ac:dyDescent="0.25">
      <c r="A31" s="544"/>
      <c r="B31" s="561"/>
      <c r="C31" s="554" t="s">
        <v>640</v>
      </c>
      <c r="D31" s="536"/>
      <c r="E31" s="547"/>
      <c r="F31" s="548"/>
      <c r="G31" s="548"/>
      <c r="H31" s="539">
        <f t="shared" si="0"/>
        <v>0</v>
      </c>
      <c r="I31" s="558">
        <f t="shared" si="5"/>
        <v>0</v>
      </c>
      <c r="J31" s="547"/>
      <c r="K31" s="548"/>
      <c r="L31" s="548"/>
      <c r="M31" s="539">
        <f t="shared" si="2"/>
        <v>0</v>
      </c>
      <c r="N31" s="558">
        <f t="shared" si="6"/>
        <v>0</v>
      </c>
      <c r="O31" s="540">
        <f t="shared" si="4"/>
        <v>0</v>
      </c>
    </row>
    <row r="32" spans="1:15" ht="15.75" x14ac:dyDescent="0.25">
      <c r="A32" s="544"/>
      <c r="B32" s="561"/>
      <c r="C32" s="554" t="s">
        <v>641</v>
      </c>
      <c r="D32" s="536"/>
      <c r="E32" s="547"/>
      <c r="F32" s="548"/>
      <c r="G32" s="548"/>
      <c r="H32" s="539">
        <f t="shared" si="0"/>
        <v>0</v>
      </c>
      <c r="I32" s="558">
        <f t="shared" si="5"/>
        <v>0</v>
      </c>
      <c r="J32" s="547"/>
      <c r="K32" s="548"/>
      <c r="L32" s="548"/>
      <c r="M32" s="539">
        <f t="shared" si="2"/>
        <v>0</v>
      </c>
      <c r="N32" s="558">
        <f t="shared" si="6"/>
        <v>0</v>
      </c>
      <c r="O32" s="540">
        <f t="shared" si="4"/>
        <v>0</v>
      </c>
    </row>
    <row r="33" spans="1:15" ht="15.75" x14ac:dyDescent="0.25">
      <c r="A33" s="544"/>
      <c r="B33" s="562" t="s">
        <v>642</v>
      </c>
      <c r="C33" s="562" t="s">
        <v>643</v>
      </c>
      <c r="D33" s="555"/>
      <c r="E33" s="547"/>
      <c r="F33" s="548"/>
      <c r="G33" s="548"/>
      <c r="H33" s="565">
        <f t="shared" si="0"/>
        <v>0</v>
      </c>
      <c r="I33" s="566">
        <f t="shared" si="5"/>
        <v>0</v>
      </c>
      <c r="J33" s="547"/>
      <c r="K33" s="548"/>
      <c r="L33" s="548"/>
      <c r="M33" s="565">
        <f t="shared" si="2"/>
        <v>0</v>
      </c>
      <c r="N33" s="566">
        <f t="shared" si="6"/>
        <v>0</v>
      </c>
      <c r="O33" s="540">
        <f t="shared" si="4"/>
        <v>0</v>
      </c>
    </row>
    <row r="34" spans="1:15" ht="15.75" x14ac:dyDescent="0.25">
      <c r="A34" s="544"/>
      <c r="B34" s="561"/>
      <c r="C34" s="562" t="s">
        <v>644</v>
      </c>
      <c r="D34" s="555" t="s">
        <v>62</v>
      </c>
      <c r="E34" s="547">
        <v>1</v>
      </c>
      <c r="F34" s="548">
        <f>6000000-G34</f>
        <v>5000000</v>
      </c>
      <c r="G34" s="548">
        <v>1000000</v>
      </c>
      <c r="H34" s="565">
        <f t="shared" si="0"/>
        <v>6000000</v>
      </c>
      <c r="I34" s="566">
        <f t="shared" si="5"/>
        <v>6000000</v>
      </c>
      <c r="J34" s="547">
        <v>1</v>
      </c>
      <c r="K34" s="548">
        <f>6000000-L34</f>
        <v>5000000</v>
      </c>
      <c r="L34" s="548">
        <v>1000000</v>
      </c>
      <c r="M34" s="565">
        <f t="shared" si="2"/>
        <v>6000000</v>
      </c>
      <c r="N34" s="566">
        <f t="shared" si="6"/>
        <v>6000000</v>
      </c>
      <c r="O34" s="540">
        <f t="shared" si="4"/>
        <v>0</v>
      </c>
    </row>
    <row r="35" spans="1:15" ht="15.75" x14ac:dyDescent="0.25">
      <c r="A35" s="544"/>
      <c r="B35" s="561"/>
      <c r="C35" s="554" t="s">
        <v>645</v>
      </c>
      <c r="D35" s="536"/>
      <c r="E35" s="547"/>
      <c r="F35" s="548"/>
      <c r="G35" s="548"/>
      <c r="H35" s="539">
        <f t="shared" si="0"/>
        <v>0</v>
      </c>
      <c r="I35" s="558">
        <f t="shared" si="5"/>
        <v>0</v>
      </c>
      <c r="J35" s="547"/>
      <c r="K35" s="548"/>
      <c r="L35" s="548"/>
      <c r="M35" s="539">
        <f t="shared" si="2"/>
        <v>0</v>
      </c>
      <c r="N35" s="558">
        <f t="shared" si="6"/>
        <v>0</v>
      </c>
      <c r="O35" s="540">
        <f t="shared" si="4"/>
        <v>0</v>
      </c>
    </row>
    <row r="36" spans="1:15" ht="15.75" x14ac:dyDescent="0.25">
      <c r="A36" s="544"/>
      <c r="B36" s="561"/>
      <c r="C36" s="554" t="s">
        <v>646</v>
      </c>
      <c r="D36" s="536"/>
      <c r="E36" s="547"/>
      <c r="F36" s="548"/>
      <c r="G36" s="548"/>
      <c r="H36" s="539">
        <f t="shared" si="0"/>
        <v>0</v>
      </c>
      <c r="I36" s="558">
        <f t="shared" si="5"/>
        <v>0</v>
      </c>
      <c r="J36" s="547"/>
      <c r="K36" s="548"/>
      <c r="L36" s="548"/>
      <c r="M36" s="539">
        <f t="shared" si="2"/>
        <v>0</v>
      </c>
      <c r="N36" s="558">
        <f t="shared" si="6"/>
        <v>0</v>
      </c>
      <c r="O36" s="540">
        <f t="shared" si="4"/>
        <v>0</v>
      </c>
    </row>
    <row r="37" spans="1:15" ht="15.75" x14ac:dyDescent="0.25">
      <c r="A37" s="544"/>
      <c r="B37" s="561"/>
      <c r="C37" s="554" t="s">
        <v>647</v>
      </c>
      <c r="D37" s="536"/>
      <c r="E37" s="547"/>
      <c r="F37" s="548"/>
      <c r="G37" s="548"/>
      <c r="H37" s="539">
        <f t="shared" si="0"/>
        <v>0</v>
      </c>
      <c r="I37" s="558">
        <f t="shared" si="5"/>
        <v>0</v>
      </c>
      <c r="J37" s="547"/>
      <c r="K37" s="548"/>
      <c r="L37" s="548"/>
      <c r="M37" s="539">
        <f t="shared" si="2"/>
        <v>0</v>
      </c>
      <c r="N37" s="558">
        <f t="shared" si="6"/>
        <v>0</v>
      </c>
      <c r="O37" s="540">
        <f t="shared" si="4"/>
        <v>0</v>
      </c>
    </row>
    <row r="38" spans="1:15" ht="15.75" x14ac:dyDescent="0.25">
      <c r="A38" s="544"/>
      <c r="B38" s="561"/>
      <c r="C38" s="554"/>
      <c r="D38" s="536"/>
      <c r="E38" s="547"/>
      <c r="F38" s="548"/>
      <c r="G38" s="548"/>
      <c r="H38" s="539">
        <f t="shared" si="0"/>
        <v>0</v>
      </c>
      <c r="I38" s="558">
        <f t="shared" si="5"/>
        <v>0</v>
      </c>
      <c r="J38" s="547"/>
      <c r="K38" s="548"/>
      <c r="L38" s="548"/>
      <c r="M38" s="539">
        <f t="shared" si="2"/>
        <v>0</v>
      </c>
      <c r="N38" s="558">
        <f t="shared" si="6"/>
        <v>0</v>
      </c>
      <c r="O38" s="540">
        <f t="shared" si="4"/>
        <v>0</v>
      </c>
    </row>
    <row r="39" spans="1:15" ht="15.75" x14ac:dyDescent="0.25">
      <c r="A39" s="564" t="s">
        <v>648</v>
      </c>
      <c r="B39" s="562" t="s">
        <v>649</v>
      </c>
      <c r="C39" s="562" t="s">
        <v>650</v>
      </c>
      <c r="D39" s="555" t="s">
        <v>62</v>
      </c>
      <c r="E39" s="547">
        <v>5</v>
      </c>
      <c r="F39" s="548">
        <f>6000000-G39</f>
        <v>5000000</v>
      </c>
      <c r="G39" s="548">
        <v>1000000</v>
      </c>
      <c r="H39" s="565">
        <f t="shared" si="0"/>
        <v>6000000</v>
      </c>
      <c r="I39" s="566">
        <f t="shared" si="5"/>
        <v>30000000</v>
      </c>
      <c r="J39" s="547">
        <v>5</v>
      </c>
      <c r="K39" s="548">
        <f>6000000-L39</f>
        <v>5000000</v>
      </c>
      <c r="L39" s="548">
        <v>1000000</v>
      </c>
      <c r="M39" s="565">
        <f t="shared" si="2"/>
        <v>6000000</v>
      </c>
      <c r="N39" s="566">
        <f t="shared" si="6"/>
        <v>30000000</v>
      </c>
      <c r="O39" s="540">
        <f t="shared" si="4"/>
        <v>0</v>
      </c>
    </row>
    <row r="40" spans="1:15" ht="15.75" x14ac:dyDescent="0.25">
      <c r="A40" s="544"/>
      <c r="B40" s="561"/>
      <c r="C40" s="554" t="s">
        <v>651</v>
      </c>
      <c r="D40" s="536"/>
      <c r="E40" s="547"/>
      <c r="F40" s="548"/>
      <c r="G40" s="548"/>
      <c r="H40" s="539">
        <f t="shared" si="0"/>
        <v>0</v>
      </c>
      <c r="I40" s="558">
        <f t="shared" si="5"/>
        <v>0</v>
      </c>
      <c r="J40" s="547"/>
      <c r="K40" s="548"/>
      <c r="L40" s="548"/>
      <c r="M40" s="539">
        <f t="shared" si="2"/>
        <v>0</v>
      </c>
      <c r="N40" s="558">
        <f t="shared" si="6"/>
        <v>0</v>
      </c>
      <c r="O40" s="540">
        <f t="shared" si="4"/>
        <v>0</v>
      </c>
    </row>
    <row r="41" spans="1:15" ht="15.75" x14ac:dyDescent="0.25">
      <c r="A41" s="544"/>
      <c r="B41" s="561"/>
      <c r="C41" s="554" t="s">
        <v>652</v>
      </c>
      <c r="D41" s="536"/>
      <c r="E41" s="547"/>
      <c r="F41" s="548"/>
      <c r="G41" s="548"/>
      <c r="H41" s="539">
        <f t="shared" si="0"/>
        <v>0</v>
      </c>
      <c r="I41" s="558">
        <f t="shared" si="5"/>
        <v>0</v>
      </c>
      <c r="J41" s="547"/>
      <c r="K41" s="548"/>
      <c r="L41" s="548"/>
      <c r="M41" s="539">
        <f t="shared" si="2"/>
        <v>0</v>
      </c>
      <c r="N41" s="558">
        <f t="shared" si="6"/>
        <v>0</v>
      </c>
      <c r="O41" s="540">
        <f t="shared" si="4"/>
        <v>0</v>
      </c>
    </row>
    <row r="42" spans="1:15" ht="15.75" x14ac:dyDescent="0.25">
      <c r="A42" s="544"/>
      <c r="B42" s="561"/>
      <c r="C42" s="554" t="s">
        <v>653</v>
      </c>
      <c r="D42" s="536"/>
      <c r="E42" s="547"/>
      <c r="F42" s="548"/>
      <c r="G42" s="548"/>
      <c r="H42" s="539">
        <f t="shared" si="0"/>
        <v>0</v>
      </c>
      <c r="I42" s="558">
        <f t="shared" si="5"/>
        <v>0</v>
      </c>
      <c r="J42" s="547"/>
      <c r="K42" s="548"/>
      <c r="L42" s="548"/>
      <c r="M42" s="539">
        <f t="shared" si="2"/>
        <v>0</v>
      </c>
      <c r="N42" s="558">
        <f t="shared" si="6"/>
        <v>0</v>
      </c>
      <c r="O42" s="540">
        <f t="shared" si="4"/>
        <v>0</v>
      </c>
    </row>
    <row r="43" spans="1:15" ht="15.75" x14ac:dyDescent="0.25">
      <c r="A43" s="567" t="s">
        <v>654</v>
      </c>
      <c r="B43" s="554" t="s">
        <v>655</v>
      </c>
      <c r="C43" s="554" t="s">
        <v>656</v>
      </c>
      <c r="D43" s="536" t="s">
        <v>62</v>
      </c>
      <c r="E43" s="547">
        <v>4</v>
      </c>
      <c r="F43" s="548">
        <f>6000000-G43</f>
        <v>5000000</v>
      </c>
      <c r="G43" s="548">
        <v>1000000</v>
      </c>
      <c r="H43" s="539">
        <f t="shared" si="0"/>
        <v>6000000</v>
      </c>
      <c r="I43" s="558">
        <f t="shared" si="5"/>
        <v>24000000</v>
      </c>
      <c r="J43" s="547">
        <v>4</v>
      </c>
      <c r="K43" s="548">
        <f>6000000-L43</f>
        <v>5000000</v>
      </c>
      <c r="L43" s="548">
        <v>1000000</v>
      </c>
      <c r="M43" s="539">
        <f t="shared" si="2"/>
        <v>6000000</v>
      </c>
      <c r="N43" s="558">
        <f t="shared" si="6"/>
        <v>24000000</v>
      </c>
      <c r="O43" s="540">
        <f t="shared" si="4"/>
        <v>0</v>
      </c>
    </row>
    <row r="44" spans="1:15" ht="15.75" x14ac:dyDescent="0.25">
      <c r="A44" s="544"/>
      <c r="B44" s="561"/>
      <c r="C44" s="554" t="s">
        <v>657</v>
      </c>
      <c r="D44" s="536"/>
      <c r="E44" s="547"/>
      <c r="F44" s="548"/>
      <c r="G44" s="548"/>
      <c r="H44" s="539">
        <f t="shared" si="0"/>
        <v>0</v>
      </c>
      <c r="I44" s="558">
        <f t="shared" si="5"/>
        <v>0</v>
      </c>
      <c r="J44" s="547"/>
      <c r="K44" s="548"/>
      <c r="L44" s="548"/>
      <c r="M44" s="539">
        <f t="shared" si="2"/>
        <v>0</v>
      </c>
      <c r="N44" s="558">
        <f t="shared" si="6"/>
        <v>0</v>
      </c>
      <c r="O44" s="540">
        <f t="shared" si="4"/>
        <v>0</v>
      </c>
    </row>
    <row r="45" spans="1:15" ht="15.75" x14ac:dyDescent="0.25">
      <c r="A45" s="544"/>
      <c r="B45" s="561"/>
      <c r="C45" s="554" t="s">
        <v>658</v>
      </c>
      <c r="D45" s="536"/>
      <c r="E45" s="547"/>
      <c r="F45" s="548"/>
      <c r="G45" s="548"/>
      <c r="H45" s="539">
        <f t="shared" si="0"/>
        <v>0</v>
      </c>
      <c r="I45" s="558">
        <f t="shared" si="5"/>
        <v>0</v>
      </c>
      <c r="J45" s="547"/>
      <c r="K45" s="548"/>
      <c r="L45" s="548"/>
      <c r="M45" s="539">
        <f t="shared" si="2"/>
        <v>0</v>
      </c>
      <c r="N45" s="558">
        <f t="shared" si="6"/>
        <v>0</v>
      </c>
      <c r="O45" s="540">
        <f t="shared" si="4"/>
        <v>0</v>
      </c>
    </row>
    <row r="46" spans="1:15" ht="15.75" x14ac:dyDescent="0.25">
      <c r="A46" s="544"/>
      <c r="B46" s="561"/>
      <c r="C46" s="554" t="s">
        <v>659</v>
      </c>
      <c r="D46" s="536"/>
      <c r="E46" s="547"/>
      <c r="F46" s="548"/>
      <c r="G46" s="548"/>
      <c r="H46" s="539">
        <f t="shared" si="0"/>
        <v>0</v>
      </c>
      <c r="I46" s="558">
        <f t="shared" si="5"/>
        <v>0</v>
      </c>
      <c r="J46" s="547"/>
      <c r="K46" s="548"/>
      <c r="L46" s="548"/>
      <c r="M46" s="539">
        <f t="shared" si="2"/>
        <v>0</v>
      </c>
      <c r="N46" s="558">
        <f t="shared" si="6"/>
        <v>0</v>
      </c>
      <c r="O46" s="540">
        <f t="shared" si="4"/>
        <v>0</v>
      </c>
    </row>
    <row r="47" spans="1:15" ht="15.75" x14ac:dyDescent="0.25">
      <c r="A47" s="544"/>
      <c r="B47" s="561"/>
      <c r="C47" s="554" t="s">
        <v>660</v>
      </c>
      <c r="D47" s="536"/>
      <c r="E47" s="547"/>
      <c r="F47" s="548"/>
      <c r="G47" s="548"/>
      <c r="H47" s="539">
        <f t="shared" si="0"/>
        <v>0</v>
      </c>
      <c r="I47" s="558">
        <f t="shared" si="5"/>
        <v>0</v>
      </c>
      <c r="J47" s="547"/>
      <c r="K47" s="548"/>
      <c r="L47" s="548"/>
      <c r="M47" s="539">
        <f t="shared" si="2"/>
        <v>0</v>
      </c>
      <c r="N47" s="558">
        <f t="shared" si="6"/>
        <v>0</v>
      </c>
      <c r="O47" s="540">
        <f t="shared" si="4"/>
        <v>0</v>
      </c>
    </row>
    <row r="48" spans="1:15" ht="15.75" x14ac:dyDescent="0.25">
      <c r="A48" s="544"/>
      <c r="B48" s="554"/>
      <c r="C48" s="554" t="s">
        <v>661</v>
      </c>
      <c r="D48" s="536"/>
      <c r="E48" s="547"/>
      <c r="F48" s="548"/>
      <c r="G48" s="548"/>
      <c r="H48" s="539">
        <f t="shared" si="0"/>
        <v>0</v>
      </c>
      <c r="I48" s="558">
        <f t="shared" si="5"/>
        <v>0</v>
      </c>
      <c r="J48" s="547"/>
      <c r="K48" s="548"/>
      <c r="L48" s="548"/>
      <c r="M48" s="539">
        <f t="shared" si="2"/>
        <v>0</v>
      </c>
      <c r="N48" s="558">
        <f t="shared" si="6"/>
        <v>0</v>
      </c>
      <c r="O48" s="540">
        <f t="shared" si="4"/>
        <v>0</v>
      </c>
    </row>
    <row r="49" spans="1:16" ht="15.75" x14ac:dyDescent="0.25">
      <c r="A49" s="544">
        <v>10</v>
      </c>
      <c r="B49" s="554" t="s">
        <v>662</v>
      </c>
      <c r="C49" s="554" t="s">
        <v>650</v>
      </c>
      <c r="D49" s="536" t="s">
        <v>62</v>
      </c>
      <c r="E49" s="547">
        <v>1</v>
      </c>
      <c r="F49" s="548">
        <f>6000000-G49</f>
        <v>5000000</v>
      </c>
      <c r="G49" s="548">
        <v>1000000</v>
      </c>
      <c r="H49" s="539">
        <f t="shared" si="0"/>
        <v>6000000</v>
      </c>
      <c r="I49" s="558">
        <f t="shared" si="5"/>
        <v>6000000</v>
      </c>
      <c r="J49" s="547">
        <v>1</v>
      </c>
      <c r="K49" s="548">
        <f>6000000-L49</f>
        <v>5000000</v>
      </c>
      <c r="L49" s="548">
        <v>1000000</v>
      </c>
      <c r="M49" s="539">
        <f t="shared" si="2"/>
        <v>6000000</v>
      </c>
      <c r="N49" s="558">
        <f t="shared" si="6"/>
        <v>6000000</v>
      </c>
      <c r="O49" s="540">
        <f t="shared" si="4"/>
        <v>0</v>
      </c>
    </row>
    <row r="50" spans="1:16" ht="15.75" x14ac:dyDescent="0.25">
      <c r="A50" s="544">
        <v>11</v>
      </c>
      <c r="B50" s="554" t="s">
        <v>663</v>
      </c>
      <c r="C50" s="554" t="s">
        <v>651</v>
      </c>
      <c r="D50" s="536" t="s">
        <v>62</v>
      </c>
      <c r="E50" s="547">
        <v>1</v>
      </c>
      <c r="F50" s="548">
        <f>6000000-G50</f>
        <v>5000000</v>
      </c>
      <c r="G50" s="548">
        <v>1000000</v>
      </c>
      <c r="H50" s="539">
        <f t="shared" si="0"/>
        <v>6000000</v>
      </c>
      <c r="I50" s="558">
        <f t="shared" si="5"/>
        <v>6000000</v>
      </c>
      <c r="J50" s="547">
        <v>1</v>
      </c>
      <c r="K50" s="548">
        <f>6000000-L50</f>
        <v>5000000</v>
      </c>
      <c r="L50" s="548">
        <v>1000000</v>
      </c>
      <c r="M50" s="539">
        <f t="shared" si="2"/>
        <v>6000000</v>
      </c>
      <c r="N50" s="558">
        <f t="shared" si="6"/>
        <v>6000000</v>
      </c>
      <c r="O50" s="540">
        <f t="shared" si="4"/>
        <v>0</v>
      </c>
    </row>
    <row r="51" spans="1:16" ht="15.75" x14ac:dyDescent="0.25">
      <c r="A51" s="544">
        <v>12</v>
      </c>
      <c r="B51" s="554" t="s">
        <v>664</v>
      </c>
      <c r="C51" s="554" t="s">
        <v>652</v>
      </c>
      <c r="D51" s="536" t="s">
        <v>62</v>
      </c>
      <c r="E51" s="547">
        <v>2</v>
      </c>
      <c r="F51" s="548">
        <f>6000000-G51</f>
        <v>5000000</v>
      </c>
      <c r="G51" s="548">
        <v>1000000</v>
      </c>
      <c r="H51" s="539">
        <f t="shared" si="0"/>
        <v>6000000</v>
      </c>
      <c r="I51" s="558">
        <f t="shared" si="5"/>
        <v>12000000</v>
      </c>
      <c r="J51" s="547">
        <v>2</v>
      </c>
      <c r="K51" s="548">
        <f>6000000-L51</f>
        <v>5000000</v>
      </c>
      <c r="L51" s="548">
        <v>1000000</v>
      </c>
      <c r="M51" s="539">
        <f t="shared" si="2"/>
        <v>6000000</v>
      </c>
      <c r="N51" s="558">
        <f t="shared" si="6"/>
        <v>12000000</v>
      </c>
      <c r="O51" s="540">
        <f t="shared" si="4"/>
        <v>0</v>
      </c>
    </row>
    <row r="52" spans="1:16" ht="15.75" x14ac:dyDescent="0.25">
      <c r="A52" s="544"/>
      <c r="B52" s="554"/>
      <c r="C52" s="554"/>
      <c r="D52" s="536"/>
      <c r="E52" s="547"/>
      <c r="F52" s="548"/>
      <c r="G52" s="548"/>
      <c r="H52" s="539">
        <f t="shared" si="0"/>
        <v>0</v>
      </c>
      <c r="I52" s="558">
        <f t="shared" si="5"/>
        <v>0</v>
      </c>
      <c r="J52" s="547"/>
      <c r="K52" s="548"/>
      <c r="L52" s="548"/>
      <c r="M52" s="539">
        <f t="shared" si="2"/>
        <v>0</v>
      </c>
      <c r="N52" s="558">
        <f t="shared" si="6"/>
        <v>0</v>
      </c>
      <c r="O52" s="540">
        <f t="shared" si="4"/>
        <v>0</v>
      </c>
    </row>
    <row r="53" spans="1:16" ht="15.75" x14ac:dyDescent="0.25">
      <c r="A53" s="568">
        <v>13</v>
      </c>
      <c r="B53" s="569" t="s">
        <v>665</v>
      </c>
      <c r="C53" s="570" t="s">
        <v>666</v>
      </c>
      <c r="D53" s="571" t="s">
        <v>62</v>
      </c>
      <c r="E53" s="572">
        <v>1</v>
      </c>
      <c r="F53" s="573">
        <v>12000000</v>
      </c>
      <c r="G53" s="573">
        <v>3000000</v>
      </c>
      <c r="H53" s="574">
        <f t="shared" si="0"/>
        <v>15000000</v>
      </c>
      <c r="I53" s="575">
        <f t="shared" si="5"/>
        <v>15000000</v>
      </c>
      <c r="J53" s="572">
        <v>1</v>
      </c>
      <c r="K53" s="573"/>
      <c r="L53" s="573">
        <v>3000000</v>
      </c>
      <c r="M53" s="574">
        <f t="shared" si="2"/>
        <v>3000000</v>
      </c>
      <c r="N53" s="575">
        <f t="shared" si="6"/>
        <v>3000000</v>
      </c>
      <c r="O53" s="576">
        <f t="shared" si="4"/>
        <v>-12000000</v>
      </c>
      <c r="P53" s="577" t="s">
        <v>667</v>
      </c>
    </row>
    <row r="54" spans="1:16" ht="15.75" x14ac:dyDescent="0.25">
      <c r="A54" s="568">
        <v>14</v>
      </c>
      <c r="B54" s="569" t="s">
        <v>668</v>
      </c>
      <c r="C54" s="570" t="s">
        <v>669</v>
      </c>
      <c r="D54" s="571" t="s">
        <v>62</v>
      </c>
      <c r="E54" s="572">
        <v>1</v>
      </c>
      <c r="F54" s="573">
        <f>12000000-G54</f>
        <v>10000000</v>
      </c>
      <c r="G54" s="573">
        <v>2000000</v>
      </c>
      <c r="H54" s="574">
        <f t="shared" si="0"/>
        <v>12000000</v>
      </c>
      <c r="I54" s="575">
        <f t="shared" si="5"/>
        <v>12000000</v>
      </c>
      <c r="J54" s="572">
        <v>1</v>
      </c>
      <c r="K54" s="573"/>
      <c r="L54" s="573">
        <v>2000000</v>
      </c>
      <c r="M54" s="574">
        <f t="shared" si="2"/>
        <v>2000000</v>
      </c>
      <c r="N54" s="575">
        <f t="shared" si="6"/>
        <v>2000000</v>
      </c>
      <c r="O54" s="576">
        <f t="shared" si="4"/>
        <v>-10000000</v>
      </c>
      <c r="P54" s="577" t="s">
        <v>667</v>
      </c>
    </row>
    <row r="55" spans="1:16" ht="15.75" x14ac:dyDescent="0.25">
      <c r="A55" s="568">
        <v>15</v>
      </c>
      <c r="B55" s="569" t="s">
        <v>670</v>
      </c>
      <c r="C55" s="570" t="s">
        <v>671</v>
      </c>
      <c r="D55" s="571" t="s">
        <v>62</v>
      </c>
      <c r="E55" s="572">
        <v>1</v>
      </c>
      <c r="F55" s="573">
        <v>12000000</v>
      </c>
      <c r="G55" s="573">
        <v>2000000</v>
      </c>
      <c r="H55" s="574">
        <f t="shared" si="0"/>
        <v>14000000</v>
      </c>
      <c r="I55" s="575">
        <f t="shared" si="5"/>
        <v>14000000</v>
      </c>
      <c r="J55" s="572">
        <v>1</v>
      </c>
      <c r="K55" s="573"/>
      <c r="L55" s="573">
        <v>2000000</v>
      </c>
      <c r="M55" s="574">
        <f t="shared" si="2"/>
        <v>2000000</v>
      </c>
      <c r="N55" s="575">
        <f t="shared" si="6"/>
        <v>2000000</v>
      </c>
      <c r="O55" s="576">
        <f t="shared" si="4"/>
        <v>-12000000</v>
      </c>
      <c r="P55" s="577" t="s">
        <v>667</v>
      </c>
    </row>
    <row r="56" spans="1:16" ht="15.75" x14ac:dyDescent="0.25">
      <c r="A56" s="568">
        <v>16</v>
      </c>
      <c r="B56" s="569" t="s">
        <v>672</v>
      </c>
      <c r="C56" s="570" t="s">
        <v>673</v>
      </c>
      <c r="D56" s="571" t="s">
        <v>62</v>
      </c>
      <c r="E56" s="572">
        <v>1</v>
      </c>
      <c r="F56" s="573">
        <v>15000000</v>
      </c>
      <c r="G56" s="573">
        <v>2000000</v>
      </c>
      <c r="H56" s="574">
        <f t="shared" si="0"/>
        <v>17000000</v>
      </c>
      <c r="I56" s="575">
        <f t="shared" si="5"/>
        <v>17000000</v>
      </c>
      <c r="J56" s="572">
        <v>1</v>
      </c>
      <c r="K56" s="573"/>
      <c r="L56" s="573">
        <v>2000000</v>
      </c>
      <c r="M56" s="574">
        <f t="shared" si="2"/>
        <v>2000000</v>
      </c>
      <c r="N56" s="575">
        <f t="shared" si="6"/>
        <v>2000000</v>
      </c>
      <c r="O56" s="576">
        <f t="shared" si="4"/>
        <v>-15000000</v>
      </c>
      <c r="P56" s="577" t="s">
        <v>667</v>
      </c>
    </row>
    <row r="57" spans="1:16" ht="15.75" x14ac:dyDescent="0.25">
      <c r="A57" s="544"/>
      <c r="B57" s="561"/>
      <c r="C57" s="554" t="s">
        <v>674</v>
      </c>
      <c r="D57" s="536"/>
      <c r="E57" s="547"/>
      <c r="F57" s="548"/>
      <c r="G57" s="548"/>
      <c r="H57" s="539">
        <f t="shared" si="0"/>
        <v>0</v>
      </c>
      <c r="I57" s="558">
        <f t="shared" si="5"/>
        <v>0</v>
      </c>
      <c r="J57" s="547"/>
      <c r="K57" s="548"/>
      <c r="L57" s="548"/>
      <c r="M57" s="539">
        <f t="shared" si="2"/>
        <v>0</v>
      </c>
      <c r="N57" s="558">
        <f t="shared" si="6"/>
        <v>0</v>
      </c>
      <c r="O57" s="576">
        <f t="shared" si="4"/>
        <v>0</v>
      </c>
      <c r="P57" s="577"/>
    </row>
    <row r="58" spans="1:16" ht="15.75" x14ac:dyDescent="0.25">
      <c r="A58" s="568">
        <v>17</v>
      </c>
      <c r="B58" s="569" t="s">
        <v>675</v>
      </c>
      <c r="C58" s="578" t="s">
        <v>676</v>
      </c>
      <c r="D58" s="571" t="s">
        <v>62</v>
      </c>
      <c r="E58" s="572">
        <v>1</v>
      </c>
      <c r="F58" s="573">
        <v>4500000</v>
      </c>
      <c r="G58" s="573">
        <v>1000000</v>
      </c>
      <c r="H58" s="574">
        <f t="shared" si="0"/>
        <v>5500000</v>
      </c>
      <c r="I58" s="575">
        <f t="shared" si="5"/>
        <v>5500000</v>
      </c>
      <c r="J58" s="572">
        <v>1</v>
      </c>
      <c r="K58" s="573"/>
      <c r="L58" s="573">
        <v>1000000</v>
      </c>
      <c r="M58" s="574">
        <f t="shared" si="2"/>
        <v>1000000</v>
      </c>
      <c r="N58" s="575">
        <f t="shared" si="6"/>
        <v>1000000</v>
      </c>
      <c r="O58" s="576">
        <f t="shared" si="4"/>
        <v>-4500000</v>
      </c>
      <c r="P58" s="577" t="s">
        <v>667</v>
      </c>
    </row>
    <row r="59" spans="1:16" ht="15.75" x14ac:dyDescent="0.25">
      <c r="A59" s="568">
        <v>18</v>
      </c>
      <c r="B59" s="569" t="s">
        <v>677</v>
      </c>
      <c r="C59" s="578" t="s">
        <v>678</v>
      </c>
      <c r="D59" s="571" t="s">
        <v>62</v>
      </c>
      <c r="E59" s="572">
        <v>1</v>
      </c>
      <c r="F59" s="573">
        <v>4000000</v>
      </c>
      <c r="G59" s="573">
        <v>500000</v>
      </c>
      <c r="H59" s="574">
        <f t="shared" si="0"/>
        <v>4500000</v>
      </c>
      <c r="I59" s="575">
        <f t="shared" si="5"/>
        <v>4500000</v>
      </c>
      <c r="J59" s="572">
        <v>1</v>
      </c>
      <c r="K59" s="573"/>
      <c r="L59" s="573">
        <v>500000</v>
      </c>
      <c r="M59" s="574">
        <f t="shared" si="2"/>
        <v>500000</v>
      </c>
      <c r="N59" s="575">
        <f t="shared" si="6"/>
        <v>500000</v>
      </c>
      <c r="O59" s="579">
        <f t="shared" si="4"/>
        <v>-4000000</v>
      </c>
      <c r="P59" s="577" t="s">
        <v>667</v>
      </c>
    </row>
    <row r="60" spans="1:16" ht="15.75" x14ac:dyDescent="0.25">
      <c r="A60" s="568">
        <v>19</v>
      </c>
      <c r="B60" s="569" t="s">
        <v>679</v>
      </c>
      <c r="C60" s="578" t="s">
        <v>676</v>
      </c>
      <c r="D60" s="571" t="s">
        <v>62</v>
      </c>
      <c r="E60" s="572">
        <v>1</v>
      </c>
      <c r="F60" s="573">
        <v>10000000</v>
      </c>
      <c r="G60" s="573">
        <v>2000000</v>
      </c>
      <c r="H60" s="574">
        <f t="shared" si="0"/>
        <v>12000000</v>
      </c>
      <c r="I60" s="575">
        <f t="shared" si="5"/>
        <v>12000000</v>
      </c>
      <c r="J60" s="572">
        <v>1</v>
      </c>
      <c r="K60" s="573"/>
      <c r="L60" s="573">
        <v>2000000</v>
      </c>
      <c r="M60" s="574">
        <f t="shared" si="2"/>
        <v>2000000</v>
      </c>
      <c r="N60" s="575">
        <f t="shared" si="6"/>
        <v>2000000</v>
      </c>
      <c r="O60" s="576">
        <f t="shared" si="4"/>
        <v>-10000000</v>
      </c>
      <c r="P60" s="577" t="s">
        <v>667</v>
      </c>
    </row>
    <row r="61" spans="1:16" ht="15.75" x14ac:dyDescent="0.25">
      <c r="A61" s="568">
        <v>20</v>
      </c>
      <c r="B61" s="569" t="s">
        <v>680</v>
      </c>
      <c r="C61" s="578" t="s">
        <v>678</v>
      </c>
      <c r="D61" s="571" t="s">
        <v>62</v>
      </c>
      <c r="E61" s="572">
        <v>1</v>
      </c>
      <c r="F61" s="573">
        <v>4000000</v>
      </c>
      <c r="G61" s="573">
        <v>500000</v>
      </c>
      <c r="H61" s="574">
        <f t="shared" si="0"/>
        <v>4500000</v>
      </c>
      <c r="I61" s="575">
        <f t="shared" si="5"/>
        <v>4500000</v>
      </c>
      <c r="J61" s="572">
        <v>1</v>
      </c>
      <c r="K61" s="573"/>
      <c r="L61" s="573">
        <v>500000</v>
      </c>
      <c r="M61" s="574">
        <f t="shared" si="2"/>
        <v>500000</v>
      </c>
      <c r="N61" s="575">
        <f t="shared" si="6"/>
        <v>500000</v>
      </c>
      <c r="O61" s="576">
        <f t="shared" si="4"/>
        <v>-4000000</v>
      </c>
      <c r="P61" s="577" t="s">
        <v>667</v>
      </c>
    </row>
    <row r="62" spans="1:16" ht="15.75" x14ac:dyDescent="0.25">
      <c r="A62" s="568">
        <v>21</v>
      </c>
      <c r="B62" s="569" t="s">
        <v>681</v>
      </c>
      <c r="C62" s="578" t="s">
        <v>676</v>
      </c>
      <c r="D62" s="571" t="s">
        <v>62</v>
      </c>
      <c r="E62" s="572">
        <v>1</v>
      </c>
      <c r="F62" s="573">
        <v>10000000</v>
      </c>
      <c r="G62" s="573">
        <v>2000000</v>
      </c>
      <c r="H62" s="574">
        <f t="shared" si="0"/>
        <v>12000000</v>
      </c>
      <c r="I62" s="575">
        <f t="shared" si="5"/>
        <v>12000000</v>
      </c>
      <c r="J62" s="572">
        <v>1</v>
      </c>
      <c r="K62" s="573"/>
      <c r="L62" s="573">
        <v>2000000</v>
      </c>
      <c r="M62" s="574">
        <f t="shared" si="2"/>
        <v>2000000</v>
      </c>
      <c r="N62" s="575">
        <f t="shared" si="6"/>
        <v>2000000</v>
      </c>
      <c r="O62" s="576">
        <f t="shared" si="4"/>
        <v>-10000000</v>
      </c>
      <c r="P62" s="577" t="s">
        <v>667</v>
      </c>
    </row>
    <row r="63" spans="1:16" ht="15.75" x14ac:dyDescent="0.25">
      <c r="A63" s="568">
        <v>22</v>
      </c>
      <c r="B63" s="569" t="s">
        <v>682</v>
      </c>
      <c r="C63" s="578" t="s">
        <v>678</v>
      </c>
      <c r="D63" s="571" t="s">
        <v>62</v>
      </c>
      <c r="E63" s="572">
        <v>1</v>
      </c>
      <c r="F63" s="573">
        <v>8000000</v>
      </c>
      <c r="G63" s="573">
        <v>1000000</v>
      </c>
      <c r="H63" s="574">
        <f t="shared" si="0"/>
        <v>9000000</v>
      </c>
      <c r="I63" s="575">
        <f t="shared" si="5"/>
        <v>9000000</v>
      </c>
      <c r="J63" s="572">
        <v>1</v>
      </c>
      <c r="K63" s="573"/>
      <c r="L63" s="573">
        <v>1000000</v>
      </c>
      <c r="M63" s="574">
        <f t="shared" si="2"/>
        <v>1000000</v>
      </c>
      <c r="N63" s="575">
        <f t="shared" si="6"/>
        <v>1000000</v>
      </c>
      <c r="O63" s="576">
        <f t="shared" si="4"/>
        <v>-8000000</v>
      </c>
      <c r="P63" s="577" t="s">
        <v>667</v>
      </c>
    </row>
    <row r="64" spans="1:16" ht="15.75" x14ac:dyDescent="0.25">
      <c r="A64" s="568">
        <v>23</v>
      </c>
      <c r="B64" s="569" t="s">
        <v>683</v>
      </c>
      <c r="C64" s="578" t="s">
        <v>676</v>
      </c>
      <c r="D64" s="571" t="s">
        <v>62</v>
      </c>
      <c r="E64" s="572">
        <v>1</v>
      </c>
      <c r="F64" s="573">
        <v>7000000</v>
      </c>
      <c r="G64" s="573">
        <v>1000000</v>
      </c>
      <c r="H64" s="574">
        <f t="shared" si="0"/>
        <v>8000000</v>
      </c>
      <c r="I64" s="575">
        <f t="shared" si="5"/>
        <v>8000000</v>
      </c>
      <c r="J64" s="572">
        <v>1</v>
      </c>
      <c r="K64" s="573"/>
      <c r="L64" s="573">
        <v>1000000</v>
      </c>
      <c r="M64" s="574">
        <f t="shared" si="2"/>
        <v>1000000</v>
      </c>
      <c r="N64" s="575">
        <f t="shared" si="6"/>
        <v>1000000</v>
      </c>
      <c r="O64" s="579">
        <f t="shared" si="4"/>
        <v>-7000000</v>
      </c>
      <c r="P64" s="577" t="s">
        <v>667</v>
      </c>
    </row>
    <row r="65" spans="1:15" ht="15.75" x14ac:dyDescent="0.25">
      <c r="A65" s="544">
        <v>24</v>
      </c>
      <c r="B65" s="561" t="s">
        <v>684</v>
      </c>
      <c r="C65" s="552" t="s">
        <v>685</v>
      </c>
      <c r="D65" s="536" t="s">
        <v>62</v>
      </c>
      <c r="E65" s="547">
        <v>2</v>
      </c>
      <c r="F65" s="548">
        <v>900000</v>
      </c>
      <c r="G65" s="548">
        <v>300000</v>
      </c>
      <c r="H65" s="539">
        <f t="shared" si="0"/>
        <v>1200000</v>
      </c>
      <c r="I65" s="558">
        <f t="shared" si="5"/>
        <v>2400000</v>
      </c>
      <c r="J65" s="547">
        <v>2</v>
      </c>
      <c r="K65" s="548">
        <v>900000</v>
      </c>
      <c r="L65" s="548">
        <v>300000</v>
      </c>
      <c r="M65" s="539">
        <f t="shared" si="2"/>
        <v>1200000</v>
      </c>
      <c r="N65" s="558">
        <f t="shared" si="6"/>
        <v>2400000</v>
      </c>
      <c r="O65" s="540">
        <f t="shared" si="4"/>
        <v>0</v>
      </c>
    </row>
    <row r="66" spans="1:15" ht="15.75" x14ac:dyDescent="0.25">
      <c r="A66" s="544">
        <v>25</v>
      </c>
      <c r="B66" s="561" t="s">
        <v>686</v>
      </c>
      <c r="C66" s="552" t="s">
        <v>685</v>
      </c>
      <c r="D66" s="536" t="s">
        <v>62</v>
      </c>
      <c r="E66" s="547">
        <v>2</v>
      </c>
      <c r="F66" s="548">
        <v>900000</v>
      </c>
      <c r="G66" s="548">
        <v>300000</v>
      </c>
      <c r="H66" s="539">
        <f t="shared" si="0"/>
        <v>1200000</v>
      </c>
      <c r="I66" s="558">
        <f t="shared" si="5"/>
        <v>2400000</v>
      </c>
      <c r="J66" s="547">
        <v>2</v>
      </c>
      <c r="K66" s="548">
        <v>900000</v>
      </c>
      <c r="L66" s="548">
        <v>300000</v>
      </c>
      <c r="M66" s="539">
        <f t="shared" si="2"/>
        <v>1200000</v>
      </c>
      <c r="N66" s="558">
        <f t="shared" si="6"/>
        <v>2400000</v>
      </c>
      <c r="O66" s="540">
        <f t="shared" si="4"/>
        <v>0</v>
      </c>
    </row>
    <row r="67" spans="1:15" ht="15.75" x14ac:dyDescent="0.25">
      <c r="A67" s="544">
        <v>26</v>
      </c>
      <c r="B67" s="561" t="s">
        <v>687</v>
      </c>
      <c r="C67" s="552" t="s">
        <v>685</v>
      </c>
      <c r="D67" s="536" t="s">
        <v>62</v>
      </c>
      <c r="E67" s="547">
        <v>1</v>
      </c>
      <c r="F67" s="548">
        <v>700000</v>
      </c>
      <c r="G67" s="548">
        <v>300000</v>
      </c>
      <c r="H67" s="539">
        <f t="shared" si="0"/>
        <v>1000000</v>
      </c>
      <c r="I67" s="558">
        <f t="shared" si="5"/>
        <v>1000000</v>
      </c>
      <c r="J67" s="547">
        <v>1</v>
      </c>
      <c r="K67" s="548">
        <v>700000</v>
      </c>
      <c r="L67" s="548">
        <v>300000</v>
      </c>
      <c r="M67" s="539">
        <f t="shared" si="2"/>
        <v>1000000</v>
      </c>
      <c r="N67" s="558">
        <f t="shared" si="6"/>
        <v>1000000</v>
      </c>
      <c r="O67" s="540">
        <f t="shared" si="4"/>
        <v>0</v>
      </c>
    </row>
    <row r="68" spans="1:15" ht="15.75" x14ac:dyDescent="0.25">
      <c r="A68" s="544"/>
      <c r="B68" s="569" t="s">
        <v>688</v>
      </c>
      <c r="C68" s="552"/>
      <c r="D68" s="536"/>
      <c r="E68" s="547"/>
      <c r="F68" s="548"/>
      <c r="G68" s="548"/>
      <c r="H68" s="539">
        <f t="shared" si="0"/>
        <v>0</v>
      </c>
      <c r="I68" s="558">
        <f t="shared" si="5"/>
        <v>0</v>
      </c>
      <c r="J68" s="547"/>
      <c r="K68" s="548"/>
      <c r="L68" s="548"/>
      <c r="M68" s="539">
        <f t="shared" si="2"/>
        <v>0</v>
      </c>
      <c r="N68" s="558">
        <f t="shared" si="6"/>
        <v>0</v>
      </c>
      <c r="O68" s="540">
        <f t="shared" si="4"/>
        <v>0</v>
      </c>
    </row>
    <row r="69" spans="1:15" ht="18.75" x14ac:dyDescent="0.25">
      <c r="A69" s="567">
        <v>27</v>
      </c>
      <c r="B69" s="554" t="s">
        <v>689</v>
      </c>
      <c r="C69" s="554" t="s">
        <v>690</v>
      </c>
      <c r="D69" s="555" t="s">
        <v>617</v>
      </c>
      <c r="E69" s="563">
        <v>15</v>
      </c>
      <c r="F69" s="557"/>
      <c r="G69" s="557">
        <v>130000</v>
      </c>
      <c r="H69" s="539">
        <f t="shared" si="0"/>
        <v>130000</v>
      </c>
      <c r="I69" s="558">
        <f t="shared" si="5"/>
        <v>1950000</v>
      </c>
      <c r="J69" s="563">
        <v>15</v>
      </c>
      <c r="K69" s="557"/>
      <c r="L69" s="557">
        <v>130000</v>
      </c>
      <c r="M69" s="539">
        <f t="shared" si="2"/>
        <v>130000</v>
      </c>
      <c r="N69" s="558">
        <f t="shared" si="6"/>
        <v>1950000</v>
      </c>
      <c r="O69" s="540">
        <f t="shared" si="4"/>
        <v>0</v>
      </c>
    </row>
    <row r="70" spans="1:15" ht="15.75" x14ac:dyDescent="0.25">
      <c r="A70" s="544"/>
      <c r="B70" s="561"/>
      <c r="C70" s="554" t="s">
        <v>691</v>
      </c>
      <c r="D70" s="536"/>
      <c r="E70" s="547"/>
      <c r="F70" s="548"/>
      <c r="G70" s="548"/>
      <c r="H70" s="539">
        <f t="shared" si="0"/>
        <v>0</v>
      </c>
      <c r="I70" s="558">
        <f t="shared" si="5"/>
        <v>0</v>
      </c>
      <c r="J70" s="547"/>
      <c r="K70" s="548"/>
      <c r="L70" s="548"/>
      <c r="M70" s="539">
        <f t="shared" si="2"/>
        <v>0</v>
      </c>
      <c r="N70" s="558">
        <f t="shared" si="6"/>
        <v>0</v>
      </c>
      <c r="O70" s="540">
        <f t="shared" si="4"/>
        <v>0</v>
      </c>
    </row>
    <row r="71" spans="1:15" ht="15.75" x14ac:dyDescent="0.25">
      <c r="A71" s="544"/>
      <c r="B71" s="561"/>
      <c r="C71" s="552"/>
      <c r="D71" s="536"/>
      <c r="E71" s="547"/>
      <c r="F71" s="548"/>
      <c r="G71" s="548"/>
      <c r="H71" s="539">
        <f t="shared" si="0"/>
        <v>0</v>
      </c>
      <c r="I71" s="558">
        <f t="shared" si="5"/>
        <v>0</v>
      </c>
      <c r="J71" s="547"/>
      <c r="K71" s="548"/>
      <c r="L71" s="548"/>
      <c r="M71" s="539">
        <f t="shared" si="2"/>
        <v>0</v>
      </c>
      <c r="N71" s="558">
        <f t="shared" si="6"/>
        <v>0</v>
      </c>
      <c r="O71" s="540">
        <f t="shared" si="4"/>
        <v>0</v>
      </c>
    </row>
    <row r="72" spans="1:15" ht="15.75" x14ac:dyDescent="0.25">
      <c r="A72" s="580">
        <v>28</v>
      </c>
      <c r="B72" s="581" t="s">
        <v>692</v>
      </c>
      <c r="C72" s="581" t="s">
        <v>693</v>
      </c>
      <c r="D72" s="582" t="s">
        <v>694</v>
      </c>
      <c r="E72" s="583">
        <f>2*4</f>
        <v>8</v>
      </c>
      <c r="F72" s="582"/>
      <c r="G72" s="582">
        <v>1200000</v>
      </c>
      <c r="H72" s="584">
        <f t="shared" si="0"/>
        <v>1200000</v>
      </c>
      <c r="I72" s="585">
        <f t="shared" si="5"/>
        <v>9600000</v>
      </c>
      <c r="J72" s="583">
        <f>2*4</f>
        <v>8</v>
      </c>
      <c r="K72" s="582"/>
      <c r="L72" s="582">
        <v>1200000</v>
      </c>
      <c r="M72" s="584">
        <f t="shared" si="2"/>
        <v>1200000</v>
      </c>
      <c r="N72" s="585">
        <f t="shared" si="6"/>
        <v>9600000</v>
      </c>
      <c r="O72" s="586">
        <f t="shared" si="4"/>
        <v>0</v>
      </c>
    </row>
    <row r="73" spans="1:15" ht="15.75" x14ac:dyDescent="0.25">
      <c r="A73" s="544"/>
      <c r="B73" s="561"/>
      <c r="C73" s="587" t="s">
        <v>35</v>
      </c>
      <c r="D73" s="536"/>
      <c r="E73" s="547"/>
      <c r="F73" s="587"/>
      <c r="G73" s="587"/>
      <c r="H73" s="539">
        <f t="shared" si="0"/>
        <v>0</v>
      </c>
      <c r="I73" s="543">
        <f>SUM(I15:I72)</f>
        <v>469842500</v>
      </c>
      <c r="J73" s="547"/>
      <c r="K73" s="587"/>
      <c r="L73" s="587"/>
      <c r="M73" s="539">
        <f t="shared" si="2"/>
        <v>0</v>
      </c>
      <c r="N73" s="543">
        <f>SUM(N15:N72)</f>
        <v>383422500</v>
      </c>
      <c r="O73" s="588">
        <f t="shared" si="4"/>
        <v>-86420000</v>
      </c>
    </row>
    <row r="74" spans="1:15" ht="15.75" x14ac:dyDescent="0.25">
      <c r="A74" s="550" t="s">
        <v>36</v>
      </c>
      <c r="B74" s="551" t="s">
        <v>695</v>
      </c>
      <c r="C74" s="554"/>
      <c r="D74" s="536"/>
      <c r="E74" s="547"/>
      <c r="F74" s="548"/>
      <c r="G74" s="548"/>
      <c r="H74" s="539">
        <f t="shared" ref="H74:H137" si="7">F74+G74</f>
        <v>0</v>
      </c>
      <c r="I74" s="549"/>
      <c r="J74" s="547"/>
      <c r="K74" s="548"/>
      <c r="L74" s="548"/>
      <c r="M74" s="539">
        <f t="shared" ref="M74:M136" si="8">K74+L74</f>
        <v>0</v>
      </c>
      <c r="N74" s="549"/>
      <c r="O74" s="540">
        <f t="shared" ref="O74:O137" si="9">N74-I74</f>
        <v>0</v>
      </c>
    </row>
    <row r="75" spans="1:15" ht="18.75" x14ac:dyDescent="0.25">
      <c r="A75" s="567" t="s">
        <v>611</v>
      </c>
      <c r="B75" s="554" t="s">
        <v>696</v>
      </c>
      <c r="C75" s="554" t="s">
        <v>697</v>
      </c>
      <c r="D75" s="555" t="s">
        <v>614</v>
      </c>
      <c r="E75" s="547">
        <v>6</v>
      </c>
      <c r="F75" s="557">
        <v>250000</v>
      </c>
      <c r="G75" s="557">
        <v>200000</v>
      </c>
      <c r="H75" s="539">
        <f t="shared" si="7"/>
        <v>450000</v>
      </c>
      <c r="I75" s="549">
        <f>E75*H75</f>
        <v>2700000</v>
      </c>
      <c r="J75" s="547">
        <v>6</v>
      </c>
      <c r="K75" s="557">
        <v>250000</v>
      </c>
      <c r="L75" s="557">
        <v>200000</v>
      </c>
      <c r="M75" s="539">
        <f t="shared" si="8"/>
        <v>450000</v>
      </c>
      <c r="N75" s="549">
        <f>J75*M75</f>
        <v>2700000</v>
      </c>
      <c r="O75" s="540">
        <f t="shared" si="9"/>
        <v>0</v>
      </c>
    </row>
    <row r="76" spans="1:15" ht="15.75" x14ac:dyDescent="0.25">
      <c r="A76" s="567"/>
      <c r="B76" s="554"/>
      <c r="C76" s="554" t="s">
        <v>698</v>
      </c>
      <c r="D76" s="536"/>
      <c r="E76" s="547"/>
      <c r="F76" s="548"/>
      <c r="G76" s="548"/>
      <c r="H76" s="539">
        <f t="shared" si="7"/>
        <v>0</v>
      </c>
      <c r="I76" s="549">
        <f t="shared" ref="I76:I87" si="10">E76*H76</f>
        <v>0</v>
      </c>
      <c r="J76" s="547"/>
      <c r="K76" s="548"/>
      <c r="L76" s="548"/>
      <c r="M76" s="539">
        <f t="shared" si="8"/>
        <v>0</v>
      </c>
      <c r="N76" s="549">
        <f t="shared" ref="N76:N87" si="11">J76*M76</f>
        <v>0</v>
      </c>
      <c r="O76" s="540">
        <f t="shared" si="9"/>
        <v>0</v>
      </c>
    </row>
    <row r="77" spans="1:15" ht="18.75" x14ac:dyDescent="0.25">
      <c r="A77" s="567" t="s">
        <v>699</v>
      </c>
      <c r="B77" s="554" t="s">
        <v>700</v>
      </c>
      <c r="C77" s="554" t="s">
        <v>701</v>
      </c>
      <c r="D77" s="555" t="s">
        <v>614</v>
      </c>
      <c r="E77" s="547">
        <f>2.5*5</f>
        <v>12.5</v>
      </c>
      <c r="F77" s="548"/>
      <c r="G77" s="548">
        <v>150000</v>
      </c>
      <c r="H77" s="539">
        <f t="shared" si="7"/>
        <v>150000</v>
      </c>
      <c r="I77" s="549">
        <f t="shared" si="10"/>
        <v>1875000</v>
      </c>
      <c r="J77" s="547">
        <f>2.5*5</f>
        <v>12.5</v>
      </c>
      <c r="K77" s="548"/>
      <c r="L77" s="548">
        <v>150000</v>
      </c>
      <c r="M77" s="539">
        <f t="shared" si="8"/>
        <v>150000</v>
      </c>
      <c r="N77" s="549">
        <f t="shared" si="11"/>
        <v>1875000</v>
      </c>
      <c r="O77" s="540">
        <f t="shared" si="9"/>
        <v>0</v>
      </c>
    </row>
    <row r="78" spans="1:15" ht="18.75" x14ac:dyDescent="0.25">
      <c r="A78" s="567" t="s">
        <v>628</v>
      </c>
      <c r="B78" s="554" t="s">
        <v>702</v>
      </c>
      <c r="C78" s="554" t="s">
        <v>703</v>
      </c>
      <c r="D78" s="555" t="s">
        <v>614</v>
      </c>
      <c r="E78" s="547">
        <f>3</f>
        <v>3</v>
      </c>
      <c r="F78" s="557">
        <v>250000</v>
      </c>
      <c r="G78" s="557">
        <v>200000</v>
      </c>
      <c r="H78" s="539">
        <f t="shared" si="7"/>
        <v>450000</v>
      </c>
      <c r="I78" s="549">
        <f t="shared" si="10"/>
        <v>1350000</v>
      </c>
      <c r="J78" s="547">
        <f>3</f>
        <v>3</v>
      </c>
      <c r="K78" s="557">
        <v>250000</v>
      </c>
      <c r="L78" s="557">
        <v>200000</v>
      </c>
      <c r="M78" s="539">
        <f t="shared" si="8"/>
        <v>450000</v>
      </c>
      <c r="N78" s="549">
        <f t="shared" si="11"/>
        <v>1350000</v>
      </c>
      <c r="O78" s="540">
        <f t="shared" si="9"/>
        <v>0</v>
      </c>
    </row>
    <row r="79" spans="1:15" ht="18.75" x14ac:dyDescent="0.25">
      <c r="A79" s="553" t="s">
        <v>631</v>
      </c>
      <c r="B79" s="554" t="s">
        <v>704</v>
      </c>
      <c r="C79" s="554" t="s">
        <v>705</v>
      </c>
      <c r="D79" s="555" t="s">
        <v>614</v>
      </c>
      <c r="E79" s="563">
        <f>(3*4.5)+(7*1)</f>
        <v>20.5</v>
      </c>
      <c r="F79" s="557"/>
      <c r="G79" s="557">
        <v>950000</v>
      </c>
      <c r="H79" s="539">
        <f t="shared" si="7"/>
        <v>950000</v>
      </c>
      <c r="I79" s="549">
        <f t="shared" si="10"/>
        <v>19475000</v>
      </c>
      <c r="J79" s="563">
        <f>(3*4.5)+(7*1)</f>
        <v>20.5</v>
      </c>
      <c r="K79" s="557"/>
      <c r="L79" s="557">
        <v>950000</v>
      </c>
      <c r="M79" s="539">
        <f t="shared" si="8"/>
        <v>950000</v>
      </c>
      <c r="N79" s="549">
        <f t="shared" si="11"/>
        <v>19475000</v>
      </c>
      <c r="O79" s="540">
        <f t="shared" si="9"/>
        <v>0</v>
      </c>
    </row>
    <row r="80" spans="1:15" ht="18.75" x14ac:dyDescent="0.25">
      <c r="A80" s="580" t="s">
        <v>635</v>
      </c>
      <c r="B80" s="581" t="s">
        <v>706</v>
      </c>
      <c r="C80" s="581" t="s">
        <v>707</v>
      </c>
      <c r="D80" s="589" t="s">
        <v>617</v>
      </c>
      <c r="E80" s="590">
        <v>8</v>
      </c>
      <c r="F80" s="582"/>
      <c r="G80" s="582">
        <v>1700000</v>
      </c>
      <c r="H80" s="584">
        <f t="shared" si="7"/>
        <v>1700000</v>
      </c>
      <c r="I80" s="591">
        <f t="shared" si="10"/>
        <v>13600000</v>
      </c>
      <c r="J80" s="590">
        <v>8</v>
      </c>
      <c r="K80" s="582"/>
      <c r="L80" s="582">
        <v>1700000</v>
      </c>
      <c r="M80" s="584">
        <f t="shared" si="8"/>
        <v>1700000</v>
      </c>
      <c r="N80" s="591">
        <f t="shared" si="11"/>
        <v>13600000</v>
      </c>
      <c r="O80" s="586">
        <f t="shared" si="9"/>
        <v>0</v>
      </c>
    </row>
    <row r="81" spans="1:15" ht="15.75" x14ac:dyDescent="0.25">
      <c r="A81" s="567" t="s">
        <v>708</v>
      </c>
      <c r="B81" s="554" t="s">
        <v>709</v>
      </c>
      <c r="C81" s="554" t="s">
        <v>710</v>
      </c>
      <c r="D81" s="536" t="s">
        <v>62</v>
      </c>
      <c r="E81" s="547">
        <v>1</v>
      </c>
      <c r="F81" s="548"/>
      <c r="G81" s="548">
        <v>5500000</v>
      </c>
      <c r="H81" s="539">
        <f t="shared" si="7"/>
        <v>5500000</v>
      </c>
      <c r="I81" s="549">
        <f t="shared" si="10"/>
        <v>5500000</v>
      </c>
      <c r="J81" s="547">
        <v>1</v>
      </c>
      <c r="K81" s="548"/>
      <c r="L81" s="548">
        <v>5500000</v>
      </c>
      <c r="M81" s="539">
        <f t="shared" si="8"/>
        <v>5500000</v>
      </c>
      <c r="N81" s="549">
        <f t="shared" si="11"/>
        <v>5500000</v>
      </c>
      <c r="O81" s="540">
        <f t="shared" si="9"/>
        <v>0</v>
      </c>
    </row>
    <row r="82" spans="1:15" ht="15.75" x14ac:dyDescent="0.25">
      <c r="A82" s="567"/>
      <c r="B82" s="554"/>
      <c r="C82" s="554" t="s">
        <v>711</v>
      </c>
      <c r="D82" s="536"/>
      <c r="E82" s="547"/>
      <c r="F82" s="548"/>
      <c r="G82" s="548"/>
      <c r="H82" s="539">
        <f t="shared" si="7"/>
        <v>0</v>
      </c>
      <c r="I82" s="549">
        <f t="shared" si="10"/>
        <v>0</v>
      </c>
      <c r="J82" s="547"/>
      <c r="K82" s="548"/>
      <c r="L82" s="548"/>
      <c r="M82" s="539">
        <f t="shared" si="8"/>
        <v>0</v>
      </c>
      <c r="N82" s="549">
        <f t="shared" si="11"/>
        <v>0</v>
      </c>
      <c r="O82" s="540">
        <f t="shared" si="9"/>
        <v>0</v>
      </c>
    </row>
    <row r="83" spans="1:15" ht="15.75" x14ac:dyDescent="0.25">
      <c r="A83" s="567" t="s">
        <v>648</v>
      </c>
      <c r="B83" s="562" t="s">
        <v>712</v>
      </c>
      <c r="C83" s="562" t="s">
        <v>713</v>
      </c>
      <c r="D83" s="592" t="s">
        <v>178</v>
      </c>
      <c r="E83" s="593">
        <f>(3+7)*2</f>
        <v>20</v>
      </c>
      <c r="F83" s="548">
        <v>125000</v>
      </c>
      <c r="G83" s="548">
        <v>125000</v>
      </c>
      <c r="H83" s="565">
        <f t="shared" si="7"/>
        <v>250000</v>
      </c>
      <c r="I83" s="549">
        <f t="shared" si="10"/>
        <v>5000000</v>
      </c>
      <c r="J83" s="593">
        <f>(3+7)*2</f>
        <v>20</v>
      </c>
      <c r="K83" s="557">
        <v>125000</v>
      </c>
      <c r="L83" s="557">
        <v>125000</v>
      </c>
      <c r="M83" s="539">
        <f t="shared" si="8"/>
        <v>250000</v>
      </c>
      <c r="N83" s="549">
        <f t="shared" si="11"/>
        <v>5000000</v>
      </c>
      <c r="O83" s="540">
        <f t="shared" si="9"/>
        <v>0</v>
      </c>
    </row>
    <row r="84" spans="1:15" ht="18.75" x14ac:dyDescent="0.25">
      <c r="A84" s="567" t="s">
        <v>714</v>
      </c>
      <c r="B84" s="562" t="s">
        <v>715</v>
      </c>
      <c r="C84" s="562" t="s">
        <v>716</v>
      </c>
      <c r="D84" s="592" t="s">
        <v>614</v>
      </c>
      <c r="E84" s="593">
        <v>40</v>
      </c>
      <c r="F84" s="594"/>
      <c r="G84" s="594">
        <v>450000</v>
      </c>
      <c r="H84" s="565">
        <f t="shared" si="7"/>
        <v>450000</v>
      </c>
      <c r="I84" s="549">
        <f t="shared" si="10"/>
        <v>18000000</v>
      </c>
      <c r="J84" s="593">
        <v>40</v>
      </c>
      <c r="K84" s="538"/>
      <c r="L84" s="538">
        <v>450000</v>
      </c>
      <c r="M84" s="539">
        <f t="shared" si="8"/>
        <v>450000</v>
      </c>
      <c r="N84" s="549">
        <f t="shared" si="11"/>
        <v>18000000</v>
      </c>
      <c r="O84" s="540">
        <f t="shared" si="9"/>
        <v>0</v>
      </c>
    </row>
    <row r="85" spans="1:15" ht="18.75" x14ac:dyDescent="0.25">
      <c r="A85" s="567" t="s">
        <v>648</v>
      </c>
      <c r="B85" s="561" t="s">
        <v>717</v>
      </c>
      <c r="C85" s="562" t="s">
        <v>718</v>
      </c>
      <c r="D85" s="555" t="s">
        <v>614</v>
      </c>
      <c r="E85" s="547">
        <f>7.5*2.5</f>
        <v>18.75</v>
      </c>
      <c r="F85" s="548"/>
      <c r="G85" s="548">
        <v>375000</v>
      </c>
      <c r="H85" s="565">
        <f t="shared" si="7"/>
        <v>375000</v>
      </c>
      <c r="I85" s="549">
        <f t="shared" si="10"/>
        <v>7031250</v>
      </c>
      <c r="J85" s="547">
        <f>7.5*2.5</f>
        <v>18.75</v>
      </c>
      <c r="K85" s="548"/>
      <c r="L85" s="548">
        <v>375000</v>
      </c>
      <c r="M85" s="539">
        <f t="shared" si="8"/>
        <v>375000</v>
      </c>
      <c r="N85" s="549">
        <f t="shared" si="11"/>
        <v>7031250</v>
      </c>
      <c r="O85" s="540">
        <f t="shared" si="9"/>
        <v>0</v>
      </c>
    </row>
    <row r="86" spans="1:15" ht="18.75" x14ac:dyDescent="0.25">
      <c r="A86" s="567" t="s">
        <v>714</v>
      </c>
      <c r="B86" s="561" t="s">
        <v>719</v>
      </c>
      <c r="C86" s="562" t="s">
        <v>697</v>
      </c>
      <c r="D86" s="555" t="s">
        <v>614</v>
      </c>
      <c r="E86" s="547">
        <f>2*3</f>
        <v>6</v>
      </c>
      <c r="F86" s="548">
        <v>250000</v>
      </c>
      <c r="G86" s="548">
        <v>200000</v>
      </c>
      <c r="H86" s="565">
        <f t="shared" si="7"/>
        <v>450000</v>
      </c>
      <c r="I86" s="549">
        <f t="shared" si="10"/>
        <v>2700000</v>
      </c>
      <c r="J86" s="547">
        <f>2*3</f>
        <v>6</v>
      </c>
      <c r="K86" s="557">
        <v>250000</v>
      </c>
      <c r="L86" s="557">
        <v>200000</v>
      </c>
      <c r="M86" s="539">
        <f t="shared" si="8"/>
        <v>450000</v>
      </c>
      <c r="N86" s="549">
        <f t="shared" si="11"/>
        <v>2700000</v>
      </c>
      <c r="O86" s="540">
        <f t="shared" si="9"/>
        <v>0</v>
      </c>
    </row>
    <row r="87" spans="1:15" ht="15.75" x14ac:dyDescent="0.25">
      <c r="A87" s="567" t="s">
        <v>648</v>
      </c>
      <c r="B87" s="561" t="s">
        <v>720</v>
      </c>
      <c r="C87" s="562"/>
      <c r="D87" s="555" t="s">
        <v>178</v>
      </c>
      <c r="E87" s="547">
        <v>3</v>
      </c>
      <c r="F87" s="548"/>
      <c r="G87" s="548">
        <v>1500000</v>
      </c>
      <c r="H87" s="565">
        <f t="shared" si="7"/>
        <v>1500000</v>
      </c>
      <c r="I87" s="549">
        <f t="shared" si="10"/>
        <v>4500000</v>
      </c>
      <c r="J87" s="547">
        <v>3</v>
      </c>
      <c r="K87" s="548"/>
      <c r="L87" s="548">
        <v>1500000</v>
      </c>
      <c r="M87" s="539">
        <f t="shared" si="8"/>
        <v>1500000</v>
      </c>
      <c r="N87" s="549">
        <f t="shared" si="11"/>
        <v>4500000</v>
      </c>
      <c r="O87" s="540">
        <f t="shared" si="9"/>
        <v>0</v>
      </c>
    </row>
    <row r="88" spans="1:15" ht="15.75" x14ac:dyDescent="0.25">
      <c r="A88" s="567"/>
      <c r="B88" s="554"/>
      <c r="C88" s="587" t="s">
        <v>721</v>
      </c>
      <c r="D88" s="536"/>
      <c r="E88" s="547"/>
      <c r="F88" s="587"/>
      <c r="G88" s="587"/>
      <c r="H88" s="539">
        <f t="shared" si="7"/>
        <v>0</v>
      </c>
      <c r="I88" s="543">
        <f>SUM(I75:I87)</f>
        <v>81731250</v>
      </c>
      <c r="J88" s="547"/>
      <c r="K88" s="587"/>
      <c r="L88" s="587"/>
      <c r="M88" s="539">
        <f t="shared" si="8"/>
        <v>0</v>
      </c>
      <c r="N88" s="543">
        <f>SUM(N75:N87)</f>
        <v>81731250</v>
      </c>
      <c r="O88" s="540">
        <f t="shared" si="9"/>
        <v>0</v>
      </c>
    </row>
    <row r="89" spans="1:15" ht="15.75" x14ac:dyDescent="0.25">
      <c r="A89" s="550" t="s">
        <v>222</v>
      </c>
      <c r="B89" s="551" t="s">
        <v>722</v>
      </c>
      <c r="C89" s="554"/>
      <c r="D89" s="536"/>
      <c r="E89" s="547"/>
      <c r="F89" s="548"/>
      <c r="G89" s="548"/>
      <c r="H89" s="539">
        <f t="shared" si="7"/>
        <v>0</v>
      </c>
      <c r="I89" s="549"/>
      <c r="J89" s="547"/>
      <c r="K89" s="548"/>
      <c r="L89" s="548"/>
      <c r="M89" s="539">
        <f t="shared" si="8"/>
        <v>0</v>
      </c>
      <c r="N89" s="549"/>
      <c r="O89" s="540">
        <f t="shared" si="9"/>
        <v>0</v>
      </c>
    </row>
    <row r="90" spans="1:15" ht="15.75" x14ac:dyDescent="0.25">
      <c r="A90" s="595" t="s">
        <v>297</v>
      </c>
      <c r="B90" s="551" t="s">
        <v>723</v>
      </c>
      <c r="C90" s="554"/>
      <c r="D90" s="536"/>
      <c r="E90" s="547"/>
      <c r="F90" s="548"/>
      <c r="G90" s="548"/>
      <c r="H90" s="539">
        <f t="shared" si="7"/>
        <v>0</v>
      </c>
      <c r="I90" s="549"/>
      <c r="J90" s="547"/>
      <c r="K90" s="548"/>
      <c r="L90" s="548"/>
      <c r="M90" s="539">
        <f t="shared" si="8"/>
        <v>0</v>
      </c>
      <c r="N90" s="549"/>
      <c r="O90" s="540">
        <f t="shared" si="9"/>
        <v>0</v>
      </c>
    </row>
    <row r="91" spans="1:15" ht="15.75" x14ac:dyDescent="0.25">
      <c r="A91" s="544"/>
      <c r="B91" s="551" t="s">
        <v>724</v>
      </c>
      <c r="C91" s="554"/>
      <c r="D91" s="536"/>
      <c r="E91" s="547"/>
      <c r="F91" s="548"/>
      <c r="G91" s="548"/>
      <c r="H91" s="539">
        <f t="shared" si="7"/>
        <v>0</v>
      </c>
      <c r="I91" s="549"/>
      <c r="J91" s="547"/>
      <c r="K91" s="548"/>
      <c r="L91" s="548"/>
      <c r="M91" s="539">
        <f t="shared" si="8"/>
        <v>0</v>
      </c>
      <c r="N91" s="549"/>
      <c r="O91" s="540">
        <f t="shared" si="9"/>
        <v>0</v>
      </c>
    </row>
    <row r="92" spans="1:15" ht="18.75" x14ac:dyDescent="0.25">
      <c r="A92" s="567" t="s">
        <v>611</v>
      </c>
      <c r="B92" s="554" t="s">
        <v>725</v>
      </c>
      <c r="C92" s="554" t="s">
        <v>726</v>
      </c>
      <c r="D92" s="555" t="s">
        <v>617</v>
      </c>
      <c r="E92" s="563">
        <f>6*7.5</f>
        <v>45</v>
      </c>
      <c r="F92" s="557"/>
      <c r="G92" s="557">
        <v>120000</v>
      </c>
      <c r="H92" s="539">
        <f t="shared" si="7"/>
        <v>120000</v>
      </c>
      <c r="I92" s="596">
        <f>E92*H92</f>
        <v>5400000</v>
      </c>
      <c r="J92" s="563">
        <f>6*7.5</f>
        <v>45</v>
      </c>
      <c r="K92" s="557"/>
      <c r="L92" s="557">
        <v>120000</v>
      </c>
      <c r="M92" s="539">
        <f t="shared" si="8"/>
        <v>120000</v>
      </c>
      <c r="N92" s="596">
        <f>J92*M92</f>
        <v>5400000</v>
      </c>
      <c r="O92" s="540">
        <f t="shared" si="9"/>
        <v>0</v>
      </c>
    </row>
    <row r="93" spans="1:15" ht="18.75" x14ac:dyDescent="0.25">
      <c r="A93" s="567" t="s">
        <v>699</v>
      </c>
      <c r="B93" s="554" t="s">
        <v>727</v>
      </c>
      <c r="C93" s="554" t="s">
        <v>728</v>
      </c>
      <c r="D93" s="555" t="s">
        <v>617</v>
      </c>
      <c r="E93" s="563">
        <f>6*3</f>
        <v>18</v>
      </c>
      <c r="F93" s="557"/>
      <c r="G93" s="557">
        <v>65000</v>
      </c>
      <c r="H93" s="539">
        <f t="shared" si="7"/>
        <v>65000</v>
      </c>
      <c r="I93" s="596">
        <f t="shared" ref="I93:I145" si="12">E93*H93</f>
        <v>1170000</v>
      </c>
      <c r="J93" s="563">
        <f>6*3</f>
        <v>18</v>
      </c>
      <c r="K93" s="557"/>
      <c r="L93" s="557">
        <v>65000</v>
      </c>
      <c r="M93" s="539">
        <f t="shared" si="8"/>
        <v>65000</v>
      </c>
      <c r="N93" s="596">
        <f t="shared" ref="N93:N145" si="13">J93*M93</f>
        <v>1170000</v>
      </c>
      <c r="O93" s="540">
        <f t="shared" si="9"/>
        <v>0</v>
      </c>
    </row>
    <row r="94" spans="1:15" ht="18.75" x14ac:dyDescent="0.25">
      <c r="A94" s="567" t="s">
        <v>628</v>
      </c>
      <c r="B94" s="554" t="s">
        <v>729</v>
      </c>
      <c r="C94" s="554" t="s">
        <v>730</v>
      </c>
      <c r="D94" s="555" t="s">
        <v>614</v>
      </c>
      <c r="E94" s="547">
        <f>6*7.5</f>
        <v>45</v>
      </c>
      <c r="F94" s="557">
        <v>200000</v>
      </c>
      <c r="G94" s="557">
        <v>200000</v>
      </c>
      <c r="H94" s="539">
        <f t="shared" si="7"/>
        <v>400000</v>
      </c>
      <c r="I94" s="596">
        <f t="shared" si="12"/>
        <v>18000000</v>
      </c>
      <c r="J94" s="547">
        <f>6*7.5</f>
        <v>45</v>
      </c>
      <c r="K94" s="557">
        <v>200000</v>
      </c>
      <c r="L94" s="557">
        <v>200000</v>
      </c>
      <c r="M94" s="539">
        <f t="shared" si="8"/>
        <v>400000</v>
      </c>
      <c r="N94" s="596">
        <f t="shared" si="13"/>
        <v>18000000</v>
      </c>
      <c r="O94" s="540">
        <f t="shared" si="9"/>
        <v>0</v>
      </c>
    </row>
    <row r="95" spans="1:15" ht="15.75" x14ac:dyDescent="0.25">
      <c r="A95" s="544"/>
      <c r="B95" s="554"/>
      <c r="C95" s="554" t="s">
        <v>731</v>
      </c>
      <c r="D95" s="536"/>
      <c r="E95" s="547"/>
      <c r="F95" s="548"/>
      <c r="G95" s="548"/>
      <c r="H95" s="539">
        <f t="shared" si="7"/>
        <v>0</v>
      </c>
      <c r="I95" s="596">
        <f t="shared" si="12"/>
        <v>0</v>
      </c>
      <c r="J95" s="547"/>
      <c r="K95" s="548"/>
      <c r="L95" s="548"/>
      <c r="M95" s="539">
        <f t="shared" si="8"/>
        <v>0</v>
      </c>
      <c r="N95" s="596">
        <f t="shared" si="13"/>
        <v>0</v>
      </c>
      <c r="O95" s="540">
        <f t="shared" si="9"/>
        <v>0</v>
      </c>
    </row>
    <row r="96" spans="1:15" ht="15.75" x14ac:dyDescent="0.25">
      <c r="A96" s="597"/>
      <c r="B96" s="551" t="s">
        <v>732</v>
      </c>
      <c r="C96" s="554"/>
      <c r="D96" s="536"/>
      <c r="E96" s="547"/>
      <c r="F96" s="548"/>
      <c r="G96" s="548"/>
      <c r="H96" s="539">
        <f t="shared" si="7"/>
        <v>0</v>
      </c>
      <c r="I96" s="596">
        <f t="shared" si="12"/>
        <v>0</v>
      </c>
      <c r="J96" s="547"/>
      <c r="K96" s="548"/>
      <c r="L96" s="548"/>
      <c r="M96" s="539">
        <f t="shared" si="8"/>
        <v>0</v>
      </c>
      <c r="N96" s="596">
        <f t="shared" si="13"/>
        <v>0</v>
      </c>
      <c r="O96" s="540">
        <f t="shared" si="9"/>
        <v>0</v>
      </c>
    </row>
    <row r="97" spans="1:16" ht="18.75" x14ac:dyDescent="0.25">
      <c r="A97" s="567" t="s">
        <v>611</v>
      </c>
      <c r="B97" s="554" t="s">
        <v>733</v>
      </c>
      <c r="C97" s="554" t="s">
        <v>734</v>
      </c>
      <c r="D97" s="555" t="s">
        <v>617</v>
      </c>
      <c r="E97" s="563">
        <f>4.5*1.5</f>
        <v>6.75</v>
      </c>
      <c r="F97" s="557"/>
      <c r="G97" s="557">
        <v>120000</v>
      </c>
      <c r="H97" s="539">
        <f t="shared" si="7"/>
        <v>120000</v>
      </c>
      <c r="I97" s="596">
        <f t="shared" si="12"/>
        <v>810000</v>
      </c>
      <c r="J97" s="563">
        <f>4.5*1.5</f>
        <v>6.75</v>
      </c>
      <c r="K97" s="557"/>
      <c r="L97" s="557">
        <v>120000</v>
      </c>
      <c r="M97" s="539">
        <f t="shared" si="8"/>
        <v>120000</v>
      </c>
      <c r="N97" s="596">
        <f t="shared" si="13"/>
        <v>810000</v>
      </c>
      <c r="O97" s="540">
        <f t="shared" si="9"/>
        <v>0</v>
      </c>
    </row>
    <row r="98" spans="1:16" ht="18.75" x14ac:dyDescent="0.25">
      <c r="A98" s="567" t="s">
        <v>699</v>
      </c>
      <c r="B98" s="554" t="s">
        <v>735</v>
      </c>
      <c r="C98" s="554" t="s">
        <v>736</v>
      </c>
      <c r="D98" s="555" t="s">
        <v>617</v>
      </c>
      <c r="E98" s="563">
        <f>(4.5+1.5)*2*3</f>
        <v>36</v>
      </c>
      <c r="F98" s="557"/>
      <c r="G98" s="557">
        <v>65000</v>
      </c>
      <c r="H98" s="539">
        <f t="shared" si="7"/>
        <v>65000</v>
      </c>
      <c r="I98" s="596">
        <f t="shared" si="12"/>
        <v>2340000</v>
      </c>
      <c r="J98" s="563">
        <f>(4.5+1.5)*2*3</f>
        <v>36</v>
      </c>
      <c r="K98" s="557"/>
      <c r="L98" s="557">
        <v>65000</v>
      </c>
      <c r="M98" s="539">
        <f t="shared" si="8"/>
        <v>65000</v>
      </c>
      <c r="N98" s="596">
        <f t="shared" si="13"/>
        <v>2340000</v>
      </c>
      <c r="O98" s="540">
        <f t="shared" si="9"/>
        <v>0</v>
      </c>
    </row>
    <row r="99" spans="1:16" ht="18.75" x14ac:dyDescent="0.25">
      <c r="A99" s="567" t="s">
        <v>628</v>
      </c>
      <c r="B99" s="554" t="s">
        <v>737</v>
      </c>
      <c r="C99" s="554" t="s">
        <v>738</v>
      </c>
      <c r="D99" s="555" t="s">
        <v>614</v>
      </c>
      <c r="E99" s="563">
        <f>4.5*1.5</f>
        <v>6.75</v>
      </c>
      <c r="F99" s="557"/>
      <c r="G99" s="557">
        <v>900000</v>
      </c>
      <c r="H99" s="539">
        <f t="shared" si="7"/>
        <v>900000</v>
      </c>
      <c r="I99" s="596">
        <f t="shared" si="12"/>
        <v>6075000</v>
      </c>
      <c r="J99" s="563">
        <f>4.5*1.5</f>
        <v>6.75</v>
      </c>
      <c r="K99" s="557"/>
      <c r="L99" s="557">
        <v>900000</v>
      </c>
      <c r="M99" s="539">
        <f t="shared" si="8"/>
        <v>900000</v>
      </c>
      <c r="N99" s="596">
        <f t="shared" si="13"/>
        <v>6075000</v>
      </c>
      <c r="O99" s="540">
        <f t="shared" si="9"/>
        <v>0</v>
      </c>
    </row>
    <row r="100" spans="1:16" ht="18.75" x14ac:dyDescent="0.25">
      <c r="A100" s="567" t="s">
        <v>631</v>
      </c>
      <c r="B100" s="554" t="s">
        <v>739</v>
      </c>
      <c r="C100" s="554" t="s">
        <v>740</v>
      </c>
      <c r="D100" s="536" t="s">
        <v>60</v>
      </c>
      <c r="E100" s="563">
        <f>(4.5+1.5)*2</f>
        <v>12</v>
      </c>
      <c r="F100" s="557"/>
      <c r="G100" s="557">
        <v>75000</v>
      </c>
      <c r="H100" s="539">
        <f t="shared" si="7"/>
        <v>75000</v>
      </c>
      <c r="I100" s="596">
        <f t="shared" si="12"/>
        <v>900000</v>
      </c>
      <c r="J100" s="563">
        <f>(4.5+1.5)*2</f>
        <v>12</v>
      </c>
      <c r="K100" s="557"/>
      <c r="L100" s="557">
        <v>75000</v>
      </c>
      <c r="M100" s="539">
        <f t="shared" si="8"/>
        <v>75000</v>
      </c>
      <c r="N100" s="596">
        <f t="shared" si="13"/>
        <v>900000</v>
      </c>
      <c r="O100" s="540">
        <f t="shared" si="9"/>
        <v>0</v>
      </c>
    </row>
    <row r="101" spans="1:16" ht="15.75" x14ac:dyDescent="0.25">
      <c r="A101" s="567"/>
      <c r="B101" s="551" t="s">
        <v>741</v>
      </c>
      <c r="C101" s="554"/>
      <c r="D101" s="536"/>
      <c r="E101" s="547"/>
      <c r="F101" s="548"/>
      <c r="G101" s="548"/>
      <c r="H101" s="539">
        <f t="shared" si="7"/>
        <v>0</v>
      </c>
      <c r="I101" s="596">
        <f t="shared" si="12"/>
        <v>0</v>
      </c>
      <c r="J101" s="547"/>
      <c r="K101" s="548"/>
      <c r="L101" s="548"/>
      <c r="M101" s="539">
        <f t="shared" si="8"/>
        <v>0</v>
      </c>
      <c r="N101" s="596">
        <f t="shared" si="13"/>
        <v>0</v>
      </c>
      <c r="O101" s="540">
        <f t="shared" si="9"/>
        <v>0</v>
      </c>
    </row>
    <row r="102" spans="1:16" ht="18.75" x14ac:dyDescent="0.25">
      <c r="A102" s="567" t="s">
        <v>611</v>
      </c>
      <c r="B102" s="554" t="s">
        <v>733</v>
      </c>
      <c r="C102" s="554" t="s">
        <v>734</v>
      </c>
      <c r="D102" s="555" t="s">
        <v>617</v>
      </c>
      <c r="E102" s="563">
        <f>1.17*3.3</f>
        <v>3.8609999999999998</v>
      </c>
      <c r="F102" s="557"/>
      <c r="G102" s="557">
        <v>120000</v>
      </c>
      <c r="H102" s="539">
        <f t="shared" si="7"/>
        <v>120000</v>
      </c>
      <c r="I102" s="596">
        <f t="shared" si="12"/>
        <v>463320</v>
      </c>
      <c r="J102" s="563">
        <f>1.17*3.3</f>
        <v>3.8609999999999998</v>
      </c>
      <c r="K102" s="557"/>
      <c r="L102" s="557">
        <v>120000</v>
      </c>
      <c r="M102" s="539">
        <f t="shared" si="8"/>
        <v>120000</v>
      </c>
      <c r="N102" s="596">
        <f t="shared" si="13"/>
        <v>463320</v>
      </c>
      <c r="O102" s="540">
        <f t="shared" si="9"/>
        <v>0</v>
      </c>
    </row>
    <row r="103" spans="1:16" ht="18.75" x14ac:dyDescent="0.25">
      <c r="A103" s="567" t="s">
        <v>699</v>
      </c>
      <c r="B103" s="554" t="s">
        <v>735</v>
      </c>
      <c r="C103" s="554" t="s">
        <v>736</v>
      </c>
      <c r="D103" s="555" t="s">
        <v>617</v>
      </c>
      <c r="E103" s="563">
        <f>(1.17+3.3+1.17)*3</f>
        <v>16.919999999999998</v>
      </c>
      <c r="F103" s="557"/>
      <c r="G103" s="557">
        <v>55000</v>
      </c>
      <c r="H103" s="539">
        <f t="shared" si="7"/>
        <v>55000</v>
      </c>
      <c r="I103" s="596">
        <f t="shared" si="12"/>
        <v>930599.99999999988</v>
      </c>
      <c r="J103" s="563">
        <f>(1.17+3.3+1.17)*3</f>
        <v>16.919999999999998</v>
      </c>
      <c r="K103" s="557"/>
      <c r="L103" s="557">
        <v>55000</v>
      </c>
      <c r="M103" s="539">
        <f t="shared" si="8"/>
        <v>55000</v>
      </c>
      <c r="N103" s="596">
        <f t="shared" si="13"/>
        <v>930599.99999999988</v>
      </c>
      <c r="O103" s="540">
        <f t="shared" si="9"/>
        <v>0</v>
      </c>
    </row>
    <row r="104" spans="1:16" ht="18.75" x14ac:dyDescent="0.25">
      <c r="A104" s="598" t="s">
        <v>628</v>
      </c>
      <c r="B104" s="570" t="s">
        <v>737</v>
      </c>
      <c r="C104" s="570" t="s">
        <v>742</v>
      </c>
      <c r="D104" s="571" t="s">
        <v>614</v>
      </c>
      <c r="E104" s="572">
        <f>1.17*3.3</f>
        <v>3.8609999999999998</v>
      </c>
      <c r="F104" s="573">
        <v>550000</v>
      </c>
      <c r="G104" s="573">
        <v>200000</v>
      </c>
      <c r="H104" s="574">
        <f t="shared" si="7"/>
        <v>750000</v>
      </c>
      <c r="I104" s="599">
        <f t="shared" si="12"/>
        <v>2895750</v>
      </c>
      <c r="J104" s="572">
        <f>1.17*3.3</f>
        <v>3.8609999999999998</v>
      </c>
      <c r="K104" s="573"/>
      <c r="L104" s="573">
        <v>200000</v>
      </c>
      <c r="M104" s="574">
        <f t="shared" si="8"/>
        <v>200000</v>
      </c>
      <c r="N104" s="599">
        <f t="shared" si="13"/>
        <v>772200</v>
      </c>
      <c r="O104" s="579">
        <f t="shared" si="9"/>
        <v>-2123550</v>
      </c>
      <c r="P104" s="577" t="s">
        <v>743</v>
      </c>
    </row>
    <row r="105" spans="1:16" ht="18.75" x14ac:dyDescent="0.25">
      <c r="A105" s="567" t="s">
        <v>631</v>
      </c>
      <c r="B105" s="554" t="s">
        <v>739</v>
      </c>
      <c r="C105" s="554" t="s">
        <v>740</v>
      </c>
      <c r="D105" s="536" t="s">
        <v>60</v>
      </c>
      <c r="E105" s="563">
        <f>(1.17+3.3+1.17)</f>
        <v>5.64</v>
      </c>
      <c r="F105" s="557"/>
      <c r="G105" s="557">
        <v>75000</v>
      </c>
      <c r="H105" s="539">
        <f t="shared" si="7"/>
        <v>75000</v>
      </c>
      <c r="I105" s="596">
        <f t="shared" si="12"/>
        <v>423000</v>
      </c>
      <c r="J105" s="563">
        <f>(1.17+3.3+1.17)</f>
        <v>5.64</v>
      </c>
      <c r="K105" s="557"/>
      <c r="L105" s="557">
        <v>75000</v>
      </c>
      <c r="M105" s="539">
        <f t="shared" si="8"/>
        <v>75000</v>
      </c>
      <c r="N105" s="596">
        <f t="shared" si="13"/>
        <v>423000</v>
      </c>
      <c r="O105" s="579">
        <f t="shared" si="9"/>
        <v>0</v>
      </c>
    </row>
    <row r="106" spans="1:16" ht="18.75" x14ac:dyDescent="0.25">
      <c r="A106" s="567" t="s">
        <v>635</v>
      </c>
      <c r="B106" s="562" t="s">
        <v>744</v>
      </c>
      <c r="C106" s="562" t="s">
        <v>745</v>
      </c>
      <c r="D106" s="555" t="s">
        <v>614</v>
      </c>
      <c r="E106" s="547"/>
      <c r="F106" s="548"/>
      <c r="G106" s="548"/>
      <c r="H106" s="565">
        <f t="shared" si="7"/>
        <v>0</v>
      </c>
      <c r="I106" s="549">
        <f t="shared" si="12"/>
        <v>0</v>
      </c>
      <c r="J106" s="547"/>
      <c r="K106" s="573"/>
      <c r="L106" s="573"/>
      <c r="M106" s="539">
        <f t="shared" si="8"/>
        <v>0</v>
      </c>
      <c r="N106" s="596">
        <f t="shared" si="13"/>
        <v>0</v>
      </c>
      <c r="O106" s="579">
        <f t="shared" si="9"/>
        <v>0</v>
      </c>
    </row>
    <row r="107" spans="1:16" ht="15.75" x14ac:dyDescent="0.25">
      <c r="A107" s="544"/>
      <c r="B107" s="551" t="s">
        <v>746</v>
      </c>
      <c r="C107" s="554"/>
      <c r="D107" s="536"/>
      <c r="E107" s="547"/>
      <c r="F107" s="548"/>
      <c r="G107" s="548"/>
      <c r="H107" s="539">
        <f t="shared" si="7"/>
        <v>0</v>
      </c>
      <c r="I107" s="596">
        <f t="shared" si="12"/>
        <v>0</v>
      </c>
      <c r="J107" s="547"/>
      <c r="K107" s="548"/>
      <c r="L107" s="548"/>
      <c r="M107" s="539">
        <f t="shared" si="8"/>
        <v>0</v>
      </c>
      <c r="N107" s="596">
        <f t="shared" si="13"/>
        <v>0</v>
      </c>
      <c r="O107" s="579">
        <f t="shared" si="9"/>
        <v>0</v>
      </c>
    </row>
    <row r="108" spans="1:16" ht="18.75" x14ac:dyDescent="0.25">
      <c r="A108" s="567" t="s">
        <v>611</v>
      </c>
      <c r="B108" s="554" t="s">
        <v>733</v>
      </c>
      <c r="C108" s="554" t="s">
        <v>734</v>
      </c>
      <c r="D108" s="555" t="s">
        <v>617</v>
      </c>
      <c r="E108" s="563">
        <f>(3*10)+(4.3*4.5)+(1.9*7)</f>
        <v>62.649999999999991</v>
      </c>
      <c r="F108" s="557"/>
      <c r="G108" s="557">
        <v>120000</v>
      </c>
      <c r="H108" s="539">
        <f t="shared" si="7"/>
        <v>120000</v>
      </c>
      <c r="I108" s="596">
        <f t="shared" si="12"/>
        <v>7517999.9999999991</v>
      </c>
      <c r="J108" s="563">
        <f>(3*10)+(4.3*4.5)+(1.9*7)</f>
        <v>62.649999999999991</v>
      </c>
      <c r="K108" s="557"/>
      <c r="L108" s="557">
        <v>120000</v>
      </c>
      <c r="M108" s="539">
        <f t="shared" si="8"/>
        <v>120000</v>
      </c>
      <c r="N108" s="596">
        <f t="shared" si="13"/>
        <v>7517999.9999999991</v>
      </c>
      <c r="O108" s="579">
        <f t="shared" si="9"/>
        <v>0</v>
      </c>
    </row>
    <row r="109" spans="1:16" ht="18.75" x14ac:dyDescent="0.25">
      <c r="A109" s="567" t="s">
        <v>699</v>
      </c>
      <c r="B109" s="554" t="s">
        <v>735</v>
      </c>
      <c r="C109" s="554" t="s">
        <v>747</v>
      </c>
      <c r="D109" s="555" t="s">
        <v>617</v>
      </c>
      <c r="E109" s="563">
        <f>((3+10)*2+(4.3+4.5)*2+(1.9+7)*2)*3</f>
        <v>184.20000000000002</v>
      </c>
      <c r="F109" s="557"/>
      <c r="G109" s="557">
        <v>55000</v>
      </c>
      <c r="H109" s="539">
        <f t="shared" si="7"/>
        <v>55000</v>
      </c>
      <c r="I109" s="596">
        <f t="shared" si="12"/>
        <v>10131000.000000002</v>
      </c>
      <c r="J109" s="563">
        <f>((3+10)*2+(4.3+4.5)*2+(1.9+7)*2)*3</f>
        <v>184.20000000000002</v>
      </c>
      <c r="K109" s="557"/>
      <c r="L109" s="557">
        <v>55000</v>
      </c>
      <c r="M109" s="539">
        <f t="shared" si="8"/>
        <v>55000</v>
      </c>
      <c r="N109" s="596">
        <f t="shared" si="13"/>
        <v>10131000.000000002</v>
      </c>
      <c r="O109" s="579">
        <f t="shared" si="9"/>
        <v>0</v>
      </c>
    </row>
    <row r="110" spans="1:16" ht="18.75" x14ac:dyDescent="0.25">
      <c r="A110" s="598" t="s">
        <v>628</v>
      </c>
      <c r="B110" s="570" t="s">
        <v>737</v>
      </c>
      <c r="C110" s="570" t="s">
        <v>742</v>
      </c>
      <c r="D110" s="571" t="s">
        <v>614</v>
      </c>
      <c r="E110" s="572">
        <f>(3*10)+(4.3*4.5)+(1.9*7)</f>
        <v>62.649999999999991</v>
      </c>
      <c r="F110" s="573">
        <v>550000</v>
      </c>
      <c r="G110" s="573">
        <v>200000</v>
      </c>
      <c r="H110" s="574">
        <f t="shared" si="7"/>
        <v>750000</v>
      </c>
      <c r="I110" s="599">
        <f t="shared" si="12"/>
        <v>46987499.999999993</v>
      </c>
      <c r="J110" s="572">
        <f>(3*10)+(4.3*4.5)+(1.9*7)</f>
        <v>62.649999999999991</v>
      </c>
      <c r="K110" s="573"/>
      <c r="L110" s="573">
        <v>200000</v>
      </c>
      <c r="M110" s="574">
        <f t="shared" si="8"/>
        <v>200000</v>
      </c>
      <c r="N110" s="599">
        <f t="shared" si="13"/>
        <v>12529999.999999998</v>
      </c>
      <c r="O110" s="579">
        <f t="shared" si="9"/>
        <v>-34457499.999999993</v>
      </c>
      <c r="P110" s="577" t="s">
        <v>743</v>
      </c>
    </row>
    <row r="111" spans="1:16" ht="18.75" x14ac:dyDescent="0.25">
      <c r="A111" s="567" t="s">
        <v>631</v>
      </c>
      <c r="B111" s="554" t="s">
        <v>739</v>
      </c>
      <c r="C111" s="554" t="s">
        <v>740</v>
      </c>
      <c r="D111" s="536" t="s">
        <v>60</v>
      </c>
      <c r="E111" s="563">
        <f>((3+10)*2+(4.3+4.5)*2+(1.9+7)*2)</f>
        <v>61.400000000000006</v>
      </c>
      <c r="F111" s="557"/>
      <c r="G111" s="557">
        <v>75000</v>
      </c>
      <c r="H111" s="539">
        <f t="shared" si="7"/>
        <v>75000</v>
      </c>
      <c r="I111" s="596">
        <f t="shared" si="12"/>
        <v>4605000</v>
      </c>
      <c r="J111" s="563">
        <f>((3+10)*2+(4.3+4.5)*2+(1.9+7)*2)</f>
        <v>61.400000000000006</v>
      </c>
      <c r="K111" s="557"/>
      <c r="L111" s="557">
        <v>75000</v>
      </c>
      <c r="M111" s="539">
        <f t="shared" si="8"/>
        <v>75000</v>
      </c>
      <c r="N111" s="596">
        <f t="shared" si="13"/>
        <v>4605000</v>
      </c>
      <c r="O111" s="579">
        <f t="shared" si="9"/>
        <v>0</v>
      </c>
    </row>
    <row r="112" spans="1:16" ht="18.75" x14ac:dyDescent="0.25">
      <c r="A112" s="567" t="s">
        <v>635</v>
      </c>
      <c r="B112" s="562" t="s">
        <v>744</v>
      </c>
      <c r="C112" s="562" t="s">
        <v>745</v>
      </c>
      <c r="D112" s="555" t="s">
        <v>614</v>
      </c>
      <c r="E112" s="547"/>
      <c r="F112" s="548"/>
      <c r="G112" s="548"/>
      <c r="H112" s="565">
        <f t="shared" si="7"/>
        <v>0</v>
      </c>
      <c r="I112" s="549">
        <f t="shared" si="12"/>
        <v>0</v>
      </c>
      <c r="J112" s="547"/>
      <c r="K112" s="573"/>
      <c r="L112" s="573"/>
      <c r="M112" s="539">
        <f t="shared" si="8"/>
        <v>0</v>
      </c>
      <c r="N112" s="596">
        <f t="shared" si="13"/>
        <v>0</v>
      </c>
      <c r="O112" s="579">
        <f t="shared" si="9"/>
        <v>0</v>
      </c>
    </row>
    <row r="113" spans="1:16" ht="15.75" x14ac:dyDescent="0.25">
      <c r="A113" s="544"/>
      <c r="B113" s="551" t="s">
        <v>748</v>
      </c>
      <c r="C113" s="554"/>
      <c r="D113" s="536"/>
      <c r="E113" s="547"/>
      <c r="F113" s="548"/>
      <c r="G113" s="548"/>
      <c r="H113" s="539">
        <f t="shared" si="7"/>
        <v>0</v>
      </c>
      <c r="I113" s="596">
        <f t="shared" si="12"/>
        <v>0</v>
      </c>
      <c r="J113" s="547"/>
      <c r="K113" s="548"/>
      <c r="L113" s="548"/>
      <c r="M113" s="539">
        <f t="shared" si="8"/>
        <v>0</v>
      </c>
      <c r="N113" s="596">
        <f t="shared" si="13"/>
        <v>0</v>
      </c>
      <c r="O113" s="579">
        <f t="shared" si="9"/>
        <v>0</v>
      </c>
    </row>
    <row r="114" spans="1:16" ht="18.75" x14ac:dyDescent="0.25">
      <c r="A114" s="567" t="s">
        <v>611</v>
      </c>
      <c r="B114" s="554" t="s">
        <v>733</v>
      </c>
      <c r="C114" s="554" t="s">
        <v>734</v>
      </c>
      <c r="D114" s="555" t="s">
        <v>617</v>
      </c>
      <c r="E114" s="563">
        <f>(2*3)+(2.5*2.75)</f>
        <v>12.875</v>
      </c>
      <c r="F114" s="557"/>
      <c r="G114" s="557">
        <v>120000</v>
      </c>
      <c r="H114" s="539">
        <f t="shared" si="7"/>
        <v>120000</v>
      </c>
      <c r="I114" s="596">
        <f t="shared" si="12"/>
        <v>1545000</v>
      </c>
      <c r="J114" s="563">
        <f>(2*3)+(2.5*2.75)</f>
        <v>12.875</v>
      </c>
      <c r="K114" s="557"/>
      <c r="L114" s="557">
        <v>120000</v>
      </c>
      <c r="M114" s="539">
        <f t="shared" si="8"/>
        <v>120000</v>
      </c>
      <c r="N114" s="596">
        <f t="shared" si="13"/>
        <v>1545000</v>
      </c>
      <c r="O114" s="579">
        <f t="shared" si="9"/>
        <v>0</v>
      </c>
    </row>
    <row r="115" spans="1:16" ht="18.75" x14ac:dyDescent="0.25">
      <c r="A115" s="567" t="s">
        <v>699</v>
      </c>
      <c r="B115" s="554" t="s">
        <v>735</v>
      </c>
      <c r="C115" s="554" t="s">
        <v>747</v>
      </c>
      <c r="D115" s="555" t="s">
        <v>617</v>
      </c>
      <c r="E115" s="563">
        <f>((2+3)*2*3+(2.5+2.75)*2*3)</f>
        <v>61.5</v>
      </c>
      <c r="F115" s="557"/>
      <c r="G115" s="557">
        <v>55000</v>
      </c>
      <c r="H115" s="539">
        <f t="shared" si="7"/>
        <v>55000</v>
      </c>
      <c r="I115" s="596">
        <f t="shared" si="12"/>
        <v>3382500</v>
      </c>
      <c r="J115" s="563">
        <f>((2+3)*2*3+(2.5+2.75)*2*3)</f>
        <v>61.5</v>
      </c>
      <c r="K115" s="557"/>
      <c r="L115" s="557">
        <v>55000</v>
      </c>
      <c r="M115" s="539">
        <f t="shared" si="8"/>
        <v>55000</v>
      </c>
      <c r="N115" s="596">
        <f t="shared" si="13"/>
        <v>3382500</v>
      </c>
      <c r="O115" s="579">
        <f t="shared" si="9"/>
        <v>0</v>
      </c>
    </row>
    <row r="116" spans="1:16" ht="18.75" x14ac:dyDescent="0.25">
      <c r="A116" s="598" t="s">
        <v>628</v>
      </c>
      <c r="B116" s="570" t="s">
        <v>737</v>
      </c>
      <c r="C116" s="570" t="s">
        <v>742</v>
      </c>
      <c r="D116" s="571" t="s">
        <v>617</v>
      </c>
      <c r="E116" s="572">
        <f>(2*3)+(2.5*2.75)</f>
        <v>12.875</v>
      </c>
      <c r="F116" s="573">
        <v>550000</v>
      </c>
      <c r="G116" s="573">
        <v>200000</v>
      </c>
      <c r="H116" s="574">
        <f t="shared" si="7"/>
        <v>750000</v>
      </c>
      <c r="I116" s="599">
        <f t="shared" si="12"/>
        <v>9656250</v>
      </c>
      <c r="J116" s="572">
        <f>(2*3)+(2.5*2.75)</f>
        <v>12.875</v>
      </c>
      <c r="K116" s="573"/>
      <c r="L116" s="573">
        <v>200000</v>
      </c>
      <c r="M116" s="574">
        <f t="shared" si="8"/>
        <v>200000</v>
      </c>
      <c r="N116" s="599">
        <f t="shared" si="13"/>
        <v>2575000</v>
      </c>
      <c r="O116" s="579">
        <f t="shared" si="9"/>
        <v>-7081250</v>
      </c>
      <c r="P116" s="577" t="s">
        <v>743</v>
      </c>
    </row>
    <row r="117" spans="1:16" ht="18.75" x14ac:dyDescent="0.25">
      <c r="A117" s="567" t="s">
        <v>631</v>
      </c>
      <c r="B117" s="554" t="s">
        <v>739</v>
      </c>
      <c r="C117" s="554" t="s">
        <v>740</v>
      </c>
      <c r="D117" s="536" t="s">
        <v>60</v>
      </c>
      <c r="E117" s="563">
        <f>(2+3)*2+(2.5+2.75)*2</f>
        <v>20.5</v>
      </c>
      <c r="F117" s="557"/>
      <c r="G117" s="557">
        <v>75000</v>
      </c>
      <c r="H117" s="539">
        <f t="shared" si="7"/>
        <v>75000</v>
      </c>
      <c r="I117" s="596">
        <f t="shared" si="12"/>
        <v>1537500</v>
      </c>
      <c r="J117" s="563">
        <f>(2+3)*2+(2.5+2.75)*2</f>
        <v>20.5</v>
      </c>
      <c r="K117" s="557"/>
      <c r="L117" s="557">
        <v>75000</v>
      </c>
      <c r="M117" s="539">
        <f t="shared" si="8"/>
        <v>75000</v>
      </c>
      <c r="N117" s="596">
        <f t="shared" si="13"/>
        <v>1537500</v>
      </c>
      <c r="O117" s="576">
        <f t="shared" si="9"/>
        <v>0</v>
      </c>
    </row>
    <row r="118" spans="1:16" ht="15.75" x14ac:dyDescent="0.25">
      <c r="A118" s="544"/>
      <c r="B118" s="551" t="s">
        <v>749</v>
      </c>
      <c r="C118" s="554"/>
      <c r="D118" s="536"/>
      <c r="E118" s="547"/>
      <c r="F118" s="548"/>
      <c r="G118" s="548"/>
      <c r="H118" s="539">
        <f t="shared" si="7"/>
        <v>0</v>
      </c>
      <c r="I118" s="596">
        <f t="shared" si="12"/>
        <v>0</v>
      </c>
      <c r="J118" s="547"/>
      <c r="K118" s="548"/>
      <c r="L118" s="548"/>
      <c r="M118" s="539">
        <f t="shared" si="8"/>
        <v>0</v>
      </c>
      <c r="N118" s="596">
        <f t="shared" si="13"/>
        <v>0</v>
      </c>
      <c r="O118" s="576">
        <f t="shared" si="9"/>
        <v>0</v>
      </c>
    </row>
    <row r="119" spans="1:16" ht="18.75" x14ac:dyDescent="0.25">
      <c r="A119" s="567" t="s">
        <v>611</v>
      </c>
      <c r="B119" s="554" t="s">
        <v>733</v>
      </c>
      <c r="C119" s="554" t="s">
        <v>734</v>
      </c>
      <c r="D119" s="555" t="s">
        <v>617</v>
      </c>
      <c r="E119" s="563">
        <f>(3*4.5)+(7*1)</f>
        <v>20.5</v>
      </c>
      <c r="F119" s="557"/>
      <c r="G119" s="557">
        <v>120000</v>
      </c>
      <c r="H119" s="539">
        <f t="shared" si="7"/>
        <v>120000</v>
      </c>
      <c r="I119" s="596">
        <f t="shared" si="12"/>
        <v>2460000</v>
      </c>
      <c r="J119" s="563">
        <f>(3*4.5)+(7*1)</f>
        <v>20.5</v>
      </c>
      <c r="K119" s="557"/>
      <c r="L119" s="557">
        <v>120000</v>
      </c>
      <c r="M119" s="539">
        <f t="shared" si="8"/>
        <v>120000</v>
      </c>
      <c r="N119" s="596">
        <f t="shared" si="13"/>
        <v>2460000</v>
      </c>
      <c r="O119" s="576">
        <f t="shared" si="9"/>
        <v>0</v>
      </c>
    </row>
    <row r="120" spans="1:16" ht="18.75" x14ac:dyDescent="0.25">
      <c r="A120" s="567" t="s">
        <v>699</v>
      </c>
      <c r="B120" s="554" t="s">
        <v>735</v>
      </c>
      <c r="C120" s="554" t="s">
        <v>736</v>
      </c>
      <c r="D120" s="555" t="s">
        <v>617</v>
      </c>
      <c r="E120" s="563">
        <f>(3+4.5)*3+(7+1)*3</f>
        <v>46.5</v>
      </c>
      <c r="F120" s="557"/>
      <c r="G120" s="557">
        <v>55000</v>
      </c>
      <c r="H120" s="539">
        <f t="shared" si="7"/>
        <v>55000</v>
      </c>
      <c r="I120" s="596">
        <f t="shared" si="12"/>
        <v>2557500</v>
      </c>
      <c r="J120" s="563">
        <f>(3+4.5)*3+(7+1)*3</f>
        <v>46.5</v>
      </c>
      <c r="K120" s="557"/>
      <c r="L120" s="557">
        <v>55000</v>
      </c>
      <c r="M120" s="539">
        <f t="shared" si="8"/>
        <v>55000</v>
      </c>
      <c r="N120" s="596">
        <f t="shared" si="13"/>
        <v>2557500</v>
      </c>
      <c r="O120" s="576">
        <f t="shared" si="9"/>
        <v>0</v>
      </c>
    </row>
    <row r="121" spans="1:16" ht="18.75" x14ac:dyDescent="0.25">
      <c r="A121" s="567" t="s">
        <v>628</v>
      </c>
      <c r="B121" s="562" t="s">
        <v>737</v>
      </c>
      <c r="C121" s="562" t="s">
        <v>750</v>
      </c>
      <c r="D121" s="555" t="s">
        <v>614</v>
      </c>
      <c r="E121" s="547">
        <f>(3*4.5)+(7*1)</f>
        <v>20.5</v>
      </c>
      <c r="F121" s="548">
        <v>125000</v>
      </c>
      <c r="G121" s="548">
        <v>200000</v>
      </c>
      <c r="H121" s="565">
        <f t="shared" si="7"/>
        <v>325000</v>
      </c>
      <c r="I121" s="549">
        <f t="shared" si="12"/>
        <v>6662500</v>
      </c>
      <c r="J121" s="547">
        <f>(3*4.5)+(7*1)</f>
        <v>20.5</v>
      </c>
      <c r="K121" s="548"/>
      <c r="L121" s="548">
        <v>200000</v>
      </c>
      <c r="M121" s="565">
        <f t="shared" si="8"/>
        <v>200000</v>
      </c>
      <c r="N121" s="549">
        <f t="shared" si="13"/>
        <v>4100000</v>
      </c>
      <c r="O121" s="579"/>
    </row>
    <row r="122" spans="1:16" ht="18.75" x14ac:dyDescent="0.25">
      <c r="A122" s="567" t="s">
        <v>631</v>
      </c>
      <c r="B122" s="554" t="s">
        <v>739</v>
      </c>
      <c r="C122" s="554" t="s">
        <v>740</v>
      </c>
      <c r="D122" s="536" t="s">
        <v>60</v>
      </c>
      <c r="E122" s="563">
        <f>(3+4.5)*3+(7+1)</f>
        <v>30.5</v>
      </c>
      <c r="F122" s="557"/>
      <c r="G122" s="557">
        <v>75000</v>
      </c>
      <c r="H122" s="539">
        <f t="shared" si="7"/>
        <v>75000</v>
      </c>
      <c r="I122" s="596">
        <f t="shared" si="12"/>
        <v>2287500</v>
      </c>
      <c r="J122" s="563">
        <f>(3+4.5)*3+(7+1)</f>
        <v>30.5</v>
      </c>
      <c r="K122" s="557"/>
      <c r="L122" s="557">
        <v>75000</v>
      </c>
      <c r="M122" s="539">
        <f t="shared" si="8"/>
        <v>75000</v>
      </c>
      <c r="N122" s="596">
        <f t="shared" si="13"/>
        <v>2287500</v>
      </c>
      <c r="O122" s="576">
        <f t="shared" si="9"/>
        <v>0</v>
      </c>
    </row>
    <row r="123" spans="1:16" ht="15.75" x14ac:dyDescent="0.25">
      <c r="A123" s="544"/>
      <c r="B123" s="551" t="s">
        <v>751</v>
      </c>
      <c r="C123" s="554"/>
      <c r="D123" s="536"/>
      <c r="E123" s="547"/>
      <c r="F123" s="548"/>
      <c r="G123" s="548"/>
      <c r="H123" s="539">
        <f t="shared" si="7"/>
        <v>0</v>
      </c>
      <c r="I123" s="596">
        <f t="shared" si="12"/>
        <v>0</v>
      </c>
      <c r="J123" s="547"/>
      <c r="K123" s="548"/>
      <c r="L123" s="548"/>
      <c r="M123" s="539">
        <f t="shared" si="8"/>
        <v>0</v>
      </c>
      <c r="N123" s="596">
        <f t="shared" si="13"/>
        <v>0</v>
      </c>
      <c r="O123" s="576">
        <f t="shared" si="9"/>
        <v>0</v>
      </c>
    </row>
    <row r="124" spans="1:16" ht="18.75" x14ac:dyDescent="0.25">
      <c r="A124" s="567" t="s">
        <v>611</v>
      </c>
      <c r="B124" s="554" t="s">
        <v>733</v>
      </c>
      <c r="C124" s="554" t="s">
        <v>734</v>
      </c>
      <c r="D124" s="555" t="s">
        <v>617</v>
      </c>
      <c r="E124" s="563">
        <f>(1.5*2.78)</f>
        <v>4.17</v>
      </c>
      <c r="F124" s="557"/>
      <c r="G124" s="557">
        <v>130000</v>
      </c>
      <c r="H124" s="539">
        <f t="shared" si="7"/>
        <v>130000</v>
      </c>
      <c r="I124" s="596">
        <f t="shared" si="12"/>
        <v>542100</v>
      </c>
      <c r="J124" s="563">
        <f>(1.5*2.78)</f>
        <v>4.17</v>
      </c>
      <c r="K124" s="557"/>
      <c r="L124" s="557">
        <v>130000</v>
      </c>
      <c r="M124" s="539">
        <f t="shared" si="8"/>
        <v>130000</v>
      </c>
      <c r="N124" s="596">
        <f t="shared" si="13"/>
        <v>542100</v>
      </c>
      <c r="O124" s="576">
        <f t="shared" si="9"/>
        <v>0</v>
      </c>
    </row>
    <row r="125" spans="1:16" ht="18.75" x14ac:dyDescent="0.25">
      <c r="A125" s="598" t="s">
        <v>699</v>
      </c>
      <c r="B125" s="570" t="s">
        <v>735</v>
      </c>
      <c r="C125" s="570" t="s">
        <v>752</v>
      </c>
      <c r="D125" s="571" t="s">
        <v>617</v>
      </c>
      <c r="E125" s="572">
        <f>(1.5+2.7)*2*2.8</f>
        <v>23.52</v>
      </c>
      <c r="F125" s="573">
        <v>250000</v>
      </c>
      <c r="G125" s="573">
        <v>200000</v>
      </c>
      <c r="H125" s="574">
        <f t="shared" si="7"/>
        <v>450000</v>
      </c>
      <c r="I125" s="599">
        <f t="shared" si="12"/>
        <v>10584000</v>
      </c>
      <c r="J125" s="572">
        <f>(1.5+2.7)*2*2.8</f>
        <v>23.52</v>
      </c>
      <c r="K125" s="573">
        <v>250000</v>
      </c>
      <c r="L125" s="573">
        <v>200000</v>
      </c>
      <c r="M125" s="574">
        <v>180000</v>
      </c>
      <c r="N125" s="599">
        <f t="shared" si="13"/>
        <v>4233600</v>
      </c>
      <c r="O125" s="600">
        <f t="shared" si="9"/>
        <v>-6350400</v>
      </c>
    </row>
    <row r="126" spans="1:16" ht="18.75" x14ac:dyDescent="0.25">
      <c r="A126" s="598" t="s">
        <v>628</v>
      </c>
      <c r="B126" s="570" t="s">
        <v>737</v>
      </c>
      <c r="C126" s="570" t="s">
        <v>752</v>
      </c>
      <c r="D126" s="571" t="s">
        <v>614</v>
      </c>
      <c r="E126" s="572">
        <f>(1.5*2.78)</f>
        <v>4.17</v>
      </c>
      <c r="F126" s="573">
        <v>250000</v>
      </c>
      <c r="G126" s="573">
        <v>300000</v>
      </c>
      <c r="H126" s="574">
        <f t="shared" si="7"/>
        <v>550000</v>
      </c>
      <c r="I126" s="599">
        <f t="shared" si="12"/>
        <v>2293500</v>
      </c>
      <c r="J126" s="572">
        <f>(1.5*2.78)</f>
        <v>4.17</v>
      </c>
      <c r="K126" s="573">
        <v>250000</v>
      </c>
      <c r="L126" s="573">
        <v>300000</v>
      </c>
      <c r="M126" s="574">
        <v>160000</v>
      </c>
      <c r="N126" s="599">
        <f t="shared" si="13"/>
        <v>667200</v>
      </c>
      <c r="O126" s="600">
        <f t="shared" si="9"/>
        <v>-1626300</v>
      </c>
    </row>
    <row r="127" spans="1:16" ht="15.75" x14ac:dyDescent="0.25">
      <c r="A127" s="544"/>
      <c r="B127" s="551" t="s">
        <v>753</v>
      </c>
      <c r="C127" s="554"/>
      <c r="D127" s="555"/>
      <c r="E127" s="547"/>
      <c r="F127" s="548"/>
      <c r="G127" s="548"/>
      <c r="H127" s="539">
        <f t="shared" si="7"/>
        <v>0</v>
      </c>
      <c r="I127" s="596">
        <f t="shared" si="12"/>
        <v>0</v>
      </c>
      <c r="J127" s="547"/>
      <c r="K127" s="548"/>
      <c r="L127" s="548"/>
      <c r="M127" s="539">
        <f t="shared" si="8"/>
        <v>0</v>
      </c>
      <c r="N127" s="596">
        <f t="shared" si="13"/>
        <v>0</v>
      </c>
      <c r="O127" s="576">
        <f t="shared" si="9"/>
        <v>0</v>
      </c>
    </row>
    <row r="128" spans="1:16" ht="18.75" x14ac:dyDescent="0.25">
      <c r="A128" s="567" t="s">
        <v>611</v>
      </c>
      <c r="B128" s="554" t="s">
        <v>733</v>
      </c>
      <c r="C128" s="554" t="s">
        <v>734</v>
      </c>
      <c r="D128" s="555" t="s">
        <v>617</v>
      </c>
      <c r="E128" s="563">
        <f>1.9*1.5</f>
        <v>2.8499999999999996</v>
      </c>
      <c r="F128" s="557"/>
      <c r="G128" s="557">
        <v>130000</v>
      </c>
      <c r="H128" s="539">
        <f t="shared" si="7"/>
        <v>130000</v>
      </c>
      <c r="I128" s="596">
        <f t="shared" si="12"/>
        <v>370499.99999999994</v>
      </c>
      <c r="J128" s="563">
        <f>1.9*1.5</f>
        <v>2.8499999999999996</v>
      </c>
      <c r="K128" s="557"/>
      <c r="L128" s="557">
        <v>130000</v>
      </c>
      <c r="M128" s="539">
        <f t="shared" si="8"/>
        <v>130000</v>
      </c>
      <c r="N128" s="596">
        <f t="shared" si="13"/>
        <v>370499.99999999994</v>
      </c>
      <c r="O128" s="576">
        <f t="shared" si="9"/>
        <v>0</v>
      </c>
    </row>
    <row r="129" spans="1:16" ht="18.75" x14ac:dyDescent="0.25">
      <c r="A129" s="598" t="s">
        <v>699</v>
      </c>
      <c r="B129" s="570" t="s">
        <v>735</v>
      </c>
      <c r="C129" s="570" t="s">
        <v>752</v>
      </c>
      <c r="D129" s="571" t="s">
        <v>617</v>
      </c>
      <c r="E129" s="572">
        <f>(1.5+2)*2*2.5</f>
        <v>17.5</v>
      </c>
      <c r="F129" s="573">
        <v>200000</v>
      </c>
      <c r="G129" s="573">
        <v>250000</v>
      </c>
      <c r="H129" s="574">
        <f t="shared" si="7"/>
        <v>450000</v>
      </c>
      <c r="I129" s="599">
        <f t="shared" si="12"/>
        <v>7875000</v>
      </c>
      <c r="J129" s="572">
        <f>(1.5+2)*2*2.5</f>
        <v>17.5</v>
      </c>
      <c r="K129" s="573">
        <v>200000</v>
      </c>
      <c r="L129" s="573">
        <v>250000</v>
      </c>
      <c r="M129" s="574">
        <v>180000</v>
      </c>
      <c r="N129" s="599">
        <f t="shared" si="13"/>
        <v>3150000</v>
      </c>
      <c r="O129" s="600">
        <f t="shared" si="9"/>
        <v>-4725000</v>
      </c>
    </row>
    <row r="130" spans="1:16" ht="18.75" x14ac:dyDescent="0.25">
      <c r="A130" s="598" t="s">
        <v>628</v>
      </c>
      <c r="B130" s="570" t="s">
        <v>737</v>
      </c>
      <c r="C130" s="570" t="s">
        <v>752</v>
      </c>
      <c r="D130" s="571" t="s">
        <v>617</v>
      </c>
      <c r="E130" s="572">
        <f>1.9*1.5</f>
        <v>2.8499999999999996</v>
      </c>
      <c r="F130" s="573">
        <v>200000</v>
      </c>
      <c r="G130" s="573">
        <v>350000</v>
      </c>
      <c r="H130" s="574">
        <f t="shared" si="7"/>
        <v>550000</v>
      </c>
      <c r="I130" s="599">
        <f t="shared" si="12"/>
        <v>1567499.9999999998</v>
      </c>
      <c r="J130" s="572">
        <f>1.9*1.5</f>
        <v>2.8499999999999996</v>
      </c>
      <c r="K130" s="573">
        <v>200000</v>
      </c>
      <c r="L130" s="573">
        <v>350000</v>
      </c>
      <c r="M130" s="574">
        <v>160000</v>
      </c>
      <c r="N130" s="599">
        <f t="shared" si="13"/>
        <v>455999.99999999994</v>
      </c>
      <c r="O130" s="600">
        <f t="shared" si="9"/>
        <v>-1111499.9999999998</v>
      </c>
    </row>
    <row r="131" spans="1:16" ht="15.75" x14ac:dyDescent="0.25">
      <c r="A131" s="567"/>
      <c r="B131" s="551" t="s">
        <v>754</v>
      </c>
      <c r="C131" s="554"/>
      <c r="D131" s="536"/>
      <c r="E131" s="547"/>
      <c r="F131" s="548"/>
      <c r="G131" s="548"/>
      <c r="H131" s="539">
        <f t="shared" si="7"/>
        <v>0</v>
      </c>
      <c r="I131" s="596">
        <f t="shared" si="12"/>
        <v>0</v>
      </c>
      <c r="J131" s="547"/>
      <c r="K131" s="548"/>
      <c r="L131" s="548"/>
      <c r="M131" s="539">
        <f t="shared" si="8"/>
        <v>0</v>
      </c>
      <c r="N131" s="596">
        <f t="shared" si="13"/>
        <v>0</v>
      </c>
      <c r="O131" s="576">
        <f t="shared" si="9"/>
        <v>0</v>
      </c>
    </row>
    <row r="132" spans="1:16" ht="18.75" x14ac:dyDescent="0.25">
      <c r="A132" s="580" t="s">
        <v>611</v>
      </c>
      <c r="B132" s="581" t="s">
        <v>755</v>
      </c>
      <c r="C132" s="581" t="s">
        <v>756</v>
      </c>
      <c r="D132" s="589" t="s">
        <v>617</v>
      </c>
      <c r="E132" s="590">
        <f>1.17*3.3</f>
        <v>3.8609999999999998</v>
      </c>
      <c r="F132" s="582"/>
      <c r="G132" s="582">
        <v>950000</v>
      </c>
      <c r="H132" s="584">
        <f t="shared" si="7"/>
        <v>950000</v>
      </c>
      <c r="I132" s="591">
        <f t="shared" si="12"/>
        <v>3667950</v>
      </c>
      <c r="J132" s="590">
        <f>1.17*3.3</f>
        <v>3.8609999999999998</v>
      </c>
      <c r="K132" s="582"/>
      <c r="L132" s="582">
        <v>950000</v>
      </c>
      <c r="M132" s="584">
        <f t="shared" si="8"/>
        <v>950000</v>
      </c>
      <c r="N132" s="591">
        <f t="shared" si="13"/>
        <v>3667950</v>
      </c>
      <c r="O132" s="601">
        <f t="shared" si="9"/>
        <v>0</v>
      </c>
    </row>
    <row r="133" spans="1:16" ht="15.75" x14ac:dyDescent="0.25">
      <c r="A133" s="567"/>
      <c r="B133" s="554"/>
      <c r="C133" s="554" t="s">
        <v>757</v>
      </c>
      <c r="D133" s="536"/>
      <c r="E133" s="547"/>
      <c r="F133" s="548"/>
      <c r="G133" s="548"/>
      <c r="H133" s="539">
        <f t="shared" si="7"/>
        <v>0</v>
      </c>
      <c r="I133" s="596">
        <f t="shared" si="12"/>
        <v>0</v>
      </c>
      <c r="J133" s="547"/>
      <c r="K133" s="548"/>
      <c r="L133" s="548"/>
      <c r="M133" s="539">
        <f t="shared" si="8"/>
        <v>0</v>
      </c>
      <c r="N133" s="596">
        <f t="shared" si="13"/>
        <v>0</v>
      </c>
      <c r="O133" s="576">
        <f t="shared" si="9"/>
        <v>0</v>
      </c>
    </row>
    <row r="134" spans="1:16" ht="18.75" x14ac:dyDescent="0.25">
      <c r="A134" s="567" t="s">
        <v>699</v>
      </c>
      <c r="B134" s="554" t="s">
        <v>758</v>
      </c>
      <c r="C134" s="554" t="s">
        <v>747</v>
      </c>
      <c r="D134" s="555" t="s">
        <v>617</v>
      </c>
      <c r="E134" s="563">
        <f>(1.17+3.3)*2*3</f>
        <v>26.82</v>
      </c>
      <c r="F134" s="557"/>
      <c r="G134" s="557">
        <v>55000</v>
      </c>
      <c r="H134" s="539">
        <f t="shared" si="7"/>
        <v>55000</v>
      </c>
      <c r="I134" s="596">
        <f t="shared" si="12"/>
        <v>1475100</v>
      </c>
      <c r="J134" s="563">
        <f>(1.17+3.3)*2*3</f>
        <v>26.82</v>
      </c>
      <c r="K134" s="557"/>
      <c r="L134" s="557">
        <v>55000</v>
      </c>
      <c r="M134" s="539">
        <f t="shared" si="8"/>
        <v>55000</v>
      </c>
      <c r="N134" s="596">
        <f t="shared" si="13"/>
        <v>1475100</v>
      </c>
      <c r="O134" s="576">
        <f t="shared" si="9"/>
        <v>0</v>
      </c>
    </row>
    <row r="135" spans="1:16" ht="18.75" x14ac:dyDescent="0.25">
      <c r="A135" s="598" t="s">
        <v>628</v>
      </c>
      <c r="B135" s="570" t="s">
        <v>729</v>
      </c>
      <c r="C135" s="570" t="s">
        <v>759</v>
      </c>
      <c r="D135" s="571" t="s">
        <v>617</v>
      </c>
      <c r="E135" s="572">
        <f>1.17*3.3</f>
        <v>3.8609999999999998</v>
      </c>
      <c r="F135" s="573">
        <v>200000</v>
      </c>
      <c r="G135" s="573">
        <v>200000</v>
      </c>
      <c r="H135" s="574">
        <f t="shared" si="7"/>
        <v>400000</v>
      </c>
      <c r="I135" s="599">
        <f t="shared" si="12"/>
        <v>1544400</v>
      </c>
      <c r="J135" s="572">
        <f>1.17*3.3</f>
        <v>3.8609999999999998</v>
      </c>
      <c r="K135" s="573">
        <v>200000</v>
      </c>
      <c r="L135" s="573">
        <v>200000</v>
      </c>
      <c r="M135" s="574">
        <v>160000</v>
      </c>
      <c r="N135" s="599">
        <f t="shared" si="13"/>
        <v>617760</v>
      </c>
      <c r="O135" s="600">
        <f t="shared" si="9"/>
        <v>-926640</v>
      </c>
    </row>
    <row r="136" spans="1:16" ht="18.75" x14ac:dyDescent="0.25">
      <c r="A136" s="567" t="s">
        <v>631</v>
      </c>
      <c r="B136" s="554" t="s">
        <v>739</v>
      </c>
      <c r="C136" s="554" t="s">
        <v>740</v>
      </c>
      <c r="D136" s="536" t="s">
        <v>60</v>
      </c>
      <c r="E136" s="563">
        <f>(1.17+3.3)*2</f>
        <v>8.94</v>
      </c>
      <c r="F136" s="557"/>
      <c r="G136" s="557">
        <v>65000</v>
      </c>
      <c r="H136" s="539">
        <f t="shared" si="7"/>
        <v>65000</v>
      </c>
      <c r="I136" s="596">
        <f t="shared" si="12"/>
        <v>581100</v>
      </c>
      <c r="J136" s="563">
        <f>(1.17+3.3)*2</f>
        <v>8.94</v>
      </c>
      <c r="K136" s="557"/>
      <c r="L136" s="557">
        <v>65000</v>
      </c>
      <c r="M136" s="539">
        <f t="shared" si="8"/>
        <v>65000</v>
      </c>
      <c r="N136" s="596">
        <f t="shared" si="13"/>
        <v>581100</v>
      </c>
      <c r="O136" s="576">
        <f t="shared" si="9"/>
        <v>0</v>
      </c>
    </row>
    <row r="137" spans="1:16" ht="15.75" x14ac:dyDescent="0.25">
      <c r="A137" s="598">
        <v>5</v>
      </c>
      <c r="B137" s="570" t="s">
        <v>760</v>
      </c>
      <c r="C137" s="570" t="s">
        <v>761</v>
      </c>
      <c r="D137" s="571" t="s">
        <v>762</v>
      </c>
      <c r="E137" s="572">
        <v>17</v>
      </c>
      <c r="F137" s="573"/>
      <c r="G137" s="573">
        <v>850000</v>
      </c>
      <c r="H137" s="574">
        <f t="shared" si="7"/>
        <v>850000</v>
      </c>
      <c r="I137" s="599">
        <f t="shared" si="12"/>
        <v>14450000</v>
      </c>
      <c r="J137" s="572">
        <v>17</v>
      </c>
      <c r="K137" s="573"/>
      <c r="L137" s="573">
        <v>850000</v>
      </c>
      <c r="M137" s="574">
        <v>180000</v>
      </c>
      <c r="N137" s="599">
        <f t="shared" si="13"/>
        <v>3060000</v>
      </c>
      <c r="O137" s="600">
        <f t="shared" si="9"/>
        <v>-11390000</v>
      </c>
    </row>
    <row r="138" spans="1:16" ht="15.75" x14ac:dyDescent="0.25">
      <c r="A138" s="567"/>
      <c r="B138" s="551" t="s">
        <v>763</v>
      </c>
      <c r="C138" s="554"/>
      <c r="D138" s="536"/>
      <c r="E138" s="547"/>
      <c r="F138" s="557"/>
      <c r="G138" s="557"/>
      <c r="H138" s="539">
        <f t="shared" ref="H138:H201" si="14">F138+G138</f>
        <v>0</v>
      </c>
      <c r="I138" s="596">
        <f t="shared" si="12"/>
        <v>0</v>
      </c>
      <c r="J138" s="547"/>
      <c r="K138" s="557"/>
      <c r="L138" s="557"/>
      <c r="M138" s="539">
        <f t="shared" ref="M138:M201" si="15">K138+L138</f>
        <v>0</v>
      </c>
      <c r="N138" s="596">
        <f t="shared" si="13"/>
        <v>0</v>
      </c>
      <c r="O138" s="576">
        <f t="shared" ref="O138:O201" si="16">N138-I138</f>
        <v>0</v>
      </c>
    </row>
    <row r="139" spans="1:16" ht="18.75" x14ac:dyDescent="0.25">
      <c r="A139" s="567" t="s">
        <v>611</v>
      </c>
      <c r="B139" s="554" t="s">
        <v>733</v>
      </c>
      <c r="C139" s="554" t="s">
        <v>734</v>
      </c>
      <c r="D139" s="555" t="s">
        <v>617</v>
      </c>
      <c r="E139" s="563">
        <f>7*2</f>
        <v>14</v>
      </c>
      <c r="F139" s="557"/>
      <c r="G139" s="557">
        <v>130000</v>
      </c>
      <c r="H139" s="539">
        <f t="shared" si="14"/>
        <v>130000</v>
      </c>
      <c r="I139" s="596">
        <f t="shared" si="12"/>
        <v>1820000</v>
      </c>
      <c r="J139" s="563">
        <f>7*2</f>
        <v>14</v>
      </c>
      <c r="K139" s="557"/>
      <c r="L139" s="557">
        <v>130000</v>
      </c>
      <c r="M139" s="539">
        <f t="shared" si="15"/>
        <v>130000</v>
      </c>
      <c r="N139" s="596">
        <f t="shared" si="13"/>
        <v>1820000</v>
      </c>
      <c r="O139" s="576">
        <f t="shared" si="16"/>
        <v>0</v>
      </c>
    </row>
    <row r="140" spans="1:16" ht="18.75" x14ac:dyDescent="0.25">
      <c r="A140" s="567" t="s">
        <v>699</v>
      </c>
      <c r="B140" s="554" t="s">
        <v>735</v>
      </c>
      <c r="C140" s="554" t="s">
        <v>736</v>
      </c>
      <c r="D140" s="555" t="s">
        <v>617</v>
      </c>
      <c r="E140" s="563">
        <v>10</v>
      </c>
      <c r="F140" s="557"/>
      <c r="G140" s="557">
        <v>55000</v>
      </c>
      <c r="H140" s="539">
        <f t="shared" si="14"/>
        <v>55000</v>
      </c>
      <c r="I140" s="596">
        <f t="shared" si="12"/>
        <v>550000</v>
      </c>
      <c r="J140" s="563">
        <v>10</v>
      </c>
      <c r="K140" s="557"/>
      <c r="L140" s="557">
        <v>55000</v>
      </c>
      <c r="M140" s="539">
        <f t="shared" si="15"/>
        <v>55000</v>
      </c>
      <c r="N140" s="596">
        <f t="shared" si="13"/>
        <v>550000</v>
      </c>
      <c r="O140" s="576">
        <f t="shared" si="16"/>
        <v>0</v>
      </c>
    </row>
    <row r="141" spans="1:16" ht="18.75" x14ac:dyDescent="0.25">
      <c r="A141" s="598" t="s">
        <v>628</v>
      </c>
      <c r="B141" s="570" t="s">
        <v>737</v>
      </c>
      <c r="C141" s="570" t="s">
        <v>764</v>
      </c>
      <c r="D141" s="571" t="s">
        <v>617</v>
      </c>
      <c r="E141" s="572">
        <v>19</v>
      </c>
      <c r="F141" s="573">
        <v>550000</v>
      </c>
      <c r="G141" s="573">
        <v>200000</v>
      </c>
      <c r="H141" s="574">
        <f t="shared" si="14"/>
        <v>750000</v>
      </c>
      <c r="I141" s="599">
        <f t="shared" si="12"/>
        <v>14250000</v>
      </c>
      <c r="J141" s="572">
        <v>19</v>
      </c>
      <c r="K141" s="573"/>
      <c r="L141" s="573">
        <v>200000</v>
      </c>
      <c r="M141" s="574">
        <f t="shared" si="15"/>
        <v>200000</v>
      </c>
      <c r="N141" s="599">
        <f t="shared" si="13"/>
        <v>3800000</v>
      </c>
      <c r="O141" s="579">
        <f t="shared" si="16"/>
        <v>-10450000</v>
      </c>
      <c r="P141" s="577" t="s">
        <v>743</v>
      </c>
    </row>
    <row r="142" spans="1:16" ht="18.75" x14ac:dyDescent="0.25">
      <c r="A142" s="567"/>
      <c r="B142" s="554"/>
      <c r="C142" s="554" t="s">
        <v>765</v>
      </c>
      <c r="D142" s="555" t="s">
        <v>617</v>
      </c>
      <c r="E142" s="563">
        <v>19</v>
      </c>
      <c r="F142" s="557">
        <v>350000</v>
      </c>
      <c r="G142" s="557">
        <v>200000</v>
      </c>
      <c r="H142" s="539">
        <f t="shared" si="14"/>
        <v>550000</v>
      </c>
      <c r="I142" s="596">
        <f t="shared" si="12"/>
        <v>10450000</v>
      </c>
      <c r="J142" s="563">
        <v>19</v>
      </c>
      <c r="K142" s="557">
        <v>350000</v>
      </c>
      <c r="L142" s="557">
        <v>200000</v>
      </c>
      <c r="M142" s="539">
        <f t="shared" si="15"/>
        <v>550000</v>
      </c>
      <c r="N142" s="596">
        <f t="shared" si="13"/>
        <v>10450000</v>
      </c>
      <c r="O142" s="579">
        <f t="shared" si="16"/>
        <v>0</v>
      </c>
    </row>
    <row r="143" spans="1:16" ht="18.75" x14ac:dyDescent="0.25">
      <c r="A143" s="567" t="s">
        <v>631</v>
      </c>
      <c r="B143" s="554" t="s">
        <v>739</v>
      </c>
      <c r="C143" s="554" t="s">
        <v>740</v>
      </c>
      <c r="D143" s="536" t="s">
        <v>60</v>
      </c>
      <c r="E143" s="563">
        <f>7*2*2</f>
        <v>28</v>
      </c>
      <c r="F143" s="557"/>
      <c r="G143" s="557">
        <v>75000</v>
      </c>
      <c r="H143" s="539">
        <f t="shared" si="14"/>
        <v>75000</v>
      </c>
      <c r="I143" s="596">
        <f t="shared" si="12"/>
        <v>2100000</v>
      </c>
      <c r="J143" s="563">
        <f>7*2*2</f>
        <v>28</v>
      </c>
      <c r="K143" s="557"/>
      <c r="L143" s="557">
        <v>75000</v>
      </c>
      <c r="M143" s="539">
        <f t="shared" si="15"/>
        <v>75000</v>
      </c>
      <c r="N143" s="596">
        <f t="shared" si="13"/>
        <v>2100000</v>
      </c>
      <c r="O143" s="579">
        <f t="shared" si="16"/>
        <v>0</v>
      </c>
    </row>
    <row r="144" spans="1:16" ht="18.75" x14ac:dyDescent="0.25">
      <c r="A144" s="567" t="s">
        <v>635</v>
      </c>
      <c r="B144" s="554" t="s">
        <v>766</v>
      </c>
      <c r="C144" s="554" t="s">
        <v>767</v>
      </c>
      <c r="D144" s="555" t="s">
        <v>617</v>
      </c>
      <c r="E144" s="563">
        <f>7*1.2</f>
        <v>8.4</v>
      </c>
      <c r="F144" s="557"/>
      <c r="G144" s="557">
        <v>76000</v>
      </c>
      <c r="H144" s="539">
        <f t="shared" si="14"/>
        <v>76000</v>
      </c>
      <c r="I144" s="596">
        <f t="shared" si="12"/>
        <v>638400</v>
      </c>
      <c r="J144" s="563">
        <f>7*1.2</f>
        <v>8.4</v>
      </c>
      <c r="K144" s="557"/>
      <c r="L144" s="557">
        <v>76000</v>
      </c>
      <c r="M144" s="539">
        <f t="shared" si="15"/>
        <v>76000</v>
      </c>
      <c r="N144" s="596">
        <f t="shared" si="13"/>
        <v>638400</v>
      </c>
      <c r="O144" s="579">
        <f t="shared" si="16"/>
        <v>0</v>
      </c>
    </row>
    <row r="145" spans="1:16" ht="18.75" x14ac:dyDescent="0.25">
      <c r="A145" s="567"/>
      <c r="B145" s="554"/>
      <c r="C145" s="554" t="s">
        <v>768</v>
      </c>
      <c r="D145" s="536" t="s">
        <v>60</v>
      </c>
      <c r="E145" s="563">
        <v>10</v>
      </c>
      <c r="F145" s="557"/>
      <c r="G145" s="557">
        <v>450000</v>
      </c>
      <c r="H145" s="539">
        <f t="shared" si="14"/>
        <v>450000</v>
      </c>
      <c r="I145" s="596">
        <f t="shared" si="12"/>
        <v>4500000</v>
      </c>
      <c r="J145" s="563">
        <v>10</v>
      </c>
      <c r="K145" s="557"/>
      <c r="L145" s="557">
        <v>450000</v>
      </c>
      <c r="M145" s="539">
        <f t="shared" si="15"/>
        <v>450000</v>
      </c>
      <c r="N145" s="596">
        <f t="shared" si="13"/>
        <v>4500000</v>
      </c>
      <c r="O145" s="579">
        <f t="shared" si="16"/>
        <v>0</v>
      </c>
    </row>
    <row r="146" spans="1:16" ht="15.75" x14ac:dyDescent="0.25">
      <c r="A146" s="567"/>
      <c r="B146" s="554"/>
      <c r="C146" s="587" t="s">
        <v>769</v>
      </c>
      <c r="D146" s="536"/>
      <c r="E146" s="563"/>
      <c r="F146" s="587"/>
      <c r="G146" s="587"/>
      <c r="H146" s="539">
        <f t="shared" si="14"/>
        <v>0</v>
      </c>
      <c r="I146" s="543">
        <f>SUM(I92:I145)</f>
        <v>217997470</v>
      </c>
      <c r="J146" s="563"/>
      <c r="K146" s="587"/>
      <c r="L146" s="587"/>
      <c r="M146" s="539">
        <f t="shared" si="15"/>
        <v>0</v>
      </c>
      <c r="N146" s="543">
        <f>SUM(N92:N145)</f>
        <v>135192830</v>
      </c>
      <c r="O146" s="588">
        <f>SUM(O92:O145)</f>
        <v>-80242140</v>
      </c>
      <c r="P146" s="577" t="s">
        <v>743</v>
      </c>
    </row>
    <row r="147" spans="1:16" ht="15.75" x14ac:dyDescent="0.25">
      <c r="A147" s="550" t="s">
        <v>328</v>
      </c>
      <c r="B147" s="551" t="s">
        <v>770</v>
      </c>
      <c r="C147" s="554"/>
      <c r="D147" s="536"/>
      <c r="E147" s="547"/>
      <c r="F147" s="548"/>
      <c r="G147" s="548"/>
      <c r="H147" s="539">
        <f t="shared" si="14"/>
        <v>0</v>
      </c>
      <c r="I147" s="549"/>
      <c r="J147" s="547"/>
      <c r="K147" s="548"/>
      <c r="L147" s="548"/>
      <c r="M147" s="539">
        <f t="shared" si="15"/>
        <v>0</v>
      </c>
      <c r="N147" s="549"/>
      <c r="O147" s="579">
        <f t="shared" si="16"/>
        <v>0</v>
      </c>
    </row>
    <row r="148" spans="1:16" ht="15.75" x14ac:dyDescent="0.25">
      <c r="A148" s="567"/>
      <c r="B148" s="551" t="s">
        <v>771</v>
      </c>
      <c r="C148" s="554"/>
      <c r="D148" s="536"/>
      <c r="E148" s="547"/>
      <c r="F148" s="548"/>
      <c r="G148" s="548"/>
      <c r="H148" s="539">
        <f t="shared" si="14"/>
        <v>0</v>
      </c>
      <c r="I148" s="549"/>
      <c r="J148" s="547"/>
      <c r="K148" s="548"/>
      <c r="L148" s="548"/>
      <c r="M148" s="539">
        <f t="shared" si="15"/>
        <v>0</v>
      </c>
      <c r="N148" s="549"/>
      <c r="O148" s="579">
        <f t="shared" si="16"/>
        <v>0</v>
      </c>
    </row>
    <row r="149" spans="1:16" ht="18.75" x14ac:dyDescent="0.25">
      <c r="A149" s="567" t="s">
        <v>611</v>
      </c>
      <c r="B149" s="554" t="s">
        <v>733</v>
      </c>
      <c r="C149" s="554" t="s">
        <v>734</v>
      </c>
      <c r="D149" s="555" t="s">
        <v>617</v>
      </c>
      <c r="E149" s="563">
        <f>(1.1*7)+(1.1*3)</f>
        <v>11.000000000000002</v>
      </c>
      <c r="F149" s="557"/>
      <c r="G149" s="557">
        <v>130000</v>
      </c>
      <c r="H149" s="539">
        <f t="shared" si="14"/>
        <v>130000</v>
      </c>
      <c r="I149" s="596">
        <f>E149*H149</f>
        <v>1430000.0000000002</v>
      </c>
      <c r="J149" s="563">
        <f>(1.1*7)+(1.1*3)</f>
        <v>11.000000000000002</v>
      </c>
      <c r="K149" s="557"/>
      <c r="L149" s="557">
        <v>130000</v>
      </c>
      <c r="M149" s="539">
        <f t="shared" si="15"/>
        <v>130000</v>
      </c>
      <c r="N149" s="596">
        <f>J149*M149</f>
        <v>1430000.0000000002</v>
      </c>
      <c r="O149" s="579">
        <f t="shared" si="16"/>
        <v>0</v>
      </c>
    </row>
    <row r="150" spans="1:16" ht="18.75" x14ac:dyDescent="0.25">
      <c r="A150" s="567" t="s">
        <v>699</v>
      </c>
      <c r="B150" s="554" t="s">
        <v>735</v>
      </c>
      <c r="C150" s="554" t="s">
        <v>767</v>
      </c>
      <c r="D150" s="555" t="s">
        <v>617</v>
      </c>
      <c r="E150" s="563">
        <f>(1.1+7)*3+(1.1+3)*3</f>
        <v>36.599999999999994</v>
      </c>
      <c r="F150" s="557"/>
      <c r="G150" s="557">
        <v>55000</v>
      </c>
      <c r="H150" s="539">
        <f t="shared" si="14"/>
        <v>55000</v>
      </c>
      <c r="I150" s="596">
        <f t="shared" ref="I150:I201" si="17">E150*H150</f>
        <v>2012999.9999999998</v>
      </c>
      <c r="J150" s="563">
        <f>(1.1+7)*3+(1.1+3)*3</f>
        <v>36.599999999999994</v>
      </c>
      <c r="K150" s="557"/>
      <c r="L150" s="557">
        <v>55000</v>
      </c>
      <c r="M150" s="539">
        <f t="shared" si="15"/>
        <v>55000</v>
      </c>
      <c r="N150" s="596">
        <f t="shared" ref="N150:N201" si="18">J150*M150</f>
        <v>2012999.9999999998</v>
      </c>
      <c r="O150" s="579">
        <f t="shared" si="16"/>
        <v>0</v>
      </c>
    </row>
    <row r="151" spans="1:16" ht="18.75" x14ac:dyDescent="0.25">
      <c r="A151" s="598" t="s">
        <v>628</v>
      </c>
      <c r="B151" s="570" t="s">
        <v>737</v>
      </c>
      <c r="C151" s="570" t="s">
        <v>742</v>
      </c>
      <c r="D151" s="571" t="s">
        <v>614</v>
      </c>
      <c r="E151" s="572">
        <f>(1.1*7)+(1.1*3)</f>
        <v>11.000000000000002</v>
      </c>
      <c r="F151" s="573">
        <v>550000</v>
      </c>
      <c r="G151" s="573">
        <v>200000</v>
      </c>
      <c r="H151" s="574">
        <f t="shared" si="14"/>
        <v>750000</v>
      </c>
      <c r="I151" s="599">
        <f t="shared" si="17"/>
        <v>8250000.0000000009</v>
      </c>
      <c r="J151" s="572">
        <f>(1.1*7)+(1.1*3)</f>
        <v>11.000000000000002</v>
      </c>
      <c r="K151" s="573"/>
      <c r="L151" s="573">
        <v>200000</v>
      </c>
      <c r="M151" s="574">
        <f t="shared" si="15"/>
        <v>200000</v>
      </c>
      <c r="N151" s="599">
        <f t="shared" si="18"/>
        <v>2200000.0000000005</v>
      </c>
      <c r="O151" s="579">
        <f t="shared" si="16"/>
        <v>-6050000</v>
      </c>
      <c r="P151" s="577" t="s">
        <v>743</v>
      </c>
    </row>
    <row r="152" spans="1:16" ht="18.75" x14ac:dyDescent="0.25">
      <c r="A152" s="567" t="s">
        <v>631</v>
      </c>
      <c r="B152" s="554" t="s">
        <v>739</v>
      </c>
      <c r="C152" s="554" t="s">
        <v>740</v>
      </c>
      <c r="D152" s="536" t="s">
        <v>60</v>
      </c>
      <c r="E152" s="563">
        <f>(1.1+7)+(1.1+3)</f>
        <v>12.2</v>
      </c>
      <c r="F152" s="557"/>
      <c r="G152" s="557">
        <v>75000</v>
      </c>
      <c r="H152" s="539">
        <f t="shared" si="14"/>
        <v>75000</v>
      </c>
      <c r="I152" s="596">
        <f t="shared" si="17"/>
        <v>915000</v>
      </c>
      <c r="J152" s="563">
        <f>(1.1+7)+(1.1+3)</f>
        <v>12.2</v>
      </c>
      <c r="K152" s="557"/>
      <c r="L152" s="557">
        <v>75000</v>
      </c>
      <c r="M152" s="539">
        <f t="shared" si="15"/>
        <v>75000</v>
      </c>
      <c r="N152" s="596">
        <f t="shared" si="18"/>
        <v>915000</v>
      </c>
      <c r="O152" s="576">
        <f t="shared" si="16"/>
        <v>0</v>
      </c>
    </row>
    <row r="153" spans="1:16" ht="15.75" x14ac:dyDescent="0.25">
      <c r="A153" s="567"/>
      <c r="B153" s="551" t="s">
        <v>772</v>
      </c>
      <c r="C153" s="554"/>
      <c r="D153" s="555"/>
      <c r="E153" s="547"/>
      <c r="F153" s="548"/>
      <c r="G153" s="548"/>
      <c r="H153" s="539">
        <f t="shared" si="14"/>
        <v>0</v>
      </c>
      <c r="I153" s="596">
        <f t="shared" si="17"/>
        <v>0</v>
      </c>
      <c r="J153" s="547"/>
      <c r="K153" s="548"/>
      <c r="L153" s="548"/>
      <c r="M153" s="539">
        <f t="shared" si="15"/>
        <v>0</v>
      </c>
      <c r="N153" s="596">
        <f t="shared" si="18"/>
        <v>0</v>
      </c>
      <c r="O153" s="576">
        <f t="shared" si="16"/>
        <v>0</v>
      </c>
    </row>
    <row r="154" spans="1:16" ht="18.75" x14ac:dyDescent="0.25">
      <c r="A154" s="567" t="s">
        <v>611</v>
      </c>
      <c r="B154" s="554" t="s">
        <v>733</v>
      </c>
      <c r="C154" s="554" t="s">
        <v>734</v>
      </c>
      <c r="D154" s="555" t="s">
        <v>617</v>
      </c>
      <c r="E154" s="563">
        <f>(4*4.3)+(1.5*1.5)+(2*3)</f>
        <v>25.45</v>
      </c>
      <c r="F154" s="557"/>
      <c r="G154" s="557">
        <v>130000</v>
      </c>
      <c r="H154" s="539">
        <f t="shared" si="14"/>
        <v>130000</v>
      </c>
      <c r="I154" s="596">
        <f t="shared" si="17"/>
        <v>3308500</v>
      </c>
      <c r="J154" s="563">
        <f>(4*4.3)+(1.5*1.5)+(2*3)</f>
        <v>25.45</v>
      </c>
      <c r="K154" s="557"/>
      <c r="L154" s="557">
        <v>130000</v>
      </c>
      <c r="M154" s="539">
        <f t="shared" si="15"/>
        <v>130000</v>
      </c>
      <c r="N154" s="596">
        <f t="shared" si="18"/>
        <v>3308500</v>
      </c>
      <c r="O154" s="576">
        <f t="shared" si="16"/>
        <v>0</v>
      </c>
    </row>
    <row r="155" spans="1:16" ht="18.75" x14ac:dyDescent="0.25">
      <c r="A155" s="567" t="s">
        <v>699</v>
      </c>
      <c r="B155" s="554" t="s">
        <v>735</v>
      </c>
      <c r="C155" s="554" t="s">
        <v>767</v>
      </c>
      <c r="D155" s="555" t="s">
        <v>617</v>
      </c>
      <c r="E155" s="563">
        <f>(4+4.3)*2*3+(1.5+1.5)*2*3+(2+3)*2*3</f>
        <v>97.800000000000011</v>
      </c>
      <c r="F155" s="557"/>
      <c r="G155" s="557">
        <v>55000</v>
      </c>
      <c r="H155" s="539">
        <f t="shared" si="14"/>
        <v>55000</v>
      </c>
      <c r="I155" s="596">
        <f t="shared" si="17"/>
        <v>5379000.0000000009</v>
      </c>
      <c r="J155" s="563">
        <f>(4+4.3)*2*3+(1.5+1.5)*2*3+(2+3)*2*3</f>
        <v>97.800000000000011</v>
      </c>
      <c r="K155" s="557"/>
      <c r="L155" s="557">
        <v>55000</v>
      </c>
      <c r="M155" s="539">
        <f t="shared" si="15"/>
        <v>55000</v>
      </c>
      <c r="N155" s="596">
        <f t="shared" si="18"/>
        <v>5379000.0000000009</v>
      </c>
      <c r="O155" s="576">
        <f t="shared" si="16"/>
        <v>0</v>
      </c>
    </row>
    <row r="156" spans="1:16" ht="18.75" x14ac:dyDescent="0.25">
      <c r="A156" s="598" t="s">
        <v>628</v>
      </c>
      <c r="B156" s="570" t="s">
        <v>737</v>
      </c>
      <c r="C156" s="570" t="s">
        <v>742</v>
      </c>
      <c r="D156" s="571" t="s">
        <v>614</v>
      </c>
      <c r="E156" s="572">
        <f>(4*4.3)+(1.5*1.5)+(2*3)</f>
        <v>25.45</v>
      </c>
      <c r="F156" s="573">
        <v>550000</v>
      </c>
      <c r="G156" s="573">
        <v>200000</v>
      </c>
      <c r="H156" s="574">
        <f t="shared" si="14"/>
        <v>750000</v>
      </c>
      <c r="I156" s="599">
        <f t="shared" si="17"/>
        <v>19087500</v>
      </c>
      <c r="J156" s="572">
        <f>(4*4.3)+(1.5*1.5)+(2*3)</f>
        <v>25.45</v>
      </c>
      <c r="K156" s="573"/>
      <c r="L156" s="573">
        <v>200000</v>
      </c>
      <c r="M156" s="574">
        <f t="shared" si="15"/>
        <v>200000</v>
      </c>
      <c r="N156" s="599">
        <f t="shared" si="18"/>
        <v>5090000</v>
      </c>
      <c r="O156" s="579">
        <f t="shared" si="16"/>
        <v>-13997500</v>
      </c>
      <c r="P156" s="577" t="s">
        <v>743</v>
      </c>
    </row>
    <row r="157" spans="1:16" ht="18.75" x14ac:dyDescent="0.25">
      <c r="A157" s="567" t="s">
        <v>631</v>
      </c>
      <c r="B157" s="554" t="s">
        <v>739</v>
      </c>
      <c r="C157" s="554" t="s">
        <v>740</v>
      </c>
      <c r="D157" s="536" t="s">
        <v>60</v>
      </c>
      <c r="E157" s="563">
        <f>(4+4.3)*2+(1.5+1.5)*2+(2+3)*2</f>
        <v>32.6</v>
      </c>
      <c r="F157" s="557"/>
      <c r="G157" s="557">
        <v>75000</v>
      </c>
      <c r="H157" s="539">
        <f t="shared" si="14"/>
        <v>75000</v>
      </c>
      <c r="I157" s="596">
        <f t="shared" si="17"/>
        <v>2445000</v>
      </c>
      <c r="J157" s="563">
        <f>(4+4.3)*2+(1.5+1.5)*2+(2+3)*2</f>
        <v>32.6</v>
      </c>
      <c r="K157" s="557"/>
      <c r="L157" s="557">
        <v>75000</v>
      </c>
      <c r="M157" s="539">
        <f t="shared" si="15"/>
        <v>75000</v>
      </c>
      <c r="N157" s="596">
        <f t="shared" si="18"/>
        <v>2445000</v>
      </c>
      <c r="O157" s="579">
        <f t="shared" si="16"/>
        <v>0</v>
      </c>
    </row>
    <row r="158" spans="1:16" ht="15.75" x14ac:dyDescent="0.25">
      <c r="A158" s="567"/>
      <c r="B158" s="551" t="s">
        <v>773</v>
      </c>
      <c r="C158" s="554"/>
      <c r="D158" s="536"/>
      <c r="E158" s="547"/>
      <c r="F158" s="548"/>
      <c r="G158" s="548"/>
      <c r="H158" s="539">
        <f t="shared" si="14"/>
        <v>0</v>
      </c>
      <c r="I158" s="596">
        <f t="shared" si="17"/>
        <v>0</v>
      </c>
      <c r="J158" s="547"/>
      <c r="K158" s="548"/>
      <c r="L158" s="548"/>
      <c r="M158" s="539">
        <f t="shared" si="15"/>
        <v>0</v>
      </c>
      <c r="N158" s="596">
        <f t="shared" si="18"/>
        <v>0</v>
      </c>
      <c r="O158" s="579">
        <f t="shared" si="16"/>
        <v>0</v>
      </c>
    </row>
    <row r="159" spans="1:16" ht="18.75" x14ac:dyDescent="0.25">
      <c r="A159" s="567" t="s">
        <v>611</v>
      </c>
      <c r="B159" s="554" t="s">
        <v>733</v>
      </c>
      <c r="C159" s="554" t="s">
        <v>734</v>
      </c>
      <c r="D159" s="555" t="s">
        <v>617</v>
      </c>
      <c r="E159" s="563">
        <f>(3*4)*2</f>
        <v>24</v>
      </c>
      <c r="F159" s="557"/>
      <c r="G159" s="557">
        <v>130000</v>
      </c>
      <c r="H159" s="539">
        <f t="shared" si="14"/>
        <v>130000</v>
      </c>
      <c r="I159" s="596">
        <f t="shared" si="17"/>
        <v>3120000</v>
      </c>
      <c r="J159" s="563">
        <f>(3*4)*2</f>
        <v>24</v>
      </c>
      <c r="K159" s="557"/>
      <c r="L159" s="557">
        <v>130000</v>
      </c>
      <c r="M159" s="539">
        <f t="shared" si="15"/>
        <v>130000</v>
      </c>
      <c r="N159" s="596">
        <f t="shared" si="18"/>
        <v>3120000</v>
      </c>
      <c r="O159" s="579">
        <f t="shared" si="16"/>
        <v>0</v>
      </c>
    </row>
    <row r="160" spans="1:16" ht="18.75" x14ac:dyDescent="0.25">
      <c r="A160" s="567" t="s">
        <v>699</v>
      </c>
      <c r="B160" s="554" t="s">
        <v>735</v>
      </c>
      <c r="C160" s="554" t="s">
        <v>767</v>
      </c>
      <c r="D160" s="555" t="s">
        <v>617</v>
      </c>
      <c r="E160" s="563">
        <f>(3+4)*2*3*2</f>
        <v>84</v>
      </c>
      <c r="F160" s="557"/>
      <c r="G160" s="557">
        <v>55000</v>
      </c>
      <c r="H160" s="539">
        <f t="shared" si="14"/>
        <v>55000</v>
      </c>
      <c r="I160" s="596">
        <f t="shared" si="17"/>
        <v>4620000</v>
      </c>
      <c r="J160" s="563">
        <f>(3+4)*2*3*2</f>
        <v>84</v>
      </c>
      <c r="K160" s="557"/>
      <c r="L160" s="557">
        <v>55000</v>
      </c>
      <c r="M160" s="539">
        <f t="shared" si="15"/>
        <v>55000</v>
      </c>
      <c r="N160" s="596">
        <f t="shared" si="18"/>
        <v>4620000</v>
      </c>
      <c r="O160" s="579">
        <f t="shared" si="16"/>
        <v>0</v>
      </c>
    </row>
    <row r="161" spans="1:16" ht="18.75" x14ac:dyDescent="0.25">
      <c r="A161" s="598" t="s">
        <v>628</v>
      </c>
      <c r="B161" s="570" t="s">
        <v>737</v>
      </c>
      <c r="C161" s="570" t="s">
        <v>774</v>
      </c>
      <c r="D161" s="571" t="s">
        <v>614</v>
      </c>
      <c r="E161" s="572">
        <f>(3*4)*2</f>
        <v>24</v>
      </c>
      <c r="F161" s="573">
        <v>550000</v>
      </c>
      <c r="G161" s="573">
        <v>200000</v>
      </c>
      <c r="H161" s="574">
        <f t="shared" si="14"/>
        <v>750000</v>
      </c>
      <c r="I161" s="599">
        <f t="shared" si="17"/>
        <v>18000000</v>
      </c>
      <c r="J161" s="572">
        <f>(3*4)*2</f>
        <v>24</v>
      </c>
      <c r="K161" s="573"/>
      <c r="L161" s="573">
        <v>200000</v>
      </c>
      <c r="M161" s="574">
        <f t="shared" si="15"/>
        <v>200000</v>
      </c>
      <c r="N161" s="599">
        <f t="shared" si="18"/>
        <v>4800000</v>
      </c>
      <c r="O161" s="579">
        <f t="shared" si="16"/>
        <v>-13200000</v>
      </c>
      <c r="P161" s="577" t="s">
        <v>743</v>
      </c>
    </row>
    <row r="162" spans="1:16" ht="18.75" x14ac:dyDescent="0.25">
      <c r="A162" s="567" t="s">
        <v>631</v>
      </c>
      <c r="B162" s="554" t="s">
        <v>739</v>
      </c>
      <c r="C162" s="554" t="s">
        <v>740</v>
      </c>
      <c r="D162" s="536" t="s">
        <v>60</v>
      </c>
      <c r="E162" s="563">
        <f>(3+4)*2*2</f>
        <v>28</v>
      </c>
      <c r="F162" s="557"/>
      <c r="G162" s="557">
        <v>75000</v>
      </c>
      <c r="H162" s="539">
        <f t="shared" si="14"/>
        <v>75000</v>
      </c>
      <c r="I162" s="596">
        <f t="shared" si="17"/>
        <v>2100000</v>
      </c>
      <c r="J162" s="563">
        <f>(3+4)*2*2</f>
        <v>28</v>
      </c>
      <c r="K162" s="557"/>
      <c r="L162" s="557">
        <v>75000</v>
      </c>
      <c r="M162" s="539">
        <f t="shared" si="15"/>
        <v>75000</v>
      </c>
      <c r="N162" s="596">
        <f t="shared" si="18"/>
        <v>2100000</v>
      </c>
      <c r="O162" s="579">
        <f t="shared" si="16"/>
        <v>0</v>
      </c>
    </row>
    <row r="163" spans="1:16" ht="15.75" x14ac:dyDescent="0.25">
      <c r="A163" s="567"/>
      <c r="B163" s="551" t="s">
        <v>775</v>
      </c>
      <c r="C163" s="554"/>
      <c r="D163" s="536"/>
      <c r="E163" s="547"/>
      <c r="F163" s="548"/>
      <c r="G163" s="548"/>
      <c r="H163" s="539">
        <f t="shared" si="14"/>
        <v>0</v>
      </c>
      <c r="I163" s="596">
        <f t="shared" si="17"/>
        <v>0</v>
      </c>
      <c r="J163" s="547"/>
      <c r="K163" s="548"/>
      <c r="L163" s="548"/>
      <c r="M163" s="539">
        <f t="shared" si="15"/>
        <v>0</v>
      </c>
      <c r="N163" s="596">
        <f t="shared" si="18"/>
        <v>0</v>
      </c>
      <c r="O163" s="579">
        <f t="shared" si="16"/>
        <v>0</v>
      </c>
    </row>
    <row r="164" spans="1:16" ht="18.75" x14ac:dyDescent="0.25">
      <c r="A164" s="567" t="s">
        <v>611</v>
      </c>
      <c r="B164" s="554" t="s">
        <v>733</v>
      </c>
      <c r="C164" s="554" t="s">
        <v>734</v>
      </c>
      <c r="D164" s="555" t="s">
        <v>617</v>
      </c>
      <c r="E164" s="563">
        <f>(3*6)+(2*4.5)+(1*2)</f>
        <v>29</v>
      </c>
      <c r="F164" s="557"/>
      <c r="G164" s="557">
        <v>130000</v>
      </c>
      <c r="H164" s="539">
        <f t="shared" si="14"/>
        <v>130000</v>
      </c>
      <c r="I164" s="596">
        <f t="shared" si="17"/>
        <v>3770000</v>
      </c>
      <c r="J164" s="563">
        <f>(3*6)+(2*4.5)+(1*2)</f>
        <v>29</v>
      </c>
      <c r="K164" s="557"/>
      <c r="L164" s="557">
        <v>130000</v>
      </c>
      <c r="M164" s="539">
        <f t="shared" si="15"/>
        <v>130000</v>
      </c>
      <c r="N164" s="596">
        <f t="shared" si="18"/>
        <v>3770000</v>
      </c>
      <c r="O164" s="579">
        <f t="shared" si="16"/>
        <v>0</v>
      </c>
    </row>
    <row r="165" spans="1:16" ht="18.75" x14ac:dyDescent="0.25">
      <c r="A165" s="567" t="s">
        <v>699</v>
      </c>
      <c r="B165" s="554" t="s">
        <v>735</v>
      </c>
      <c r="C165" s="554" t="s">
        <v>767</v>
      </c>
      <c r="D165" s="555" t="s">
        <v>617</v>
      </c>
      <c r="E165" s="563">
        <f>(3+6)*2*3+(2+4.5)*2*3+(1+2)*2*3</f>
        <v>111</v>
      </c>
      <c r="F165" s="557"/>
      <c r="G165" s="557">
        <v>55000</v>
      </c>
      <c r="H165" s="539">
        <f t="shared" si="14"/>
        <v>55000</v>
      </c>
      <c r="I165" s="596">
        <f t="shared" si="17"/>
        <v>6105000</v>
      </c>
      <c r="J165" s="563">
        <f>(3+6)*2*3+(2+4.5)*2*3+(1+2)*2*3</f>
        <v>111</v>
      </c>
      <c r="K165" s="557"/>
      <c r="L165" s="557">
        <v>55000</v>
      </c>
      <c r="M165" s="539">
        <f t="shared" si="15"/>
        <v>55000</v>
      </c>
      <c r="N165" s="596">
        <f t="shared" si="18"/>
        <v>6105000</v>
      </c>
      <c r="O165" s="579">
        <f t="shared" si="16"/>
        <v>0</v>
      </c>
    </row>
    <row r="166" spans="1:16" ht="18.75" x14ac:dyDescent="0.25">
      <c r="A166" s="598" t="s">
        <v>628</v>
      </c>
      <c r="B166" s="570" t="s">
        <v>737</v>
      </c>
      <c r="C166" s="570" t="s">
        <v>774</v>
      </c>
      <c r="D166" s="571" t="s">
        <v>614</v>
      </c>
      <c r="E166" s="572">
        <f>(3*6)+(2*4.5)+(1*2)</f>
        <v>29</v>
      </c>
      <c r="F166" s="573">
        <v>550000</v>
      </c>
      <c r="G166" s="573">
        <v>200000</v>
      </c>
      <c r="H166" s="574">
        <f t="shared" si="14"/>
        <v>750000</v>
      </c>
      <c r="I166" s="599">
        <f t="shared" si="17"/>
        <v>21750000</v>
      </c>
      <c r="J166" s="572">
        <f>(3*6)+(2*4.5)+(1*2)</f>
        <v>29</v>
      </c>
      <c r="K166" s="573"/>
      <c r="L166" s="573">
        <v>200000</v>
      </c>
      <c r="M166" s="574">
        <f t="shared" si="15"/>
        <v>200000</v>
      </c>
      <c r="N166" s="599">
        <f t="shared" si="18"/>
        <v>5800000</v>
      </c>
      <c r="O166" s="579">
        <f t="shared" si="16"/>
        <v>-15950000</v>
      </c>
      <c r="P166" s="577" t="s">
        <v>743</v>
      </c>
    </row>
    <row r="167" spans="1:16" ht="18.75" x14ac:dyDescent="0.25">
      <c r="A167" s="567" t="s">
        <v>631</v>
      </c>
      <c r="B167" s="554" t="s">
        <v>739</v>
      </c>
      <c r="C167" s="554" t="s">
        <v>740</v>
      </c>
      <c r="D167" s="536" t="s">
        <v>60</v>
      </c>
      <c r="E167" s="563">
        <f>(3+6)*2+(2+4.5)*2+(1+2)*2</f>
        <v>37</v>
      </c>
      <c r="F167" s="557"/>
      <c r="G167" s="557">
        <v>75000</v>
      </c>
      <c r="H167" s="539">
        <f t="shared" si="14"/>
        <v>75000</v>
      </c>
      <c r="I167" s="596">
        <f t="shared" si="17"/>
        <v>2775000</v>
      </c>
      <c r="J167" s="563">
        <f>(3+6)*2+(2+4.5)*2+(1+2)*2</f>
        <v>37</v>
      </c>
      <c r="K167" s="557"/>
      <c r="L167" s="557">
        <v>75000</v>
      </c>
      <c r="M167" s="539">
        <f t="shared" si="15"/>
        <v>75000</v>
      </c>
      <c r="N167" s="596">
        <f t="shared" si="18"/>
        <v>2775000</v>
      </c>
      <c r="O167" s="576">
        <f t="shared" si="16"/>
        <v>0</v>
      </c>
    </row>
    <row r="168" spans="1:16" ht="15.75" x14ac:dyDescent="0.25">
      <c r="A168" s="567"/>
      <c r="B168" s="551" t="s">
        <v>776</v>
      </c>
      <c r="C168" s="554"/>
      <c r="D168" s="536"/>
      <c r="E168" s="547"/>
      <c r="F168" s="548"/>
      <c r="G168" s="548"/>
      <c r="H168" s="539">
        <f t="shared" si="14"/>
        <v>0</v>
      </c>
      <c r="I168" s="596">
        <f t="shared" si="17"/>
        <v>0</v>
      </c>
      <c r="J168" s="547"/>
      <c r="K168" s="548"/>
      <c r="L168" s="548"/>
      <c r="M168" s="539">
        <f t="shared" si="15"/>
        <v>0</v>
      </c>
      <c r="N168" s="596">
        <f t="shared" si="18"/>
        <v>0</v>
      </c>
      <c r="O168" s="576">
        <f t="shared" si="16"/>
        <v>0</v>
      </c>
    </row>
    <row r="169" spans="1:16" ht="18.75" x14ac:dyDescent="0.25">
      <c r="A169" s="567" t="s">
        <v>611</v>
      </c>
      <c r="B169" s="554" t="s">
        <v>733</v>
      </c>
      <c r="C169" s="554" t="s">
        <v>734</v>
      </c>
      <c r="D169" s="555" t="s">
        <v>617</v>
      </c>
      <c r="E169" s="563">
        <f>(1.5*3)*2</f>
        <v>9</v>
      </c>
      <c r="F169" s="557"/>
      <c r="G169" s="557">
        <v>130000</v>
      </c>
      <c r="H169" s="539">
        <f t="shared" si="14"/>
        <v>130000</v>
      </c>
      <c r="I169" s="596">
        <f t="shared" si="17"/>
        <v>1170000</v>
      </c>
      <c r="J169" s="563">
        <f>(1.5*3)*2</f>
        <v>9</v>
      </c>
      <c r="K169" s="557"/>
      <c r="L169" s="557">
        <v>130000</v>
      </c>
      <c r="M169" s="539">
        <f t="shared" si="15"/>
        <v>130000</v>
      </c>
      <c r="N169" s="596">
        <f t="shared" si="18"/>
        <v>1170000</v>
      </c>
      <c r="O169" s="576">
        <f t="shared" si="16"/>
        <v>0</v>
      </c>
    </row>
    <row r="170" spans="1:16" ht="18.75" x14ac:dyDescent="0.25">
      <c r="A170" s="598" t="s">
        <v>699</v>
      </c>
      <c r="B170" s="570" t="s">
        <v>777</v>
      </c>
      <c r="C170" s="570" t="s">
        <v>778</v>
      </c>
      <c r="D170" s="571" t="s">
        <v>617</v>
      </c>
      <c r="E170" s="572">
        <f>(1.5+3)*2*2.8*2</f>
        <v>50.4</v>
      </c>
      <c r="F170" s="573">
        <v>250000</v>
      </c>
      <c r="G170" s="573">
        <v>200000</v>
      </c>
      <c r="H170" s="574">
        <f t="shared" si="14"/>
        <v>450000</v>
      </c>
      <c r="I170" s="599">
        <f t="shared" si="17"/>
        <v>22680000</v>
      </c>
      <c r="J170" s="572">
        <f>(1.5+3)*2*2.8*2</f>
        <v>50.4</v>
      </c>
      <c r="K170" s="573">
        <v>250000</v>
      </c>
      <c r="L170" s="573">
        <v>200000</v>
      </c>
      <c r="M170" s="574">
        <v>180000</v>
      </c>
      <c r="N170" s="599">
        <f t="shared" si="18"/>
        <v>9072000</v>
      </c>
      <c r="O170" s="600">
        <f t="shared" si="16"/>
        <v>-13608000</v>
      </c>
    </row>
    <row r="171" spans="1:16" ht="18.75" x14ac:dyDescent="0.25">
      <c r="A171" s="598" t="s">
        <v>628</v>
      </c>
      <c r="B171" s="570" t="s">
        <v>737</v>
      </c>
      <c r="C171" s="570" t="s">
        <v>778</v>
      </c>
      <c r="D171" s="571" t="s">
        <v>614</v>
      </c>
      <c r="E171" s="572">
        <f>(1.5*3)*2</f>
        <v>9</v>
      </c>
      <c r="F171" s="573">
        <v>250000</v>
      </c>
      <c r="G171" s="573">
        <v>200000</v>
      </c>
      <c r="H171" s="574">
        <f t="shared" si="14"/>
        <v>450000</v>
      </c>
      <c r="I171" s="599">
        <f t="shared" si="17"/>
        <v>4050000</v>
      </c>
      <c r="J171" s="572">
        <f>(1.5*3)*2</f>
        <v>9</v>
      </c>
      <c r="K171" s="573">
        <v>250000</v>
      </c>
      <c r="L171" s="573">
        <v>200000</v>
      </c>
      <c r="M171" s="574">
        <v>160000</v>
      </c>
      <c r="N171" s="599">
        <f t="shared" si="18"/>
        <v>1440000</v>
      </c>
      <c r="O171" s="600">
        <f t="shared" si="16"/>
        <v>-2610000</v>
      </c>
    </row>
    <row r="172" spans="1:16" ht="15.75" x14ac:dyDescent="0.25">
      <c r="A172" s="567"/>
      <c r="B172" s="551" t="s">
        <v>779</v>
      </c>
      <c r="C172" s="554"/>
      <c r="D172" s="536"/>
      <c r="E172" s="547"/>
      <c r="F172" s="548"/>
      <c r="G172" s="548"/>
      <c r="H172" s="539">
        <f t="shared" si="14"/>
        <v>0</v>
      </c>
      <c r="I172" s="596">
        <f t="shared" si="17"/>
        <v>0</v>
      </c>
      <c r="J172" s="547"/>
      <c r="K172" s="548"/>
      <c r="L172" s="548"/>
      <c r="M172" s="539">
        <f t="shared" si="15"/>
        <v>0</v>
      </c>
      <c r="N172" s="596">
        <f t="shared" si="18"/>
        <v>0</v>
      </c>
      <c r="O172" s="576">
        <f t="shared" si="16"/>
        <v>0</v>
      </c>
    </row>
    <row r="173" spans="1:16" ht="18.75" x14ac:dyDescent="0.25">
      <c r="A173" s="567" t="s">
        <v>611</v>
      </c>
      <c r="B173" s="554" t="s">
        <v>733</v>
      </c>
      <c r="C173" s="554" t="s">
        <v>734</v>
      </c>
      <c r="D173" s="555" t="s">
        <v>617</v>
      </c>
      <c r="E173" s="563">
        <f>(2*2.5)</f>
        <v>5</v>
      </c>
      <c r="F173" s="557"/>
      <c r="G173" s="557">
        <v>130000</v>
      </c>
      <c r="H173" s="539">
        <f t="shared" si="14"/>
        <v>130000</v>
      </c>
      <c r="I173" s="596">
        <f t="shared" si="17"/>
        <v>650000</v>
      </c>
      <c r="J173" s="563">
        <f>(2*2.5)</f>
        <v>5</v>
      </c>
      <c r="K173" s="557"/>
      <c r="L173" s="557">
        <v>130000</v>
      </c>
      <c r="M173" s="539">
        <f t="shared" si="15"/>
        <v>130000</v>
      </c>
      <c r="N173" s="596">
        <f t="shared" si="18"/>
        <v>650000</v>
      </c>
      <c r="O173" s="576">
        <f t="shared" si="16"/>
        <v>0</v>
      </c>
    </row>
    <row r="174" spans="1:16" ht="18.75" x14ac:dyDescent="0.25">
      <c r="A174" s="598" t="s">
        <v>699</v>
      </c>
      <c r="B174" s="570" t="s">
        <v>777</v>
      </c>
      <c r="C174" s="570" t="s">
        <v>778</v>
      </c>
      <c r="D174" s="571" t="s">
        <v>617</v>
      </c>
      <c r="E174" s="572">
        <f>(2+2.5)*2*2.8</f>
        <v>25.2</v>
      </c>
      <c r="F174" s="573">
        <v>250000</v>
      </c>
      <c r="G174" s="573">
        <v>200000</v>
      </c>
      <c r="H174" s="574">
        <f t="shared" si="14"/>
        <v>450000</v>
      </c>
      <c r="I174" s="599">
        <f t="shared" si="17"/>
        <v>11340000</v>
      </c>
      <c r="J174" s="572">
        <f>(2+2.5)*2*2.8</f>
        <v>25.2</v>
      </c>
      <c r="K174" s="573">
        <v>250000</v>
      </c>
      <c r="L174" s="573">
        <v>200000</v>
      </c>
      <c r="M174" s="574">
        <v>180000</v>
      </c>
      <c r="N174" s="599">
        <f t="shared" si="18"/>
        <v>4536000</v>
      </c>
      <c r="O174" s="600">
        <f t="shared" si="16"/>
        <v>-6804000</v>
      </c>
    </row>
    <row r="175" spans="1:16" ht="18.75" x14ac:dyDescent="0.25">
      <c r="A175" s="598" t="s">
        <v>628</v>
      </c>
      <c r="B175" s="570" t="s">
        <v>737</v>
      </c>
      <c r="C175" s="570" t="s">
        <v>778</v>
      </c>
      <c r="D175" s="571" t="s">
        <v>614</v>
      </c>
      <c r="E175" s="572">
        <f>(2*2.5)</f>
        <v>5</v>
      </c>
      <c r="F175" s="573">
        <v>250000</v>
      </c>
      <c r="G175" s="573">
        <v>200000</v>
      </c>
      <c r="H175" s="574">
        <f t="shared" si="14"/>
        <v>450000</v>
      </c>
      <c r="I175" s="599">
        <f t="shared" si="17"/>
        <v>2250000</v>
      </c>
      <c r="J175" s="572">
        <f>(2*2.5)</f>
        <v>5</v>
      </c>
      <c r="K175" s="573">
        <v>250000</v>
      </c>
      <c r="L175" s="573">
        <v>200000</v>
      </c>
      <c r="M175" s="574">
        <v>160000</v>
      </c>
      <c r="N175" s="599">
        <f t="shared" si="18"/>
        <v>800000</v>
      </c>
      <c r="O175" s="600">
        <f t="shared" si="16"/>
        <v>-1450000</v>
      </c>
    </row>
    <row r="176" spans="1:16" ht="15.75" x14ac:dyDescent="0.25">
      <c r="A176" s="567"/>
      <c r="B176" s="551" t="s">
        <v>780</v>
      </c>
      <c r="C176" s="554"/>
      <c r="D176" s="536"/>
      <c r="E176" s="547"/>
      <c r="F176" s="548"/>
      <c r="G176" s="548"/>
      <c r="H176" s="539">
        <f t="shared" si="14"/>
        <v>0</v>
      </c>
      <c r="I176" s="596">
        <f t="shared" si="17"/>
        <v>0</v>
      </c>
      <c r="J176" s="547"/>
      <c r="K176" s="548"/>
      <c r="L176" s="548"/>
      <c r="M176" s="539">
        <f t="shared" si="15"/>
        <v>0</v>
      </c>
      <c r="N176" s="596">
        <f t="shared" si="18"/>
        <v>0</v>
      </c>
      <c r="O176" s="576">
        <f t="shared" si="16"/>
        <v>0</v>
      </c>
    </row>
    <row r="177" spans="1:15" ht="18.75" x14ac:dyDescent="0.25">
      <c r="A177" s="567" t="s">
        <v>611</v>
      </c>
      <c r="B177" s="554" t="s">
        <v>733</v>
      </c>
      <c r="C177" s="554" t="s">
        <v>781</v>
      </c>
      <c r="D177" s="555" t="s">
        <v>617</v>
      </c>
      <c r="E177" s="563">
        <f>(1.1*7)+(1.1*3)</f>
        <v>11.000000000000002</v>
      </c>
      <c r="F177" s="557"/>
      <c r="G177" s="557">
        <v>130000</v>
      </c>
      <c r="H177" s="539">
        <f t="shared" si="14"/>
        <v>130000</v>
      </c>
      <c r="I177" s="596">
        <f t="shared" si="17"/>
        <v>1430000.0000000002</v>
      </c>
      <c r="J177" s="563">
        <f>(1.1*7)+(1.1*3)</f>
        <v>11.000000000000002</v>
      </c>
      <c r="K177" s="557"/>
      <c r="L177" s="557">
        <v>130000</v>
      </c>
      <c r="M177" s="539">
        <f t="shared" si="15"/>
        <v>130000</v>
      </c>
      <c r="N177" s="596">
        <f t="shared" si="18"/>
        <v>1430000.0000000002</v>
      </c>
      <c r="O177" s="576">
        <f t="shared" si="16"/>
        <v>0</v>
      </c>
    </row>
    <row r="178" spans="1:15" ht="18.75" x14ac:dyDescent="0.25">
      <c r="A178" s="567" t="s">
        <v>699</v>
      </c>
      <c r="B178" s="554" t="s">
        <v>735</v>
      </c>
      <c r="C178" s="554" t="s">
        <v>782</v>
      </c>
      <c r="D178" s="555" t="s">
        <v>617</v>
      </c>
      <c r="E178" s="563">
        <f>(1.1+7)*3+(1.1+3)*3</f>
        <v>36.599999999999994</v>
      </c>
      <c r="F178" s="557"/>
      <c r="G178" s="557">
        <v>65000</v>
      </c>
      <c r="H178" s="539">
        <f t="shared" si="14"/>
        <v>65000</v>
      </c>
      <c r="I178" s="596">
        <f t="shared" si="17"/>
        <v>2378999.9999999995</v>
      </c>
      <c r="J178" s="563">
        <f>(1.1+7)*3+(1.1+3)*3</f>
        <v>36.599999999999994</v>
      </c>
      <c r="K178" s="557"/>
      <c r="L178" s="557">
        <v>65000</v>
      </c>
      <c r="M178" s="539">
        <f t="shared" si="15"/>
        <v>65000</v>
      </c>
      <c r="N178" s="596">
        <f t="shared" si="18"/>
        <v>2378999.9999999995</v>
      </c>
      <c r="O178" s="576">
        <f t="shared" si="16"/>
        <v>0</v>
      </c>
    </row>
    <row r="179" spans="1:15" ht="18.75" x14ac:dyDescent="0.25">
      <c r="A179" s="567" t="s">
        <v>628</v>
      </c>
      <c r="B179" s="562" t="s">
        <v>737</v>
      </c>
      <c r="C179" s="562" t="s">
        <v>730</v>
      </c>
      <c r="D179" s="555" t="s">
        <v>614</v>
      </c>
      <c r="E179" s="547">
        <f>(7)+(3)+(1.2*2)</f>
        <v>12.4</v>
      </c>
      <c r="F179" s="548"/>
      <c r="G179" s="548">
        <v>75000</v>
      </c>
      <c r="H179" s="565">
        <f t="shared" si="14"/>
        <v>75000</v>
      </c>
      <c r="I179" s="549">
        <f t="shared" si="17"/>
        <v>930000</v>
      </c>
      <c r="J179" s="547">
        <f>(7)+(3)+(1.2*2)</f>
        <v>12.4</v>
      </c>
      <c r="K179" s="548"/>
      <c r="L179" s="548">
        <v>75000</v>
      </c>
      <c r="M179" s="565">
        <f t="shared" si="15"/>
        <v>75000</v>
      </c>
      <c r="N179" s="549">
        <f t="shared" si="18"/>
        <v>930000</v>
      </c>
      <c r="O179" s="579">
        <f t="shared" si="16"/>
        <v>0</v>
      </c>
    </row>
    <row r="180" spans="1:15" ht="18.75" x14ac:dyDescent="0.25">
      <c r="A180" s="567" t="s">
        <v>631</v>
      </c>
      <c r="B180" s="562" t="s">
        <v>783</v>
      </c>
      <c r="C180" s="562" t="s">
        <v>784</v>
      </c>
      <c r="D180" s="555" t="s">
        <v>60</v>
      </c>
      <c r="E180" s="547">
        <f>(7)+(3)</f>
        <v>10</v>
      </c>
      <c r="F180" s="557"/>
      <c r="G180" s="557">
        <v>1500000</v>
      </c>
      <c r="H180" s="539">
        <f t="shared" si="14"/>
        <v>1500000</v>
      </c>
      <c r="I180" s="596">
        <f t="shared" si="17"/>
        <v>15000000</v>
      </c>
      <c r="J180" s="547">
        <f>(7)+(3)</f>
        <v>10</v>
      </c>
      <c r="K180" s="557"/>
      <c r="L180" s="557">
        <v>1500000</v>
      </c>
      <c r="M180" s="539">
        <f t="shared" si="15"/>
        <v>1500000</v>
      </c>
      <c r="N180" s="596">
        <f t="shared" si="18"/>
        <v>15000000</v>
      </c>
      <c r="O180" s="576">
        <f t="shared" si="16"/>
        <v>0</v>
      </c>
    </row>
    <row r="181" spans="1:15" ht="15.75" x14ac:dyDescent="0.25">
      <c r="A181" s="567"/>
      <c r="B181" s="551" t="s">
        <v>785</v>
      </c>
      <c r="C181" s="554"/>
      <c r="D181" s="536"/>
      <c r="E181" s="547"/>
      <c r="F181" s="548"/>
      <c r="G181" s="548"/>
      <c r="H181" s="539">
        <f t="shared" si="14"/>
        <v>0</v>
      </c>
      <c r="I181" s="596">
        <f t="shared" si="17"/>
        <v>0</v>
      </c>
      <c r="J181" s="547"/>
      <c r="K181" s="548"/>
      <c r="L181" s="548"/>
      <c r="M181" s="539">
        <f t="shared" si="15"/>
        <v>0</v>
      </c>
      <c r="N181" s="596">
        <f t="shared" si="18"/>
        <v>0</v>
      </c>
      <c r="O181" s="576">
        <f t="shared" si="16"/>
        <v>0</v>
      </c>
    </row>
    <row r="182" spans="1:15" ht="18.75" x14ac:dyDescent="0.25">
      <c r="A182" s="580" t="s">
        <v>611</v>
      </c>
      <c r="B182" s="581" t="s">
        <v>786</v>
      </c>
      <c r="C182" s="581" t="s">
        <v>787</v>
      </c>
      <c r="D182" s="589" t="s">
        <v>617</v>
      </c>
      <c r="E182" s="590">
        <f>1.17*3.3</f>
        <v>3.8609999999999998</v>
      </c>
      <c r="F182" s="582"/>
      <c r="G182" s="582">
        <v>1200000</v>
      </c>
      <c r="H182" s="584">
        <f t="shared" si="14"/>
        <v>1200000</v>
      </c>
      <c r="I182" s="591">
        <f t="shared" si="17"/>
        <v>4633200</v>
      </c>
      <c r="J182" s="590">
        <f>1.17*3.3</f>
        <v>3.8609999999999998</v>
      </c>
      <c r="K182" s="582"/>
      <c r="L182" s="582">
        <v>1200000</v>
      </c>
      <c r="M182" s="584">
        <f t="shared" si="15"/>
        <v>1200000</v>
      </c>
      <c r="N182" s="591">
        <f t="shared" si="18"/>
        <v>4633200</v>
      </c>
      <c r="O182" s="601">
        <f t="shared" si="16"/>
        <v>0</v>
      </c>
    </row>
    <row r="183" spans="1:15" ht="18.75" x14ac:dyDescent="0.25">
      <c r="A183" s="567" t="s">
        <v>699</v>
      </c>
      <c r="B183" s="554" t="s">
        <v>733</v>
      </c>
      <c r="C183" s="554" t="s">
        <v>734</v>
      </c>
      <c r="D183" s="555" t="s">
        <v>617</v>
      </c>
      <c r="E183" s="563">
        <f>(3*4)-(1.5*2)</f>
        <v>9</v>
      </c>
      <c r="F183" s="557"/>
      <c r="G183" s="557">
        <v>130000</v>
      </c>
      <c r="H183" s="539">
        <f t="shared" si="14"/>
        <v>130000</v>
      </c>
      <c r="I183" s="596">
        <f t="shared" si="17"/>
        <v>1170000</v>
      </c>
      <c r="J183" s="563">
        <f>(3*4)-(1.5*2)</f>
        <v>9</v>
      </c>
      <c r="K183" s="557"/>
      <c r="L183" s="557">
        <v>130000</v>
      </c>
      <c r="M183" s="539">
        <f t="shared" si="15"/>
        <v>130000</v>
      </c>
      <c r="N183" s="596">
        <f t="shared" si="18"/>
        <v>1170000</v>
      </c>
      <c r="O183" s="576">
        <f t="shared" si="16"/>
        <v>0</v>
      </c>
    </row>
    <row r="184" spans="1:15" ht="18.75" x14ac:dyDescent="0.25">
      <c r="A184" s="567" t="s">
        <v>628</v>
      </c>
      <c r="B184" s="554" t="s">
        <v>735</v>
      </c>
      <c r="C184" s="554" t="s">
        <v>788</v>
      </c>
      <c r="D184" s="555" t="s">
        <v>617</v>
      </c>
      <c r="E184" s="563">
        <f>1.17*3.3</f>
        <v>3.8609999999999998</v>
      </c>
      <c r="F184" s="557"/>
      <c r="G184" s="557">
        <v>55000</v>
      </c>
      <c r="H184" s="539">
        <f t="shared" si="14"/>
        <v>55000</v>
      </c>
      <c r="I184" s="596">
        <f t="shared" si="17"/>
        <v>212355</v>
      </c>
      <c r="J184" s="563">
        <f>1.17*3.3</f>
        <v>3.8609999999999998</v>
      </c>
      <c r="K184" s="557"/>
      <c r="L184" s="557">
        <v>55000</v>
      </c>
      <c r="M184" s="539">
        <f t="shared" si="15"/>
        <v>55000</v>
      </c>
      <c r="N184" s="596">
        <f t="shared" si="18"/>
        <v>212355</v>
      </c>
      <c r="O184" s="576">
        <f t="shared" si="16"/>
        <v>0</v>
      </c>
    </row>
    <row r="185" spans="1:15" ht="18.75" x14ac:dyDescent="0.25">
      <c r="A185" s="598" t="s">
        <v>631</v>
      </c>
      <c r="B185" s="570" t="s">
        <v>737</v>
      </c>
      <c r="C185" s="570" t="s">
        <v>789</v>
      </c>
      <c r="D185" s="571" t="s">
        <v>617</v>
      </c>
      <c r="E185" s="572">
        <f>(3*4)-(1.5*2)</f>
        <v>9</v>
      </c>
      <c r="F185" s="573">
        <v>200000</v>
      </c>
      <c r="G185" s="573">
        <v>200000</v>
      </c>
      <c r="H185" s="574">
        <f t="shared" si="14"/>
        <v>400000</v>
      </c>
      <c r="I185" s="599">
        <f t="shared" si="17"/>
        <v>3600000</v>
      </c>
      <c r="J185" s="572">
        <f>(3*4)-(1.5*2)</f>
        <v>9</v>
      </c>
      <c r="K185" s="573">
        <v>200000</v>
      </c>
      <c r="L185" s="573">
        <v>200000</v>
      </c>
      <c r="M185" s="574">
        <v>160000</v>
      </c>
      <c r="N185" s="599">
        <f t="shared" si="18"/>
        <v>1440000</v>
      </c>
      <c r="O185" s="600">
        <f t="shared" si="16"/>
        <v>-2160000</v>
      </c>
    </row>
    <row r="186" spans="1:15" ht="18.75" x14ac:dyDescent="0.25">
      <c r="A186" s="567" t="s">
        <v>635</v>
      </c>
      <c r="B186" s="554" t="s">
        <v>739</v>
      </c>
      <c r="C186" s="554" t="s">
        <v>740</v>
      </c>
      <c r="D186" s="536" t="s">
        <v>60</v>
      </c>
      <c r="E186" s="563">
        <f>(3+4)*2</f>
        <v>14</v>
      </c>
      <c r="F186" s="557"/>
      <c r="G186" s="557">
        <v>75000</v>
      </c>
      <c r="H186" s="539">
        <f t="shared" si="14"/>
        <v>75000</v>
      </c>
      <c r="I186" s="596">
        <f t="shared" si="17"/>
        <v>1050000</v>
      </c>
      <c r="J186" s="563">
        <f>(3+4)*2</f>
        <v>14</v>
      </c>
      <c r="K186" s="557"/>
      <c r="L186" s="557">
        <v>75000</v>
      </c>
      <c r="M186" s="539">
        <f t="shared" si="15"/>
        <v>75000</v>
      </c>
      <c r="N186" s="596">
        <f t="shared" si="18"/>
        <v>1050000</v>
      </c>
      <c r="O186" s="576">
        <f t="shared" si="16"/>
        <v>0</v>
      </c>
    </row>
    <row r="187" spans="1:15" ht="18.75" x14ac:dyDescent="0.25">
      <c r="A187" s="567" t="s">
        <v>708</v>
      </c>
      <c r="B187" s="554" t="s">
        <v>790</v>
      </c>
      <c r="C187" s="554" t="s">
        <v>791</v>
      </c>
      <c r="D187" s="536" t="s">
        <v>60</v>
      </c>
      <c r="E187" s="563">
        <v>5</v>
      </c>
      <c r="F187" s="557"/>
      <c r="G187" s="557">
        <v>850000</v>
      </c>
      <c r="H187" s="539">
        <f t="shared" si="14"/>
        <v>850000</v>
      </c>
      <c r="I187" s="596">
        <f t="shared" si="17"/>
        <v>4250000</v>
      </c>
      <c r="J187" s="563">
        <v>5</v>
      </c>
      <c r="K187" s="557"/>
      <c r="L187" s="557">
        <v>850000</v>
      </c>
      <c r="M187" s="539">
        <f t="shared" si="15"/>
        <v>850000</v>
      </c>
      <c r="N187" s="596">
        <f t="shared" si="18"/>
        <v>4250000</v>
      </c>
      <c r="O187" s="576">
        <f t="shared" si="16"/>
        <v>0</v>
      </c>
    </row>
    <row r="188" spans="1:15" ht="18.75" x14ac:dyDescent="0.25">
      <c r="A188" s="567" t="s">
        <v>648</v>
      </c>
      <c r="B188" s="554" t="s">
        <v>792</v>
      </c>
      <c r="C188" s="554" t="s">
        <v>793</v>
      </c>
      <c r="D188" s="536" t="s">
        <v>60</v>
      </c>
      <c r="E188" s="563">
        <v>5</v>
      </c>
      <c r="F188" s="557"/>
      <c r="G188" s="557">
        <v>450000</v>
      </c>
      <c r="H188" s="539">
        <f t="shared" si="14"/>
        <v>450000</v>
      </c>
      <c r="I188" s="596">
        <f t="shared" si="17"/>
        <v>2250000</v>
      </c>
      <c r="J188" s="563">
        <v>5</v>
      </c>
      <c r="K188" s="557"/>
      <c r="L188" s="557">
        <v>450000</v>
      </c>
      <c r="M188" s="539">
        <f t="shared" si="15"/>
        <v>450000</v>
      </c>
      <c r="N188" s="596">
        <f t="shared" si="18"/>
        <v>2250000</v>
      </c>
      <c r="O188" s="576">
        <f t="shared" si="16"/>
        <v>0</v>
      </c>
    </row>
    <row r="189" spans="1:15" ht="15.75" x14ac:dyDescent="0.25">
      <c r="A189" s="567"/>
      <c r="B189" s="554"/>
      <c r="C189" s="554"/>
      <c r="D189" s="536"/>
      <c r="E189" s="547"/>
      <c r="F189" s="548"/>
      <c r="G189" s="548"/>
      <c r="H189" s="539">
        <f t="shared" si="14"/>
        <v>0</v>
      </c>
      <c r="I189" s="596">
        <f t="shared" si="17"/>
        <v>0</v>
      </c>
      <c r="J189" s="547"/>
      <c r="K189" s="548"/>
      <c r="L189" s="548"/>
      <c r="M189" s="539">
        <f t="shared" si="15"/>
        <v>0</v>
      </c>
      <c r="N189" s="596">
        <f t="shared" si="18"/>
        <v>0</v>
      </c>
      <c r="O189" s="576">
        <f t="shared" si="16"/>
        <v>0</v>
      </c>
    </row>
    <row r="190" spans="1:15" ht="15.75" x14ac:dyDescent="0.25">
      <c r="A190" s="567"/>
      <c r="B190" s="551" t="s">
        <v>794</v>
      </c>
      <c r="C190" s="554"/>
      <c r="D190" s="536"/>
      <c r="E190" s="563"/>
      <c r="F190" s="557"/>
      <c r="G190" s="557"/>
      <c r="H190" s="539">
        <f t="shared" si="14"/>
        <v>0</v>
      </c>
      <c r="I190" s="596">
        <f t="shared" si="17"/>
        <v>0</v>
      </c>
      <c r="J190" s="563"/>
      <c r="K190" s="557"/>
      <c r="L190" s="557"/>
      <c r="M190" s="539">
        <f t="shared" si="15"/>
        <v>0</v>
      </c>
      <c r="N190" s="596">
        <f t="shared" si="18"/>
        <v>0</v>
      </c>
      <c r="O190" s="576">
        <f t="shared" si="16"/>
        <v>0</v>
      </c>
    </row>
    <row r="191" spans="1:15" ht="18.75" x14ac:dyDescent="0.25">
      <c r="A191" s="567" t="s">
        <v>611</v>
      </c>
      <c r="B191" s="554" t="s">
        <v>733</v>
      </c>
      <c r="C191" s="554" t="s">
        <v>734</v>
      </c>
      <c r="D191" s="555" t="s">
        <v>617</v>
      </c>
      <c r="E191" s="563">
        <f>(2*2)</f>
        <v>4</v>
      </c>
      <c r="F191" s="557"/>
      <c r="G191" s="557">
        <v>130000</v>
      </c>
      <c r="H191" s="539">
        <f t="shared" si="14"/>
        <v>130000</v>
      </c>
      <c r="I191" s="596">
        <f t="shared" si="17"/>
        <v>520000</v>
      </c>
      <c r="J191" s="563">
        <f>(2*2)</f>
        <v>4</v>
      </c>
      <c r="K191" s="557"/>
      <c r="L191" s="557">
        <v>130000</v>
      </c>
      <c r="M191" s="539">
        <f t="shared" si="15"/>
        <v>130000</v>
      </c>
      <c r="N191" s="596">
        <f t="shared" si="18"/>
        <v>520000</v>
      </c>
      <c r="O191" s="576">
        <f t="shared" si="16"/>
        <v>0</v>
      </c>
    </row>
    <row r="192" spans="1:15" ht="18.75" x14ac:dyDescent="0.25">
      <c r="A192" s="567" t="s">
        <v>699</v>
      </c>
      <c r="B192" s="554" t="s">
        <v>735</v>
      </c>
      <c r="C192" s="554" t="s">
        <v>795</v>
      </c>
      <c r="D192" s="555" t="s">
        <v>617</v>
      </c>
      <c r="E192" s="563">
        <f>(2+2)*2*3</f>
        <v>24</v>
      </c>
      <c r="F192" s="557"/>
      <c r="G192" s="557">
        <v>55000</v>
      </c>
      <c r="H192" s="539">
        <f t="shared" si="14"/>
        <v>55000</v>
      </c>
      <c r="I192" s="596">
        <f t="shared" si="17"/>
        <v>1320000</v>
      </c>
      <c r="J192" s="563">
        <f>(2+2)*2*3</f>
        <v>24</v>
      </c>
      <c r="K192" s="557"/>
      <c r="L192" s="557">
        <v>55000</v>
      </c>
      <c r="M192" s="539">
        <f t="shared" si="15"/>
        <v>55000</v>
      </c>
      <c r="N192" s="596">
        <f t="shared" si="18"/>
        <v>1320000</v>
      </c>
      <c r="O192" s="576">
        <f t="shared" si="16"/>
        <v>0</v>
      </c>
    </row>
    <row r="193" spans="1:16" ht="18.75" x14ac:dyDescent="0.25">
      <c r="A193" s="598" t="s">
        <v>628</v>
      </c>
      <c r="B193" s="570" t="s">
        <v>737</v>
      </c>
      <c r="C193" s="570" t="s">
        <v>796</v>
      </c>
      <c r="D193" s="571" t="s">
        <v>614</v>
      </c>
      <c r="E193" s="572">
        <f>(2*2)</f>
        <v>4</v>
      </c>
      <c r="F193" s="573">
        <v>150000</v>
      </c>
      <c r="G193" s="573">
        <v>150000</v>
      </c>
      <c r="H193" s="574">
        <f t="shared" si="14"/>
        <v>300000</v>
      </c>
      <c r="I193" s="599">
        <f t="shared" si="17"/>
        <v>1200000</v>
      </c>
      <c r="J193" s="572">
        <f>(2*2)</f>
        <v>4</v>
      </c>
      <c r="K193" s="573">
        <v>150000</v>
      </c>
      <c r="L193" s="573">
        <v>150000</v>
      </c>
      <c r="M193" s="574">
        <v>160000</v>
      </c>
      <c r="N193" s="599">
        <f t="shared" si="18"/>
        <v>640000</v>
      </c>
      <c r="O193" s="600">
        <f t="shared" si="16"/>
        <v>-560000</v>
      </c>
    </row>
    <row r="194" spans="1:16" ht="18.75" x14ac:dyDescent="0.25">
      <c r="A194" s="567" t="s">
        <v>631</v>
      </c>
      <c r="B194" s="554" t="s">
        <v>739</v>
      </c>
      <c r="C194" s="554" t="s">
        <v>740</v>
      </c>
      <c r="D194" s="536" t="s">
        <v>60</v>
      </c>
      <c r="E194" s="563">
        <f>2*4</f>
        <v>8</v>
      </c>
      <c r="F194" s="557"/>
      <c r="G194" s="557">
        <v>75000</v>
      </c>
      <c r="H194" s="539">
        <f t="shared" si="14"/>
        <v>75000</v>
      </c>
      <c r="I194" s="596">
        <f t="shared" si="17"/>
        <v>600000</v>
      </c>
      <c r="J194" s="563">
        <f>2*4</f>
        <v>8</v>
      </c>
      <c r="K194" s="557"/>
      <c r="L194" s="557">
        <v>75000</v>
      </c>
      <c r="M194" s="539">
        <f t="shared" si="15"/>
        <v>75000</v>
      </c>
      <c r="N194" s="596">
        <f t="shared" si="18"/>
        <v>600000</v>
      </c>
      <c r="O194" s="576">
        <f t="shared" si="16"/>
        <v>0</v>
      </c>
    </row>
    <row r="195" spans="1:16" ht="15.75" x14ac:dyDescent="0.25">
      <c r="A195" s="567"/>
      <c r="B195" s="551" t="s">
        <v>797</v>
      </c>
      <c r="C195" s="554"/>
      <c r="D195" s="536"/>
      <c r="E195" s="547"/>
      <c r="F195" s="548"/>
      <c r="G195" s="548"/>
      <c r="H195" s="539">
        <f t="shared" si="14"/>
        <v>0</v>
      </c>
      <c r="I195" s="596">
        <f t="shared" si="17"/>
        <v>0</v>
      </c>
      <c r="J195" s="547"/>
      <c r="K195" s="548"/>
      <c r="L195" s="548"/>
      <c r="M195" s="539">
        <f t="shared" si="15"/>
        <v>0</v>
      </c>
      <c r="N195" s="596">
        <f t="shared" si="18"/>
        <v>0</v>
      </c>
      <c r="O195" s="576">
        <f t="shared" si="16"/>
        <v>0</v>
      </c>
    </row>
    <row r="196" spans="1:16" ht="18.75" x14ac:dyDescent="0.25">
      <c r="A196" s="567" t="s">
        <v>611</v>
      </c>
      <c r="B196" s="554" t="s">
        <v>733</v>
      </c>
      <c r="C196" s="554" t="s">
        <v>734</v>
      </c>
      <c r="D196" s="555" t="s">
        <v>617</v>
      </c>
      <c r="E196" s="563">
        <f>2</f>
        <v>2</v>
      </c>
      <c r="F196" s="557"/>
      <c r="G196" s="557">
        <v>120000</v>
      </c>
      <c r="H196" s="539">
        <f t="shared" si="14"/>
        <v>120000</v>
      </c>
      <c r="I196" s="596">
        <f t="shared" si="17"/>
        <v>240000</v>
      </c>
      <c r="J196" s="563">
        <f>2</f>
        <v>2</v>
      </c>
      <c r="K196" s="557"/>
      <c r="L196" s="557">
        <v>120000</v>
      </c>
      <c r="M196" s="539">
        <f t="shared" si="15"/>
        <v>120000</v>
      </c>
      <c r="N196" s="596">
        <f t="shared" si="18"/>
        <v>240000</v>
      </c>
      <c r="O196" s="576">
        <f t="shared" si="16"/>
        <v>0</v>
      </c>
    </row>
    <row r="197" spans="1:16" ht="18.75" x14ac:dyDescent="0.25">
      <c r="A197" s="567" t="s">
        <v>699</v>
      </c>
      <c r="B197" s="554" t="s">
        <v>798</v>
      </c>
      <c r="C197" s="554" t="s">
        <v>767</v>
      </c>
      <c r="D197" s="555" t="s">
        <v>617</v>
      </c>
      <c r="E197" s="563">
        <f>(1+2)*2*1.8</f>
        <v>10.8</v>
      </c>
      <c r="F197" s="557"/>
      <c r="G197" s="557">
        <v>350000</v>
      </c>
      <c r="H197" s="539">
        <f t="shared" si="14"/>
        <v>350000</v>
      </c>
      <c r="I197" s="596">
        <f t="shared" si="17"/>
        <v>3780000.0000000005</v>
      </c>
      <c r="J197" s="563">
        <f>(1+2)*2*1.8</f>
        <v>10.8</v>
      </c>
      <c r="K197" s="557"/>
      <c r="L197" s="557">
        <v>350000</v>
      </c>
      <c r="M197" s="539">
        <f t="shared" si="15"/>
        <v>350000</v>
      </c>
      <c r="N197" s="596">
        <f t="shared" si="18"/>
        <v>3780000.0000000005</v>
      </c>
      <c r="O197" s="576">
        <f t="shared" si="16"/>
        <v>0</v>
      </c>
    </row>
    <row r="198" spans="1:16" ht="18.75" x14ac:dyDescent="0.25">
      <c r="A198" s="598"/>
      <c r="B198" s="570"/>
      <c r="C198" s="570" t="s">
        <v>799</v>
      </c>
      <c r="D198" s="571" t="s">
        <v>617</v>
      </c>
      <c r="E198" s="572">
        <f>(1+2)*2*1.2</f>
        <v>7.1999999999999993</v>
      </c>
      <c r="F198" s="573"/>
      <c r="G198" s="573">
        <v>150000</v>
      </c>
      <c r="H198" s="574">
        <f t="shared" si="14"/>
        <v>150000</v>
      </c>
      <c r="I198" s="599">
        <f t="shared" si="17"/>
        <v>1080000</v>
      </c>
      <c r="J198" s="572">
        <f>(1+2)*2*1.2</f>
        <v>7.1999999999999993</v>
      </c>
      <c r="K198" s="573"/>
      <c r="L198" s="573">
        <v>150000</v>
      </c>
      <c r="M198" s="574">
        <v>150000</v>
      </c>
      <c r="N198" s="599">
        <f t="shared" si="18"/>
        <v>1080000</v>
      </c>
      <c r="O198" s="600">
        <f t="shared" si="16"/>
        <v>0</v>
      </c>
    </row>
    <row r="199" spans="1:16" ht="18.75" x14ac:dyDescent="0.25">
      <c r="A199" s="598" t="s">
        <v>628</v>
      </c>
      <c r="B199" s="570" t="s">
        <v>737</v>
      </c>
      <c r="C199" s="570" t="s">
        <v>789</v>
      </c>
      <c r="D199" s="571" t="s">
        <v>614</v>
      </c>
      <c r="E199" s="572">
        <f>2</f>
        <v>2</v>
      </c>
      <c r="F199" s="573">
        <v>175000</v>
      </c>
      <c r="G199" s="573">
        <v>150000</v>
      </c>
      <c r="H199" s="574">
        <f t="shared" si="14"/>
        <v>325000</v>
      </c>
      <c r="I199" s="599">
        <f t="shared" si="17"/>
        <v>650000</v>
      </c>
      <c r="J199" s="572">
        <f>2</f>
        <v>2</v>
      </c>
      <c r="K199" s="573">
        <v>175000</v>
      </c>
      <c r="L199" s="573">
        <v>150000</v>
      </c>
      <c r="M199" s="574">
        <v>160000</v>
      </c>
      <c r="N199" s="599">
        <f t="shared" si="18"/>
        <v>320000</v>
      </c>
      <c r="O199" s="600">
        <f t="shared" si="16"/>
        <v>-330000</v>
      </c>
    </row>
    <row r="200" spans="1:16" ht="18.75" x14ac:dyDescent="0.25">
      <c r="A200" s="567" t="s">
        <v>631</v>
      </c>
      <c r="B200" s="554" t="s">
        <v>739</v>
      </c>
      <c r="C200" s="554" t="s">
        <v>740</v>
      </c>
      <c r="D200" s="536" t="s">
        <v>60</v>
      </c>
      <c r="E200" s="563">
        <f>(1+2)*2</f>
        <v>6</v>
      </c>
      <c r="F200" s="557"/>
      <c r="G200" s="557">
        <v>75000</v>
      </c>
      <c r="H200" s="539">
        <f t="shared" si="14"/>
        <v>75000</v>
      </c>
      <c r="I200" s="596">
        <f t="shared" si="17"/>
        <v>450000</v>
      </c>
      <c r="J200" s="563">
        <f>(1+2)*2</f>
        <v>6</v>
      </c>
      <c r="K200" s="557"/>
      <c r="L200" s="557">
        <v>75000</v>
      </c>
      <c r="M200" s="539">
        <f t="shared" si="15"/>
        <v>75000</v>
      </c>
      <c r="N200" s="596">
        <f t="shared" si="18"/>
        <v>450000</v>
      </c>
      <c r="O200" s="576">
        <f t="shared" si="16"/>
        <v>0</v>
      </c>
    </row>
    <row r="201" spans="1:16" ht="15.75" x14ac:dyDescent="0.25">
      <c r="A201" s="567">
        <v>5</v>
      </c>
      <c r="B201" s="562" t="s">
        <v>800</v>
      </c>
      <c r="C201" s="562" t="s">
        <v>801</v>
      </c>
      <c r="D201" s="536" t="s">
        <v>62</v>
      </c>
      <c r="E201" s="563">
        <v>1</v>
      </c>
      <c r="F201" s="557"/>
      <c r="G201" s="557">
        <v>2000000</v>
      </c>
      <c r="H201" s="539">
        <f t="shared" si="14"/>
        <v>2000000</v>
      </c>
      <c r="I201" s="596">
        <f t="shared" si="17"/>
        <v>2000000</v>
      </c>
      <c r="J201" s="563">
        <v>1</v>
      </c>
      <c r="K201" s="557"/>
      <c r="L201" s="557">
        <v>2000000</v>
      </c>
      <c r="M201" s="539">
        <f t="shared" si="15"/>
        <v>2000000</v>
      </c>
      <c r="N201" s="596">
        <f t="shared" si="18"/>
        <v>2000000</v>
      </c>
      <c r="O201" s="576">
        <f t="shared" si="16"/>
        <v>0</v>
      </c>
    </row>
    <row r="202" spans="1:16" ht="15.75" x14ac:dyDescent="0.25">
      <c r="A202" s="567"/>
      <c r="B202" s="602"/>
      <c r="C202" s="587" t="s">
        <v>802</v>
      </c>
      <c r="D202" s="536"/>
      <c r="E202" s="547"/>
      <c r="F202" s="547"/>
      <c r="G202" s="587"/>
      <c r="H202" s="539">
        <f t="shared" ref="H202:H265" si="19">F202+G202</f>
        <v>0</v>
      </c>
      <c r="I202" s="543">
        <f>SUM(I149:I201)</f>
        <v>195952555</v>
      </c>
      <c r="J202" s="547"/>
      <c r="K202" s="547"/>
      <c r="L202" s="587"/>
      <c r="M202" s="539">
        <f t="shared" ref="M202:M265" si="20">K202+L202</f>
        <v>0</v>
      </c>
      <c r="N202" s="543">
        <f>SUM(N149:N201)</f>
        <v>119233055</v>
      </c>
      <c r="O202" s="588">
        <f t="shared" ref="O202:O265" si="21">N202-I202</f>
        <v>-76719500</v>
      </c>
      <c r="P202" s="577" t="s">
        <v>743</v>
      </c>
    </row>
    <row r="203" spans="1:16" ht="15.75" x14ac:dyDescent="0.25">
      <c r="A203" s="603" t="s">
        <v>551</v>
      </c>
      <c r="B203" s="551" t="s">
        <v>803</v>
      </c>
      <c r="C203" s="604"/>
      <c r="D203" s="557"/>
      <c r="E203" s="557"/>
      <c r="F203" s="557"/>
      <c r="G203" s="557"/>
      <c r="H203" s="539">
        <f t="shared" si="19"/>
        <v>0</v>
      </c>
      <c r="I203" s="596"/>
      <c r="J203" s="557"/>
      <c r="K203" s="557"/>
      <c r="L203" s="557"/>
      <c r="M203" s="539">
        <f t="shared" si="20"/>
        <v>0</v>
      </c>
      <c r="N203" s="596"/>
      <c r="O203" s="540">
        <f t="shared" si="21"/>
        <v>0</v>
      </c>
    </row>
    <row r="204" spans="1:16" ht="15.75" x14ac:dyDescent="0.25">
      <c r="A204" s="605"/>
      <c r="B204" s="551" t="s">
        <v>804</v>
      </c>
      <c r="C204" s="606"/>
      <c r="D204" s="557"/>
      <c r="E204" s="557"/>
      <c r="F204" s="557"/>
      <c r="G204" s="557"/>
      <c r="H204" s="539">
        <f t="shared" si="19"/>
        <v>0</v>
      </c>
      <c r="I204" s="596"/>
      <c r="J204" s="557"/>
      <c r="K204" s="557"/>
      <c r="L204" s="557"/>
      <c r="M204" s="539">
        <f t="shared" si="20"/>
        <v>0</v>
      </c>
      <c r="N204" s="596"/>
      <c r="O204" s="540">
        <f t="shared" si="21"/>
        <v>0</v>
      </c>
    </row>
    <row r="205" spans="1:16" ht="15.75" x14ac:dyDescent="0.25">
      <c r="A205" s="607" t="s">
        <v>611</v>
      </c>
      <c r="B205" s="551" t="s">
        <v>805</v>
      </c>
      <c r="C205" s="608" t="s">
        <v>806</v>
      </c>
      <c r="D205" s="536" t="s">
        <v>218</v>
      </c>
      <c r="E205" s="563">
        <v>2</v>
      </c>
      <c r="F205" s="563"/>
      <c r="G205" s="557">
        <v>450000</v>
      </c>
      <c r="H205" s="539">
        <f t="shared" si="19"/>
        <v>450000</v>
      </c>
      <c r="I205" s="558">
        <f t="shared" ref="I205:I268" si="22">E205*G205</f>
        <v>900000</v>
      </c>
      <c r="J205" s="563">
        <v>2</v>
      </c>
      <c r="K205" s="563"/>
      <c r="L205" s="557">
        <v>450000</v>
      </c>
      <c r="M205" s="539">
        <f t="shared" si="20"/>
        <v>450000</v>
      </c>
      <c r="N205" s="558">
        <f>J205*M205</f>
        <v>900000</v>
      </c>
      <c r="O205" s="540">
        <f t="shared" si="21"/>
        <v>0</v>
      </c>
    </row>
    <row r="206" spans="1:16" ht="15.75" x14ac:dyDescent="0.25">
      <c r="A206" s="605"/>
      <c r="B206" s="551" t="s">
        <v>807</v>
      </c>
      <c r="C206" s="604"/>
      <c r="D206" s="557"/>
      <c r="E206" s="557"/>
      <c r="F206" s="557"/>
      <c r="G206" s="557"/>
      <c r="H206" s="539">
        <f t="shared" si="19"/>
        <v>0</v>
      </c>
      <c r="I206" s="558">
        <f t="shared" si="22"/>
        <v>0</v>
      </c>
      <c r="J206" s="557"/>
      <c r="K206" s="557"/>
      <c r="L206" s="557"/>
      <c r="M206" s="539">
        <f t="shared" si="20"/>
        <v>0</v>
      </c>
      <c r="N206" s="558">
        <f t="shared" ref="N206:N269" si="23">J206*M206</f>
        <v>0</v>
      </c>
      <c r="O206" s="540">
        <f t="shared" si="21"/>
        <v>0</v>
      </c>
    </row>
    <row r="207" spans="1:16" ht="15.75" x14ac:dyDescent="0.25">
      <c r="A207" s="607" t="s">
        <v>611</v>
      </c>
      <c r="B207" s="551" t="s">
        <v>805</v>
      </c>
      <c r="C207" s="608" t="s">
        <v>808</v>
      </c>
      <c r="D207" s="536" t="s">
        <v>218</v>
      </c>
      <c r="E207" s="563">
        <v>1</v>
      </c>
      <c r="F207" s="563"/>
      <c r="G207" s="557">
        <v>450000</v>
      </c>
      <c r="H207" s="539">
        <f t="shared" si="19"/>
        <v>450000</v>
      </c>
      <c r="I207" s="558">
        <f t="shared" si="22"/>
        <v>450000</v>
      </c>
      <c r="J207" s="563">
        <v>1</v>
      </c>
      <c r="K207" s="563"/>
      <c r="L207" s="557">
        <v>450000</v>
      </c>
      <c r="M207" s="539">
        <f t="shared" si="20"/>
        <v>450000</v>
      </c>
      <c r="N207" s="558">
        <f t="shared" si="23"/>
        <v>450000</v>
      </c>
      <c r="O207" s="540">
        <f t="shared" si="21"/>
        <v>0</v>
      </c>
    </row>
    <row r="208" spans="1:16" ht="15.75" x14ac:dyDescent="0.25">
      <c r="A208" s="605"/>
      <c r="B208" s="551" t="s">
        <v>809</v>
      </c>
      <c r="C208" s="604"/>
      <c r="D208" s="557"/>
      <c r="E208" s="557"/>
      <c r="F208" s="557"/>
      <c r="G208" s="557"/>
      <c r="H208" s="539">
        <f t="shared" si="19"/>
        <v>0</v>
      </c>
      <c r="I208" s="558">
        <f t="shared" si="22"/>
        <v>0</v>
      </c>
      <c r="J208" s="557"/>
      <c r="K208" s="557"/>
      <c r="L208" s="557"/>
      <c r="M208" s="539">
        <f t="shared" si="20"/>
        <v>0</v>
      </c>
      <c r="N208" s="558">
        <f t="shared" si="23"/>
        <v>0</v>
      </c>
      <c r="O208" s="540">
        <f t="shared" si="21"/>
        <v>0</v>
      </c>
    </row>
    <row r="209" spans="1:15" ht="15.75" x14ac:dyDescent="0.25">
      <c r="A209" s="609" t="s">
        <v>611</v>
      </c>
      <c r="B209" s="551" t="s">
        <v>810</v>
      </c>
      <c r="C209" s="551" t="s">
        <v>811</v>
      </c>
      <c r="D209" s="536" t="s">
        <v>218</v>
      </c>
      <c r="E209" s="563">
        <v>1</v>
      </c>
      <c r="F209" s="563"/>
      <c r="G209" s="610">
        <v>50000</v>
      </c>
      <c r="H209" s="539">
        <f t="shared" si="19"/>
        <v>50000</v>
      </c>
      <c r="I209" s="558">
        <f t="shared" si="22"/>
        <v>50000</v>
      </c>
      <c r="J209" s="563">
        <v>1</v>
      </c>
      <c r="K209" s="563"/>
      <c r="L209" s="610">
        <v>50000</v>
      </c>
      <c r="M209" s="539">
        <f t="shared" si="20"/>
        <v>50000</v>
      </c>
      <c r="N209" s="558">
        <f t="shared" si="23"/>
        <v>50000</v>
      </c>
      <c r="O209" s="540">
        <f t="shared" si="21"/>
        <v>0</v>
      </c>
    </row>
    <row r="210" spans="1:15" ht="15.75" x14ac:dyDescent="0.25">
      <c r="A210" s="609" t="s">
        <v>699</v>
      </c>
      <c r="B210" s="551" t="s">
        <v>812</v>
      </c>
      <c r="C210" s="551" t="s">
        <v>813</v>
      </c>
      <c r="D210" s="536" t="s">
        <v>218</v>
      </c>
      <c r="E210" s="563">
        <v>1</v>
      </c>
      <c r="F210" s="563"/>
      <c r="G210" s="610">
        <v>50000</v>
      </c>
      <c r="H210" s="539">
        <f t="shared" si="19"/>
        <v>50000</v>
      </c>
      <c r="I210" s="558">
        <f t="shared" si="22"/>
        <v>50000</v>
      </c>
      <c r="J210" s="563">
        <v>1</v>
      </c>
      <c r="K210" s="563"/>
      <c r="L210" s="610">
        <v>50000</v>
      </c>
      <c r="M210" s="539">
        <f t="shared" si="20"/>
        <v>50000</v>
      </c>
      <c r="N210" s="558">
        <f t="shared" si="23"/>
        <v>50000</v>
      </c>
      <c r="O210" s="540">
        <f t="shared" si="21"/>
        <v>0</v>
      </c>
    </row>
    <row r="211" spans="1:15" ht="15.75" x14ac:dyDescent="0.25">
      <c r="A211" s="603"/>
      <c r="B211" s="551" t="s">
        <v>814</v>
      </c>
      <c r="C211" s="604"/>
      <c r="D211" s="557"/>
      <c r="E211" s="557"/>
      <c r="F211" s="557"/>
      <c r="G211" s="557"/>
      <c r="H211" s="539">
        <f t="shared" si="19"/>
        <v>0</v>
      </c>
      <c r="I211" s="558">
        <f t="shared" si="22"/>
        <v>0</v>
      </c>
      <c r="J211" s="557"/>
      <c r="K211" s="557"/>
      <c r="L211" s="557"/>
      <c r="M211" s="539">
        <f t="shared" si="20"/>
        <v>0</v>
      </c>
      <c r="N211" s="558">
        <f t="shared" si="23"/>
        <v>0</v>
      </c>
      <c r="O211" s="540">
        <f t="shared" si="21"/>
        <v>0</v>
      </c>
    </row>
    <row r="212" spans="1:15" ht="15.75" x14ac:dyDescent="0.25">
      <c r="A212" s="609" t="s">
        <v>611</v>
      </c>
      <c r="B212" s="611" t="s">
        <v>815</v>
      </c>
      <c r="C212" s="612" t="s">
        <v>816</v>
      </c>
      <c r="D212" s="555" t="s">
        <v>218</v>
      </c>
      <c r="E212" s="547">
        <v>1</v>
      </c>
      <c r="F212" s="547"/>
      <c r="G212" s="613">
        <v>500000</v>
      </c>
      <c r="H212" s="539">
        <f t="shared" si="19"/>
        <v>500000</v>
      </c>
      <c r="I212" s="558">
        <f t="shared" si="22"/>
        <v>500000</v>
      </c>
      <c r="J212" s="547">
        <v>1</v>
      </c>
      <c r="K212" s="547"/>
      <c r="L212" s="613">
        <v>500000</v>
      </c>
      <c r="M212" s="539">
        <f t="shared" si="20"/>
        <v>500000</v>
      </c>
      <c r="N212" s="558">
        <f t="shared" si="23"/>
        <v>500000</v>
      </c>
      <c r="O212" s="540">
        <f t="shared" si="21"/>
        <v>0</v>
      </c>
    </row>
    <row r="213" spans="1:15" ht="15.75" x14ac:dyDescent="0.25">
      <c r="A213" s="609" t="s">
        <v>699</v>
      </c>
      <c r="B213" s="611" t="s">
        <v>817</v>
      </c>
      <c r="C213" s="612" t="s">
        <v>818</v>
      </c>
      <c r="D213" s="555" t="s">
        <v>218</v>
      </c>
      <c r="E213" s="547">
        <v>1</v>
      </c>
      <c r="F213" s="547"/>
      <c r="G213" s="613">
        <v>100000</v>
      </c>
      <c r="H213" s="539">
        <f t="shared" si="19"/>
        <v>100000</v>
      </c>
      <c r="I213" s="558">
        <f t="shared" si="22"/>
        <v>100000</v>
      </c>
      <c r="J213" s="547">
        <v>1</v>
      </c>
      <c r="K213" s="547"/>
      <c r="L213" s="613">
        <v>100000</v>
      </c>
      <c r="M213" s="539">
        <f t="shared" si="20"/>
        <v>100000</v>
      </c>
      <c r="N213" s="558">
        <f t="shared" si="23"/>
        <v>100000</v>
      </c>
      <c r="O213" s="540">
        <f t="shared" si="21"/>
        <v>0</v>
      </c>
    </row>
    <row r="214" spans="1:15" ht="15.75" x14ac:dyDescent="0.25">
      <c r="A214" s="609">
        <v>3</v>
      </c>
      <c r="B214" s="611" t="s">
        <v>819</v>
      </c>
      <c r="C214" s="614" t="s">
        <v>820</v>
      </c>
      <c r="D214" s="555" t="s">
        <v>218</v>
      </c>
      <c r="E214" s="547">
        <v>2</v>
      </c>
      <c r="F214" s="547"/>
      <c r="G214" s="613">
        <v>100000</v>
      </c>
      <c r="H214" s="539">
        <f t="shared" si="19"/>
        <v>100000</v>
      </c>
      <c r="I214" s="558">
        <f t="shared" si="22"/>
        <v>200000</v>
      </c>
      <c r="J214" s="547">
        <v>2</v>
      </c>
      <c r="K214" s="547"/>
      <c r="L214" s="613">
        <v>100000</v>
      </c>
      <c r="M214" s="539">
        <f t="shared" si="20"/>
        <v>100000</v>
      </c>
      <c r="N214" s="558">
        <f t="shared" si="23"/>
        <v>200000</v>
      </c>
      <c r="O214" s="540">
        <f t="shared" si="21"/>
        <v>0</v>
      </c>
    </row>
    <row r="215" spans="1:15" ht="15.75" x14ac:dyDescent="0.25">
      <c r="A215" s="609">
        <v>4</v>
      </c>
      <c r="B215" s="611" t="s">
        <v>821</v>
      </c>
      <c r="C215" s="612" t="s">
        <v>822</v>
      </c>
      <c r="D215" s="555" t="s">
        <v>218</v>
      </c>
      <c r="E215" s="547">
        <v>1</v>
      </c>
      <c r="F215" s="547"/>
      <c r="G215" s="613">
        <v>100000</v>
      </c>
      <c r="H215" s="539">
        <f t="shared" si="19"/>
        <v>100000</v>
      </c>
      <c r="I215" s="558">
        <f t="shared" si="22"/>
        <v>100000</v>
      </c>
      <c r="J215" s="547">
        <v>1</v>
      </c>
      <c r="K215" s="547"/>
      <c r="L215" s="613">
        <v>100000</v>
      </c>
      <c r="M215" s="539">
        <f t="shared" si="20"/>
        <v>100000</v>
      </c>
      <c r="N215" s="558">
        <f t="shared" si="23"/>
        <v>100000</v>
      </c>
      <c r="O215" s="540">
        <f t="shared" si="21"/>
        <v>0</v>
      </c>
    </row>
    <row r="216" spans="1:15" ht="15.75" x14ac:dyDescent="0.25">
      <c r="A216" s="609">
        <v>5</v>
      </c>
      <c r="B216" s="611" t="s">
        <v>823</v>
      </c>
      <c r="C216" s="612" t="s">
        <v>824</v>
      </c>
      <c r="D216" s="555" t="s">
        <v>218</v>
      </c>
      <c r="E216" s="547">
        <v>1</v>
      </c>
      <c r="F216" s="547"/>
      <c r="G216" s="613">
        <v>150000</v>
      </c>
      <c r="H216" s="539">
        <f t="shared" si="19"/>
        <v>150000</v>
      </c>
      <c r="I216" s="558">
        <f t="shared" si="22"/>
        <v>150000</v>
      </c>
      <c r="J216" s="547">
        <v>1</v>
      </c>
      <c r="K216" s="547"/>
      <c r="L216" s="613">
        <v>150000</v>
      </c>
      <c r="M216" s="539">
        <f t="shared" si="20"/>
        <v>150000</v>
      </c>
      <c r="N216" s="558">
        <f t="shared" si="23"/>
        <v>150000</v>
      </c>
      <c r="O216" s="540">
        <f t="shared" si="21"/>
        <v>0</v>
      </c>
    </row>
    <row r="217" spans="1:15" ht="15.75" x14ac:dyDescent="0.25">
      <c r="A217" s="609">
        <v>6</v>
      </c>
      <c r="B217" s="611" t="s">
        <v>825</v>
      </c>
      <c r="C217" s="608" t="s">
        <v>826</v>
      </c>
      <c r="D217" s="555" t="s">
        <v>218</v>
      </c>
      <c r="E217" s="547">
        <v>1</v>
      </c>
      <c r="F217" s="547"/>
      <c r="G217" s="613">
        <v>150000</v>
      </c>
      <c r="H217" s="539">
        <f t="shared" si="19"/>
        <v>150000</v>
      </c>
      <c r="I217" s="558">
        <f t="shared" si="22"/>
        <v>150000</v>
      </c>
      <c r="J217" s="547">
        <v>1</v>
      </c>
      <c r="K217" s="547"/>
      <c r="L217" s="613">
        <v>150000</v>
      </c>
      <c r="M217" s="539">
        <f t="shared" si="20"/>
        <v>150000</v>
      </c>
      <c r="N217" s="558">
        <f t="shared" si="23"/>
        <v>150000</v>
      </c>
      <c r="O217" s="540">
        <f t="shared" si="21"/>
        <v>0</v>
      </c>
    </row>
    <row r="218" spans="1:15" ht="15.75" x14ac:dyDescent="0.25">
      <c r="A218" s="609">
        <v>7</v>
      </c>
      <c r="B218" s="611" t="s">
        <v>827</v>
      </c>
      <c r="C218" s="612" t="s">
        <v>824</v>
      </c>
      <c r="D218" s="555" t="s">
        <v>218</v>
      </c>
      <c r="E218" s="547">
        <v>1</v>
      </c>
      <c r="F218" s="547"/>
      <c r="G218" s="613">
        <v>150000</v>
      </c>
      <c r="H218" s="539">
        <f t="shared" si="19"/>
        <v>150000</v>
      </c>
      <c r="I218" s="558">
        <f t="shared" si="22"/>
        <v>150000</v>
      </c>
      <c r="J218" s="547">
        <v>1</v>
      </c>
      <c r="K218" s="547"/>
      <c r="L218" s="613">
        <v>150000</v>
      </c>
      <c r="M218" s="539">
        <f t="shared" si="20"/>
        <v>150000</v>
      </c>
      <c r="N218" s="558">
        <f t="shared" si="23"/>
        <v>150000</v>
      </c>
      <c r="O218" s="540">
        <f t="shared" si="21"/>
        <v>0</v>
      </c>
    </row>
    <row r="219" spans="1:15" ht="15.75" x14ac:dyDescent="0.25">
      <c r="A219" s="609">
        <v>8</v>
      </c>
      <c r="B219" s="611" t="s">
        <v>828</v>
      </c>
      <c r="C219" s="614" t="s">
        <v>829</v>
      </c>
      <c r="D219" s="555" t="s">
        <v>218</v>
      </c>
      <c r="E219" s="547">
        <v>1</v>
      </c>
      <c r="F219" s="547"/>
      <c r="G219" s="613">
        <v>150000</v>
      </c>
      <c r="H219" s="539">
        <f t="shared" si="19"/>
        <v>150000</v>
      </c>
      <c r="I219" s="558">
        <f t="shared" si="22"/>
        <v>150000</v>
      </c>
      <c r="J219" s="547">
        <v>1</v>
      </c>
      <c r="K219" s="547"/>
      <c r="L219" s="613">
        <v>150000</v>
      </c>
      <c r="M219" s="539">
        <f t="shared" si="20"/>
        <v>150000</v>
      </c>
      <c r="N219" s="558">
        <f t="shared" si="23"/>
        <v>150000</v>
      </c>
      <c r="O219" s="540">
        <f t="shared" si="21"/>
        <v>0</v>
      </c>
    </row>
    <row r="220" spans="1:15" ht="15.75" x14ac:dyDescent="0.25">
      <c r="A220" s="567">
        <v>0</v>
      </c>
      <c r="B220" s="615" t="s">
        <v>830</v>
      </c>
      <c r="C220" s="615" t="s">
        <v>831</v>
      </c>
      <c r="D220" s="548" t="s">
        <v>832</v>
      </c>
      <c r="E220" s="547">
        <v>1</v>
      </c>
      <c r="F220" s="547"/>
      <c r="G220" s="616">
        <v>4000000</v>
      </c>
      <c r="H220" s="565">
        <f t="shared" si="19"/>
        <v>4000000</v>
      </c>
      <c r="I220" s="566">
        <f t="shared" si="22"/>
        <v>4000000</v>
      </c>
      <c r="J220" s="547">
        <v>1</v>
      </c>
      <c r="K220" s="572"/>
      <c r="L220" s="617">
        <v>4000000</v>
      </c>
      <c r="M220" s="539">
        <f t="shared" si="20"/>
        <v>4000000</v>
      </c>
      <c r="N220" s="558">
        <f t="shared" si="23"/>
        <v>4000000</v>
      </c>
      <c r="O220" s="540">
        <f t="shared" si="21"/>
        <v>0</v>
      </c>
    </row>
    <row r="221" spans="1:15" ht="15.75" x14ac:dyDescent="0.25">
      <c r="A221" s="618"/>
      <c r="B221" s="551" t="s">
        <v>753</v>
      </c>
      <c r="C221" s="604"/>
      <c r="D221" s="557"/>
      <c r="E221" s="557"/>
      <c r="F221" s="557"/>
      <c r="G221" s="557"/>
      <c r="H221" s="539">
        <f t="shared" si="19"/>
        <v>0</v>
      </c>
      <c r="I221" s="558">
        <f t="shared" si="22"/>
        <v>0</v>
      </c>
      <c r="J221" s="557"/>
      <c r="K221" s="557"/>
      <c r="L221" s="557"/>
      <c r="M221" s="539">
        <f t="shared" si="20"/>
        <v>0</v>
      </c>
      <c r="N221" s="558">
        <f t="shared" si="23"/>
        <v>0</v>
      </c>
      <c r="O221" s="540">
        <f t="shared" si="21"/>
        <v>0</v>
      </c>
    </row>
    <row r="222" spans="1:15" ht="15.75" x14ac:dyDescent="0.25">
      <c r="A222" s="609" t="s">
        <v>611</v>
      </c>
      <c r="B222" s="611" t="s">
        <v>815</v>
      </c>
      <c r="C222" s="612" t="s">
        <v>816</v>
      </c>
      <c r="D222" s="555" t="s">
        <v>218</v>
      </c>
      <c r="E222" s="547">
        <v>1</v>
      </c>
      <c r="F222" s="547"/>
      <c r="G222" s="613">
        <v>500000</v>
      </c>
      <c r="H222" s="539">
        <f t="shared" si="19"/>
        <v>500000</v>
      </c>
      <c r="I222" s="558">
        <f t="shared" si="22"/>
        <v>500000</v>
      </c>
      <c r="J222" s="547">
        <v>1</v>
      </c>
      <c r="K222" s="547"/>
      <c r="L222" s="613">
        <v>500000</v>
      </c>
      <c r="M222" s="539">
        <f t="shared" si="20"/>
        <v>500000</v>
      </c>
      <c r="N222" s="558">
        <f t="shared" si="23"/>
        <v>500000</v>
      </c>
      <c r="O222" s="540">
        <f t="shared" si="21"/>
        <v>0</v>
      </c>
    </row>
    <row r="223" spans="1:15" ht="15.75" x14ac:dyDescent="0.25">
      <c r="A223" s="609" t="s">
        <v>699</v>
      </c>
      <c r="B223" s="611" t="s">
        <v>817</v>
      </c>
      <c r="C223" s="612" t="s">
        <v>833</v>
      </c>
      <c r="D223" s="555" t="s">
        <v>218</v>
      </c>
      <c r="E223" s="547">
        <v>1</v>
      </c>
      <c r="F223" s="547"/>
      <c r="G223" s="613">
        <v>100000</v>
      </c>
      <c r="H223" s="539">
        <f t="shared" si="19"/>
        <v>100000</v>
      </c>
      <c r="I223" s="558">
        <f t="shared" si="22"/>
        <v>100000</v>
      </c>
      <c r="J223" s="547">
        <v>1</v>
      </c>
      <c r="K223" s="547"/>
      <c r="L223" s="613">
        <v>100000</v>
      </c>
      <c r="M223" s="539">
        <f t="shared" si="20"/>
        <v>100000</v>
      </c>
      <c r="N223" s="558">
        <f t="shared" si="23"/>
        <v>100000</v>
      </c>
      <c r="O223" s="540">
        <f t="shared" si="21"/>
        <v>0</v>
      </c>
    </row>
    <row r="224" spans="1:15" ht="15.75" x14ac:dyDescent="0.25">
      <c r="A224" s="609">
        <v>3</v>
      </c>
      <c r="B224" s="611" t="s">
        <v>819</v>
      </c>
      <c r="C224" s="614" t="s">
        <v>834</v>
      </c>
      <c r="D224" s="555" t="s">
        <v>218</v>
      </c>
      <c r="E224" s="547">
        <v>2</v>
      </c>
      <c r="F224" s="547"/>
      <c r="G224" s="613">
        <v>100000</v>
      </c>
      <c r="H224" s="539">
        <f t="shared" si="19"/>
        <v>100000</v>
      </c>
      <c r="I224" s="558">
        <f t="shared" si="22"/>
        <v>200000</v>
      </c>
      <c r="J224" s="547">
        <v>2</v>
      </c>
      <c r="K224" s="547"/>
      <c r="L224" s="613">
        <v>100000</v>
      </c>
      <c r="M224" s="539">
        <f t="shared" si="20"/>
        <v>100000</v>
      </c>
      <c r="N224" s="558">
        <f t="shared" si="23"/>
        <v>200000</v>
      </c>
      <c r="O224" s="540">
        <f t="shared" si="21"/>
        <v>0</v>
      </c>
    </row>
    <row r="225" spans="1:15" ht="15.75" x14ac:dyDescent="0.25">
      <c r="A225" s="609">
        <v>4</v>
      </c>
      <c r="B225" s="611" t="s">
        <v>821</v>
      </c>
      <c r="C225" s="612" t="s">
        <v>822</v>
      </c>
      <c r="D225" s="555" t="s">
        <v>218</v>
      </c>
      <c r="E225" s="547">
        <v>1</v>
      </c>
      <c r="F225" s="547"/>
      <c r="G225" s="613">
        <v>100000</v>
      </c>
      <c r="H225" s="539">
        <f t="shared" si="19"/>
        <v>100000</v>
      </c>
      <c r="I225" s="558">
        <f t="shared" si="22"/>
        <v>100000</v>
      </c>
      <c r="J225" s="547">
        <v>1</v>
      </c>
      <c r="K225" s="547"/>
      <c r="L225" s="613">
        <v>100000</v>
      </c>
      <c r="M225" s="539">
        <f t="shared" si="20"/>
        <v>100000</v>
      </c>
      <c r="N225" s="558">
        <f t="shared" si="23"/>
        <v>100000</v>
      </c>
      <c r="O225" s="540">
        <f t="shared" si="21"/>
        <v>0</v>
      </c>
    </row>
    <row r="226" spans="1:15" ht="15.75" x14ac:dyDescent="0.25">
      <c r="A226" s="609">
        <v>5</v>
      </c>
      <c r="B226" s="611" t="s">
        <v>823</v>
      </c>
      <c r="C226" s="612" t="s">
        <v>824</v>
      </c>
      <c r="D226" s="555" t="s">
        <v>218</v>
      </c>
      <c r="E226" s="547">
        <v>1</v>
      </c>
      <c r="F226" s="547"/>
      <c r="G226" s="613">
        <v>150000</v>
      </c>
      <c r="H226" s="539">
        <f t="shared" si="19"/>
        <v>150000</v>
      </c>
      <c r="I226" s="558">
        <f t="shared" si="22"/>
        <v>150000</v>
      </c>
      <c r="J226" s="547">
        <v>1</v>
      </c>
      <c r="K226" s="547"/>
      <c r="L226" s="613">
        <v>150000</v>
      </c>
      <c r="M226" s="539">
        <f t="shared" si="20"/>
        <v>150000</v>
      </c>
      <c r="N226" s="558">
        <f t="shared" si="23"/>
        <v>150000</v>
      </c>
      <c r="O226" s="540">
        <f t="shared" si="21"/>
        <v>0</v>
      </c>
    </row>
    <row r="227" spans="1:15" ht="15.75" x14ac:dyDescent="0.25">
      <c r="A227" s="609">
        <v>6</v>
      </c>
      <c r="B227" s="611" t="s">
        <v>825</v>
      </c>
      <c r="C227" s="614" t="s">
        <v>829</v>
      </c>
      <c r="D227" s="555" t="s">
        <v>218</v>
      </c>
      <c r="E227" s="547">
        <v>1</v>
      </c>
      <c r="F227" s="547"/>
      <c r="G227" s="613">
        <v>150000</v>
      </c>
      <c r="H227" s="539">
        <f t="shared" si="19"/>
        <v>150000</v>
      </c>
      <c r="I227" s="558">
        <f t="shared" si="22"/>
        <v>150000</v>
      </c>
      <c r="J227" s="547">
        <v>1</v>
      </c>
      <c r="K227" s="547"/>
      <c r="L227" s="613">
        <v>150000</v>
      </c>
      <c r="M227" s="539">
        <f t="shared" si="20"/>
        <v>150000</v>
      </c>
      <c r="N227" s="558">
        <f t="shared" si="23"/>
        <v>150000</v>
      </c>
      <c r="O227" s="540">
        <f t="shared" si="21"/>
        <v>0</v>
      </c>
    </row>
    <row r="228" spans="1:15" ht="15.75" x14ac:dyDescent="0.25">
      <c r="A228" s="567"/>
      <c r="B228" s="554"/>
      <c r="C228" s="554"/>
      <c r="D228" s="536"/>
      <c r="E228" s="563"/>
      <c r="F228" s="563"/>
      <c r="G228" s="557"/>
      <c r="H228" s="539">
        <f t="shared" si="19"/>
        <v>0</v>
      </c>
      <c r="I228" s="558">
        <f t="shared" si="22"/>
        <v>0</v>
      </c>
      <c r="J228" s="563"/>
      <c r="K228" s="563"/>
      <c r="L228" s="557"/>
      <c r="M228" s="539">
        <f t="shared" si="20"/>
        <v>0</v>
      </c>
      <c r="N228" s="558">
        <f t="shared" si="23"/>
        <v>0</v>
      </c>
      <c r="O228" s="540">
        <f t="shared" si="21"/>
        <v>0</v>
      </c>
    </row>
    <row r="229" spans="1:15" ht="15.75" x14ac:dyDescent="0.25">
      <c r="A229" s="603"/>
      <c r="B229" s="551" t="s">
        <v>835</v>
      </c>
      <c r="C229" s="604"/>
      <c r="D229" s="557"/>
      <c r="E229" s="557"/>
      <c r="F229" s="557"/>
      <c r="G229" s="557"/>
      <c r="H229" s="539">
        <f t="shared" si="19"/>
        <v>0</v>
      </c>
      <c r="I229" s="558">
        <f t="shared" si="22"/>
        <v>0</v>
      </c>
      <c r="J229" s="557"/>
      <c r="K229" s="557"/>
      <c r="L229" s="557"/>
      <c r="M229" s="539">
        <f t="shared" si="20"/>
        <v>0</v>
      </c>
      <c r="N229" s="558">
        <f t="shared" si="23"/>
        <v>0</v>
      </c>
      <c r="O229" s="540">
        <f t="shared" si="21"/>
        <v>0</v>
      </c>
    </row>
    <row r="230" spans="1:15" ht="15.75" x14ac:dyDescent="0.25">
      <c r="A230" s="609" t="s">
        <v>611</v>
      </c>
      <c r="B230" s="608" t="s">
        <v>815</v>
      </c>
      <c r="C230" s="612" t="s">
        <v>836</v>
      </c>
      <c r="D230" s="536" t="s">
        <v>218</v>
      </c>
      <c r="E230" s="563">
        <v>2</v>
      </c>
      <c r="F230" s="563"/>
      <c r="G230" s="613">
        <v>500000</v>
      </c>
      <c r="H230" s="539">
        <f t="shared" si="19"/>
        <v>500000</v>
      </c>
      <c r="I230" s="558">
        <f t="shared" si="22"/>
        <v>1000000</v>
      </c>
      <c r="J230" s="563">
        <v>2</v>
      </c>
      <c r="K230" s="563"/>
      <c r="L230" s="613">
        <v>500000</v>
      </c>
      <c r="M230" s="539">
        <f t="shared" si="20"/>
        <v>500000</v>
      </c>
      <c r="N230" s="558">
        <f t="shared" si="23"/>
        <v>1000000</v>
      </c>
      <c r="O230" s="540">
        <f t="shared" si="21"/>
        <v>0</v>
      </c>
    </row>
    <row r="231" spans="1:15" ht="15.75" x14ac:dyDescent="0.25">
      <c r="A231" s="609" t="s">
        <v>699</v>
      </c>
      <c r="B231" s="608" t="s">
        <v>817</v>
      </c>
      <c r="C231" s="612" t="s">
        <v>837</v>
      </c>
      <c r="D231" s="536" t="s">
        <v>218</v>
      </c>
      <c r="E231" s="563">
        <v>2</v>
      </c>
      <c r="F231" s="563"/>
      <c r="G231" s="613">
        <v>100000</v>
      </c>
      <c r="H231" s="539">
        <f t="shared" si="19"/>
        <v>100000</v>
      </c>
      <c r="I231" s="558">
        <f t="shared" si="22"/>
        <v>200000</v>
      </c>
      <c r="J231" s="563">
        <v>2</v>
      </c>
      <c r="K231" s="563"/>
      <c r="L231" s="613">
        <v>100000</v>
      </c>
      <c r="M231" s="539">
        <f t="shared" si="20"/>
        <v>100000</v>
      </c>
      <c r="N231" s="558">
        <f t="shared" si="23"/>
        <v>200000</v>
      </c>
      <c r="O231" s="540">
        <f t="shared" si="21"/>
        <v>0</v>
      </c>
    </row>
    <row r="232" spans="1:15" ht="15.75" x14ac:dyDescent="0.25">
      <c r="A232" s="609">
        <v>3</v>
      </c>
      <c r="B232" s="608" t="s">
        <v>819</v>
      </c>
      <c r="C232" s="614" t="s">
        <v>834</v>
      </c>
      <c r="D232" s="536" t="s">
        <v>218</v>
      </c>
      <c r="E232" s="563">
        <v>4</v>
      </c>
      <c r="F232" s="563"/>
      <c r="G232" s="613">
        <v>100000</v>
      </c>
      <c r="H232" s="539">
        <f t="shared" si="19"/>
        <v>100000</v>
      </c>
      <c r="I232" s="558">
        <f t="shared" si="22"/>
        <v>400000</v>
      </c>
      <c r="J232" s="563">
        <v>4</v>
      </c>
      <c r="K232" s="563"/>
      <c r="L232" s="613">
        <v>100000</v>
      </c>
      <c r="M232" s="539">
        <f t="shared" si="20"/>
        <v>100000</v>
      </c>
      <c r="N232" s="558">
        <f t="shared" si="23"/>
        <v>400000</v>
      </c>
      <c r="O232" s="540">
        <f t="shared" si="21"/>
        <v>0</v>
      </c>
    </row>
    <row r="233" spans="1:15" ht="15.75" x14ac:dyDescent="0.25">
      <c r="A233" s="609">
        <v>4</v>
      </c>
      <c r="B233" s="608" t="s">
        <v>821</v>
      </c>
      <c r="C233" s="612" t="s">
        <v>822</v>
      </c>
      <c r="D233" s="536" t="s">
        <v>218</v>
      </c>
      <c r="E233" s="563">
        <v>2</v>
      </c>
      <c r="F233" s="563"/>
      <c r="G233" s="613">
        <v>100000</v>
      </c>
      <c r="H233" s="539">
        <f t="shared" si="19"/>
        <v>100000</v>
      </c>
      <c r="I233" s="558">
        <f t="shared" si="22"/>
        <v>200000</v>
      </c>
      <c r="J233" s="563">
        <v>2</v>
      </c>
      <c r="K233" s="563"/>
      <c r="L233" s="613">
        <v>100000</v>
      </c>
      <c r="M233" s="539">
        <f t="shared" si="20"/>
        <v>100000</v>
      </c>
      <c r="N233" s="558">
        <f t="shared" si="23"/>
        <v>200000</v>
      </c>
      <c r="O233" s="540">
        <f t="shared" si="21"/>
        <v>0</v>
      </c>
    </row>
    <row r="234" spans="1:15" ht="15.75" x14ac:dyDescent="0.25">
      <c r="A234" s="609">
        <v>5</v>
      </c>
      <c r="B234" s="608" t="s">
        <v>823</v>
      </c>
      <c r="C234" s="619" t="s">
        <v>838</v>
      </c>
      <c r="D234" s="536" t="s">
        <v>218</v>
      </c>
      <c r="E234" s="563">
        <v>2</v>
      </c>
      <c r="F234" s="563"/>
      <c r="G234" s="613">
        <v>150000</v>
      </c>
      <c r="H234" s="539">
        <f t="shared" si="19"/>
        <v>150000</v>
      </c>
      <c r="I234" s="558">
        <f t="shared" si="22"/>
        <v>300000</v>
      </c>
      <c r="J234" s="563">
        <v>2</v>
      </c>
      <c r="K234" s="563"/>
      <c r="L234" s="613">
        <v>150000</v>
      </c>
      <c r="M234" s="539">
        <f t="shared" si="20"/>
        <v>150000</v>
      </c>
      <c r="N234" s="558">
        <f t="shared" si="23"/>
        <v>300000</v>
      </c>
      <c r="O234" s="540">
        <f t="shared" si="21"/>
        <v>0</v>
      </c>
    </row>
    <row r="235" spans="1:15" ht="15.75" x14ac:dyDescent="0.25">
      <c r="A235" s="609">
        <v>6</v>
      </c>
      <c r="B235" s="608" t="s">
        <v>825</v>
      </c>
      <c r="C235" s="620" t="s">
        <v>826</v>
      </c>
      <c r="D235" s="536" t="s">
        <v>218</v>
      </c>
      <c r="E235" s="563">
        <v>2</v>
      </c>
      <c r="F235" s="563"/>
      <c r="G235" s="613">
        <v>150000</v>
      </c>
      <c r="H235" s="539">
        <f t="shared" si="19"/>
        <v>150000</v>
      </c>
      <c r="I235" s="558">
        <f t="shared" si="22"/>
        <v>300000</v>
      </c>
      <c r="J235" s="563">
        <v>2</v>
      </c>
      <c r="K235" s="563"/>
      <c r="L235" s="613">
        <v>150000</v>
      </c>
      <c r="M235" s="539">
        <f t="shared" si="20"/>
        <v>150000</v>
      </c>
      <c r="N235" s="558">
        <f t="shared" si="23"/>
        <v>300000</v>
      </c>
      <c r="O235" s="540">
        <f t="shared" si="21"/>
        <v>0</v>
      </c>
    </row>
    <row r="236" spans="1:15" ht="15.75" x14ac:dyDescent="0.25">
      <c r="A236" s="609">
        <v>7</v>
      </c>
      <c r="B236" s="608" t="s">
        <v>827</v>
      </c>
      <c r="C236" s="619" t="s">
        <v>839</v>
      </c>
      <c r="D236" s="536" t="s">
        <v>218</v>
      </c>
      <c r="E236" s="563">
        <v>2</v>
      </c>
      <c r="F236" s="563"/>
      <c r="G236" s="610">
        <v>100000</v>
      </c>
      <c r="H236" s="539">
        <f t="shared" si="19"/>
        <v>100000</v>
      </c>
      <c r="I236" s="558">
        <f t="shared" si="22"/>
        <v>200000</v>
      </c>
      <c r="J236" s="563">
        <v>2</v>
      </c>
      <c r="K236" s="563"/>
      <c r="L236" s="610">
        <v>100000</v>
      </c>
      <c r="M236" s="539">
        <f t="shared" si="20"/>
        <v>100000</v>
      </c>
      <c r="N236" s="558">
        <f t="shared" si="23"/>
        <v>200000</v>
      </c>
      <c r="O236" s="540">
        <f t="shared" si="21"/>
        <v>0</v>
      </c>
    </row>
    <row r="237" spans="1:15" ht="15.75" x14ac:dyDescent="0.25">
      <c r="A237" s="609">
        <v>8</v>
      </c>
      <c r="B237" s="608" t="s">
        <v>840</v>
      </c>
      <c r="C237" s="619" t="s">
        <v>841</v>
      </c>
      <c r="D237" s="536" t="s">
        <v>218</v>
      </c>
      <c r="E237" s="563">
        <v>2</v>
      </c>
      <c r="F237" s="563"/>
      <c r="G237" s="610">
        <v>150000</v>
      </c>
      <c r="H237" s="539">
        <f t="shared" si="19"/>
        <v>150000</v>
      </c>
      <c r="I237" s="558">
        <f t="shared" si="22"/>
        <v>300000</v>
      </c>
      <c r="J237" s="563">
        <v>2</v>
      </c>
      <c r="K237" s="563"/>
      <c r="L237" s="610">
        <v>150000</v>
      </c>
      <c r="M237" s="539">
        <f t="shared" si="20"/>
        <v>150000</v>
      </c>
      <c r="N237" s="558">
        <f t="shared" si="23"/>
        <v>300000</v>
      </c>
      <c r="O237" s="540">
        <f t="shared" si="21"/>
        <v>0</v>
      </c>
    </row>
    <row r="238" spans="1:15" ht="15.75" x14ac:dyDescent="0.25">
      <c r="A238" s="609">
        <v>9</v>
      </c>
      <c r="B238" s="608" t="s">
        <v>828</v>
      </c>
      <c r="C238" s="620" t="s">
        <v>842</v>
      </c>
      <c r="D238" s="536" t="s">
        <v>218</v>
      </c>
      <c r="E238" s="563">
        <v>2</v>
      </c>
      <c r="F238" s="563"/>
      <c r="G238" s="610">
        <v>150000</v>
      </c>
      <c r="H238" s="539">
        <f t="shared" si="19"/>
        <v>150000</v>
      </c>
      <c r="I238" s="558">
        <f t="shared" si="22"/>
        <v>300000</v>
      </c>
      <c r="J238" s="563">
        <v>2</v>
      </c>
      <c r="K238" s="563"/>
      <c r="L238" s="610">
        <v>150000</v>
      </c>
      <c r="M238" s="539">
        <f t="shared" si="20"/>
        <v>150000</v>
      </c>
      <c r="N238" s="558">
        <f t="shared" si="23"/>
        <v>300000</v>
      </c>
      <c r="O238" s="540">
        <f t="shared" si="21"/>
        <v>0</v>
      </c>
    </row>
    <row r="239" spans="1:15" ht="15.75" x14ac:dyDescent="0.25">
      <c r="A239" s="609">
        <v>10</v>
      </c>
      <c r="B239" s="608" t="s">
        <v>843</v>
      </c>
      <c r="C239" s="620" t="s">
        <v>844</v>
      </c>
      <c r="D239" s="536" t="s">
        <v>218</v>
      </c>
      <c r="E239" s="563">
        <v>2</v>
      </c>
      <c r="F239" s="563"/>
      <c r="G239" s="610">
        <v>100000</v>
      </c>
      <c r="H239" s="539">
        <f t="shared" si="19"/>
        <v>100000</v>
      </c>
      <c r="I239" s="558">
        <f t="shared" si="22"/>
        <v>200000</v>
      </c>
      <c r="J239" s="563">
        <v>2</v>
      </c>
      <c r="K239" s="563"/>
      <c r="L239" s="610">
        <v>100000</v>
      </c>
      <c r="M239" s="539">
        <f t="shared" si="20"/>
        <v>100000</v>
      </c>
      <c r="N239" s="558">
        <f t="shared" si="23"/>
        <v>200000</v>
      </c>
      <c r="O239" s="540">
        <f t="shared" si="21"/>
        <v>0</v>
      </c>
    </row>
    <row r="240" spans="1:15" ht="15.75" x14ac:dyDescent="0.25">
      <c r="A240" s="567">
        <v>11</v>
      </c>
      <c r="B240" s="615" t="s">
        <v>830</v>
      </c>
      <c r="C240" s="615" t="s">
        <v>831</v>
      </c>
      <c r="D240" s="548" t="s">
        <v>832</v>
      </c>
      <c r="E240" s="547">
        <v>2</v>
      </c>
      <c r="F240" s="547"/>
      <c r="G240" s="616">
        <v>4000000</v>
      </c>
      <c r="H240" s="565">
        <f t="shared" si="19"/>
        <v>4000000</v>
      </c>
      <c r="I240" s="566">
        <f t="shared" si="22"/>
        <v>8000000</v>
      </c>
      <c r="J240" s="547">
        <v>2</v>
      </c>
      <c r="K240" s="572"/>
      <c r="L240" s="617">
        <v>4000000</v>
      </c>
      <c r="M240" s="539">
        <f t="shared" si="20"/>
        <v>4000000</v>
      </c>
      <c r="N240" s="558">
        <f t="shared" si="23"/>
        <v>8000000</v>
      </c>
      <c r="O240" s="540">
        <f t="shared" si="21"/>
        <v>0</v>
      </c>
    </row>
    <row r="241" spans="1:15" ht="15.75" x14ac:dyDescent="0.25">
      <c r="A241" s="567"/>
      <c r="B241" s="551" t="s">
        <v>845</v>
      </c>
      <c r="C241" s="554"/>
      <c r="D241" s="557"/>
      <c r="E241" s="557"/>
      <c r="F241" s="557"/>
      <c r="G241" s="621"/>
      <c r="H241" s="539">
        <f t="shared" si="19"/>
        <v>0</v>
      </c>
      <c r="I241" s="558">
        <f t="shared" si="22"/>
        <v>0</v>
      </c>
      <c r="J241" s="557"/>
      <c r="K241" s="557"/>
      <c r="L241" s="621"/>
      <c r="M241" s="539">
        <f t="shared" si="20"/>
        <v>0</v>
      </c>
      <c r="N241" s="558">
        <f t="shared" si="23"/>
        <v>0</v>
      </c>
      <c r="O241" s="540">
        <f t="shared" si="21"/>
        <v>0</v>
      </c>
    </row>
    <row r="242" spans="1:15" ht="15.75" x14ac:dyDescent="0.25">
      <c r="A242" s="609" t="s">
        <v>611</v>
      </c>
      <c r="B242" s="622" t="s">
        <v>846</v>
      </c>
      <c r="C242" s="623" t="s">
        <v>816</v>
      </c>
      <c r="D242" s="536" t="s">
        <v>218</v>
      </c>
      <c r="E242" s="563">
        <v>1</v>
      </c>
      <c r="F242" s="563"/>
      <c r="G242" s="613">
        <v>500000</v>
      </c>
      <c r="H242" s="539">
        <f t="shared" si="19"/>
        <v>500000</v>
      </c>
      <c r="I242" s="558">
        <f t="shared" si="22"/>
        <v>500000</v>
      </c>
      <c r="J242" s="563">
        <v>1</v>
      </c>
      <c r="K242" s="563"/>
      <c r="L242" s="613">
        <v>500000</v>
      </c>
      <c r="M242" s="539">
        <f t="shared" si="20"/>
        <v>500000</v>
      </c>
      <c r="N242" s="558">
        <f t="shared" si="23"/>
        <v>500000</v>
      </c>
      <c r="O242" s="540">
        <f t="shared" si="21"/>
        <v>0</v>
      </c>
    </row>
    <row r="243" spans="1:15" ht="15.75" x14ac:dyDescent="0.25">
      <c r="A243" s="609" t="s">
        <v>699</v>
      </c>
      <c r="B243" s="608" t="s">
        <v>817</v>
      </c>
      <c r="C243" s="612" t="s">
        <v>818</v>
      </c>
      <c r="D243" s="536" t="s">
        <v>218</v>
      </c>
      <c r="E243" s="563">
        <v>1</v>
      </c>
      <c r="F243" s="563"/>
      <c r="G243" s="613">
        <v>100000</v>
      </c>
      <c r="H243" s="539">
        <f t="shared" si="19"/>
        <v>100000</v>
      </c>
      <c r="I243" s="558">
        <f t="shared" si="22"/>
        <v>100000</v>
      </c>
      <c r="J243" s="563">
        <v>1</v>
      </c>
      <c r="K243" s="563"/>
      <c r="L243" s="613">
        <v>100000</v>
      </c>
      <c r="M243" s="539">
        <f t="shared" si="20"/>
        <v>100000</v>
      </c>
      <c r="N243" s="558">
        <f t="shared" si="23"/>
        <v>100000</v>
      </c>
      <c r="O243" s="540">
        <f t="shared" si="21"/>
        <v>0</v>
      </c>
    </row>
    <row r="244" spans="1:15" ht="15.75" x14ac:dyDescent="0.25">
      <c r="A244" s="609">
        <v>3</v>
      </c>
      <c r="B244" s="608" t="s">
        <v>819</v>
      </c>
      <c r="C244" s="614" t="s">
        <v>834</v>
      </c>
      <c r="D244" s="536" t="s">
        <v>218</v>
      </c>
      <c r="E244" s="563">
        <v>2</v>
      </c>
      <c r="F244" s="563"/>
      <c r="G244" s="613">
        <v>100000</v>
      </c>
      <c r="H244" s="539">
        <f t="shared" si="19"/>
        <v>100000</v>
      </c>
      <c r="I244" s="558">
        <f t="shared" si="22"/>
        <v>200000</v>
      </c>
      <c r="J244" s="563">
        <v>2</v>
      </c>
      <c r="K244" s="563"/>
      <c r="L244" s="613">
        <v>100000</v>
      </c>
      <c r="M244" s="539">
        <f t="shared" si="20"/>
        <v>100000</v>
      </c>
      <c r="N244" s="558">
        <f t="shared" si="23"/>
        <v>200000</v>
      </c>
      <c r="O244" s="540">
        <f t="shared" si="21"/>
        <v>0</v>
      </c>
    </row>
    <row r="245" spans="1:15" ht="15.75" x14ac:dyDescent="0.25">
      <c r="A245" s="609">
        <v>4</v>
      </c>
      <c r="B245" s="608" t="s">
        <v>821</v>
      </c>
      <c r="C245" s="612" t="s">
        <v>822</v>
      </c>
      <c r="D245" s="536" t="s">
        <v>218</v>
      </c>
      <c r="E245" s="563">
        <v>1</v>
      </c>
      <c r="F245" s="563"/>
      <c r="G245" s="613">
        <v>100000</v>
      </c>
      <c r="H245" s="539">
        <f t="shared" si="19"/>
        <v>100000</v>
      </c>
      <c r="I245" s="558">
        <f t="shared" si="22"/>
        <v>100000</v>
      </c>
      <c r="J245" s="563">
        <v>1</v>
      </c>
      <c r="K245" s="563"/>
      <c r="L245" s="613">
        <v>100000</v>
      </c>
      <c r="M245" s="539">
        <f t="shared" si="20"/>
        <v>100000</v>
      </c>
      <c r="N245" s="558">
        <f t="shared" si="23"/>
        <v>100000</v>
      </c>
      <c r="O245" s="540">
        <f t="shared" si="21"/>
        <v>0</v>
      </c>
    </row>
    <row r="246" spans="1:15" ht="15.75" x14ac:dyDescent="0.25">
      <c r="A246" s="609">
        <v>5</v>
      </c>
      <c r="B246" s="608" t="s">
        <v>823</v>
      </c>
      <c r="C246" s="624" t="s">
        <v>838</v>
      </c>
      <c r="D246" s="536" t="s">
        <v>218</v>
      </c>
      <c r="E246" s="563">
        <v>1</v>
      </c>
      <c r="F246" s="563"/>
      <c r="G246" s="613">
        <v>150000</v>
      </c>
      <c r="H246" s="539">
        <f t="shared" si="19"/>
        <v>150000</v>
      </c>
      <c r="I246" s="558">
        <f t="shared" si="22"/>
        <v>150000</v>
      </c>
      <c r="J246" s="563">
        <v>1</v>
      </c>
      <c r="K246" s="563"/>
      <c r="L246" s="613">
        <v>150000</v>
      </c>
      <c r="M246" s="539">
        <f t="shared" si="20"/>
        <v>150000</v>
      </c>
      <c r="N246" s="558">
        <f t="shared" si="23"/>
        <v>150000</v>
      </c>
      <c r="O246" s="540">
        <f t="shared" si="21"/>
        <v>0</v>
      </c>
    </row>
    <row r="247" spans="1:15" ht="15.75" x14ac:dyDescent="0.25">
      <c r="A247" s="609">
        <v>6</v>
      </c>
      <c r="B247" s="608" t="s">
        <v>825</v>
      </c>
      <c r="C247" s="625" t="s">
        <v>826</v>
      </c>
      <c r="D247" s="536" t="s">
        <v>218</v>
      </c>
      <c r="E247" s="563">
        <v>1</v>
      </c>
      <c r="F247" s="563"/>
      <c r="G247" s="613">
        <v>150000</v>
      </c>
      <c r="H247" s="539">
        <f t="shared" si="19"/>
        <v>150000</v>
      </c>
      <c r="I247" s="558">
        <f t="shared" si="22"/>
        <v>150000</v>
      </c>
      <c r="J247" s="563">
        <v>1</v>
      </c>
      <c r="K247" s="563"/>
      <c r="L247" s="613">
        <v>150000</v>
      </c>
      <c r="M247" s="539">
        <f t="shared" si="20"/>
        <v>150000</v>
      </c>
      <c r="N247" s="558">
        <f t="shared" si="23"/>
        <v>150000</v>
      </c>
      <c r="O247" s="540">
        <f t="shared" si="21"/>
        <v>0</v>
      </c>
    </row>
    <row r="248" spans="1:15" ht="15.75" x14ac:dyDescent="0.25">
      <c r="A248" s="609">
        <v>7</v>
      </c>
      <c r="B248" s="608" t="s">
        <v>827</v>
      </c>
      <c r="C248" s="624" t="s">
        <v>839</v>
      </c>
      <c r="D248" s="536" t="s">
        <v>218</v>
      </c>
      <c r="E248" s="563">
        <v>1</v>
      </c>
      <c r="F248" s="563"/>
      <c r="G248" s="610">
        <v>100000</v>
      </c>
      <c r="H248" s="539">
        <f t="shared" si="19"/>
        <v>100000</v>
      </c>
      <c r="I248" s="558">
        <f t="shared" si="22"/>
        <v>100000</v>
      </c>
      <c r="J248" s="563">
        <v>1</v>
      </c>
      <c r="K248" s="563"/>
      <c r="L248" s="610">
        <v>100000</v>
      </c>
      <c r="M248" s="539">
        <f t="shared" si="20"/>
        <v>100000</v>
      </c>
      <c r="N248" s="558">
        <f t="shared" si="23"/>
        <v>100000</v>
      </c>
      <c r="O248" s="540">
        <f t="shared" si="21"/>
        <v>0</v>
      </c>
    </row>
    <row r="249" spans="1:15" ht="15.75" x14ac:dyDescent="0.25">
      <c r="A249" s="609">
        <v>8</v>
      </c>
      <c r="B249" s="608" t="s">
        <v>840</v>
      </c>
      <c r="C249" s="624" t="s">
        <v>841</v>
      </c>
      <c r="D249" s="536" t="s">
        <v>218</v>
      </c>
      <c r="E249" s="563">
        <v>1</v>
      </c>
      <c r="F249" s="563"/>
      <c r="G249" s="610">
        <v>150000</v>
      </c>
      <c r="H249" s="539">
        <f t="shared" si="19"/>
        <v>150000</v>
      </c>
      <c r="I249" s="558">
        <f t="shared" si="22"/>
        <v>150000</v>
      </c>
      <c r="J249" s="563">
        <v>1</v>
      </c>
      <c r="K249" s="563"/>
      <c r="L249" s="610">
        <v>150000</v>
      </c>
      <c r="M249" s="539">
        <f t="shared" si="20"/>
        <v>150000</v>
      </c>
      <c r="N249" s="558">
        <f t="shared" si="23"/>
        <v>150000</v>
      </c>
      <c r="O249" s="540">
        <f t="shared" si="21"/>
        <v>0</v>
      </c>
    </row>
    <row r="250" spans="1:15" ht="15.75" x14ac:dyDescent="0.25">
      <c r="A250" s="609">
        <v>9</v>
      </c>
      <c r="B250" s="608" t="s">
        <v>828</v>
      </c>
      <c r="C250" s="608" t="s">
        <v>842</v>
      </c>
      <c r="D250" s="536" t="s">
        <v>218</v>
      </c>
      <c r="E250" s="563">
        <v>1</v>
      </c>
      <c r="F250" s="563"/>
      <c r="G250" s="610">
        <v>150000</v>
      </c>
      <c r="H250" s="539">
        <f t="shared" si="19"/>
        <v>150000</v>
      </c>
      <c r="I250" s="558">
        <f t="shared" si="22"/>
        <v>150000</v>
      </c>
      <c r="J250" s="563">
        <v>1</v>
      </c>
      <c r="K250" s="563"/>
      <c r="L250" s="610">
        <v>150000</v>
      </c>
      <c r="M250" s="539">
        <f t="shared" si="20"/>
        <v>150000</v>
      </c>
      <c r="N250" s="558">
        <f t="shared" si="23"/>
        <v>150000</v>
      </c>
      <c r="O250" s="540">
        <f t="shared" si="21"/>
        <v>0</v>
      </c>
    </row>
    <row r="251" spans="1:15" ht="15.75" x14ac:dyDescent="0.25">
      <c r="A251" s="609">
        <v>10</v>
      </c>
      <c r="B251" s="608" t="s">
        <v>843</v>
      </c>
      <c r="C251" s="620" t="s">
        <v>844</v>
      </c>
      <c r="D251" s="536" t="s">
        <v>218</v>
      </c>
      <c r="E251" s="563">
        <v>1</v>
      </c>
      <c r="F251" s="563"/>
      <c r="G251" s="610">
        <v>100000</v>
      </c>
      <c r="H251" s="539">
        <f t="shared" si="19"/>
        <v>100000</v>
      </c>
      <c r="I251" s="558">
        <f t="shared" si="22"/>
        <v>100000</v>
      </c>
      <c r="J251" s="563">
        <v>1</v>
      </c>
      <c r="K251" s="563"/>
      <c r="L251" s="610">
        <v>100000</v>
      </c>
      <c r="M251" s="539">
        <f t="shared" si="20"/>
        <v>100000</v>
      </c>
      <c r="N251" s="558">
        <f t="shared" si="23"/>
        <v>100000</v>
      </c>
      <c r="O251" s="540">
        <f t="shared" si="21"/>
        <v>0</v>
      </c>
    </row>
    <row r="252" spans="1:15" ht="15.75" x14ac:dyDescent="0.25">
      <c r="A252" s="567">
        <v>11</v>
      </c>
      <c r="B252" s="615" t="s">
        <v>830</v>
      </c>
      <c r="C252" s="615" t="s">
        <v>847</v>
      </c>
      <c r="D252" s="548" t="s">
        <v>832</v>
      </c>
      <c r="E252" s="547">
        <v>1</v>
      </c>
      <c r="F252" s="547"/>
      <c r="G252" s="616">
        <v>9000000</v>
      </c>
      <c r="H252" s="565">
        <f t="shared" si="19"/>
        <v>9000000</v>
      </c>
      <c r="I252" s="566">
        <f t="shared" si="22"/>
        <v>9000000</v>
      </c>
      <c r="J252" s="547">
        <v>1</v>
      </c>
      <c r="K252" s="572"/>
      <c r="L252" s="617">
        <v>9000000</v>
      </c>
      <c r="M252" s="539">
        <f t="shared" si="20"/>
        <v>9000000</v>
      </c>
      <c r="N252" s="558">
        <f t="shared" si="23"/>
        <v>9000000</v>
      </c>
      <c r="O252" s="540">
        <f t="shared" si="21"/>
        <v>0</v>
      </c>
    </row>
    <row r="253" spans="1:15" ht="15.75" x14ac:dyDescent="0.25">
      <c r="A253" s="567"/>
      <c r="B253" s="551" t="s">
        <v>848</v>
      </c>
      <c r="C253" s="554"/>
      <c r="D253" s="557"/>
      <c r="E253" s="557"/>
      <c r="F253" s="557"/>
      <c r="G253" s="557"/>
      <c r="H253" s="539">
        <f t="shared" si="19"/>
        <v>0</v>
      </c>
      <c r="I253" s="558">
        <f t="shared" si="22"/>
        <v>0</v>
      </c>
      <c r="J253" s="557"/>
      <c r="K253" s="557"/>
      <c r="L253" s="557"/>
      <c r="M253" s="539">
        <f t="shared" si="20"/>
        <v>0</v>
      </c>
      <c r="N253" s="558">
        <f t="shared" si="23"/>
        <v>0</v>
      </c>
      <c r="O253" s="540">
        <f t="shared" si="21"/>
        <v>0</v>
      </c>
    </row>
    <row r="254" spans="1:15" ht="15.75" x14ac:dyDescent="0.25">
      <c r="A254" s="609" t="s">
        <v>611</v>
      </c>
      <c r="B254" s="608" t="s">
        <v>815</v>
      </c>
      <c r="C254" s="622" t="s">
        <v>849</v>
      </c>
      <c r="D254" s="536" t="s">
        <v>218</v>
      </c>
      <c r="E254" s="563">
        <v>1</v>
      </c>
      <c r="F254" s="563"/>
      <c r="G254" s="557">
        <v>200000</v>
      </c>
      <c r="H254" s="539">
        <f t="shared" si="19"/>
        <v>200000</v>
      </c>
      <c r="I254" s="558">
        <f t="shared" si="22"/>
        <v>200000</v>
      </c>
      <c r="J254" s="563">
        <v>1</v>
      </c>
      <c r="K254" s="563"/>
      <c r="L254" s="557">
        <v>200000</v>
      </c>
      <c r="M254" s="539">
        <f t="shared" si="20"/>
        <v>200000</v>
      </c>
      <c r="N254" s="558">
        <f t="shared" si="23"/>
        <v>200000</v>
      </c>
      <c r="O254" s="540">
        <f t="shared" si="21"/>
        <v>0</v>
      </c>
    </row>
    <row r="255" spans="1:15" ht="15.75" x14ac:dyDescent="0.25">
      <c r="A255" s="609" t="s">
        <v>699</v>
      </c>
      <c r="B255" s="608" t="s">
        <v>850</v>
      </c>
      <c r="C255" s="608" t="s">
        <v>851</v>
      </c>
      <c r="D255" s="536" t="s">
        <v>218</v>
      </c>
      <c r="E255" s="563">
        <v>1</v>
      </c>
      <c r="F255" s="563"/>
      <c r="G255" s="610">
        <v>50000</v>
      </c>
      <c r="H255" s="539">
        <f t="shared" si="19"/>
        <v>50000</v>
      </c>
      <c r="I255" s="558">
        <f t="shared" si="22"/>
        <v>50000</v>
      </c>
      <c r="J255" s="563">
        <v>1</v>
      </c>
      <c r="K255" s="563"/>
      <c r="L255" s="610">
        <v>50000</v>
      </c>
      <c r="M255" s="539">
        <f t="shared" si="20"/>
        <v>50000</v>
      </c>
      <c r="N255" s="558">
        <f t="shared" si="23"/>
        <v>50000</v>
      </c>
      <c r="O255" s="540">
        <f t="shared" si="21"/>
        <v>0</v>
      </c>
    </row>
    <row r="256" spans="1:15" ht="15.75" x14ac:dyDescent="0.25">
      <c r="A256" s="609">
        <v>3</v>
      </c>
      <c r="B256" s="608" t="s">
        <v>852</v>
      </c>
      <c r="C256" s="620" t="s">
        <v>853</v>
      </c>
      <c r="D256" s="536" t="s">
        <v>218</v>
      </c>
      <c r="E256" s="563">
        <v>1</v>
      </c>
      <c r="F256" s="563"/>
      <c r="G256" s="610">
        <v>50000</v>
      </c>
      <c r="H256" s="539">
        <f t="shared" si="19"/>
        <v>50000</v>
      </c>
      <c r="I256" s="558">
        <f t="shared" si="22"/>
        <v>50000</v>
      </c>
      <c r="J256" s="563">
        <v>1</v>
      </c>
      <c r="K256" s="563"/>
      <c r="L256" s="610">
        <v>50000</v>
      </c>
      <c r="M256" s="539">
        <f t="shared" si="20"/>
        <v>50000</v>
      </c>
      <c r="N256" s="558">
        <f t="shared" si="23"/>
        <v>50000</v>
      </c>
      <c r="O256" s="540">
        <f t="shared" si="21"/>
        <v>0</v>
      </c>
    </row>
    <row r="257" spans="1:15" ht="15.75" x14ac:dyDescent="0.25">
      <c r="A257" s="609">
        <v>4</v>
      </c>
      <c r="B257" s="608" t="s">
        <v>854</v>
      </c>
      <c r="C257" s="608" t="s">
        <v>855</v>
      </c>
      <c r="D257" s="536" t="s">
        <v>218</v>
      </c>
      <c r="E257" s="563">
        <v>1</v>
      </c>
      <c r="F257" s="563"/>
      <c r="G257" s="610">
        <v>50000</v>
      </c>
      <c r="H257" s="539">
        <f t="shared" si="19"/>
        <v>50000</v>
      </c>
      <c r="I257" s="558">
        <f t="shared" si="22"/>
        <v>50000</v>
      </c>
      <c r="J257" s="563">
        <v>1</v>
      </c>
      <c r="K257" s="563"/>
      <c r="L257" s="610">
        <v>50000</v>
      </c>
      <c r="M257" s="539">
        <f t="shared" si="20"/>
        <v>50000</v>
      </c>
      <c r="N257" s="558">
        <f t="shared" si="23"/>
        <v>50000</v>
      </c>
      <c r="O257" s="540">
        <f t="shared" si="21"/>
        <v>0</v>
      </c>
    </row>
    <row r="258" spans="1:15" ht="15.75" x14ac:dyDescent="0.25">
      <c r="A258" s="603"/>
      <c r="B258" s="551" t="s">
        <v>856</v>
      </c>
      <c r="C258" s="604"/>
      <c r="D258" s="536"/>
      <c r="E258" s="563"/>
      <c r="F258" s="563"/>
      <c r="G258" s="557"/>
      <c r="H258" s="539">
        <f t="shared" si="19"/>
        <v>0</v>
      </c>
      <c r="I258" s="558">
        <f t="shared" si="22"/>
        <v>0</v>
      </c>
      <c r="J258" s="563"/>
      <c r="K258" s="563"/>
      <c r="L258" s="557"/>
      <c r="M258" s="539">
        <f t="shared" si="20"/>
        <v>0</v>
      </c>
      <c r="N258" s="558">
        <f t="shared" si="23"/>
        <v>0</v>
      </c>
      <c r="O258" s="540">
        <f t="shared" si="21"/>
        <v>0</v>
      </c>
    </row>
    <row r="259" spans="1:15" ht="15.75" x14ac:dyDescent="0.25">
      <c r="A259" s="603"/>
      <c r="B259" s="551" t="s">
        <v>857</v>
      </c>
      <c r="C259" s="604"/>
      <c r="D259" s="557"/>
      <c r="E259" s="557"/>
      <c r="F259" s="557"/>
      <c r="G259" s="557"/>
      <c r="H259" s="539">
        <f t="shared" si="19"/>
        <v>0</v>
      </c>
      <c r="I259" s="558">
        <f t="shared" si="22"/>
        <v>0</v>
      </c>
      <c r="J259" s="557"/>
      <c r="K259" s="557"/>
      <c r="L259" s="557"/>
      <c r="M259" s="539">
        <f t="shared" si="20"/>
        <v>0</v>
      </c>
      <c r="N259" s="558">
        <f t="shared" si="23"/>
        <v>0</v>
      </c>
      <c r="O259" s="540">
        <f t="shared" si="21"/>
        <v>0</v>
      </c>
    </row>
    <row r="260" spans="1:15" ht="15.75" x14ac:dyDescent="0.25">
      <c r="A260" s="567" t="s">
        <v>611</v>
      </c>
      <c r="B260" s="551" t="s">
        <v>858</v>
      </c>
      <c r="C260" s="551" t="s">
        <v>859</v>
      </c>
      <c r="D260" s="536" t="s">
        <v>218</v>
      </c>
      <c r="E260" s="563">
        <v>36</v>
      </c>
      <c r="F260" s="563"/>
      <c r="G260" s="557">
        <v>125000</v>
      </c>
      <c r="H260" s="539">
        <f t="shared" si="19"/>
        <v>125000</v>
      </c>
      <c r="I260" s="558">
        <f t="shared" si="22"/>
        <v>4500000</v>
      </c>
      <c r="J260" s="563">
        <v>36</v>
      </c>
      <c r="K260" s="563"/>
      <c r="L260" s="557">
        <v>125000</v>
      </c>
      <c r="M260" s="539">
        <f t="shared" si="20"/>
        <v>125000</v>
      </c>
      <c r="N260" s="558">
        <f t="shared" si="23"/>
        <v>4500000</v>
      </c>
      <c r="O260" s="540">
        <f t="shared" si="21"/>
        <v>0</v>
      </c>
    </row>
    <row r="261" spans="1:15" ht="15.75" x14ac:dyDescent="0.25">
      <c r="A261" s="567" t="s">
        <v>699</v>
      </c>
      <c r="B261" s="608" t="s">
        <v>817</v>
      </c>
      <c r="C261" s="620" t="s">
        <v>860</v>
      </c>
      <c r="D261" s="536" t="s">
        <v>218</v>
      </c>
      <c r="E261" s="563">
        <v>24</v>
      </c>
      <c r="F261" s="563"/>
      <c r="G261" s="557">
        <v>150000</v>
      </c>
      <c r="H261" s="539">
        <f t="shared" si="19"/>
        <v>150000</v>
      </c>
      <c r="I261" s="558">
        <f t="shared" si="22"/>
        <v>3600000</v>
      </c>
      <c r="J261" s="563">
        <v>24</v>
      </c>
      <c r="K261" s="563"/>
      <c r="L261" s="557">
        <v>150000</v>
      </c>
      <c r="M261" s="539">
        <f t="shared" si="20"/>
        <v>150000</v>
      </c>
      <c r="N261" s="558">
        <f t="shared" si="23"/>
        <v>3600000</v>
      </c>
      <c r="O261" s="540">
        <f t="shared" si="21"/>
        <v>0</v>
      </c>
    </row>
    <row r="262" spans="1:15" ht="18.75" x14ac:dyDescent="0.25">
      <c r="A262" s="567" t="s">
        <v>628</v>
      </c>
      <c r="B262" s="622" t="s">
        <v>861</v>
      </c>
      <c r="C262" s="608" t="s">
        <v>862</v>
      </c>
      <c r="D262" s="536" t="s">
        <v>60</v>
      </c>
      <c r="E262" s="563">
        <v>60</v>
      </c>
      <c r="F262" s="563"/>
      <c r="G262" s="557">
        <v>40000</v>
      </c>
      <c r="H262" s="539">
        <f t="shared" si="19"/>
        <v>40000</v>
      </c>
      <c r="I262" s="558">
        <f t="shared" si="22"/>
        <v>2400000</v>
      </c>
      <c r="J262" s="563">
        <v>60</v>
      </c>
      <c r="K262" s="563"/>
      <c r="L262" s="557">
        <v>40000</v>
      </c>
      <c r="M262" s="539">
        <f t="shared" si="20"/>
        <v>40000</v>
      </c>
      <c r="N262" s="558">
        <f t="shared" si="23"/>
        <v>2400000</v>
      </c>
      <c r="O262" s="540">
        <f t="shared" si="21"/>
        <v>0</v>
      </c>
    </row>
    <row r="263" spans="1:15" ht="15.75" x14ac:dyDescent="0.25">
      <c r="A263" s="603"/>
      <c r="B263" s="551" t="s">
        <v>863</v>
      </c>
      <c r="C263" s="604"/>
      <c r="D263" s="557"/>
      <c r="E263" s="557"/>
      <c r="F263" s="557"/>
      <c r="G263" s="557"/>
      <c r="H263" s="539">
        <f t="shared" si="19"/>
        <v>0</v>
      </c>
      <c r="I263" s="558">
        <f t="shared" si="22"/>
        <v>0</v>
      </c>
      <c r="J263" s="557"/>
      <c r="K263" s="557"/>
      <c r="L263" s="557"/>
      <c r="M263" s="539">
        <f t="shared" si="20"/>
        <v>0</v>
      </c>
      <c r="N263" s="558">
        <f t="shared" si="23"/>
        <v>0</v>
      </c>
      <c r="O263" s="540">
        <f t="shared" si="21"/>
        <v>0</v>
      </c>
    </row>
    <row r="264" spans="1:15" ht="15.75" x14ac:dyDescent="0.25">
      <c r="A264" s="567" t="s">
        <v>611</v>
      </c>
      <c r="B264" s="608" t="s">
        <v>864</v>
      </c>
      <c r="C264" s="608" t="s">
        <v>865</v>
      </c>
      <c r="D264" s="536" t="s">
        <v>218</v>
      </c>
      <c r="E264" s="563">
        <v>24</v>
      </c>
      <c r="F264" s="563"/>
      <c r="G264" s="557">
        <v>225000</v>
      </c>
      <c r="H264" s="539">
        <f t="shared" si="19"/>
        <v>225000</v>
      </c>
      <c r="I264" s="558">
        <f t="shared" si="22"/>
        <v>5400000</v>
      </c>
      <c r="J264" s="563">
        <v>24</v>
      </c>
      <c r="K264" s="563"/>
      <c r="L264" s="557">
        <v>225000</v>
      </c>
      <c r="M264" s="539">
        <f t="shared" si="20"/>
        <v>225000</v>
      </c>
      <c r="N264" s="558">
        <f t="shared" si="23"/>
        <v>5400000</v>
      </c>
      <c r="O264" s="540">
        <f t="shared" si="21"/>
        <v>0</v>
      </c>
    </row>
    <row r="265" spans="1:15" ht="15.75" x14ac:dyDescent="0.25">
      <c r="A265" s="567" t="s">
        <v>699</v>
      </c>
      <c r="B265" s="608" t="s">
        <v>866</v>
      </c>
      <c r="C265" s="608" t="s">
        <v>865</v>
      </c>
      <c r="D265" s="536" t="s">
        <v>218</v>
      </c>
      <c r="E265" s="563">
        <v>25</v>
      </c>
      <c r="F265" s="563"/>
      <c r="G265" s="557">
        <v>65000</v>
      </c>
      <c r="H265" s="539">
        <f t="shared" si="19"/>
        <v>65000</v>
      </c>
      <c r="I265" s="558">
        <f t="shared" si="22"/>
        <v>1625000</v>
      </c>
      <c r="J265" s="563">
        <v>25</v>
      </c>
      <c r="K265" s="563"/>
      <c r="L265" s="557">
        <v>65000</v>
      </c>
      <c r="M265" s="539">
        <f t="shared" si="20"/>
        <v>65000</v>
      </c>
      <c r="N265" s="558">
        <f t="shared" si="23"/>
        <v>1625000</v>
      </c>
      <c r="O265" s="540">
        <f t="shared" si="21"/>
        <v>0</v>
      </c>
    </row>
    <row r="266" spans="1:15" ht="15.75" x14ac:dyDescent="0.25">
      <c r="A266" s="603"/>
      <c r="B266" s="551" t="s">
        <v>867</v>
      </c>
      <c r="C266" s="604"/>
      <c r="D266" s="557"/>
      <c r="E266" s="557"/>
      <c r="F266" s="557"/>
      <c r="G266" s="557"/>
      <c r="H266" s="539">
        <f t="shared" ref="H266:H329" si="24">F266+G266</f>
        <v>0</v>
      </c>
      <c r="I266" s="558">
        <f t="shared" si="22"/>
        <v>0</v>
      </c>
      <c r="J266" s="557"/>
      <c r="K266" s="557"/>
      <c r="L266" s="557"/>
      <c r="M266" s="539">
        <f t="shared" ref="M266:M329" si="25">K266+L266</f>
        <v>0</v>
      </c>
      <c r="N266" s="558">
        <f t="shared" si="23"/>
        <v>0</v>
      </c>
      <c r="O266" s="540">
        <f t="shared" ref="O266:O329" si="26">N266-I266</f>
        <v>0</v>
      </c>
    </row>
    <row r="267" spans="1:15" ht="63" x14ac:dyDescent="0.25">
      <c r="A267" s="567" t="s">
        <v>611</v>
      </c>
      <c r="B267" s="608" t="s">
        <v>868</v>
      </c>
      <c r="C267" s="626" t="s">
        <v>869</v>
      </c>
      <c r="D267" s="536" t="s">
        <v>218</v>
      </c>
      <c r="E267" s="563">
        <v>7</v>
      </c>
      <c r="F267" s="563"/>
      <c r="G267" s="557">
        <v>6500000</v>
      </c>
      <c r="H267" s="539">
        <f t="shared" si="24"/>
        <v>6500000</v>
      </c>
      <c r="I267" s="558">
        <f t="shared" si="22"/>
        <v>45500000</v>
      </c>
      <c r="J267" s="563">
        <v>7</v>
      </c>
      <c r="K267" s="563"/>
      <c r="L267" s="557">
        <v>6500000</v>
      </c>
      <c r="M267" s="539">
        <f t="shared" si="25"/>
        <v>6500000</v>
      </c>
      <c r="N267" s="558">
        <f t="shared" si="23"/>
        <v>45500000</v>
      </c>
      <c r="O267" s="540">
        <f t="shared" si="26"/>
        <v>0</v>
      </c>
    </row>
    <row r="268" spans="1:15" ht="47.25" x14ac:dyDescent="0.25">
      <c r="A268" s="567" t="s">
        <v>699</v>
      </c>
      <c r="B268" s="608" t="s">
        <v>870</v>
      </c>
      <c r="C268" s="627" t="s">
        <v>871</v>
      </c>
      <c r="D268" s="536" t="s">
        <v>218</v>
      </c>
      <c r="E268" s="563">
        <v>6</v>
      </c>
      <c r="F268" s="563"/>
      <c r="G268" s="557">
        <v>750000</v>
      </c>
      <c r="H268" s="539">
        <f t="shared" si="24"/>
        <v>750000</v>
      </c>
      <c r="I268" s="558">
        <f t="shared" si="22"/>
        <v>4500000</v>
      </c>
      <c r="J268" s="563">
        <v>6</v>
      </c>
      <c r="K268" s="563"/>
      <c r="L268" s="557">
        <v>750000</v>
      </c>
      <c r="M268" s="539">
        <f t="shared" si="25"/>
        <v>750000</v>
      </c>
      <c r="N268" s="558">
        <f t="shared" si="23"/>
        <v>4500000</v>
      </c>
      <c r="O268" s="540">
        <f t="shared" si="26"/>
        <v>0</v>
      </c>
    </row>
    <row r="269" spans="1:15" ht="31.5" x14ac:dyDescent="0.25">
      <c r="A269" s="567" t="s">
        <v>628</v>
      </c>
      <c r="B269" s="608" t="s">
        <v>872</v>
      </c>
      <c r="C269" s="626" t="s">
        <v>873</v>
      </c>
      <c r="D269" s="536" t="s">
        <v>218</v>
      </c>
      <c r="E269" s="563">
        <v>1</v>
      </c>
      <c r="F269" s="563"/>
      <c r="G269" s="557">
        <v>1500000</v>
      </c>
      <c r="H269" s="539">
        <f t="shared" si="24"/>
        <v>1500000</v>
      </c>
      <c r="I269" s="558">
        <f t="shared" ref="I269" si="27">E269*G269</f>
        <v>1500000</v>
      </c>
      <c r="J269" s="563">
        <v>1</v>
      </c>
      <c r="K269" s="563"/>
      <c r="L269" s="557">
        <v>1500000</v>
      </c>
      <c r="M269" s="539">
        <f t="shared" si="25"/>
        <v>1500000</v>
      </c>
      <c r="N269" s="558">
        <f t="shared" si="23"/>
        <v>1500000</v>
      </c>
      <c r="O269" s="540">
        <f t="shared" si="26"/>
        <v>0</v>
      </c>
    </row>
    <row r="270" spans="1:15" ht="15.75" x14ac:dyDescent="0.25">
      <c r="A270" s="603"/>
      <c r="B270" s="628"/>
      <c r="C270" s="629" t="s">
        <v>874</v>
      </c>
      <c r="D270" s="621"/>
      <c r="E270" s="621"/>
      <c r="F270" s="621"/>
      <c r="G270" s="629"/>
      <c r="H270" s="539">
        <f t="shared" si="24"/>
        <v>0</v>
      </c>
      <c r="I270" s="630">
        <f>SUM(I205:I269)</f>
        <v>99625000</v>
      </c>
      <c r="J270" s="621"/>
      <c r="K270" s="621"/>
      <c r="L270" s="629"/>
      <c r="M270" s="539">
        <f t="shared" si="25"/>
        <v>0</v>
      </c>
      <c r="N270" s="630">
        <f>SUM(N205:N269)</f>
        <v>99625000</v>
      </c>
      <c r="O270" s="540">
        <f t="shared" si="26"/>
        <v>0</v>
      </c>
    </row>
    <row r="271" spans="1:15" ht="15.75" x14ac:dyDescent="0.25">
      <c r="A271" s="603"/>
      <c r="B271" s="628"/>
      <c r="C271" s="629"/>
      <c r="D271" s="621"/>
      <c r="E271" s="621"/>
      <c r="F271" s="621"/>
      <c r="G271" s="629"/>
      <c r="H271" s="539">
        <f t="shared" si="24"/>
        <v>0</v>
      </c>
      <c r="I271" s="631"/>
      <c r="J271" s="621"/>
      <c r="K271" s="621"/>
      <c r="L271" s="629"/>
      <c r="M271" s="539">
        <f t="shared" si="25"/>
        <v>0</v>
      </c>
      <c r="N271" s="631"/>
      <c r="O271" s="540">
        <f t="shared" si="26"/>
        <v>0</v>
      </c>
    </row>
    <row r="272" spans="1:15" ht="15.75" x14ac:dyDescent="0.25">
      <c r="A272" s="550" t="s">
        <v>875</v>
      </c>
      <c r="B272" s="632" t="s">
        <v>41</v>
      </c>
      <c r="C272" s="632"/>
      <c r="D272" s="548"/>
      <c r="E272" s="548"/>
      <c r="F272" s="548"/>
      <c r="G272" s="548"/>
      <c r="H272" s="539">
        <f t="shared" si="24"/>
        <v>0</v>
      </c>
      <c r="I272" s="549"/>
      <c r="J272" s="548"/>
      <c r="K272" s="548"/>
      <c r="L272" s="548"/>
      <c r="M272" s="539">
        <f t="shared" si="25"/>
        <v>0</v>
      </c>
      <c r="N272" s="549"/>
      <c r="O272" s="540">
        <f t="shared" si="26"/>
        <v>0</v>
      </c>
    </row>
    <row r="273" spans="1:16" ht="18.75" x14ac:dyDescent="0.25">
      <c r="A273" s="544">
        <v>1</v>
      </c>
      <c r="B273" s="633" t="s">
        <v>42</v>
      </c>
      <c r="C273" s="552"/>
      <c r="D273" s="555" t="s">
        <v>614</v>
      </c>
      <c r="E273" s="547">
        <f>27*3+75</f>
        <v>156</v>
      </c>
      <c r="F273" s="547"/>
      <c r="G273" s="548">
        <v>55200</v>
      </c>
      <c r="H273" s="539">
        <f t="shared" si="24"/>
        <v>55200</v>
      </c>
      <c r="I273" s="549">
        <f t="shared" ref="I273:I281" si="28">E273*G273</f>
        <v>8611200</v>
      </c>
      <c r="J273" s="547">
        <f>27*3+75</f>
        <v>156</v>
      </c>
      <c r="K273" s="547"/>
      <c r="L273" s="548">
        <v>55200</v>
      </c>
      <c r="M273" s="539">
        <f t="shared" si="25"/>
        <v>55200</v>
      </c>
      <c r="N273" s="549">
        <f>J273*M273</f>
        <v>8611200</v>
      </c>
      <c r="O273" s="540">
        <f t="shared" si="26"/>
        <v>0</v>
      </c>
    </row>
    <row r="274" spans="1:16" ht="18.75" x14ac:dyDescent="0.25">
      <c r="A274" s="544">
        <v>2</v>
      </c>
      <c r="B274" s="633" t="s">
        <v>55</v>
      </c>
      <c r="C274" s="552"/>
      <c r="D274" s="555" t="s">
        <v>876</v>
      </c>
      <c r="E274" s="547">
        <f>0.15*0.3*3.5*5+1.1</f>
        <v>1.8875000000000002</v>
      </c>
      <c r="F274" s="547"/>
      <c r="G274" s="548">
        <v>552000</v>
      </c>
      <c r="H274" s="539">
        <f t="shared" si="24"/>
        <v>552000</v>
      </c>
      <c r="I274" s="549">
        <f t="shared" si="28"/>
        <v>1041900.0000000001</v>
      </c>
      <c r="J274" s="547">
        <f>0.15*0.3*3.5*5+1.1</f>
        <v>1.8875000000000002</v>
      </c>
      <c r="K274" s="547"/>
      <c r="L274" s="548">
        <v>552000</v>
      </c>
      <c r="M274" s="539">
        <f t="shared" si="25"/>
        <v>552000</v>
      </c>
      <c r="N274" s="549">
        <f t="shared" ref="N274:N280" si="29">J274*M274</f>
        <v>1041900.0000000001</v>
      </c>
      <c r="O274" s="540">
        <f t="shared" si="26"/>
        <v>0</v>
      </c>
    </row>
    <row r="275" spans="1:16" ht="18.75" x14ac:dyDescent="0.25">
      <c r="A275" s="544">
        <v>3</v>
      </c>
      <c r="B275" s="633" t="s">
        <v>877</v>
      </c>
      <c r="C275" s="552"/>
      <c r="D275" s="555" t="s">
        <v>614</v>
      </c>
      <c r="E275" s="547">
        <f>(10*10)+(4.5*3)+113.5</f>
        <v>227</v>
      </c>
      <c r="F275" s="547"/>
      <c r="G275" s="548">
        <v>35000</v>
      </c>
      <c r="H275" s="539">
        <f t="shared" si="24"/>
        <v>35000</v>
      </c>
      <c r="I275" s="549">
        <f t="shared" si="28"/>
        <v>7945000</v>
      </c>
      <c r="J275" s="547">
        <f>(10*10)+(4.5*3)+113.5</f>
        <v>227</v>
      </c>
      <c r="K275" s="547"/>
      <c r="L275" s="548">
        <v>35000</v>
      </c>
      <c r="M275" s="539">
        <f t="shared" si="25"/>
        <v>35000</v>
      </c>
      <c r="N275" s="549">
        <f t="shared" si="29"/>
        <v>7945000</v>
      </c>
      <c r="O275" s="540">
        <f t="shared" si="26"/>
        <v>0</v>
      </c>
    </row>
    <row r="276" spans="1:16" ht="18.75" x14ac:dyDescent="0.25">
      <c r="A276" s="544">
        <v>4</v>
      </c>
      <c r="B276" s="633" t="s">
        <v>878</v>
      </c>
      <c r="C276" s="552"/>
      <c r="D276" s="555" t="s">
        <v>614</v>
      </c>
      <c r="E276" s="547">
        <f>(1.5+2)*2*2.8*2+(39.2)</f>
        <v>78.400000000000006</v>
      </c>
      <c r="F276" s="547"/>
      <c r="G276" s="548">
        <v>40000</v>
      </c>
      <c r="H276" s="539">
        <f t="shared" si="24"/>
        <v>40000</v>
      </c>
      <c r="I276" s="549">
        <f t="shared" si="28"/>
        <v>3136000</v>
      </c>
      <c r="J276" s="547">
        <f>(1.5+2)*2*2.8*2+(39.2)</f>
        <v>78.400000000000006</v>
      </c>
      <c r="K276" s="547"/>
      <c r="L276" s="548">
        <v>40000</v>
      </c>
      <c r="M276" s="539">
        <f t="shared" si="25"/>
        <v>40000</v>
      </c>
      <c r="N276" s="549">
        <f t="shared" si="29"/>
        <v>3136000</v>
      </c>
      <c r="O276" s="540">
        <f t="shared" si="26"/>
        <v>0</v>
      </c>
    </row>
    <row r="277" spans="1:16" ht="15.75" x14ac:dyDescent="0.25">
      <c r="A277" s="544">
        <v>5</v>
      </c>
      <c r="B277" s="634" t="s">
        <v>879</v>
      </c>
      <c r="C277" s="634"/>
      <c r="D277" s="557" t="s">
        <v>694</v>
      </c>
      <c r="E277" s="563">
        <f>E275</f>
        <v>227</v>
      </c>
      <c r="F277" s="563"/>
      <c r="G277" s="557">
        <v>20000</v>
      </c>
      <c r="H277" s="539">
        <f t="shared" si="24"/>
        <v>20000</v>
      </c>
      <c r="I277" s="549">
        <f t="shared" si="28"/>
        <v>4540000</v>
      </c>
      <c r="J277" s="563">
        <f>J275</f>
        <v>227</v>
      </c>
      <c r="K277" s="563"/>
      <c r="L277" s="557">
        <v>20000</v>
      </c>
      <c r="M277" s="539">
        <f t="shared" si="25"/>
        <v>20000</v>
      </c>
      <c r="N277" s="549">
        <f t="shared" si="29"/>
        <v>4540000</v>
      </c>
      <c r="O277" s="540">
        <f t="shared" si="26"/>
        <v>0</v>
      </c>
    </row>
    <row r="278" spans="1:16" ht="18.75" x14ac:dyDescent="0.25">
      <c r="A278" s="544">
        <v>6</v>
      </c>
      <c r="B278" s="635" t="s">
        <v>880</v>
      </c>
      <c r="C278" s="635" t="s">
        <v>881</v>
      </c>
      <c r="D278" s="555" t="s">
        <v>617</v>
      </c>
      <c r="E278" s="556">
        <f>(10*10+(3*4))</f>
        <v>112</v>
      </c>
      <c r="F278" s="556"/>
      <c r="G278" s="557">
        <v>50000</v>
      </c>
      <c r="H278" s="539">
        <f t="shared" si="24"/>
        <v>50000</v>
      </c>
      <c r="I278" s="549">
        <f t="shared" si="28"/>
        <v>5600000</v>
      </c>
      <c r="J278" s="556">
        <f>(10*10+(3*4))</f>
        <v>112</v>
      </c>
      <c r="K278" s="556"/>
      <c r="L278" s="557">
        <v>50000</v>
      </c>
      <c r="M278" s="539">
        <f t="shared" si="25"/>
        <v>50000</v>
      </c>
      <c r="N278" s="549">
        <f t="shared" si="29"/>
        <v>5600000</v>
      </c>
      <c r="O278" s="540">
        <f t="shared" si="26"/>
        <v>0</v>
      </c>
    </row>
    <row r="279" spans="1:16" ht="15.75" x14ac:dyDescent="0.25">
      <c r="A279" s="544">
        <v>7</v>
      </c>
      <c r="B279" s="561" t="s">
        <v>882</v>
      </c>
      <c r="C279" s="635" t="s">
        <v>881</v>
      </c>
      <c r="D279" s="555" t="s">
        <v>29</v>
      </c>
      <c r="E279" s="547">
        <v>1</v>
      </c>
      <c r="F279" s="547"/>
      <c r="G279" s="548">
        <v>500000</v>
      </c>
      <c r="H279" s="539">
        <f t="shared" si="24"/>
        <v>500000</v>
      </c>
      <c r="I279" s="549">
        <f t="shared" si="28"/>
        <v>500000</v>
      </c>
      <c r="J279" s="547">
        <v>1</v>
      </c>
      <c r="K279" s="547"/>
      <c r="L279" s="548">
        <v>500000</v>
      </c>
      <c r="M279" s="539">
        <f t="shared" si="25"/>
        <v>500000</v>
      </c>
      <c r="N279" s="549">
        <f t="shared" si="29"/>
        <v>500000</v>
      </c>
      <c r="O279" s="540">
        <f t="shared" si="26"/>
        <v>0</v>
      </c>
    </row>
    <row r="280" spans="1:16" ht="15.75" x14ac:dyDescent="0.25">
      <c r="A280" s="544">
        <v>8</v>
      </c>
      <c r="B280" s="634" t="s">
        <v>883</v>
      </c>
      <c r="C280" s="634"/>
      <c r="D280" s="555" t="s">
        <v>29</v>
      </c>
      <c r="E280" s="547">
        <v>1</v>
      </c>
      <c r="F280" s="547"/>
      <c r="G280" s="548">
        <v>500000</v>
      </c>
      <c r="H280" s="539">
        <f t="shared" si="24"/>
        <v>500000</v>
      </c>
      <c r="I280" s="549">
        <f t="shared" si="28"/>
        <v>500000</v>
      </c>
      <c r="J280" s="547">
        <v>1</v>
      </c>
      <c r="K280" s="547"/>
      <c r="L280" s="548">
        <v>500000</v>
      </c>
      <c r="M280" s="539">
        <f t="shared" si="25"/>
        <v>500000</v>
      </c>
      <c r="N280" s="549">
        <f t="shared" si="29"/>
        <v>500000</v>
      </c>
      <c r="O280" s="540">
        <f t="shared" si="26"/>
        <v>0</v>
      </c>
    </row>
    <row r="281" spans="1:16" ht="15.75" x14ac:dyDescent="0.25">
      <c r="A281" s="544">
        <v>9</v>
      </c>
      <c r="B281" s="561" t="s">
        <v>884</v>
      </c>
      <c r="C281" s="635" t="s">
        <v>881</v>
      </c>
      <c r="D281" s="555" t="s">
        <v>29</v>
      </c>
      <c r="E281" s="547">
        <v>1</v>
      </c>
      <c r="F281" s="547"/>
      <c r="G281" s="548">
        <v>500000</v>
      </c>
      <c r="H281" s="539">
        <f t="shared" si="24"/>
        <v>500000</v>
      </c>
      <c r="I281" s="549">
        <f t="shared" si="28"/>
        <v>500000</v>
      </c>
      <c r="J281" s="547">
        <v>1</v>
      </c>
      <c r="K281" s="547"/>
      <c r="L281" s="548">
        <v>500000</v>
      </c>
      <c r="M281" s="539">
        <f t="shared" si="25"/>
        <v>500000</v>
      </c>
      <c r="N281" s="549">
        <f>J281*M281</f>
        <v>500000</v>
      </c>
      <c r="O281" s="540">
        <f t="shared" si="26"/>
        <v>0</v>
      </c>
    </row>
    <row r="282" spans="1:16" ht="15.75" x14ac:dyDescent="0.25">
      <c r="A282" s="544"/>
      <c r="B282" s="634"/>
      <c r="C282" s="629" t="s">
        <v>597</v>
      </c>
      <c r="D282" s="557"/>
      <c r="E282" s="563"/>
      <c r="F282" s="563"/>
      <c r="G282" s="629"/>
      <c r="H282" s="539">
        <f t="shared" si="24"/>
        <v>0</v>
      </c>
      <c r="I282" s="636">
        <f>SUM(I273:I281)</f>
        <v>32374100</v>
      </c>
      <c r="J282" s="563"/>
      <c r="K282" s="563"/>
      <c r="L282" s="629"/>
      <c r="M282" s="539">
        <f t="shared" si="25"/>
        <v>0</v>
      </c>
      <c r="N282" s="636">
        <f>SUM(N273:N281)</f>
        <v>32374100</v>
      </c>
      <c r="O282" s="540">
        <f t="shared" si="26"/>
        <v>0</v>
      </c>
    </row>
    <row r="283" spans="1:16" ht="15.75" x14ac:dyDescent="0.25">
      <c r="A283" s="550" t="s">
        <v>885</v>
      </c>
      <c r="B283" s="632" t="s">
        <v>886</v>
      </c>
      <c r="C283" s="634"/>
      <c r="D283" s="557"/>
      <c r="E283" s="563"/>
      <c r="F283" s="563"/>
      <c r="G283" s="557"/>
      <c r="H283" s="539">
        <f t="shared" si="24"/>
        <v>0</v>
      </c>
      <c r="I283" s="596"/>
      <c r="J283" s="563"/>
      <c r="K283" s="563"/>
      <c r="L283" s="557"/>
      <c r="M283" s="539">
        <f t="shared" si="25"/>
        <v>0</v>
      </c>
      <c r="N283" s="596"/>
      <c r="O283" s="540">
        <f t="shared" si="26"/>
        <v>0</v>
      </c>
    </row>
    <row r="284" spans="1:16" ht="15.75" x14ac:dyDescent="0.25">
      <c r="A284" s="544">
        <v>1</v>
      </c>
      <c r="B284" s="633" t="s">
        <v>82</v>
      </c>
      <c r="C284" s="552"/>
      <c r="D284" s="555"/>
      <c r="E284" s="547"/>
      <c r="F284" s="547"/>
      <c r="G284" s="548"/>
      <c r="H284" s="539">
        <f t="shared" si="24"/>
        <v>0</v>
      </c>
      <c r="I284" s="549"/>
      <c r="J284" s="547"/>
      <c r="K284" s="547"/>
      <c r="L284" s="548"/>
      <c r="M284" s="539">
        <f t="shared" si="25"/>
        <v>0</v>
      </c>
      <c r="N284" s="549"/>
      <c r="O284" s="540">
        <f t="shared" si="26"/>
        <v>0</v>
      </c>
    </row>
    <row r="285" spans="1:16" ht="18.75" x14ac:dyDescent="0.25">
      <c r="A285" s="544">
        <v>2</v>
      </c>
      <c r="B285" s="561" t="s">
        <v>887</v>
      </c>
      <c r="C285" s="637" t="s">
        <v>888</v>
      </c>
      <c r="D285" s="555" t="s">
        <v>614</v>
      </c>
      <c r="E285" s="547">
        <f>24*3.5+115.5</f>
        <v>199.5</v>
      </c>
      <c r="F285" s="547"/>
      <c r="G285" s="548">
        <v>125000</v>
      </c>
      <c r="H285" s="539">
        <f t="shared" si="24"/>
        <v>125000</v>
      </c>
      <c r="I285" s="549">
        <f t="shared" ref="I285:I287" si="30">E285*G285</f>
        <v>24937500</v>
      </c>
      <c r="J285" s="547">
        <f>24*3.5+115.5</f>
        <v>199.5</v>
      </c>
      <c r="K285" s="547"/>
      <c r="L285" s="548">
        <v>125000</v>
      </c>
      <c r="M285" s="539">
        <f t="shared" si="25"/>
        <v>125000</v>
      </c>
      <c r="N285" s="549">
        <f>J285*M285</f>
        <v>24937500</v>
      </c>
      <c r="O285" s="540">
        <f t="shared" si="26"/>
        <v>0</v>
      </c>
    </row>
    <row r="286" spans="1:16" ht="18.75" x14ac:dyDescent="0.25">
      <c r="A286" s="544">
        <v>3</v>
      </c>
      <c r="B286" s="561" t="s">
        <v>889</v>
      </c>
      <c r="C286" s="606" t="s">
        <v>318</v>
      </c>
      <c r="D286" s="555" t="s">
        <v>614</v>
      </c>
      <c r="E286" s="547">
        <f>E285*2*0.8</f>
        <v>319.20000000000005</v>
      </c>
      <c r="F286" s="547"/>
      <c r="G286" s="548">
        <v>76700</v>
      </c>
      <c r="H286" s="539">
        <f t="shared" si="24"/>
        <v>76700</v>
      </c>
      <c r="I286" s="549">
        <f t="shared" si="30"/>
        <v>24482640.000000004</v>
      </c>
      <c r="J286" s="547">
        <f>J285*2*0.8</f>
        <v>319.20000000000005</v>
      </c>
      <c r="K286" s="547"/>
      <c r="L286" s="548">
        <v>76700</v>
      </c>
      <c r="M286" s="539">
        <f t="shared" si="25"/>
        <v>76700</v>
      </c>
      <c r="N286" s="549">
        <f t="shared" ref="N286:N287" si="31">J286*M286</f>
        <v>24482640.000000004</v>
      </c>
      <c r="O286" s="540">
        <f t="shared" si="26"/>
        <v>0</v>
      </c>
    </row>
    <row r="287" spans="1:16" ht="18.75" x14ac:dyDescent="0.25">
      <c r="A287" s="544">
        <v>4</v>
      </c>
      <c r="B287" s="561" t="s">
        <v>87</v>
      </c>
      <c r="C287" s="638" t="s">
        <v>890</v>
      </c>
      <c r="D287" s="555" t="s">
        <v>614</v>
      </c>
      <c r="E287" s="547">
        <f>E286</f>
        <v>319.20000000000005</v>
      </c>
      <c r="F287" s="547"/>
      <c r="G287" s="548">
        <v>38000</v>
      </c>
      <c r="H287" s="539">
        <f t="shared" si="24"/>
        <v>38000</v>
      </c>
      <c r="I287" s="549">
        <f t="shared" si="30"/>
        <v>12129600.000000002</v>
      </c>
      <c r="J287" s="547">
        <f>J286</f>
        <v>319.20000000000005</v>
      </c>
      <c r="K287" s="547"/>
      <c r="L287" s="548">
        <v>38000</v>
      </c>
      <c r="M287" s="539">
        <f t="shared" si="25"/>
        <v>38000</v>
      </c>
      <c r="N287" s="549">
        <f t="shared" si="31"/>
        <v>12129600.000000002</v>
      </c>
      <c r="O287" s="540">
        <f t="shared" si="26"/>
        <v>0</v>
      </c>
      <c r="P287" s="639">
        <f>SUM(M286:M287)</f>
        <v>114700</v>
      </c>
    </row>
    <row r="288" spans="1:16" ht="15.75" x14ac:dyDescent="0.25">
      <c r="A288" s="640"/>
      <c r="B288" s="641"/>
      <c r="C288" s="629" t="s">
        <v>891</v>
      </c>
      <c r="D288" s="642"/>
      <c r="E288" s="642"/>
      <c r="F288" s="642"/>
      <c r="G288" s="629"/>
      <c r="H288" s="539">
        <f t="shared" si="24"/>
        <v>0</v>
      </c>
      <c r="I288" s="636">
        <f>SUM(I285:I287)</f>
        <v>61549740</v>
      </c>
      <c r="J288" s="642"/>
      <c r="K288" s="642"/>
      <c r="L288" s="629"/>
      <c r="M288" s="539">
        <f t="shared" si="25"/>
        <v>0</v>
      </c>
      <c r="N288" s="636">
        <f>SUM(N285:N287)</f>
        <v>61549740</v>
      </c>
      <c r="O288" s="540">
        <f t="shared" si="26"/>
        <v>0</v>
      </c>
    </row>
    <row r="289" spans="1:15" ht="15.75" x14ac:dyDescent="0.25">
      <c r="A289" s="550" t="s">
        <v>892</v>
      </c>
      <c r="B289" s="632" t="s">
        <v>67</v>
      </c>
      <c r="C289" s="643"/>
      <c r="D289" s="642"/>
      <c r="E289" s="642"/>
      <c r="F289" s="642"/>
      <c r="G289" s="548"/>
      <c r="H289" s="539">
        <f t="shared" si="24"/>
        <v>0</v>
      </c>
      <c r="I289" s="549"/>
      <c r="J289" s="642"/>
      <c r="K289" s="642"/>
      <c r="L289" s="548"/>
      <c r="M289" s="539">
        <f t="shared" si="25"/>
        <v>0</v>
      </c>
      <c r="N289" s="549"/>
      <c r="O289" s="540">
        <f t="shared" si="26"/>
        <v>0</v>
      </c>
    </row>
    <row r="290" spans="1:15" ht="15.75" x14ac:dyDescent="0.25">
      <c r="A290" s="544">
        <v>1</v>
      </c>
      <c r="B290" s="633" t="s">
        <v>68</v>
      </c>
      <c r="C290" s="552"/>
      <c r="D290" s="555"/>
      <c r="E290" s="547"/>
      <c r="F290" s="547"/>
      <c r="G290" s="548"/>
      <c r="H290" s="539">
        <f t="shared" si="24"/>
        <v>0</v>
      </c>
      <c r="I290" s="549"/>
      <c r="J290" s="547"/>
      <c r="K290" s="547"/>
      <c r="L290" s="548"/>
      <c r="M290" s="539">
        <f t="shared" si="25"/>
        <v>0</v>
      </c>
      <c r="N290" s="549"/>
      <c r="O290" s="540">
        <f t="shared" si="26"/>
        <v>0</v>
      </c>
    </row>
    <row r="291" spans="1:15" ht="18.75" x14ac:dyDescent="0.25">
      <c r="A291" s="544"/>
      <c r="B291" s="561" t="s">
        <v>69</v>
      </c>
      <c r="C291" s="546"/>
      <c r="D291" s="555" t="s">
        <v>876</v>
      </c>
      <c r="E291" s="547">
        <f>(0.7*0.7*0.7*3)+(0.3*0.4*24)</f>
        <v>3.9089999999999998</v>
      </c>
      <c r="F291" s="547"/>
      <c r="G291" s="548">
        <v>150000</v>
      </c>
      <c r="H291" s="539">
        <f t="shared" si="24"/>
        <v>150000</v>
      </c>
      <c r="I291" s="549">
        <f t="shared" ref="I291:I318" si="32">E291*G291</f>
        <v>586350</v>
      </c>
      <c r="J291" s="547">
        <f>(0.7*0.7*0.7*3)+(0.3*0.4*24)</f>
        <v>3.9089999999999998</v>
      </c>
      <c r="K291" s="547"/>
      <c r="L291" s="548">
        <v>150000</v>
      </c>
      <c r="M291" s="539">
        <f t="shared" si="25"/>
        <v>150000</v>
      </c>
      <c r="N291" s="549">
        <f>J291*M291</f>
        <v>586350</v>
      </c>
      <c r="O291" s="540">
        <f t="shared" si="26"/>
        <v>0</v>
      </c>
    </row>
    <row r="292" spans="1:15" ht="18.75" x14ac:dyDescent="0.25">
      <c r="A292" s="544"/>
      <c r="B292" s="561" t="s">
        <v>225</v>
      </c>
      <c r="C292" s="546"/>
      <c r="D292" s="555" t="s">
        <v>876</v>
      </c>
      <c r="E292" s="547">
        <f>E291/2</f>
        <v>1.9544999999999999</v>
      </c>
      <c r="F292" s="547"/>
      <c r="G292" s="548">
        <v>100000</v>
      </c>
      <c r="H292" s="539">
        <f t="shared" si="24"/>
        <v>100000</v>
      </c>
      <c r="I292" s="549">
        <f t="shared" si="32"/>
        <v>195450</v>
      </c>
      <c r="J292" s="547">
        <f>J291/2</f>
        <v>1.9544999999999999</v>
      </c>
      <c r="K292" s="547"/>
      <c r="L292" s="548">
        <v>100000</v>
      </c>
      <c r="M292" s="539">
        <f t="shared" si="25"/>
        <v>100000</v>
      </c>
      <c r="N292" s="549">
        <f t="shared" ref="N292:N318" si="33">J292*M292</f>
        <v>195450</v>
      </c>
      <c r="O292" s="540">
        <f t="shared" si="26"/>
        <v>0</v>
      </c>
    </row>
    <row r="293" spans="1:15" ht="18.75" x14ac:dyDescent="0.25">
      <c r="A293" s="544"/>
      <c r="B293" s="561" t="s">
        <v>71</v>
      </c>
      <c r="C293" s="546"/>
      <c r="D293" s="555" t="s">
        <v>876</v>
      </c>
      <c r="E293" s="547">
        <v>1.69</v>
      </c>
      <c r="F293" s="547"/>
      <c r="G293" s="548">
        <v>40000</v>
      </c>
      <c r="H293" s="539">
        <f t="shared" si="24"/>
        <v>40000</v>
      </c>
      <c r="I293" s="549">
        <f t="shared" si="32"/>
        <v>67600</v>
      </c>
      <c r="J293" s="547">
        <v>1.69</v>
      </c>
      <c r="K293" s="547"/>
      <c r="L293" s="548">
        <v>40000</v>
      </c>
      <c r="M293" s="539">
        <f t="shared" si="25"/>
        <v>40000</v>
      </c>
      <c r="N293" s="549">
        <f t="shared" si="33"/>
        <v>67600</v>
      </c>
      <c r="O293" s="540">
        <f t="shared" si="26"/>
        <v>0</v>
      </c>
    </row>
    <row r="294" spans="1:15" ht="15.75" x14ac:dyDescent="0.25">
      <c r="A294" s="544">
        <v>2</v>
      </c>
      <c r="B294" s="633" t="s">
        <v>893</v>
      </c>
      <c r="C294" s="546"/>
      <c r="D294" s="555"/>
      <c r="E294" s="547"/>
      <c r="F294" s="547"/>
      <c r="G294" s="548"/>
      <c r="H294" s="539">
        <f t="shared" si="24"/>
        <v>0</v>
      </c>
      <c r="I294" s="549">
        <f t="shared" si="32"/>
        <v>0</v>
      </c>
      <c r="J294" s="547"/>
      <c r="K294" s="547"/>
      <c r="L294" s="548"/>
      <c r="M294" s="539">
        <f t="shared" si="25"/>
        <v>0</v>
      </c>
      <c r="N294" s="549">
        <f t="shared" si="33"/>
        <v>0</v>
      </c>
      <c r="O294" s="540">
        <f t="shared" si="26"/>
        <v>0</v>
      </c>
    </row>
    <row r="295" spans="1:15" ht="18.75" x14ac:dyDescent="0.25">
      <c r="A295" s="544"/>
      <c r="B295" s="561" t="s">
        <v>72</v>
      </c>
      <c r="C295" s="546"/>
      <c r="D295" s="555" t="s">
        <v>876</v>
      </c>
      <c r="E295" s="547">
        <f>(0.7*0.7*0.1*3)+(0.3*0.1*24)</f>
        <v>0.86699999999999999</v>
      </c>
      <c r="F295" s="547"/>
      <c r="G295" s="548">
        <v>399200</v>
      </c>
      <c r="H295" s="539">
        <f t="shared" si="24"/>
        <v>399200</v>
      </c>
      <c r="I295" s="549">
        <f t="shared" si="32"/>
        <v>346106.4</v>
      </c>
      <c r="J295" s="547">
        <f>(0.7*0.7*0.1*3)+(0.3*0.1*24)</f>
        <v>0.86699999999999999</v>
      </c>
      <c r="K295" s="547"/>
      <c r="L295" s="548">
        <v>399200</v>
      </c>
      <c r="M295" s="539">
        <f t="shared" si="25"/>
        <v>399200</v>
      </c>
      <c r="N295" s="549">
        <f t="shared" si="33"/>
        <v>346106.4</v>
      </c>
      <c r="O295" s="540">
        <f t="shared" si="26"/>
        <v>0</v>
      </c>
    </row>
    <row r="296" spans="1:15" ht="18.75" x14ac:dyDescent="0.25">
      <c r="A296" s="544"/>
      <c r="B296" s="561" t="s">
        <v>73</v>
      </c>
      <c r="C296" s="546"/>
      <c r="D296" s="555" t="s">
        <v>614</v>
      </c>
      <c r="E296" s="547">
        <f>E295*0.5</f>
        <v>0.4335</v>
      </c>
      <c r="F296" s="547"/>
      <c r="G296" s="548">
        <v>865000</v>
      </c>
      <c r="H296" s="539">
        <f t="shared" si="24"/>
        <v>865000</v>
      </c>
      <c r="I296" s="549">
        <f t="shared" si="32"/>
        <v>374977.5</v>
      </c>
      <c r="J296" s="547">
        <f>J295*0.5</f>
        <v>0.4335</v>
      </c>
      <c r="K296" s="547"/>
      <c r="L296" s="548">
        <v>865000</v>
      </c>
      <c r="M296" s="539">
        <f t="shared" si="25"/>
        <v>865000</v>
      </c>
      <c r="N296" s="549">
        <f t="shared" si="33"/>
        <v>374977.5</v>
      </c>
      <c r="O296" s="540">
        <f t="shared" si="26"/>
        <v>0</v>
      </c>
    </row>
    <row r="297" spans="1:15" ht="18.75" x14ac:dyDescent="0.25">
      <c r="A297" s="544"/>
      <c r="B297" s="561" t="s">
        <v>341</v>
      </c>
      <c r="C297" s="638" t="s">
        <v>894</v>
      </c>
      <c r="D297" s="555" t="s">
        <v>876</v>
      </c>
      <c r="E297" s="547">
        <f>(0.7*0.7*0.2*6)</f>
        <v>0.58799999999999997</v>
      </c>
      <c r="F297" s="547"/>
      <c r="G297" s="548">
        <v>1200000</v>
      </c>
      <c r="H297" s="539">
        <f t="shared" si="24"/>
        <v>1200000</v>
      </c>
      <c r="I297" s="549">
        <f t="shared" si="32"/>
        <v>705600</v>
      </c>
      <c r="J297" s="547">
        <f>(0.7*0.7*0.2*6)</f>
        <v>0.58799999999999997</v>
      </c>
      <c r="K297" s="547"/>
      <c r="L297" s="548">
        <v>1200000</v>
      </c>
      <c r="M297" s="539">
        <f t="shared" si="25"/>
        <v>1200000</v>
      </c>
      <c r="N297" s="549">
        <f t="shared" si="33"/>
        <v>705600</v>
      </c>
      <c r="O297" s="540">
        <f t="shared" si="26"/>
        <v>0</v>
      </c>
    </row>
    <row r="298" spans="1:15" ht="15.75" x14ac:dyDescent="0.25">
      <c r="A298" s="544"/>
      <c r="B298" s="561" t="s">
        <v>895</v>
      </c>
      <c r="C298" s="638" t="s">
        <v>344</v>
      </c>
      <c r="D298" s="555" t="s">
        <v>896</v>
      </c>
      <c r="E298" s="547">
        <f>E297*200</f>
        <v>117.6</v>
      </c>
      <c r="F298" s="547"/>
      <c r="G298" s="548">
        <v>18000</v>
      </c>
      <c r="H298" s="539">
        <f t="shared" si="24"/>
        <v>18000</v>
      </c>
      <c r="I298" s="549">
        <f t="shared" si="32"/>
        <v>2116800</v>
      </c>
      <c r="J298" s="547">
        <f>J297*200</f>
        <v>117.6</v>
      </c>
      <c r="K298" s="547"/>
      <c r="L298" s="548">
        <v>18000</v>
      </c>
      <c r="M298" s="539">
        <f t="shared" si="25"/>
        <v>18000</v>
      </c>
      <c r="N298" s="549">
        <f t="shared" si="33"/>
        <v>2116800</v>
      </c>
      <c r="O298" s="540">
        <f t="shared" si="26"/>
        <v>0</v>
      </c>
    </row>
    <row r="299" spans="1:15" ht="18.75" x14ac:dyDescent="0.25">
      <c r="A299" s="544"/>
      <c r="B299" s="561" t="s">
        <v>897</v>
      </c>
      <c r="C299" s="638" t="s">
        <v>898</v>
      </c>
      <c r="D299" s="555" t="s">
        <v>614</v>
      </c>
      <c r="E299" s="547">
        <f>(0.7*4*0.2*6)</f>
        <v>3.3599999999999994</v>
      </c>
      <c r="F299" s="547"/>
      <c r="G299" s="548">
        <v>100000</v>
      </c>
      <c r="H299" s="539">
        <f t="shared" si="24"/>
        <v>100000</v>
      </c>
      <c r="I299" s="549">
        <f t="shared" si="32"/>
        <v>335999.99999999994</v>
      </c>
      <c r="J299" s="547">
        <f>(0.7*4*0.2*6)</f>
        <v>3.3599999999999994</v>
      </c>
      <c r="K299" s="547"/>
      <c r="L299" s="548">
        <v>100000</v>
      </c>
      <c r="M299" s="539">
        <f t="shared" si="25"/>
        <v>100000</v>
      </c>
      <c r="N299" s="549">
        <f t="shared" si="33"/>
        <v>335999.99999999994</v>
      </c>
      <c r="O299" s="540">
        <f t="shared" si="26"/>
        <v>0</v>
      </c>
    </row>
    <row r="300" spans="1:15" ht="15.75" x14ac:dyDescent="0.25">
      <c r="A300" s="544">
        <v>3</v>
      </c>
      <c r="B300" s="633" t="s">
        <v>899</v>
      </c>
      <c r="C300" s="546"/>
      <c r="D300" s="536"/>
      <c r="E300" s="547"/>
      <c r="F300" s="547"/>
      <c r="G300" s="548"/>
      <c r="H300" s="539">
        <f t="shared" si="24"/>
        <v>0</v>
      </c>
      <c r="I300" s="549">
        <f t="shared" si="32"/>
        <v>0</v>
      </c>
      <c r="J300" s="547"/>
      <c r="K300" s="547"/>
      <c r="L300" s="548"/>
      <c r="M300" s="539">
        <f t="shared" si="25"/>
        <v>0</v>
      </c>
      <c r="N300" s="549">
        <f t="shared" si="33"/>
        <v>0</v>
      </c>
      <c r="O300" s="540">
        <f t="shared" si="26"/>
        <v>0</v>
      </c>
    </row>
    <row r="301" spans="1:15" ht="18.75" x14ac:dyDescent="0.25">
      <c r="A301" s="544"/>
      <c r="B301" s="561" t="s">
        <v>900</v>
      </c>
      <c r="C301" s="546"/>
      <c r="D301" s="555" t="s">
        <v>876</v>
      </c>
      <c r="E301" s="547">
        <f>0.15*0.25*24</f>
        <v>0.89999999999999991</v>
      </c>
      <c r="F301" s="547"/>
      <c r="G301" s="548">
        <v>399200</v>
      </c>
      <c r="H301" s="539">
        <f t="shared" si="24"/>
        <v>399200</v>
      </c>
      <c r="I301" s="549">
        <f t="shared" si="32"/>
        <v>359279.99999999994</v>
      </c>
      <c r="J301" s="547">
        <f>0.15*0.25*24</f>
        <v>0.89999999999999991</v>
      </c>
      <c r="K301" s="547"/>
      <c r="L301" s="548">
        <v>399200</v>
      </c>
      <c r="M301" s="539">
        <f t="shared" si="25"/>
        <v>399200</v>
      </c>
      <c r="N301" s="549">
        <f t="shared" si="33"/>
        <v>359279.99999999994</v>
      </c>
      <c r="O301" s="540">
        <f t="shared" si="26"/>
        <v>0</v>
      </c>
    </row>
    <row r="302" spans="1:15" ht="18.75" x14ac:dyDescent="0.25">
      <c r="A302" s="544"/>
      <c r="B302" s="561" t="s">
        <v>901</v>
      </c>
      <c r="C302" s="546"/>
      <c r="D302" s="555" t="s">
        <v>614</v>
      </c>
      <c r="E302" s="547">
        <f>E301*0.5</f>
        <v>0.44999999999999996</v>
      </c>
      <c r="F302" s="547"/>
      <c r="G302" s="548">
        <v>865000</v>
      </c>
      <c r="H302" s="539">
        <f t="shared" si="24"/>
        <v>865000</v>
      </c>
      <c r="I302" s="549">
        <f t="shared" si="32"/>
        <v>389249.99999999994</v>
      </c>
      <c r="J302" s="547">
        <f>J301*0.5</f>
        <v>0.44999999999999996</v>
      </c>
      <c r="K302" s="547"/>
      <c r="L302" s="548">
        <v>865000</v>
      </c>
      <c r="M302" s="539">
        <f t="shared" si="25"/>
        <v>865000</v>
      </c>
      <c r="N302" s="549">
        <f t="shared" si="33"/>
        <v>389249.99999999994</v>
      </c>
      <c r="O302" s="540">
        <f t="shared" si="26"/>
        <v>0</v>
      </c>
    </row>
    <row r="303" spans="1:15" ht="18.75" x14ac:dyDescent="0.25">
      <c r="A303" s="544"/>
      <c r="B303" s="561" t="s">
        <v>341</v>
      </c>
      <c r="C303" s="638" t="s">
        <v>894</v>
      </c>
      <c r="D303" s="555" t="s">
        <v>876</v>
      </c>
      <c r="E303" s="547">
        <f>0.15*0.3*24</f>
        <v>1.08</v>
      </c>
      <c r="F303" s="547"/>
      <c r="G303" s="548">
        <v>1200000</v>
      </c>
      <c r="H303" s="539">
        <f t="shared" si="24"/>
        <v>1200000</v>
      </c>
      <c r="I303" s="549">
        <f t="shared" si="32"/>
        <v>1296000</v>
      </c>
      <c r="J303" s="547">
        <f>0.15*0.3*24</f>
        <v>1.08</v>
      </c>
      <c r="K303" s="547"/>
      <c r="L303" s="548">
        <v>1200000</v>
      </c>
      <c r="M303" s="539">
        <f t="shared" si="25"/>
        <v>1200000</v>
      </c>
      <c r="N303" s="549">
        <f t="shared" si="33"/>
        <v>1296000</v>
      </c>
      <c r="O303" s="540">
        <f t="shared" si="26"/>
        <v>0</v>
      </c>
    </row>
    <row r="304" spans="1:15" ht="15.75" x14ac:dyDescent="0.25">
      <c r="A304" s="544"/>
      <c r="B304" s="561" t="s">
        <v>895</v>
      </c>
      <c r="C304" s="638" t="s">
        <v>344</v>
      </c>
      <c r="D304" s="555" t="s">
        <v>896</v>
      </c>
      <c r="E304" s="547">
        <f>E303*150</f>
        <v>162</v>
      </c>
      <c r="F304" s="547"/>
      <c r="G304" s="548">
        <v>18000</v>
      </c>
      <c r="H304" s="539">
        <f t="shared" si="24"/>
        <v>18000</v>
      </c>
      <c r="I304" s="549">
        <f t="shared" si="32"/>
        <v>2916000</v>
      </c>
      <c r="J304" s="547">
        <f>J303*150</f>
        <v>162</v>
      </c>
      <c r="K304" s="547"/>
      <c r="L304" s="548">
        <v>18000</v>
      </c>
      <c r="M304" s="539">
        <f t="shared" si="25"/>
        <v>18000</v>
      </c>
      <c r="N304" s="549">
        <f t="shared" si="33"/>
        <v>2916000</v>
      </c>
      <c r="O304" s="540">
        <f t="shared" si="26"/>
        <v>0</v>
      </c>
    </row>
    <row r="305" spans="1:15" ht="18.75" x14ac:dyDescent="0.25">
      <c r="A305" s="544"/>
      <c r="B305" s="561" t="s">
        <v>897</v>
      </c>
      <c r="C305" s="638" t="s">
        <v>898</v>
      </c>
      <c r="D305" s="555" t="s">
        <v>614</v>
      </c>
      <c r="E305" s="547">
        <f>(0.3*2*24)</f>
        <v>14.399999999999999</v>
      </c>
      <c r="F305" s="547"/>
      <c r="G305" s="548">
        <v>100000</v>
      </c>
      <c r="H305" s="539">
        <f t="shared" si="24"/>
        <v>100000</v>
      </c>
      <c r="I305" s="549">
        <f t="shared" si="32"/>
        <v>1439999.9999999998</v>
      </c>
      <c r="J305" s="547">
        <f>(0.3*2*24)</f>
        <v>14.399999999999999</v>
      </c>
      <c r="K305" s="547"/>
      <c r="L305" s="548">
        <v>100000</v>
      </c>
      <c r="M305" s="539">
        <f t="shared" si="25"/>
        <v>100000</v>
      </c>
      <c r="N305" s="549">
        <f t="shared" si="33"/>
        <v>1439999.9999999998</v>
      </c>
      <c r="O305" s="540">
        <f t="shared" si="26"/>
        <v>0</v>
      </c>
    </row>
    <row r="306" spans="1:15" ht="15.75" x14ac:dyDescent="0.25">
      <c r="A306" s="544">
        <v>4</v>
      </c>
      <c r="B306" s="633" t="s">
        <v>902</v>
      </c>
      <c r="C306" s="546"/>
      <c r="D306" s="536"/>
      <c r="E306" s="547"/>
      <c r="F306" s="547"/>
      <c r="G306" s="548"/>
      <c r="H306" s="539">
        <f t="shared" si="24"/>
        <v>0</v>
      </c>
      <c r="I306" s="549">
        <f t="shared" si="32"/>
        <v>0</v>
      </c>
      <c r="J306" s="547"/>
      <c r="K306" s="547"/>
      <c r="L306" s="548"/>
      <c r="M306" s="539">
        <f t="shared" si="25"/>
        <v>0</v>
      </c>
      <c r="N306" s="549">
        <f t="shared" si="33"/>
        <v>0</v>
      </c>
      <c r="O306" s="540">
        <f t="shared" si="26"/>
        <v>0</v>
      </c>
    </row>
    <row r="307" spans="1:15" ht="18.75" x14ac:dyDescent="0.25">
      <c r="A307" s="544"/>
      <c r="B307" s="561" t="s">
        <v>341</v>
      </c>
      <c r="C307" s="638" t="s">
        <v>894</v>
      </c>
      <c r="D307" s="555" t="s">
        <v>876</v>
      </c>
      <c r="E307" s="547">
        <v>4.8600000000000003</v>
      </c>
      <c r="F307" s="547"/>
      <c r="G307" s="548">
        <f>G303</f>
        <v>1200000</v>
      </c>
      <c r="H307" s="539">
        <f t="shared" si="24"/>
        <v>1200000</v>
      </c>
      <c r="I307" s="549">
        <f t="shared" si="32"/>
        <v>5832000</v>
      </c>
      <c r="J307" s="547">
        <f>4.86+(0.25*0.6*3.5*2)</f>
        <v>5.91</v>
      </c>
      <c r="K307" s="547"/>
      <c r="L307" s="548">
        <f>L303</f>
        <v>1200000</v>
      </c>
      <c r="M307" s="539">
        <f t="shared" si="25"/>
        <v>1200000</v>
      </c>
      <c r="N307" s="549">
        <f t="shared" si="33"/>
        <v>7092000</v>
      </c>
      <c r="O307" s="559">
        <f t="shared" si="26"/>
        <v>1260000</v>
      </c>
    </row>
    <row r="308" spans="1:15" ht="15.75" x14ac:dyDescent="0.25">
      <c r="A308" s="544"/>
      <c r="B308" s="561" t="s">
        <v>895</v>
      </c>
      <c r="C308" s="638" t="s">
        <v>344</v>
      </c>
      <c r="D308" s="555" t="s">
        <v>896</v>
      </c>
      <c r="E308" s="547">
        <f>E307*150</f>
        <v>729</v>
      </c>
      <c r="F308" s="547"/>
      <c r="G308" s="548">
        <f>G304</f>
        <v>18000</v>
      </c>
      <c r="H308" s="539">
        <f t="shared" si="24"/>
        <v>18000</v>
      </c>
      <c r="I308" s="549">
        <f t="shared" si="32"/>
        <v>13122000</v>
      </c>
      <c r="J308" s="547">
        <f>J307*150</f>
        <v>886.5</v>
      </c>
      <c r="K308" s="547"/>
      <c r="L308" s="548">
        <f>L304</f>
        <v>18000</v>
      </c>
      <c r="M308" s="539">
        <f t="shared" si="25"/>
        <v>18000</v>
      </c>
      <c r="N308" s="549">
        <f t="shared" si="33"/>
        <v>15957000</v>
      </c>
      <c r="O308" s="559">
        <f t="shared" si="26"/>
        <v>2835000</v>
      </c>
    </row>
    <row r="309" spans="1:15" ht="18.75" x14ac:dyDescent="0.25">
      <c r="A309" s="544"/>
      <c r="B309" s="561" t="s">
        <v>897</v>
      </c>
      <c r="C309" s="638" t="s">
        <v>898</v>
      </c>
      <c r="D309" s="555" t="s">
        <v>614</v>
      </c>
      <c r="E309" s="547">
        <f>(0.3*2*4*6)+31.2</f>
        <v>45.599999999999994</v>
      </c>
      <c r="F309" s="547"/>
      <c r="G309" s="548">
        <v>150000</v>
      </c>
      <c r="H309" s="539">
        <f t="shared" si="24"/>
        <v>150000</v>
      </c>
      <c r="I309" s="549">
        <f t="shared" si="32"/>
        <v>6839999.9999999991</v>
      </c>
      <c r="J309" s="547">
        <f>(0.3*2*4*6)+31.2+(0.25+0.6)*2*3.5*2</f>
        <v>57.499999999999993</v>
      </c>
      <c r="K309" s="547"/>
      <c r="L309" s="548">
        <v>150000</v>
      </c>
      <c r="M309" s="539">
        <f t="shared" si="25"/>
        <v>150000</v>
      </c>
      <c r="N309" s="549">
        <f t="shared" si="33"/>
        <v>8624999.9999999981</v>
      </c>
      <c r="O309" s="559">
        <f t="shared" si="26"/>
        <v>1784999.9999999991</v>
      </c>
    </row>
    <row r="310" spans="1:15" ht="15.75" x14ac:dyDescent="0.25">
      <c r="A310" s="544">
        <v>5</v>
      </c>
      <c r="B310" s="633" t="s">
        <v>903</v>
      </c>
      <c r="C310" s="546"/>
      <c r="D310" s="536"/>
      <c r="E310" s="547"/>
      <c r="F310" s="547"/>
      <c r="G310" s="548"/>
      <c r="H310" s="539">
        <f t="shared" si="24"/>
        <v>0</v>
      </c>
      <c r="I310" s="549">
        <f t="shared" si="32"/>
        <v>0</v>
      </c>
      <c r="J310" s="547"/>
      <c r="K310" s="547"/>
      <c r="L310" s="548"/>
      <c r="M310" s="539">
        <f t="shared" si="25"/>
        <v>0</v>
      </c>
      <c r="N310" s="549">
        <f t="shared" si="33"/>
        <v>0</v>
      </c>
      <c r="O310" s="540">
        <f t="shared" si="26"/>
        <v>0</v>
      </c>
    </row>
    <row r="311" spans="1:15" ht="18.75" x14ac:dyDescent="0.25">
      <c r="A311" s="544"/>
      <c r="B311" s="561" t="s">
        <v>341</v>
      </c>
      <c r="C311" s="638" t="s">
        <v>894</v>
      </c>
      <c r="D311" s="555" t="s">
        <v>876</v>
      </c>
      <c r="E311" s="547">
        <v>2.48</v>
      </c>
      <c r="F311" s="547"/>
      <c r="G311" s="548">
        <f>G307</f>
        <v>1200000</v>
      </c>
      <c r="H311" s="539">
        <f t="shared" si="24"/>
        <v>1200000</v>
      </c>
      <c r="I311" s="549">
        <f t="shared" si="32"/>
        <v>2976000</v>
      </c>
      <c r="J311" s="547">
        <v>2.48</v>
      </c>
      <c r="K311" s="547"/>
      <c r="L311" s="548">
        <f>L307</f>
        <v>1200000</v>
      </c>
      <c r="M311" s="539">
        <f t="shared" si="25"/>
        <v>1200000</v>
      </c>
      <c r="N311" s="549">
        <f t="shared" si="33"/>
        <v>2976000</v>
      </c>
      <c r="O311" s="540">
        <f t="shared" si="26"/>
        <v>0</v>
      </c>
    </row>
    <row r="312" spans="1:15" ht="15.75" x14ac:dyDescent="0.25">
      <c r="A312" s="544"/>
      <c r="B312" s="561" t="s">
        <v>895</v>
      </c>
      <c r="C312" s="638" t="s">
        <v>344</v>
      </c>
      <c r="D312" s="555" t="s">
        <v>896</v>
      </c>
      <c r="E312" s="547">
        <f>E311*200</f>
        <v>496</v>
      </c>
      <c r="F312" s="547"/>
      <c r="G312" s="548">
        <f>G308</f>
        <v>18000</v>
      </c>
      <c r="H312" s="539">
        <f t="shared" si="24"/>
        <v>18000</v>
      </c>
      <c r="I312" s="549">
        <f t="shared" si="32"/>
        <v>8928000</v>
      </c>
      <c r="J312" s="547">
        <f>J311*200</f>
        <v>496</v>
      </c>
      <c r="K312" s="547"/>
      <c r="L312" s="548">
        <f>L308</f>
        <v>18000</v>
      </c>
      <c r="M312" s="539">
        <f t="shared" si="25"/>
        <v>18000</v>
      </c>
      <c r="N312" s="549">
        <f t="shared" si="33"/>
        <v>8928000</v>
      </c>
      <c r="O312" s="540">
        <f t="shared" si="26"/>
        <v>0</v>
      </c>
    </row>
    <row r="313" spans="1:15" ht="18.75" x14ac:dyDescent="0.25">
      <c r="A313" s="544"/>
      <c r="B313" s="561" t="s">
        <v>897</v>
      </c>
      <c r="C313" s="638" t="s">
        <v>898</v>
      </c>
      <c r="D313" s="555" t="s">
        <v>614</v>
      </c>
      <c r="E313" s="547">
        <f>(0.3+0.3+0.15)*24+18.75</f>
        <v>36.75</v>
      </c>
      <c r="F313" s="547"/>
      <c r="G313" s="548">
        <v>150000</v>
      </c>
      <c r="H313" s="539">
        <f t="shared" si="24"/>
        <v>150000</v>
      </c>
      <c r="I313" s="549">
        <f t="shared" si="32"/>
        <v>5512500</v>
      </c>
      <c r="J313" s="547">
        <f>(0.3+0.3+0.15)*24+18.75</f>
        <v>36.75</v>
      </c>
      <c r="K313" s="547"/>
      <c r="L313" s="548">
        <v>150000</v>
      </c>
      <c r="M313" s="539">
        <f t="shared" si="25"/>
        <v>150000</v>
      </c>
      <c r="N313" s="549">
        <f t="shared" si="33"/>
        <v>5512500</v>
      </c>
      <c r="O313" s="540">
        <f t="shared" si="26"/>
        <v>0</v>
      </c>
    </row>
    <row r="314" spans="1:15" ht="15.75" x14ac:dyDescent="0.25">
      <c r="A314" s="544">
        <v>6</v>
      </c>
      <c r="B314" s="561" t="s">
        <v>904</v>
      </c>
      <c r="C314" s="546"/>
      <c r="D314" s="536"/>
      <c r="E314" s="547"/>
      <c r="F314" s="547"/>
      <c r="G314" s="548"/>
      <c r="H314" s="539">
        <f t="shared" si="24"/>
        <v>0</v>
      </c>
      <c r="I314" s="549">
        <f t="shared" si="32"/>
        <v>0</v>
      </c>
      <c r="J314" s="547"/>
      <c r="K314" s="547"/>
      <c r="L314" s="548"/>
      <c r="M314" s="539">
        <f t="shared" si="25"/>
        <v>0</v>
      </c>
      <c r="N314" s="549">
        <f t="shared" si="33"/>
        <v>0</v>
      </c>
      <c r="O314" s="540">
        <f t="shared" si="26"/>
        <v>0</v>
      </c>
    </row>
    <row r="315" spans="1:15" ht="18.75" x14ac:dyDescent="0.25">
      <c r="A315" s="544"/>
      <c r="B315" s="561" t="s">
        <v>341</v>
      </c>
      <c r="C315" s="638" t="s">
        <v>894</v>
      </c>
      <c r="D315" s="555" t="s">
        <v>876</v>
      </c>
      <c r="E315" s="547">
        <v>6.03</v>
      </c>
      <c r="F315" s="547"/>
      <c r="G315" s="548">
        <f>G311</f>
        <v>1200000</v>
      </c>
      <c r="H315" s="539">
        <f t="shared" si="24"/>
        <v>1200000</v>
      </c>
      <c r="I315" s="549">
        <f t="shared" si="32"/>
        <v>7236000</v>
      </c>
      <c r="J315" s="547">
        <v>6.03</v>
      </c>
      <c r="K315" s="547"/>
      <c r="L315" s="548">
        <f>L311</f>
        <v>1200000</v>
      </c>
      <c r="M315" s="539">
        <f t="shared" si="25"/>
        <v>1200000</v>
      </c>
      <c r="N315" s="549">
        <f t="shared" si="33"/>
        <v>7236000</v>
      </c>
      <c r="O315" s="540">
        <f t="shared" si="26"/>
        <v>0</v>
      </c>
    </row>
    <row r="316" spans="1:15" ht="15.75" x14ac:dyDescent="0.25">
      <c r="A316" s="544"/>
      <c r="B316" s="561" t="s">
        <v>895</v>
      </c>
      <c r="C316" s="638" t="s">
        <v>344</v>
      </c>
      <c r="D316" s="555" t="s">
        <v>896</v>
      </c>
      <c r="E316" s="547">
        <f>E315*125</f>
        <v>753.75</v>
      </c>
      <c r="F316" s="547"/>
      <c r="G316" s="548">
        <f>G312</f>
        <v>18000</v>
      </c>
      <c r="H316" s="539">
        <f t="shared" si="24"/>
        <v>18000</v>
      </c>
      <c r="I316" s="549">
        <f t="shared" si="32"/>
        <v>13567500</v>
      </c>
      <c r="J316" s="547">
        <f>J315*125</f>
        <v>753.75</v>
      </c>
      <c r="K316" s="547"/>
      <c r="L316" s="548">
        <f>L312</f>
        <v>18000</v>
      </c>
      <c r="M316" s="539">
        <f t="shared" si="25"/>
        <v>18000</v>
      </c>
      <c r="N316" s="549">
        <f t="shared" si="33"/>
        <v>13567500</v>
      </c>
      <c r="O316" s="540">
        <f t="shared" si="26"/>
        <v>0</v>
      </c>
    </row>
    <row r="317" spans="1:15" ht="18.75" x14ac:dyDescent="0.25">
      <c r="A317" s="544"/>
      <c r="B317" s="561" t="s">
        <v>897</v>
      </c>
      <c r="C317" s="638" t="s">
        <v>898</v>
      </c>
      <c r="D317" s="555" t="s">
        <v>614</v>
      </c>
      <c r="E317" s="547">
        <f>6*3.5+24</f>
        <v>45</v>
      </c>
      <c r="F317" s="547"/>
      <c r="G317" s="548">
        <v>150000</v>
      </c>
      <c r="H317" s="539">
        <f t="shared" si="24"/>
        <v>150000</v>
      </c>
      <c r="I317" s="549">
        <f t="shared" si="32"/>
        <v>6750000</v>
      </c>
      <c r="J317" s="547">
        <f>6*3.5+24</f>
        <v>45</v>
      </c>
      <c r="K317" s="547"/>
      <c r="L317" s="548">
        <v>150000</v>
      </c>
      <c r="M317" s="539">
        <f t="shared" si="25"/>
        <v>150000</v>
      </c>
      <c r="N317" s="549">
        <f t="shared" si="33"/>
        <v>6750000</v>
      </c>
      <c r="O317" s="540">
        <f t="shared" si="26"/>
        <v>0</v>
      </c>
    </row>
    <row r="318" spans="1:15" ht="18.75" x14ac:dyDescent="0.25">
      <c r="A318" s="544">
        <v>7</v>
      </c>
      <c r="B318" s="633" t="s">
        <v>905</v>
      </c>
      <c r="C318" s="546" t="s">
        <v>353</v>
      </c>
      <c r="D318" s="555" t="s">
        <v>614</v>
      </c>
      <c r="E318" s="547">
        <v>37</v>
      </c>
      <c r="F318" s="547"/>
      <c r="G318" s="548">
        <v>100000</v>
      </c>
      <c r="H318" s="539">
        <f t="shared" si="24"/>
        <v>100000</v>
      </c>
      <c r="I318" s="549">
        <f t="shared" si="32"/>
        <v>3700000</v>
      </c>
      <c r="J318" s="547">
        <v>37</v>
      </c>
      <c r="K318" s="547"/>
      <c r="L318" s="548">
        <v>100000</v>
      </c>
      <c r="M318" s="539">
        <f t="shared" si="25"/>
        <v>100000</v>
      </c>
      <c r="N318" s="549">
        <f t="shared" si="33"/>
        <v>3700000</v>
      </c>
      <c r="O318" s="540">
        <f t="shared" si="26"/>
        <v>0</v>
      </c>
    </row>
    <row r="319" spans="1:15" ht="15.75" x14ac:dyDescent="0.25">
      <c r="A319" s="640"/>
      <c r="B319" s="641"/>
      <c r="C319" s="629" t="s">
        <v>906</v>
      </c>
      <c r="D319" s="642"/>
      <c r="E319" s="547"/>
      <c r="F319" s="547"/>
      <c r="G319" s="629"/>
      <c r="H319" s="539">
        <f t="shared" si="24"/>
        <v>0</v>
      </c>
      <c r="I319" s="636">
        <f>SUM(I291:I318)</f>
        <v>85593413.900000006</v>
      </c>
      <c r="J319" s="547"/>
      <c r="K319" s="547"/>
      <c r="L319" s="629"/>
      <c r="M319" s="539">
        <f t="shared" si="25"/>
        <v>0</v>
      </c>
      <c r="N319" s="636">
        <f>SUM(N291:N318)</f>
        <v>91473413.900000006</v>
      </c>
      <c r="O319" s="540">
        <f t="shared" si="26"/>
        <v>5880000</v>
      </c>
    </row>
    <row r="320" spans="1:15" ht="15.75" x14ac:dyDescent="0.25">
      <c r="A320" s="603" t="s">
        <v>907</v>
      </c>
      <c r="B320" s="604" t="s">
        <v>908</v>
      </c>
      <c r="C320" s="604"/>
      <c r="D320" s="604"/>
      <c r="E320" s="604"/>
      <c r="F320" s="604"/>
      <c r="G320" s="604"/>
      <c r="H320" s="539">
        <f t="shared" si="24"/>
        <v>0</v>
      </c>
      <c r="I320" s="604"/>
      <c r="J320" s="604"/>
      <c r="K320" s="604"/>
      <c r="L320" s="604"/>
      <c r="M320" s="539">
        <f t="shared" si="25"/>
        <v>0</v>
      </c>
      <c r="N320" s="596"/>
      <c r="O320" s="540">
        <f t="shared" si="26"/>
        <v>0</v>
      </c>
    </row>
    <row r="321" spans="1:15" ht="18.75" x14ac:dyDescent="0.25">
      <c r="A321" s="644">
        <v>1</v>
      </c>
      <c r="B321" s="635" t="s">
        <v>130</v>
      </c>
      <c r="C321" s="645" t="s">
        <v>909</v>
      </c>
      <c r="D321" s="536" t="s">
        <v>60</v>
      </c>
      <c r="E321" s="563">
        <v>80</v>
      </c>
      <c r="F321" s="563"/>
      <c r="G321" s="557">
        <v>34000</v>
      </c>
      <c r="H321" s="539">
        <f t="shared" si="24"/>
        <v>34000</v>
      </c>
      <c r="I321" s="596">
        <f>E321*G321</f>
        <v>2720000</v>
      </c>
      <c r="J321" s="563">
        <v>80</v>
      </c>
      <c r="K321" s="563"/>
      <c r="L321" s="557">
        <v>34000</v>
      </c>
      <c r="M321" s="539">
        <f t="shared" si="25"/>
        <v>34000</v>
      </c>
      <c r="N321" s="596">
        <f>J321*M321</f>
        <v>2720000</v>
      </c>
      <c r="O321" s="540">
        <f t="shared" si="26"/>
        <v>0</v>
      </c>
    </row>
    <row r="322" spans="1:15" ht="18.75" x14ac:dyDescent="0.25">
      <c r="A322" s="644">
        <v>2</v>
      </c>
      <c r="B322" s="635" t="s">
        <v>130</v>
      </c>
      <c r="C322" s="645" t="s">
        <v>910</v>
      </c>
      <c r="D322" s="536" t="s">
        <v>60</v>
      </c>
      <c r="E322" s="563">
        <v>70</v>
      </c>
      <c r="F322" s="563"/>
      <c r="G322" s="557">
        <v>40000</v>
      </c>
      <c r="H322" s="539">
        <f t="shared" si="24"/>
        <v>40000</v>
      </c>
      <c r="I322" s="596">
        <f t="shared" ref="I322:I327" si="34">E322*G322</f>
        <v>2800000</v>
      </c>
      <c r="J322" s="563">
        <v>70</v>
      </c>
      <c r="K322" s="563"/>
      <c r="L322" s="557">
        <v>40000</v>
      </c>
      <c r="M322" s="539">
        <f t="shared" si="25"/>
        <v>40000</v>
      </c>
      <c r="N322" s="596">
        <f t="shared" ref="N322:N327" si="35">J322*M322</f>
        <v>2800000</v>
      </c>
      <c r="O322" s="540">
        <f t="shared" si="26"/>
        <v>0</v>
      </c>
    </row>
    <row r="323" spans="1:15" ht="18.75" x14ac:dyDescent="0.25">
      <c r="A323" s="644">
        <v>3</v>
      </c>
      <c r="B323" s="635" t="s">
        <v>911</v>
      </c>
      <c r="C323" s="638" t="s">
        <v>912</v>
      </c>
      <c r="D323" s="536" t="s">
        <v>60</v>
      </c>
      <c r="E323" s="563">
        <v>12</v>
      </c>
      <c r="F323" s="563"/>
      <c r="G323" s="557">
        <v>125000</v>
      </c>
      <c r="H323" s="539">
        <f t="shared" si="24"/>
        <v>125000</v>
      </c>
      <c r="I323" s="596">
        <f t="shared" si="34"/>
        <v>1500000</v>
      </c>
      <c r="J323" s="563">
        <v>12</v>
      </c>
      <c r="K323" s="563"/>
      <c r="L323" s="557">
        <v>125000</v>
      </c>
      <c r="M323" s="539">
        <f t="shared" si="25"/>
        <v>125000</v>
      </c>
      <c r="N323" s="596">
        <f t="shared" si="35"/>
        <v>1500000</v>
      </c>
      <c r="O323" s="540">
        <f t="shared" si="26"/>
        <v>0</v>
      </c>
    </row>
    <row r="324" spans="1:15" ht="18.75" x14ac:dyDescent="0.25">
      <c r="A324" s="644">
        <v>4</v>
      </c>
      <c r="B324" s="635" t="s">
        <v>913</v>
      </c>
      <c r="C324" s="638" t="s">
        <v>914</v>
      </c>
      <c r="D324" s="536" t="s">
        <v>60</v>
      </c>
      <c r="E324" s="563">
        <v>6</v>
      </c>
      <c r="F324" s="563"/>
      <c r="G324" s="557">
        <v>55000</v>
      </c>
      <c r="H324" s="539">
        <f t="shared" si="24"/>
        <v>55000</v>
      </c>
      <c r="I324" s="596">
        <f t="shared" si="34"/>
        <v>330000</v>
      </c>
      <c r="J324" s="563">
        <v>6</v>
      </c>
      <c r="K324" s="563"/>
      <c r="L324" s="557">
        <v>55000</v>
      </c>
      <c r="M324" s="539">
        <f t="shared" si="25"/>
        <v>55000</v>
      </c>
      <c r="N324" s="596">
        <f t="shared" si="35"/>
        <v>330000</v>
      </c>
      <c r="O324" s="540">
        <f t="shared" si="26"/>
        <v>0</v>
      </c>
    </row>
    <row r="325" spans="1:15" ht="18.75" x14ac:dyDescent="0.25">
      <c r="A325" s="644">
        <v>5</v>
      </c>
      <c r="B325" s="635" t="s">
        <v>915</v>
      </c>
      <c r="C325" s="638" t="s">
        <v>916</v>
      </c>
      <c r="D325" s="536" t="s">
        <v>60</v>
      </c>
      <c r="E325" s="563">
        <v>36</v>
      </c>
      <c r="F325" s="563"/>
      <c r="G325" s="557">
        <v>130000</v>
      </c>
      <c r="H325" s="539">
        <f t="shared" si="24"/>
        <v>130000</v>
      </c>
      <c r="I325" s="596">
        <f t="shared" si="34"/>
        <v>4680000</v>
      </c>
      <c r="J325" s="563">
        <v>36</v>
      </c>
      <c r="K325" s="563"/>
      <c r="L325" s="557">
        <v>130000</v>
      </c>
      <c r="M325" s="539">
        <f t="shared" si="25"/>
        <v>130000</v>
      </c>
      <c r="N325" s="596">
        <f t="shared" si="35"/>
        <v>4680000</v>
      </c>
      <c r="O325" s="540">
        <f t="shared" si="26"/>
        <v>0</v>
      </c>
    </row>
    <row r="326" spans="1:15" ht="18.75" x14ac:dyDescent="0.25">
      <c r="A326" s="644">
        <v>6</v>
      </c>
      <c r="B326" s="635" t="s">
        <v>252</v>
      </c>
      <c r="C326" s="562" t="s">
        <v>917</v>
      </c>
      <c r="D326" s="536" t="s">
        <v>60</v>
      </c>
      <c r="E326" s="563">
        <v>20</v>
      </c>
      <c r="F326" s="563"/>
      <c r="G326" s="557">
        <v>110000</v>
      </c>
      <c r="H326" s="539">
        <f t="shared" si="24"/>
        <v>110000</v>
      </c>
      <c r="I326" s="596">
        <f t="shared" si="34"/>
        <v>2200000</v>
      </c>
      <c r="J326" s="563">
        <v>20</v>
      </c>
      <c r="K326" s="563"/>
      <c r="L326" s="557">
        <v>110000</v>
      </c>
      <c r="M326" s="539">
        <f t="shared" si="25"/>
        <v>110000</v>
      </c>
      <c r="N326" s="596">
        <f t="shared" si="35"/>
        <v>2200000</v>
      </c>
      <c r="O326" s="540">
        <f t="shared" si="26"/>
        <v>0</v>
      </c>
    </row>
    <row r="327" spans="1:15" ht="18.75" x14ac:dyDescent="0.25">
      <c r="A327" s="644">
        <v>7</v>
      </c>
      <c r="B327" s="635" t="s">
        <v>918</v>
      </c>
      <c r="C327" s="638" t="s">
        <v>919</v>
      </c>
      <c r="D327" s="536" t="s">
        <v>60</v>
      </c>
      <c r="E327" s="563">
        <v>36</v>
      </c>
      <c r="F327" s="563"/>
      <c r="G327" s="557">
        <v>35000</v>
      </c>
      <c r="H327" s="539">
        <f t="shared" si="24"/>
        <v>35000</v>
      </c>
      <c r="I327" s="596">
        <f t="shared" si="34"/>
        <v>1260000</v>
      </c>
      <c r="J327" s="563">
        <v>36</v>
      </c>
      <c r="K327" s="563"/>
      <c r="L327" s="557">
        <v>35000</v>
      </c>
      <c r="M327" s="539">
        <f t="shared" si="25"/>
        <v>35000</v>
      </c>
      <c r="N327" s="596">
        <f t="shared" si="35"/>
        <v>1260000</v>
      </c>
      <c r="O327" s="540">
        <f t="shared" si="26"/>
        <v>0</v>
      </c>
    </row>
    <row r="328" spans="1:15" ht="15.75" x14ac:dyDescent="0.25">
      <c r="A328" s="603"/>
      <c r="B328" s="628"/>
      <c r="C328" s="629" t="s">
        <v>920</v>
      </c>
      <c r="D328" s="621"/>
      <c r="E328" s="621"/>
      <c r="F328" s="621"/>
      <c r="G328" s="629"/>
      <c r="H328" s="539">
        <f t="shared" si="24"/>
        <v>0</v>
      </c>
      <c r="I328" s="631">
        <f>SUM(I321:I327)</f>
        <v>15490000</v>
      </c>
      <c r="J328" s="621"/>
      <c r="K328" s="621"/>
      <c r="L328" s="629"/>
      <c r="M328" s="539">
        <f t="shared" si="25"/>
        <v>0</v>
      </c>
      <c r="N328" s="631">
        <f>SUM(N321:N327)</f>
        <v>15490000</v>
      </c>
      <c r="O328" s="540">
        <f t="shared" si="26"/>
        <v>0</v>
      </c>
    </row>
    <row r="329" spans="1:15" ht="15.75" x14ac:dyDescent="0.25">
      <c r="A329" s="603" t="s">
        <v>921</v>
      </c>
      <c r="B329" s="604" t="s">
        <v>922</v>
      </c>
      <c r="C329" s="628" t="s">
        <v>923</v>
      </c>
      <c r="D329" s="621"/>
      <c r="E329" s="621"/>
      <c r="F329" s="621"/>
      <c r="G329" s="621"/>
      <c r="H329" s="539">
        <f t="shared" si="24"/>
        <v>0</v>
      </c>
      <c r="I329" s="631"/>
      <c r="J329" s="621"/>
      <c r="K329" s="621"/>
      <c r="L329" s="621"/>
      <c r="M329" s="539">
        <f t="shared" si="25"/>
        <v>0</v>
      </c>
      <c r="N329" s="631"/>
      <c r="O329" s="540">
        <f t="shared" si="26"/>
        <v>0</v>
      </c>
    </row>
    <row r="330" spans="1:15" ht="15.75" x14ac:dyDescent="0.25">
      <c r="A330" s="644">
        <v>1</v>
      </c>
      <c r="B330" s="646" t="s">
        <v>924</v>
      </c>
      <c r="C330" s="606"/>
      <c r="D330" s="557" t="s">
        <v>925</v>
      </c>
      <c r="E330" s="563">
        <v>36</v>
      </c>
      <c r="F330" s="563"/>
      <c r="G330" s="557">
        <v>250000</v>
      </c>
      <c r="H330" s="539">
        <f t="shared" ref="H330:H344" si="36">F330+G330</f>
        <v>250000</v>
      </c>
      <c r="I330" s="596">
        <f>E330*G330</f>
        <v>9000000</v>
      </c>
      <c r="J330" s="563">
        <v>36</v>
      </c>
      <c r="K330" s="563"/>
      <c r="L330" s="557">
        <v>250000</v>
      </c>
      <c r="M330" s="539">
        <f t="shared" ref="M330:M344" si="37">K330+L330</f>
        <v>250000</v>
      </c>
      <c r="N330" s="596">
        <f>J330*M330</f>
        <v>9000000</v>
      </c>
      <c r="O330" s="540">
        <f t="shared" ref="O330:O346" si="38">N330-I330</f>
        <v>0</v>
      </c>
    </row>
    <row r="331" spans="1:15" ht="15.75" x14ac:dyDescent="0.25">
      <c r="A331" s="644">
        <f t="shared" ref="A331:A344" si="39">A330+1</f>
        <v>2</v>
      </c>
      <c r="B331" s="635" t="s">
        <v>926</v>
      </c>
      <c r="C331" s="634"/>
      <c r="D331" s="557" t="s">
        <v>925</v>
      </c>
      <c r="E331" s="563">
        <v>28</v>
      </c>
      <c r="F331" s="563"/>
      <c r="G331" s="557">
        <v>275000</v>
      </c>
      <c r="H331" s="539">
        <f t="shared" si="36"/>
        <v>275000</v>
      </c>
      <c r="I331" s="596">
        <f t="shared" ref="I331:I344" si="40">E331*G331</f>
        <v>7700000</v>
      </c>
      <c r="J331" s="563">
        <v>28</v>
      </c>
      <c r="K331" s="563"/>
      <c r="L331" s="557">
        <v>275000</v>
      </c>
      <c r="M331" s="539">
        <f t="shared" si="37"/>
        <v>275000</v>
      </c>
      <c r="N331" s="596">
        <f t="shared" ref="N331:N344" si="41">J331*M331</f>
        <v>7700000</v>
      </c>
      <c r="O331" s="540">
        <f t="shared" si="38"/>
        <v>0</v>
      </c>
    </row>
    <row r="332" spans="1:15" ht="15.75" x14ac:dyDescent="0.25">
      <c r="A332" s="644">
        <f t="shared" si="39"/>
        <v>3</v>
      </c>
      <c r="B332" s="635" t="s">
        <v>255</v>
      </c>
      <c r="C332" s="634"/>
      <c r="D332" s="536" t="s">
        <v>218</v>
      </c>
      <c r="E332" s="563">
        <v>8</v>
      </c>
      <c r="F332" s="563"/>
      <c r="G332" s="557">
        <v>55000</v>
      </c>
      <c r="H332" s="539">
        <f t="shared" si="36"/>
        <v>55000</v>
      </c>
      <c r="I332" s="596">
        <f t="shared" si="40"/>
        <v>440000</v>
      </c>
      <c r="J332" s="563">
        <v>8</v>
      </c>
      <c r="K332" s="563"/>
      <c r="L332" s="557">
        <v>55000</v>
      </c>
      <c r="M332" s="539">
        <f t="shared" si="37"/>
        <v>55000</v>
      </c>
      <c r="N332" s="596">
        <f t="shared" si="41"/>
        <v>440000</v>
      </c>
      <c r="O332" s="540">
        <f t="shared" si="38"/>
        <v>0</v>
      </c>
    </row>
    <row r="333" spans="1:15" ht="15.75" x14ac:dyDescent="0.25">
      <c r="A333" s="644">
        <f t="shared" si="39"/>
        <v>4</v>
      </c>
      <c r="B333" s="635" t="s">
        <v>927</v>
      </c>
      <c r="C333" s="634"/>
      <c r="D333" s="536" t="s">
        <v>218</v>
      </c>
      <c r="E333" s="563">
        <v>2</v>
      </c>
      <c r="F333" s="563"/>
      <c r="G333" s="557">
        <v>45000</v>
      </c>
      <c r="H333" s="539">
        <f t="shared" si="36"/>
        <v>45000</v>
      </c>
      <c r="I333" s="596">
        <f t="shared" si="40"/>
        <v>90000</v>
      </c>
      <c r="J333" s="563">
        <v>2</v>
      </c>
      <c r="K333" s="563"/>
      <c r="L333" s="557">
        <v>45000</v>
      </c>
      <c r="M333" s="539">
        <f t="shared" si="37"/>
        <v>45000</v>
      </c>
      <c r="N333" s="596">
        <f t="shared" si="41"/>
        <v>90000</v>
      </c>
      <c r="O333" s="540">
        <f t="shared" si="38"/>
        <v>0</v>
      </c>
    </row>
    <row r="334" spans="1:15" ht="15.75" x14ac:dyDescent="0.25">
      <c r="A334" s="644">
        <v>5</v>
      </c>
      <c r="B334" s="635" t="s">
        <v>928</v>
      </c>
      <c r="C334" s="634"/>
      <c r="D334" s="536" t="s">
        <v>218</v>
      </c>
      <c r="E334" s="563">
        <v>28</v>
      </c>
      <c r="F334" s="563"/>
      <c r="G334" s="557">
        <v>55000</v>
      </c>
      <c r="H334" s="539">
        <f t="shared" si="36"/>
        <v>55000</v>
      </c>
      <c r="I334" s="596">
        <f t="shared" si="40"/>
        <v>1540000</v>
      </c>
      <c r="J334" s="563">
        <v>28</v>
      </c>
      <c r="K334" s="563"/>
      <c r="L334" s="557">
        <v>55000</v>
      </c>
      <c r="M334" s="539">
        <f t="shared" si="37"/>
        <v>55000</v>
      </c>
      <c r="N334" s="596">
        <f t="shared" si="41"/>
        <v>1540000</v>
      </c>
      <c r="O334" s="540">
        <f t="shared" si="38"/>
        <v>0</v>
      </c>
    </row>
    <row r="335" spans="1:15" ht="15.75" x14ac:dyDescent="0.25">
      <c r="A335" s="644">
        <f t="shared" si="39"/>
        <v>6</v>
      </c>
      <c r="B335" s="635" t="s">
        <v>929</v>
      </c>
      <c r="C335" s="634"/>
      <c r="D335" s="557" t="s">
        <v>925</v>
      </c>
      <c r="E335" s="563">
        <v>4</v>
      </c>
      <c r="F335" s="563"/>
      <c r="G335" s="557">
        <v>55000</v>
      </c>
      <c r="H335" s="539">
        <f t="shared" si="36"/>
        <v>55000</v>
      </c>
      <c r="I335" s="596">
        <f t="shared" si="40"/>
        <v>220000</v>
      </c>
      <c r="J335" s="563">
        <v>4</v>
      </c>
      <c r="K335" s="563"/>
      <c r="L335" s="557">
        <v>55000</v>
      </c>
      <c r="M335" s="539">
        <f t="shared" si="37"/>
        <v>55000</v>
      </c>
      <c r="N335" s="596">
        <f t="shared" si="41"/>
        <v>220000</v>
      </c>
      <c r="O335" s="540">
        <f t="shared" si="38"/>
        <v>0</v>
      </c>
    </row>
    <row r="336" spans="1:15" ht="15.75" x14ac:dyDescent="0.25">
      <c r="A336" s="644">
        <f t="shared" si="39"/>
        <v>7</v>
      </c>
      <c r="B336" s="635" t="s">
        <v>930</v>
      </c>
      <c r="C336" s="634"/>
      <c r="D336" s="557" t="s">
        <v>925</v>
      </c>
      <c r="E336" s="563">
        <v>4</v>
      </c>
      <c r="F336" s="563"/>
      <c r="G336" s="557">
        <v>550000</v>
      </c>
      <c r="H336" s="539">
        <f t="shared" si="36"/>
        <v>550000</v>
      </c>
      <c r="I336" s="596">
        <f t="shared" si="40"/>
        <v>2200000</v>
      </c>
      <c r="J336" s="563">
        <v>4</v>
      </c>
      <c r="K336" s="563"/>
      <c r="L336" s="557">
        <v>550000</v>
      </c>
      <c r="M336" s="539">
        <f t="shared" si="37"/>
        <v>550000</v>
      </c>
      <c r="N336" s="596">
        <f t="shared" si="41"/>
        <v>2200000</v>
      </c>
      <c r="O336" s="540">
        <f t="shared" si="38"/>
        <v>0</v>
      </c>
    </row>
    <row r="337" spans="1:15" ht="15.75" x14ac:dyDescent="0.25">
      <c r="A337" s="644">
        <f t="shared" si="39"/>
        <v>8</v>
      </c>
      <c r="B337" s="635" t="s">
        <v>931</v>
      </c>
      <c r="C337" s="634"/>
      <c r="D337" s="536" t="s">
        <v>218</v>
      </c>
      <c r="E337" s="563">
        <v>8</v>
      </c>
      <c r="F337" s="563"/>
      <c r="G337" s="647">
        <v>45000</v>
      </c>
      <c r="H337" s="539">
        <f t="shared" si="36"/>
        <v>45000</v>
      </c>
      <c r="I337" s="596">
        <f t="shared" si="40"/>
        <v>360000</v>
      </c>
      <c r="J337" s="563">
        <v>8</v>
      </c>
      <c r="K337" s="563"/>
      <c r="L337" s="647">
        <v>45000</v>
      </c>
      <c r="M337" s="539">
        <f t="shared" si="37"/>
        <v>45000</v>
      </c>
      <c r="N337" s="596">
        <f t="shared" si="41"/>
        <v>360000</v>
      </c>
      <c r="O337" s="540">
        <f t="shared" si="38"/>
        <v>0</v>
      </c>
    </row>
    <row r="338" spans="1:15" ht="15.75" x14ac:dyDescent="0.25">
      <c r="A338" s="644">
        <f t="shared" si="39"/>
        <v>9</v>
      </c>
      <c r="B338" s="635" t="s">
        <v>257</v>
      </c>
      <c r="C338" s="634"/>
      <c r="D338" s="536" t="s">
        <v>218</v>
      </c>
      <c r="E338" s="563">
        <v>32</v>
      </c>
      <c r="F338" s="563"/>
      <c r="G338" s="648">
        <v>150000</v>
      </c>
      <c r="H338" s="539">
        <f t="shared" si="36"/>
        <v>150000</v>
      </c>
      <c r="I338" s="596">
        <f t="shared" si="40"/>
        <v>4800000</v>
      </c>
      <c r="J338" s="563">
        <v>32</v>
      </c>
      <c r="K338" s="563"/>
      <c r="L338" s="648">
        <v>150000</v>
      </c>
      <c r="M338" s="539">
        <f t="shared" si="37"/>
        <v>150000</v>
      </c>
      <c r="N338" s="596">
        <f t="shared" si="41"/>
        <v>4800000</v>
      </c>
      <c r="O338" s="540">
        <f t="shared" si="38"/>
        <v>0</v>
      </c>
    </row>
    <row r="339" spans="1:15" ht="15.75" x14ac:dyDescent="0.25">
      <c r="A339" s="644">
        <f t="shared" si="39"/>
        <v>10</v>
      </c>
      <c r="B339" s="635" t="s">
        <v>932</v>
      </c>
      <c r="C339" s="634"/>
      <c r="D339" s="557" t="s">
        <v>933</v>
      </c>
      <c r="E339" s="563">
        <v>2</v>
      </c>
      <c r="F339" s="563"/>
      <c r="G339" s="557">
        <v>1500000</v>
      </c>
      <c r="H339" s="539">
        <f t="shared" si="36"/>
        <v>1500000</v>
      </c>
      <c r="I339" s="596">
        <f t="shared" si="40"/>
        <v>3000000</v>
      </c>
      <c r="J339" s="563">
        <v>2</v>
      </c>
      <c r="K339" s="563"/>
      <c r="L339" s="557">
        <v>1500000</v>
      </c>
      <c r="M339" s="539">
        <f t="shared" si="37"/>
        <v>1500000</v>
      </c>
      <c r="N339" s="596">
        <f t="shared" si="41"/>
        <v>3000000</v>
      </c>
      <c r="O339" s="540">
        <f t="shared" si="38"/>
        <v>0</v>
      </c>
    </row>
    <row r="340" spans="1:15" ht="18.75" x14ac:dyDescent="0.25">
      <c r="A340" s="644">
        <v>11</v>
      </c>
      <c r="B340" s="635" t="s">
        <v>934</v>
      </c>
      <c r="C340" s="634"/>
      <c r="D340" s="536" t="s">
        <v>60</v>
      </c>
      <c r="E340" s="563">
        <v>36</v>
      </c>
      <c r="F340" s="563"/>
      <c r="G340" s="649">
        <v>80000</v>
      </c>
      <c r="H340" s="539">
        <f t="shared" si="36"/>
        <v>80000</v>
      </c>
      <c r="I340" s="596">
        <f t="shared" si="40"/>
        <v>2880000</v>
      </c>
      <c r="J340" s="563">
        <v>36</v>
      </c>
      <c r="K340" s="563"/>
      <c r="L340" s="649">
        <v>80000</v>
      </c>
      <c r="M340" s="539">
        <f t="shared" si="37"/>
        <v>80000</v>
      </c>
      <c r="N340" s="596">
        <f t="shared" si="41"/>
        <v>2880000</v>
      </c>
      <c r="O340" s="540">
        <f t="shared" si="38"/>
        <v>0</v>
      </c>
    </row>
    <row r="341" spans="1:15" ht="15.75" x14ac:dyDescent="0.25">
      <c r="A341" s="644">
        <f t="shared" si="39"/>
        <v>12</v>
      </c>
      <c r="B341" s="635" t="s">
        <v>935</v>
      </c>
      <c r="C341" s="554" t="s">
        <v>936</v>
      </c>
      <c r="D341" s="557" t="s">
        <v>925</v>
      </c>
      <c r="E341" s="563">
        <v>4</v>
      </c>
      <c r="F341" s="563"/>
      <c r="G341" s="557">
        <v>350000</v>
      </c>
      <c r="H341" s="539">
        <f t="shared" si="36"/>
        <v>350000</v>
      </c>
      <c r="I341" s="596">
        <f t="shared" si="40"/>
        <v>1400000</v>
      </c>
      <c r="J341" s="563">
        <v>4</v>
      </c>
      <c r="K341" s="563"/>
      <c r="L341" s="557">
        <v>350000</v>
      </c>
      <c r="M341" s="539">
        <f t="shared" si="37"/>
        <v>350000</v>
      </c>
      <c r="N341" s="596">
        <f t="shared" si="41"/>
        <v>1400000</v>
      </c>
      <c r="O341" s="540">
        <f t="shared" si="38"/>
        <v>0</v>
      </c>
    </row>
    <row r="342" spans="1:15" ht="15.75" x14ac:dyDescent="0.25">
      <c r="A342" s="644">
        <f t="shared" si="39"/>
        <v>13</v>
      </c>
      <c r="B342" s="635" t="s">
        <v>937</v>
      </c>
      <c r="C342" s="634"/>
      <c r="D342" s="557" t="s">
        <v>925</v>
      </c>
      <c r="E342" s="563">
        <v>6</v>
      </c>
      <c r="F342" s="563"/>
      <c r="G342" s="557">
        <v>350000</v>
      </c>
      <c r="H342" s="539">
        <f t="shared" si="36"/>
        <v>350000</v>
      </c>
      <c r="I342" s="596">
        <f t="shared" si="40"/>
        <v>2100000</v>
      </c>
      <c r="J342" s="563">
        <v>6</v>
      </c>
      <c r="K342" s="563"/>
      <c r="L342" s="557">
        <v>350000</v>
      </c>
      <c r="M342" s="539">
        <f t="shared" si="37"/>
        <v>350000</v>
      </c>
      <c r="N342" s="596">
        <f t="shared" si="41"/>
        <v>2100000</v>
      </c>
      <c r="O342" s="540">
        <f t="shared" si="38"/>
        <v>0</v>
      </c>
    </row>
    <row r="343" spans="1:15" ht="15.75" x14ac:dyDescent="0.25">
      <c r="A343" s="644">
        <f t="shared" si="39"/>
        <v>14</v>
      </c>
      <c r="B343" s="635" t="s">
        <v>938</v>
      </c>
      <c r="C343" s="634"/>
      <c r="D343" s="650" t="s">
        <v>212</v>
      </c>
      <c r="E343" s="563">
        <v>6</v>
      </c>
      <c r="F343" s="563"/>
      <c r="G343" s="557">
        <v>500000</v>
      </c>
      <c r="H343" s="539">
        <f t="shared" si="36"/>
        <v>500000</v>
      </c>
      <c r="I343" s="596">
        <f t="shared" si="40"/>
        <v>3000000</v>
      </c>
      <c r="J343" s="563">
        <v>6</v>
      </c>
      <c r="K343" s="563"/>
      <c r="L343" s="557">
        <v>500000</v>
      </c>
      <c r="M343" s="539">
        <f t="shared" si="37"/>
        <v>500000</v>
      </c>
      <c r="N343" s="596">
        <f t="shared" si="41"/>
        <v>3000000</v>
      </c>
      <c r="O343" s="540">
        <f t="shared" si="38"/>
        <v>0</v>
      </c>
    </row>
    <row r="344" spans="1:15" ht="15.75" x14ac:dyDescent="0.25">
      <c r="A344" s="644">
        <f t="shared" si="39"/>
        <v>15</v>
      </c>
      <c r="B344" s="651" t="s">
        <v>939</v>
      </c>
      <c r="C344" s="652" t="s">
        <v>940</v>
      </c>
      <c r="D344" s="653" t="s">
        <v>178</v>
      </c>
      <c r="E344" s="563">
        <v>50</v>
      </c>
      <c r="F344" s="563"/>
      <c r="G344" s="557">
        <v>45000</v>
      </c>
      <c r="H344" s="539">
        <f t="shared" si="36"/>
        <v>45000</v>
      </c>
      <c r="I344" s="596">
        <f t="shared" si="40"/>
        <v>2250000</v>
      </c>
      <c r="J344" s="563">
        <v>50</v>
      </c>
      <c r="K344" s="563"/>
      <c r="L344" s="557">
        <v>45000</v>
      </c>
      <c r="M344" s="539">
        <f t="shared" si="37"/>
        <v>45000</v>
      </c>
      <c r="N344" s="596">
        <f t="shared" si="41"/>
        <v>2250000</v>
      </c>
      <c r="O344" s="540">
        <f t="shared" si="38"/>
        <v>0</v>
      </c>
    </row>
    <row r="345" spans="1:15" ht="15.75" x14ac:dyDescent="0.25">
      <c r="A345" s="603"/>
      <c r="B345" s="628"/>
      <c r="C345" s="629" t="s">
        <v>941</v>
      </c>
      <c r="D345" s="621"/>
      <c r="E345" s="621"/>
      <c r="F345" s="621"/>
      <c r="G345" s="629"/>
      <c r="H345" s="654"/>
      <c r="I345" s="631">
        <f>SUM(I330:I344)</f>
        <v>40980000</v>
      </c>
      <c r="J345" s="621"/>
      <c r="K345" s="621"/>
      <c r="L345" s="629"/>
      <c r="M345" s="654"/>
      <c r="N345" s="631">
        <f>SUM(N330:N344)</f>
        <v>40980000</v>
      </c>
      <c r="O345" s="540">
        <f t="shared" si="38"/>
        <v>0</v>
      </c>
    </row>
    <row r="346" spans="1:15" ht="16.5" thickBot="1" x14ac:dyDescent="0.3">
      <c r="A346" s="567"/>
      <c r="B346" s="554"/>
      <c r="C346" s="554"/>
      <c r="D346" s="536"/>
      <c r="E346" s="655"/>
      <c r="F346" s="655"/>
      <c r="G346" s="656"/>
      <c r="H346" s="657"/>
      <c r="I346" s="658"/>
      <c r="J346" s="655"/>
      <c r="K346" s="655"/>
      <c r="L346" s="656"/>
      <c r="M346" s="657"/>
      <c r="N346" s="549"/>
      <c r="O346" s="540">
        <f t="shared" si="38"/>
        <v>0</v>
      </c>
    </row>
    <row r="347" spans="1:15" ht="16.5" thickBot="1" x14ac:dyDescent="0.3">
      <c r="A347" s="659"/>
      <c r="B347" s="660"/>
      <c r="C347" s="661"/>
      <c r="D347" s="662"/>
      <c r="E347" s="663"/>
      <c r="F347" s="664"/>
      <c r="G347" s="665"/>
      <c r="H347" s="666"/>
      <c r="I347" s="667"/>
      <c r="J347" s="663"/>
      <c r="K347" s="664"/>
      <c r="L347" s="665"/>
      <c r="M347" s="666"/>
      <c r="N347" s="667"/>
      <c r="O347" s="668">
        <f>O12+O73+O88+O146+O202+O270+O282+O288+O319+O328+O345</f>
        <v>-237501640</v>
      </c>
    </row>
    <row r="348" spans="1:15" ht="15.75" x14ac:dyDescent="0.25">
      <c r="A348" s="669"/>
      <c r="B348" s="670"/>
      <c r="C348" s="671"/>
      <c r="D348" s="672"/>
      <c r="E348" s="672"/>
      <c r="F348" s="672"/>
      <c r="G348" s="672"/>
      <c r="H348" s="672"/>
      <c r="I348" s="673"/>
      <c r="J348" s="672"/>
      <c r="K348" s="672"/>
      <c r="L348" s="672"/>
      <c r="M348" s="672"/>
      <c r="N348" s="673"/>
      <c r="O348" s="673"/>
    </row>
    <row r="349" spans="1:15" ht="15.75" x14ac:dyDescent="0.25">
      <c r="A349" s="554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4"/>
    </row>
    <row r="350" spans="1:15" ht="15.75" x14ac:dyDescent="0.25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4"/>
    </row>
    <row r="351" spans="1:15" ht="16.5" thickBot="1" x14ac:dyDescent="0.3">
      <c r="A351" s="674" t="s">
        <v>942</v>
      </c>
      <c r="B351" s="675" t="s">
        <v>943</v>
      </c>
      <c r="C351" s="675"/>
      <c r="D351" s="676"/>
      <c r="E351" s="677"/>
      <c r="F351" s="677"/>
      <c r="G351" s="678"/>
      <c r="H351" s="678"/>
      <c r="I351" s="679"/>
      <c r="J351" s="677"/>
      <c r="K351" s="677"/>
      <c r="L351" s="678"/>
      <c r="M351" s="678"/>
      <c r="N351" s="679"/>
      <c r="O351" s="679"/>
    </row>
    <row r="352" spans="1:15" ht="47.25" x14ac:dyDescent="0.25">
      <c r="A352" s="953" t="s">
        <v>9</v>
      </c>
      <c r="B352" s="955" t="s">
        <v>10</v>
      </c>
      <c r="C352" s="680" t="s">
        <v>11</v>
      </c>
      <c r="D352" s="955" t="s">
        <v>12</v>
      </c>
      <c r="E352" s="957" t="s">
        <v>13</v>
      </c>
      <c r="F352" s="951" t="s">
        <v>14</v>
      </c>
      <c r="G352" s="952"/>
      <c r="H352" s="521" t="s">
        <v>603</v>
      </c>
      <c r="I352" s="681" t="s">
        <v>15</v>
      </c>
      <c r="J352" s="957" t="s">
        <v>13</v>
      </c>
      <c r="K352" s="951" t="s">
        <v>14</v>
      </c>
      <c r="L352" s="952"/>
      <c r="M352" s="521" t="s">
        <v>603</v>
      </c>
      <c r="N352" s="681" t="s">
        <v>15</v>
      </c>
      <c r="O352" s="681" t="s">
        <v>15</v>
      </c>
    </row>
    <row r="353" spans="1:15" ht="16.5" thickBot="1" x14ac:dyDescent="0.3">
      <c r="A353" s="954"/>
      <c r="B353" s="956"/>
      <c r="C353" s="682"/>
      <c r="D353" s="956"/>
      <c r="E353" s="958"/>
      <c r="F353" s="523" t="s">
        <v>605</v>
      </c>
      <c r="G353" s="524" t="s">
        <v>606</v>
      </c>
      <c r="H353" s="525" t="s">
        <v>16</v>
      </c>
      <c r="I353" s="683" t="s">
        <v>16</v>
      </c>
      <c r="J353" s="958"/>
      <c r="K353" s="523" t="s">
        <v>605</v>
      </c>
      <c r="L353" s="524" t="s">
        <v>606</v>
      </c>
      <c r="M353" s="525" t="s">
        <v>16</v>
      </c>
      <c r="N353" s="683" t="s">
        <v>16</v>
      </c>
      <c r="O353" s="683" t="s">
        <v>16</v>
      </c>
    </row>
    <row r="354" spans="1:15" ht="15.75" x14ac:dyDescent="0.25">
      <c r="A354" s="684" t="s">
        <v>297</v>
      </c>
      <c r="B354" s="527" t="s">
        <v>289</v>
      </c>
      <c r="C354" s="529"/>
      <c r="D354" s="529"/>
      <c r="E354" s="685"/>
      <c r="F354" s="685"/>
      <c r="G354" s="686"/>
      <c r="H354" s="687"/>
      <c r="I354" s="688"/>
      <c r="J354" s="688"/>
      <c r="K354" s="685"/>
      <c r="L354" s="686"/>
      <c r="M354" s="687"/>
      <c r="N354" s="688"/>
    </row>
    <row r="355" spans="1:15" ht="15.75" x14ac:dyDescent="0.25">
      <c r="A355" s="534">
        <v>1</v>
      </c>
      <c r="B355" s="535" t="s">
        <v>944</v>
      </c>
      <c r="C355" s="536"/>
      <c r="D355" s="536" t="s">
        <v>29</v>
      </c>
      <c r="E355" s="537">
        <v>1</v>
      </c>
      <c r="F355" s="537"/>
      <c r="G355" s="538">
        <v>500000</v>
      </c>
      <c r="H355" s="539">
        <f>F355+G355</f>
        <v>500000</v>
      </c>
      <c r="I355" s="689">
        <f>E355*G355</f>
        <v>500000</v>
      </c>
      <c r="J355" s="537">
        <v>1</v>
      </c>
      <c r="K355" s="537"/>
      <c r="L355" s="538">
        <v>500000</v>
      </c>
      <c r="M355" s="539">
        <f>K355+L355</f>
        <v>500000</v>
      </c>
      <c r="N355" s="689">
        <f>J355*M355</f>
        <v>500000</v>
      </c>
      <c r="O355" s="689">
        <f>N355-I355</f>
        <v>0</v>
      </c>
    </row>
    <row r="356" spans="1:15" ht="15.75" x14ac:dyDescent="0.25">
      <c r="A356" s="534">
        <v>2</v>
      </c>
      <c r="B356" s="535" t="s">
        <v>945</v>
      </c>
      <c r="C356" s="536"/>
      <c r="D356" s="536" t="s">
        <v>29</v>
      </c>
      <c r="E356" s="537">
        <v>1</v>
      </c>
      <c r="F356" s="537"/>
      <c r="G356" s="538">
        <v>3000000</v>
      </c>
      <c r="H356" s="539">
        <f t="shared" ref="H356:H412" si="42">F356+G356</f>
        <v>3000000</v>
      </c>
      <c r="I356" s="689">
        <f>E356*G356</f>
        <v>3000000</v>
      </c>
      <c r="J356" s="537">
        <v>1</v>
      </c>
      <c r="K356" s="537"/>
      <c r="L356" s="538">
        <v>3000000</v>
      </c>
      <c r="M356" s="539">
        <f t="shared" ref="M356:M412" si="43">K356+L356</f>
        <v>3000000</v>
      </c>
      <c r="N356" s="689">
        <f t="shared" ref="N356:N357" si="44">J356*M356</f>
        <v>3000000</v>
      </c>
      <c r="O356" s="689">
        <f t="shared" ref="O356:O413" si="45">N356-I356</f>
        <v>0</v>
      </c>
    </row>
    <row r="357" spans="1:15" ht="15.75" x14ac:dyDescent="0.25">
      <c r="A357" s="534">
        <v>3</v>
      </c>
      <c r="B357" s="535" t="s">
        <v>946</v>
      </c>
      <c r="C357" s="536"/>
      <c r="D357" s="536" t="s">
        <v>29</v>
      </c>
      <c r="E357" s="537">
        <v>1</v>
      </c>
      <c r="F357" s="537"/>
      <c r="G357" s="538">
        <v>2000000</v>
      </c>
      <c r="H357" s="539">
        <f t="shared" si="42"/>
        <v>2000000</v>
      </c>
      <c r="I357" s="689">
        <f>E357*G357</f>
        <v>2000000</v>
      </c>
      <c r="J357" s="537">
        <v>1</v>
      </c>
      <c r="K357" s="537"/>
      <c r="L357" s="538">
        <v>2000000</v>
      </c>
      <c r="M357" s="539">
        <f t="shared" si="43"/>
        <v>2000000</v>
      </c>
      <c r="N357" s="689">
        <f t="shared" si="44"/>
        <v>2000000</v>
      </c>
      <c r="O357" s="689">
        <f t="shared" si="45"/>
        <v>0</v>
      </c>
    </row>
    <row r="358" spans="1:15" ht="15.75" x14ac:dyDescent="0.25">
      <c r="A358" s="534"/>
      <c r="B358" s="535"/>
      <c r="C358" s="542" t="s">
        <v>22</v>
      </c>
      <c r="D358" s="536"/>
      <c r="E358" s="537"/>
      <c r="F358" s="537"/>
      <c r="G358" s="542"/>
      <c r="H358" s="539">
        <f t="shared" si="42"/>
        <v>0</v>
      </c>
      <c r="I358" s="543">
        <f>SUM(I355:I357)</f>
        <v>5500000</v>
      </c>
      <c r="J358" s="537"/>
      <c r="K358" s="537"/>
      <c r="L358" s="542"/>
      <c r="M358" s="539">
        <f t="shared" si="43"/>
        <v>0</v>
      </c>
      <c r="N358" s="543">
        <f>SUM(N355:N357)</f>
        <v>5500000</v>
      </c>
      <c r="O358" s="689">
        <f t="shared" si="45"/>
        <v>0</v>
      </c>
    </row>
    <row r="359" spans="1:15" ht="15.75" x14ac:dyDescent="0.25">
      <c r="A359" s="690" t="s">
        <v>328</v>
      </c>
      <c r="B359" s="691" t="s">
        <v>947</v>
      </c>
      <c r="C359" s="536"/>
      <c r="D359" s="692"/>
      <c r="E359" s="693"/>
      <c r="F359" s="693"/>
      <c r="G359" s="694"/>
      <c r="H359" s="539">
        <f t="shared" si="42"/>
        <v>0</v>
      </c>
      <c r="I359" s="543"/>
      <c r="J359" s="693"/>
      <c r="K359" s="693"/>
      <c r="L359" s="694"/>
      <c r="M359" s="539">
        <f t="shared" si="43"/>
        <v>0</v>
      </c>
      <c r="N359" s="543"/>
      <c r="O359" s="689">
        <f t="shared" si="45"/>
        <v>0</v>
      </c>
    </row>
    <row r="360" spans="1:15" ht="18.75" x14ac:dyDescent="0.25">
      <c r="A360" s="695">
        <v>1</v>
      </c>
      <c r="B360" s="535" t="s">
        <v>948</v>
      </c>
      <c r="C360" s="536"/>
      <c r="D360" s="536" t="s">
        <v>227</v>
      </c>
      <c r="E360" s="537">
        <f>3*6.5*1.5</f>
        <v>29.25</v>
      </c>
      <c r="F360" s="537"/>
      <c r="G360" s="538">
        <v>225000</v>
      </c>
      <c r="H360" s="539">
        <f t="shared" si="42"/>
        <v>225000</v>
      </c>
      <c r="I360" s="689">
        <f>E360*G360</f>
        <v>6581250</v>
      </c>
      <c r="J360" s="537">
        <f>3*6.5*1.5</f>
        <v>29.25</v>
      </c>
      <c r="K360" s="537"/>
      <c r="L360" s="538">
        <v>225000</v>
      </c>
      <c r="M360" s="539">
        <f t="shared" si="43"/>
        <v>225000</v>
      </c>
      <c r="N360" s="689">
        <f>J360*M360</f>
        <v>6581250</v>
      </c>
      <c r="O360" s="689">
        <f t="shared" si="45"/>
        <v>0</v>
      </c>
    </row>
    <row r="361" spans="1:15" ht="18.75" x14ac:dyDescent="0.25">
      <c r="A361" s="695">
        <v>2</v>
      </c>
      <c r="B361" s="535" t="s">
        <v>949</v>
      </c>
      <c r="C361" s="536"/>
      <c r="D361" s="536" t="s">
        <v>227</v>
      </c>
      <c r="E361" s="537">
        <f>3*1.5*1.5</f>
        <v>6.75</v>
      </c>
      <c r="F361" s="537"/>
      <c r="G361" s="538">
        <v>225000</v>
      </c>
      <c r="H361" s="539">
        <f t="shared" si="42"/>
        <v>225000</v>
      </c>
      <c r="I361" s="689">
        <f>E361*G361</f>
        <v>1518750</v>
      </c>
      <c r="J361" s="537">
        <f>3*1.5*1.5</f>
        <v>6.75</v>
      </c>
      <c r="K361" s="537"/>
      <c r="L361" s="538">
        <v>225000</v>
      </c>
      <c r="M361" s="539">
        <f t="shared" si="43"/>
        <v>225000</v>
      </c>
      <c r="N361" s="689">
        <f t="shared" ref="N361:N363" si="46">J361*M361</f>
        <v>1518750</v>
      </c>
      <c r="O361" s="689">
        <f t="shared" si="45"/>
        <v>0</v>
      </c>
    </row>
    <row r="362" spans="1:15" ht="18.75" x14ac:dyDescent="0.25">
      <c r="A362" s="695">
        <v>3</v>
      </c>
      <c r="B362" s="535" t="s">
        <v>950</v>
      </c>
      <c r="C362" s="536"/>
      <c r="D362" s="536" t="s">
        <v>227</v>
      </c>
      <c r="E362" s="537">
        <f>6.5*3*0.05</f>
        <v>0.97500000000000009</v>
      </c>
      <c r="F362" s="537"/>
      <c r="G362" s="538">
        <v>350000</v>
      </c>
      <c r="H362" s="539">
        <f t="shared" si="42"/>
        <v>350000</v>
      </c>
      <c r="I362" s="689">
        <f>E362*G362</f>
        <v>341250.00000000006</v>
      </c>
      <c r="J362" s="537">
        <f>6.5*3*0.05</f>
        <v>0.97500000000000009</v>
      </c>
      <c r="K362" s="537"/>
      <c r="L362" s="538">
        <v>350000</v>
      </c>
      <c r="M362" s="539">
        <f t="shared" si="43"/>
        <v>350000</v>
      </c>
      <c r="N362" s="689">
        <f t="shared" si="46"/>
        <v>341250.00000000006</v>
      </c>
      <c r="O362" s="689">
        <f t="shared" si="45"/>
        <v>0</v>
      </c>
    </row>
    <row r="363" spans="1:15" ht="18.75" x14ac:dyDescent="0.25">
      <c r="A363" s="695">
        <v>4</v>
      </c>
      <c r="B363" s="535" t="s">
        <v>951</v>
      </c>
      <c r="C363" s="536"/>
      <c r="D363" s="536" t="s">
        <v>227</v>
      </c>
      <c r="E363" s="537">
        <f>E362</f>
        <v>0.97500000000000009</v>
      </c>
      <c r="F363" s="537"/>
      <c r="G363" s="538">
        <v>900000</v>
      </c>
      <c r="H363" s="539">
        <f t="shared" si="42"/>
        <v>900000</v>
      </c>
      <c r="I363" s="689">
        <f>E363*G363</f>
        <v>877500.00000000012</v>
      </c>
      <c r="J363" s="537">
        <f>J362</f>
        <v>0.97500000000000009</v>
      </c>
      <c r="K363" s="537"/>
      <c r="L363" s="538">
        <v>900000</v>
      </c>
      <c r="M363" s="539">
        <f t="shared" si="43"/>
        <v>900000</v>
      </c>
      <c r="N363" s="689">
        <f t="shared" si="46"/>
        <v>877500.00000000012</v>
      </c>
      <c r="O363" s="689">
        <f t="shared" si="45"/>
        <v>0</v>
      </c>
    </row>
    <row r="364" spans="1:15" ht="15.75" x14ac:dyDescent="0.25">
      <c r="A364" s="696"/>
      <c r="B364" s="535"/>
      <c r="C364" s="542" t="s">
        <v>35</v>
      </c>
      <c r="D364" s="536"/>
      <c r="E364" s="537"/>
      <c r="F364" s="537"/>
      <c r="G364" s="542"/>
      <c r="H364" s="539">
        <f t="shared" si="42"/>
        <v>0</v>
      </c>
      <c r="I364" s="543">
        <f>SUM(I360:I363)</f>
        <v>9318750</v>
      </c>
      <c r="J364" s="537"/>
      <c r="K364" s="537"/>
      <c r="L364" s="542"/>
      <c r="M364" s="539">
        <f t="shared" si="43"/>
        <v>0</v>
      </c>
      <c r="N364" s="543">
        <f>SUM(N360:N363)</f>
        <v>9318750</v>
      </c>
      <c r="O364" s="689">
        <f t="shared" si="45"/>
        <v>0</v>
      </c>
    </row>
    <row r="365" spans="1:15" ht="15.75" x14ac:dyDescent="0.25">
      <c r="A365" s="690" t="s">
        <v>551</v>
      </c>
      <c r="B365" s="691" t="s">
        <v>952</v>
      </c>
      <c r="C365" s="536"/>
      <c r="D365" s="692"/>
      <c r="E365" s="693"/>
      <c r="F365" s="693"/>
      <c r="G365" s="694"/>
      <c r="H365" s="539">
        <f t="shared" si="42"/>
        <v>0</v>
      </c>
      <c r="I365" s="697"/>
      <c r="J365" s="693"/>
      <c r="K365" s="693"/>
      <c r="L365" s="694"/>
      <c r="M365" s="539">
        <f t="shared" si="43"/>
        <v>0</v>
      </c>
      <c r="N365" s="697"/>
      <c r="O365" s="689">
        <f t="shared" si="45"/>
        <v>0</v>
      </c>
    </row>
    <row r="366" spans="1:15" ht="18.75" x14ac:dyDescent="0.25">
      <c r="A366" s="534">
        <v>1</v>
      </c>
      <c r="B366" s="535" t="s">
        <v>953</v>
      </c>
      <c r="C366" s="536"/>
      <c r="D366" s="592" t="s">
        <v>614</v>
      </c>
      <c r="E366" s="537">
        <f>6.5*3</f>
        <v>19.5</v>
      </c>
      <c r="F366" s="537"/>
      <c r="G366" s="538">
        <v>20000</v>
      </c>
      <c r="H366" s="539">
        <f t="shared" si="42"/>
        <v>20000</v>
      </c>
      <c r="I366" s="689">
        <f t="shared" ref="I366:I375" si="47">E366*G366</f>
        <v>390000</v>
      </c>
      <c r="J366" s="537">
        <f>6.5*3</f>
        <v>19.5</v>
      </c>
      <c r="K366" s="537"/>
      <c r="L366" s="538">
        <v>20000</v>
      </c>
      <c r="M366" s="539">
        <f t="shared" si="43"/>
        <v>20000</v>
      </c>
      <c r="N366" s="689">
        <f>J366*M366</f>
        <v>390000</v>
      </c>
      <c r="O366" s="689">
        <f t="shared" si="45"/>
        <v>0</v>
      </c>
    </row>
    <row r="367" spans="1:15" ht="18.75" x14ac:dyDescent="0.25">
      <c r="A367" s="698">
        <v>2</v>
      </c>
      <c r="B367" s="699" t="s">
        <v>954</v>
      </c>
      <c r="C367" s="700" t="s">
        <v>955</v>
      </c>
      <c r="D367" s="536" t="s">
        <v>227</v>
      </c>
      <c r="E367" s="537">
        <f>(0.2*0.3*20)+(0.2*0.3*4*2)+(0.15*0.15*12)</f>
        <v>1.95</v>
      </c>
      <c r="F367" s="537"/>
      <c r="G367" s="538">
        <v>1100000</v>
      </c>
      <c r="H367" s="539">
        <f t="shared" si="42"/>
        <v>1100000</v>
      </c>
      <c r="I367" s="689">
        <f t="shared" si="47"/>
        <v>2145000</v>
      </c>
      <c r="J367" s="537">
        <f>(0.2*0.3*20)+(0.2*0.3*4*2)+(0.15*0.15*12)</f>
        <v>1.95</v>
      </c>
      <c r="K367" s="537"/>
      <c r="L367" s="538">
        <v>1100000</v>
      </c>
      <c r="M367" s="539">
        <f t="shared" si="43"/>
        <v>1100000</v>
      </c>
      <c r="N367" s="689">
        <f t="shared" ref="N367:N375" si="48">J367*M367</f>
        <v>2145000</v>
      </c>
      <c r="O367" s="689">
        <f t="shared" si="45"/>
        <v>0</v>
      </c>
    </row>
    <row r="368" spans="1:15" ht="15.75" x14ac:dyDescent="0.25">
      <c r="A368" s="698"/>
      <c r="B368" s="699"/>
      <c r="C368" s="701" t="s">
        <v>956</v>
      </c>
      <c r="D368" s="555" t="s">
        <v>896</v>
      </c>
      <c r="E368" s="547">
        <f>E367*200</f>
        <v>390</v>
      </c>
      <c r="F368" s="547"/>
      <c r="G368" s="702">
        <f>G308</f>
        <v>18000</v>
      </c>
      <c r="H368" s="539">
        <f t="shared" si="42"/>
        <v>18000</v>
      </c>
      <c r="I368" s="703">
        <f t="shared" si="47"/>
        <v>7020000</v>
      </c>
      <c r="J368" s="547">
        <f>J367*200</f>
        <v>390</v>
      </c>
      <c r="K368" s="547"/>
      <c r="L368" s="702">
        <f>L308</f>
        <v>18000</v>
      </c>
      <c r="M368" s="539">
        <f t="shared" si="43"/>
        <v>18000</v>
      </c>
      <c r="N368" s="689">
        <f t="shared" si="48"/>
        <v>7020000</v>
      </c>
      <c r="O368" s="689">
        <f t="shared" si="45"/>
        <v>0</v>
      </c>
    </row>
    <row r="369" spans="1:15" ht="18.75" x14ac:dyDescent="0.25">
      <c r="A369" s="698"/>
      <c r="B369" s="699"/>
      <c r="C369" s="615" t="s">
        <v>898</v>
      </c>
      <c r="D369" s="555" t="s">
        <v>614</v>
      </c>
      <c r="E369" s="547">
        <f>(0.3*2*4*13)</f>
        <v>31.2</v>
      </c>
      <c r="F369" s="547"/>
      <c r="G369" s="702">
        <v>150000</v>
      </c>
      <c r="H369" s="539">
        <f t="shared" si="42"/>
        <v>150000</v>
      </c>
      <c r="I369" s="703">
        <f t="shared" si="47"/>
        <v>4680000</v>
      </c>
      <c r="J369" s="547">
        <f>(0.3*2*4*13)</f>
        <v>31.2</v>
      </c>
      <c r="K369" s="547"/>
      <c r="L369" s="702">
        <v>150000</v>
      </c>
      <c r="M369" s="539">
        <f t="shared" si="43"/>
        <v>150000</v>
      </c>
      <c r="N369" s="689">
        <f t="shared" si="48"/>
        <v>4680000</v>
      </c>
      <c r="O369" s="689">
        <f t="shared" si="45"/>
        <v>0</v>
      </c>
    </row>
    <row r="370" spans="1:15" ht="18.75" x14ac:dyDescent="0.25">
      <c r="A370" s="698">
        <v>3</v>
      </c>
      <c r="B370" s="699" t="s">
        <v>957</v>
      </c>
      <c r="C370" s="700" t="s">
        <v>955</v>
      </c>
      <c r="D370" s="536" t="s">
        <v>227</v>
      </c>
      <c r="E370" s="537">
        <f>(9*2*0.15*1.5)</f>
        <v>4.05</v>
      </c>
      <c r="F370" s="537"/>
      <c r="G370" s="538">
        <f>G367</f>
        <v>1100000</v>
      </c>
      <c r="H370" s="539">
        <f t="shared" si="42"/>
        <v>1100000</v>
      </c>
      <c r="I370" s="689">
        <f t="shared" si="47"/>
        <v>4455000</v>
      </c>
      <c r="J370" s="537">
        <f>(9*2*0.15*1.5)</f>
        <v>4.05</v>
      </c>
      <c r="K370" s="537"/>
      <c r="L370" s="538">
        <f>L367</f>
        <v>1100000</v>
      </c>
      <c r="M370" s="539">
        <f t="shared" si="43"/>
        <v>1100000</v>
      </c>
      <c r="N370" s="689">
        <f t="shared" si="48"/>
        <v>4455000</v>
      </c>
      <c r="O370" s="689">
        <f t="shared" si="45"/>
        <v>0</v>
      </c>
    </row>
    <row r="371" spans="1:15" ht="15.75" x14ac:dyDescent="0.25">
      <c r="A371" s="698"/>
      <c r="B371" s="699"/>
      <c r="C371" s="700" t="s">
        <v>958</v>
      </c>
      <c r="D371" s="555" t="s">
        <v>896</v>
      </c>
      <c r="E371" s="547">
        <f>E370*200</f>
        <v>810</v>
      </c>
      <c r="F371" s="547"/>
      <c r="G371" s="702">
        <f>G368</f>
        <v>18000</v>
      </c>
      <c r="H371" s="539">
        <f t="shared" si="42"/>
        <v>18000</v>
      </c>
      <c r="I371" s="703">
        <f t="shared" si="47"/>
        <v>14580000</v>
      </c>
      <c r="J371" s="547">
        <f>J370*200</f>
        <v>810</v>
      </c>
      <c r="K371" s="547"/>
      <c r="L371" s="702">
        <f>L368</f>
        <v>18000</v>
      </c>
      <c r="M371" s="539">
        <f t="shared" si="43"/>
        <v>18000</v>
      </c>
      <c r="N371" s="689">
        <f t="shared" si="48"/>
        <v>14580000</v>
      </c>
      <c r="O371" s="689">
        <f t="shared" si="45"/>
        <v>0</v>
      </c>
    </row>
    <row r="372" spans="1:15" ht="18.75" x14ac:dyDescent="0.25">
      <c r="A372" s="698"/>
      <c r="B372" s="699"/>
      <c r="C372" s="704" t="s">
        <v>898</v>
      </c>
      <c r="D372" s="555" t="s">
        <v>614</v>
      </c>
      <c r="E372" s="537">
        <f>(9*2*1.5)+(5*1.5*1.5)</f>
        <v>38.25</v>
      </c>
      <c r="F372" s="537"/>
      <c r="G372" s="702">
        <v>150000</v>
      </c>
      <c r="H372" s="539">
        <f t="shared" si="42"/>
        <v>150000</v>
      </c>
      <c r="I372" s="703">
        <f t="shared" si="47"/>
        <v>5737500</v>
      </c>
      <c r="J372" s="537">
        <f>(9*2*1.5)+(5*1.5*1.5)</f>
        <v>38.25</v>
      </c>
      <c r="K372" s="537"/>
      <c r="L372" s="702">
        <v>150000</v>
      </c>
      <c r="M372" s="539">
        <f t="shared" si="43"/>
        <v>150000</v>
      </c>
      <c r="N372" s="689">
        <f t="shared" si="48"/>
        <v>5737500</v>
      </c>
      <c r="O372" s="689">
        <f t="shared" si="45"/>
        <v>0</v>
      </c>
    </row>
    <row r="373" spans="1:15" ht="18.75" x14ac:dyDescent="0.25">
      <c r="A373" s="698">
        <v>4</v>
      </c>
      <c r="B373" s="699" t="s">
        <v>959</v>
      </c>
      <c r="C373" s="700" t="s">
        <v>955</v>
      </c>
      <c r="D373" s="536" t="s">
        <v>227</v>
      </c>
      <c r="E373" s="537">
        <f>(3*6*0.12)</f>
        <v>2.16</v>
      </c>
      <c r="F373" s="537"/>
      <c r="G373" s="538">
        <f>G367</f>
        <v>1100000</v>
      </c>
      <c r="H373" s="539">
        <f t="shared" si="42"/>
        <v>1100000</v>
      </c>
      <c r="I373" s="689">
        <f t="shared" si="47"/>
        <v>2376000</v>
      </c>
      <c r="J373" s="537">
        <f>(3*6*0.12)</f>
        <v>2.16</v>
      </c>
      <c r="K373" s="537"/>
      <c r="L373" s="538">
        <f>L367</f>
        <v>1100000</v>
      </c>
      <c r="M373" s="539">
        <f t="shared" si="43"/>
        <v>1100000</v>
      </c>
      <c r="N373" s="689">
        <f t="shared" si="48"/>
        <v>2376000</v>
      </c>
      <c r="O373" s="689">
        <f t="shared" si="45"/>
        <v>0</v>
      </c>
    </row>
    <row r="374" spans="1:15" ht="15.75" x14ac:dyDescent="0.25">
      <c r="A374" s="698"/>
      <c r="B374" s="699"/>
      <c r="C374" s="700" t="s">
        <v>958</v>
      </c>
      <c r="D374" s="555" t="s">
        <v>896</v>
      </c>
      <c r="E374" s="547">
        <f>E373*200</f>
        <v>432</v>
      </c>
      <c r="F374" s="547"/>
      <c r="G374" s="702">
        <f>G368</f>
        <v>18000</v>
      </c>
      <c r="H374" s="539">
        <f t="shared" si="42"/>
        <v>18000</v>
      </c>
      <c r="I374" s="703">
        <f t="shared" si="47"/>
        <v>7776000</v>
      </c>
      <c r="J374" s="547">
        <f>J373*200</f>
        <v>432</v>
      </c>
      <c r="K374" s="547"/>
      <c r="L374" s="702">
        <f>L368</f>
        <v>18000</v>
      </c>
      <c r="M374" s="539">
        <f t="shared" si="43"/>
        <v>18000</v>
      </c>
      <c r="N374" s="689">
        <f t="shared" si="48"/>
        <v>7776000</v>
      </c>
      <c r="O374" s="689">
        <f t="shared" si="45"/>
        <v>0</v>
      </c>
    </row>
    <row r="375" spans="1:15" ht="18.75" x14ac:dyDescent="0.25">
      <c r="A375" s="534">
        <v>5</v>
      </c>
      <c r="B375" s="705" t="s">
        <v>960</v>
      </c>
      <c r="C375" s="536"/>
      <c r="D375" s="536" t="s">
        <v>227</v>
      </c>
      <c r="E375" s="537">
        <f>(3*2*0.12)</f>
        <v>0.72</v>
      </c>
      <c r="F375" s="537"/>
      <c r="G375" s="538">
        <v>4700000</v>
      </c>
      <c r="H375" s="539">
        <f t="shared" si="42"/>
        <v>4700000</v>
      </c>
      <c r="I375" s="689">
        <f t="shared" si="47"/>
        <v>3384000</v>
      </c>
      <c r="J375" s="537">
        <f>(3*2*0.12)</f>
        <v>0.72</v>
      </c>
      <c r="K375" s="537"/>
      <c r="L375" s="538">
        <v>4700000</v>
      </c>
      <c r="M375" s="539">
        <f t="shared" si="43"/>
        <v>4700000</v>
      </c>
      <c r="N375" s="689">
        <f t="shared" si="48"/>
        <v>3384000</v>
      </c>
      <c r="O375" s="689">
        <f t="shared" si="45"/>
        <v>0</v>
      </c>
    </row>
    <row r="376" spans="1:15" ht="15.75" x14ac:dyDescent="0.25">
      <c r="A376" s="534"/>
      <c r="B376" s="706"/>
      <c r="C376" s="542" t="s">
        <v>721</v>
      </c>
      <c r="D376" s="536"/>
      <c r="E376" s="537"/>
      <c r="F376" s="537"/>
      <c r="G376" s="542"/>
      <c r="H376" s="539">
        <f t="shared" si="42"/>
        <v>0</v>
      </c>
      <c r="I376" s="543">
        <f>SUM(I366:I375)</f>
        <v>52543500</v>
      </c>
      <c r="J376" s="537"/>
      <c r="K376" s="537"/>
      <c r="L376" s="542"/>
      <c r="M376" s="539">
        <f t="shared" si="43"/>
        <v>0</v>
      </c>
      <c r="N376" s="543">
        <f>SUM(N366:N375)</f>
        <v>52543500</v>
      </c>
      <c r="O376" s="689">
        <f t="shared" si="45"/>
        <v>0</v>
      </c>
    </row>
    <row r="377" spans="1:15" ht="15.75" x14ac:dyDescent="0.25">
      <c r="A377" s="690" t="s">
        <v>961</v>
      </c>
      <c r="B377" s="691" t="s">
        <v>962</v>
      </c>
      <c r="C377" s="536"/>
      <c r="D377" s="692"/>
      <c r="E377" s="693"/>
      <c r="F377" s="693"/>
      <c r="G377" s="694"/>
      <c r="H377" s="539">
        <f t="shared" si="42"/>
        <v>0</v>
      </c>
      <c r="I377" s="697"/>
      <c r="J377" s="693"/>
      <c r="K377" s="693"/>
      <c r="L377" s="694"/>
      <c r="M377" s="539">
        <f t="shared" si="43"/>
        <v>0</v>
      </c>
      <c r="N377" s="697"/>
      <c r="O377" s="689">
        <f t="shared" si="45"/>
        <v>0</v>
      </c>
    </row>
    <row r="378" spans="1:15" ht="18.75" x14ac:dyDescent="0.25">
      <c r="A378" s="696">
        <v>1</v>
      </c>
      <c r="B378" s="535" t="s">
        <v>963</v>
      </c>
      <c r="C378" s="638" t="s">
        <v>964</v>
      </c>
      <c r="D378" s="592" t="s">
        <v>614</v>
      </c>
      <c r="E378" s="537">
        <f>(9*2*1.5)+(5*1.5*1.5)</f>
        <v>38.25</v>
      </c>
      <c r="F378" s="537"/>
      <c r="G378" s="538">
        <v>165000</v>
      </c>
      <c r="H378" s="539">
        <f t="shared" si="42"/>
        <v>165000</v>
      </c>
      <c r="I378" s="689">
        <f t="shared" ref="I378:I383" si="49">E378*G378</f>
        <v>6311250</v>
      </c>
      <c r="J378" s="537">
        <f>(9*2*1.5)+(5*1.5*1.5)</f>
        <v>38.25</v>
      </c>
      <c r="K378" s="537"/>
      <c r="L378" s="538">
        <v>165000</v>
      </c>
      <c r="M378" s="539">
        <f t="shared" si="43"/>
        <v>165000</v>
      </c>
      <c r="N378" s="689">
        <f>J378*M378</f>
        <v>6311250</v>
      </c>
      <c r="O378" s="689">
        <f t="shared" si="45"/>
        <v>0</v>
      </c>
    </row>
    <row r="379" spans="1:15" ht="18.75" x14ac:dyDescent="0.25">
      <c r="A379" s="696">
        <v>2</v>
      </c>
      <c r="B379" s="535" t="s">
        <v>965</v>
      </c>
      <c r="C379" s="638" t="s">
        <v>318</v>
      </c>
      <c r="D379" s="592" t="s">
        <v>614</v>
      </c>
      <c r="E379" s="537">
        <f>E378</f>
        <v>38.25</v>
      </c>
      <c r="F379" s="537"/>
      <c r="G379" s="538">
        <v>120000</v>
      </c>
      <c r="H379" s="539">
        <f t="shared" si="42"/>
        <v>120000</v>
      </c>
      <c r="I379" s="689">
        <f t="shared" si="49"/>
        <v>4590000</v>
      </c>
      <c r="J379" s="537">
        <f>J378</f>
        <v>38.25</v>
      </c>
      <c r="K379" s="537"/>
      <c r="L379" s="538">
        <v>120000</v>
      </c>
      <c r="M379" s="539">
        <f t="shared" si="43"/>
        <v>120000</v>
      </c>
      <c r="N379" s="689">
        <f t="shared" ref="N379:N383" si="50">J379*M379</f>
        <v>4590000</v>
      </c>
      <c r="O379" s="689">
        <f t="shared" si="45"/>
        <v>0</v>
      </c>
    </row>
    <row r="380" spans="1:15" ht="16.5" x14ac:dyDescent="0.25">
      <c r="A380" s="695">
        <v>3</v>
      </c>
      <c r="B380" s="699" t="s">
        <v>966</v>
      </c>
      <c r="C380" s="707" t="s">
        <v>967</v>
      </c>
      <c r="D380" s="592" t="s">
        <v>178</v>
      </c>
      <c r="E380" s="593">
        <f>(6.5+3)*2</f>
        <v>19</v>
      </c>
      <c r="F380" s="593"/>
      <c r="G380" s="594">
        <v>475000</v>
      </c>
      <c r="H380" s="565">
        <f t="shared" si="42"/>
        <v>475000</v>
      </c>
      <c r="I380" s="708">
        <f t="shared" si="49"/>
        <v>9025000</v>
      </c>
      <c r="J380" s="593">
        <f>(6.5+3)*2</f>
        <v>19</v>
      </c>
      <c r="K380" s="709"/>
      <c r="L380" s="710">
        <v>475000</v>
      </c>
      <c r="M380" s="539">
        <f t="shared" si="43"/>
        <v>475000</v>
      </c>
      <c r="N380" s="689">
        <f t="shared" si="50"/>
        <v>9025000</v>
      </c>
      <c r="O380" s="689">
        <f t="shared" si="45"/>
        <v>0</v>
      </c>
    </row>
    <row r="381" spans="1:15" ht="18.75" x14ac:dyDescent="0.25">
      <c r="A381" s="695">
        <v>4</v>
      </c>
      <c r="B381" s="699" t="s">
        <v>968</v>
      </c>
      <c r="C381" s="711" t="s">
        <v>967</v>
      </c>
      <c r="D381" s="592" t="s">
        <v>614</v>
      </c>
      <c r="E381" s="593">
        <f>(6+3)*2*1.5+(6*3)</f>
        <v>45</v>
      </c>
      <c r="F381" s="593"/>
      <c r="G381" s="594">
        <v>450000</v>
      </c>
      <c r="H381" s="565">
        <f t="shared" si="42"/>
        <v>450000</v>
      </c>
      <c r="I381" s="708">
        <f t="shared" si="49"/>
        <v>20250000</v>
      </c>
      <c r="J381" s="593">
        <f>(6+3)*2*1.5+(6*3)</f>
        <v>45</v>
      </c>
      <c r="K381" s="709"/>
      <c r="L381" s="710">
        <v>450000</v>
      </c>
      <c r="M381" s="539">
        <f t="shared" si="43"/>
        <v>450000</v>
      </c>
      <c r="N381" s="689">
        <f t="shared" si="50"/>
        <v>20250000</v>
      </c>
      <c r="O381" s="689">
        <f t="shared" si="45"/>
        <v>0</v>
      </c>
    </row>
    <row r="382" spans="1:15" ht="18.75" x14ac:dyDescent="0.25">
      <c r="A382" s="696">
        <v>5</v>
      </c>
      <c r="B382" s="535" t="s">
        <v>969</v>
      </c>
      <c r="C382" s="712" t="s">
        <v>970</v>
      </c>
      <c r="D382" s="592" t="s">
        <v>614</v>
      </c>
      <c r="E382" s="537">
        <f>E381</f>
        <v>45</v>
      </c>
      <c r="F382" s="537"/>
      <c r="G382" s="538">
        <v>150000</v>
      </c>
      <c r="H382" s="539">
        <f t="shared" si="42"/>
        <v>150000</v>
      </c>
      <c r="I382" s="689">
        <f t="shared" si="49"/>
        <v>6750000</v>
      </c>
      <c r="J382" s="537">
        <f>J381</f>
        <v>45</v>
      </c>
      <c r="K382" s="537"/>
      <c r="L382" s="538">
        <v>150000</v>
      </c>
      <c r="M382" s="539">
        <f t="shared" si="43"/>
        <v>150000</v>
      </c>
      <c r="N382" s="689">
        <f t="shared" si="50"/>
        <v>6750000</v>
      </c>
      <c r="O382" s="689">
        <f t="shared" si="45"/>
        <v>0</v>
      </c>
    </row>
    <row r="383" spans="1:15" ht="31.5" x14ac:dyDescent="0.25">
      <c r="A383" s="696">
        <v>6</v>
      </c>
      <c r="B383" s="535" t="s">
        <v>971</v>
      </c>
      <c r="C383" s="713"/>
      <c r="D383" s="592" t="s">
        <v>614</v>
      </c>
      <c r="E383" s="537">
        <f>8*3</f>
        <v>24</v>
      </c>
      <c r="F383" s="537"/>
      <c r="G383" s="538">
        <v>450000</v>
      </c>
      <c r="H383" s="539">
        <f t="shared" si="42"/>
        <v>450000</v>
      </c>
      <c r="I383" s="689">
        <f t="shared" si="49"/>
        <v>10800000</v>
      </c>
      <c r="J383" s="537">
        <f>8*3</f>
        <v>24</v>
      </c>
      <c r="K383" s="537"/>
      <c r="L383" s="538">
        <v>450000</v>
      </c>
      <c r="M383" s="539">
        <f t="shared" si="43"/>
        <v>450000</v>
      </c>
      <c r="N383" s="689">
        <f t="shared" si="50"/>
        <v>10800000</v>
      </c>
      <c r="O383" s="689">
        <f t="shared" si="45"/>
        <v>0</v>
      </c>
    </row>
    <row r="384" spans="1:15" ht="15.75" x14ac:dyDescent="0.25">
      <c r="A384" s="534"/>
      <c r="B384" s="706"/>
      <c r="C384" s="542" t="s">
        <v>972</v>
      </c>
      <c r="D384" s="536"/>
      <c r="E384" s="537"/>
      <c r="F384" s="537"/>
      <c r="G384" s="542"/>
      <c r="H384" s="539">
        <f t="shared" si="42"/>
        <v>0</v>
      </c>
      <c r="I384" s="543">
        <f>SUM(I378:I383)</f>
        <v>57726250</v>
      </c>
      <c r="J384" s="537"/>
      <c r="K384" s="537"/>
      <c r="L384" s="542"/>
      <c r="M384" s="539">
        <f t="shared" si="43"/>
        <v>0</v>
      </c>
      <c r="N384" s="543">
        <f>SUM(N378:N383)</f>
        <v>57726250</v>
      </c>
      <c r="O384" s="689">
        <f t="shared" si="45"/>
        <v>0</v>
      </c>
    </row>
    <row r="385" spans="1:15" ht="15.75" x14ac:dyDescent="0.25">
      <c r="A385" s="690" t="s">
        <v>973</v>
      </c>
      <c r="B385" s="691" t="s">
        <v>974</v>
      </c>
      <c r="C385" s="536"/>
      <c r="D385" s="692"/>
      <c r="E385" s="693"/>
      <c r="F385" s="693"/>
      <c r="G385" s="694"/>
      <c r="H385" s="539">
        <f t="shared" si="42"/>
        <v>0</v>
      </c>
      <c r="I385" s="543"/>
      <c r="J385" s="693"/>
      <c r="K385" s="693"/>
      <c r="L385" s="694"/>
      <c r="M385" s="539">
        <f t="shared" si="43"/>
        <v>0</v>
      </c>
      <c r="N385" s="543"/>
      <c r="O385" s="689">
        <f t="shared" si="45"/>
        <v>0</v>
      </c>
    </row>
    <row r="386" spans="1:15" ht="15.75" x14ac:dyDescent="0.25">
      <c r="A386" s="690"/>
      <c r="B386" s="691" t="s">
        <v>975</v>
      </c>
      <c r="C386" s="536"/>
      <c r="D386" s="692"/>
      <c r="E386" s="693"/>
      <c r="F386" s="693"/>
      <c r="G386" s="694"/>
      <c r="H386" s="539">
        <f t="shared" si="42"/>
        <v>0</v>
      </c>
      <c r="I386" s="543"/>
      <c r="J386" s="693"/>
      <c r="K386" s="693"/>
      <c r="L386" s="694"/>
      <c r="M386" s="539">
        <f t="shared" si="43"/>
        <v>0</v>
      </c>
      <c r="N386" s="543"/>
      <c r="O386" s="689">
        <f t="shared" si="45"/>
        <v>0</v>
      </c>
    </row>
    <row r="387" spans="1:15" ht="18.75" x14ac:dyDescent="0.25">
      <c r="A387" s="696">
        <v>1</v>
      </c>
      <c r="B387" s="535" t="s">
        <v>976</v>
      </c>
      <c r="C387" s="536"/>
      <c r="D387" s="536" t="s">
        <v>227</v>
      </c>
      <c r="E387" s="537">
        <v>46</v>
      </c>
      <c r="F387" s="537"/>
      <c r="G387" s="538">
        <v>45000</v>
      </c>
      <c r="H387" s="539">
        <f t="shared" si="42"/>
        <v>45000</v>
      </c>
      <c r="I387" s="689">
        <f t="shared" ref="I387:I392" si="51">E387*G387</f>
        <v>2070000</v>
      </c>
      <c r="J387" s="537">
        <v>46</v>
      </c>
      <c r="K387" s="537"/>
      <c r="L387" s="538">
        <v>45000</v>
      </c>
      <c r="M387" s="539">
        <f t="shared" si="43"/>
        <v>45000</v>
      </c>
      <c r="N387" s="689">
        <f>J387*M387</f>
        <v>2070000</v>
      </c>
      <c r="O387" s="689">
        <f t="shared" si="45"/>
        <v>0</v>
      </c>
    </row>
    <row r="388" spans="1:15" ht="18.75" x14ac:dyDescent="0.25">
      <c r="A388" s="695">
        <v>2</v>
      </c>
      <c r="B388" s="535" t="s">
        <v>977</v>
      </c>
      <c r="C388" s="536"/>
      <c r="D388" s="536" t="s">
        <v>227</v>
      </c>
      <c r="E388" s="537">
        <v>18</v>
      </c>
      <c r="F388" s="537"/>
      <c r="G388" s="538">
        <v>45000</v>
      </c>
      <c r="H388" s="539">
        <f t="shared" si="42"/>
        <v>45000</v>
      </c>
      <c r="I388" s="689">
        <f t="shared" si="51"/>
        <v>810000</v>
      </c>
      <c r="J388" s="537">
        <v>18</v>
      </c>
      <c r="K388" s="537"/>
      <c r="L388" s="538">
        <v>45000</v>
      </c>
      <c r="M388" s="539">
        <f t="shared" si="43"/>
        <v>45000</v>
      </c>
      <c r="N388" s="689">
        <f t="shared" ref="N388:N397" si="52">J388*M388</f>
        <v>810000</v>
      </c>
      <c r="O388" s="689">
        <f t="shared" si="45"/>
        <v>0</v>
      </c>
    </row>
    <row r="389" spans="1:15" ht="18.75" x14ac:dyDescent="0.25">
      <c r="A389" s="695">
        <v>3</v>
      </c>
      <c r="B389" s="535" t="s">
        <v>978</v>
      </c>
      <c r="C389" s="536"/>
      <c r="D389" s="536" t="s">
        <v>227</v>
      </c>
      <c r="E389" s="537">
        <v>8</v>
      </c>
      <c r="F389" s="537"/>
      <c r="G389" s="538">
        <v>150000</v>
      </c>
      <c r="H389" s="539">
        <f t="shared" si="42"/>
        <v>150000</v>
      </c>
      <c r="I389" s="689">
        <f t="shared" si="51"/>
        <v>1200000</v>
      </c>
      <c r="J389" s="537">
        <v>8</v>
      </c>
      <c r="K389" s="537"/>
      <c r="L389" s="538">
        <v>150000</v>
      </c>
      <c r="M389" s="539">
        <f t="shared" si="43"/>
        <v>150000</v>
      </c>
      <c r="N389" s="689">
        <f t="shared" si="52"/>
        <v>1200000</v>
      </c>
      <c r="O389" s="689">
        <f t="shared" si="45"/>
        <v>0</v>
      </c>
    </row>
    <row r="390" spans="1:15" ht="18.75" x14ac:dyDescent="0.25">
      <c r="A390" s="696">
        <v>4</v>
      </c>
      <c r="B390" s="535" t="s">
        <v>979</v>
      </c>
      <c r="C390" s="536"/>
      <c r="D390" s="536" t="s">
        <v>227</v>
      </c>
      <c r="E390" s="537">
        <v>6</v>
      </c>
      <c r="F390" s="537"/>
      <c r="G390" s="538">
        <v>75000</v>
      </c>
      <c r="H390" s="539">
        <f t="shared" si="42"/>
        <v>75000</v>
      </c>
      <c r="I390" s="689">
        <f t="shared" si="51"/>
        <v>450000</v>
      </c>
      <c r="J390" s="537">
        <v>6</v>
      </c>
      <c r="K390" s="537"/>
      <c r="L390" s="538">
        <v>75000</v>
      </c>
      <c r="M390" s="539">
        <f t="shared" si="43"/>
        <v>75000</v>
      </c>
      <c r="N390" s="689">
        <f t="shared" si="52"/>
        <v>450000</v>
      </c>
      <c r="O390" s="689">
        <f t="shared" si="45"/>
        <v>0</v>
      </c>
    </row>
    <row r="391" spans="1:15" ht="18.75" x14ac:dyDescent="0.25">
      <c r="A391" s="695">
        <v>5</v>
      </c>
      <c r="B391" s="535" t="s">
        <v>980</v>
      </c>
      <c r="C391" s="536"/>
      <c r="D391" s="536" t="s">
        <v>227</v>
      </c>
      <c r="E391" s="537">
        <v>6</v>
      </c>
      <c r="F391" s="537"/>
      <c r="G391" s="538">
        <v>45000</v>
      </c>
      <c r="H391" s="539">
        <f t="shared" si="42"/>
        <v>45000</v>
      </c>
      <c r="I391" s="689">
        <f t="shared" si="51"/>
        <v>270000</v>
      </c>
      <c r="J391" s="537">
        <v>6</v>
      </c>
      <c r="K391" s="537"/>
      <c r="L391" s="538">
        <v>45000</v>
      </c>
      <c r="M391" s="539">
        <f t="shared" si="43"/>
        <v>45000</v>
      </c>
      <c r="N391" s="689">
        <f t="shared" si="52"/>
        <v>270000</v>
      </c>
      <c r="O391" s="689">
        <f t="shared" si="45"/>
        <v>0</v>
      </c>
    </row>
    <row r="392" spans="1:15" ht="18.75" x14ac:dyDescent="0.25">
      <c r="A392" s="695">
        <v>6</v>
      </c>
      <c r="B392" s="535" t="s">
        <v>981</v>
      </c>
      <c r="C392" s="536"/>
      <c r="D392" s="536" t="s">
        <v>227</v>
      </c>
      <c r="E392" s="537">
        <v>1</v>
      </c>
      <c r="F392" s="537"/>
      <c r="G392" s="538">
        <v>500000</v>
      </c>
      <c r="H392" s="539">
        <f t="shared" si="42"/>
        <v>500000</v>
      </c>
      <c r="I392" s="689">
        <f t="shared" si="51"/>
        <v>500000</v>
      </c>
      <c r="J392" s="537">
        <v>1</v>
      </c>
      <c r="K392" s="537"/>
      <c r="L392" s="538">
        <v>500000</v>
      </c>
      <c r="M392" s="539">
        <f t="shared" si="43"/>
        <v>500000</v>
      </c>
      <c r="N392" s="689">
        <f t="shared" si="52"/>
        <v>500000</v>
      </c>
      <c r="O392" s="689">
        <f t="shared" si="45"/>
        <v>0</v>
      </c>
    </row>
    <row r="393" spans="1:15" ht="15.75" x14ac:dyDescent="0.25">
      <c r="A393" s="695"/>
      <c r="B393" s="691" t="s">
        <v>982</v>
      </c>
      <c r="C393" s="536"/>
      <c r="D393" s="536"/>
      <c r="E393" s="537"/>
      <c r="F393" s="537"/>
      <c r="G393" s="538"/>
      <c r="H393" s="539">
        <f t="shared" si="42"/>
        <v>0</v>
      </c>
      <c r="I393" s="689"/>
      <c r="J393" s="537"/>
      <c r="K393" s="537"/>
      <c r="L393" s="538"/>
      <c r="M393" s="539">
        <f t="shared" si="43"/>
        <v>0</v>
      </c>
      <c r="N393" s="689">
        <f t="shared" si="52"/>
        <v>0</v>
      </c>
      <c r="O393" s="689">
        <f t="shared" si="45"/>
        <v>0</v>
      </c>
    </row>
    <row r="394" spans="1:15" ht="15.75" x14ac:dyDescent="0.25">
      <c r="A394" s="695">
        <v>1</v>
      </c>
      <c r="B394" s="535" t="s">
        <v>983</v>
      </c>
      <c r="C394" s="536"/>
      <c r="D394" s="536" t="s">
        <v>925</v>
      </c>
      <c r="E394" s="537">
        <v>4</v>
      </c>
      <c r="F394" s="537"/>
      <c r="G394" s="538">
        <v>550000</v>
      </c>
      <c r="H394" s="539">
        <f t="shared" si="42"/>
        <v>550000</v>
      </c>
      <c r="I394" s="689">
        <f>E394*G394</f>
        <v>2200000</v>
      </c>
      <c r="J394" s="537">
        <v>4</v>
      </c>
      <c r="K394" s="537"/>
      <c r="L394" s="538">
        <v>550000</v>
      </c>
      <c r="M394" s="539">
        <f t="shared" si="43"/>
        <v>550000</v>
      </c>
      <c r="N394" s="689">
        <f t="shared" si="52"/>
        <v>2200000</v>
      </c>
      <c r="O394" s="689">
        <f t="shared" si="45"/>
        <v>0</v>
      </c>
    </row>
    <row r="395" spans="1:15" ht="15.75" x14ac:dyDescent="0.25">
      <c r="A395" s="695">
        <v>2</v>
      </c>
      <c r="B395" s="706" t="s">
        <v>984</v>
      </c>
      <c r="C395" s="536"/>
      <c r="D395" s="536" t="s">
        <v>925</v>
      </c>
      <c r="E395" s="714">
        <v>4</v>
      </c>
      <c r="F395" s="714"/>
      <c r="G395" s="715">
        <v>550000</v>
      </c>
      <c r="H395" s="539">
        <f t="shared" si="42"/>
        <v>550000</v>
      </c>
      <c r="I395" s="689">
        <f>E395*G395</f>
        <v>2200000</v>
      </c>
      <c r="J395" s="714">
        <v>4</v>
      </c>
      <c r="K395" s="714"/>
      <c r="L395" s="715">
        <v>550000</v>
      </c>
      <c r="M395" s="539">
        <f t="shared" si="43"/>
        <v>550000</v>
      </c>
      <c r="N395" s="689">
        <f t="shared" si="52"/>
        <v>2200000</v>
      </c>
      <c r="O395" s="689">
        <f t="shared" si="45"/>
        <v>0</v>
      </c>
    </row>
    <row r="396" spans="1:15" ht="15.75" x14ac:dyDescent="0.25">
      <c r="A396" s="695">
        <v>3</v>
      </c>
      <c r="B396" s="535" t="s">
        <v>985</v>
      </c>
      <c r="C396" s="536"/>
      <c r="D396" s="536" t="s">
        <v>62</v>
      </c>
      <c r="E396" s="537">
        <v>4</v>
      </c>
      <c r="F396" s="537"/>
      <c r="G396" s="538">
        <v>85000</v>
      </c>
      <c r="H396" s="539">
        <f t="shared" si="42"/>
        <v>85000</v>
      </c>
      <c r="I396" s="689">
        <f>E396*G396</f>
        <v>340000</v>
      </c>
      <c r="J396" s="537">
        <v>4</v>
      </c>
      <c r="K396" s="537"/>
      <c r="L396" s="538">
        <v>85000</v>
      </c>
      <c r="M396" s="539">
        <f t="shared" si="43"/>
        <v>85000</v>
      </c>
      <c r="N396" s="689">
        <f t="shared" si="52"/>
        <v>340000</v>
      </c>
      <c r="O396" s="689">
        <f t="shared" si="45"/>
        <v>0</v>
      </c>
    </row>
    <row r="397" spans="1:15" ht="15.75" x14ac:dyDescent="0.25">
      <c r="A397" s="695">
        <v>4</v>
      </c>
      <c r="B397" s="535" t="s">
        <v>986</v>
      </c>
      <c r="C397" s="536"/>
      <c r="D397" s="536" t="s">
        <v>62</v>
      </c>
      <c r="E397" s="537">
        <v>2</v>
      </c>
      <c r="F397" s="537"/>
      <c r="G397" s="538">
        <v>85000</v>
      </c>
      <c r="H397" s="539">
        <f t="shared" si="42"/>
        <v>85000</v>
      </c>
      <c r="I397" s="689">
        <f>E397*G397</f>
        <v>170000</v>
      </c>
      <c r="J397" s="537">
        <v>2</v>
      </c>
      <c r="K397" s="537"/>
      <c r="L397" s="538">
        <v>85000</v>
      </c>
      <c r="M397" s="539">
        <f t="shared" si="43"/>
        <v>85000</v>
      </c>
      <c r="N397" s="689">
        <f t="shared" si="52"/>
        <v>170000</v>
      </c>
      <c r="O397" s="689">
        <f t="shared" si="45"/>
        <v>0</v>
      </c>
    </row>
    <row r="398" spans="1:15" ht="15.75" x14ac:dyDescent="0.25">
      <c r="A398" s="695"/>
      <c r="B398" s="535"/>
      <c r="C398" s="542" t="s">
        <v>987</v>
      </c>
      <c r="D398" s="536"/>
      <c r="E398" s="537"/>
      <c r="F398" s="537"/>
      <c r="G398" s="542"/>
      <c r="H398" s="539">
        <f t="shared" si="42"/>
        <v>0</v>
      </c>
      <c r="I398" s="543">
        <f>SUM(I387:I397)</f>
        <v>10210000</v>
      </c>
      <c r="J398" s="537"/>
      <c r="K398" s="537"/>
      <c r="L398" s="542"/>
      <c r="M398" s="539">
        <f t="shared" si="43"/>
        <v>0</v>
      </c>
      <c r="N398" s="543">
        <f>SUM(N387:N397)</f>
        <v>10210000</v>
      </c>
      <c r="O398" s="689">
        <f t="shared" si="45"/>
        <v>0</v>
      </c>
    </row>
    <row r="399" spans="1:15" ht="15.75" x14ac:dyDescent="0.25">
      <c r="A399" s="690" t="s">
        <v>988</v>
      </c>
      <c r="B399" s="691" t="s">
        <v>989</v>
      </c>
      <c r="C399" s="536"/>
      <c r="D399" s="692"/>
      <c r="E399" s="693"/>
      <c r="F399" s="693"/>
      <c r="G399" s="694"/>
      <c r="H399" s="539">
        <f t="shared" si="42"/>
        <v>0</v>
      </c>
      <c r="I399" s="543"/>
      <c r="J399" s="693"/>
      <c r="K399" s="693"/>
      <c r="L399" s="694"/>
      <c r="M399" s="539">
        <f t="shared" si="43"/>
        <v>0</v>
      </c>
      <c r="N399" s="543"/>
      <c r="O399" s="689">
        <f t="shared" si="45"/>
        <v>0</v>
      </c>
    </row>
    <row r="400" spans="1:15" ht="15.75" x14ac:dyDescent="0.25">
      <c r="A400" s="695">
        <v>1</v>
      </c>
      <c r="B400" s="535" t="s">
        <v>990</v>
      </c>
      <c r="C400" s="536"/>
      <c r="D400" s="536" t="s">
        <v>218</v>
      </c>
      <c r="E400" s="537">
        <v>1</v>
      </c>
      <c r="F400" s="537"/>
      <c r="G400" s="538">
        <v>15000000</v>
      </c>
      <c r="H400" s="539">
        <f t="shared" si="42"/>
        <v>15000000</v>
      </c>
      <c r="I400" s="689">
        <f t="shared" ref="I400:I412" si="53">E400*G400</f>
        <v>15000000</v>
      </c>
      <c r="J400" s="537">
        <v>1</v>
      </c>
      <c r="K400" s="537"/>
      <c r="L400" s="538">
        <v>15000000</v>
      </c>
      <c r="M400" s="539">
        <f t="shared" si="43"/>
        <v>15000000</v>
      </c>
      <c r="N400" s="689">
        <f>J400*M400</f>
        <v>15000000</v>
      </c>
      <c r="O400" s="689">
        <f t="shared" si="45"/>
        <v>0</v>
      </c>
    </row>
    <row r="401" spans="1:15" ht="15.75" x14ac:dyDescent="0.25">
      <c r="A401" s="698">
        <v>2</v>
      </c>
      <c r="B401" s="535" t="s">
        <v>991</v>
      </c>
      <c r="C401" s="536"/>
      <c r="D401" s="536" t="s">
        <v>218</v>
      </c>
      <c r="E401" s="537">
        <v>1</v>
      </c>
      <c r="F401" s="537"/>
      <c r="G401" s="538">
        <v>9000000</v>
      </c>
      <c r="H401" s="539">
        <f t="shared" si="42"/>
        <v>9000000</v>
      </c>
      <c r="I401" s="689">
        <f t="shared" si="53"/>
        <v>9000000</v>
      </c>
      <c r="J401" s="537">
        <v>1</v>
      </c>
      <c r="K401" s="537"/>
      <c r="L401" s="538">
        <v>9000000</v>
      </c>
      <c r="M401" s="539">
        <f t="shared" si="43"/>
        <v>9000000</v>
      </c>
      <c r="N401" s="689">
        <f t="shared" ref="N401:N412" si="54">J401*M401</f>
        <v>9000000</v>
      </c>
      <c r="O401" s="689">
        <f t="shared" si="45"/>
        <v>0</v>
      </c>
    </row>
    <row r="402" spans="1:15" ht="15.75" x14ac:dyDescent="0.25">
      <c r="A402" s="695">
        <v>3</v>
      </c>
      <c r="B402" s="535" t="s">
        <v>992</v>
      </c>
      <c r="C402" s="536"/>
      <c r="D402" s="536" t="s">
        <v>218</v>
      </c>
      <c r="E402" s="537">
        <v>1</v>
      </c>
      <c r="F402" s="537"/>
      <c r="G402" s="538">
        <v>1750000</v>
      </c>
      <c r="H402" s="539">
        <f t="shared" si="42"/>
        <v>1750000</v>
      </c>
      <c r="I402" s="689">
        <f t="shared" si="53"/>
        <v>1750000</v>
      </c>
      <c r="J402" s="537">
        <v>1</v>
      </c>
      <c r="K402" s="537"/>
      <c r="L402" s="538">
        <v>1750000</v>
      </c>
      <c r="M402" s="539">
        <f t="shared" si="43"/>
        <v>1750000</v>
      </c>
      <c r="N402" s="689">
        <f t="shared" si="54"/>
        <v>1750000</v>
      </c>
      <c r="O402" s="689">
        <f t="shared" si="45"/>
        <v>0</v>
      </c>
    </row>
    <row r="403" spans="1:15" ht="15.75" x14ac:dyDescent="0.25">
      <c r="A403" s="695">
        <v>4</v>
      </c>
      <c r="B403" s="535" t="s">
        <v>993</v>
      </c>
      <c r="C403" s="536"/>
      <c r="D403" s="536" t="s">
        <v>218</v>
      </c>
      <c r="E403" s="537">
        <v>3</v>
      </c>
      <c r="F403" s="537"/>
      <c r="G403" s="538">
        <v>350000</v>
      </c>
      <c r="H403" s="539">
        <f t="shared" si="42"/>
        <v>350000</v>
      </c>
      <c r="I403" s="689">
        <f t="shared" si="53"/>
        <v>1050000</v>
      </c>
      <c r="J403" s="537">
        <v>3</v>
      </c>
      <c r="K403" s="537"/>
      <c r="L403" s="538">
        <v>350000</v>
      </c>
      <c r="M403" s="539">
        <f t="shared" si="43"/>
        <v>350000</v>
      </c>
      <c r="N403" s="689">
        <f t="shared" si="54"/>
        <v>1050000</v>
      </c>
      <c r="O403" s="689">
        <f t="shared" si="45"/>
        <v>0</v>
      </c>
    </row>
    <row r="404" spans="1:15" ht="15.75" x14ac:dyDescent="0.25">
      <c r="A404" s="695">
        <v>5</v>
      </c>
      <c r="B404" s="535" t="s">
        <v>994</v>
      </c>
      <c r="C404" s="536"/>
      <c r="D404" s="536" t="s">
        <v>218</v>
      </c>
      <c r="E404" s="537">
        <v>1</v>
      </c>
      <c r="F404" s="537"/>
      <c r="G404" s="538">
        <v>750000</v>
      </c>
      <c r="H404" s="539">
        <f t="shared" si="42"/>
        <v>750000</v>
      </c>
      <c r="I404" s="689">
        <f t="shared" si="53"/>
        <v>750000</v>
      </c>
      <c r="J404" s="537">
        <v>1</v>
      </c>
      <c r="K404" s="537"/>
      <c r="L404" s="538">
        <v>750000</v>
      </c>
      <c r="M404" s="539">
        <f t="shared" si="43"/>
        <v>750000</v>
      </c>
      <c r="N404" s="689">
        <f t="shared" si="54"/>
        <v>750000</v>
      </c>
      <c r="O404" s="689">
        <f t="shared" si="45"/>
        <v>0</v>
      </c>
    </row>
    <row r="405" spans="1:15" ht="15.75" x14ac:dyDescent="0.25">
      <c r="A405" s="695">
        <v>6</v>
      </c>
      <c r="B405" s="535" t="s">
        <v>995</v>
      </c>
      <c r="C405" s="536"/>
      <c r="D405" s="536" t="s">
        <v>218</v>
      </c>
      <c r="E405" s="537">
        <v>1</v>
      </c>
      <c r="F405" s="537"/>
      <c r="G405" s="538">
        <v>650000</v>
      </c>
      <c r="H405" s="539">
        <f t="shared" si="42"/>
        <v>650000</v>
      </c>
      <c r="I405" s="689">
        <f t="shared" si="53"/>
        <v>650000</v>
      </c>
      <c r="J405" s="537">
        <v>1</v>
      </c>
      <c r="K405" s="537"/>
      <c r="L405" s="538">
        <v>650000</v>
      </c>
      <c r="M405" s="539">
        <f t="shared" si="43"/>
        <v>650000</v>
      </c>
      <c r="N405" s="689">
        <f t="shared" si="54"/>
        <v>650000</v>
      </c>
      <c r="O405" s="689">
        <f t="shared" si="45"/>
        <v>0</v>
      </c>
    </row>
    <row r="406" spans="1:15" ht="15.75" x14ac:dyDescent="0.25">
      <c r="A406" s="698">
        <v>7</v>
      </c>
      <c r="B406" s="535" t="s">
        <v>996</v>
      </c>
      <c r="C406" s="536"/>
      <c r="D406" s="536" t="s">
        <v>218</v>
      </c>
      <c r="E406" s="537">
        <v>1</v>
      </c>
      <c r="F406" s="537"/>
      <c r="G406" s="538">
        <v>1250000</v>
      </c>
      <c r="H406" s="539">
        <f t="shared" si="42"/>
        <v>1250000</v>
      </c>
      <c r="I406" s="689">
        <f t="shared" si="53"/>
        <v>1250000</v>
      </c>
      <c r="J406" s="537">
        <v>1</v>
      </c>
      <c r="K406" s="537"/>
      <c r="L406" s="538">
        <v>1250000</v>
      </c>
      <c r="M406" s="539">
        <f t="shared" si="43"/>
        <v>1250000</v>
      </c>
      <c r="N406" s="689">
        <f t="shared" si="54"/>
        <v>1250000</v>
      </c>
      <c r="O406" s="689">
        <f t="shared" si="45"/>
        <v>0</v>
      </c>
    </row>
    <row r="407" spans="1:15" ht="15.75" x14ac:dyDescent="0.25">
      <c r="A407" s="695">
        <v>8</v>
      </c>
      <c r="B407" s="535" t="s">
        <v>997</v>
      </c>
      <c r="C407" s="536"/>
      <c r="D407" s="536" t="s">
        <v>218</v>
      </c>
      <c r="E407" s="537">
        <v>1</v>
      </c>
      <c r="F407" s="537"/>
      <c r="G407" s="538">
        <v>175000</v>
      </c>
      <c r="H407" s="539">
        <f t="shared" si="42"/>
        <v>175000</v>
      </c>
      <c r="I407" s="689">
        <f t="shared" si="53"/>
        <v>175000</v>
      </c>
      <c r="J407" s="537">
        <v>1</v>
      </c>
      <c r="K407" s="537"/>
      <c r="L407" s="538">
        <v>175000</v>
      </c>
      <c r="M407" s="539">
        <f t="shared" si="43"/>
        <v>175000</v>
      </c>
      <c r="N407" s="689">
        <f t="shared" si="54"/>
        <v>175000</v>
      </c>
      <c r="O407" s="689">
        <f t="shared" si="45"/>
        <v>0</v>
      </c>
    </row>
    <row r="408" spans="1:15" ht="15.75" x14ac:dyDescent="0.25">
      <c r="A408" s="695">
        <v>9</v>
      </c>
      <c r="B408" s="706" t="s">
        <v>998</v>
      </c>
      <c r="C408" s="536"/>
      <c r="D408" s="536" t="s">
        <v>218</v>
      </c>
      <c r="E408" s="537">
        <v>1</v>
      </c>
      <c r="F408" s="537"/>
      <c r="G408" s="715">
        <v>2250000</v>
      </c>
      <c r="H408" s="539">
        <f t="shared" si="42"/>
        <v>2250000</v>
      </c>
      <c r="I408" s="689">
        <f t="shared" si="53"/>
        <v>2250000</v>
      </c>
      <c r="J408" s="537">
        <v>1</v>
      </c>
      <c r="K408" s="537"/>
      <c r="L408" s="715">
        <v>2250000</v>
      </c>
      <c r="M408" s="539">
        <f t="shared" si="43"/>
        <v>2250000</v>
      </c>
      <c r="N408" s="689">
        <f t="shared" si="54"/>
        <v>2250000</v>
      </c>
      <c r="O408" s="689">
        <f t="shared" si="45"/>
        <v>0</v>
      </c>
    </row>
    <row r="409" spans="1:15" ht="15.75" x14ac:dyDescent="0.25">
      <c r="A409" s="695">
        <v>11</v>
      </c>
      <c r="B409" s="535" t="s">
        <v>999</v>
      </c>
      <c r="C409" s="536"/>
      <c r="D409" s="536" t="s">
        <v>218</v>
      </c>
      <c r="E409" s="537">
        <v>4</v>
      </c>
      <c r="F409" s="537"/>
      <c r="G409" s="538">
        <v>1250000</v>
      </c>
      <c r="H409" s="539">
        <f t="shared" si="42"/>
        <v>1250000</v>
      </c>
      <c r="I409" s="689">
        <f t="shared" si="53"/>
        <v>5000000</v>
      </c>
      <c r="J409" s="537">
        <v>4</v>
      </c>
      <c r="K409" s="537"/>
      <c r="L409" s="538">
        <v>1250000</v>
      </c>
      <c r="M409" s="539">
        <f t="shared" si="43"/>
        <v>1250000</v>
      </c>
      <c r="N409" s="689">
        <f t="shared" si="54"/>
        <v>5000000</v>
      </c>
      <c r="O409" s="689">
        <f t="shared" si="45"/>
        <v>0</v>
      </c>
    </row>
    <row r="410" spans="1:15" ht="15.75" x14ac:dyDescent="0.25">
      <c r="A410" s="695">
        <v>12</v>
      </c>
      <c r="B410" s="535" t="s">
        <v>1000</v>
      </c>
      <c r="C410" s="536"/>
      <c r="D410" s="536" t="s">
        <v>218</v>
      </c>
      <c r="E410" s="537">
        <v>1</v>
      </c>
      <c r="F410" s="537"/>
      <c r="G410" s="538">
        <v>650000</v>
      </c>
      <c r="H410" s="539">
        <f t="shared" si="42"/>
        <v>650000</v>
      </c>
      <c r="I410" s="689">
        <f t="shared" si="53"/>
        <v>650000</v>
      </c>
      <c r="J410" s="537">
        <v>1</v>
      </c>
      <c r="K410" s="537"/>
      <c r="L410" s="538">
        <v>650000</v>
      </c>
      <c r="M410" s="539">
        <f t="shared" si="43"/>
        <v>650000</v>
      </c>
      <c r="N410" s="689">
        <f t="shared" si="54"/>
        <v>650000</v>
      </c>
      <c r="O410" s="689">
        <f t="shared" si="45"/>
        <v>0</v>
      </c>
    </row>
    <row r="411" spans="1:15" ht="18.75" x14ac:dyDescent="0.25">
      <c r="A411" s="695">
        <v>13</v>
      </c>
      <c r="B411" s="535" t="s">
        <v>1001</v>
      </c>
      <c r="C411" s="536"/>
      <c r="D411" s="536" t="s">
        <v>227</v>
      </c>
      <c r="E411" s="537">
        <f>3*8*1.6</f>
        <v>38.400000000000006</v>
      </c>
      <c r="F411" s="537"/>
      <c r="G411" s="538">
        <v>125000</v>
      </c>
      <c r="H411" s="539">
        <f t="shared" si="42"/>
        <v>125000</v>
      </c>
      <c r="I411" s="689">
        <f t="shared" si="53"/>
        <v>4800000.0000000009</v>
      </c>
      <c r="J411" s="537">
        <f>3*8*1.6</f>
        <v>38.400000000000006</v>
      </c>
      <c r="K411" s="537"/>
      <c r="L411" s="538">
        <v>125000</v>
      </c>
      <c r="M411" s="539">
        <f t="shared" si="43"/>
        <v>125000</v>
      </c>
      <c r="N411" s="689">
        <f t="shared" si="54"/>
        <v>4800000.0000000009</v>
      </c>
      <c r="O411" s="689">
        <f t="shared" si="45"/>
        <v>0</v>
      </c>
    </row>
    <row r="412" spans="1:15" ht="15.75" x14ac:dyDescent="0.25">
      <c r="A412" s="695">
        <v>14</v>
      </c>
      <c r="B412" s="535" t="s">
        <v>1002</v>
      </c>
      <c r="C412" s="536"/>
      <c r="D412" s="536" t="s">
        <v>27</v>
      </c>
      <c r="E412" s="537">
        <v>1</v>
      </c>
      <c r="F412" s="537"/>
      <c r="G412" s="538">
        <v>2100000</v>
      </c>
      <c r="H412" s="539">
        <f t="shared" si="42"/>
        <v>2100000</v>
      </c>
      <c r="I412" s="689">
        <f t="shared" si="53"/>
        <v>2100000</v>
      </c>
      <c r="J412" s="537">
        <v>1</v>
      </c>
      <c r="K412" s="537"/>
      <c r="L412" s="538">
        <v>2100000</v>
      </c>
      <c r="M412" s="539">
        <f t="shared" si="43"/>
        <v>2100000</v>
      </c>
      <c r="N412" s="689">
        <f t="shared" si="54"/>
        <v>2100000</v>
      </c>
      <c r="O412" s="689">
        <f t="shared" si="45"/>
        <v>0</v>
      </c>
    </row>
    <row r="413" spans="1:15" ht="16.5" thickBot="1" x14ac:dyDescent="0.3">
      <c r="A413" s="716"/>
      <c r="B413" s="717"/>
      <c r="C413" s="718" t="s">
        <v>891</v>
      </c>
      <c r="D413" s="719"/>
      <c r="E413" s="720"/>
      <c r="F413" s="720"/>
      <c r="G413" s="718"/>
      <c r="H413" s="721"/>
      <c r="I413" s="722">
        <f>SUM(I400:I412)</f>
        <v>44425000</v>
      </c>
      <c r="J413" s="720"/>
      <c r="K413" s="720"/>
      <c r="L413" s="718"/>
      <c r="M413" s="721"/>
      <c r="N413" s="722">
        <f>SUM(N400:N412)</f>
        <v>44425000</v>
      </c>
      <c r="O413" s="689">
        <f t="shared" si="45"/>
        <v>0</v>
      </c>
    </row>
    <row r="414" spans="1:15" ht="31.9" customHeight="1" thickBot="1" x14ac:dyDescent="0.3">
      <c r="A414" s="723"/>
      <c r="B414" s="724"/>
      <c r="C414" s="724"/>
      <c r="D414" s="724"/>
      <c r="E414" s="724"/>
      <c r="F414" s="724"/>
      <c r="G414" s="724"/>
      <c r="H414" s="724"/>
      <c r="I414" s="725"/>
      <c r="J414" s="724"/>
      <c r="K414" s="724"/>
      <c r="L414" s="724"/>
      <c r="M414" s="724"/>
      <c r="N414" s="725"/>
      <c r="O414" s="725"/>
    </row>
    <row r="415" spans="1:15" ht="15.75" x14ac:dyDescent="0.25">
      <c r="A415" s="726"/>
      <c r="B415" s="726"/>
      <c r="C415" s="726"/>
      <c r="D415" s="726"/>
      <c r="E415" s="726"/>
      <c r="F415" s="726"/>
      <c r="G415" s="726"/>
      <c r="H415" s="726"/>
      <c r="I415" s="726"/>
    </row>
    <row r="416" spans="1:15" x14ac:dyDescent="0.25">
      <c r="I416" s="727"/>
    </row>
    <row r="417" spans="1:3" x14ac:dyDescent="0.25">
      <c r="B417" s="728" t="s">
        <v>1003</v>
      </c>
    </row>
    <row r="418" spans="1:3" x14ac:dyDescent="0.25">
      <c r="A418" s="282"/>
      <c r="B418" s="729" t="s">
        <v>1004</v>
      </c>
      <c r="C418" s="282" t="s">
        <v>1005</v>
      </c>
    </row>
    <row r="419" spans="1:3" x14ac:dyDescent="0.25">
      <c r="A419" s="282"/>
      <c r="B419" s="282"/>
      <c r="C419" s="282" t="s">
        <v>1006</v>
      </c>
    </row>
    <row r="420" spans="1:3" x14ac:dyDescent="0.25">
      <c r="A420" s="282"/>
      <c r="B420" s="282"/>
      <c r="C420" s="282" t="s">
        <v>1007</v>
      </c>
    </row>
    <row r="421" spans="1:3" x14ac:dyDescent="0.25">
      <c r="A421" s="282"/>
      <c r="B421" s="282"/>
      <c r="C421" s="282" t="s">
        <v>1008</v>
      </c>
    </row>
    <row r="422" spans="1:3" x14ac:dyDescent="0.25">
      <c r="A422" s="282"/>
      <c r="B422" s="282"/>
      <c r="C422" s="282" t="s">
        <v>1009</v>
      </c>
    </row>
    <row r="423" spans="1:3" x14ac:dyDescent="0.25">
      <c r="A423" s="282"/>
      <c r="B423" s="282"/>
      <c r="C423" s="282" t="s">
        <v>1010</v>
      </c>
    </row>
    <row r="424" spans="1:3" x14ac:dyDescent="0.25">
      <c r="A424" s="282"/>
      <c r="B424" s="282"/>
      <c r="C424" s="282" t="s">
        <v>1011</v>
      </c>
    </row>
    <row r="425" spans="1:3" x14ac:dyDescent="0.25">
      <c r="A425" s="282"/>
      <c r="B425" s="282"/>
      <c r="C425" s="282" t="s">
        <v>1012</v>
      </c>
    </row>
    <row r="426" spans="1:3" x14ac:dyDescent="0.25">
      <c r="A426" s="282"/>
      <c r="B426" s="282"/>
      <c r="C426" s="282" t="s">
        <v>1013</v>
      </c>
    </row>
    <row r="427" spans="1:3" x14ac:dyDescent="0.25">
      <c r="A427" s="282"/>
      <c r="B427" s="282"/>
      <c r="C427" s="282" t="s">
        <v>1014</v>
      </c>
    </row>
    <row r="428" spans="1:3" x14ac:dyDescent="0.25">
      <c r="A428" s="282"/>
      <c r="B428" s="282"/>
      <c r="C428" s="282" t="s">
        <v>1015</v>
      </c>
    </row>
    <row r="429" spans="1:3" x14ac:dyDescent="0.25">
      <c r="A429" s="282"/>
      <c r="B429" s="282"/>
      <c r="C429" s="282" t="s">
        <v>1016</v>
      </c>
    </row>
    <row r="430" spans="1:3" ht="15.75" thickBot="1" x14ac:dyDescent="0.3"/>
    <row r="431" spans="1:3" ht="15.75" thickBot="1" x14ac:dyDescent="0.3">
      <c r="A431" s="298"/>
      <c r="B431" s="299" t="s">
        <v>1017</v>
      </c>
      <c r="C431" s="299" t="s">
        <v>1018</v>
      </c>
    </row>
    <row r="432" spans="1:3" x14ac:dyDescent="0.25">
      <c r="A432" s="730">
        <v>45726</v>
      </c>
      <c r="B432" s="731" t="s">
        <v>743</v>
      </c>
      <c r="C432" s="731" t="s">
        <v>1018</v>
      </c>
    </row>
    <row r="433" spans="1:3" x14ac:dyDescent="0.25">
      <c r="A433" s="732"/>
      <c r="B433" s="733" t="s">
        <v>1019</v>
      </c>
      <c r="C433" s="733" t="s">
        <v>1018</v>
      </c>
    </row>
    <row r="434" spans="1:3" x14ac:dyDescent="0.25">
      <c r="A434" s="732"/>
      <c r="B434" s="733" t="s">
        <v>1020</v>
      </c>
      <c r="C434" s="733" t="s">
        <v>1021</v>
      </c>
    </row>
    <row r="435" spans="1:3" x14ac:dyDescent="0.25">
      <c r="A435" s="732"/>
      <c r="B435" s="733" t="s">
        <v>1022</v>
      </c>
      <c r="C435" s="733" t="s">
        <v>1023</v>
      </c>
    </row>
    <row r="436" spans="1:3" ht="15.75" thickBot="1" x14ac:dyDescent="0.3">
      <c r="A436" s="734"/>
      <c r="B436" s="735" t="s">
        <v>1024</v>
      </c>
      <c r="C436" s="735" t="s">
        <v>1025</v>
      </c>
    </row>
    <row r="438" spans="1:3" ht="18" x14ac:dyDescent="0.25">
      <c r="B438" s="736" t="s">
        <v>1026</v>
      </c>
    </row>
    <row r="439" spans="1:3" ht="18" x14ac:dyDescent="0.25">
      <c r="B439" s="737"/>
    </row>
    <row r="440" spans="1:3" ht="18" x14ac:dyDescent="0.25">
      <c r="B440" s="737"/>
    </row>
    <row r="441" spans="1:3" ht="18" x14ac:dyDescent="0.25">
      <c r="B441" s="737"/>
    </row>
    <row r="442" spans="1:3" ht="18" x14ac:dyDescent="0.25">
      <c r="B442" s="738"/>
    </row>
    <row r="443" spans="1:3" ht="18" x14ac:dyDescent="0.25">
      <c r="B443" s="739" t="s">
        <v>1027</v>
      </c>
    </row>
  </sheetData>
  <mergeCells count="14">
    <mergeCell ref="K6:L6"/>
    <mergeCell ref="A352:A353"/>
    <mergeCell ref="B352:B353"/>
    <mergeCell ref="D352:D353"/>
    <mergeCell ref="E352:E353"/>
    <mergeCell ref="F352:G352"/>
    <mergeCell ref="J352:J353"/>
    <mergeCell ref="K352:L352"/>
    <mergeCell ref="A6:A7"/>
    <mergeCell ref="B6:B7"/>
    <mergeCell ref="D6:D7"/>
    <mergeCell ref="E6:E7"/>
    <mergeCell ref="F6:G6"/>
    <mergeCell ref="J6:J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73E03-F724-44FD-A555-200F92B48A8F}">
  <dimension ref="A1:H246"/>
  <sheetViews>
    <sheetView workbookViewId="0">
      <selection activeCell="C12" sqref="C12"/>
    </sheetView>
  </sheetViews>
  <sheetFormatPr defaultRowHeight="15" x14ac:dyDescent="0.25"/>
  <cols>
    <col min="2" max="2" width="31.28515625" customWidth="1"/>
    <col min="3" max="3" width="44.85546875" customWidth="1"/>
    <col min="4" max="4" width="63.28515625" customWidth="1"/>
    <col min="6" max="6" width="10.42578125" customWidth="1"/>
    <col min="7" max="7" width="13.28515625" customWidth="1"/>
    <col min="8" max="8" width="14.7109375" customWidth="1"/>
  </cols>
  <sheetData>
    <row r="1" spans="1:8" ht="20.25" x14ac:dyDescent="0.3">
      <c r="A1" s="740"/>
      <c r="B1" s="741" t="s">
        <v>1028</v>
      </c>
      <c r="C1" s="741"/>
      <c r="D1" s="742"/>
      <c r="E1" s="743"/>
      <c r="F1" s="744"/>
      <c r="G1" s="745"/>
      <c r="H1" s="746"/>
    </row>
    <row r="2" spans="1:8" ht="16.5" x14ac:dyDescent="0.3">
      <c r="A2" s="747"/>
      <c r="B2" s="748" t="s">
        <v>1</v>
      </c>
      <c r="C2" s="747" t="s">
        <v>1029</v>
      </c>
      <c r="D2" s="742"/>
      <c r="E2" s="743"/>
      <c r="F2" s="744"/>
      <c r="G2" s="745"/>
      <c r="H2" s="746"/>
    </row>
    <row r="3" spans="1:8" ht="16.5" x14ac:dyDescent="0.3">
      <c r="A3" s="747"/>
      <c r="B3" s="748" t="s">
        <v>3</v>
      </c>
      <c r="C3" s="747" t="s">
        <v>1030</v>
      </c>
      <c r="D3" s="742"/>
      <c r="E3" s="743"/>
      <c r="F3" s="744"/>
      <c r="G3" s="745"/>
      <c r="H3" s="746"/>
    </row>
    <row r="4" spans="1:8" ht="16.5" x14ac:dyDescent="0.3">
      <c r="A4" s="747"/>
      <c r="B4" s="748" t="s">
        <v>5</v>
      </c>
      <c r="C4" s="747" t="s">
        <v>1031</v>
      </c>
      <c r="D4" s="742"/>
      <c r="E4" s="743"/>
      <c r="F4" s="744"/>
      <c r="G4" s="745"/>
      <c r="H4" s="746"/>
    </row>
    <row r="5" spans="1:8" ht="17.25" thickBot="1" x14ac:dyDescent="0.35">
      <c r="A5" s="747"/>
      <c r="B5" s="748" t="s">
        <v>7</v>
      </c>
      <c r="C5" s="749" t="s">
        <v>1032</v>
      </c>
      <c r="D5" s="742"/>
      <c r="E5" s="750"/>
      <c r="F5" s="751"/>
      <c r="G5" s="752"/>
      <c r="H5" s="753"/>
    </row>
    <row r="6" spans="1:8" ht="30" x14ac:dyDescent="0.25">
      <c r="A6" s="970" t="s">
        <v>9</v>
      </c>
      <c r="B6" s="972" t="s">
        <v>10</v>
      </c>
      <c r="C6" s="973"/>
      <c r="D6" s="754" t="s">
        <v>11</v>
      </c>
      <c r="E6" s="976" t="s">
        <v>12</v>
      </c>
      <c r="F6" s="978" t="s">
        <v>13</v>
      </c>
      <c r="G6" s="755" t="s">
        <v>14</v>
      </c>
      <c r="H6" s="756" t="s">
        <v>15</v>
      </c>
    </row>
    <row r="7" spans="1:8" ht="17.25" thickBot="1" x14ac:dyDescent="0.3">
      <c r="A7" s="971"/>
      <c r="B7" s="974"/>
      <c r="C7" s="975"/>
      <c r="D7" s="757"/>
      <c r="E7" s="977"/>
      <c r="F7" s="979"/>
      <c r="G7" s="758" t="s">
        <v>16</v>
      </c>
      <c r="H7" s="759" t="s">
        <v>16</v>
      </c>
    </row>
    <row r="8" spans="1:8" ht="18" x14ac:dyDescent="0.25">
      <c r="A8" s="760" t="s">
        <v>288</v>
      </c>
      <c r="B8" s="761" t="s">
        <v>1033</v>
      </c>
      <c r="C8" s="762"/>
      <c r="D8" s="763"/>
      <c r="E8" s="764"/>
      <c r="F8" s="765"/>
      <c r="G8" s="766"/>
      <c r="H8" s="767"/>
    </row>
    <row r="9" spans="1:8" ht="15.75" x14ac:dyDescent="0.25">
      <c r="A9" s="768">
        <v>1</v>
      </c>
      <c r="B9" s="769" t="s">
        <v>1034</v>
      </c>
      <c r="C9" s="770"/>
      <c r="D9" s="771" t="s">
        <v>1035</v>
      </c>
      <c r="E9" s="772" t="s">
        <v>694</v>
      </c>
      <c r="F9" s="773">
        <f>'[3]LUASAN '!H33</f>
        <v>200.08156249999999</v>
      </c>
      <c r="G9" s="774">
        <v>80000</v>
      </c>
      <c r="H9" s="775">
        <f>F9*G9</f>
        <v>16006525</v>
      </c>
    </row>
    <row r="10" spans="1:8" ht="15.75" x14ac:dyDescent="0.25">
      <c r="A10" s="776">
        <v>2</v>
      </c>
      <c r="B10" s="777" t="s">
        <v>1036</v>
      </c>
      <c r="C10" s="778"/>
      <c r="D10" s="779" t="s">
        <v>1037</v>
      </c>
      <c r="E10" s="772" t="s">
        <v>694</v>
      </c>
      <c r="F10" s="773">
        <f>F9</f>
        <v>200.08156249999999</v>
      </c>
      <c r="G10" s="780">
        <v>25000</v>
      </c>
      <c r="H10" s="775">
        <f t="shared" ref="H10:H14" si="0">F10*G10</f>
        <v>5002039.0625</v>
      </c>
    </row>
    <row r="11" spans="1:8" ht="15.75" x14ac:dyDescent="0.25">
      <c r="A11" s="781">
        <v>3</v>
      </c>
      <c r="B11" s="782" t="s">
        <v>1038</v>
      </c>
      <c r="C11" s="783"/>
      <c r="D11" s="784" t="s">
        <v>1039</v>
      </c>
      <c r="E11" s="772" t="s">
        <v>694</v>
      </c>
      <c r="F11" s="773">
        <f>F10</f>
        <v>200.08156249999999</v>
      </c>
      <c r="G11" s="785">
        <v>15000</v>
      </c>
      <c r="H11" s="775">
        <f t="shared" si="0"/>
        <v>3001223.4375</v>
      </c>
    </row>
    <row r="12" spans="1:8" ht="15.75" x14ac:dyDescent="0.25">
      <c r="A12" s="768">
        <v>4</v>
      </c>
      <c r="B12" s="786" t="s">
        <v>1040</v>
      </c>
      <c r="C12" s="778"/>
      <c r="D12" s="779" t="s">
        <v>1041</v>
      </c>
      <c r="E12" s="772" t="s">
        <v>694</v>
      </c>
      <c r="F12" s="773">
        <f>F11</f>
        <v>200.08156249999999</v>
      </c>
      <c r="G12" s="787">
        <v>10000</v>
      </c>
      <c r="H12" s="775">
        <f t="shared" si="0"/>
        <v>2000815.625</v>
      </c>
    </row>
    <row r="13" spans="1:8" ht="15.75" x14ac:dyDescent="0.25">
      <c r="A13" s="776">
        <v>5</v>
      </c>
      <c r="B13" s="782" t="s">
        <v>1042</v>
      </c>
      <c r="C13" s="783"/>
      <c r="D13" s="784" t="s">
        <v>1043</v>
      </c>
      <c r="E13" s="772" t="s">
        <v>694</v>
      </c>
      <c r="F13" s="773">
        <f>F12</f>
        <v>200.08156249999999</v>
      </c>
      <c r="G13" s="787">
        <v>10000</v>
      </c>
      <c r="H13" s="775">
        <f t="shared" si="0"/>
        <v>2000815.625</v>
      </c>
    </row>
    <row r="14" spans="1:8" ht="16.5" thickBot="1" x14ac:dyDescent="0.3">
      <c r="A14" s="781">
        <v>6</v>
      </c>
      <c r="B14" s="782" t="s">
        <v>1044</v>
      </c>
      <c r="C14" s="783"/>
      <c r="D14" s="784" t="s">
        <v>1045</v>
      </c>
      <c r="E14" s="772" t="s">
        <v>694</v>
      </c>
      <c r="F14" s="773">
        <f>F12</f>
        <v>200.08156249999999</v>
      </c>
      <c r="G14" s="787">
        <v>65000</v>
      </c>
      <c r="H14" s="775">
        <f t="shared" si="0"/>
        <v>13005301.5625</v>
      </c>
    </row>
    <row r="15" spans="1:8" ht="16.5" thickBot="1" x14ac:dyDescent="0.3">
      <c r="A15" s="788"/>
      <c r="B15" s="789" t="s">
        <v>1046</v>
      </c>
      <c r="C15" s="790"/>
      <c r="D15" s="791"/>
      <c r="E15" s="791"/>
      <c r="F15" s="791"/>
      <c r="G15" s="792"/>
      <c r="H15" s="793">
        <f>SUM(H9:H14)</f>
        <v>41016720.3125</v>
      </c>
    </row>
    <row r="16" spans="1:8" ht="16.5" thickBot="1" x14ac:dyDescent="0.3">
      <c r="A16" s="794"/>
      <c r="B16" s="795"/>
      <c r="C16" s="795"/>
      <c r="D16" s="796" t="s">
        <v>1047</v>
      </c>
      <c r="E16" s="299"/>
      <c r="F16" s="299"/>
      <c r="G16" s="797"/>
      <c r="H16" s="798">
        <f>+ROUNDDOWN(H15,-5)</f>
        <v>41000000</v>
      </c>
    </row>
    <row r="17" spans="1:8" ht="15.75" x14ac:dyDescent="0.25">
      <c r="A17" s="799"/>
      <c r="B17" s="800"/>
      <c r="C17" s="799"/>
      <c r="D17" s="801"/>
      <c r="E17" s="801"/>
      <c r="F17" s="801"/>
      <c r="G17" s="802"/>
      <c r="H17" s="803"/>
    </row>
    <row r="18" spans="1:8" ht="16.5" thickBot="1" x14ac:dyDescent="0.3">
      <c r="A18" s="799"/>
      <c r="B18" s="800"/>
      <c r="C18" s="799"/>
      <c r="D18" s="801"/>
      <c r="E18" s="801"/>
      <c r="F18" s="801"/>
      <c r="G18" s="802"/>
      <c r="H18" s="803"/>
    </row>
    <row r="19" spans="1:8" ht="18.75" thickBot="1" x14ac:dyDescent="0.3">
      <c r="A19" s="804" t="s">
        <v>23</v>
      </c>
      <c r="B19" s="805" t="s">
        <v>1048</v>
      </c>
      <c r="C19" s="806"/>
      <c r="D19" s="796"/>
      <c r="E19" s="807"/>
      <c r="F19" s="808"/>
      <c r="G19" s="809"/>
      <c r="H19" s="810"/>
    </row>
    <row r="20" spans="1:8" ht="16.5" thickBot="1" x14ac:dyDescent="0.3">
      <c r="A20" s="768">
        <v>1</v>
      </c>
      <c r="B20" s="769" t="s">
        <v>1049</v>
      </c>
      <c r="C20" s="770"/>
      <c r="D20" s="771" t="s">
        <v>1050</v>
      </c>
      <c r="E20" s="811" t="s">
        <v>62</v>
      </c>
      <c r="F20" s="773">
        <v>1</v>
      </c>
      <c r="G20" s="774">
        <v>6000000</v>
      </c>
      <c r="H20" s="775">
        <f>F20*G20</f>
        <v>6000000</v>
      </c>
    </row>
    <row r="21" spans="1:8" ht="16.5" thickBot="1" x14ac:dyDescent="0.3">
      <c r="A21" s="788"/>
      <c r="B21" s="789" t="s">
        <v>1046</v>
      </c>
      <c r="C21" s="790"/>
      <c r="D21" s="791"/>
      <c r="E21" s="791"/>
      <c r="F21" s="791"/>
      <c r="G21" s="792"/>
      <c r="H21" s="812">
        <f>SUM(H20:H20)</f>
        <v>6000000</v>
      </c>
    </row>
    <row r="22" spans="1:8" ht="18.75" thickBot="1" x14ac:dyDescent="0.3">
      <c r="A22" s="813" t="s">
        <v>36</v>
      </c>
      <c r="B22" s="814" t="s">
        <v>1051</v>
      </c>
      <c r="C22" s="749"/>
      <c r="D22" s="742"/>
      <c r="E22" s="750"/>
      <c r="F22" s="751"/>
      <c r="G22" s="752"/>
      <c r="H22" s="753"/>
    </row>
    <row r="23" spans="1:8" ht="30" x14ac:dyDescent="0.25">
      <c r="A23" s="970" t="s">
        <v>9</v>
      </c>
      <c r="B23" s="972" t="s">
        <v>10</v>
      </c>
      <c r="C23" s="973"/>
      <c r="D23" s="754" t="s">
        <v>11</v>
      </c>
      <c r="E23" s="980" t="s">
        <v>12</v>
      </c>
      <c r="F23" s="982" t="s">
        <v>13</v>
      </c>
      <c r="G23" s="815" t="s">
        <v>14</v>
      </c>
      <c r="H23" s="816" t="s">
        <v>15</v>
      </c>
    </row>
    <row r="24" spans="1:8" ht="17.25" thickBot="1" x14ac:dyDescent="0.3">
      <c r="A24" s="971"/>
      <c r="B24" s="974"/>
      <c r="C24" s="975"/>
      <c r="D24" s="757"/>
      <c r="E24" s="981"/>
      <c r="F24" s="983"/>
      <c r="G24" s="817" t="s">
        <v>16</v>
      </c>
      <c r="H24" s="818" t="s">
        <v>16</v>
      </c>
    </row>
    <row r="25" spans="1:8" ht="15.75" x14ac:dyDescent="0.25">
      <c r="A25" s="819" t="s">
        <v>297</v>
      </c>
      <c r="B25" s="820" t="s">
        <v>289</v>
      </c>
      <c r="C25" s="820"/>
      <c r="D25" s="821"/>
      <c r="E25" s="822"/>
      <c r="F25" s="823"/>
      <c r="G25" s="822"/>
      <c r="H25" s="824"/>
    </row>
    <row r="26" spans="1:8" ht="15.75" x14ac:dyDescent="0.25">
      <c r="A26" s="825">
        <v>1</v>
      </c>
      <c r="B26" s="826" t="s">
        <v>1052</v>
      </c>
      <c r="C26" s="826"/>
      <c r="D26" s="827" t="s">
        <v>1053</v>
      </c>
      <c r="E26" s="772" t="s">
        <v>1054</v>
      </c>
      <c r="F26" s="828">
        <v>1</v>
      </c>
      <c r="G26" s="772">
        <v>4000000</v>
      </c>
      <c r="H26" s="829">
        <f>F26*G26</f>
        <v>4000000</v>
      </c>
    </row>
    <row r="27" spans="1:8" ht="15.75" x14ac:dyDescent="0.25">
      <c r="A27" s="825">
        <v>2</v>
      </c>
      <c r="B27" s="826" t="s">
        <v>1055</v>
      </c>
      <c r="C27" s="826"/>
      <c r="D27" s="827" t="s">
        <v>1056</v>
      </c>
      <c r="E27" s="772" t="s">
        <v>1057</v>
      </c>
      <c r="F27" s="828">
        <f>(9+9)*2</f>
        <v>36</v>
      </c>
      <c r="G27" s="772">
        <v>40000</v>
      </c>
      <c r="H27" s="829">
        <f t="shared" ref="H27:H30" si="1">F27*G27</f>
        <v>1440000</v>
      </c>
    </row>
    <row r="28" spans="1:8" ht="15.75" x14ac:dyDescent="0.25">
      <c r="A28" s="825">
        <v>3</v>
      </c>
      <c r="B28" s="826" t="s">
        <v>1058</v>
      </c>
      <c r="C28" s="826"/>
      <c r="D28" s="827" t="s">
        <v>1059</v>
      </c>
      <c r="E28" s="772" t="s">
        <v>1054</v>
      </c>
      <c r="F28" s="828">
        <v>1</v>
      </c>
      <c r="G28" s="772">
        <v>3500000</v>
      </c>
      <c r="H28" s="829">
        <f t="shared" si="1"/>
        <v>3500000</v>
      </c>
    </row>
    <row r="29" spans="1:8" ht="15.75" x14ac:dyDescent="0.25">
      <c r="A29" s="825">
        <v>4</v>
      </c>
      <c r="B29" s="826" t="s">
        <v>1060</v>
      </c>
      <c r="C29" s="826"/>
      <c r="D29" s="827" t="s">
        <v>1061</v>
      </c>
      <c r="E29" s="772" t="s">
        <v>1054</v>
      </c>
      <c r="F29" s="828">
        <v>1</v>
      </c>
      <c r="G29" s="772">
        <v>2000000</v>
      </c>
      <c r="H29" s="829">
        <f t="shared" si="1"/>
        <v>2000000</v>
      </c>
    </row>
    <row r="30" spans="1:8" ht="15.75" x14ac:dyDescent="0.25">
      <c r="A30" s="825">
        <v>5</v>
      </c>
      <c r="B30" s="826" t="s">
        <v>25</v>
      </c>
      <c r="C30" s="826"/>
      <c r="D30" s="827" t="s">
        <v>1061</v>
      </c>
      <c r="E30" s="772" t="s">
        <v>1054</v>
      </c>
      <c r="F30" s="828">
        <v>1</v>
      </c>
      <c r="G30" s="772">
        <v>1500000</v>
      </c>
      <c r="H30" s="829">
        <f t="shared" si="1"/>
        <v>1500000</v>
      </c>
    </row>
    <row r="31" spans="1:8" ht="15.75" x14ac:dyDescent="0.25">
      <c r="A31" s="830"/>
      <c r="B31" s="831"/>
      <c r="C31" s="831"/>
      <c r="D31" s="832" t="s">
        <v>1062</v>
      </c>
      <c r="E31" s="833"/>
      <c r="F31" s="834"/>
      <c r="G31" s="772"/>
      <c r="H31" s="835">
        <f>SUM(H26:H30)</f>
        <v>12440000</v>
      </c>
    </row>
    <row r="32" spans="1:8" ht="15.75" x14ac:dyDescent="0.25">
      <c r="A32" s="836" t="s">
        <v>328</v>
      </c>
      <c r="B32" s="837" t="s">
        <v>1063</v>
      </c>
      <c r="C32" s="837"/>
      <c r="D32" s="832"/>
      <c r="E32" s="833"/>
      <c r="F32" s="834"/>
      <c r="G32" s="772"/>
      <c r="H32" s="829"/>
    </row>
    <row r="33" spans="1:8" ht="15.75" x14ac:dyDescent="0.25">
      <c r="A33" s="825">
        <v>1</v>
      </c>
      <c r="B33" s="826" t="s">
        <v>68</v>
      </c>
      <c r="C33" s="826"/>
      <c r="D33" s="827"/>
      <c r="E33" s="772" t="s">
        <v>1064</v>
      </c>
      <c r="F33" s="828">
        <f>(0.5*0.5*0.7)*17+(0.4*0.6*35)</f>
        <v>11.375</v>
      </c>
      <c r="G33" s="772">
        <v>150000</v>
      </c>
      <c r="H33" s="829">
        <f>F33*G33</f>
        <v>1706250</v>
      </c>
    </row>
    <row r="34" spans="1:8" ht="15.75" x14ac:dyDescent="0.25">
      <c r="A34" s="825">
        <v>2</v>
      </c>
      <c r="B34" s="826" t="s">
        <v>1065</v>
      </c>
      <c r="C34" s="826"/>
      <c r="D34" s="827" t="s">
        <v>1066</v>
      </c>
      <c r="E34" s="772" t="s">
        <v>694</v>
      </c>
      <c r="F34" s="828">
        <f>(0.5*0.5)*14+(0.4*35)</f>
        <v>17.5</v>
      </c>
      <c r="G34" s="772">
        <v>20000</v>
      </c>
      <c r="H34" s="829">
        <f t="shared" ref="H34:H41" si="2">F34*G34</f>
        <v>350000</v>
      </c>
    </row>
    <row r="35" spans="1:8" ht="15.75" x14ac:dyDescent="0.25">
      <c r="A35" s="825">
        <v>3</v>
      </c>
      <c r="B35" s="826" t="s">
        <v>1067</v>
      </c>
      <c r="C35" s="826"/>
      <c r="D35" s="827" t="s">
        <v>1068</v>
      </c>
      <c r="E35" s="772" t="s">
        <v>1064</v>
      </c>
      <c r="F35" s="828">
        <f>F34*0.05</f>
        <v>0.875</v>
      </c>
      <c r="G35" s="772">
        <v>375000</v>
      </c>
      <c r="H35" s="829">
        <f t="shared" si="2"/>
        <v>328125</v>
      </c>
    </row>
    <row r="36" spans="1:8" ht="15.75" x14ac:dyDescent="0.25">
      <c r="A36" s="825">
        <v>4</v>
      </c>
      <c r="B36" s="826" t="s">
        <v>226</v>
      </c>
      <c r="C36" s="826"/>
      <c r="D36" s="827"/>
      <c r="E36" s="772" t="s">
        <v>1064</v>
      </c>
      <c r="F36" s="828">
        <f>F35</f>
        <v>0.875</v>
      </c>
      <c r="G36" s="772">
        <v>900000</v>
      </c>
      <c r="H36" s="829">
        <f t="shared" si="2"/>
        <v>787500</v>
      </c>
    </row>
    <row r="37" spans="1:8" ht="15.75" x14ac:dyDescent="0.25">
      <c r="A37" s="825">
        <v>5</v>
      </c>
      <c r="B37" s="826" t="s">
        <v>1069</v>
      </c>
      <c r="C37" s="826"/>
      <c r="D37" s="827" t="s">
        <v>1070</v>
      </c>
      <c r="E37" s="772" t="s">
        <v>218</v>
      </c>
      <c r="F37" s="828">
        <f>0.25*3.14*0.3*0.3*4*14</f>
        <v>3.9563999999999995</v>
      </c>
      <c r="G37" s="772">
        <v>4000000</v>
      </c>
      <c r="H37" s="829">
        <f t="shared" si="2"/>
        <v>15825599.999999998</v>
      </c>
    </row>
    <row r="38" spans="1:8" ht="15.75" x14ac:dyDescent="0.25">
      <c r="A38" s="825">
        <v>6</v>
      </c>
      <c r="B38" s="826" t="s">
        <v>348</v>
      </c>
      <c r="C38" s="826" t="s">
        <v>1071</v>
      </c>
      <c r="D38" s="827" t="s">
        <v>1072</v>
      </c>
      <c r="E38" s="772" t="s">
        <v>1064</v>
      </c>
      <c r="F38" s="828">
        <f>0.15*0.3*68</f>
        <v>3.06</v>
      </c>
      <c r="G38" s="772">
        <f>[4]ANALISA!$H$345</f>
        <v>5793300</v>
      </c>
      <c r="H38" s="829">
        <f t="shared" si="2"/>
        <v>17727498</v>
      </c>
    </row>
    <row r="39" spans="1:8" ht="15.75" x14ac:dyDescent="0.25">
      <c r="A39" s="825">
        <v>7</v>
      </c>
      <c r="B39" s="826" t="s">
        <v>1073</v>
      </c>
      <c r="C39" s="826" t="s">
        <v>1074</v>
      </c>
      <c r="D39" s="827" t="s">
        <v>1072</v>
      </c>
      <c r="E39" s="772" t="s">
        <v>1064</v>
      </c>
      <c r="F39" s="828">
        <f>0.5*0.5*0.5*17</f>
        <v>2.125</v>
      </c>
      <c r="G39" s="772">
        <f>[4]ANALISA!$H$206</f>
        <v>4544550</v>
      </c>
      <c r="H39" s="829">
        <f t="shared" si="2"/>
        <v>9657168.75</v>
      </c>
    </row>
    <row r="40" spans="1:8" ht="15.75" x14ac:dyDescent="0.25">
      <c r="A40" s="825">
        <v>8</v>
      </c>
      <c r="B40" s="826" t="s">
        <v>71</v>
      </c>
      <c r="C40" s="826"/>
      <c r="D40" s="827" t="s">
        <v>1075</v>
      </c>
      <c r="E40" s="772" t="s">
        <v>1064</v>
      </c>
      <c r="F40" s="828">
        <f>F33/2</f>
        <v>5.6875</v>
      </c>
      <c r="G40" s="772">
        <v>30000</v>
      </c>
      <c r="H40" s="829">
        <f t="shared" si="2"/>
        <v>170625</v>
      </c>
    </row>
    <row r="41" spans="1:8" ht="15.75" x14ac:dyDescent="0.25">
      <c r="A41" s="825">
        <v>9</v>
      </c>
      <c r="B41" s="826" t="s">
        <v>1076</v>
      </c>
      <c r="C41" s="826"/>
      <c r="D41" s="827" t="s">
        <v>1077</v>
      </c>
      <c r="E41" s="772" t="s">
        <v>1057</v>
      </c>
      <c r="F41" s="828">
        <f>6+5</f>
        <v>11</v>
      </c>
      <c r="G41" s="772">
        <v>125000</v>
      </c>
      <c r="H41" s="829">
        <f t="shared" si="2"/>
        <v>1375000</v>
      </c>
    </row>
    <row r="42" spans="1:8" ht="15.75" x14ac:dyDescent="0.25">
      <c r="A42" s="830"/>
      <c r="B42" s="831"/>
      <c r="C42" s="831"/>
      <c r="D42" s="832" t="s">
        <v>1078</v>
      </c>
      <c r="E42" s="833"/>
      <c r="F42" s="838"/>
      <c r="G42" s="772"/>
      <c r="H42" s="835">
        <f>SUM(H33:H41)</f>
        <v>47927766.75</v>
      </c>
    </row>
    <row r="43" spans="1:8" ht="15.75" x14ac:dyDescent="0.25">
      <c r="A43" s="836" t="s">
        <v>551</v>
      </c>
      <c r="B43" s="837" t="s">
        <v>952</v>
      </c>
      <c r="C43" s="826"/>
      <c r="D43" s="839"/>
      <c r="E43" s="772"/>
      <c r="F43" s="828"/>
      <c r="G43" s="772"/>
      <c r="H43" s="829"/>
    </row>
    <row r="44" spans="1:8" ht="15.75" x14ac:dyDescent="0.25">
      <c r="A44" s="825">
        <v>1</v>
      </c>
      <c r="B44" s="826" t="s">
        <v>349</v>
      </c>
      <c r="C44" s="827" t="s">
        <v>1072</v>
      </c>
      <c r="D44" s="827"/>
      <c r="E44" s="772"/>
      <c r="F44" s="840"/>
      <c r="G44" s="772"/>
      <c r="H44" s="829"/>
    </row>
    <row r="45" spans="1:8" ht="15.75" x14ac:dyDescent="0.25">
      <c r="A45" s="825">
        <v>2</v>
      </c>
      <c r="B45" s="826" t="s">
        <v>1079</v>
      </c>
      <c r="C45" s="826" t="s">
        <v>1080</v>
      </c>
      <c r="D45" s="827" t="s">
        <v>1072</v>
      </c>
      <c r="E45" s="772" t="s">
        <v>1064</v>
      </c>
      <c r="F45" s="840">
        <f>(0.15*0.4*5*14)+(0.15*0.3*4*12)+(0.15*0.25*4*8)</f>
        <v>7.5600000000000005</v>
      </c>
      <c r="G45" s="772">
        <f>[4]ANALISA!$H$425</f>
        <v>7960750</v>
      </c>
      <c r="H45" s="829">
        <f>F45*G45</f>
        <v>60183270.000000007</v>
      </c>
    </row>
    <row r="46" spans="1:8" ht="15.75" x14ac:dyDescent="0.25">
      <c r="A46" s="825">
        <v>4</v>
      </c>
      <c r="B46" s="826" t="s">
        <v>1081</v>
      </c>
      <c r="C46" s="826" t="s">
        <v>1082</v>
      </c>
      <c r="D46" s="827" t="s">
        <v>1072</v>
      </c>
      <c r="E46" s="772" t="s">
        <v>1064</v>
      </c>
      <c r="F46" s="840">
        <f>(0.15*0.15*5*14)+(0.15*0.15*4*11)+(0.15*0.15*4*4)</f>
        <v>2.9249999999999994</v>
      </c>
      <c r="G46" s="772">
        <f>[4]ANALISA!$H$220</f>
        <v>4154300</v>
      </c>
      <c r="H46" s="829">
        <f t="shared" ref="H46:H55" si="3">F46*G46</f>
        <v>12151327.499999998</v>
      </c>
    </row>
    <row r="47" spans="1:8" ht="15.75" x14ac:dyDescent="0.25">
      <c r="A47" s="825">
        <v>5</v>
      </c>
      <c r="B47" s="826" t="s">
        <v>1083</v>
      </c>
      <c r="C47" s="826"/>
      <c r="D47" s="827"/>
      <c r="E47" s="772"/>
      <c r="F47" s="828"/>
      <c r="G47" s="772"/>
      <c r="H47" s="829">
        <f t="shared" si="3"/>
        <v>0</v>
      </c>
    </row>
    <row r="48" spans="1:8" ht="15.75" x14ac:dyDescent="0.25">
      <c r="A48" s="825">
        <v>6</v>
      </c>
      <c r="B48" s="826" t="s">
        <v>1084</v>
      </c>
      <c r="C48" s="826" t="s">
        <v>1085</v>
      </c>
      <c r="D48" s="827" t="s">
        <v>1086</v>
      </c>
      <c r="E48" s="772" t="s">
        <v>1064</v>
      </c>
      <c r="F48" s="841">
        <f>(0.15*0.4*68)+(0.15*0.3*34)</f>
        <v>5.61</v>
      </c>
      <c r="G48" s="772">
        <f>[4]ANALISA!$H$508</f>
        <v>6583650</v>
      </c>
      <c r="H48" s="829">
        <f t="shared" si="3"/>
        <v>36934276.5</v>
      </c>
    </row>
    <row r="49" spans="1:8" ht="15.75" x14ac:dyDescent="0.25">
      <c r="A49" s="825">
        <v>8</v>
      </c>
      <c r="B49" s="826" t="s">
        <v>1087</v>
      </c>
      <c r="C49" s="826" t="s">
        <v>1088</v>
      </c>
      <c r="D49" s="827" t="s">
        <v>1072</v>
      </c>
      <c r="E49" s="772" t="s">
        <v>1064</v>
      </c>
      <c r="F49" s="842">
        <f>(0.15*0.2*34)+(0.15*0.2*34)</f>
        <v>2.04</v>
      </c>
      <c r="G49" s="772">
        <f>[4]ANALISA!$H$525</f>
        <v>6973650</v>
      </c>
      <c r="H49" s="829">
        <f t="shared" si="3"/>
        <v>14226246</v>
      </c>
    </row>
    <row r="50" spans="1:8" ht="15.75" x14ac:dyDescent="0.25">
      <c r="A50" s="825">
        <v>9</v>
      </c>
      <c r="B50" s="826" t="s">
        <v>1089</v>
      </c>
      <c r="C50" s="826" t="s">
        <v>1090</v>
      </c>
      <c r="D50" s="827" t="s">
        <v>1086</v>
      </c>
      <c r="E50" s="772" t="s">
        <v>1064</v>
      </c>
      <c r="F50" s="842">
        <f>(9*8*0.12)+(4*9*0.12)</f>
        <v>12.96</v>
      </c>
      <c r="G50" s="772">
        <f>[4]ANALISA!$H$606</f>
        <v>5167450</v>
      </c>
      <c r="H50" s="829">
        <f t="shared" si="3"/>
        <v>66970152.000000007</v>
      </c>
    </row>
    <row r="51" spans="1:8" ht="15.75" x14ac:dyDescent="0.25">
      <c r="A51" s="825">
        <v>10</v>
      </c>
      <c r="B51" s="826" t="s">
        <v>1091</v>
      </c>
      <c r="C51" s="826"/>
      <c r="D51" s="827" t="s">
        <v>1086</v>
      </c>
      <c r="E51" s="772" t="s">
        <v>1064</v>
      </c>
      <c r="F51" s="841">
        <f>6*1.2*0.15</f>
        <v>1.0799999999999998</v>
      </c>
      <c r="G51" s="772">
        <f>[4]ANALISA!$H$558</f>
        <v>6292450</v>
      </c>
      <c r="H51" s="829">
        <f t="shared" si="3"/>
        <v>6795845.9999999991</v>
      </c>
    </row>
    <row r="52" spans="1:8" ht="15.75" x14ac:dyDescent="0.25">
      <c r="A52" s="825">
        <v>11</v>
      </c>
      <c r="B52" s="826" t="s">
        <v>1092</v>
      </c>
      <c r="C52" s="826" t="s">
        <v>1090</v>
      </c>
      <c r="D52" s="827" t="s">
        <v>1072</v>
      </c>
      <c r="E52" s="772" t="s">
        <v>1064</v>
      </c>
      <c r="F52" s="842">
        <f>(4*0.1*0.12*2)*2</f>
        <v>0.192</v>
      </c>
      <c r="G52" s="772">
        <f>[4]ANALISA!$H$590</f>
        <v>5642450</v>
      </c>
      <c r="H52" s="829">
        <f t="shared" si="3"/>
        <v>1083350.3999999999</v>
      </c>
    </row>
    <row r="53" spans="1:8" ht="15.75" x14ac:dyDescent="0.25">
      <c r="A53" s="825">
        <v>12</v>
      </c>
      <c r="B53" s="965" t="s">
        <v>1093</v>
      </c>
      <c r="C53" s="966"/>
      <c r="D53" s="827" t="s">
        <v>1072</v>
      </c>
      <c r="E53" s="772" t="s">
        <v>1064</v>
      </c>
      <c r="F53" s="841">
        <f>(3.5*1.5*0.12)+(3.2*1.5*0.12)+(1+5*1.5*0.1)</f>
        <v>2.956</v>
      </c>
      <c r="G53" s="772">
        <f>G50</f>
        <v>5167450</v>
      </c>
      <c r="H53" s="829">
        <f t="shared" si="3"/>
        <v>15274982.199999999</v>
      </c>
    </row>
    <row r="54" spans="1:8" ht="15.75" x14ac:dyDescent="0.25">
      <c r="A54" s="825">
        <v>13</v>
      </c>
      <c r="B54" s="826" t="s">
        <v>1094</v>
      </c>
      <c r="C54" s="826"/>
      <c r="D54" s="827" t="s">
        <v>1072</v>
      </c>
      <c r="E54" s="772" t="s">
        <v>1064</v>
      </c>
      <c r="F54" s="841">
        <v>0.57999999999999996</v>
      </c>
      <c r="G54" s="772">
        <f>G53</f>
        <v>5167450</v>
      </c>
      <c r="H54" s="829">
        <f t="shared" si="3"/>
        <v>2997121</v>
      </c>
    </row>
    <row r="55" spans="1:8" ht="15.75" x14ac:dyDescent="0.25">
      <c r="A55" s="825">
        <v>14</v>
      </c>
      <c r="B55" s="826" t="s">
        <v>1095</v>
      </c>
      <c r="C55" s="826"/>
      <c r="D55" s="827" t="s">
        <v>1072</v>
      </c>
      <c r="E55" s="772" t="s">
        <v>1064</v>
      </c>
      <c r="F55" s="841">
        <v>1</v>
      </c>
      <c r="G55" s="772">
        <f>G46</f>
        <v>4154300</v>
      </c>
      <c r="H55" s="829">
        <f t="shared" si="3"/>
        <v>4154300</v>
      </c>
    </row>
    <row r="56" spans="1:8" ht="15.75" x14ac:dyDescent="0.25">
      <c r="A56" s="830"/>
      <c r="B56" s="831"/>
      <c r="C56" s="831"/>
      <c r="D56" s="832" t="s">
        <v>1096</v>
      </c>
      <c r="E56" s="833"/>
      <c r="F56" s="843"/>
      <c r="G56" s="772"/>
      <c r="H56" s="844">
        <f>SUM(H45:H55)</f>
        <v>220770871.59999999</v>
      </c>
    </row>
    <row r="57" spans="1:8" ht="15.75" x14ac:dyDescent="0.25">
      <c r="A57" s="836" t="s">
        <v>961</v>
      </c>
      <c r="B57" s="837" t="s">
        <v>1097</v>
      </c>
      <c r="C57" s="837"/>
      <c r="D57" s="839"/>
      <c r="E57" s="772"/>
      <c r="F57" s="845"/>
      <c r="G57" s="846"/>
      <c r="H57" s="844"/>
    </row>
    <row r="58" spans="1:8" ht="15.75" x14ac:dyDescent="0.25">
      <c r="A58" s="825">
        <v>1</v>
      </c>
      <c r="B58" s="826" t="s">
        <v>233</v>
      </c>
      <c r="C58" s="826"/>
      <c r="D58" s="827" t="s">
        <v>234</v>
      </c>
      <c r="E58" s="772" t="s">
        <v>694</v>
      </c>
      <c r="F58" s="840">
        <f>(68*4.5)+(62*3)+(38.5*3)+(7/2*2.5)*2</f>
        <v>625</v>
      </c>
      <c r="G58" s="772">
        <v>145000</v>
      </c>
      <c r="H58" s="847">
        <f>F58*G58</f>
        <v>90625000</v>
      </c>
    </row>
    <row r="59" spans="1:8" ht="15.75" x14ac:dyDescent="0.25">
      <c r="A59" s="825">
        <v>2</v>
      </c>
      <c r="B59" s="826" t="s">
        <v>1098</v>
      </c>
      <c r="C59" s="826"/>
      <c r="D59" s="827" t="s">
        <v>1099</v>
      </c>
      <c r="E59" s="772" t="s">
        <v>694</v>
      </c>
      <c r="F59" s="840">
        <f>4*2</f>
        <v>8</v>
      </c>
      <c r="G59" s="772">
        <v>700000</v>
      </c>
      <c r="H59" s="847">
        <f>F59*G59</f>
        <v>5600000</v>
      </c>
    </row>
    <row r="60" spans="1:8" ht="15.75" x14ac:dyDescent="0.25">
      <c r="A60" s="830"/>
      <c r="B60" s="831"/>
      <c r="C60" s="831"/>
      <c r="D60" s="832" t="s">
        <v>1100</v>
      </c>
      <c r="E60" s="833"/>
      <c r="F60" s="848"/>
      <c r="G60" s="772"/>
      <c r="H60" s="844">
        <f>SUM(H58:H59)</f>
        <v>96225000</v>
      </c>
    </row>
    <row r="61" spans="1:8" ht="15.75" x14ac:dyDescent="0.25">
      <c r="A61" s="836" t="s">
        <v>973</v>
      </c>
      <c r="B61" s="837" t="s">
        <v>1101</v>
      </c>
      <c r="C61" s="837"/>
      <c r="D61" s="839"/>
      <c r="E61" s="772"/>
      <c r="F61" s="849"/>
      <c r="G61" s="772"/>
      <c r="H61" s="847"/>
    </row>
    <row r="62" spans="1:8" ht="15.75" x14ac:dyDescent="0.25">
      <c r="A62" s="825">
        <v>1</v>
      </c>
      <c r="B62" s="826" t="s">
        <v>1102</v>
      </c>
      <c r="C62" s="826"/>
      <c r="D62" s="827" t="s">
        <v>86</v>
      </c>
      <c r="E62" s="772" t="s">
        <v>694</v>
      </c>
      <c r="F62" s="845">
        <f>F58*2*0.75</f>
        <v>937.5</v>
      </c>
      <c r="G62" s="772">
        <v>109000</v>
      </c>
      <c r="H62" s="847">
        <f>F62*G62</f>
        <v>102187500</v>
      </c>
    </row>
    <row r="63" spans="1:8" ht="15.75" x14ac:dyDescent="0.25">
      <c r="A63" s="825">
        <v>2</v>
      </c>
      <c r="B63" s="826" t="s">
        <v>1103</v>
      </c>
      <c r="C63" s="826"/>
      <c r="D63" s="827" t="s">
        <v>1104</v>
      </c>
      <c r="E63" s="772" t="s">
        <v>694</v>
      </c>
      <c r="F63" s="845">
        <f>F62</f>
        <v>937.5</v>
      </c>
      <c r="G63" s="772">
        <v>62500</v>
      </c>
      <c r="H63" s="847">
        <f t="shared" ref="H63:H75" si="4">F63*G63</f>
        <v>58593750</v>
      </c>
    </row>
    <row r="64" spans="1:8" ht="15.75" x14ac:dyDescent="0.25">
      <c r="A64" s="825">
        <v>3</v>
      </c>
      <c r="B64" s="634" t="s">
        <v>1105</v>
      </c>
      <c r="C64" s="850"/>
      <c r="D64" s="851" t="s">
        <v>1106</v>
      </c>
      <c r="E64" s="772" t="s">
        <v>1107</v>
      </c>
      <c r="F64" s="845">
        <v>1</v>
      </c>
      <c r="G64" s="772">
        <v>15000000</v>
      </c>
      <c r="H64" s="847">
        <f t="shared" si="4"/>
        <v>15000000</v>
      </c>
    </row>
    <row r="65" spans="1:8" ht="15.75" x14ac:dyDescent="0.25">
      <c r="A65" s="825">
        <v>4</v>
      </c>
      <c r="B65" s="826" t="s">
        <v>1108</v>
      </c>
      <c r="C65" s="850"/>
      <c r="D65" s="851"/>
      <c r="E65" s="772" t="s">
        <v>1057</v>
      </c>
      <c r="F65" s="845">
        <v>211.2</v>
      </c>
      <c r="G65" s="772">
        <v>40000</v>
      </c>
      <c r="H65" s="847">
        <f t="shared" si="4"/>
        <v>8448000</v>
      </c>
    </row>
    <row r="66" spans="1:8" ht="15.75" x14ac:dyDescent="0.25">
      <c r="A66" s="825">
        <v>5</v>
      </c>
      <c r="B66" s="826" t="s">
        <v>1109</v>
      </c>
      <c r="C66" s="826"/>
      <c r="D66" s="827"/>
      <c r="E66" s="772"/>
      <c r="F66" s="849"/>
      <c r="G66" s="772"/>
      <c r="H66" s="847">
        <f t="shared" si="4"/>
        <v>0</v>
      </c>
    </row>
    <row r="67" spans="1:8" ht="15.75" x14ac:dyDescent="0.25">
      <c r="A67" s="852" t="s">
        <v>40</v>
      </c>
      <c r="B67" s="826"/>
      <c r="C67" s="826" t="s">
        <v>1110</v>
      </c>
      <c r="D67" s="853"/>
      <c r="E67" s="854"/>
      <c r="F67" s="772"/>
      <c r="G67" s="772"/>
      <c r="H67" s="847">
        <f t="shared" si="4"/>
        <v>0</v>
      </c>
    </row>
    <row r="68" spans="1:8" ht="15.75" x14ac:dyDescent="0.25">
      <c r="A68" s="852"/>
      <c r="B68" s="826"/>
      <c r="C68" s="855" t="s">
        <v>1111</v>
      </c>
      <c r="D68" s="853" t="s">
        <v>1112</v>
      </c>
      <c r="E68" s="772" t="s">
        <v>694</v>
      </c>
      <c r="F68" s="856">
        <f>(2.5+1.3)*2*2.8</f>
        <v>21.279999999999998</v>
      </c>
      <c r="G68" s="772">
        <v>400000</v>
      </c>
      <c r="H68" s="847">
        <f t="shared" si="4"/>
        <v>8511999.9999999981</v>
      </c>
    </row>
    <row r="69" spans="1:8" ht="15.75" x14ac:dyDescent="0.25">
      <c r="A69" s="852"/>
      <c r="B69" s="826"/>
      <c r="C69" s="855" t="s">
        <v>1113</v>
      </c>
      <c r="D69" s="853" t="s">
        <v>1114</v>
      </c>
      <c r="E69" s="772" t="s">
        <v>694</v>
      </c>
      <c r="F69" s="856">
        <f>(2+1.2)*2*2.5</f>
        <v>16</v>
      </c>
      <c r="G69" s="772">
        <v>400000</v>
      </c>
      <c r="H69" s="847">
        <f t="shared" si="4"/>
        <v>6400000</v>
      </c>
    </row>
    <row r="70" spans="1:8" ht="15.75" x14ac:dyDescent="0.25">
      <c r="A70" s="852"/>
      <c r="B70" s="826"/>
      <c r="C70" s="855" t="s">
        <v>1115</v>
      </c>
      <c r="D70" s="853" t="s">
        <v>1116</v>
      </c>
      <c r="E70" s="772" t="s">
        <v>694</v>
      </c>
      <c r="F70" s="856">
        <v>5</v>
      </c>
      <c r="G70" s="772">
        <v>400000</v>
      </c>
      <c r="H70" s="847">
        <f t="shared" si="4"/>
        <v>2000000</v>
      </c>
    </row>
    <row r="71" spans="1:8" ht="15.75" x14ac:dyDescent="0.25">
      <c r="A71" s="852"/>
      <c r="B71" s="826"/>
      <c r="C71" s="855" t="s">
        <v>1117</v>
      </c>
      <c r="D71" s="853" t="s">
        <v>1116</v>
      </c>
      <c r="E71" s="772" t="s">
        <v>694</v>
      </c>
      <c r="F71" s="856">
        <v>5</v>
      </c>
      <c r="G71" s="772">
        <v>400000</v>
      </c>
      <c r="H71" s="847">
        <f t="shared" si="4"/>
        <v>2000000</v>
      </c>
    </row>
    <row r="72" spans="1:8" ht="15.75" x14ac:dyDescent="0.25">
      <c r="A72" s="852" t="s">
        <v>66</v>
      </c>
      <c r="B72" s="826"/>
      <c r="C72" s="826" t="s">
        <v>1118</v>
      </c>
      <c r="D72" s="853"/>
      <c r="E72" s="772"/>
      <c r="F72" s="772"/>
      <c r="G72" s="772"/>
      <c r="H72" s="847">
        <f t="shared" si="4"/>
        <v>0</v>
      </c>
    </row>
    <row r="73" spans="1:8" ht="15.75" x14ac:dyDescent="0.25">
      <c r="A73" s="852"/>
      <c r="B73" s="826"/>
      <c r="C73" s="855" t="s">
        <v>1119</v>
      </c>
      <c r="D73" s="853" t="s">
        <v>1120</v>
      </c>
      <c r="E73" s="772" t="s">
        <v>694</v>
      </c>
      <c r="F73" s="856">
        <f>(2.5+2)*2*2.5</f>
        <v>22.5</v>
      </c>
      <c r="G73" s="772">
        <v>400000</v>
      </c>
      <c r="H73" s="847">
        <f t="shared" si="4"/>
        <v>9000000</v>
      </c>
    </row>
    <row r="74" spans="1:8" ht="15.75" x14ac:dyDescent="0.25">
      <c r="A74" s="857"/>
      <c r="B74" s="826"/>
      <c r="C74" s="855" t="s">
        <v>1121</v>
      </c>
      <c r="D74" s="853" t="s">
        <v>1122</v>
      </c>
      <c r="E74" s="772" t="s">
        <v>694</v>
      </c>
      <c r="F74" s="856">
        <f>(1.5+2+1.5)*2.8</f>
        <v>14</v>
      </c>
      <c r="G74" s="772">
        <v>400000</v>
      </c>
      <c r="H74" s="847">
        <f t="shared" si="4"/>
        <v>5600000</v>
      </c>
    </row>
    <row r="75" spans="1:8" ht="15.75" x14ac:dyDescent="0.25">
      <c r="A75" s="857"/>
      <c r="B75" s="826"/>
      <c r="C75" s="855" t="s">
        <v>1123</v>
      </c>
      <c r="D75" s="853" t="s">
        <v>1124</v>
      </c>
      <c r="E75" s="772" t="s">
        <v>694</v>
      </c>
      <c r="F75" s="856">
        <f>2*2.8</f>
        <v>5.6</v>
      </c>
      <c r="G75" s="772">
        <v>400000</v>
      </c>
      <c r="H75" s="847">
        <f t="shared" si="4"/>
        <v>2240000</v>
      </c>
    </row>
    <row r="76" spans="1:8" ht="15.75" x14ac:dyDescent="0.25">
      <c r="A76" s="830"/>
      <c r="B76" s="831"/>
      <c r="C76" s="831"/>
      <c r="D76" s="858" t="s">
        <v>1125</v>
      </c>
      <c r="E76" s="833"/>
      <c r="F76" s="833"/>
      <c r="G76" s="833"/>
      <c r="H76" s="844">
        <f>SUM(H62:H75)</f>
        <v>219981250</v>
      </c>
    </row>
    <row r="77" spans="1:8" ht="15.75" x14ac:dyDescent="0.25">
      <c r="A77" s="836" t="s">
        <v>988</v>
      </c>
      <c r="B77" s="837" t="s">
        <v>1126</v>
      </c>
      <c r="C77" s="837"/>
      <c r="D77" s="859"/>
      <c r="E77" s="772"/>
      <c r="F77" s="772"/>
      <c r="G77" s="833"/>
      <c r="H77" s="844"/>
    </row>
    <row r="78" spans="1:8" ht="15.75" x14ac:dyDescent="0.25">
      <c r="A78" s="825">
        <v>1</v>
      </c>
      <c r="B78" s="826" t="s">
        <v>1127</v>
      </c>
      <c r="C78" s="837"/>
      <c r="D78" s="860" t="s">
        <v>1128</v>
      </c>
      <c r="E78" s="772" t="s">
        <v>694</v>
      </c>
      <c r="F78" s="856">
        <f>(9*4)/0.866+(4*6)/0.866</f>
        <v>69.284064665127019</v>
      </c>
      <c r="G78" s="772">
        <v>200000</v>
      </c>
      <c r="H78" s="861">
        <f>F78*G78</f>
        <v>13856812.933025403</v>
      </c>
    </row>
    <row r="79" spans="1:8" ht="15.75" x14ac:dyDescent="0.25">
      <c r="A79" s="825">
        <v>2</v>
      </c>
      <c r="B79" s="826" t="s">
        <v>1129</v>
      </c>
      <c r="C79" s="826"/>
      <c r="D79" s="860" t="s">
        <v>1130</v>
      </c>
      <c r="E79" s="772" t="s">
        <v>694</v>
      </c>
      <c r="F79" s="856">
        <f>F78</f>
        <v>69.284064665127019</v>
      </c>
      <c r="G79" s="772">
        <v>180000</v>
      </c>
      <c r="H79" s="861">
        <f t="shared" ref="H79:H88" si="5">F79*G79</f>
        <v>12471131.639722863</v>
      </c>
    </row>
    <row r="80" spans="1:8" ht="15.75" x14ac:dyDescent="0.25">
      <c r="A80" s="825">
        <v>3</v>
      </c>
      <c r="B80" s="967" t="s">
        <v>1131</v>
      </c>
      <c r="C80" s="967"/>
      <c r="D80" s="860" t="str">
        <f>+D79</f>
        <v xml:space="preserve">ex Cisangkan </v>
      </c>
      <c r="E80" s="772" t="s">
        <v>1057</v>
      </c>
      <c r="F80" s="856">
        <f>4.5+4.5</f>
        <v>9</v>
      </c>
      <c r="G80" s="772">
        <v>120000</v>
      </c>
      <c r="H80" s="861">
        <f t="shared" si="5"/>
        <v>1080000</v>
      </c>
    </row>
    <row r="81" spans="1:8" ht="15.75" x14ac:dyDescent="0.25">
      <c r="A81" s="825">
        <v>4</v>
      </c>
      <c r="B81" s="967" t="s">
        <v>1132</v>
      </c>
      <c r="C81" s="967"/>
      <c r="D81" s="853"/>
      <c r="E81" s="772" t="s">
        <v>1057</v>
      </c>
      <c r="F81" s="856">
        <v>9</v>
      </c>
      <c r="G81" s="772">
        <v>75000</v>
      </c>
      <c r="H81" s="861">
        <f t="shared" si="5"/>
        <v>675000</v>
      </c>
    </row>
    <row r="82" spans="1:8" ht="15.75" x14ac:dyDescent="0.25">
      <c r="A82" s="825">
        <v>5</v>
      </c>
      <c r="B82" s="967" t="s">
        <v>1133</v>
      </c>
      <c r="C82" s="967"/>
      <c r="D82" s="860"/>
      <c r="E82" s="772" t="s">
        <v>1057</v>
      </c>
      <c r="F82" s="856">
        <v>5</v>
      </c>
      <c r="G82" s="772">
        <v>75000</v>
      </c>
      <c r="H82" s="861">
        <f t="shared" si="5"/>
        <v>375000</v>
      </c>
    </row>
    <row r="83" spans="1:8" ht="15.75" x14ac:dyDescent="0.25">
      <c r="A83" s="825">
        <v>6</v>
      </c>
      <c r="B83" s="826" t="s">
        <v>1134</v>
      </c>
      <c r="C83" s="826"/>
      <c r="D83" s="860"/>
      <c r="E83" s="772" t="s">
        <v>1057</v>
      </c>
      <c r="F83" s="856">
        <f>18</f>
        <v>18</v>
      </c>
      <c r="G83" s="772">
        <v>110000</v>
      </c>
      <c r="H83" s="861">
        <f t="shared" si="5"/>
        <v>1980000</v>
      </c>
    </row>
    <row r="84" spans="1:8" ht="15.75" x14ac:dyDescent="0.25">
      <c r="A84" s="825">
        <v>7</v>
      </c>
      <c r="B84" s="826" t="s">
        <v>232</v>
      </c>
      <c r="C84" s="826"/>
      <c r="D84" s="860"/>
      <c r="E84" s="772" t="s">
        <v>1057</v>
      </c>
      <c r="F84" s="856">
        <v>10</v>
      </c>
      <c r="G84" s="772">
        <v>450000</v>
      </c>
      <c r="H84" s="861">
        <f t="shared" si="5"/>
        <v>4500000</v>
      </c>
    </row>
    <row r="85" spans="1:8" ht="15.75" x14ac:dyDescent="0.25">
      <c r="A85" s="825">
        <v>8</v>
      </c>
      <c r="B85" s="968" t="s">
        <v>1135</v>
      </c>
      <c r="C85" s="969"/>
      <c r="D85" s="860" t="s">
        <v>1136</v>
      </c>
      <c r="E85" s="772" t="s">
        <v>694</v>
      </c>
      <c r="F85" s="856">
        <f>F78</f>
        <v>69.284064665127019</v>
      </c>
      <c r="G85" s="772">
        <v>25000</v>
      </c>
      <c r="H85" s="861">
        <f t="shared" si="5"/>
        <v>1732101.6166281754</v>
      </c>
    </row>
    <row r="86" spans="1:8" ht="15.75" x14ac:dyDescent="0.25">
      <c r="A86" s="825">
        <v>9</v>
      </c>
      <c r="B86" s="826" t="s">
        <v>1137</v>
      </c>
      <c r="C86" s="826"/>
      <c r="D86" s="853" t="s">
        <v>1138</v>
      </c>
      <c r="E86" s="772"/>
      <c r="F86" s="856"/>
      <c r="G86" s="772"/>
      <c r="H86" s="861">
        <f t="shared" si="5"/>
        <v>0</v>
      </c>
    </row>
    <row r="87" spans="1:8" ht="15.75" x14ac:dyDescent="0.25">
      <c r="A87" s="825"/>
      <c r="B87" s="826" t="s">
        <v>242</v>
      </c>
      <c r="C87" s="826"/>
      <c r="D87" s="853" t="s">
        <v>1139</v>
      </c>
      <c r="E87" s="772" t="s">
        <v>694</v>
      </c>
      <c r="F87" s="856">
        <f>(3*4)+(8)+(3*2.5)</f>
        <v>27.5</v>
      </c>
      <c r="G87" s="772">
        <v>150000</v>
      </c>
      <c r="H87" s="861">
        <f t="shared" si="5"/>
        <v>4125000</v>
      </c>
    </row>
    <row r="88" spans="1:8" ht="15.75" x14ac:dyDescent="0.25">
      <c r="A88" s="825">
        <v>10</v>
      </c>
      <c r="B88" s="826" t="s">
        <v>1140</v>
      </c>
      <c r="C88" s="826"/>
      <c r="D88" s="860" t="s">
        <v>1141</v>
      </c>
      <c r="E88" s="772" t="s">
        <v>1057</v>
      </c>
      <c r="F88" s="856">
        <f>(12+10)*2+(8)</f>
        <v>52</v>
      </c>
      <c r="G88" s="772">
        <v>15000</v>
      </c>
      <c r="H88" s="861">
        <f t="shared" si="5"/>
        <v>780000</v>
      </c>
    </row>
    <row r="89" spans="1:8" ht="15.75" x14ac:dyDescent="0.25">
      <c r="A89" s="830"/>
      <c r="B89" s="831"/>
      <c r="C89" s="831"/>
      <c r="D89" s="858" t="s">
        <v>1142</v>
      </c>
      <c r="E89" s="833"/>
      <c r="F89" s="833"/>
      <c r="G89" s="833"/>
      <c r="H89" s="844">
        <f>SUM(H78:H88)</f>
        <v>41575046.189376444</v>
      </c>
    </row>
    <row r="90" spans="1:8" ht="15.75" x14ac:dyDescent="0.25">
      <c r="A90" s="836" t="s">
        <v>1143</v>
      </c>
      <c r="B90" s="837" t="s">
        <v>1144</v>
      </c>
      <c r="C90" s="837"/>
      <c r="D90" s="859"/>
      <c r="E90" s="772"/>
      <c r="F90" s="772"/>
      <c r="G90" s="772"/>
      <c r="H90" s="847">
        <v>0</v>
      </c>
    </row>
    <row r="91" spans="1:8" ht="15.75" x14ac:dyDescent="0.25">
      <c r="A91" s="825">
        <v>1</v>
      </c>
      <c r="B91" s="826" t="s">
        <v>244</v>
      </c>
      <c r="C91" s="826"/>
      <c r="D91" s="853" t="s">
        <v>245</v>
      </c>
      <c r="E91" s="772" t="s">
        <v>694</v>
      </c>
      <c r="F91" s="856">
        <v>200</v>
      </c>
      <c r="G91" s="772">
        <v>125000</v>
      </c>
      <c r="H91" s="847">
        <f>F91*G91</f>
        <v>25000000</v>
      </c>
    </row>
    <row r="92" spans="1:8" ht="15.75" x14ac:dyDescent="0.25">
      <c r="A92" s="825"/>
      <c r="B92" s="837" t="s">
        <v>1145</v>
      </c>
      <c r="C92" s="826"/>
      <c r="D92" s="853"/>
      <c r="E92" s="772"/>
      <c r="F92" s="856"/>
      <c r="G92" s="772"/>
      <c r="H92" s="847">
        <f t="shared" ref="H92:H99" si="6">F92*G92</f>
        <v>0</v>
      </c>
    </row>
    <row r="93" spans="1:8" ht="15.75" x14ac:dyDescent="0.25">
      <c r="A93" s="825">
        <v>2</v>
      </c>
      <c r="B93" s="826" t="s">
        <v>246</v>
      </c>
      <c r="C93" s="826"/>
      <c r="D93" s="853"/>
      <c r="E93" s="772"/>
      <c r="F93" s="856"/>
      <c r="G93" s="772"/>
      <c r="H93" s="847">
        <f t="shared" si="6"/>
        <v>0</v>
      </c>
    </row>
    <row r="94" spans="1:8" ht="15.75" x14ac:dyDescent="0.25">
      <c r="A94" s="825"/>
      <c r="B94" s="863" t="s">
        <v>1146</v>
      </c>
      <c r="C94" s="826"/>
      <c r="D94" s="853" t="s">
        <v>1147</v>
      </c>
      <c r="E94" s="772" t="s">
        <v>1057</v>
      </c>
      <c r="F94" s="856">
        <v>162</v>
      </c>
      <c r="G94" s="772">
        <v>27000</v>
      </c>
      <c r="H94" s="847">
        <f t="shared" si="6"/>
        <v>4374000</v>
      </c>
    </row>
    <row r="95" spans="1:8" ht="15.75" x14ac:dyDescent="0.25">
      <c r="A95" s="825"/>
      <c r="B95" s="863" t="s">
        <v>1148</v>
      </c>
      <c r="C95" s="826"/>
      <c r="D95" s="853" t="s">
        <v>1149</v>
      </c>
      <c r="E95" s="772" t="s">
        <v>1057</v>
      </c>
      <c r="F95" s="856">
        <v>67</v>
      </c>
      <c r="G95" s="772">
        <v>24000</v>
      </c>
      <c r="H95" s="847">
        <f t="shared" si="6"/>
        <v>1608000</v>
      </c>
    </row>
    <row r="96" spans="1:8" ht="15.75" x14ac:dyDescent="0.25">
      <c r="A96" s="825">
        <v>3</v>
      </c>
      <c r="B96" s="826" t="s">
        <v>1150</v>
      </c>
      <c r="C96" s="826"/>
      <c r="D96" s="853" t="s">
        <v>1151</v>
      </c>
      <c r="E96" s="772" t="s">
        <v>694</v>
      </c>
      <c r="F96" s="856">
        <v>17.600000000000001</v>
      </c>
      <c r="G96" s="772">
        <v>95000</v>
      </c>
      <c r="H96" s="847">
        <f t="shared" si="6"/>
        <v>1672000.0000000002</v>
      </c>
    </row>
    <row r="97" spans="1:8" ht="15.75" x14ac:dyDescent="0.25">
      <c r="A97" s="825">
        <v>4</v>
      </c>
      <c r="B97" s="826" t="s">
        <v>1152</v>
      </c>
      <c r="C97" s="826"/>
      <c r="D97" s="853" t="s">
        <v>1153</v>
      </c>
      <c r="E97" s="772" t="s">
        <v>241</v>
      </c>
      <c r="F97" s="864">
        <v>1</v>
      </c>
      <c r="G97" s="772">
        <v>350000</v>
      </c>
      <c r="H97" s="847">
        <f t="shared" si="6"/>
        <v>350000</v>
      </c>
    </row>
    <row r="98" spans="1:8" ht="15.75" x14ac:dyDescent="0.25">
      <c r="A98" s="825">
        <v>5</v>
      </c>
      <c r="B98" s="826" t="s">
        <v>1154</v>
      </c>
      <c r="C98" s="826"/>
      <c r="D98" s="853" t="s">
        <v>1155</v>
      </c>
      <c r="E98" s="772" t="s">
        <v>1057</v>
      </c>
      <c r="F98" s="864">
        <v>66</v>
      </c>
      <c r="G98" s="772">
        <v>25000</v>
      </c>
      <c r="H98" s="847">
        <f t="shared" si="6"/>
        <v>1650000</v>
      </c>
    </row>
    <row r="99" spans="1:8" ht="15.75" x14ac:dyDescent="0.25">
      <c r="A99" s="825">
        <v>6</v>
      </c>
      <c r="B99" s="826" t="s">
        <v>1156</v>
      </c>
      <c r="C99" s="826"/>
      <c r="E99" s="772" t="s">
        <v>1057</v>
      </c>
      <c r="F99" s="856">
        <v>33</v>
      </c>
      <c r="G99" s="772">
        <v>60000</v>
      </c>
      <c r="H99" s="847">
        <f t="shared" si="6"/>
        <v>1980000</v>
      </c>
    </row>
    <row r="100" spans="1:8" ht="15.75" x14ac:dyDescent="0.25">
      <c r="A100" s="830"/>
      <c r="B100" s="831"/>
      <c r="C100" s="831"/>
      <c r="D100" s="858" t="s">
        <v>1157</v>
      </c>
      <c r="E100" s="833"/>
      <c r="F100" s="833"/>
      <c r="G100" s="772"/>
      <c r="H100" s="865">
        <f>SUM(H90:H99)</f>
        <v>36634000</v>
      </c>
    </row>
    <row r="101" spans="1:8" ht="15.75" x14ac:dyDescent="0.25">
      <c r="A101" s="836" t="s">
        <v>1158</v>
      </c>
      <c r="B101" s="837" t="s">
        <v>1159</v>
      </c>
      <c r="C101" s="837"/>
      <c r="D101" s="859"/>
      <c r="E101" s="772"/>
      <c r="F101" s="772"/>
      <c r="G101" s="772"/>
      <c r="H101" s="847"/>
    </row>
    <row r="102" spans="1:8" ht="15.75" x14ac:dyDescent="0.25">
      <c r="A102" s="866">
        <v>1</v>
      </c>
      <c r="B102" s="826" t="s">
        <v>1160</v>
      </c>
      <c r="C102" s="826"/>
      <c r="D102" s="853" t="s">
        <v>1161</v>
      </c>
      <c r="E102" s="772" t="s">
        <v>694</v>
      </c>
      <c r="F102" s="856">
        <f>'[3]LUASAN '!F18</f>
        <v>127.75</v>
      </c>
      <c r="G102" s="772">
        <v>10000</v>
      </c>
      <c r="H102" s="847">
        <f>F102*G102</f>
        <v>1277500</v>
      </c>
    </row>
    <row r="103" spans="1:8" ht="15.75" x14ac:dyDescent="0.25">
      <c r="A103" s="866">
        <v>2</v>
      </c>
      <c r="B103" s="826" t="s">
        <v>1162</v>
      </c>
      <c r="C103" s="826"/>
      <c r="D103" s="853" t="s">
        <v>1163</v>
      </c>
      <c r="E103" s="772" t="s">
        <v>1064</v>
      </c>
      <c r="F103" s="856">
        <f>F102*0.05</f>
        <v>6.3875000000000002</v>
      </c>
      <c r="G103" s="772">
        <v>300000</v>
      </c>
      <c r="H103" s="847">
        <f t="shared" ref="H103:H135" si="7">F103*G103</f>
        <v>1916250</v>
      </c>
    </row>
    <row r="104" spans="1:8" ht="15.75" x14ac:dyDescent="0.25">
      <c r="A104" s="866">
        <v>3</v>
      </c>
      <c r="B104" s="826" t="s">
        <v>1164</v>
      </c>
      <c r="C104" s="826"/>
      <c r="D104" s="853" t="s">
        <v>1165</v>
      </c>
      <c r="E104" s="772"/>
      <c r="F104" s="772"/>
      <c r="G104" s="772"/>
      <c r="H104" s="847">
        <f t="shared" si="7"/>
        <v>0</v>
      </c>
    </row>
    <row r="105" spans="1:8" ht="15.75" x14ac:dyDescent="0.25">
      <c r="A105" s="852" t="s">
        <v>40</v>
      </c>
      <c r="B105" s="826"/>
      <c r="C105" s="826" t="s">
        <v>1166</v>
      </c>
      <c r="D105" s="853" t="s">
        <v>1167</v>
      </c>
      <c r="E105" s="772" t="s">
        <v>1057</v>
      </c>
      <c r="F105" s="856">
        <f>(9+9+8+2)+(4+4+5)</f>
        <v>41</v>
      </c>
      <c r="G105" s="772">
        <v>75000</v>
      </c>
      <c r="H105" s="847">
        <f t="shared" si="7"/>
        <v>3075000</v>
      </c>
    </row>
    <row r="106" spans="1:8" ht="15.75" x14ac:dyDescent="0.25">
      <c r="A106" s="852" t="s">
        <v>66</v>
      </c>
      <c r="B106" s="826"/>
      <c r="C106" s="826" t="s">
        <v>1168</v>
      </c>
      <c r="D106" s="853" t="s">
        <v>1169</v>
      </c>
      <c r="E106" s="772" t="s">
        <v>1057</v>
      </c>
      <c r="F106" s="856">
        <f>(2*4)</f>
        <v>8</v>
      </c>
      <c r="G106" s="772">
        <v>75000</v>
      </c>
      <c r="H106" s="847">
        <f t="shared" si="7"/>
        <v>600000</v>
      </c>
    </row>
    <row r="107" spans="1:8" ht="15.75" x14ac:dyDescent="0.25">
      <c r="A107" s="866">
        <v>4</v>
      </c>
      <c r="B107" s="826" t="s">
        <v>1170</v>
      </c>
      <c r="C107" s="831"/>
      <c r="D107" s="853"/>
      <c r="E107" s="772"/>
      <c r="F107" s="856"/>
      <c r="G107" s="772"/>
      <c r="H107" s="847">
        <f t="shared" si="7"/>
        <v>0</v>
      </c>
    </row>
    <row r="108" spans="1:8" ht="15.75" x14ac:dyDescent="0.25">
      <c r="A108" s="852" t="s">
        <v>40</v>
      </c>
      <c r="B108" s="826"/>
      <c r="C108" s="826" t="s">
        <v>1171</v>
      </c>
      <c r="D108" s="853" t="s">
        <v>1167</v>
      </c>
      <c r="E108" s="772" t="s">
        <v>1057</v>
      </c>
      <c r="F108" s="856">
        <f>(3+4)*4+(4+4+5+5)</f>
        <v>46</v>
      </c>
      <c r="G108" s="772">
        <v>75000</v>
      </c>
      <c r="H108" s="847">
        <f t="shared" si="7"/>
        <v>3450000</v>
      </c>
    </row>
    <row r="109" spans="1:8" ht="15.75" x14ac:dyDescent="0.25">
      <c r="A109" s="852" t="s">
        <v>66</v>
      </c>
      <c r="B109" s="826"/>
      <c r="C109" s="826" t="s">
        <v>1172</v>
      </c>
      <c r="D109" s="853" t="s">
        <v>1173</v>
      </c>
      <c r="E109" s="772" t="s">
        <v>1057</v>
      </c>
      <c r="F109" s="856">
        <f>3.8+3.2+3.2+5</f>
        <v>15.2</v>
      </c>
      <c r="G109" s="772">
        <v>75000</v>
      </c>
      <c r="H109" s="847">
        <f t="shared" si="7"/>
        <v>1140000</v>
      </c>
    </row>
    <row r="110" spans="1:8" ht="15.75" x14ac:dyDescent="0.25">
      <c r="A110" s="866">
        <v>5</v>
      </c>
      <c r="B110" s="826" t="s">
        <v>1174</v>
      </c>
      <c r="C110" s="831"/>
      <c r="D110" s="853"/>
      <c r="E110" s="772"/>
      <c r="F110" s="856"/>
      <c r="G110" s="772"/>
      <c r="H110" s="847">
        <f t="shared" si="7"/>
        <v>0</v>
      </c>
    </row>
    <row r="111" spans="1:8" ht="15.75" x14ac:dyDescent="0.25">
      <c r="A111" s="852" t="s">
        <v>40</v>
      </c>
      <c r="B111" s="826"/>
      <c r="C111" s="826" t="s">
        <v>1175</v>
      </c>
      <c r="D111" s="853" t="s">
        <v>1176</v>
      </c>
      <c r="E111" s="772" t="s">
        <v>1057</v>
      </c>
      <c r="F111" s="856">
        <f>8+8+3.2+3.2</f>
        <v>22.4</v>
      </c>
      <c r="G111" s="772">
        <v>75000</v>
      </c>
      <c r="H111" s="847">
        <f t="shared" si="7"/>
        <v>1680000</v>
      </c>
    </row>
    <row r="112" spans="1:8" ht="15.75" x14ac:dyDescent="0.25">
      <c r="A112" s="852"/>
      <c r="B112" s="826"/>
      <c r="C112" s="826"/>
      <c r="D112" s="853"/>
      <c r="E112" s="772"/>
      <c r="F112" s="856"/>
      <c r="G112" s="772"/>
      <c r="H112" s="847"/>
    </row>
    <row r="113" spans="1:8" ht="15.75" x14ac:dyDescent="0.25">
      <c r="A113" s="866">
        <v>6</v>
      </c>
      <c r="B113" s="826" t="s">
        <v>1177</v>
      </c>
      <c r="C113" s="831" t="s">
        <v>1178</v>
      </c>
      <c r="D113" s="853" t="s">
        <v>1179</v>
      </c>
      <c r="E113" s="772" t="s">
        <v>694</v>
      </c>
      <c r="F113" s="856">
        <f>5*6</f>
        <v>30</v>
      </c>
      <c r="G113" s="772">
        <v>400000</v>
      </c>
      <c r="H113" s="847">
        <f t="shared" si="7"/>
        <v>12000000</v>
      </c>
    </row>
    <row r="114" spans="1:8" ht="15.75" x14ac:dyDescent="0.25">
      <c r="A114" s="866">
        <v>7</v>
      </c>
      <c r="B114" s="826" t="s">
        <v>1180</v>
      </c>
      <c r="C114" s="831" t="s">
        <v>1181</v>
      </c>
      <c r="D114" s="853" t="s">
        <v>1182</v>
      </c>
      <c r="E114" s="772" t="s">
        <v>694</v>
      </c>
      <c r="F114" s="856">
        <f>8*1.5</f>
        <v>12</v>
      </c>
      <c r="G114" s="772">
        <v>400000</v>
      </c>
      <c r="H114" s="847">
        <f t="shared" si="7"/>
        <v>4800000</v>
      </c>
    </row>
    <row r="115" spans="1:8" ht="15.75" x14ac:dyDescent="0.25">
      <c r="A115" s="866">
        <v>8</v>
      </c>
      <c r="B115" s="826" t="s">
        <v>1183</v>
      </c>
      <c r="C115" s="826"/>
      <c r="D115" s="853" t="s">
        <v>162</v>
      </c>
      <c r="E115" s="772" t="s">
        <v>1064</v>
      </c>
      <c r="F115" s="856">
        <f>F126+F128</f>
        <v>5.4</v>
      </c>
      <c r="G115" s="772">
        <v>75000</v>
      </c>
      <c r="H115" s="847">
        <f t="shared" si="7"/>
        <v>405000</v>
      </c>
    </row>
    <row r="116" spans="1:8" ht="15.75" x14ac:dyDescent="0.25">
      <c r="A116" s="866">
        <v>9</v>
      </c>
      <c r="B116" s="826" t="s">
        <v>1184</v>
      </c>
      <c r="C116" s="826"/>
      <c r="D116" s="853"/>
      <c r="E116" s="772"/>
      <c r="F116" s="772"/>
      <c r="G116" s="772"/>
      <c r="H116" s="847">
        <f t="shared" si="7"/>
        <v>0</v>
      </c>
    </row>
    <row r="117" spans="1:8" ht="15.75" x14ac:dyDescent="0.25">
      <c r="A117" s="867" t="s">
        <v>40</v>
      </c>
      <c r="B117" s="868"/>
      <c r="C117" s="826" t="s">
        <v>1185</v>
      </c>
      <c r="D117" s="853" t="s">
        <v>1186</v>
      </c>
      <c r="E117" s="772" t="s">
        <v>694</v>
      </c>
      <c r="F117" s="856">
        <f>'[3]LUASAN '!F5+'[3]LUASAN '!F6</f>
        <v>6</v>
      </c>
      <c r="G117" s="772">
        <v>375000</v>
      </c>
      <c r="H117" s="847">
        <f t="shared" si="7"/>
        <v>2250000</v>
      </c>
    </row>
    <row r="118" spans="1:8" ht="15.75" x14ac:dyDescent="0.25">
      <c r="A118" s="867" t="s">
        <v>66</v>
      </c>
      <c r="B118" s="868"/>
      <c r="C118" s="826" t="s">
        <v>1187</v>
      </c>
      <c r="D118" s="853" t="s">
        <v>1188</v>
      </c>
      <c r="E118" s="772"/>
      <c r="F118" s="856"/>
      <c r="G118" s="772"/>
      <c r="H118" s="847"/>
    </row>
    <row r="119" spans="1:8" ht="15.75" x14ac:dyDescent="0.25">
      <c r="A119" s="852" t="s">
        <v>80</v>
      </c>
      <c r="B119" s="826"/>
      <c r="C119" s="826" t="s">
        <v>1189</v>
      </c>
      <c r="D119" s="869" t="s">
        <v>1190</v>
      </c>
      <c r="E119" s="772" t="s">
        <v>694</v>
      </c>
      <c r="F119" s="856">
        <f>'[3]LUASAN '!F7+'[3]LUASAN '!F8+'[3]LUASAN '!F10+'[3]LUASAN '!F11</f>
        <v>64</v>
      </c>
      <c r="G119" s="772">
        <v>375000</v>
      </c>
      <c r="H119" s="847">
        <f t="shared" si="7"/>
        <v>24000000</v>
      </c>
    </row>
    <row r="120" spans="1:8" ht="15.75" x14ac:dyDescent="0.25">
      <c r="A120" s="852" t="s">
        <v>128</v>
      </c>
      <c r="B120" s="826"/>
      <c r="C120" s="862" t="s">
        <v>1111</v>
      </c>
      <c r="D120" s="853" t="s">
        <v>1191</v>
      </c>
      <c r="E120" s="772" t="s">
        <v>694</v>
      </c>
      <c r="F120" s="856">
        <f>'[3]LUASAN '!F9</f>
        <v>3.75</v>
      </c>
      <c r="G120" s="772">
        <v>400000</v>
      </c>
      <c r="H120" s="847">
        <f t="shared" si="7"/>
        <v>1500000</v>
      </c>
    </row>
    <row r="121" spans="1:8" ht="15.75" x14ac:dyDescent="0.25">
      <c r="A121" s="852" t="s">
        <v>1192</v>
      </c>
      <c r="B121" s="826"/>
      <c r="C121" s="862" t="s">
        <v>1113</v>
      </c>
      <c r="D121" s="853" t="s">
        <v>1193</v>
      </c>
      <c r="E121" s="772" t="s">
        <v>694</v>
      </c>
      <c r="F121" s="856">
        <f>'[3]LUASAN '!F14</f>
        <v>2</v>
      </c>
      <c r="G121" s="772">
        <v>350000</v>
      </c>
      <c r="H121" s="847">
        <f t="shared" si="7"/>
        <v>700000</v>
      </c>
    </row>
    <row r="122" spans="1:8" ht="15.75" x14ac:dyDescent="0.25">
      <c r="A122" s="852" t="s">
        <v>1194</v>
      </c>
      <c r="B122" s="826"/>
      <c r="C122" s="826" t="s">
        <v>1168</v>
      </c>
      <c r="D122" s="853" t="s">
        <v>1195</v>
      </c>
      <c r="E122" s="772" t="s">
        <v>694</v>
      </c>
      <c r="F122" s="856">
        <f>'[3]LUASAN '!F13</f>
        <v>4</v>
      </c>
      <c r="G122" s="772">
        <v>350000</v>
      </c>
      <c r="H122" s="847">
        <f t="shared" si="7"/>
        <v>1400000</v>
      </c>
    </row>
    <row r="123" spans="1:8" ht="15.75" x14ac:dyDescent="0.25">
      <c r="A123" s="852" t="s">
        <v>1196</v>
      </c>
      <c r="B123" s="826"/>
      <c r="C123" s="826" t="s">
        <v>1197</v>
      </c>
      <c r="D123" s="853" t="s">
        <v>1186</v>
      </c>
      <c r="E123" s="772" t="s">
        <v>694</v>
      </c>
      <c r="F123" s="856">
        <f>'[3]LUASAN '!F12+'[3]LUASAN '!F15</f>
        <v>9</v>
      </c>
      <c r="G123" s="772">
        <v>350000</v>
      </c>
      <c r="H123" s="847">
        <f t="shared" si="7"/>
        <v>3150000</v>
      </c>
    </row>
    <row r="124" spans="1:8" ht="15.75" x14ac:dyDescent="0.25">
      <c r="A124" s="852"/>
      <c r="B124" s="826"/>
      <c r="C124" s="826"/>
      <c r="D124" s="870"/>
      <c r="E124" s="772"/>
      <c r="F124" s="856"/>
      <c r="G124" s="772"/>
      <c r="H124" s="847"/>
    </row>
    <row r="125" spans="1:8" ht="15.75" x14ac:dyDescent="0.25">
      <c r="A125" s="866">
        <v>10</v>
      </c>
      <c r="B125" s="826" t="s">
        <v>1198</v>
      </c>
      <c r="C125" s="826"/>
      <c r="D125" s="853"/>
      <c r="E125" s="772"/>
      <c r="F125" s="772"/>
      <c r="G125" s="772"/>
      <c r="H125" s="847">
        <f t="shared" si="7"/>
        <v>0</v>
      </c>
    </row>
    <row r="126" spans="1:8" ht="15.75" x14ac:dyDescent="0.25">
      <c r="A126" s="852" t="s">
        <v>40</v>
      </c>
      <c r="B126" s="826"/>
      <c r="C126" s="826" t="s">
        <v>173</v>
      </c>
      <c r="D126" s="853" t="s">
        <v>1199</v>
      </c>
      <c r="E126" s="772" t="s">
        <v>694</v>
      </c>
      <c r="F126" s="856">
        <f>'[3]LUASAN '!F21-(1.5*0.9 )</f>
        <v>2.4</v>
      </c>
      <c r="G126" s="772">
        <v>375000</v>
      </c>
      <c r="H126" s="847">
        <f t="shared" si="7"/>
        <v>900000</v>
      </c>
    </row>
    <row r="127" spans="1:8" ht="15.75" x14ac:dyDescent="0.25">
      <c r="A127" s="852" t="s">
        <v>66</v>
      </c>
      <c r="B127" s="826"/>
      <c r="C127" s="826" t="s">
        <v>1200</v>
      </c>
      <c r="D127" s="853" t="s">
        <v>1201</v>
      </c>
      <c r="E127" s="772" t="s">
        <v>694</v>
      </c>
      <c r="F127" s="856">
        <f>1.5*1</f>
        <v>1.5</v>
      </c>
      <c r="G127" s="772">
        <v>375000</v>
      </c>
      <c r="H127" s="847">
        <f t="shared" si="7"/>
        <v>562500</v>
      </c>
    </row>
    <row r="128" spans="1:8" ht="15.75" x14ac:dyDescent="0.25">
      <c r="A128" s="852" t="s">
        <v>80</v>
      </c>
      <c r="B128" s="826"/>
      <c r="C128" s="862" t="s">
        <v>1202</v>
      </c>
      <c r="D128" s="853" t="s">
        <v>1199</v>
      </c>
      <c r="E128" s="772" t="s">
        <v>694</v>
      </c>
      <c r="F128" s="856">
        <f>'[3]LUASAN '!F25</f>
        <v>3</v>
      </c>
      <c r="G128" s="772">
        <v>375000</v>
      </c>
      <c r="H128" s="847">
        <f t="shared" si="7"/>
        <v>1125000</v>
      </c>
    </row>
    <row r="129" spans="1:8" ht="15.75" x14ac:dyDescent="0.25">
      <c r="A129" s="852" t="s">
        <v>128</v>
      </c>
      <c r="B129" s="826"/>
      <c r="C129" s="826" t="s">
        <v>1203</v>
      </c>
      <c r="D129" s="869" t="s">
        <v>1190</v>
      </c>
      <c r="E129" s="772" t="s">
        <v>694</v>
      </c>
      <c r="F129" s="856">
        <f>'[3]LUASAN '!F23+'[3]LUASAN '!F24+'[3]LUASAN '!F26</f>
        <v>47.33</v>
      </c>
      <c r="G129" s="772">
        <v>400000</v>
      </c>
      <c r="H129" s="847">
        <f t="shared" si="7"/>
        <v>18932000</v>
      </c>
    </row>
    <row r="130" spans="1:8" ht="15.75" x14ac:dyDescent="0.25">
      <c r="A130" s="852" t="s">
        <v>1192</v>
      </c>
      <c r="B130" s="826"/>
      <c r="C130" s="826" t="s">
        <v>1204</v>
      </c>
      <c r="D130" s="853" t="s">
        <v>1188</v>
      </c>
      <c r="E130" s="772" t="s">
        <v>694</v>
      </c>
      <c r="F130" s="856">
        <f>'[3]LUASAN '!F20</f>
        <v>12.25</v>
      </c>
      <c r="G130" s="772">
        <v>375000</v>
      </c>
      <c r="H130" s="847">
        <f t="shared" si="7"/>
        <v>4593750</v>
      </c>
    </row>
    <row r="131" spans="1:8" ht="15.75" x14ac:dyDescent="0.25">
      <c r="A131" s="866">
        <v>11</v>
      </c>
      <c r="B131" s="826" t="s">
        <v>1205</v>
      </c>
      <c r="C131" s="826"/>
      <c r="D131" s="853"/>
      <c r="E131" s="772"/>
      <c r="F131" s="772"/>
      <c r="G131" s="772"/>
      <c r="H131" s="847">
        <f t="shared" si="7"/>
        <v>0</v>
      </c>
    </row>
    <row r="132" spans="1:8" ht="15.75" x14ac:dyDescent="0.25">
      <c r="A132" s="852" t="s">
        <v>40</v>
      </c>
      <c r="B132" s="826"/>
      <c r="C132" s="826" t="s">
        <v>1206</v>
      </c>
      <c r="D132" s="869" t="s">
        <v>1190</v>
      </c>
      <c r="E132" s="772" t="s">
        <v>694</v>
      </c>
      <c r="F132" s="856">
        <f>'[3]LUASAN '!F30</f>
        <v>25</v>
      </c>
      <c r="G132" s="772">
        <v>400000</v>
      </c>
      <c r="H132" s="847">
        <f t="shared" si="7"/>
        <v>10000000</v>
      </c>
    </row>
    <row r="133" spans="1:8" ht="15.75" x14ac:dyDescent="0.25">
      <c r="A133" s="852" t="s">
        <v>66</v>
      </c>
      <c r="B133" s="826"/>
      <c r="C133" s="862" t="s">
        <v>1207</v>
      </c>
      <c r="D133" s="853" t="s">
        <v>1188</v>
      </c>
      <c r="E133" s="772" t="s">
        <v>694</v>
      </c>
      <c r="F133" s="856">
        <f>'[3]LUASAN '!F31</f>
        <v>7.0687499999999996</v>
      </c>
      <c r="G133" s="772">
        <v>375000</v>
      </c>
      <c r="H133" s="847">
        <f t="shared" si="7"/>
        <v>2650781.25</v>
      </c>
    </row>
    <row r="134" spans="1:8" ht="15.75" x14ac:dyDescent="0.25">
      <c r="A134" s="866">
        <v>12</v>
      </c>
      <c r="B134" s="826" t="s">
        <v>1208</v>
      </c>
      <c r="C134" s="826"/>
      <c r="D134" s="853" t="s">
        <v>74</v>
      </c>
      <c r="E134" s="772" t="s">
        <v>1064</v>
      </c>
      <c r="F134" s="856">
        <f>F103</f>
        <v>6.3875000000000002</v>
      </c>
      <c r="G134" s="772">
        <v>900000</v>
      </c>
      <c r="H134" s="847">
        <f t="shared" si="7"/>
        <v>5748750</v>
      </c>
    </row>
    <row r="135" spans="1:8" ht="15.75" x14ac:dyDescent="0.25">
      <c r="A135" s="866">
        <v>13</v>
      </c>
      <c r="B135" s="826" t="s">
        <v>1209</v>
      </c>
      <c r="C135" s="826"/>
      <c r="D135" s="853" t="s">
        <v>1210</v>
      </c>
      <c r="E135" s="772" t="s">
        <v>694</v>
      </c>
      <c r="F135" s="856">
        <v>6</v>
      </c>
      <c r="G135" s="772">
        <v>150000</v>
      </c>
      <c r="H135" s="847">
        <f t="shared" si="7"/>
        <v>900000</v>
      </c>
    </row>
    <row r="136" spans="1:8" ht="15.75" x14ac:dyDescent="0.25">
      <c r="A136" s="830"/>
      <c r="B136" s="831"/>
      <c r="C136" s="831"/>
      <c r="D136" s="858" t="s">
        <v>1211</v>
      </c>
      <c r="E136" s="833"/>
      <c r="F136" s="833"/>
      <c r="G136" s="772"/>
      <c r="H136" s="844">
        <f>SUM(H102:H135)</f>
        <v>108756531.25</v>
      </c>
    </row>
    <row r="137" spans="1:8" ht="15.75" x14ac:dyDescent="0.25">
      <c r="A137" s="836" t="s">
        <v>288</v>
      </c>
      <c r="B137" s="837" t="s">
        <v>1212</v>
      </c>
      <c r="C137" s="837"/>
      <c r="D137" s="859"/>
      <c r="E137" s="772"/>
      <c r="F137" s="772"/>
      <c r="G137" s="772"/>
      <c r="H137" s="847"/>
    </row>
    <row r="138" spans="1:8" ht="15.75" x14ac:dyDescent="0.25">
      <c r="A138" s="866">
        <v>1</v>
      </c>
      <c r="B138" s="826" t="s">
        <v>1213</v>
      </c>
      <c r="C138" s="826" t="s">
        <v>1214</v>
      </c>
      <c r="D138" s="853" t="s">
        <v>1215</v>
      </c>
      <c r="E138" s="772" t="s">
        <v>218</v>
      </c>
      <c r="F138" s="856">
        <v>1</v>
      </c>
      <c r="G138" s="772">
        <v>6000000</v>
      </c>
      <c r="H138" s="847">
        <f t="shared" ref="H138:H155" si="8">F138*G138</f>
        <v>6000000</v>
      </c>
    </row>
    <row r="139" spans="1:8" ht="15.75" x14ac:dyDescent="0.25">
      <c r="A139" s="866">
        <v>2</v>
      </c>
      <c r="B139" s="826" t="s">
        <v>1216</v>
      </c>
      <c r="C139" s="826" t="s">
        <v>1217</v>
      </c>
      <c r="D139" s="853" t="s">
        <v>1218</v>
      </c>
      <c r="E139" s="772" t="s">
        <v>218</v>
      </c>
      <c r="F139" s="856">
        <v>4</v>
      </c>
      <c r="G139" s="772">
        <v>4500000</v>
      </c>
      <c r="H139" s="847">
        <f t="shared" si="8"/>
        <v>18000000</v>
      </c>
    </row>
    <row r="140" spans="1:8" ht="15.75" x14ac:dyDescent="0.25">
      <c r="A140" s="866">
        <v>3</v>
      </c>
      <c r="B140" s="826" t="s">
        <v>1219</v>
      </c>
      <c r="C140" s="826" t="s">
        <v>1220</v>
      </c>
      <c r="D140" s="853" t="s">
        <v>1218</v>
      </c>
      <c r="E140" s="772" t="s">
        <v>218</v>
      </c>
      <c r="F140" s="856">
        <v>3</v>
      </c>
      <c r="G140" s="772">
        <v>4500000</v>
      </c>
      <c r="H140" s="847">
        <f t="shared" si="8"/>
        <v>13500000</v>
      </c>
    </row>
    <row r="141" spans="1:8" ht="15.75" x14ac:dyDescent="0.25">
      <c r="A141" s="866">
        <v>4</v>
      </c>
      <c r="B141" s="826" t="s">
        <v>1221</v>
      </c>
      <c r="C141" s="826" t="s">
        <v>1222</v>
      </c>
      <c r="D141" s="853" t="s">
        <v>1218</v>
      </c>
      <c r="E141" s="772" t="s">
        <v>218</v>
      </c>
      <c r="F141" s="856">
        <v>1</v>
      </c>
      <c r="G141" s="772">
        <v>5500000</v>
      </c>
      <c r="H141" s="847">
        <f t="shared" si="8"/>
        <v>5500000</v>
      </c>
    </row>
    <row r="142" spans="1:8" ht="15.75" x14ac:dyDescent="0.25">
      <c r="A142" s="866">
        <v>5</v>
      </c>
      <c r="B142" s="826" t="s">
        <v>1223</v>
      </c>
      <c r="C142" s="826" t="s">
        <v>1224</v>
      </c>
      <c r="D142" s="853" t="s">
        <v>1225</v>
      </c>
      <c r="E142" s="772" t="s">
        <v>218</v>
      </c>
      <c r="F142" s="856">
        <v>1</v>
      </c>
      <c r="G142" s="772">
        <v>12000000</v>
      </c>
      <c r="H142" s="847">
        <f t="shared" si="8"/>
        <v>12000000</v>
      </c>
    </row>
    <row r="143" spans="1:8" ht="15.75" x14ac:dyDescent="0.25">
      <c r="A143" s="866">
        <v>6</v>
      </c>
      <c r="B143" s="826" t="s">
        <v>1226</v>
      </c>
      <c r="C143" s="826" t="s">
        <v>1227</v>
      </c>
      <c r="D143" s="853" t="s">
        <v>1228</v>
      </c>
      <c r="E143" s="772" t="s">
        <v>218</v>
      </c>
      <c r="F143" s="856">
        <v>1</v>
      </c>
      <c r="G143" s="772">
        <v>12000000</v>
      </c>
      <c r="H143" s="847">
        <f t="shared" si="8"/>
        <v>12000000</v>
      </c>
    </row>
    <row r="144" spans="1:8" ht="15.75" x14ac:dyDescent="0.25">
      <c r="A144" s="866">
        <v>7</v>
      </c>
      <c r="B144" s="826" t="s">
        <v>1229</v>
      </c>
      <c r="C144" s="826" t="s">
        <v>1230</v>
      </c>
      <c r="D144" s="853" t="s">
        <v>1228</v>
      </c>
      <c r="E144" s="772" t="s">
        <v>218</v>
      </c>
      <c r="F144" s="856">
        <v>1</v>
      </c>
      <c r="G144" s="772">
        <v>12000000</v>
      </c>
      <c r="H144" s="847">
        <f t="shared" si="8"/>
        <v>12000000</v>
      </c>
    </row>
    <row r="145" spans="1:8" ht="15.75" x14ac:dyDescent="0.25">
      <c r="A145" s="866">
        <v>8</v>
      </c>
      <c r="B145" s="826" t="s">
        <v>1229</v>
      </c>
      <c r="C145" s="826" t="s">
        <v>1231</v>
      </c>
      <c r="D145" s="853" t="s">
        <v>1232</v>
      </c>
      <c r="E145" s="772" t="s">
        <v>218</v>
      </c>
      <c r="F145" s="856">
        <v>1</v>
      </c>
      <c r="G145" s="772">
        <v>5500000</v>
      </c>
      <c r="H145" s="847">
        <f t="shared" si="8"/>
        <v>5500000</v>
      </c>
    </row>
    <row r="146" spans="1:8" ht="15.75" x14ac:dyDescent="0.25">
      <c r="A146" s="866">
        <v>9</v>
      </c>
      <c r="B146" s="826" t="s">
        <v>1233</v>
      </c>
      <c r="C146" s="826"/>
      <c r="D146" s="853" t="s">
        <v>1234</v>
      </c>
      <c r="E146" s="772" t="s">
        <v>218</v>
      </c>
      <c r="F146" s="856">
        <v>1</v>
      </c>
      <c r="G146" s="772">
        <v>4500000</v>
      </c>
      <c r="H146" s="847">
        <f t="shared" si="8"/>
        <v>4500000</v>
      </c>
    </row>
    <row r="147" spans="1:8" ht="15.75" x14ac:dyDescent="0.25">
      <c r="A147" s="866">
        <v>10</v>
      </c>
      <c r="B147" s="826" t="s">
        <v>1235</v>
      </c>
      <c r="C147" s="826"/>
      <c r="D147" s="853" t="s">
        <v>1236</v>
      </c>
      <c r="E147" s="772" t="s">
        <v>218</v>
      </c>
      <c r="F147" s="856">
        <v>1</v>
      </c>
      <c r="G147" s="772">
        <v>4500000</v>
      </c>
      <c r="H147" s="847">
        <f t="shared" si="8"/>
        <v>4500000</v>
      </c>
    </row>
    <row r="148" spans="1:8" ht="15.75" x14ac:dyDescent="0.25">
      <c r="A148" s="866">
        <v>11</v>
      </c>
      <c r="B148" s="826" t="s">
        <v>1237</v>
      </c>
      <c r="C148" s="826"/>
      <c r="D148" s="853" t="s">
        <v>1238</v>
      </c>
      <c r="E148" s="772" t="s">
        <v>218</v>
      </c>
      <c r="F148" s="856">
        <v>2</v>
      </c>
      <c r="G148" s="772">
        <v>4000000</v>
      </c>
      <c r="H148" s="847">
        <f t="shared" si="8"/>
        <v>8000000</v>
      </c>
    </row>
    <row r="149" spans="1:8" ht="15.75" x14ac:dyDescent="0.25">
      <c r="A149" s="866">
        <v>12</v>
      </c>
      <c r="B149" s="826" t="s">
        <v>1239</v>
      </c>
      <c r="C149" s="826"/>
      <c r="D149" s="853" t="s">
        <v>1240</v>
      </c>
      <c r="E149" s="772" t="s">
        <v>218</v>
      </c>
      <c r="F149" s="856">
        <v>1</v>
      </c>
      <c r="G149" s="772">
        <v>4000000</v>
      </c>
      <c r="H149" s="847">
        <f t="shared" si="8"/>
        <v>4000000</v>
      </c>
    </row>
    <row r="150" spans="1:8" ht="15.75" x14ac:dyDescent="0.25">
      <c r="A150" s="866">
        <v>13</v>
      </c>
      <c r="B150" s="826" t="s">
        <v>1241</v>
      </c>
      <c r="C150" s="826"/>
      <c r="D150" s="853" t="s">
        <v>1238</v>
      </c>
      <c r="E150" s="772" t="s">
        <v>218</v>
      </c>
      <c r="F150" s="856">
        <v>1</v>
      </c>
      <c r="G150" s="772">
        <v>7000000</v>
      </c>
      <c r="H150" s="847">
        <f t="shared" si="8"/>
        <v>7000000</v>
      </c>
    </row>
    <row r="151" spans="1:8" ht="15.75" x14ac:dyDescent="0.25">
      <c r="A151" s="866">
        <v>14</v>
      </c>
      <c r="B151" s="826" t="s">
        <v>1242</v>
      </c>
      <c r="C151" s="826"/>
      <c r="D151" s="853" t="s">
        <v>1238</v>
      </c>
      <c r="E151" s="772" t="s">
        <v>218</v>
      </c>
      <c r="F151" s="856">
        <v>1</v>
      </c>
      <c r="G151" s="772">
        <v>7000000</v>
      </c>
      <c r="H151" s="847">
        <f t="shared" si="8"/>
        <v>7000000</v>
      </c>
    </row>
    <row r="152" spans="1:8" ht="15.75" x14ac:dyDescent="0.25">
      <c r="A152" s="866">
        <v>15</v>
      </c>
      <c r="B152" s="826" t="s">
        <v>1243</v>
      </c>
      <c r="C152" s="826"/>
      <c r="D152" s="853" t="s">
        <v>1238</v>
      </c>
      <c r="E152" s="772" t="s">
        <v>218</v>
      </c>
      <c r="F152" s="856">
        <v>1</v>
      </c>
      <c r="G152" s="772">
        <v>7000000</v>
      </c>
      <c r="H152" s="847">
        <f t="shared" si="8"/>
        <v>7000000</v>
      </c>
    </row>
    <row r="153" spans="1:8" ht="15.75" x14ac:dyDescent="0.25">
      <c r="A153" s="866">
        <v>16</v>
      </c>
      <c r="B153" s="826" t="s">
        <v>1244</v>
      </c>
      <c r="C153" s="826"/>
      <c r="D153" s="853" t="s">
        <v>1238</v>
      </c>
      <c r="E153" s="772" t="s">
        <v>218</v>
      </c>
      <c r="F153" s="856">
        <v>1</v>
      </c>
      <c r="G153" s="772">
        <v>4000000</v>
      </c>
      <c r="H153" s="847">
        <f t="shared" si="8"/>
        <v>4000000</v>
      </c>
    </row>
    <row r="154" spans="1:8" ht="15.75" x14ac:dyDescent="0.25">
      <c r="A154" s="866">
        <v>17</v>
      </c>
      <c r="B154" s="826" t="s">
        <v>1245</v>
      </c>
      <c r="C154" s="826"/>
      <c r="D154" s="853" t="s">
        <v>1238</v>
      </c>
      <c r="E154" s="772" t="s">
        <v>218</v>
      </c>
      <c r="F154" s="856">
        <v>1</v>
      </c>
      <c r="G154" s="772">
        <v>4000000</v>
      </c>
      <c r="H154" s="847">
        <f t="shared" si="8"/>
        <v>4000000</v>
      </c>
    </row>
    <row r="155" spans="1:8" ht="15.75" x14ac:dyDescent="0.25">
      <c r="A155" s="866">
        <v>18</v>
      </c>
      <c r="B155" s="826" t="s">
        <v>1246</v>
      </c>
      <c r="C155" s="826"/>
      <c r="D155" s="853" t="s">
        <v>1247</v>
      </c>
      <c r="E155" s="772" t="s">
        <v>218</v>
      </c>
      <c r="F155" s="856">
        <v>4</v>
      </c>
      <c r="G155" s="772">
        <v>1300000</v>
      </c>
      <c r="H155" s="847">
        <f t="shared" si="8"/>
        <v>5200000</v>
      </c>
    </row>
    <row r="156" spans="1:8" ht="15.75" x14ac:dyDescent="0.25">
      <c r="A156" s="852"/>
      <c r="B156" s="826"/>
      <c r="C156" s="831"/>
      <c r="D156" s="858" t="s">
        <v>295</v>
      </c>
      <c r="E156" s="833"/>
      <c r="F156" s="833"/>
      <c r="G156" s="833"/>
      <c r="H156" s="844">
        <f>SUM(H138:H155)</f>
        <v>139700000</v>
      </c>
    </row>
    <row r="157" spans="1:8" ht="15.75" x14ac:dyDescent="0.25">
      <c r="A157" s="836" t="s">
        <v>1248</v>
      </c>
      <c r="B157" s="837" t="s">
        <v>1249</v>
      </c>
      <c r="C157" s="837"/>
      <c r="D157" s="871" t="s">
        <v>1165</v>
      </c>
      <c r="E157" s="772"/>
      <c r="F157" s="772"/>
      <c r="G157" s="772"/>
      <c r="H157" s="847"/>
    </row>
    <row r="158" spans="1:8" ht="15.75" x14ac:dyDescent="0.25">
      <c r="A158" s="825">
        <v>1</v>
      </c>
      <c r="B158" s="826" t="s">
        <v>1250</v>
      </c>
      <c r="C158" s="826"/>
      <c r="D158" s="853" t="s">
        <v>1251</v>
      </c>
      <c r="E158" s="772" t="s">
        <v>694</v>
      </c>
      <c r="F158" s="856">
        <v>1</v>
      </c>
      <c r="G158" s="772">
        <v>5500000</v>
      </c>
      <c r="H158" s="847">
        <f>F158*G158</f>
        <v>5500000</v>
      </c>
    </row>
    <row r="159" spans="1:8" ht="15.75" x14ac:dyDescent="0.25">
      <c r="A159" s="825">
        <v>2</v>
      </c>
      <c r="B159" s="826" t="s">
        <v>1252</v>
      </c>
      <c r="C159" s="826"/>
      <c r="D159" s="853" t="s">
        <v>1253</v>
      </c>
      <c r="E159" s="772" t="s">
        <v>694</v>
      </c>
      <c r="F159" s="856">
        <v>4</v>
      </c>
      <c r="G159" s="772">
        <v>550000</v>
      </c>
      <c r="H159" s="847">
        <f t="shared" ref="H159:H161" si="9">F159*G159</f>
        <v>2200000</v>
      </c>
    </row>
    <row r="160" spans="1:8" ht="15.75" x14ac:dyDescent="0.25">
      <c r="A160" s="825">
        <v>3</v>
      </c>
      <c r="B160" s="826" t="s">
        <v>1254</v>
      </c>
      <c r="C160" s="826"/>
      <c r="D160" s="853" t="s">
        <v>1253</v>
      </c>
      <c r="E160" s="772" t="s">
        <v>1057</v>
      </c>
      <c r="F160" s="856">
        <v>3</v>
      </c>
      <c r="G160" s="772">
        <v>550000</v>
      </c>
      <c r="H160" s="847">
        <f t="shared" si="9"/>
        <v>1650000</v>
      </c>
    </row>
    <row r="161" spans="1:8" ht="15.75" x14ac:dyDescent="0.25">
      <c r="A161" s="825">
        <v>4</v>
      </c>
      <c r="B161" s="826" t="s">
        <v>1255</v>
      </c>
      <c r="C161" s="826"/>
      <c r="D161" s="853" t="s">
        <v>1256</v>
      </c>
      <c r="E161" s="772" t="s">
        <v>694</v>
      </c>
      <c r="F161" s="856">
        <v>1</v>
      </c>
      <c r="G161" s="772">
        <v>550000</v>
      </c>
      <c r="H161" s="847">
        <f t="shared" si="9"/>
        <v>550000</v>
      </c>
    </row>
    <row r="162" spans="1:8" ht="15.75" x14ac:dyDescent="0.25">
      <c r="A162" s="830"/>
      <c r="B162" s="831"/>
      <c r="C162" s="831"/>
      <c r="D162" s="858" t="s">
        <v>1257</v>
      </c>
      <c r="E162" s="833"/>
      <c r="F162" s="833"/>
      <c r="G162" s="833"/>
      <c r="H162" s="844">
        <f>SUM(H158:H161)</f>
        <v>9900000</v>
      </c>
    </row>
    <row r="163" spans="1:8" ht="15.75" x14ac:dyDescent="0.25">
      <c r="A163" s="836" t="s">
        <v>1258</v>
      </c>
      <c r="B163" s="837" t="s">
        <v>1259</v>
      </c>
      <c r="C163" s="837"/>
      <c r="D163" s="871" t="s">
        <v>1165</v>
      </c>
      <c r="E163" s="772"/>
      <c r="F163" s="772"/>
      <c r="G163" s="772"/>
      <c r="H163" s="847"/>
    </row>
    <row r="164" spans="1:8" ht="15.75" x14ac:dyDescent="0.25">
      <c r="A164" s="825">
        <v>1</v>
      </c>
      <c r="B164" s="826" t="s">
        <v>466</v>
      </c>
      <c r="C164" s="826"/>
      <c r="D164" s="853" t="s">
        <v>1260</v>
      </c>
      <c r="E164" s="772" t="s">
        <v>694</v>
      </c>
      <c r="F164" s="856">
        <f>F62*0.7</f>
        <v>656.25</v>
      </c>
      <c r="G164" s="772">
        <v>40000</v>
      </c>
      <c r="H164" s="847">
        <f>F164*G164</f>
        <v>26250000</v>
      </c>
    </row>
    <row r="165" spans="1:8" ht="15.75" x14ac:dyDescent="0.25">
      <c r="A165" s="825">
        <v>2</v>
      </c>
      <c r="B165" s="826" t="s">
        <v>319</v>
      </c>
      <c r="C165" s="826"/>
      <c r="D165" s="853" t="s">
        <v>1261</v>
      </c>
      <c r="E165" s="772" t="s">
        <v>694</v>
      </c>
      <c r="F165" s="856">
        <f>9*4*6</f>
        <v>216</v>
      </c>
      <c r="G165" s="772">
        <v>50000</v>
      </c>
      <c r="H165" s="847">
        <f t="shared" ref="H165:H168" si="10">F165*G165</f>
        <v>10800000</v>
      </c>
    </row>
    <row r="166" spans="1:8" ht="15.75" x14ac:dyDescent="0.25">
      <c r="A166" s="825">
        <v>3</v>
      </c>
      <c r="B166" s="826" t="s">
        <v>1262</v>
      </c>
      <c r="C166" s="826"/>
      <c r="D166" s="853" t="s">
        <v>1263</v>
      </c>
      <c r="E166" s="772" t="s">
        <v>1057</v>
      </c>
      <c r="F166" s="856">
        <f>F83</f>
        <v>18</v>
      </c>
      <c r="G166" s="772">
        <v>45000</v>
      </c>
      <c r="H166" s="847">
        <f t="shared" si="10"/>
        <v>810000</v>
      </c>
    </row>
    <row r="167" spans="1:8" ht="15.75" x14ac:dyDescent="0.25">
      <c r="A167" s="825">
        <v>4</v>
      </c>
      <c r="B167" s="826" t="s">
        <v>1264</v>
      </c>
      <c r="C167" s="826"/>
      <c r="D167" s="853" t="s">
        <v>1260</v>
      </c>
      <c r="E167" s="772" t="s">
        <v>694</v>
      </c>
      <c r="F167" s="856">
        <f>F91</f>
        <v>200</v>
      </c>
      <c r="G167" s="772">
        <v>40000</v>
      </c>
      <c r="H167" s="847">
        <f t="shared" si="10"/>
        <v>8000000</v>
      </c>
    </row>
    <row r="168" spans="1:8" ht="15.75" x14ac:dyDescent="0.25">
      <c r="A168" s="825">
        <v>5</v>
      </c>
      <c r="B168" s="826" t="s">
        <v>1265</v>
      </c>
      <c r="C168" s="826"/>
      <c r="D168" s="853" t="s">
        <v>1260</v>
      </c>
      <c r="E168" s="772" t="s">
        <v>694</v>
      </c>
      <c r="F168" s="856">
        <v>17.600000000000001</v>
      </c>
      <c r="G168" s="772">
        <v>50000</v>
      </c>
      <c r="H168" s="847">
        <f t="shared" si="10"/>
        <v>880000.00000000012</v>
      </c>
    </row>
    <row r="169" spans="1:8" ht="15.75" x14ac:dyDescent="0.25">
      <c r="A169" s="830"/>
      <c r="B169" s="831"/>
      <c r="C169" s="831"/>
      <c r="D169" s="858" t="s">
        <v>1266</v>
      </c>
      <c r="E169" s="833"/>
      <c r="F169" s="833"/>
      <c r="G169" s="833"/>
      <c r="H169" s="844">
        <f>SUM(H164:H168)</f>
        <v>46740000</v>
      </c>
    </row>
    <row r="170" spans="1:8" ht="15.75" x14ac:dyDescent="0.25">
      <c r="A170" s="836" t="s">
        <v>1267</v>
      </c>
      <c r="B170" s="837" t="s">
        <v>1268</v>
      </c>
      <c r="C170" s="837"/>
      <c r="D170" s="859"/>
      <c r="E170" s="772"/>
      <c r="F170" s="772"/>
      <c r="G170" s="772"/>
      <c r="H170" s="847"/>
    </row>
    <row r="171" spans="1:8" ht="15.75" x14ac:dyDescent="0.25">
      <c r="A171" s="825">
        <v>1</v>
      </c>
      <c r="B171" s="826" t="s">
        <v>1269</v>
      </c>
      <c r="C171" s="826"/>
      <c r="D171" s="872" t="s">
        <v>1270</v>
      </c>
      <c r="E171" s="772" t="s">
        <v>1057</v>
      </c>
      <c r="F171" s="856">
        <v>10</v>
      </c>
      <c r="G171" s="772">
        <v>850000</v>
      </c>
      <c r="H171" s="847">
        <f>F171*G171</f>
        <v>8500000</v>
      </c>
    </row>
    <row r="172" spans="1:8" ht="15.75" x14ac:dyDescent="0.25">
      <c r="A172" s="825">
        <v>2</v>
      </c>
      <c r="B172" s="826" t="s">
        <v>154</v>
      </c>
      <c r="C172" s="826"/>
      <c r="D172" s="872" t="s">
        <v>1271</v>
      </c>
      <c r="E172" s="772" t="s">
        <v>1057</v>
      </c>
      <c r="F172" s="856">
        <v>7</v>
      </c>
      <c r="G172" s="772">
        <v>850000</v>
      </c>
      <c r="H172" s="847">
        <f t="shared" ref="H172:H174" si="11">F172*G172</f>
        <v>5950000</v>
      </c>
    </row>
    <row r="173" spans="1:8" ht="15.75" x14ac:dyDescent="0.25">
      <c r="A173" s="825">
        <v>3</v>
      </c>
      <c r="B173" s="873" t="s">
        <v>1272</v>
      </c>
      <c r="C173" s="826"/>
      <c r="D173" s="853" t="s">
        <v>1273</v>
      </c>
      <c r="E173" s="874" t="s">
        <v>694</v>
      </c>
      <c r="F173" s="856">
        <v>21</v>
      </c>
      <c r="G173" s="772">
        <v>450000</v>
      </c>
      <c r="H173" s="847">
        <f t="shared" si="11"/>
        <v>9450000</v>
      </c>
    </row>
    <row r="174" spans="1:8" ht="15.75" x14ac:dyDescent="0.25">
      <c r="A174" s="825">
        <v>3</v>
      </c>
      <c r="B174" s="873" t="s">
        <v>1274</v>
      </c>
      <c r="C174" s="826"/>
      <c r="D174" s="853" t="s">
        <v>1275</v>
      </c>
      <c r="E174" s="874" t="s">
        <v>694</v>
      </c>
      <c r="F174" s="856">
        <v>21</v>
      </c>
      <c r="G174" s="772">
        <v>450000</v>
      </c>
      <c r="H174" s="847">
        <f t="shared" si="11"/>
        <v>9450000</v>
      </c>
    </row>
    <row r="175" spans="1:8" ht="15.75" x14ac:dyDescent="0.25">
      <c r="A175" s="830"/>
      <c r="B175" s="831"/>
      <c r="C175" s="831"/>
      <c r="D175" s="858" t="s">
        <v>1276</v>
      </c>
      <c r="E175" s="833"/>
      <c r="F175" s="833"/>
      <c r="G175" s="833"/>
      <c r="H175" s="844">
        <f>SUM(H171:H173)</f>
        <v>23900000</v>
      </c>
    </row>
    <row r="176" spans="1:8" ht="15.75" x14ac:dyDescent="0.25">
      <c r="A176" s="836" t="s">
        <v>178</v>
      </c>
      <c r="B176" s="837" t="s">
        <v>908</v>
      </c>
      <c r="C176" s="837"/>
      <c r="D176" s="859"/>
      <c r="E176" s="772"/>
      <c r="F176" s="772"/>
      <c r="G176" s="772"/>
      <c r="H176" s="847"/>
    </row>
    <row r="177" spans="1:8" ht="15.75" x14ac:dyDescent="0.25">
      <c r="A177" s="825">
        <v>1</v>
      </c>
      <c r="B177" s="826" t="s">
        <v>130</v>
      </c>
      <c r="C177" s="826"/>
      <c r="D177" s="853" t="s">
        <v>1277</v>
      </c>
      <c r="E177" s="772" t="s">
        <v>1057</v>
      </c>
      <c r="F177" s="856">
        <v>121.8</v>
      </c>
      <c r="G177" s="772">
        <v>60000</v>
      </c>
      <c r="H177" s="847">
        <f>F177*G177</f>
        <v>7308000</v>
      </c>
    </row>
    <row r="178" spans="1:8" ht="15.75" x14ac:dyDescent="0.25">
      <c r="A178" s="825">
        <v>2</v>
      </c>
      <c r="B178" s="826" t="s">
        <v>130</v>
      </c>
      <c r="C178" s="826"/>
      <c r="D178" s="853" t="s">
        <v>131</v>
      </c>
      <c r="E178" s="772" t="s">
        <v>1057</v>
      </c>
      <c r="F178" s="856">
        <v>83.8</v>
      </c>
      <c r="G178" s="772">
        <v>55000</v>
      </c>
      <c r="H178" s="847">
        <f t="shared" ref="H178:H188" si="12">F178*G178</f>
        <v>4609000</v>
      </c>
    </row>
    <row r="179" spans="1:8" ht="15.75" x14ac:dyDescent="0.25">
      <c r="A179" s="825">
        <v>3</v>
      </c>
      <c r="B179" s="826" t="s">
        <v>911</v>
      </c>
      <c r="C179" s="826"/>
      <c r="D179" s="853" t="s">
        <v>207</v>
      </c>
      <c r="E179" s="772" t="s">
        <v>1057</v>
      </c>
      <c r="F179" s="856">
        <v>11</v>
      </c>
      <c r="G179" s="772">
        <v>90000</v>
      </c>
      <c r="H179" s="847">
        <f t="shared" si="12"/>
        <v>990000</v>
      </c>
    </row>
    <row r="180" spans="1:8" ht="15.75" x14ac:dyDescent="0.25">
      <c r="A180" s="825">
        <v>4</v>
      </c>
      <c r="B180" s="826" t="s">
        <v>913</v>
      </c>
      <c r="C180" s="826"/>
      <c r="D180" s="853" t="s">
        <v>1278</v>
      </c>
      <c r="E180" s="772" t="s">
        <v>1057</v>
      </c>
      <c r="F180" s="856">
        <v>6</v>
      </c>
      <c r="G180" s="772">
        <v>75000</v>
      </c>
      <c r="H180" s="847">
        <f t="shared" si="12"/>
        <v>450000</v>
      </c>
    </row>
    <row r="181" spans="1:8" ht="15.75" x14ac:dyDescent="0.25">
      <c r="A181" s="825">
        <v>5</v>
      </c>
      <c r="B181" s="826" t="s">
        <v>915</v>
      </c>
      <c r="C181" s="826"/>
      <c r="D181" s="853" t="s">
        <v>1279</v>
      </c>
      <c r="E181" s="772" t="s">
        <v>1057</v>
      </c>
      <c r="F181" s="856">
        <v>70</v>
      </c>
      <c r="G181" s="772">
        <v>175000</v>
      </c>
      <c r="H181" s="847">
        <f t="shared" si="12"/>
        <v>12250000</v>
      </c>
    </row>
    <row r="182" spans="1:8" ht="15.75" x14ac:dyDescent="0.25">
      <c r="A182" s="825">
        <v>6</v>
      </c>
      <c r="B182" s="826" t="s">
        <v>252</v>
      </c>
      <c r="C182" s="826"/>
      <c r="D182" s="853" t="s">
        <v>133</v>
      </c>
      <c r="E182" s="772" t="s">
        <v>1057</v>
      </c>
      <c r="F182" s="856">
        <v>55</v>
      </c>
      <c r="G182" s="772">
        <v>130000</v>
      </c>
      <c r="H182" s="847">
        <f t="shared" si="12"/>
        <v>7150000</v>
      </c>
    </row>
    <row r="183" spans="1:8" ht="15.75" x14ac:dyDescent="0.25">
      <c r="A183" s="825">
        <v>7</v>
      </c>
      <c r="B183" s="826" t="s">
        <v>252</v>
      </c>
      <c r="C183" s="826"/>
      <c r="D183" s="853" t="s">
        <v>1280</v>
      </c>
      <c r="E183" s="772" t="s">
        <v>1057</v>
      </c>
      <c r="F183" s="856">
        <v>17</v>
      </c>
      <c r="G183" s="772">
        <v>250000</v>
      </c>
      <c r="H183" s="847">
        <f t="shared" si="12"/>
        <v>4250000</v>
      </c>
    </row>
    <row r="184" spans="1:8" ht="15.75" x14ac:dyDescent="0.25">
      <c r="A184" s="825">
        <v>8</v>
      </c>
      <c r="B184" s="826" t="s">
        <v>918</v>
      </c>
      <c r="C184" s="826"/>
      <c r="D184" s="853" t="s">
        <v>1277</v>
      </c>
      <c r="E184" s="772" t="s">
        <v>1057</v>
      </c>
      <c r="F184" s="856">
        <v>42</v>
      </c>
      <c r="G184" s="772">
        <v>65000</v>
      </c>
      <c r="H184" s="847">
        <f t="shared" si="12"/>
        <v>2730000</v>
      </c>
    </row>
    <row r="185" spans="1:8" ht="15.75" x14ac:dyDescent="0.25">
      <c r="A185" s="825">
        <v>9</v>
      </c>
      <c r="B185" s="826" t="s">
        <v>1281</v>
      </c>
      <c r="C185" s="826"/>
      <c r="D185" s="853" t="s">
        <v>1282</v>
      </c>
      <c r="E185" s="772" t="s">
        <v>241</v>
      </c>
      <c r="F185" s="856">
        <v>2</v>
      </c>
      <c r="G185" s="772">
        <v>1450000</v>
      </c>
      <c r="H185" s="847">
        <f t="shared" si="12"/>
        <v>2900000</v>
      </c>
    </row>
    <row r="186" spans="1:8" ht="15.75" x14ac:dyDescent="0.25">
      <c r="A186" s="825">
        <v>10</v>
      </c>
      <c r="B186" s="826" t="s">
        <v>1281</v>
      </c>
      <c r="C186" s="826"/>
      <c r="D186" s="853" t="s">
        <v>1283</v>
      </c>
      <c r="E186" s="772" t="s">
        <v>241</v>
      </c>
      <c r="F186" s="856">
        <v>1</v>
      </c>
      <c r="G186" s="772">
        <v>1500000</v>
      </c>
      <c r="H186" s="847">
        <f t="shared" si="12"/>
        <v>1500000</v>
      </c>
    </row>
    <row r="187" spans="1:8" ht="15.75" x14ac:dyDescent="0.25">
      <c r="A187" s="825">
        <v>11</v>
      </c>
      <c r="B187" s="826" t="s">
        <v>1284</v>
      </c>
      <c r="C187" s="826"/>
      <c r="D187" s="853" t="s">
        <v>1285</v>
      </c>
      <c r="E187" s="772" t="s">
        <v>933</v>
      </c>
      <c r="F187" s="856">
        <v>1</v>
      </c>
      <c r="G187" s="772">
        <v>8500000</v>
      </c>
      <c r="H187" s="847">
        <f t="shared" si="12"/>
        <v>8500000</v>
      </c>
    </row>
    <row r="188" spans="1:8" ht="15.75" x14ac:dyDescent="0.25">
      <c r="A188" s="825">
        <v>12</v>
      </c>
      <c r="B188" s="826" t="s">
        <v>1286</v>
      </c>
      <c r="C188" s="826"/>
      <c r="D188" s="859"/>
      <c r="E188" s="772" t="s">
        <v>933</v>
      </c>
      <c r="F188" s="856">
        <v>1</v>
      </c>
      <c r="G188" s="772">
        <v>720000</v>
      </c>
      <c r="H188" s="847">
        <f t="shared" si="12"/>
        <v>720000</v>
      </c>
    </row>
    <row r="189" spans="1:8" ht="15.75" x14ac:dyDescent="0.25">
      <c r="A189" s="836"/>
      <c r="B189" s="831"/>
      <c r="C189" s="831"/>
      <c r="D189" s="858" t="s">
        <v>1287</v>
      </c>
      <c r="E189" s="833"/>
      <c r="F189" s="833"/>
      <c r="G189" s="833"/>
      <c r="H189" s="844">
        <f>SUM(H177:H188)</f>
        <v>53357000</v>
      </c>
    </row>
    <row r="190" spans="1:8" ht="15.75" x14ac:dyDescent="0.25">
      <c r="A190" s="836" t="s">
        <v>1288</v>
      </c>
      <c r="B190" s="837" t="s">
        <v>922</v>
      </c>
      <c r="C190" s="831" t="s">
        <v>1289</v>
      </c>
      <c r="D190" s="858"/>
      <c r="E190" s="833"/>
      <c r="F190" s="833"/>
      <c r="G190" s="833"/>
      <c r="H190" s="844"/>
    </row>
    <row r="191" spans="1:8" ht="15.75" x14ac:dyDescent="0.25">
      <c r="A191" s="825">
        <v>1</v>
      </c>
      <c r="B191" s="826" t="s">
        <v>253</v>
      </c>
      <c r="C191" s="826"/>
      <c r="D191" s="853" t="s">
        <v>135</v>
      </c>
      <c r="E191" s="772" t="s">
        <v>254</v>
      </c>
      <c r="F191" s="856">
        <v>25</v>
      </c>
      <c r="G191" s="772">
        <v>275000</v>
      </c>
      <c r="H191" s="847">
        <f>F191*G191</f>
        <v>6875000</v>
      </c>
    </row>
    <row r="192" spans="1:8" ht="15.75" x14ac:dyDescent="0.25">
      <c r="A192" s="825">
        <f t="shared" ref="A192:A210" si="13">A191+1</f>
        <v>2</v>
      </c>
      <c r="B192" s="826" t="s">
        <v>1290</v>
      </c>
      <c r="C192" s="826"/>
      <c r="D192" s="853" t="s">
        <v>1291</v>
      </c>
      <c r="E192" s="772" t="s">
        <v>241</v>
      </c>
      <c r="F192" s="856">
        <v>12</v>
      </c>
      <c r="G192" s="772">
        <v>85000</v>
      </c>
      <c r="H192" s="847">
        <f t="shared" ref="H192:H210" si="14">F192*G192</f>
        <v>1020000</v>
      </c>
    </row>
    <row r="193" spans="1:8" ht="15.75" x14ac:dyDescent="0.25">
      <c r="A193" s="825">
        <f t="shared" si="13"/>
        <v>3</v>
      </c>
      <c r="B193" s="826" t="s">
        <v>255</v>
      </c>
      <c r="C193" s="826"/>
      <c r="D193" s="853" t="s">
        <v>1291</v>
      </c>
      <c r="E193" s="772" t="s">
        <v>241</v>
      </c>
      <c r="F193" s="856">
        <v>12</v>
      </c>
      <c r="G193" s="772">
        <v>85000</v>
      </c>
      <c r="H193" s="847">
        <f t="shared" si="14"/>
        <v>1020000</v>
      </c>
    </row>
    <row r="194" spans="1:8" ht="15.75" x14ac:dyDescent="0.25">
      <c r="A194" s="825">
        <f t="shared" si="13"/>
        <v>4</v>
      </c>
      <c r="B194" s="826" t="s">
        <v>927</v>
      </c>
      <c r="C194" s="826"/>
      <c r="D194" s="853" t="s">
        <v>1291</v>
      </c>
      <c r="E194" s="772" t="s">
        <v>241</v>
      </c>
      <c r="F194" s="856">
        <v>2</v>
      </c>
      <c r="G194" s="772">
        <v>120000</v>
      </c>
      <c r="H194" s="847">
        <f t="shared" si="14"/>
        <v>240000</v>
      </c>
    </row>
    <row r="195" spans="1:8" ht="15.75" x14ac:dyDescent="0.25">
      <c r="A195" s="825">
        <f t="shared" si="13"/>
        <v>5</v>
      </c>
      <c r="B195" s="826" t="s">
        <v>926</v>
      </c>
      <c r="C195" s="826"/>
      <c r="D195" s="853" t="s">
        <v>1292</v>
      </c>
      <c r="E195" s="772" t="s">
        <v>254</v>
      </c>
      <c r="F195" s="856">
        <v>25</v>
      </c>
      <c r="G195" s="772">
        <v>350000</v>
      </c>
      <c r="H195" s="847">
        <f t="shared" si="14"/>
        <v>8750000</v>
      </c>
    </row>
    <row r="196" spans="1:8" ht="15.75" x14ac:dyDescent="0.25">
      <c r="A196" s="825">
        <f t="shared" si="13"/>
        <v>6</v>
      </c>
      <c r="B196" s="826" t="s">
        <v>928</v>
      </c>
      <c r="C196" s="826"/>
      <c r="D196" s="853" t="s">
        <v>1291</v>
      </c>
      <c r="E196" s="772" t="s">
        <v>241</v>
      </c>
      <c r="F196" s="856">
        <v>16</v>
      </c>
      <c r="G196" s="772">
        <v>85000</v>
      </c>
      <c r="H196" s="847">
        <f t="shared" si="14"/>
        <v>1360000</v>
      </c>
    </row>
    <row r="197" spans="1:8" ht="15.75" x14ac:dyDescent="0.25">
      <c r="A197" s="825">
        <f t="shared" si="13"/>
        <v>7</v>
      </c>
      <c r="B197" s="826" t="s">
        <v>929</v>
      </c>
      <c r="C197" s="826"/>
      <c r="D197" s="853" t="s">
        <v>1293</v>
      </c>
      <c r="E197" s="772" t="s">
        <v>254</v>
      </c>
      <c r="F197" s="856">
        <v>3</v>
      </c>
      <c r="G197" s="772">
        <v>100000</v>
      </c>
      <c r="H197" s="847">
        <f t="shared" si="14"/>
        <v>300000</v>
      </c>
    </row>
    <row r="198" spans="1:8" ht="31.5" x14ac:dyDescent="0.25">
      <c r="A198" s="825">
        <f t="shared" si="13"/>
        <v>8</v>
      </c>
      <c r="B198" s="826" t="s">
        <v>930</v>
      </c>
      <c r="C198" s="826"/>
      <c r="D198" s="870" t="s">
        <v>1294</v>
      </c>
      <c r="E198" s="772" t="s">
        <v>254</v>
      </c>
      <c r="F198" s="856">
        <v>3</v>
      </c>
      <c r="G198" s="772">
        <v>550000</v>
      </c>
      <c r="H198" s="847">
        <f t="shared" si="14"/>
        <v>1650000</v>
      </c>
    </row>
    <row r="199" spans="1:8" ht="15.75" x14ac:dyDescent="0.25">
      <c r="A199" s="825">
        <f t="shared" si="13"/>
        <v>9</v>
      </c>
      <c r="B199" s="826" t="s">
        <v>931</v>
      </c>
      <c r="C199" s="826"/>
      <c r="D199" s="853" t="s">
        <v>1295</v>
      </c>
      <c r="E199" s="772" t="s">
        <v>241</v>
      </c>
      <c r="F199" s="856">
        <v>8</v>
      </c>
      <c r="G199" s="875">
        <v>80000</v>
      </c>
      <c r="H199" s="847">
        <f t="shared" si="14"/>
        <v>640000</v>
      </c>
    </row>
    <row r="200" spans="1:8" ht="15.75" x14ac:dyDescent="0.25">
      <c r="A200" s="825">
        <f t="shared" si="13"/>
        <v>10</v>
      </c>
      <c r="B200" s="826" t="s">
        <v>1296</v>
      </c>
      <c r="C200" s="826"/>
      <c r="D200" s="853"/>
      <c r="E200" s="772" t="s">
        <v>241</v>
      </c>
      <c r="F200" s="856">
        <v>25</v>
      </c>
      <c r="G200" s="846">
        <v>150000</v>
      </c>
      <c r="H200" s="847">
        <f t="shared" si="14"/>
        <v>3750000</v>
      </c>
    </row>
    <row r="201" spans="1:8" ht="15.75" x14ac:dyDescent="0.25">
      <c r="A201" s="825">
        <f t="shared" si="13"/>
        <v>11</v>
      </c>
      <c r="B201" s="826" t="s">
        <v>932</v>
      </c>
      <c r="C201" s="826"/>
      <c r="D201" s="870" t="s">
        <v>1297</v>
      </c>
      <c r="E201" s="772" t="s">
        <v>933</v>
      </c>
      <c r="F201" s="856">
        <v>2</v>
      </c>
      <c r="G201" s="772">
        <v>3450000</v>
      </c>
      <c r="H201" s="847">
        <f t="shared" si="14"/>
        <v>6900000</v>
      </c>
    </row>
    <row r="202" spans="1:8" ht="15.75" x14ac:dyDescent="0.25">
      <c r="A202" s="825">
        <v>12</v>
      </c>
      <c r="B202" s="826" t="s">
        <v>934</v>
      </c>
      <c r="C202" s="826"/>
      <c r="D202" s="853" t="s">
        <v>1298</v>
      </c>
      <c r="E202" s="772" t="s">
        <v>1057</v>
      </c>
      <c r="F202" s="856">
        <v>18</v>
      </c>
      <c r="G202" s="876">
        <v>125000</v>
      </c>
      <c r="H202" s="847">
        <f t="shared" si="14"/>
        <v>2250000</v>
      </c>
    </row>
    <row r="203" spans="1:8" ht="15.75" x14ac:dyDescent="0.25">
      <c r="A203" s="825">
        <f t="shared" si="13"/>
        <v>13</v>
      </c>
      <c r="B203" s="826" t="s">
        <v>1299</v>
      </c>
      <c r="C203" s="826"/>
      <c r="D203" s="853" t="s">
        <v>1300</v>
      </c>
      <c r="E203" s="772" t="s">
        <v>933</v>
      </c>
      <c r="F203" s="856">
        <v>1</v>
      </c>
      <c r="G203" s="846">
        <v>1000000</v>
      </c>
      <c r="H203" s="847">
        <f t="shared" si="14"/>
        <v>1000000</v>
      </c>
    </row>
    <row r="204" spans="1:8" ht="15.75" x14ac:dyDescent="0.25">
      <c r="A204" s="825">
        <f t="shared" si="13"/>
        <v>14</v>
      </c>
      <c r="B204" s="826" t="s">
        <v>935</v>
      </c>
      <c r="C204" s="826"/>
      <c r="D204" s="853" t="s">
        <v>1301</v>
      </c>
      <c r="E204" s="772" t="s">
        <v>254</v>
      </c>
      <c r="F204" s="856">
        <v>3</v>
      </c>
      <c r="G204" s="772">
        <v>450000</v>
      </c>
      <c r="H204" s="847">
        <f t="shared" si="14"/>
        <v>1350000</v>
      </c>
    </row>
    <row r="205" spans="1:8" ht="15.75" x14ac:dyDescent="0.25">
      <c r="A205" s="825">
        <f t="shared" si="13"/>
        <v>15</v>
      </c>
      <c r="B205" s="826" t="s">
        <v>937</v>
      </c>
      <c r="C205" s="826"/>
      <c r="D205" s="853" t="s">
        <v>1302</v>
      </c>
      <c r="E205" s="772" t="s">
        <v>254</v>
      </c>
      <c r="F205" s="856">
        <v>7</v>
      </c>
      <c r="G205" s="772">
        <v>450000</v>
      </c>
      <c r="H205" s="847">
        <f t="shared" si="14"/>
        <v>3150000</v>
      </c>
    </row>
    <row r="206" spans="1:8" ht="15.75" x14ac:dyDescent="0.25">
      <c r="A206" s="825">
        <f t="shared" si="13"/>
        <v>16</v>
      </c>
      <c r="B206" s="826" t="s">
        <v>1303</v>
      </c>
      <c r="C206" s="826"/>
      <c r="D206" s="853" t="s">
        <v>1304</v>
      </c>
      <c r="E206" s="772" t="s">
        <v>241</v>
      </c>
      <c r="F206" s="856">
        <v>2</v>
      </c>
      <c r="G206" s="772">
        <v>750000</v>
      </c>
      <c r="H206" s="847">
        <f t="shared" si="14"/>
        <v>1500000</v>
      </c>
    </row>
    <row r="207" spans="1:8" ht="15.75" x14ac:dyDescent="0.25">
      <c r="A207" s="825">
        <f t="shared" si="13"/>
        <v>17</v>
      </c>
      <c r="B207" s="826" t="s">
        <v>1305</v>
      </c>
      <c r="C207" s="826"/>
      <c r="D207" s="853"/>
      <c r="E207" s="772" t="s">
        <v>1057</v>
      </c>
      <c r="F207" s="856">
        <v>14</v>
      </c>
      <c r="G207" s="772">
        <v>60000</v>
      </c>
      <c r="H207" s="847">
        <f t="shared" si="14"/>
        <v>840000</v>
      </c>
    </row>
    <row r="208" spans="1:8" ht="15.75" x14ac:dyDescent="0.25">
      <c r="A208" s="825">
        <f t="shared" si="13"/>
        <v>18</v>
      </c>
      <c r="B208" s="826" t="s">
        <v>1306</v>
      </c>
      <c r="C208" s="826"/>
      <c r="D208" s="853"/>
      <c r="E208" s="772" t="s">
        <v>241</v>
      </c>
      <c r="F208" s="856">
        <v>1</v>
      </c>
      <c r="G208" s="772">
        <v>1000000</v>
      </c>
      <c r="H208" s="847">
        <f t="shared" si="14"/>
        <v>1000000</v>
      </c>
    </row>
    <row r="209" spans="1:8" ht="15.75" x14ac:dyDescent="0.25">
      <c r="A209" s="825">
        <f t="shared" si="13"/>
        <v>19</v>
      </c>
      <c r="B209" s="826" t="s">
        <v>1307</v>
      </c>
      <c r="C209" s="826"/>
      <c r="D209" s="853"/>
      <c r="E209" s="772" t="s">
        <v>62</v>
      </c>
      <c r="F209" s="856">
        <v>1</v>
      </c>
      <c r="G209" s="772">
        <v>800000</v>
      </c>
      <c r="H209" s="847">
        <f t="shared" si="14"/>
        <v>800000</v>
      </c>
    </row>
    <row r="210" spans="1:8" ht="15.75" x14ac:dyDescent="0.25">
      <c r="A210" s="825">
        <f t="shared" si="13"/>
        <v>20</v>
      </c>
      <c r="B210" s="826" t="s">
        <v>1308</v>
      </c>
      <c r="C210" s="826"/>
      <c r="D210" s="853"/>
      <c r="E210" s="772" t="s">
        <v>62</v>
      </c>
      <c r="F210" s="856">
        <v>1</v>
      </c>
      <c r="G210" s="772">
        <v>800000</v>
      </c>
      <c r="H210" s="847">
        <f t="shared" si="14"/>
        <v>800000</v>
      </c>
    </row>
    <row r="211" spans="1:8" ht="15.75" x14ac:dyDescent="0.25">
      <c r="A211" s="836"/>
      <c r="B211" s="831"/>
      <c r="C211" s="831"/>
      <c r="D211" s="858" t="s">
        <v>1309</v>
      </c>
      <c r="E211" s="833"/>
      <c r="F211" s="833"/>
      <c r="G211" s="833"/>
      <c r="H211" s="844">
        <f>SUM(H191:H210)</f>
        <v>45195000</v>
      </c>
    </row>
    <row r="212" spans="1:8" ht="15.75" x14ac:dyDescent="0.25">
      <c r="A212" s="836" t="s">
        <v>1310</v>
      </c>
      <c r="B212" s="837" t="s">
        <v>1311</v>
      </c>
      <c r="C212" s="837"/>
      <c r="D212" s="859" t="s">
        <v>1312</v>
      </c>
      <c r="E212" s="772"/>
      <c r="F212" s="772"/>
      <c r="G212" s="772"/>
      <c r="H212" s="847"/>
    </row>
    <row r="213" spans="1:8" ht="15.75" x14ac:dyDescent="0.25">
      <c r="A213" s="825">
        <v>1</v>
      </c>
      <c r="B213" s="826" t="s">
        <v>1313</v>
      </c>
      <c r="C213" s="826" t="s">
        <v>1145</v>
      </c>
      <c r="D213" s="853" t="s">
        <v>1314</v>
      </c>
      <c r="E213" s="772" t="s">
        <v>241</v>
      </c>
      <c r="F213" s="856">
        <v>1</v>
      </c>
      <c r="G213" s="772">
        <v>5500000</v>
      </c>
      <c r="H213" s="847">
        <f>F213*G213</f>
        <v>5500000</v>
      </c>
    </row>
    <row r="214" spans="1:8" ht="15.75" x14ac:dyDescent="0.25">
      <c r="A214" s="825">
        <v>2</v>
      </c>
      <c r="B214" s="826" t="s">
        <v>1315</v>
      </c>
      <c r="C214" s="826"/>
      <c r="D214" s="853" t="s">
        <v>214</v>
      </c>
      <c r="E214" s="772" t="s">
        <v>241</v>
      </c>
      <c r="F214" s="856">
        <v>1</v>
      </c>
      <c r="G214" s="772">
        <v>5500000</v>
      </c>
      <c r="H214" s="847">
        <f t="shared" ref="H214:H228" si="15">F214*G214</f>
        <v>5500000</v>
      </c>
    </row>
    <row r="215" spans="1:8" ht="15.75" x14ac:dyDescent="0.25">
      <c r="A215" s="825">
        <v>3</v>
      </c>
      <c r="B215" s="826" t="s">
        <v>1316</v>
      </c>
      <c r="C215" s="826"/>
      <c r="D215" s="853" t="s">
        <v>1317</v>
      </c>
      <c r="E215" s="772" t="s">
        <v>241</v>
      </c>
      <c r="F215" s="856">
        <v>1</v>
      </c>
      <c r="G215" s="772">
        <v>7000000</v>
      </c>
      <c r="H215" s="847">
        <f t="shared" si="15"/>
        <v>7000000</v>
      </c>
    </row>
    <row r="216" spans="1:8" ht="15.75" x14ac:dyDescent="0.25">
      <c r="A216" s="825">
        <v>5</v>
      </c>
      <c r="B216" s="826" t="s">
        <v>405</v>
      </c>
      <c r="C216" s="826" t="s">
        <v>1318</v>
      </c>
      <c r="D216" s="853" t="s">
        <v>1319</v>
      </c>
      <c r="E216" s="772" t="s">
        <v>218</v>
      </c>
      <c r="F216" s="856">
        <v>3</v>
      </c>
      <c r="G216" s="772">
        <v>2000000</v>
      </c>
      <c r="H216" s="847">
        <f t="shared" si="15"/>
        <v>6000000</v>
      </c>
    </row>
    <row r="217" spans="1:8" ht="15.75" x14ac:dyDescent="0.25">
      <c r="A217" s="825">
        <v>7</v>
      </c>
      <c r="B217" s="826" t="s">
        <v>1320</v>
      </c>
      <c r="C217" s="826"/>
      <c r="D217" s="853" t="s">
        <v>1321</v>
      </c>
      <c r="E217" s="772" t="s">
        <v>241</v>
      </c>
      <c r="F217" s="856">
        <v>3</v>
      </c>
      <c r="G217" s="772">
        <v>600000</v>
      </c>
      <c r="H217" s="847">
        <f t="shared" si="15"/>
        <v>1800000</v>
      </c>
    </row>
    <row r="218" spans="1:8" ht="15.75" x14ac:dyDescent="0.25">
      <c r="A218" s="825">
        <v>8</v>
      </c>
      <c r="B218" s="826" t="s">
        <v>1322</v>
      </c>
      <c r="C218" s="826" t="s">
        <v>1323</v>
      </c>
      <c r="D218" s="853" t="s">
        <v>216</v>
      </c>
      <c r="E218" s="772" t="s">
        <v>241</v>
      </c>
      <c r="F218" s="856">
        <v>1</v>
      </c>
      <c r="G218" s="772">
        <v>4000000</v>
      </c>
      <c r="H218" s="847">
        <f t="shared" si="15"/>
        <v>4000000</v>
      </c>
    </row>
    <row r="219" spans="1:8" ht="15.75" x14ac:dyDescent="0.25">
      <c r="A219" s="825">
        <v>9</v>
      </c>
      <c r="B219" s="826" t="s">
        <v>1324</v>
      </c>
      <c r="C219" s="826"/>
      <c r="D219" s="853" t="s">
        <v>1325</v>
      </c>
      <c r="E219" s="772" t="s">
        <v>241</v>
      </c>
      <c r="F219" s="856">
        <v>1</v>
      </c>
      <c r="G219" s="772">
        <v>800000</v>
      </c>
      <c r="H219" s="847">
        <f t="shared" si="15"/>
        <v>800000</v>
      </c>
    </row>
    <row r="220" spans="1:8" ht="15.75" x14ac:dyDescent="0.25">
      <c r="A220" s="825">
        <v>10</v>
      </c>
      <c r="B220" s="826" t="s">
        <v>1322</v>
      </c>
      <c r="C220" s="826" t="s">
        <v>1326</v>
      </c>
      <c r="D220" s="853" t="s">
        <v>1327</v>
      </c>
      <c r="E220" s="772" t="s">
        <v>241</v>
      </c>
      <c r="F220" s="856">
        <v>1</v>
      </c>
      <c r="G220" s="772">
        <v>3600000</v>
      </c>
      <c r="H220" s="847">
        <f t="shared" si="15"/>
        <v>3600000</v>
      </c>
    </row>
    <row r="221" spans="1:8" ht="15.75" x14ac:dyDescent="0.25">
      <c r="A221" s="825">
        <v>11</v>
      </c>
      <c r="B221" s="826" t="s">
        <v>1324</v>
      </c>
      <c r="C221" s="826"/>
      <c r="D221" s="853" t="s">
        <v>1325</v>
      </c>
      <c r="E221" s="772" t="s">
        <v>241</v>
      </c>
      <c r="F221" s="856">
        <v>1</v>
      </c>
      <c r="G221" s="772">
        <v>800000</v>
      </c>
      <c r="H221" s="847">
        <f t="shared" si="15"/>
        <v>800000</v>
      </c>
    </row>
    <row r="222" spans="1:8" ht="15.75" x14ac:dyDescent="0.25">
      <c r="A222" s="825">
        <v>14</v>
      </c>
      <c r="B222" s="826" t="s">
        <v>1328</v>
      </c>
      <c r="C222" s="826"/>
      <c r="D222" s="853" t="s">
        <v>220</v>
      </c>
      <c r="E222" s="772" t="s">
        <v>241</v>
      </c>
      <c r="F222" s="856">
        <v>10</v>
      </c>
      <c r="G222" s="772">
        <v>400000</v>
      </c>
      <c r="H222" s="847">
        <f t="shared" si="15"/>
        <v>4000000</v>
      </c>
    </row>
    <row r="223" spans="1:8" ht="15.75" x14ac:dyDescent="0.25">
      <c r="A223" s="825">
        <v>15</v>
      </c>
      <c r="B223" s="826" t="s">
        <v>1329</v>
      </c>
      <c r="C223" s="826"/>
      <c r="D223" s="853" t="s">
        <v>1330</v>
      </c>
      <c r="E223" s="772" t="s">
        <v>241</v>
      </c>
      <c r="F223" s="856">
        <v>1</v>
      </c>
      <c r="G223" s="772">
        <v>600000</v>
      </c>
      <c r="H223" s="847">
        <f t="shared" si="15"/>
        <v>600000</v>
      </c>
    </row>
    <row r="224" spans="1:8" ht="15.75" x14ac:dyDescent="0.25">
      <c r="A224" s="825">
        <v>16</v>
      </c>
      <c r="B224" s="826" t="s">
        <v>1331</v>
      </c>
      <c r="C224" s="826"/>
      <c r="D224" s="853" t="s">
        <v>1332</v>
      </c>
      <c r="E224" s="772" t="s">
        <v>241</v>
      </c>
      <c r="F224" s="856">
        <v>2</v>
      </c>
      <c r="G224" s="772">
        <v>450000</v>
      </c>
      <c r="H224" s="847">
        <f t="shared" si="15"/>
        <v>900000</v>
      </c>
    </row>
    <row r="225" spans="1:8" ht="15.75" x14ac:dyDescent="0.25">
      <c r="A225" s="825">
        <v>17</v>
      </c>
      <c r="B225" s="826" t="s">
        <v>1333</v>
      </c>
      <c r="C225" s="826"/>
      <c r="D225" s="853" t="s">
        <v>1334</v>
      </c>
      <c r="E225" s="772" t="s">
        <v>241</v>
      </c>
      <c r="F225" s="856">
        <v>3</v>
      </c>
      <c r="G225" s="772">
        <v>450000</v>
      </c>
      <c r="H225" s="847">
        <f t="shared" si="15"/>
        <v>1350000</v>
      </c>
    </row>
    <row r="226" spans="1:8" ht="15.75" x14ac:dyDescent="0.25">
      <c r="A226" s="825">
        <v>18</v>
      </c>
      <c r="B226" s="826" t="s">
        <v>1335</v>
      </c>
      <c r="C226" s="826"/>
      <c r="D226" s="853" t="s">
        <v>1336</v>
      </c>
      <c r="E226" s="772" t="s">
        <v>241</v>
      </c>
      <c r="F226" s="856">
        <v>1</v>
      </c>
      <c r="G226" s="772">
        <v>7500000</v>
      </c>
      <c r="H226" s="847">
        <f t="shared" si="15"/>
        <v>7500000</v>
      </c>
    </row>
    <row r="227" spans="1:8" ht="15.75" x14ac:dyDescent="0.25">
      <c r="A227" s="825">
        <v>19</v>
      </c>
      <c r="B227" s="826" t="s">
        <v>1337</v>
      </c>
      <c r="C227" s="826"/>
      <c r="D227" s="853"/>
      <c r="E227" s="772" t="s">
        <v>241</v>
      </c>
      <c r="F227" s="856">
        <v>1</v>
      </c>
      <c r="G227" s="772">
        <v>750000</v>
      </c>
      <c r="H227" s="847">
        <f t="shared" si="15"/>
        <v>750000</v>
      </c>
    </row>
    <row r="228" spans="1:8" ht="15.75" x14ac:dyDescent="0.25">
      <c r="A228" s="825">
        <v>20</v>
      </c>
      <c r="B228" s="826" t="s">
        <v>1338</v>
      </c>
      <c r="C228" s="826"/>
      <c r="D228" s="853"/>
      <c r="E228" s="772" t="s">
        <v>241</v>
      </c>
      <c r="F228" s="856">
        <v>1</v>
      </c>
      <c r="G228" s="772">
        <v>750000</v>
      </c>
      <c r="H228" s="847">
        <f t="shared" si="15"/>
        <v>750000</v>
      </c>
    </row>
    <row r="229" spans="1:8" ht="15.75" x14ac:dyDescent="0.25">
      <c r="A229" s="877"/>
      <c r="B229" s="831"/>
      <c r="C229" s="831"/>
      <c r="D229" s="858" t="s">
        <v>1339</v>
      </c>
      <c r="E229" s="833"/>
      <c r="F229" s="833"/>
      <c r="G229" s="833"/>
      <c r="H229" s="878">
        <f>SUM(H213:H228)</f>
        <v>50850000</v>
      </c>
    </row>
    <row r="230" spans="1:8" ht="15.75" x14ac:dyDescent="0.25">
      <c r="A230" s="879" t="s">
        <v>1340</v>
      </c>
      <c r="B230" s="880" t="s">
        <v>1341</v>
      </c>
      <c r="C230" s="880"/>
      <c r="D230" s="880"/>
      <c r="E230" s="854"/>
      <c r="F230" s="854"/>
      <c r="G230" s="854"/>
      <c r="H230" s="881"/>
    </row>
    <row r="231" spans="1:8" ht="15.75" x14ac:dyDescent="0.25">
      <c r="A231" s="825">
        <v>1</v>
      </c>
      <c r="B231" s="826" t="s">
        <v>1342</v>
      </c>
      <c r="C231" s="826" t="s">
        <v>1343</v>
      </c>
      <c r="D231" s="827" t="s">
        <v>1344</v>
      </c>
      <c r="E231" s="772" t="s">
        <v>694</v>
      </c>
      <c r="F231" s="828">
        <f>5.5*6</f>
        <v>33</v>
      </c>
      <c r="G231" s="772">
        <v>950000</v>
      </c>
      <c r="H231" s="829">
        <f>F231*G231</f>
        <v>31350000</v>
      </c>
    </row>
    <row r="232" spans="1:8" ht="15.75" x14ac:dyDescent="0.25">
      <c r="A232" s="825">
        <v>2</v>
      </c>
      <c r="B232" s="826" t="s">
        <v>1345</v>
      </c>
      <c r="C232" s="826" t="s">
        <v>1343</v>
      </c>
      <c r="D232" s="827" t="s">
        <v>1344</v>
      </c>
      <c r="E232" s="772" t="s">
        <v>694</v>
      </c>
      <c r="F232" s="828">
        <f>2*3</f>
        <v>6</v>
      </c>
      <c r="G232" s="772">
        <v>950000</v>
      </c>
      <c r="H232" s="829">
        <f t="shared" ref="H232:H238" si="16">F232*G232</f>
        <v>5700000</v>
      </c>
    </row>
    <row r="233" spans="1:8" ht="15.75" x14ac:dyDescent="0.25">
      <c r="A233" s="825">
        <v>3</v>
      </c>
      <c r="B233" s="826" t="s">
        <v>1346</v>
      </c>
      <c r="C233" s="826" t="s">
        <v>1343</v>
      </c>
      <c r="D233" s="827" t="s">
        <v>1344</v>
      </c>
      <c r="E233" s="772" t="s">
        <v>694</v>
      </c>
      <c r="F233" s="828">
        <f>1.5*1.5</f>
        <v>2.25</v>
      </c>
      <c r="G233" s="772">
        <v>950000</v>
      </c>
      <c r="H233" s="829">
        <f t="shared" si="16"/>
        <v>2137500</v>
      </c>
    </row>
    <row r="234" spans="1:8" ht="15.75" x14ac:dyDescent="0.25">
      <c r="A234" s="825">
        <v>4</v>
      </c>
      <c r="B234" s="826" t="s">
        <v>1347</v>
      </c>
      <c r="C234" s="826" t="s">
        <v>1343</v>
      </c>
      <c r="D234" s="827" t="s">
        <v>1344</v>
      </c>
      <c r="E234" s="772" t="s">
        <v>694</v>
      </c>
      <c r="F234" s="828">
        <f>3.5*3</f>
        <v>10.5</v>
      </c>
      <c r="G234" s="772">
        <v>950000</v>
      </c>
      <c r="H234" s="829">
        <f t="shared" si="16"/>
        <v>9975000</v>
      </c>
    </row>
    <row r="235" spans="1:8" ht="15.75" x14ac:dyDescent="0.25">
      <c r="A235" s="825">
        <v>5</v>
      </c>
      <c r="B235" s="826" t="s">
        <v>348</v>
      </c>
      <c r="C235" s="826" t="s">
        <v>1348</v>
      </c>
      <c r="D235" s="827" t="s">
        <v>1349</v>
      </c>
      <c r="E235" s="772" t="s">
        <v>1064</v>
      </c>
      <c r="F235" s="828">
        <f>0.15*0.2*11</f>
        <v>0.32999999999999996</v>
      </c>
      <c r="G235" s="772">
        <v>5000000</v>
      </c>
      <c r="H235" s="829">
        <f t="shared" si="16"/>
        <v>1649999.9999999998</v>
      </c>
    </row>
    <row r="236" spans="1:8" ht="15.75" x14ac:dyDescent="0.25">
      <c r="A236" s="825">
        <v>6</v>
      </c>
      <c r="B236" s="826" t="s">
        <v>233</v>
      </c>
      <c r="C236" s="826" t="s">
        <v>1350</v>
      </c>
      <c r="D236" s="827" t="s">
        <v>234</v>
      </c>
      <c r="E236" s="772" t="s">
        <v>694</v>
      </c>
      <c r="F236" s="840">
        <f>(8*1)+(3*6)</f>
        <v>26</v>
      </c>
      <c r="G236" s="772">
        <f>G58</f>
        <v>145000</v>
      </c>
      <c r="H236" s="829">
        <f t="shared" si="16"/>
        <v>3770000</v>
      </c>
    </row>
    <row r="237" spans="1:8" ht="15.75" x14ac:dyDescent="0.25">
      <c r="A237" s="825">
        <v>7</v>
      </c>
      <c r="B237" s="826" t="s">
        <v>1102</v>
      </c>
      <c r="C237" s="826"/>
      <c r="D237" s="827" t="s">
        <v>86</v>
      </c>
      <c r="E237" s="772" t="s">
        <v>694</v>
      </c>
      <c r="F237" s="845">
        <f>F236*2</f>
        <v>52</v>
      </c>
      <c r="G237" s="772">
        <v>100000</v>
      </c>
      <c r="H237" s="829">
        <f t="shared" si="16"/>
        <v>5200000</v>
      </c>
    </row>
    <row r="238" spans="1:8" ht="15.75" x14ac:dyDescent="0.25">
      <c r="A238" s="825">
        <v>8</v>
      </c>
      <c r="B238" s="826" t="s">
        <v>319</v>
      </c>
      <c r="C238" s="826"/>
      <c r="D238" s="853" t="s">
        <v>1261</v>
      </c>
      <c r="E238" s="772" t="s">
        <v>694</v>
      </c>
      <c r="F238" s="856">
        <f>F237</f>
        <v>52</v>
      </c>
      <c r="G238" s="772">
        <v>60000</v>
      </c>
      <c r="H238" s="829">
        <f t="shared" si="16"/>
        <v>3120000</v>
      </c>
    </row>
    <row r="239" spans="1:8" ht="16.5" thickBot="1" x14ac:dyDescent="0.3">
      <c r="A239" s="882"/>
      <c r="B239" s="883"/>
      <c r="C239" s="883"/>
      <c r="D239" s="884" t="s">
        <v>1351</v>
      </c>
      <c r="E239" s="885"/>
      <c r="F239" s="885"/>
      <c r="G239" s="885"/>
      <c r="H239" s="886">
        <f>SUM(H231:H238)</f>
        <v>62902500</v>
      </c>
    </row>
    <row r="240" spans="1:8" ht="15.75" x14ac:dyDescent="0.25">
      <c r="A240" s="887" t="s">
        <v>1352</v>
      </c>
      <c r="B240" s="888" t="s">
        <v>1353</v>
      </c>
      <c r="C240" s="889"/>
      <c r="D240" s="890"/>
      <c r="E240" s="891"/>
      <c r="F240" s="892"/>
      <c r="G240" s="893"/>
      <c r="H240" s="894"/>
    </row>
    <row r="241" spans="1:8" ht="15.75" x14ac:dyDescent="0.25">
      <c r="A241" s="895">
        <v>1</v>
      </c>
      <c r="B241" s="896" t="s">
        <v>1354</v>
      </c>
      <c r="C241" s="897"/>
      <c r="D241" s="898" t="s">
        <v>1355</v>
      </c>
      <c r="E241" s="899" t="s">
        <v>1356</v>
      </c>
      <c r="F241" s="900">
        <v>1</v>
      </c>
      <c r="G241" s="901">
        <v>6500000</v>
      </c>
      <c r="H241" s="902">
        <f>F241*G241</f>
        <v>6500000</v>
      </c>
    </row>
    <row r="242" spans="1:8" ht="15.75" x14ac:dyDescent="0.25">
      <c r="A242" s="903">
        <v>2</v>
      </c>
      <c r="B242" s="896" t="s">
        <v>1357</v>
      </c>
      <c r="C242" s="897"/>
      <c r="D242" s="898" t="s">
        <v>1358</v>
      </c>
      <c r="E242" s="899" t="s">
        <v>178</v>
      </c>
      <c r="F242" s="900">
        <v>40</v>
      </c>
      <c r="G242" s="901">
        <v>120000</v>
      </c>
      <c r="H242" s="902">
        <f>F242*G242</f>
        <v>4800000</v>
      </c>
    </row>
    <row r="243" spans="1:8" ht="15.75" x14ac:dyDescent="0.25">
      <c r="A243" s="895">
        <v>3</v>
      </c>
      <c r="B243" s="896" t="s">
        <v>1359</v>
      </c>
      <c r="C243" s="897"/>
      <c r="D243" s="898" t="s">
        <v>1360</v>
      </c>
      <c r="E243" s="899" t="s">
        <v>1361</v>
      </c>
      <c r="F243" s="900">
        <v>15</v>
      </c>
      <c r="G243" s="901">
        <v>40000</v>
      </c>
      <c r="H243" s="902">
        <f>F243*G243</f>
        <v>600000</v>
      </c>
    </row>
    <row r="244" spans="1:8" ht="15.75" x14ac:dyDescent="0.25">
      <c r="A244" s="895">
        <v>4</v>
      </c>
      <c r="B244" s="896" t="s">
        <v>1362</v>
      </c>
      <c r="C244" s="897"/>
      <c r="D244" s="904" t="s">
        <v>1363</v>
      </c>
      <c r="E244" s="899" t="s">
        <v>212</v>
      </c>
      <c r="F244" s="900">
        <v>1</v>
      </c>
      <c r="G244" s="901">
        <v>1500000</v>
      </c>
      <c r="H244" s="902">
        <f>F244*G244</f>
        <v>1500000</v>
      </c>
    </row>
    <row r="245" spans="1:8" ht="15.75" x14ac:dyDescent="0.25">
      <c r="A245" s="905"/>
      <c r="B245" s="896"/>
      <c r="C245" s="897"/>
      <c r="D245" s="832" t="s">
        <v>1364</v>
      </c>
      <c r="E245" s="906"/>
      <c r="F245" s="907"/>
      <c r="G245" s="908"/>
      <c r="H245" s="909">
        <f>SUM(H241:H244)</f>
        <v>13400000</v>
      </c>
    </row>
    <row r="246" spans="1:8" ht="16.5" thickBot="1" x14ac:dyDescent="0.3">
      <c r="A246" s="910"/>
      <c r="B246" s="911"/>
      <c r="C246" s="912"/>
      <c r="D246" s="913"/>
      <c r="E246" s="914"/>
      <c r="F246" s="915"/>
      <c r="G246" s="916"/>
      <c r="H246" s="917"/>
    </row>
  </sheetData>
  <mergeCells count="13">
    <mergeCell ref="A6:A7"/>
    <mergeCell ref="B6:C7"/>
    <mergeCell ref="E6:E7"/>
    <mergeCell ref="F6:F7"/>
    <mergeCell ref="A23:A24"/>
    <mergeCell ref="B23:C24"/>
    <mergeCell ref="E23:E24"/>
    <mergeCell ref="F23:F24"/>
    <mergeCell ref="B53:C53"/>
    <mergeCell ref="B80:C80"/>
    <mergeCell ref="B81:C81"/>
    <mergeCell ref="B82:C82"/>
    <mergeCell ref="B85:C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1</vt:lpstr>
      <vt:lpstr>project 2</vt:lpstr>
      <vt:lpstr>project 3</vt:lpstr>
      <vt:lpstr>project 4</vt:lpstr>
      <vt:lpstr>project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hendi</dc:creator>
  <cp:lastModifiedBy>akbar hendi</cp:lastModifiedBy>
  <dcterms:created xsi:type="dcterms:W3CDTF">2025-12-22T12:15:25Z</dcterms:created>
  <dcterms:modified xsi:type="dcterms:W3CDTF">2025-12-22T14:21:35Z</dcterms:modified>
</cp:coreProperties>
</file>