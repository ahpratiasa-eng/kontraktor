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PK Jakarta\Downloads\"/>
    </mc:Choice>
  </mc:AlternateContent>
  <xr:revisionPtr revIDLastSave="0" documentId="13_ncr:1_{88DB036B-2E48-4F25-8FD3-1E848D83C35C}" xr6:coauthVersionLast="47" xr6:coauthVersionMax="47" xr10:uidLastSave="{00000000-0000-0000-0000-000000000000}"/>
  <bookViews>
    <workbookView xWindow="-108" yWindow="-108" windowWidth="23256" windowHeight="12456" activeTab="2" xr2:uid="{285FCB99-BB63-4EFE-8701-D0E3707CEA20}"/>
  </bookViews>
  <sheets>
    <sheet name="Sheet3" sheetId="5" r:id="rId1"/>
    <sheet name="REKAP" sheetId="1" r:id="rId2"/>
    <sheet name="RAB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2" l="1"/>
  <c r="F71" i="2" l="1"/>
  <c r="F72" i="2" s="1"/>
  <c r="H72" i="2" s="1"/>
  <c r="H67" i="2"/>
  <c r="H71" i="2" l="1"/>
  <c r="H35" i="5" l="1"/>
  <c r="G35" i="5"/>
  <c r="H9" i="5"/>
  <c r="I9" i="5" s="1"/>
  <c r="H10" i="5"/>
  <c r="I10" i="5" s="1"/>
  <c r="J10" i="5" s="1"/>
  <c r="J12" i="5"/>
  <c r="I12" i="5"/>
  <c r="H12" i="5"/>
  <c r="H14" i="5"/>
  <c r="I14" i="5" s="1"/>
  <c r="J14" i="5" s="1"/>
  <c r="I16" i="5"/>
  <c r="J16" i="5" s="1"/>
  <c r="H16" i="5"/>
  <c r="H19" i="5"/>
  <c r="I19" i="5" s="1"/>
  <c r="J19" i="5" s="1"/>
  <c r="H20" i="5"/>
  <c r="I20" i="5" s="1"/>
  <c r="J20" i="5" s="1"/>
  <c r="H22" i="5"/>
  <c r="I22" i="5" s="1"/>
  <c r="H23" i="5"/>
  <c r="I23" i="5" s="1"/>
  <c r="J23" i="5" s="1"/>
  <c r="H34" i="5"/>
  <c r="H27" i="5"/>
  <c r="I27" i="5" s="1"/>
  <c r="J27" i="5" s="1"/>
  <c r="H25" i="5"/>
  <c r="I25" i="5" s="1"/>
  <c r="J25" i="5" s="1"/>
  <c r="H29" i="5"/>
  <c r="I29" i="5" s="1"/>
  <c r="J29" i="5" s="1"/>
  <c r="H30" i="5"/>
  <c r="I30" i="5"/>
  <c r="J30" i="5" s="1"/>
  <c r="H31" i="5"/>
  <c r="I31" i="5" s="1"/>
  <c r="J31" i="5" s="1"/>
  <c r="H32" i="5"/>
  <c r="I32" i="5" s="1"/>
  <c r="J32" i="5" s="1"/>
  <c r="H33" i="5"/>
  <c r="I33" i="5" s="1"/>
  <c r="J33" i="5" s="1"/>
  <c r="J34" i="5"/>
  <c r="I35" i="5" l="1"/>
  <c r="J22" i="5"/>
  <c r="E36" i="5" l="1"/>
  <c r="H36" i="5" l="1"/>
  <c r="I36" i="5"/>
  <c r="H119" i="2"/>
  <c r="D19" i="1"/>
  <c r="H228" i="2"/>
  <c r="H227" i="2"/>
  <c r="H226" i="2"/>
  <c r="H225" i="2"/>
  <c r="F220" i="2"/>
  <c r="F221" i="2" s="1"/>
  <c r="F219" i="2"/>
  <c r="H219" i="2" s="1"/>
  <c r="F218" i="2"/>
  <c r="H218" i="2" s="1"/>
  <c r="F217" i="2"/>
  <c r="H217" i="2" s="1"/>
  <c r="F216" i="2"/>
  <c r="H216" i="2" s="1"/>
  <c r="F215" i="2"/>
  <c r="H215" i="2" s="1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4" i="2"/>
  <c r="H193" i="2"/>
  <c r="H192" i="2"/>
  <c r="H191" i="2"/>
  <c r="H190" i="2"/>
  <c r="H189" i="2"/>
  <c r="H188" i="2"/>
  <c r="H187" i="2"/>
  <c r="A187" i="2"/>
  <c r="A188" i="2" s="1"/>
  <c r="A189" i="2" s="1"/>
  <c r="A190" i="2" s="1"/>
  <c r="A191" i="2" s="1"/>
  <c r="A192" i="2" s="1"/>
  <c r="A193" i="2" s="1"/>
  <c r="A194" i="2" s="1"/>
  <c r="H186" i="2"/>
  <c r="H185" i="2"/>
  <c r="H184" i="2"/>
  <c r="H183" i="2"/>
  <c r="H182" i="2"/>
  <c r="H181" i="2"/>
  <c r="H180" i="2"/>
  <c r="H179" i="2"/>
  <c r="H178" i="2"/>
  <c r="H177" i="2"/>
  <c r="H176" i="2"/>
  <c r="A176" i="2"/>
  <c r="A177" i="2" s="1"/>
  <c r="A178" i="2" s="1"/>
  <c r="A179" i="2" s="1"/>
  <c r="A180" i="2" s="1"/>
  <c r="A181" i="2" s="1"/>
  <c r="A182" i="2" s="1"/>
  <c r="A183" i="2" s="1"/>
  <c r="A184" i="2" s="1"/>
  <c r="A185" i="2" s="1"/>
  <c r="H175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73" i="2" s="1"/>
  <c r="D22" i="1" s="1"/>
  <c r="H158" i="2"/>
  <c r="H157" i="2"/>
  <c r="H156" i="2"/>
  <c r="H155" i="2"/>
  <c r="H152" i="2"/>
  <c r="F151" i="2"/>
  <c r="H151" i="2" s="1"/>
  <c r="F149" i="2"/>
  <c r="H149" i="2" s="1"/>
  <c r="H145" i="2"/>
  <c r="H144" i="2"/>
  <c r="H143" i="2"/>
  <c r="H142" i="2"/>
  <c r="H146" i="2" s="1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F117" i="2"/>
  <c r="H117" i="2" s="1"/>
  <c r="F116" i="2"/>
  <c r="H116" i="2" s="1"/>
  <c r="H115" i="2"/>
  <c r="F114" i="2"/>
  <c r="H114" i="2" s="1"/>
  <c r="F113" i="2"/>
  <c r="H113" i="2" s="1"/>
  <c r="F112" i="2"/>
  <c r="H112" i="2" s="1"/>
  <c r="F111" i="2"/>
  <c r="H111" i="2" s="1"/>
  <c r="F110" i="2"/>
  <c r="H109" i="2"/>
  <c r="F107" i="2"/>
  <c r="H107" i="2" s="1"/>
  <c r="F106" i="2"/>
  <c r="H106" i="2" s="1"/>
  <c r="F105" i="2"/>
  <c r="H105" i="2" s="1"/>
  <c r="F104" i="2"/>
  <c r="H104" i="2" s="1"/>
  <c r="F103" i="2"/>
  <c r="H103" i="2" s="1"/>
  <c r="F101" i="2"/>
  <c r="H101" i="2" s="1"/>
  <c r="H100" i="2"/>
  <c r="F98" i="2"/>
  <c r="H98" i="2" s="1"/>
  <c r="H97" i="2"/>
  <c r="F95" i="2"/>
  <c r="H95" i="2" s="1"/>
  <c r="H94" i="2"/>
  <c r="F93" i="2"/>
  <c r="H93" i="2" s="1"/>
  <c r="H92" i="2"/>
  <c r="F92" i="2"/>
  <c r="H91" i="2"/>
  <c r="F90" i="2"/>
  <c r="H90" i="2" s="1"/>
  <c r="F89" i="2"/>
  <c r="H89" i="2" s="1"/>
  <c r="H88" i="2"/>
  <c r="F86" i="2"/>
  <c r="F87" i="2" s="1"/>
  <c r="F118" i="2" s="1"/>
  <c r="H118" i="2" s="1"/>
  <c r="H83" i="2"/>
  <c r="H82" i="2"/>
  <c r="H81" i="2"/>
  <c r="H80" i="2"/>
  <c r="H79" i="2"/>
  <c r="H78" i="2"/>
  <c r="H77" i="2"/>
  <c r="H76" i="2"/>
  <c r="H75" i="2"/>
  <c r="F70" i="2"/>
  <c r="H70" i="2" s="1"/>
  <c r="H69" i="2"/>
  <c r="F66" i="2"/>
  <c r="H66" i="2" s="1"/>
  <c r="H65" i="2"/>
  <c r="H64" i="2"/>
  <c r="F63" i="2"/>
  <c r="H63" i="2" s="1"/>
  <c r="D63" i="2"/>
  <c r="F61" i="2"/>
  <c r="F62" i="2" s="1"/>
  <c r="H62" i="2" s="1"/>
  <c r="F58" i="2"/>
  <c r="H58" i="2" s="1"/>
  <c r="F57" i="2"/>
  <c r="H57" i="2" s="1"/>
  <c r="F56" i="2"/>
  <c r="H56" i="2" s="1"/>
  <c r="H55" i="2"/>
  <c r="H54" i="2"/>
  <c r="H53" i="2"/>
  <c r="F52" i="2"/>
  <c r="H52" i="2" s="1"/>
  <c r="F51" i="2"/>
  <c r="H51" i="2" s="1"/>
  <c r="H50" i="2"/>
  <c r="H49" i="2"/>
  <c r="H48" i="2"/>
  <c r="H47" i="2"/>
  <c r="F42" i="2"/>
  <c r="H42" i="2" s="1"/>
  <c r="F41" i="2"/>
  <c r="F45" i="2" s="1"/>
  <c r="H45" i="2" s="1"/>
  <c r="F36" i="2"/>
  <c r="F35" i="2"/>
  <c r="H35" i="2" s="1"/>
  <c r="F34" i="2"/>
  <c r="H34" i="2" s="1"/>
  <c r="H37" i="2"/>
  <c r="F33" i="2"/>
  <c r="H33" i="2" s="1"/>
  <c r="F32" i="2"/>
  <c r="H32" i="2" s="1"/>
  <c r="F31" i="2"/>
  <c r="H31" i="2" s="1"/>
  <c r="H30" i="2"/>
  <c r="H38" i="2"/>
  <c r="F29" i="2"/>
  <c r="H29" i="2" s="1"/>
  <c r="F28" i="2"/>
  <c r="H28" i="2" s="1"/>
  <c r="F24" i="2"/>
  <c r="H24" i="2" s="1"/>
  <c r="F22" i="2"/>
  <c r="H22" i="2" s="1"/>
  <c r="F21" i="2"/>
  <c r="H21" i="2" s="1"/>
  <c r="F20" i="2"/>
  <c r="H20" i="2" s="1"/>
  <c r="F17" i="2"/>
  <c r="F18" i="2" s="1"/>
  <c r="F16" i="2"/>
  <c r="F23" i="2" s="1"/>
  <c r="H23" i="2" s="1"/>
  <c r="H13" i="2"/>
  <c r="H12" i="2"/>
  <c r="H11" i="2"/>
  <c r="F10" i="2"/>
  <c r="H10" i="2" s="1"/>
  <c r="H9" i="2"/>
  <c r="H14" i="2" l="1"/>
  <c r="D10" i="1" s="1"/>
  <c r="H41" i="2"/>
  <c r="H43" i="2" s="1"/>
  <c r="D13" i="1" s="1"/>
  <c r="F68" i="2"/>
  <c r="H68" i="2" s="1"/>
  <c r="H229" i="2"/>
  <c r="D26" i="1" s="1"/>
  <c r="H213" i="2"/>
  <c r="D24" i="1" s="1"/>
  <c r="H140" i="2"/>
  <c r="D18" i="1" s="1"/>
  <c r="H36" i="2"/>
  <c r="F99" i="2"/>
  <c r="H99" i="2" s="1"/>
  <c r="H159" i="2"/>
  <c r="D21" i="1" s="1"/>
  <c r="H195" i="2"/>
  <c r="D23" i="1" s="1"/>
  <c r="H16" i="2"/>
  <c r="H84" i="2"/>
  <c r="D16" i="1" s="1"/>
  <c r="H39" i="2"/>
  <c r="D12" i="1" s="1"/>
  <c r="H87" i="2"/>
  <c r="F222" i="2"/>
  <c r="H222" i="2" s="1"/>
  <c r="H221" i="2"/>
  <c r="F19" i="2"/>
  <c r="H19" i="2" s="1"/>
  <c r="H18" i="2"/>
  <c r="F148" i="2"/>
  <c r="H148" i="2" s="1"/>
  <c r="H220" i="2"/>
  <c r="H86" i="2"/>
  <c r="H61" i="2"/>
  <c r="H73" i="2" s="1"/>
  <c r="D15" i="1" s="1"/>
  <c r="F46" i="2"/>
  <c r="H46" i="2" s="1"/>
  <c r="H59" i="2" s="1"/>
  <c r="D14" i="1" s="1"/>
  <c r="F150" i="2"/>
  <c r="H150" i="2" s="1"/>
  <c r="H110" i="2"/>
  <c r="H17" i="2"/>
  <c r="H120" i="2" l="1"/>
  <c r="D17" i="1" s="1"/>
  <c r="H25" i="2"/>
  <c r="D11" i="1" s="1"/>
  <c r="H223" i="2"/>
  <c r="D25" i="1" s="1"/>
  <c r="H153" i="2"/>
  <c r="D20" i="1" s="1"/>
  <c r="D27" i="1" l="1"/>
  <c r="D28" i="1" s="1"/>
  <c r="D29" i="1" s="1"/>
  <c r="D30" i="1" s="1"/>
  <c r="D6" i="5" s="1"/>
  <c r="D36" i="5" s="1"/>
  <c r="F36" i="5" s="1"/>
</calcChain>
</file>

<file path=xl/sharedStrings.xml><?xml version="1.0" encoding="utf-8"?>
<sst xmlns="http://schemas.openxmlformats.org/spreadsheetml/2006/main" count="754" uniqueCount="443">
  <si>
    <t xml:space="preserve"> REKAPITULASI RENCANA ANGGARAN BIAYA </t>
  </si>
  <si>
    <t>PEMILIK PROYEK</t>
  </si>
  <si>
    <t>: IBU LESTARI</t>
  </si>
  <si>
    <t>PROYEK</t>
  </si>
  <si>
    <t>: RUMAH TINGGAL 3 LANTAI</t>
  </si>
  <si>
    <t>LOKASI</t>
  </si>
  <si>
    <t>: CLUSTER MISSISSIPPI TE5 NO 8  KOWIS</t>
  </si>
  <si>
    <t xml:space="preserve">TYPE   </t>
  </si>
  <si>
    <t>:</t>
  </si>
  <si>
    <t>NO</t>
  </si>
  <si>
    <t>URAIAN  PEKERJAAN</t>
  </si>
  <si>
    <t>TOTAL HARGA</t>
  </si>
  <si>
    <t>I</t>
  </si>
  <si>
    <t>III</t>
  </si>
  <si>
    <t xml:space="preserve">PEKERJAAN PEMBANGUNAN KONSTRUKSI </t>
  </si>
  <si>
    <t>A</t>
  </si>
  <si>
    <t>PEKERJAAN PERSIAPAN</t>
  </si>
  <si>
    <t>B</t>
  </si>
  <si>
    <t xml:space="preserve">PEKERJAAN PONDASI </t>
  </si>
  <si>
    <t>C</t>
  </si>
  <si>
    <t>PEKERJAAN STRUKTUR</t>
  </si>
  <si>
    <t>D</t>
  </si>
  <si>
    <t>PEKERJAAN DINDING</t>
  </si>
  <si>
    <t>E</t>
  </si>
  <si>
    <t>PEKERJAAN PELAPIS DINDING</t>
  </si>
  <si>
    <t>F</t>
  </si>
  <si>
    <t>PEKERJAAN ATAP</t>
  </si>
  <si>
    <t>G</t>
  </si>
  <si>
    <t>PEKERJAAN PLAFOND</t>
  </si>
  <si>
    <t>H</t>
  </si>
  <si>
    <t>PEKERJAAN LANTAI</t>
  </si>
  <si>
    <t>PEKERJAAN KUSEN, PINTU &amp; JENDELA</t>
  </si>
  <si>
    <t>J</t>
  </si>
  <si>
    <t>PEKERJAAN KUNCI EX.DEKKSON</t>
  </si>
  <si>
    <t>K</t>
  </si>
  <si>
    <t>PEKERJAAN PENGECATAN</t>
  </si>
  <si>
    <t>L</t>
  </si>
  <si>
    <t>PEKERJAAN FINISHING TANGGA</t>
  </si>
  <si>
    <t>M</t>
  </si>
  <si>
    <t>PEKERJAAN INSTALASI AIR</t>
  </si>
  <si>
    <t>N</t>
  </si>
  <si>
    <t>PEKERJAAN INSTALASI LISTRIK</t>
  </si>
  <si>
    <t>O</t>
  </si>
  <si>
    <t>PEKERJAAN ACCESSORIS  SANITAIR</t>
  </si>
  <si>
    <t>P</t>
  </si>
  <si>
    <t xml:space="preserve">PEKERJAAN  PAGAR &amp; CANOPY </t>
  </si>
  <si>
    <t>Q</t>
  </si>
  <si>
    <t>PEKERJAAN PASANG PENANGKAL PETIR 2 TOMBAK</t>
  </si>
  <si>
    <t xml:space="preserve">SUB TOTAL </t>
  </si>
  <si>
    <t>JASA KONTRAKTOR</t>
  </si>
  <si>
    <t xml:space="preserve">TOTAL </t>
  </si>
  <si>
    <t>Dibulatkan</t>
  </si>
  <si>
    <t>Cibubur 23 Februari 2025</t>
  </si>
  <si>
    <t xml:space="preserve">Disetujui </t>
  </si>
  <si>
    <t>Ir. Supriyanto</t>
  </si>
  <si>
    <t>IBU LESTARI</t>
  </si>
  <si>
    <t xml:space="preserve">  RENCANA ANGGARAN BIAYA </t>
  </si>
  <si>
    <t>URAIAN RINGKAS</t>
  </si>
  <si>
    <t>SAT.</t>
  </si>
  <si>
    <t xml:space="preserve">VOL </t>
  </si>
  <si>
    <t>HARGA SAT.</t>
  </si>
  <si>
    <t>Rp</t>
  </si>
  <si>
    <t>m2</t>
  </si>
  <si>
    <t>Unit</t>
  </si>
  <si>
    <t xml:space="preserve">Direksi Keet &amp; Gudang </t>
  </si>
  <si>
    <t>Rabat Beton, Seng, Triplek</t>
  </si>
  <si>
    <t>1s</t>
  </si>
  <si>
    <t>Pas. Bouwplank</t>
  </si>
  <si>
    <t>Kayu Borneo</t>
  </si>
  <si>
    <t>m1</t>
  </si>
  <si>
    <t>Pembersihan</t>
  </si>
  <si>
    <t xml:space="preserve">Di Dalam Kavling </t>
  </si>
  <si>
    <t>Air Kerja dan Listrik Kerja</t>
  </si>
  <si>
    <t xml:space="preserve">Selama Kerja </t>
  </si>
  <si>
    <t>Keamanan</t>
  </si>
  <si>
    <t>Sub Total A</t>
  </si>
  <si>
    <t>Galian Tanah</t>
  </si>
  <si>
    <t>m3</t>
  </si>
  <si>
    <t xml:space="preserve">Pemadatan tanah dasar pondasi </t>
  </si>
  <si>
    <t>Dengan stamper</t>
  </si>
  <si>
    <t>Urug Pasir Bawah Pondasi</t>
  </si>
  <si>
    <t>Pasir Urug Darat / t = 10 cm</t>
  </si>
  <si>
    <t>Lt kerja t=5cm dibwh pondasi plat &amp; sloof gantung</t>
  </si>
  <si>
    <t>Pondasi Bor pile</t>
  </si>
  <si>
    <t xml:space="preserve"> Ø 30 Cm  Pj 4 m</t>
  </si>
  <si>
    <t>Bh</t>
  </si>
  <si>
    <t>Sloof/Tie Beam</t>
  </si>
  <si>
    <t>15/30 ( Besi 6 D 13 )</t>
  </si>
  <si>
    <t>Site Mix K-225</t>
  </si>
  <si>
    <t>Pondasi Pile Cap</t>
  </si>
  <si>
    <t xml:space="preserve">D13-150  50x50x50 </t>
  </si>
  <si>
    <t>Urugan Tanah Kembali</t>
  </si>
  <si>
    <t>Padat Dengan Stamper Mesin</t>
  </si>
  <si>
    <t>Pas.Rollag</t>
  </si>
  <si>
    <t>Tinggi =40 Cm</t>
  </si>
  <si>
    <t>Sub Total B</t>
  </si>
  <si>
    <t>Kolom Struktur</t>
  </si>
  <si>
    <t>Kolom  K1 15x40 Cm</t>
  </si>
  <si>
    <t>Besi 8 Ø 13 mm</t>
  </si>
  <si>
    <t>Kolom Praktis 12x12 Cm</t>
  </si>
  <si>
    <t>Besi 4 Ø 8 mm</t>
  </si>
  <si>
    <t>Balok Lantai Atas</t>
  </si>
  <si>
    <t xml:space="preserve">Balok Lantai 2 B1 20x35 Cm </t>
  </si>
  <si>
    <t>Besi 7 Ø 13mm</t>
  </si>
  <si>
    <t>Redy Mix K225</t>
  </si>
  <si>
    <t>Ring Balk 15/20 Cm</t>
  </si>
  <si>
    <t>Besi 4 Ø 13mm</t>
  </si>
  <si>
    <t>Pelat Lantai Atas t= 12 cm</t>
  </si>
  <si>
    <t>Besi Ø 8-150 mm</t>
  </si>
  <si>
    <t>Beton Tangga Utama</t>
  </si>
  <si>
    <t>Dak Talang t=10 cm</t>
  </si>
  <si>
    <t xml:space="preserve">Canopy &amp; Konsol Jendela ( Lurus &amp; lengkung )  diprofil+finishing  </t>
  </si>
  <si>
    <t>Meja Beton Dapur</t>
  </si>
  <si>
    <t>Balok Kongleong /Latai di atas Kusen</t>
  </si>
  <si>
    <t>Sub Total C</t>
  </si>
  <si>
    <t>Pas Bata 1 : 5</t>
  </si>
  <si>
    <t>1 Pc : 5 Psr / Bata Press Ex Kuo Shin</t>
  </si>
  <si>
    <t>Pas.Roster</t>
  </si>
  <si>
    <t>Roster semen 20x20 cm</t>
  </si>
  <si>
    <t>Sub Total D</t>
  </si>
  <si>
    <t xml:space="preserve">Plester Dinding </t>
  </si>
  <si>
    <t>1 Pc : 5 Psr &amp; 1 Pc : 3 Psr</t>
  </si>
  <si>
    <t>Aci Dinding</t>
  </si>
  <si>
    <t>Mortar Utama/Setara</t>
  </si>
  <si>
    <t>Ornamen tampak depan</t>
  </si>
  <si>
    <t>Inclut penebalan,profil plester,tali airnet,Batu Travertine</t>
  </si>
  <si>
    <t>ls</t>
  </si>
  <si>
    <t>Opening Pintu &amp; Jendela</t>
  </si>
  <si>
    <t>Pas Keramik Dinding</t>
  </si>
  <si>
    <t>a</t>
  </si>
  <si>
    <t>Lantai  1</t>
  </si>
  <si>
    <t xml:space="preserve">KM/WC Tamu </t>
  </si>
  <si>
    <t>Granit Grayton Ivory Matt Ex Valentino  30X60 CM</t>
  </si>
  <si>
    <t>KM/WC Pembantu</t>
  </si>
  <si>
    <t>Granit HT Topez BeigeEx Valentino  60X60 CM</t>
  </si>
  <si>
    <t>Dinding Dapur</t>
  </si>
  <si>
    <t>Granit Ex Valentino  60X60 CM</t>
  </si>
  <si>
    <t>Meja  Dapur</t>
  </si>
  <si>
    <t>b</t>
  </si>
  <si>
    <t>Lantai 2</t>
  </si>
  <si>
    <t xml:space="preserve">KM/WC Utama </t>
  </si>
  <si>
    <t>Granit HT  Traventine Grey  Ex Valentino  60X60 CM</t>
  </si>
  <si>
    <t>KM/WC Anak   Dominan</t>
  </si>
  <si>
    <t>Granit HT Tropez Grey Ex Valentino  30X60 CM</t>
  </si>
  <si>
    <t>Aksen</t>
  </si>
  <si>
    <t>Granit HT Tirso Bianco Mett Ex Valentino  30X60 CM</t>
  </si>
  <si>
    <t>Sub Total E</t>
  </si>
  <si>
    <r>
      <t xml:space="preserve">Kuda-kuda &amp; Gording </t>
    </r>
    <r>
      <rPr>
        <b/>
        <sz val="12"/>
        <color indexed="8"/>
        <rFont val="Arial Narrow"/>
        <family val="2"/>
      </rPr>
      <t xml:space="preserve">STEELFAST </t>
    </r>
  </si>
  <si>
    <t xml:space="preserve">Baja Ringan CNP 75 </t>
  </si>
  <si>
    <t>Pasang Genteng</t>
  </si>
  <si>
    <t xml:space="preserve">ex Cisangkan </t>
  </si>
  <si>
    <r>
      <t xml:space="preserve">Pasang Genteng Nok </t>
    </r>
    <r>
      <rPr>
        <b/>
        <sz val="12"/>
        <color indexed="8"/>
        <rFont val="Arial Narrow"/>
        <family val="2"/>
      </rPr>
      <t xml:space="preserve">(Termasuk ujung &amp; 3 arah) </t>
    </r>
  </si>
  <si>
    <r>
      <t xml:space="preserve">Flashing Engineering </t>
    </r>
    <r>
      <rPr>
        <b/>
        <sz val="12"/>
        <color indexed="8"/>
        <rFont val="Arial Narrow"/>
        <family val="2"/>
      </rPr>
      <t>(berbatasan dengan tembok miring)</t>
    </r>
  </si>
  <si>
    <r>
      <t xml:space="preserve">Flashing Engineering </t>
    </r>
    <r>
      <rPr>
        <b/>
        <sz val="12"/>
        <color indexed="8"/>
        <rFont val="Arial Narrow"/>
        <family val="2"/>
      </rPr>
      <t>(berbatasan dengan tembok datar)</t>
    </r>
  </si>
  <si>
    <r>
      <t xml:space="preserve">Lisplank Wood Plank 2 susun </t>
    </r>
    <r>
      <rPr>
        <b/>
        <sz val="12"/>
        <color indexed="8"/>
        <rFont val="Arial Narrow"/>
        <family val="2"/>
      </rPr>
      <t>(Bahan saja, Upah pasang Incl kuda-kuda)</t>
    </r>
  </si>
  <si>
    <t xml:space="preserve">Lisplank Beton </t>
  </si>
  <si>
    <r>
      <t xml:space="preserve">Lapisan Atap Al-Foil </t>
    </r>
    <r>
      <rPr>
        <b/>
        <sz val="12"/>
        <color indexed="8"/>
        <rFont val="Arial Narrow"/>
        <family val="2"/>
      </rPr>
      <t>(Bahan saja, Upah pasang Incl kuda-kuda)</t>
    </r>
  </si>
  <si>
    <t>Ex.MultiFoil</t>
  </si>
  <si>
    <t>Water Proofing</t>
  </si>
  <si>
    <t>Ditutup Plester + Aci</t>
  </si>
  <si>
    <t xml:space="preserve">   Water Proofing Dak Beton</t>
  </si>
  <si>
    <r>
      <t xml:space="preserve">Ex.Sika + </t>
    </r>
    <r>
      <rPr>
        <b/>
        <sz val="12"/>
        <color indexed="8"/>
        <rFont val="Arial Narrow"/>
        <family val="2"/>
      </rPr>
      <t>Sreed 3 cm</t>
    </r>
  </si>
  <si>
    <t>Sub Total F</t>
  </si>
  <si>
    <t>Rangka Plafond Ceiling Batten + Plafond Gypsum 9 mm</t>
  </si>
  <si>
    <t xml:space="preserve">Ceiling batten ex Jayaboard </t>
  </si>
  <si>
    <t>Lantai Dasar</t>
  </si>
  <si>
    <t xml:space="preserve">List Plafond </t>
  </si>
  <si>
    <t>List Type 4</t>
  </si>
  <si>
    <t xml:space="preserve">List Profil Gypsum 7 x 10 cm </t>
  </si>
  <si>
    <t>List Type 5</t>
  </si>
  <si>
    <t xml:space="preserve">List Profil Gypsum 5x5  cm </t>
  </si>
  <si>
    <t>Plafond Beton Exposed</t>
  </si>
  <si>
    <t>Plafond Beton Expost( Incl Tali air)</t>
  </si>
  <si>
    <t>Man hole + Tutup</t>
  </si>
  <si>
    <t>Manhole Gypsum 60x60</t>
  </si>
  <si>
    <t>bh</t>
  </si>
  <si>
    <t>Plafond Gypsum Water Resistent+Rangka</t>
  </si>
  <si>
    <t>Lantai dasar &amp; atas</t>
  </si>
  <si>
    <t>Cove( Untuk Gorden) &amp; Drop Cilling</t>
  </si>
  <si>
    <t>Sub Total G</t>
  </si>
  <si>
    <t>Pemadatan Tanah Lantai Dasar</t>
  </si>
  <si>
    <t>Dgn Stamper Machine</t>
  </si>
  <si>
    <t>Urugan Pasir t = 5 cm</t>
  </si>
  <si>
    <t>Pasir Urug Darat</t>
  </si>
  <si>
    <t>Pekerjaan Plint Lantai 1 ( Incl tali air)</t>
  </si>
  <si>
    <t xml:space="preserve"> </t>
  </si>
  <si>
    <t>Ruang Utama.R.Tidur</t>
  </si>
  <si>
    <t>Granit HT Shiro Binco matt Ex Valentino  10X80 CM</t>
  </si>
  <si>
    <t>Ruang Pembantu</t>
  </si>
  <si>
    <t>Granit HT  Clasic Ivory  Ex Valentino 10X60 CM</t>
  </si>
  <si>
    <t>Pekerjaan Plint Lantai 2( Incl Tali air)</t>
  </si>
  <si>
    <t xml:space="preserve">Hall,ruang tidur anak </t>
  </si>
  <si>
    <t xml:space="preserve">Mezanin /WC </t>
  </si>
  <si>
    <t>Granit HT New Norway White  Ex Valentino 10 X60 CM</t>
  </si>
  <si>
    <t>Pekerjaan Plint Lantai 3( Incl Tali air)</t>
  </si>
  <si>
    <t xml:space="preserve">K.Tidur Utama </t>
  </si>
  <si>
    <t>Granit HT Virginia Brown  Ex Valentino 10X80 CM</t>
  </si>
  <si>
    <t>Pekerjaan Carport</t>
  </si>
  <si>
    <t xml:space="preserve">Finishing Lantai </t>
  </si>
  <si>
    <t>Granit HT Robson Grafite Ex Valentino  60X60 CM</t>
  </si>
  <si>
    <t xml:space="preserve">Pekrjaan Innert </t>
  </si>
  <si>
    <t>Paving Blok</t>
  </si>
  <si>
    <t>Ex. Cisangkan</t>
  </si>
  <si>
    <t xml:space="preserve">Water Profing KM/WC </t>
  </si>
  <si>
    <t>Sika Top</t>
  </si>
  <si>
    <t>Pekerjaan Finishing Lantai 1</t>
  </si>
  <si>
    <t xml:space="preserve">Keramik Teras  Depan </t>
  </si>
  <si>
    <t>Granit HT Montreal Light Grey  Ex Valentino 30X60 CM</t>
  </si>
  <si>
    <t>Keramik Teras ,Samping</t>
  </si>
  <si>
    <t>Granit HT New Norway White  Ex Valentino 150 X60 CM</t>
  </si>
  <si>
    <t>c</t>
  </si>
  <si>
    <t>( R.Tamu,R.Makan/R.Keluarga)</t>
  </si>
  <si>
    <t>Granit HT Virginia Brown  Ex Valentino 80X80 CM</t>
  </si>
  <si>
    <t>d</t>
  </si>
  <si>
    <t>Granit HT Bulgary Grey  Ex Valentino 60X60 CM</t>
  </si>
  <si>
    <t>e</t>
  </si>
  <si>
    <t>Granit HT  Tropez Cemento Ex Valentino 60X60 CM</t>
  </si>
  <si>
    <t>f</t>
  </si>
  <si>
    <t>Granit HT  Clasic Ivory  Ex Valentino 60X60 CM</t>
  </si>
  <si>
    <t>g</t>
  </si>
  <si>
    <t>Tempat cuci,dak Jemur dapur Kotor Linen</t>
  </si>
  <si>
    <t>Pekerjaan Finishing Lantai 2</t>
  </si>
  <si>
    <t>KM/WC Utama</t>
  </si>
  <si>
    <t>Granit HT Bulgary Grey Ex Valentino 60X60 CM</t>
  </si>
  <si>
    <t xml:space="preserve">Lantai Shower </t>
  </si>
  <si>
    <t>Granit HT Robson Cenere  Ex Valentino 60X60 CM</t>
  </si>
  <si>
    <t>KM/WC  Anak  1</t>
  </si>
  <si>
    <t xml:space="preserve">Hall,ruang Tidur Anak </t>
  </si>
  <si>
    <t>WC</t>
  </si>
  <si>
    <t>Pekerjaan Finishing Lantai 3</t>
  </si>
  <si>
    <t>K.Tidur Utama</t>
  </si>
  <si>
    <t>Balkon</t>
  </si>
  <si>
    <t>Floor Lantai Dasar t = 5 cm</t>
  </si>
  <si>
    <t>1 Pc : 3 Psr : 5 Krl</t>
  </si>
  <si>
    <t>Steping Beton</t>
  </si>
  <si>
    <t>Incl R. Jemur</t>
  </si>
  <si>
    <t>Sub Total H</t>
  </si>
  <si>
    <t>Pintu Utama PJU</t>
  </si>
  <si>
    <t>Ruang Tamu</t>
  </si>
  <si>
    <t>Kusen Kayu , Pintu Kayu Solid</t>
  </si>
  <si>
    <t>Pintu  P1</t>
  </si>
  <si>
    <t>K.tidur Utama,Anak 1 ,Anak 2,Tamu</t>
  </si>
  <si>
    <t>Kusen Kayu , Pintu Kayu Multiplex</t>
  </si>
  <si>
    <t>Pintu  P2</t>
  </si>
  <si>
    <t>KM/WC Utama Anak, Tamu</t>
  </si>
  <si>
    <t>Pintu  P3</t>
  </si>
  <si>
    <t>Dapur  Sliding</t>
  </si>
  <si>
    <t xml:space="preserve">Pintu P4 </t>
  </si>
  <si>
    <t>Pintu Kaca Teras Samping</t>
  </si>
  <si>
    <t>Kusen Aluminium Pintu Kaca 6 mm</t>
  </si>
  <si>
    <t xml:space="preserve">Pintu PJ3 </t>
  </si>
  <si>
    <t>Balkon K.Tidur Utama</t>
  </si>
  <si>
    <t xml:space="preserve">Kusen Aluminium Pintu Jendela Kaca </t>
  </si>
  <si>
    <t>Pintu PJ6</t>
  </si>
  <si>
    <t>Balkon R.Keluarga Lt 2</t>
  </si>
  <si>
    <t>K.Tidur ART</t>
  </si>
  <si>
    <t xml:space="preserve">Kusen Aluminium Pintu Kayu Jendela Kaca </t>
  </si>
  <si>
    <t>Pintu R.Service</t>
  </si>
  <si>
    <t xml:space="preserve">Kusen Aluminium Pintu Kaca </t>
  </si>
  <si>
    <t>Pintu KM ART</t>
  </si>
  <si>
    <t>Kusen Aluminium Pintu ACP</t>
  </si>
  <si>
    <t xml:space="preserve">Jendela  R.Keluarga Bawah </t>
  </si>
  <si>
    <t>Kusen Aluminium Jendela Kaca  5 mm</t>
  </si>
  <si>
    <t>Pintu T.Cuci,Jemur P6</t>
  </si>
  <si>
    <t>Kusen Besi Tralis</t>
  </si>
  <si>
    <t xml:space="preserve">Jendela K.Tidur Tamu J1 </t>
  </si>
  <si>
    <t>Jendela K.Tidur Anak 1 J2</t>
  </si>
  <si>
    <t>Jendela K.Tidur Anak 3 J3</t>
  </si>
  <si>
    <t>Jendela  Tangga</t>
  </si>
  <si>
    <t>Jendela K.Tidur Utama 1J6</t>
  </si>
  <si>
    <t>Jendela PV</t>
  </si>
  <si>
    <t>Kusen Aluminium Jendela Kaca  Es</t>
  </si>
  <si>
    <t>Sub Total I</t>
  </si>
  <si>
    <t>Y</t>
  </si>
  <si>
    <t>KUNCI PINTU UTAMA</t>
  </si>
  <si>
    <t xml:space="preserve">Smart lock </t>
  </si>
  <si>
    <t>KUNCI PINTU K.TIDUR,KM/WC,R.T.PEMBANTU</t>
  </si>
  <si>
    <t>Handle LHTR 0805 SSS* Ex Dekkson</t>
  </si>
  <si>
    <t>KUNCI KM/WC ANAK ,UTAMA ,TAMU</t>
  </si>
  <si>
    <t>KUNCI PINTU GESER</t>
  </si>
  <si>
    <t>Pull Piate PP 015 SQ 115 MM SSS Ex. Dekkson</t>
  </si>
  <si>
    <t>Sub Total J</t>
  </si>
  <si>
    <t>Cat Dinding Dalam</t>
  </si>
  <si>
    <t>Cat Interior Ex  Jotaplast</t>
  </si>
  <si>
    <t>Cat Dinding Luar</t>
  </si>
  <si>
    <t>Cat Exterior Ex.Jotashleld</t>
  </si>
  <si>
    <r>
      <t xml:space="preserve">Cat Listplank </t>
    </r>
    <r>
      <rPr>
        <b/>
        <sz val="12"/>
        <color indexed="8"/>
        <rFont val="Arial Narrow"/>
        <family val="2"/>
      </rPr>
      <t>Wood Plank 2 susun</t>
    </r>
  </si>
  <si>
    <t>Cat Tembok Ex Mowilex Type  Weathercoat ( lihat spek )</t>
  </si>
  <si>
    <t>Cat Plafond Gypsum &amp; List Gypsum</t>
  </si>
  <si>
    <t>Cat Plafond Beton Exposed</t>
  </si>
  <si>
    <t>Sub Total K</t>
  </si>
  <si>
    <t>Railing Tangga Utama + Void</t>
  </si>
  <si>
    <t>Ralling Besi+Toping ( Hand Rall)Kayu di Cat</t>
  </si>
  <si>
    <t>Relling Balkon</t>
  </si>
  <si>
    <t>Dalling Stainless + Kaca Temperd + Toping Kayu di cat</t>
  </si>
  <si>
    <t>Pelapis Bordes (Incl Trap)</t>
  </si>
  <si>
    <t>Granit HT Shiro Binco matt Ex Valentino  80X80 CM</t>
  </si>
  <si>
    <t xml:space="preserve">Pelapis Bordes </t>
  </si>
  <si>
    <t>Granit HT Shiro Virgia brown Ex Valentino  80X80 CM</t>
  </si>
  <si>
    <t>Sub Total L</t>
  </si>
  <si>
    <t>Instalasi Air Bersih</t>
  </si>
  <si>
    <t>PVC 3/4" Type AW - Ex PRALON</t>
  </si>
  <si>
    <t>PVC 1/2" Type AW - Ex PRALON</t>
  </si>
  <si>
    <t xml:space="preserve">Instalasi Air Panas </t>
  </si>
  <si>
    <t>Pipa GIP 1/2"lapis Al.foil + glass wool</t>
  </si>
  <si>
    <t>Instalasi Air Kotor u/ Wastafel</t>
  </si>
  <si>
    <t>PVC 1¼" Type AW - Ex PRALON</t>
  </si>
  <si>
    <r>
      <t xml:space="preserve">Instalasi Air Kotor </t>
    </r>
    <r>
      <rPr>
        <b/>
        <sz val="12"/>
        <color indexed="8"/>
        <rFont val="Arial Narrow"/>
        <family val="2"/>
      </rPr>
      <t>(Utk semua pipa dibawah tanah)</t>
    </r>
  </si>
  <si>
    <t>PVC 4" Type D - Ex PRALON</t>
  </si>
  <si>
    <t>Instalasi Air Kotor</t>
  </si>
  <si>
    <t>PVC 3" Type D - Ex PRALON</t>
  </si>
  <si>
    <t>PVC 6" Type D - Ex PRALON</t>
  </si>
  <si>
    <t>Instalasi Pembuangan AC</t>
  </si>
  <si>
    <t>Bak Kontrol 40 x 40 cm</t>
  </si>
  <si>
    <t>Pas.Bata, Terbuka + Tutup Plat Beton</t>
  </si>
  <si>
    <t>Pas.Bata  + Grill Plat Strip</t>
  </si>
  <si>
    <t>Septictank &amp; Rembesan</t>
  </si>
  <si>
    <t>Ex.Biotect Filter 1500 Lt Kapasitas 4-5 Org</t>
  </si>
  <si>
    <t>unit</t>
  </si>
  <si>
    <t>Sumur Resapan</t>
  </si>
  <si>
    <t>Sub Total M</t>
  </si>
  <si>
    <t>Aksesores Listrik Ex,BOSS</t>
  </si>
  <si>
    <t>Titik Lampu</t>
  </si>
  <si>
    <t>NYM 2X2½ mm Eterna + Pipa PVC</t>
  </si>
  <si>
    <t>ttk</t>
  </si>
  <si>
    <t>Saklar Single</t>
  </si>
  <si>
    <t>Ex. Clipsal</t>
  </si>
  <si>
    <t>Saklar Double</t>
  </si>
  <si>
    <t>Saklar Hotel</t>
  </si>
  <si>
    <t>Inst. Stop Kontak</t>
  </si>
  <si>
    <t>NYM 3X2½ mm Eterna + Pipa PVC</t>
  </si>
  <si>
    <t>Stop Kontak</t>
  </si>
  <si>
    <t>Instalasi TV</t>
  </si>
  <si>
    <t>Outlet Merten + Pipa PVC</t>
  </si>
  <si>
    <t>Instalasi Telephone</t>
  </si>
  <si>
    <t>Outlet Merten + Pipa PVC 1/2" &amp; 3/4" AW ex Lucky + kabel ex Yuri 4x0.6 mm</t>
  </si>
  <si>
    <t>Fitting Titik Lampu Plafond</t>
  </si>
  <si>
    <t>Broco New Line</t>
  </si>
  <si>
    <t>Armatur Down Light (Tanpa bola lampu)</t>
  </si>
  <si>
    <t>Box Sikring</t>
  </si>
  <si>
    <t>8 Group + MCB (jumlah sesuai dengan diagram wearing)  Ex Hager</t>
  </si>
  <si>
    <t>Kabel Toevoer</t>
  </si>
  <si>
    <t>NYY 4 X 10 mm + Pipa PVC + GIP u/ sparing meteran</t>
  </si>
  <si>
    <t>Arde Pentanahan</t>
  </si>
  <si>
    <t>Maksimum 2 ohm, Kabel BC 6 mm + Gip Ø ½"</t>
  </si>
  <si>
    <r>
      <t xml:space="preserve">Stop Kontak Water Heater </t>
    </r>
    <r>
      <rPr>
        <b/>
        <sz val="12"/>
        <color indexed="8"/>
        <rFont val="Arial Narrow"/>
        <family val="2"/>
      </rPr>
      <t>(Semua KM/WC)</t>
    </r>
  </si>
  <si>
    <t>MK + Fitting</t>
  </si>
  <si>
    <r>
      <t>Stop Kontak AC</t>
    </r>
    <r>
      <rPr>
        <b/>
        <sz val="12"/>
        <color indexed="8"/>
        <rFont val="Arial Narrow"/>
        <family val="2"/>
      </rPr>
      <t xml:space="preserve"> + Drain (Semua R Tidur)</t>
    </r>
  </si>
  <si>
    <t>Inbow Dus+ PVC Ø 1/2 "</t>
  </si>
  <si>
    <r>
      <t>Inst Lampu Taman+</t>
    </r>
    <r>
      <rPr>
        <b/>
        <sz val="12"/>
        <color indexed="8"/>
        <rFont val="Arial Narrow"/>
        <family val="2"/>
      </rPr>
      <t>dudukan beton+Lampu taman</t>
    </r>
  </si>
  <si>
    <t xml:space="preserve">NYFGB 2x2.5 mm + Pipa PVC </t>
  </si>
  <si>
    <t>Sparing Kabel ke KTB</t>
  </si>
  <si>
    <t>Box Meter KWH</t>
  </si>
  <si>
    <t>Ducting</t>
  </si>
  <si>
    <t>Outlet Modem Internet</t>
  </si>
  <si>
    <t>Sub Total N</t>
  </si>
  <si>
    <t>PEKERJAAN ACCESS SANITAIR</t>
  </si>
  <si>
    <t>EX,AMSTAD</t>
  </si>
  <si>
    <t xml:space="preserve">Monoblok KM/WC Tamu </t>
  </si>
  <si>
    <t>Newton + Resor Smart Washer- Ex.Amtad</t>
  </si>
  <si>
    <t>Monoblok KM/WC Anak 1</t>
  </si>
  <si>
    <t>Newton Dual Flash CCST  -Ex. Amstad</t>
  </si>
  <si>
    <t>Monoblok KM/WC Utama</t>
  </si>
  <si>
    <t>Neo Modernt CCST  Toilet -- EX.Amstad</t>
  </si>
  <si>
    <t xml:space="preserve">Kran Shower </t>
  </si>
  <si>
    <t>Utama,Anak,tamu</t>
  </si>
  <si>
    <t>Toto</t>
  </si>
  <si>
    <t xml:space="preserve">Shower Jet </t>
  </si>
  <si>
    <t>TP 404 Jet Washer Chrome -  Ex. Amstard</t>
  </si>
  <si>
    <t xml:space="preserve">Wastafel  </t>
  </si>
  <si>
    <t>Tamu &amp; Anak</t>
  </si>
  <si>
    <t>New Modernt W/ - Ex,Amstard</t>
  </si>
  <si>
    <t>Kran Wastafel</t>
  </si>
  <si>
    <t>TP2121 CD Lavatory  Ex.Amstard</t>
  </si>
  <si>
    <t>Utama</t>
  </si>
  <si>
    <t xml:space="preserve">NewCodie Round WallHong </t>
  </si>
  <si>
    <t>Floor Drain (KM/WC,Balkon,Jemur)</t>
  </si>
  <si>
    <t>IN 23 Floor Drain Square - Ex.Amstard</t>
  </si>
  <si>
    <t>Kran Dapur</t>
  </si>
  <si>
    <t>My Winston Wall Mount Kichen -Ex.Amtad</t>
  </si>
  <si>
    <t>Kran Carport &amp; Taman</t>
  </si>
  <si>
    <t>Gardent Tap With Rossete Adaptor -Ex.Amtad</t>
  </si>
  <si>
    <t>Soap Holder</t>
  </si>
  <si>
    <t>S 1556 Comer Soap Holder -Ex.Amtad</t>
  </si>
  <si>
    <t>Kaca Showr Screen KM/WC Utama</t>
  </si>
  <si>
    <t>Kaca Temperd + Pintu</t>
  </si>
  <si>
    <t>Closed Jokngkok</t>
  </si>
  <si>
    <t>Kran Shower dingin</t>
  </si>
  <si>
    <t>Sub Total O</t>
  </si>
  <si>
    <t>PEKERJAAN PAGAR &amp; CANOPY</t>
  </si>
  <si>
    <t>Canopy Carport</t>
  </si>
  <si>
    <t xml:space="preserve">Rangka Besi Hollow 5x10 cm </t>
  </si>
  <si>
    <t>Penutup Alderon</t>
  </si>
  <si>
    <t>Canopy T.Cuci Jemur</t>
  </si>
  <si>
    <t>Canopy Balkon Mezanin</t>
  </si>
  <si>
    <t>Canopy Balkon K.Tidur Utama</t>
  </si>
  <si>
    <t>15/30  ( Besi 6 D 13 )</t>
  </si>
  <si>
    <t>Sit Mix K-225</t>
  </si>
  <si>
    <t xml:space="preserve">Lantai dasar </t>
  </si>
  <si>
    <t>Sub Total P</t>
  </si>
  <si>
    <t>Paket penangkal Petir  4 AIP</t>
  </si>
  <si>
    <t>Tombak  2  bh</t>
  </si>
  <si>
    <t>Paket</t>
  </si>
  <si>
    <t xml:space="preserve">Kabel 60 m </t>
  </si>
  <si>
    <t>BC 55 m</t>
  </si>
  <si>
    <t>Paralon</t>
  </si>
  <si>
    <t xml:space="preserve">pipa Plalon 5/8 </t>
  </si>
  <si>
    <t>Bt</t>
  </si>
  <si>
    <t>Bor tanah dan Grounding</t>
  </si>
  <si>
    <t>Dalam 12 m</t>
  </si>
  <si>
    <t>Set</t>
  </si>
  <si>
    <t>Sub Total Q</t>
  </si>
  <si>
    <t xml:space="preserve">LAPORAN POSISI KEUANGAN </t>
  </si>
  <si>
    <t>TANGGAL</t>
  </si>
  <si>
    <t>KETERANGAN</t>
  </si>
  <si>
    <t xml:space="preserve">BUDGET </t>
  </si>
  <si>
    <t>TERIMA</t>
  </si>
  <si>
    <t>SALDO</t>
  </si>
  <si>
    <t xml:space="preserve">BIAYA PEMBANGUNAN RUMAH </t>
  </si>
  <si>
    <t>TOTAL</t>
  </si>
  <si>
    <t>PEKERJAAN   RUMAH MISSISSIPPI TE5 NO 8  KOWIS</t>
  </si>
  <si>
    <t>Kas Bon Mandor Sata  Cs</t>
  </si>
  <si>
    <t>20/8/2025</t>
  </si>
  <si>
    <t xml:space="preserve">Kas Bon </t>
  </si>
  <si>
    <t>26/7/2025</t>
  </si>
  <si>
    <t>Kas Bon mas Tikno Tk.Besi</t>
  </si>
  <si>
    <t>19/7/2025</t>
  </si>
  <si>
    <t>16/8/2025</t>
  </si>
  <si>
    <t>23/8/2027</t>
  </si>
  <si>
    <t>27/9/2025</t>
  </si>
  <si>
    <t>20/9/2025</t>
  </si>
  <si>
    <t>13/9/2025</t>
  </si>
  <si>
    <t>30/8/2025</t>
  </si>
  <si>
    <t>15/8/2025</t>
  </si>
  <si>
    <t>18/10/2025</t>
  </si>
  <si>
    <t>25/10/2025</t>
  </si>
  <si>
    <t xml:space="preserve">Bekasi  , 29 Oktober   2025  </t>
  </si>
  <si>
    <t>TUKANG +KENEK</t>
  </si>
  <si>
    <t>PER HARI</t>
  </si>
  <si>
    <t>Pasang Alderon</t>
  </si>
  <si>
    <t>Ruang Service</t>
  </si>
  <si>
    <t xml:space="preserve">TUKANG BESI </t>
  </si>
  <si>
    <t>MANDOR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</si>
</sst>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0.00000000000000000000E+00"/>
    <numFmt numFmtId="166" formatCode="_(* #,##0_);_(* \(#,##0\);_(* \-??_);_(@_)"/>
    <numFmt numFmtId="167" formatCode="_(* #,##0_);_(* \(#,##0\);_(* &quot;-&quot;??_);_(@_)"/>
    <numFmt numFmtId="168" formatCode="_(* #,##0.00_);_(* \(#,##0.00\);_(* &quot;-&quot;_);_(@_)"/>
    <numFmt numFmtId="169" formatCode="_(* #,##0.00_);_(* \(#,##0.00\);_(* \-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8"/>
      <name val="Arial Narrow"/>
      <family val="2"/>
    </font>
    <font>
      <b/>
      <i/>
      <sz val="18"/>
      <name val="Arial Narrow"/>
      <family val="2"/>
    </font>
    <font>
      <sz val="18"/>
      <name val="Arial Narrow"/>
      <family val="2"/>
    </font>
    <font>
      <b/>
      <sz val="12"/>
      <color indexed="8"/>
      <name val="Arial Narrow"/>
      <family val="2"/>
    </font>
    <font>
      <b/>
      <u/>
      <sz val="18"/>
      <color indexed="8"/>
      <name val="Arial Narrow"/>
      <family val="2"/>
    </font>
    <font>
      <b/>
      <sz val="14"/>
      <name val="Arial Narrow"/>
      <family val="2"/>
    </font>
    <font>
      <b/>
      <sz val="12"/>
      <color indexed="8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4"/>
      <color indexed="8"/>
      <name val="Arial Narrow"/>
      <family val="2"/>
    </font>
    <font>
      <b/>
      <sz val="14"/>
      <color indexed="8"/>
      <name val="Arial"/>
      <family val="2"/>
    </font>
    <font>
      <b/>
      <sz val="14"/>
      <color theme="1"/>
      <name val="Arial Narrow"/>
      <family val="2"/>
    </font>
    <font>
      <sz val="14"/>
      <color indexed="8"/>
      <name val="Arial Narrow"/>
      <family val="2"/>
    </font>
    <font>
      <sz val="14"/>
      <name val="Arial Narrow"/>
      <family val="2"/>
    </font>
    <font>
      <sz val="14"/>
      <color theme="1"/>
      <name val="Calibri"/>
      <family val="2"/>
      <scheme val="minor"/>
    </font>
    <font>
      <b/>
      <u/>
      <sz val="14"/>
      <color indexed="8"/>
      <name val="Arial Narrow"/>
      <family val="2"/>
    </font>
    <font>
      <b/>
      <i/>
      <sz val="14"/>
      <name val="Arial Narrow"/>
      <family val="2"/>
    </font>
    <font>
      <b/>
      <i/>
      <sz val="16"/>
      <name val="Arial Narrow"/>
      <family val="2"/>
    </font>
    <font>
      <b/>
      <sz val="11"/>
      <name val="Arial Narrow"/>
      <family val="2"/>
    </font>
    <font>
      <b/>
      <sz val="11"/>
      <color indexed="8"/>
      <name val="Arial Narrow"/>
      <family val="2"/>
    </font>
    <font>
      <b/>
      <sz val="11"/>
      <color indexed="8"/>
      <name val="Arial"/>
      <family val="2"/>
    </font>
    <font>
      <sz val="12"/>
      <color theme="1"/>
      <name val="Arial Narrow"/>
      <family val="2"/>
    </font>
    <font>
      <sz val="12"/>
      <color indexed="8"/>
      <name val="Arial Narrow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8"/>
      </bottom>
      <diagonal/>
    </border>
    <border>
      <left style="thin">
        <color indexed="64"/>
      </left>
      <right style="thin">
        <color indexed="8"/>
      </right>
      <top/>
      <bottom style="hair">
        <color indexed="8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8"/>
      </bottom>
      <diagonal/>
    </border>
    <border>
      <left style="thin">
        <color indexed="64"/>
      </left>
      <right/>
      <top style="medium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hair">
        <color indexed="8"/>
      </bottom>
      <diagonal/>
    </border>
    <border>
      <left/>
      <right/>
      <top style="medium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7" fontId="2" fillId="0" borderId="0" applyFill="0" applyBorder="0" applyAlignment="0" applyProtection="0"/>
  </cellStyleXfs>
  <cellXfs count="253">
    <xf numFmtId="0" fontId="0" fillId="0" borderId="0" xfId="0"/>
    <xf numFmtId="43" fontId="3" fillId="0" borderId="0" xfId="3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0" fontId="6" fillId="0" borderId="0" xfId="4" applyNumberFormat="1" applyFont="1" applyAlignment="1">
      <alignment vertical="center"/>
    </xf>
    <xf numFmtId="43" fontId="7" fillId="0" borderId="0" xfId="3" applyFont="1" applyAlignment="1">
      <alignment horizontal="left" vertical="center"/>
    </xf>
    <xf numFmtId="0" fontId="8" fillId="0" borderId="0" xfId="0" applyFont="1" applyAlignment="1">
      <alignment horizontal="left"/>
    </xf>
    <xf numFmtId="4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left"/>
    </xf>
    <xf numFmtId="4" fontId="15" fillId="0" borderId="12" xfId="0" applyNumberFormat="1" applyFont="1" applyBorder="1" applyAlignment="1">
      <alignment vertical="center"/>
    </xf>
    <xf numFmtId="164" fontId="15" fillId="0" borderId="13" xfId="2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4" fontId="15" fillId="0" borderId="15" xfId="0" applyNumberFormat="1" applyFont="1" applyBorder="1" applyAlignment="1">
      <alignment vertical="center"/>
    </xf>
    <xf numFmtId="164" fontId="13" fillId="0" borderId="16" xfId="2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right" vertical="center" indent="1"/>
    </xf>
    <xf numFmtId="4" fontId="15" fillId="0" borderId="15" xfId="0" applyNumberFormat="1" applyFont="1" applyBorder="1" applyAlignment="1">
      <alignment horizontal="left" vertical="center"/>
    </xf>
    <xf numFmtId="164" fontId="15" fillId="0" borderId="16" xfId="2" applyNumberFormat="1" applyFont="1" applyBorder="1" applyAlignment="1">
      <alignment vertical="center"/>
    </xf>
    <xf numFmtId="0" fontId="15" fillId="0" borderId="17" xfId="0" applyFont="1" applyBorder="1" applyAlignment="1">
      <alignment horizontal="right" vertical="center" indent="1"/>
    </xf>
    <xf numFmtId="4" fontId="15" fillId="0" borderId="18" xfId="0" applyNumberFormat="1" applyFont="1" applyBorder="1"/>
    <xf numFmtId="165" fontId="16" fillId="0" borderId="19" xfId="0" applyNumberFormat="1" applyFont="1" applyBorder="1" applyAlignment="1">
      <alignment horizontal="justify" vertical="top" wrapText="1"/>
    </xf>
    <xf numFmtId="0" fontId="16" fillId="2" borderId="21" xfId="0" applyFont="1" applyFill="1" applyBorder="1"/>
    <xf numFmtId="0" fontId="8" fillId="2" borderId="22" xfId="0" applyFont="1" applyFill="1" applyBorder="1" applyAlignment="1">
      <alignment horizontal="justify" wrapText="1"/>
    </xf>
    <xf numFmtId="166" fontId="8" fillId="2" borderId="23" xfId="0" applyNumberFormat="1" applyFont="1" applyFill="1" applyBorder="1"/>
    <xf numFmtId="164" fontId="12" fillId="0" borderId="13" xfId="2" applyNumberFormat="1" applyFont="1" applyBorder="1" applyAlignment="1">
      <alignment vertical="center"/>
    </xf>
    <xf numFmtId="0" fontId="16" fillId="2" borderId="24" xfId="0" applyFont="1" applyFill="1" applyBorder="1"/>
    <xf numFmtId="0" fontId="16" fillId="2" borderId="25" xfId="0" applyFont="1" applyFill="1" applyBorder="1" applyAlignment="1">
      <alignment horizontal="justify" wrapText="1"/>
    </xf>
    <xf numFmtId="166" fontId="16" fillId="2" borderId="26" xfId="0" applyNumberFormat="1" applyFont="1" applyFill="1" applyBorder="1"/>
    <xf numFmtId="0" fontId="16" fillId="2" borderId="27" xfId="0" applyFont="1" applyFill="1" applyBorder="1"/>
    <xf numFmtId="0" fontId="16" fillId="2" borderId="28" xfId="0" applyFont="1" applyFill="1" applyBorder="1" applyAlignment="1">
      <alignment horizontal="justify" wrapText="1"/>
    </xf>
    <xf numFmtId="166" fontId="16" fillId="2" borderId="29" xfId="0" applyNumberFormat="1" applyFont="1" applyFill="1" applyBorder="1"/>
    <xf numFmtId="0" fontId="16" fillId="2" borderId="30" xfId="0" applyFont="1" applyFill="1" applyBorder="1"/>
    <xf numFmtId="0" fontId="8" fillId="2" borderId="6" xfId="0" applyFont="1" applyFill="1" applyBorder="1" applyAlignment="1">
      <alignment horizontal="justify" wrapText="1"/>
    </xf>
    <xf numFmtId="166" fontId="16" fillId="2" borderId="31" xfId="0" applyNumberFormat="1" applyFont="1" applyFill="1" applyBorder="1"/>
    <xf numFmtId="164" fontId="8" fillId="0" borderId="8" xfId="2" applyNumberFormat="1" applyFont="1" applyBorder="1" applyAlignment="1">
      <alignment vertical="top"/>
    </xf>
    <xf numFmtId="0" fontId="16" fillId="0" borderId="0" xfId="5" applyFont="1"/>
    <xf numFmtId="164" fontId="8" fillId="2" borderId="0" xfId="2" applyNumberFormat="1" applyFont="1" applyFill="1" applyBorder="1"/>
    <xf numFmtId="0" fontId="17" fillId="0" borderId="0" xfId="0" applyFont="1"/>
    <xf numFmtId="0" fontId="18" fillId="0" borderId="0" xfId="0" applyFont="1"/>
    <xf numFmtId="0" fontId="12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67" fontId="9" fillId="0" borderId="0" xfId="1" applyNumberFormat="1" applyFont="1" applyAlignment="1">
      <alignment horizontal="center" vertical="center"/>
    </xf>
    <xf numFmtId="168" fontId="9" fillId="0" borderId="0" xfId="2" applyNumberFormat="1" applyFont="1" applyAlignment="1">
      <alignment horizontal="center" vertical="center"/>
    </xf>
    <xf numFmtId="167" fontId="6" fillId="0" borderId="0" xfId="1" applyNumberFormat="1" applyFont="1" applyAlignment="1">
      <alignment horizontal="center" vertical="center"/>
    </xf>
    <xf numFmtId="167" fontId="6" fillId="0" borderId="0" xfId="1" applyNumberFormat="1" applyFont="1" applyAlignment="1">
      <alignment vertical="center"/>
    </xf>
    <xf numFmtId="0" fontId="21" fillId="0" borderId="0" xfId="0" applyFont="1" applyAlignment="1">
      <alignment horizontal="left"/>
    </xf>
    <xf numFmtId="167" fontId="9" fillId="0" borderId="0" xfId="1" applyNumberFormat="1" applyFont="1" applyBorder="1" applyAlignment="1">
      <alignment horizontal="center" vertical="center"/>
    </xf>
    <xf numFmtId="168" fontId="9" fillId="0" borderId="0" xfId="2" applyNumberFormat="1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center" vertical="center"/>
    </xf>
    <xf numFmtId="167" fontId="6" fillId="0" borderId="0" xfId="1" applyNumberFormat="1" applyFont="1" applyBorder="1" applyAlignment="1">
      <alignment vertical="center"/>
    </xf>
    <xf numFmtId="4" fontId="22" fillId="0" borderId="32" xfId="0" applyNumberFormat="1" applyFont="1" applyBorder="1" applyAlignment="1">
      <alignment horizontal="center" vertical="center" wrapText="1"/>
    </xf>
    <xf numFmtId="4" fontId="22" fillId="0" borderId="6" xfId="0" applyNumberFormat="1" applyFont="1" applyBorder="1" applyAlignment="1">
      <alignment horizontal="center" vertical="center" wrapText="1"/>
    </xf>
    <xf numFmtId="167" fontId="25" fillId="0" borderId="35" xfId="1" applyNumberFormat="1" applyFont="1" applyBorder="1" applyAlignment="1">
      <alignment horizontal="center" vertical="center"/>
    </xf>
    <xf numFmtId="43" fontId="22" fillId="0" borderId="41" xfId="1" applyFont="1" applyBorder="1" applyAlignment="1">
      <alignment horizontal="center" vertical="center" wrapText="1"/>
    </xf>
    <xf numFmtId="41" fontId="23" fillId="0" borderId="42" xfId="2" applyFont="1" applyBorder="1" applyAlignment="1">
      <alignment horizontal="center" vertical="center" wrapText="1"/>
    </xf>
    <xf numFmtId="167" fontId="22" fillId="0" borderId="44" xfId="1" applyNumberFormat="1" applyFont="1" applyBorder="1" applyAlignment="1">
      <alignment horizontal="center" vertical="center" wrapText="1"/>
    </xf>
    <xf numFmtId="167" fontId="22" fillId="0" borderId="45" xfId="1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4" fontId="6" fillId="0" borderId="46" xfId="0" applyNumberFormat="1" applyFont="1" applyBorder="1" applyAlignment="1">
      <alignment horizontal="left" vertical="center"/>
    </xf>
    <xf numFmtId="4" fontId="6" fillId="0" borderId="47" xfId="0" applyNumberFormat="1" applyFont="1" applyBorder="1" applyAlignment="1">
      <alignment horizontal="left" vertical="center"/>
    </xf>
    <xf numFmtId="167" fontId="25" fillId="0" borderId="46" xfId="1" applyNumberFormat="1" applyFont="1" applyBorder="1" applyAlignment="1">
      <alignment horizontal="center" vertical="center"/>
    </xf>
    <xf numFmtId="167" fontId="25" fillId="0" borderId="47" xfId="1" applyNumberFormat="1" applyFont="1" applyBorder="1" applyAlignment="1">
      <alignment horizontal="center" vertical="center"/>
    </xf>
    <xf numFmtId="41" fontId="25" fillId="0" borderId="48" xfId="2" applyFont="1" applyBorder="1" applyAlignment="1">
      <alignment horizontal="center" vertical="center"/>
    </xf>
    <xf numFmtId="0" fontId="25" fillId="0" borderId="37" xfId="0" applyFont="1" applyBorder="1" applyAlignment="1">
      <alignment horizontal="left" vertical="center" indent="4"/>
    </xf>
    <xf numFmtId="4" fontId="25" fillId="0" borderId="35" xfId="0" applyNumberFormat="1" applyFont="1" applyBorder="1" applyAlignment="1">
      <alignment vertical="center"/>
    </xf>
    <xf numFmtId="4" fontId="25" fillId="0" borderId="38" xfId="0" applyNumberFormat="1" applyFont="1" applyBorder="1" applyAlignment="1">
      <alignment vertical="center"/>
    </xf>
    <xf numFmtId="43" fontId="25" fillId="0" borderId="38" xfId="1" applyFont="1" applyBorder="1" applyAlignment="1">
      <alignment horizontal="center" vertical="center"/>
    </xf>
    <xf numFmtId="41" fontId="25" fillId="0" borderId="49" xfId="2" applyFont="1" applyBorder="1" applyAlignment="1">
      <alignment horizontal="center" vertical="center"/>
    </xf>
    <xf numFmtId="0" fontId="6" fillId="0" borderId="37" xfId="0" applyFont="1" applyBorder="1" applyAlignment="1">
      <alignment vertical="center"/>
    </xf>
    <xf numFmtId="4" fontId="6" fillId="0" borderId="35" xfId="0" applyNumberFormat="1" applyFont="1" applyBorder="1" applyAlignment="1">
      <alignment vertical="center"/>
    </xf>
    <xf numFmtId="4" fontId="6" fillId="0" borderId="38" xfId="0" applyNumberFormat="1" applyFont="1" applyBorder="1" applyAlignment="1">
      <alignment horizontal="right" vertical="center"/>
    </xf>
    <xf numFmtId="167" fontId="6" fillId="0" borderId="35" xfId="1" applyNumberFormat="1" applyFont="1" applyBorder="1" applyAlignment="1">
      <alignment horizontal="center" vertical="center"/>
    </xf>
    <xf numFmtId="167" fontId="6" fillId="0" borderId="38" xfId="1" applyNumberFormat="1" applyFont="1" applyBorder="1" applyAlignment="1">
      <alignment horizontal="center" vertical="center"/>
    </xf>
    <xf numFmtId="167" fontId="6" fillId="0" borderId="49" xfId="1" applyNumberFormat="1" applyFont="1" applyBorder="1" applyAlignment="1">
      <alignment vertical="center"/>
    </xf>
    <xf numFmtId="0" fontId="6" fillId="0" borderId="37" xfId="0" applyFont="1" applyBorder="1" applyAlignment="1">
      <alignment horizontal="center" vertical="center"/>
    </xf>
    <xf numFmtId="4" fontId="6" fillId="0" borderId="35" xfId="0" applyNumberFormat="1" applyFont="1" applyBorder="1" applyAlignment="1">
      <alignment horizontal="left" vertical="center"/>
    </xf>
    <xf numFmtId="43" fontId="6" fillId="0" borderId="38" xfId="1" applyFont="1" applyBorder="1" applyAlignment="1">
      <alignment horizontal="center" vertical="center"/>
    </xf>
    <xf numFmtId="4" fontId="6" fillId="0" borderId="38" xfId="0" applyNumberFormat="1" applyFont="1" applyBorder="1" applyAlignment="1">
      <alignment horizontal="left" vertical="center"/>
    </xf>
    <xf numFmtId="43" fontId="0" fillId="0" borderId="0" xfId="1" applyFont="1" applyBorder="1"/>
    <xf numFmtId="43" fontId="25" fillId="0" borderId="50" xfId="1" applyFont="1" applyBorder="1" applyAlignment="1">
      <alignment horizontal="right" indent="1"/>
    </xf>
    <xf numFmtId="43" fontId="0" fillId="0" borderId="0" xfId="1" applyFont="1" applyBorder="1" applyAlignment="1">
      <alignment horizontal="right" indent="1"/>
    </xf>
    <xf numFmtId="43" fontId="6" fillId="0" borderId="50" xfId="1" applyFont="1" applyBorder="1" applyAlignment="1">
      <alignment horizontal="center" vertical="center"/>
    </xf>
    <xf numFmtId="167" fontId="6" fillId="0" borderId="51" xfId="1" applyNumberFormat="1" applyFont="1" applyBorder="1" applyAlignment="1">
      <alignment vertical="center"/>
    </xf>
    <xf numFmtId="43" fontId="25" fillId="0" borderId="50" xfId="1" applyFont="1" applyBorder="1" applyAlignment="1">
      <alignment horizontal="center" vertical="center"/>
    </xf>
    <xf numFmtId="167" fontId="25" fillId="0" borderId="35" xfId="1" applyNumberFormat="1" applyFont="1" applyBorder="1" applyAlignment="1">
      <alignment vertical="center"/>
    </xf>
    <xf numFmtId="41" fontId="25" fillId="0" borderId="51" xfId="2" applyFont="1" applyBorder="1" applyAlignment="1">
      <alignment horizontal="center" vertical="center"/>
    </xf>
    <xf numFmtId="167" fontId="6" fillId="0" borderId="50" xfId="1" applyNumberFormat="1" applyFont="1" applyBorder="1" applyAlignment="1">
      <alignment horizontal="center" vertical="center"/>
    </xf>
    <xf numFmtId="167" fontId="25" fillId="0" borderId="50" xfId="1" applyNumberFormat="1" applyFont="1" applyBorder="1" applyAlignment="1">
      <alignment horizontal="center" vertical="center"/>
    </xf>
    <xf numFmtId="4" fontId="25" fillId="0" borderId="35" xfId="0" applyNumberFormat="1" applyFont="1" applyBorder="1" applyAlignment="1">
      <alignment vertical="top"/>
    </xf>
    <xf numFmtId="0" fontId="26" fillId="0" borderId="35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5" fillId="0" borderId="37" xfId="0" applyFont="1" applyBorder="1" applyAlignment="1">
      <alignment horizontal="right" vertical="center"/>
    </xf>
    <xf numFmtId="4" fontId="25" fillId="0" borderId="50" xfId="0" applyNumberFormat="1" applyFont="1" applyBorder="1" applyAlignment="1">
      <alignment vertical="center"/>
    </xf>
    <xf numFmtId="167" fontId="25" fillId="0" borderId="52" xfId="1" applyNumberFormat="1" applyFont="1" applyBorder="1" applyAlignment="1">
      <alignment horizontal="center" vertical="center"/>
    </xf>
    <xf numFmtId="4" fontId="25" fillId="0" borderId="35" xfId="0" applyNumberFormat="1" applyFont="1" applyBorder="1" applyAlignment="1">
      <alignment horizontal="right" vertical="center"/>
    </xf>
    <xf numFmtId="43" fontId="25" fillId="0" borderId="35" xfId="1" applyFont="1" applyBorder="1" applyAlignment="1">
      <alignment horizontal="center" vertical="center"/>
    </xf>
    <xf numFmtId="0" fontId="25" fillId="0" borderId="37" xfId="0" applyFont="1" applyBorder="1" applyAlignment="1">
      <alignment vertical="center"/>
    </xf>
    <xf numFmtId="4" fontId="6" fillId="0" borderId="50" xfId="0" applyNumberFormat="1" applyFont="1" applyBorder="1" applyAlignment="1">
      <alignment horizontal="right" vertical="center"/>
    </xf>
    <xf numFmtId="4" fontId="6" fillId="0" borderId="50" xfId="0" applyNumberFormat="1" applyFont="1" applyBorder="1" applyAlignment="1">
      <alignment horizontal="left" vertical="center"/>
    </xf>
    <xf numFmtId="4" fontId="6" fillId="0" borderId="50" xfId="0" applyNumberFormat="1" applyFont="1" applyBorder="1" applyAlignment="1">
      <alignment vertical="center"/>
    </xf>
    <xf numFmtId="167" fontId="25" fillId="0" borderId="51" xfId="1" applyNumberFormat="1" applyFont="1" applyBorder="1" applyAlignment="1">
      <alignment vertical="center"/>
    </xf>
    <xf numFmtId="4" fontId="25" fillId="0" borderId="35" xfId="0" applyNumberFormat="1" applyFont="1" applyBorder="1" applyAlignment="1">
      <alignment horizontal="left" vertical="center" indent="1"/>
    </xf>
    <xf numFmtId="168" fontId="25" fillId="0" borderId="35" xfId="2" applyNumberFormat="1" applyFont="1" applyBorder="1" applyAlignment="1">
      <alignment horizontal="center" vertical="center"/>
    </xf>
    <xf numFmtId="41" fontId="27" fillId="0" borderId="51" xfId="2" applyFont="1" applyBorder="1" applyAlignment="1">
      <alignment horizontal="center" vertical="center"/>
    </xf>
    <xf numFmtId="0" fontId="25" fillId="0" borderId="37" xfId="0" applyFont="1" applyBorder="1" applyAlignment="1">
      <alignment horizontal="right" vertical="center" indent="1"/>
    </xf>
    <xf numFmtId="0" fontId="0" fillId="0" borderId="9" xfId="0" applyBorder="1" applyAlignment="1">
      <alignment horizontal="right"/>
    </xf>
    <xf numFmtId="0" fontId="25" fillId="0" borderId="35" xfId="0" applyFont="1" applyBorder="1" applyAlignment="1">
      <alignment vertical="center"/>
    </xf>
    <xf numFmtId="4" fontId="25" fillId="3" borderId="50" xfId="0" applyNumberFormat="1" applyFont="1" applyFill="1" applyBorder="1" applyAlignment="1">
      <alignment vertical="center"/>
    </xf>
    <xf numFmtId="4" fontId="25" fillId="0" borderId="35" xfId="0" applyNumberFormat="1" applyFont="1" applyBorder="1" applyAlignment="1">
      <alignment vertical="center" wrapText="1"/>
    </xf>
    <xf numFmtId="4" fontId="25" fillId="0" borderId="50" xfId="0" applyNumberFormat="1" applyFont="1" applyBorder="1" applyAlignment="1">
      <alignment vertical="center" wrapText="1"/>
    </xf>
    <xf numFmtId="4" fontId="25" fillId="0" borderId="50" xfId="0" applyNumberFormat="1" applyFont="1" applyBorder="1" applyAlignment="1">
      <alignment horizontal="left" vertical="center"/>
    </xf>
    <xf numFmtId="4" fontId="25" fillId="0" borderId="50" xfId="0" applyNumberFormat="1" applyFont="1" applyBorder="1" applyAlignment="1">
      <alignment horizontal="left" vertical="center" wrapText="1"/>
    </xf>
    <xf numFmtId="2" fontId="25" fillId="0" borderId="35" xfId="0" applyNumberFormat="1" applyFont="1" applyBorder="1" applyAlignment="1">
      <alignment horizontal="left" vertical="center"/>
    </xf>
    <xf numFmtId="2" fontId="25" fillId="0" borderId="35" xfId="0" applyNumberFormat="1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167" fontId="27" fillId="0" borderId="51" xfId="1" applyNumberFormat="1" applyFont="1" applyBorder="1" applyAlignment="1">
      <alignment vertical="center"/>
    </xf>
    <xf numFmtId="0" fontId="6" fillId="0" borderId="54" xfId="0" applyFont="1" applyBorder="1" applyAlignment="1">
      <alignment horizontal="center" vertical="center"/>
    </xf>
    <xf numFmtId="4" fontId="6" fillId="0" borderId="52" xfId="0" applyNumberFormat="1" applyFont="1" applyBorder="1" applyAlignment="1">
      <alignment horizontal="left" vertical="center"/>
    </xf>
    <xf numFmtId="41" fontId="25" fillId="0" borderId="55" xfId="2" applyFont="1" applyBorder="1" applyAlignment="1">
      <alignment horizontal="center" vertical="center"/>
    </xf>
    <xf numFmtId="0" fontId="25" fillId="0" borderId="56" xfId="0" applyFont="1" applyBorder="1" applyAlignment="1">
      <alignment vertical="center"/>
    </xf>
    <xf numFmtId="4" fontId="6" fillId="0" borderId="57" xfId="0" applyNumberFormat="1" applyFont="1" applyBorder="1" applyAlignment="1">
      <alignment vertical="center"/>
    </xf>
    <xf numFmtId="4" fontId="6" fillId="0" borderId="57" xfId="0" applyNumberFormat="1" applyFont="1" applyBorder="1" applyAlignment="1">
      <alignment horizontal="right" vertical="center"/>
    </xf>
    <xf numFmtId="167" fontId="6" fillId="0" borderId="57" xfId="1" applyNumberFormat="1" applyFont="1" applyBorder="1" applyAlignment="1">
      <alignment horizontal="center" vertical="center"/>
    </xf>
    <xf numFmtId="167" fontId="6" fillId="0" borderId="58" xfId="1" applyNumberFormat="1" applyFont="1" applyBorder="1" applyAlignment="1">
      <alignment vertical="center"/>
    </xf>
    <xf numFmtId="167" fontId="10" fillId="0" borderId="59" xfId="1" applyNumberFormat="1" applyFont="1" applyBorder="1" applyAlignment="1">
      <alignment horizontal="center"/>
    </xf>
    <xf numFmtId="4" fontId="6" fillId="0" borderId="60" xfId="0" applyNumberFormat="1" applyFont="1" applyBorder="1"/>
    <xf numFmtId="165" fontId="11" fillId="0" borderId="61" xfId="0" applyNumberFormat="1" applyFont="1" applyBorder="1" applyAlignment="1">
      <alignment horizontal="justify" vertical="top" wrapText="1"/>
    </xf>
    <xf numFmtId="165" fontId="11" fillId="0" borderId="62" xfId="0" applyNumberFormat="1" applyFont="1" applyBorder="1" applyAlignment="1">
      <alignment horizontal="center" vertical="top"/>
    </xf>
    <xf numFmtId="165" fontId="11" fillId="0" borderId="60" xfId="0" applyNumberFormat="1" applyFont="1" applyBorder="1" applyAlignment="1">
      <alignment horizontal="center" vertical="top"/>
    </xf>
    <xf numFmtId="43" fontId="11" fillId="0" borderId="63" xfId="1" applyFont="1" applyBorder="1" applyAlignment="1">
      <alignment horizontal="center" vertical="top"/>
    </xf>
    <xf numFmtId="41" fontId="11" fillId="0" borderId="60" xfId="2" applyFont="1" applyBorder="1" applyAlignment="1">
      <alignment vertical="top"/>
    </xf>
    <xf numFmtId="41" fontId="25" fillId="0" borderId="34" xfId="2" applyFont="1" applyBorder="1" applyAlignment="1">
      <alignment horizontal="center" vertical="center"/>
    </xf>
    <xf numFmtId="0" fontId="24" fillId="0" borderId="64" xfId="0" applyFont="1" applyBorder="1" applyAlignment="1">
      <alignment horizontal="right" vertical="center" indent="2"/>
    </xf>
    <xf numFmtId="165" fontId="11" fillId="0" borderId="65" xfId="0" applyNumberFormat="1" applyFont="1" applyBorder="1" applyAlignment="1">
      <alignment horizontal="justify" vertical="top" wrapText="1"/>
    </xf>
    <xf numFmtId="165" fontId="11" fillId="0" borderId="66" xfId="0" applyNumberFormat="1" applyFont="1" applyBorder="1" applyAlignment="1">
      <alignment horizontal="justify" vertical="top" wrapText="1"/>
    </xf>
    <xf numFmtId="165" fontId="11" fillId="0" borderId="67" xfId="0" applyNumberFormat="1" applyFont="1" applyBorder="1" applyAlignment="1">
      <alignment horizontal="justify" vertical="top" wrapText="1"/>
    </xf>
    <xf numFmtId="165" fontId="11" fillId="0" borderId="68" xfId="0" applyNumberFormat="1" applyFont="1" applyBorder="1" applyAlignment="1">
      <alignment horizontal="center" vertical="top"/>
    </xf>
    <xf numFmtId="43" fontId="11" fillId="0" borderId="65" xfId="1" applyFont="1" applyBorder="1" applyAlignment="1">
      <alignment horizontal="center" vertical="top"/>
    </xf>
    <xf numFmtId="0" fontId="24" fillId="2" borderId="64" xfId="0" applyFont="1" applyFill="1" applyBorder="1" applyAlignment="1">
      <alignment horizontal="right" vertical="center" indent="2"/>
    </xf>
    <xf numFmtId="165" fontId="11" fillId="0" borderId="0" xfId="0" applyNumberFormat="1" applyFont="1" applyAlignment="1">
      <alignment horizontal="justify" vertical="top" wrapText="1"/>
    </xf>
    <xf numFmtId="167" fontId="11" fillId="0" borderId="64" xfId="1" applyNumberFormat="1" applyFont="1" applyBorder="1" applyAlignment="1">
      <alignment horizontal="center" vertical="top"/>
    </xf>
    <xf numFmtId="43" fontId="11" fillId="0" borderId="68" xfId="1" applyFont="1" applyBorder="1" applyAlignment="1">
      <alignment horizontal="center" vertical="top"/>
    </xf>
    <xf numFmtId="41" fontId="10" fillId="0" borderId="65" xfId="2" applyFont="1" applyBorder="1" applyAlignment="1">
      <alignment horizontal="right" vertical="top" wrapText="1"/>
    </xf>
    <xf numFmtId="41" fontId="10" fillId="0" borderId="68" xfId="2" applyFont="1" applyBorder="1" applyAlignment="1">
      <alignment horizontal="right" vertical="top" wrapText="1"/>
    </xf>
    <xf numFmtId="41" fontId="10" fillId="2" borderId="69" xfId="2" applyFont="1" applyFill="1" applyBorder="1" applyAlignment="1">
      <alignment horizontal="center"/>
    </xf>
    <xf numFmtId="167" fontId="10" fillId="2" borderId="30" xfId="1" applyNumberFormat="1" applyFont="1" applyFill="1" applyBorder="1" applyAlignment="1">
      <alignment horizontal="center"/>
    </xf>
    <xf numFmtId="165" fontId="10" fillId="2" borderId="43" xfId="0" applyNumberFormat="1" applyFont="1" applyFill="1" applyBorder="1" applyAlignment="1">
      <alignment horizontal="justify" wrapText="1"/>
    </xf>
    <xf numFmtId="165" fontId="11" fillId="0" borderId="70" xfId="0" applyNumberFormat="1" applyFont="1" applyBorder="1" applyAlignment="1">
      <alignment horizontal="justify" vertical="top" wrapText="1"/>
    </xf>
    <xf numFmtId="41" fontId="10" fillId="0" borderId="71" xfId="2" applyFont="1" applyFill="1" applyBorder="1" applyAlignment="1">
      <alignment horizontal="right" wrapText="1"/>
    </xf>
    <xf numFmtId="169" fontId="25" fillId="0" borderId="6" xfId="6" applyNumberFormat="1" applyFont="1" applyBorder="1" applyAlignment="1">
      <alignment horizontal="left" vertical="center"/>
    </xf>
    <xf numFmtId="43" fontId="24" fillId="0" borderId="72" xfId="1" applyFont="1" applyBorder="1" applyAlignment="1">
      <alignment horizontal="left" vertical="center"/>
    </xf>
    <xf numFmtId="41" fontId="10" fillId="0" borderId="73" xfId="2" applyFont="1" applyFill="1" applyBorder="1" applyAlignment="1">
      <alignment horizontal="right" wrapText="1"/>
    </xf>
    <xf numFmtId="41" fontId="10" fillId="2" borderId="74" xfId="2" applyFont="1" applyFill="1" applyBorder="1" applyAlignment="1" applyProtection="1">
      <alignment horizontal="center"/>
    </xf>
    <xf numFmtId="165" fontId="11" fillId="0" borderId="65" xfId="0" applyNumberFormat="1" applyFont="1" applyBorder="1" applyAlignment="1">
      <alignment horizontal="justify" wrapText="1"/>
    </xf>
    <xf numFmtId="4" fontId="25" fillId="0" borderId="35" xfId="0" applyNumberFormat="1" applyFont="1" applyBorder="1"/>
    <xf numFmtId="164" fontId="15" fillId="4" borderId="16" xfId="2" applyNumberFormat="1" applyFont="1" applyFill="1" applyBorder="1" applyAlignment="1">
      <alignment vertical="center"/>
    </xf>
    <xf numFmtId="164" fontId="15" fillId="4" borderId="20" xfId="2" applyNumberFormat="1" applyFont="1" applyFill="1" applyBorder="1" applyAlignment="1">
      <alignment vertical="center"/>
    </xf>
    <xf numFmtId="167" fontId="25" fillId="4" borderId="35" xfId="1" applyNumberFormat="1" applyFont="1" applyFill="1" applyBorder="1" applyAlignment="1">
      <alignment horizontal="center" vertical="center"/>
    </xf>
    <xf numFmtId="41" fontId="25" fillId="4" borderId="49" xfId="2" applyFont="1" applyFill="1" applyBorder="1" applyAlignment="1">
      <alignment horizontal="center" vertical="center"/>
    </xf>
    <xf numFmtId="41" fontId="25" fillId="4" borderId="51" xfId="2" applyFont="1" applyFill="1" applyBorder="1" applyAlignment="1">
      <alignment horizontal="center" vertical="center"/>
    </xf>
    <xf numFmtId="167" fontId="25" fillId="4" borderId="51" xfId="1" applyNumberFormat="1" applyFont="1" applyFill="1" applyBorder="1" applyAlignment="1">
      <alignment vertical="center"/>
    </xf>
    <xf numFmtId="167" fontId="6" fillId="4" borderId="35" xfId="1" applyNumberFormat="1" applyFont="1" applyFill="1" applyBorder="1" applyAlignment="1">
      <alignment horizontal="center" vertical="center"/>
    </xf>
    <xf numFmtId="167" fontId="25" fillId="4" borderId="52" xfId="1" applyNumberFormat="1" applyFont="1" applyFill="1" applyBorder="1" applyAlignment="1">
      <alignment horizontal="center" vertical="center"/>
    </xf>
    <xf numFmtId="41" fontId="11" fillId="4" borderId="68" xfId="2" applyFont="1" applyFill="1" applyBorder="1" applyAlignment="1">
      <alignment vertical="top"/>
    </xf>
    <xf numFmtId="41" fontId="25" fillId="4" borderId="36" xfId="2" applyFont="1" applyFill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0" fillId="0" borderId="75" xfId="0" applyFont="1" applyBorder="1" applyAlignment="1">
      <alignment horizontal="center"/>
    </xf>
    <xf numFmtId="0" fontId="30" fillId="0" borderId="76" xfId="0" applyFont="1" applyBorder="1" applyAlignment="1">
      <alignment horizontal="center"/>
    </xf>
    <xf numFmtId="0" fontId="30" fillId="0" borderId="77" xfId="0" applyFont="1" applyBorder="1" applyAlignment="1">
      <alignment horizontal="center"/>
    </xf>
    <xf numFmtId="14" fontId="24" fillId="0" borderId="27" xfId="0" applyNumberFormat="1" applyFont="1" applyBorder="1" applyAlignment="1">
      <alignment horizontal="right" vertical="top"/>
    </xf>
    <xf numFmtId="0" fontId="25" fillId="0" borderId="28" xfId="0" applyFont="1" applyBorder="1" applyAlignment="1">
      <alignment horizontal="center" vertical="top"/>
    </xf>
    <xf numFmtId="4" fontId="6" fillId="2" borderId="79" xfId="0" applyNumberFormat="1" applyFont="1" applyFill="1" applyBorder="1" applyAlignment="1">
      <alignment vertical="top"/>
    </xf>
    <xf numFmtId="43" fontId="31" fillId="0" borderId="79" xfId="1" applyFont="1" applyBorder="1" applyAlignment="1">
      <alignment vertical="top"/>
    </xf>
    <xf numFmtId="43" fontId="31" fillId="0" borderId="28" xfId="1" applyFont="1" applyBorder="1" applyAlignment="1">
      <alignment vertical="top"/>
    </xf>
    <xf numFmtId="14" fontId="31" fillId="0" borderId="14" xfId="0" applyNumberFormat="1" applyFont="1" applyBorder="1" applyAlignment="1">
      <alignment horizontal="right" vertical="top"/>
    </xf>
    <xf numFmtId="0" fontId="6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left"/>
    </xf>
    <xf numFmtId="14" fontId="24" fillId="0" borderId="24" xfId="0" applyNumberFormat="1" applyFont="1" applyBorder="1" applyAlignment="1">
      <alignment horizontal="right" vertical="top"/>
    </xf>
    <xf numFmtId="165" fontId="11" fillId="2" borderId="15" xfId="0" applyNumberFormat="1" applyFont="1" applyFill="1" applyBorder="1" applyAlignment="1">
      <alignment horizontal="justify" vertical="top" wrapText="1"/>
    </xf>
    <xf numFmtId="165" fontId="11" fillId="2" borderId="80" xfId="0" applyNumberFormat="1" applyFont="1" applyFill="1" applyBorder="1" applyAlignment="1">
      <alignment horizontal="justify" vertical="top" wrapText="1"/>
    </xf>
    <xf numFmtId="0" fontId="31" fillId="0" borderId="75" xfId="0" applyFont="1" applyBorder="1" applyAlignment="1">
      <alignment horizontal="center"/>
    </xf>
    <xf numFmtId="0" fontId="24" fillId="0" borderId="76" xfId="0" applyFont="1" applyBorder="1"/>
    <xf numFmtId="0" fontId="24" fillId="0" borderId="77" xfId="0" applyFont="1" applyBorder="1"/>
    <xf numFmtId="0" fontId="27" fillId="0" borderId="0" xfId="0" applyFont="1" applyAlignment="1">
      <alignment horizontal="center"/>
    </xf>
    <xf numFmtId="0" fontId="32" fillId="0" borderId="0" xfId="0" applyFont="1"/>
    <xf numFmtId="167" fontId="27" fillId="0" borderId="0" xfId="1" applyNumberFormat="1" applyFont="1"/>
    <xf numFmtId="43" fontId="24" fillId="2" borderId="16" xfId="1" applyFont="1" applyFill="1" applyBorder="1" applyAlignment="1">
      <alignment horizontal="right" vertical="top"/>
    </xf>
    <xf numFmtId="0" fontId="6" fillId="0" borderId="25" xfId="0" applyFont="1" applyBorder="1" applyAlignment="1">
      <alignment horizontal="center" vertical="center"/>
    </xf>
    <xf numFmtId="14" fontId="24" fillId="2" borderId="24" xfId="0" applyNumberFormat="1" applyFont="1" applyFill="1" applyBorder="1" applyAlignment="1">
      <alignment horizontal="right" vertical="top"/>
    </xf>
    <xf numFmtId="14" fontId="24" fillId="2" borderId="9" xfId="0" applyNumberFormat="1" applyFont="1" applyFill="1" applyBorder="1" applyAlignment="1">
      <alignment horizontal="right" vertical="top"/>
    </xf>
    <xf numFmtId="0" fontId="25" fillId="2" borderId="81" xfId="0" applyFont="1" applyFill="1" applyBorder="1" applyAlignment="1">
      <alignment horizontal="center" vertical="top"/>
    </xf>
    <xf numFmtId="43" fontId="24" fillId="0" borderId="28" xfId="1" applyFont="1" applyBorder="1" applyAlignment="1">
      <alignment vertical="top"/>
    </xf>
    <xf numFmtId="0" fontId="30" fillId="0" borderId="82" xfId="0" applyFont="1" applyBorder="1" applyAlignment="1">
      <alignment horizontal="center"/>
    </xf>
    <xf numFmtId="0" fontId="0" fillId="0" borderId="12" xfId="0" applyBorder="1"/>
    <xf numFmtId="43" fontId="31" fillId="0" borderId="27" xfId="1" applyFont="1" applyBorder="1" applyAlignment="1">
      <alignment vertical="top"/>
    </xf>
    <xf numFmtId="0" fontId="0" fillId="0" borderId="16" xfId="0" applyBorder="1"/>
    <xf numFmtId="167" fontId="6" fillId="0" borderId="15" xfId="1" applyNumberFormat="1" applyFont="1" applyBorder="1" applyAlignment="1">
      <alignment vertical="center"/>
    </xf>
    <xf numFmtId="167" fontId="31" fillId="0" borderId="15" xfId="1" applyNumberFormat="1" applyFont="1" applyBorder="1" applyAlignment="1">
      <alignment vertical="top"/>
    </xf>
    <xf numFmtId="167" fontId="31" fillId="0" borderId="25" xfId="1" applyNumberFormat="1" applyFont="1" applyBorder="1" applyAlignment="1">
      <alignment vertical="top"/>
    </xf>
    <xf numFmtId="167" fontId="24" fillId="2" borderId="24" xfId="1" applyNumberFormat="1" applyFont="1" applyFill="1" applyBorder="1" applyAlignment="1">
      <alignment vertical="top"/>
    </xf>
    <xf numFmtId="167" fontId="24" fillId="2" borderId="25" xfId="1" applyNumberFormat="1" applyFont="1" applyFill="1" applyBorder="1" applyAlignment="1">
      <alignment vertical="top"/>
    </xf>
    <xf numFmtId="167" fontId="0" fillId="0" borderId="25" xfId="1" applyNumberFormat="1" applyFont="1" applyBorder="1"/>
    <xf numFmtId="167" fontId="0" fillId="0" borderId="16" xfId="1" applyNumberFormat="1" applyFont="1" applyBorder="1"/>
    <xf numFmtId="167" fontId="6" fillId="0" borderId="25" xfId="1" applyNumberFormat="1" applyFont="1" applyBorder="1" applyAlignment="1">
      <alignment vertical="center"/>
    </xf>
    <xf numFmtId="167" fontId="6" fillId="2" borderId="25" xfId="1" applyNumberFormat="1" applyFont="1" applyFill="1" applyBorder="1" applyAlignment="1">
      <alignment vertical="center"/>
    </xf>
    <xf numFmtId="167" fontId="31" fillId="2" borderId="25" xfId="1" applyNumberFormat="1" applyFont="1" applyFill="1" applyBorder="1" applyAlignment="1">
      <alignment vertical="top"/>
    </xf>
    <xf numFmtId="167" fontId="31" fillId="2" borderId="24" xfId="1" applyNumberFormat="1" applyFont="1" applyFill="1" applyBorder="1" applyAlignment="1">
      <alignment vertical="top"/>
    </xf>
    <xf numFmtId="167" fontId="31" fillId="2" borderId="83" xfId="1" applyNumberFormat="1" applyFont="1" applyFill="1" applyBorder="1" applyAlignment="1">
      <alignment vertical="top"/>
    </xf>
    <xf numFmtId="167" fontId="24" fillId="2" borderId="84" xfId="1" applyNumberFormat="1" applyFont="1" applyFill="1" applyBorder="1" applyAlignment="1">
      <alignment vertical="top"/>
    </xf>
    <xf numFmtId="167" fontId="0" fillId="0" borderId="84" xfId="1" applyNumberFormat="1" applyFont="1" applyBorder="1"/>
    <xf numFmtId="167" fontId="0" fillId="0" borderId="85" xfId="1" applyNumberFormat="1" applyFont="1" applyBorder="1"/>
    <xf numFmtId="167" fontId="31" fillId="2" borderId="81" xfId="1" applyNumberFormat="1" applyFont="1" applyFill="1" applyBorder="1" applyAlignment="1">
      <alignment vertical="top"/>
    </xf>
    <xf numFmtId="167" fontId="31" fillId="2" borderId="75" xfId="1" applyNumberFormat="1" applyFont="1" applyFill="1" applyBorder="1" applyAlignment="1">
      <alignment vertical="top"/>
    </xf>
    <xf numFmtId="167" fontId="24" fillId="2" borderId="76" xfId="1" applyNumberFormat="1" applyFont="1" applyFill="1" applyBorder="1" applyAlignment="1">
      <alignment vertical="top"/>
    </xf>
    <xf numFmtId="167" fontId="0" fillId="0" borderId="86" xfId="1" applyNumberFormat="1" applyFont="1" applyBorder="1"/>
    <xf numFmtId="167" fontId="0" fillId="0" borderId="78" xfId="0" applyNumberFormat="1" applyBorder="1"/>
    <xf numFmtId="167" fontId="31" fillId="0" borderId="77" xfId="1" applyNumberFormat="1" applyFont="1" applyBorder="1"/>
    <xf numFmtId="167" fontId="31" fillId="0" borderId="75" xfId="1" applyNumberFormat="1" applyFont="1" applyBorder="1"/>
    <xf numFmtId="167" fontId="31" fillId="0" borderId="78" xfId="1" applyNumberFormat="1" applyFont="1" applyBorder="1"/>
    <xf numFmtId="167" fontId="34" fillId="0" borderId="82" xfId="0" applyNumberFormat="1" applyFont="1" applyBorder="1"/>
    <xf numFmtId="167" fontId="0" fillId="0" borderId="82" xfId="0" applyNumberFormat="1" applyBorder="1"/>
    <xf numFmtId="0" fontId="25" fillId="2" borderId="25" xfId="0" applyFont="1" applyFill="1" applyBorder="1" applyAlignment="1">
      <alignment horizontal="center" vertical="center"/>
    </xf>
    <xf numFmtId="167" fontId="35" fillId="0" borderId="76" xfId="1" applyNumberFormat="1" applyFont="1" applyBorder="1"/>
    <xf numFmtId="41" fontId="25" fillId="2" borderId="51" xfId="2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2" fillId="0" borderId="5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0" fontId="13" fillId="0" borderId="4" xfId="4" applyNumberFormat="1" applyFont="1" applyBorder="1" applyAlignment="1">
      <alignment horizontal="center" vertical="center" wrapText="1"/>
    </xf>
    <xf numFmtId="10" fontId="13" fillId="0" borderId="8" xfId="4" applyNumberFormat="1" applyFont="1" applyBorder="1" applyAlignment="1">
      <alignment horizontal="center" vertical="center" wrapText="1"/>
    </xf>
    <xf numFmtId="43" fontId="22" fillId="0" borderId="40" xfId="1" applyFont="1" applyBorder="1" applyAlignment="1">
      <alignment horizontal="center" vertical="center" wrapText="1"/>
    </xf>
    <xf numFmtId="43" fontId="22" fillId="0" borderId="31" xfId="1" applyFont="1" applyBorder="1" applyAlignment="1">
      <alignment horizontal="center" vertical="center" wrapText="1"/>
    </xf>
    <xf numFmtId="4" fontId="25" fillId="0" borderId="35" xfId="0" applyNumberFormat="1" applyFont="1" applyBorder="1" applyAlignment="1">
      <alignment horizontal="justify" vertical="center" wrapText="1"/>
    </xf>
    <xf numFmtId="0" fontId="25" fillId="0" borderId="35" xfId="0" applyFont="1" applyBorder="1" applyAlignment="1">
      <alignment horizontal="justify" vertical="center" wrapText="1"/>
    </xf>
    <xf numFmtId="4" fontId="25" fillId="0" borderId="35" xfId="0" applyNumberFormat="1" applyFont="1" applyBorder="1" applyAlignment="1">
      <alignment horizontal="left" vertical="center" wrapText="1"/>
    </xf>
    <xf numFmtId="4" fontId="25" fillId="0" borderId="35" xfId="0" applyNumberFormat="1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</cellXfs>
  <cellStyles count="7">
    <cellStyle name="Comma" xfId="1" builtinId="3"/>
    <cellStyle name="Comma [0]" xfId="2" builtinId="6"/>
    <cellStyle name="Comma 12" xfId="6" xr:uid="{1DA6C892-86B5-49F4-A4B4-E558384C1EEA}"/>
    <cellStyle name="Comma 2" xfId="3" xr:uid="{BF6C0FFB-C359-4449-8B7F-2E9ADC721B6D}"/>
    <cellStyle name="Normal" xfId="0" builtinId="0"/>
    <cellStyle name="Normal 6" xfId="5" xr:uid="{9E133EEC-6A32-45FC-8F9D-029DD2ED5AC0}"/>
    <cellStyle name="Percent 2" xfId="4" xr:uid="{63CE6228-F4A5-4D21-BD31-EDB9BED03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i/Downloads/LAPORAN%20BIAYA%20PEMBANGUNAN%20RUMAH%20MISSISIPI%20TE5%20NO%208%20KOW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ORAN "/>
      <sheetName val="REKAP"/>
      <sheetName val="RAB"/>
      <sheetName val="LUASAN "/>
    </sheetNames>
    <sheetDataSet>
      <sheetData sheetId="0"/>
      <sheetData sheetId="1"/>
      <sheetData sheetId="2"/>
      <sheetData sheetId="3">
        <row r="5">
          <cell r="F5">
            <v>3</v>
          </cell>
        </row>
        <row r="6">
          <cell r="F6">
            <v>3</v>
          </cell>
        </row>
        <row r="7">
          <cell r="F7">
            <v>10.5</v>
          </cell>
        </row>
        <row r="8">
          <cell r="F8">
            <v>10</v>
          </cell>
        </row>
        <row r="9">
          <cell r="F9">
            <v>3.75</v>
          </cell>
        </row>
        <row r="10">
          <cell r="F10">
            <v>37.5</v>
          </cell>
        </row>
        <row r="11">
          <cell r="F11">
            <v>6</v>
          </cell>
        </row>
        <row r="12">
          <cell r="F12">
            <v>6</v>
          </cell>
        </row>
        <row r="13">
          <cell r="F13">
            <v>4</v>
          </cell>
        </row>
        <row r="14">
          <cell r="F14">
            <v>2</v>
          </cell>
        </row>
        <row r="15">
          <cell r="F15">
            <v>3</v>
          </cell>
        </row>
        <row r="18">
          <cell r="F18">
            <v>127.75</v>
          </cell>
        </row>
        <row r="20">
          <cell r="F20">
            <v>12.25</v>
          </cell>
        </row>
        <row r="21">
          <cell r="F21">
            <v>3.75</v>
          </cell>
        </row>
        <row r="23">
          <cell r="F23">
            <v>20.3</v>
          </cell>
        </row>
        <row r="24">
          <cell r="F24">
            <v>12.674999999999999</v>
          </cell>
        </row>
        <row r="25">
          <cell r="F25">
            <v>3</v>
          </cell>
        </row>
        <row r="26">
          <cell r="F26">
            <v>14.354999999999999</v>
          </cell>
        </row>
        <row r="30">
          <cell r="F30">
            <v>25</v>
          </cell>
        </row>
        <row r="31">
          <cell r="F31">
            <v>7.0687499999999996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2F4E-F774-469D-B960-970C74757963}">
  <dimension ref="A1:J46"/>
  <sheetViews>
    <sheetView workbookViewId="0">
      <selection activeCell="I5" sqref="I5"/>
    </sheetView>
  </sheetViews>
  <sheetFormatPr defaultRowHeight="14.4" x14ac:dyDescent="0.3"/>
  <cols>
    <col min="1" max="1" width="11.44140625" bestFit="1" customWidth="1"/>
    <col min="3" max="3" width="30.6640625" customWidth="1"/>
    <col min="4" max="4" width="14.88671875" bestFit="1" customWidth="1"/>
    <col min="5" max="7" width="18.21875" customWidth="1"/>
    <col min="8" max="8" width="19.77734375" customWidth="1"/>
    <col min="9" max="9" width="13.6640625" bestFit="1" customWidth="1"/>
    <col min="10" max="10" width="12.5546875" bestFit="1" customWidth="1"/>
  </cols>
  <sheetData>
    <row r="1" spans="1:10" ht="21" x14ac:dyDescent="0.4">
      <c r="A1" s="169"/>
      <c r="B1" s="169" t="s">
        <v>412</v>
      </c>
      <c r="C1" s="169"/>
      <c r="D1" s="170"/>
      <c r="E1" s="170"/>
      <c r="F1" s="170"/>
      <c r="G1" s="170"/>
      <c r="H1" s="170"/>
    </row>
    <row r="2" spans="1:10" ht="21" x14ac:dyDescent="0.4">
      <c r="A2" s="169"/>
      <c r="B2" s="171" t="s">
        <v>420</v>
      </c>
      <c r="C2" s="169"/>
      <c r="D2" s="170"/>
      <c r="E2" s="170"/>
      <c r="F2" s="170"/>
      <c r="G2" s="170"/>
      <c r="H2" s="170"/>
    </row>
    <row r="3" spans="1:10" ht="18.600000000000001" thickBot="1" x14ac:dyDescent="0.4">
      <c r="B3" s="171"/>
    </row>
    <row r="4" spans="1:10" ht="18.600000000000001" thickBot="1" x14ac:dyDescent="0.4">
      <c r="A4" s="172" t="s">
        <v>413</v>
      </c>
      <c r="B4" s="173" t="s">
        <v>9</v>
      </c>
      <c r="C4" s="174" t="s">
        <v>414</v>
      </c>
      <c r="D4" s="174" t="s">
        <v>415</v>
      </c>
      <c r="E4" s="174" t="s">
        <v>416</v>
      </c>
      <c r="F4" s="173" t="s">
        <v>417</v>
      </c>
      <c r="G4" s="172" t="s">
        <v>441</v>
      </c>
      <c r="H4" s="173" t="s">
        <v>437</v>
      </c>
      <c r="I4" s="198" t="s">
        <v>442</v>
      </c>
      <c r="J4" s="198" t="s">
        <v>438</v>
      </c>
    </row>
    <row r="5" spans="1:10" ht="15.6" x14ac:dyDescent="0.3">
      <c r="A5" s="175"/>
      <c r="B5" s="176"/>
      <c r="C5" s="177"/>
      <c r="D5" s="178"/>
      <c r="E5" s="179"/>
      <c r="F5" s="179"/>
      <c r="G5" s="200"/>
      <c r="H5" s="197"/>
      <c r="I5" s="199"/>
      <c r="J5" s="201"/>
    </row>
    <row r="6" spans="1:10" ht="15.6" x14ac:dyDescent="0.3">
      <c r="A6" s="180">
        <v>45724</v>
      </c>
      <c r="B6" s="181" t="s">
        <v>12</v>
      </c>
      <c r="C6" s="182" t="s">
        <v>418</v>
      </c>
      <c r="D6" s="202">
        <f>REKAP!D30</f>
        <v>148000000</v>
      </c>
      <c r="E6" s="203"/>
      <c r="F6" s="204"/>
      <c r="G6" s="205"/>
      <c r="H6" s="206"/>
      <c r="I6" s="207"/>
      <c r="J6" s="208"/>
    </row>
    <row r="7" spans="1:10" ht="15.6" x14ac:dyDescent="0.3">
      <c r="A7" s="183"/>
      <c r="B7" s="193"/>
      <c r="C7" s="184"/>
      <c r="D7" s="209"/>
      <c r="E7" s="204"/>
      <c r="F7" s="204"/>
      <c r="G7" s="205"/>
      <c r="H7" s="206"/>
      <c r="I7" s="207"/>
      <c r="J7" s="208"/>
    </row>
    <row r="8" spans="1:10" ht="15.6" x14ac:dyDescent="0.3">
      <c r="A8" s="194">
        <v>45784</v>
      </c>
      <c r="B8" s="227"/>
      <c r="C8" s="184" t="s">
        <v>425</v>
      </c>
      <c r="D8" s="210"/>
      <c r="E8" s="211"/>
      <c r="F8" s="211"/>
      <c r="G8" s="205">
        <v>4000000</v>
      </c>
      <c r="H8" s="206"/>
      <c r="I8" s="207"/>
      <c r="J8" s="208"/>
    </row>
    <row r="9" spans="1:10" ht="15.6" x14ac:dyDescent="0.3">
      <c r="A9" s="194">
        <v>45784</v>
      </c>
      <c r="B9" s="227">
        <v>1</v>
      </c>
      <c r="C9" s="184" t="s">
        <v>421</v>
      </c>
      <c r="D9" s="210"/>
      <c r="E9" s="211">
        <v>9200000</v>
      </c>
      <c r="F9" s="211"/>
      <c r="G9" s="205"/>
      <c r="H9" s="206">
        <f>875000+700000+960000+1050000+840000+700000+840000+280000</f>
        <v>6245000</v>
      </c>
      <c r="I9" s="207">
        <f>E9-H9</f>
        <v>2955000</v>
      </c>
      <c r="J9" s="208"/>
    </row>
    <row r="10" spans="1:10" ht="15.6" x14ac:dyDescent="0.3">
      <c r="A10" s="194">
        <v>45998</v>
      </c>
      <c r="B10" s="227">
        <v>2</v>
      </c>
      <c r="C10" s="184" t="s">
        <v>421</v>
      </c>
      <c r="D10" s="210"/>
      <c r="E10" s="211">
        <v>8245000</v>
      </c>
      <c r="F10" s="211"/>
      <c r="G10" s="205"/>
      <c r="H10" s="206">
        <f>875000+700000+960000+1050000+840000+700000+840000+280000</f>
        <v>6245000</v>
      </c>
      <c r="I10" s="207">
        <f>E10-H10</f>
        <v>2000000</v>
      </c>
      <c r="J10" s="208">
        <f>I10/6</f>
        <v>333333.33333333331</v>
      </c>
    </row>
    <row r="11" spans="1:10" ht="15.6" x14ac:dyDescent="0.3">
      <c r="A11" s="194" t="s">
        <v>426</v>
      </c>
      <c r="B11" s="227"/>
      <c r="C11" s="184" t="s">
        <v>425</v>
      </c>
      <c r="D11" s="210"/>
      <c r="E11" s="211"/>
      <c r="F11" s="211"/>
      <c r="G11" s="205">
        <v>2000000</v>
      </c>
      <c r="H11" s="206"/>
      <c r="I11" s="207"/>
      <c r="J11" s="208"/>
    </row>
    <row r="12" spans="1:10" ht="15.6" x14ac:dyDescent="0.3">
      <c r="A12" s="194" t="s">
        <v>426</v>
      </c>
      <c r="B12" s="227">
        <v>3</v>
      </c>
      <c r="C12" s="184" t="s">
        <v>421</v>
      </c>
      <c r="D12" s="210"/>
      <c r="E12" s="211">
        <v>9325000</v>
      </c>
      <c r="F12" s="211"/>
      <c r="G12" s="205"/>
      <c r="H12" s="206">
        <f>875000+1050000+1050000+990000+(840000*4)</f>
        <v>7325000</v>
      </c>
      <c r="I12" s="207">
        <f>E12-H12</f>
        <v>2000000</v>
      </c>
      <c r="J12" s="208">
        <f>I12/6</f>
        <v>333333.33333333331</v>
      </c>
    </row>
    <row r="13" spans="1:10" ht="15.6" x14ac:dyDescent="0.3">
      <c r="A13" s="194" t="s">
        <v>424</v>
      </c>
      <c r="B13" s="227"/>
      <c r="C13" s="184" t="s">
        <v>425</v>
      </c>
      <c r="D13" s="210"/>
      <c r="E13" s="211"/>
      <c r="F13" s="211"/>
      <c r="G13" s="205">
        <v>3000000</v>
      </c>
      <c r="H13" s="206"/>
      <c r="I13" s="207"/>
      <c r="J13" s="208"/>
    </row>
    <row r="14" spans="1:10" ht="15.6" x14ac:dyDescent="0.3">
      <c r="A14" s="194" t="s">
        <v>424</v>
      </c>
      <c r="B14" s="227">
        <v>4</v>
      </c>
      <c r="C14" s="184" t="s">
        <v>421</v>
      </c>
      <c r="D14" s="211"/>
      <c r="E14" s="211">
        <v>10300000</v>
      </c>
      <c r="F14" s="211"/>
      <c r="G14" s="205"/>
      <c r="H14" s="206">
        <f>875000+1050000+1050000+990000+(840000*4)</f>
        <v>7325000</v>
      </c>
      <c r="I14" s="207">
        <f>E14-H14</f>
        <v>2975000</v>
      </c>
      <c r="J14" s="208">
        <f>I14/6</f>
        <v>495833.33333333331</v>
      </c>
    </row>
    <row r="15" spans="1:10" ht="15.6" x14ac:dyDescent="0.3">
      <c r="A15" s="194"/>
      <c r="B15" s="227">
        <v>8</v>
      </c>
      <c r="C15" s="184" t="s">
        <v>425</v>
      </c>
      <c r="D15" s="211"/>
      <c r="E15" s="211"/>
      <c r="F15" s="211"/>
      <c r="G15" s="205">
        <v>1000000</v>
      </c>
      <c r="H15" s="206"/>
      <c r="I15" s="207"/>
      <c r="J15" s="208"/>
    </row>
    <row r="16" spans="1:10" ht="15.6" x14ac:dyDescent="0.3">
      <c r="A16" s="194">
        <v>45696</v>
      </c>
      <c r="B16" s="227">
        <v>9</v>
      </c>
      <c r="C16" s="184" t="s">
        <v>421</v>
      </c>
      <c r="D16" s="211"/>
      <c r="E16" s="211">
        <v>9445000</v>
      </c>
      <c r="F16" s="211"/>
      <c r="G16" s="205"/>
      <c r="H16" s="206">
        <f>1050000+875000+1050000+990000+960000+(840000*3)</f>
        <v>7445000</v>
      </c>
      <c r="I16" s="207">
        <f>E16-H16</f>
        <v>2000000</v>
      </c>
      <c r="J16" s="208">
        <f>I16/6</f>
        <v>333333.33333333331</v>
      </c>
    </row>
    <row r="17" spans="1:10" ht="15.6" x14ac:dyDescent="0.3">
      <c r="A17" s="194">
        <v>45908</v>
      </c>
      <c r="B17" s="227">
        <v>10</v>
      </c>
      <c r="C17" s="184" t="s">
        <v>425</v>
      </c>
      <c r="D17" s="211"/>
      <c r="E17" s="211"/>
      <c r="F17" s="211"/>
      <c r="G17" s="205">
        <v>2500000</v>
      </c>
      <c r="H17" s="206"/>
      <c r="I17" s="207"/>
      <c r="J17" s="208"/>
    </row>
    <row r="18" spans="1:10" ht="15.6" x14ac:dyDescent="0.3">
      <c r="A18" s="192" t="s">
        <v>422</v>
      </c>
      <c r="B18" s="227">
        <v>11</v>
      </c>
      <c r="C18" s="184" t="s">
        <v>423</v>
      </c>
      <c r="D18" s="211"/>
      <c r="E18" s="211">
        <v>1000000</v>
      </c>
      <c r="F18" s="211"/>
      <c r="G18" s="205"/>
      <c r="H18" s="206"/>
      <c r="I18" s="207">
        <v>1000000</v>
      </c>
      <c r="J18" s="208"/>
    </row>
    <row r="19" spans="1:10" ht="15.6" x14ac:dyDescent="0.3">
      <c r="A19" s="194">
        <v>45908</v>
      </c>
      <c r="B19" s="227">
        <v>12</v>
      </c>
      <c r="C19" s="184" t="s">
        <v>421</v>
      </c>
      <c r="D19" s="211"/>
      <c r="E19" s="211">
        <v>9445000</v>
      </c>
      <c r="F19" s="211"/>
      <c r="G19" s="205"/>
      <c r="H19" s="206">
        <f>1050000+875000+1050000+990000+960000+840000+840000+840000</f>
        <v>7445000</v>
      </c>
      <c r="I19" s="207">
        <f>E19-H19</f>
        <v>2000000</v>
      </c>
      <c r="J19" s="208">
        <f>I19/6</f>
        <v>333333.33333333331</v>
      </c>
    </row>
    <row r="20" spans="1:10" ht="15.6" x14ac:dyDescent="0.3">
      <c r="A20" s="194" t="s">
        <v>433</v>
      </c>
      <c r="B20" s="227">
        <v>13</v>
      </c>
      <c r="C20" s="184" t="s">
        <v>421</v>
      </c>
      <c r="D20" s="211"/>
      <c r="E20" s="211">
        <v>9375000</v>
      </c>
      <c r="F20" s="211"/>
      <c r="G20" s="205"/>
      <c r="H20" s="206">
        <f>700000+875000+875000+825000+800000+(700000*4)</f>
        <v>6875000</v>
      </c>
      <c r="I20" s="207">
        <f>E20-H20</f>
        <v>2500000</v>
      </c>
      <c r="J20" s="208">
        <f>I20/5</f>
        <v>500000</v>
      </c>
    </row>
    <row r="21" spans="1:10" ht="15.6" x14ac:dyDescent="0.3">
      <c r="A21" s="194" t="s">
        <v>427</v>
      </c>
      <c r="B21" s="227">
        <v>14</v>
      </c>
      <c r="C21" s="184" t="s">
        <v>425</v>
      </c>
      <c r="D21" s="211"/>
      <c r="E21" s="211"/>
      <c r="F21" s="211"/>
      <c r="G21" s="205">
        <v>500000</v>
      </c>
      <c r="H21" s="206"/>
      <c r="I21" s="207"/>
      <c r="J21" s="208"/>
    </row>
    <row r="22" spans="1:10" ht="15.6" x14ac:dyDescent="0.3">
      <c r="A22" s="194" t="s">
        <v>428</v>
      </c>
      <c r="B22" s="227">
        <v>15</v>
      </c>
      <c r="C22" s="184" t="s">
        <v>421</v>
      </c>
      <c r="D22" s="211"/>
      <c r="E22" s="211">
        <v>7060000</v>
      </c>
      <c r="F22" s="211"/>
      <c r="G22" s="205"/>
      <c r="H22" s="206">
        <f>700000+700000+700000+660000+640000+(540000*4)</f>
        <v>5560000</v>
      </c>
      <c r="I22" s="207">
        <f>E22-H22</f>
        <v>1500000</v>
      </c>
      <c r="J22" s="208">
        <f>I22/4</f>
        <v>375000</v>
      </c>
    </row>
    <row r="23" spans="1:10" ht="15.6" x14ac:dyDescent="0.3">
      <c r="A23" s="194" t="s">
        <v>432</v>
      </c>
      <c r="B23" s="227">
        <v>16</v>
      </c>
      <c r="C23" s="184" t="s">
        <v>421</v>
      </c>
      <c r="D23" s="211"/>
      <c r="E23" s="211">
        <v>10960000</v>
      </c>
      <c r="F23" s="211"/>
      <c r="G23" s="205"/>
      <c r="H23" s="206">
        <f>1050000+1050000+1050000+990000+960000+840000+840000+840000+840000</f>
        <v>8460000</v>
      </c>
      <c r="I23" s="207">
        <f>E23-H23</f>
        <v>2500000</v>
      </c>
      <c r="J23" s="208">
        <f>I23/6</f>
        <v>416666.66666666669</v>
      </c>
    </row>
    <row r="24" spans="1:10" ht="15.6" x14ac:dyDescent="0.3">
      <c r="A24" s="194" t="s">
        <v>432</v>
      </c>
      <c r="B24" s="227">
        <v>17</v>
      </c>
      <c r="C24" s="184" t="s">
        <v>425</v>
      </c>
      <c r="D24" s="210"/>
      <c r="E24" s="211"/>
      <c r="F24" s="211"/>
      <c r="G24" s="205">
        <v>1000000</v>
      </c>
      <c r="H24" s="206"/>
      <c r="I24" s="207"/>
      <c r="J24" s="208"/>
    </row>
    <row r="25" spans="1:10" ht="15.6" x14ac:dyDescent="0.3">
      <c r="A25" s="194">
        <v>45817</v>
      </c>
      <c r="B25" s="227">
        <v>18</v>
      </c>
      <c r="C25" s="184" t="s">
        <v>421</v>
      </c>
      <c r="D25" s="211"/>
      <c r="E25" s="211">
        <v>8655000</v>
      </c>
      <c r="F25" s="211"/>
      <c r="G25" s="205"/>
      <c r="H25" s="206">
        <f>850000+850000+825000+850000+480000+700000+700000+700000+700000</f>
        <v>6655000</v>
      </c>
      <c r="I25" s="207">
        <f>E25-H25</f>
        <v>2000000</v>
      </c>
      <c r="J25" s="208">
        <f>I25/5</f>
        <v>400000</v>
      </c>
    </row>
    <row r="26" spans="1:10" ht="15.6" x14ac:dyDescent="0.3">
      <c r="A26" s="194">
        <v>45817</v>
      </c>
      <c r="B26" s="227">
        <v>19</v>
      </c>
      <c r="C26" s="184" t="s">
        <v>425</v>
      </c>
      <c r="D26" s="210"/>
      <c r="E26" s="211"/>
      <c r="F26" s="211"/>
      <c r="G26" s="205">
        <v>1000000</v>
      </c>
      <c r="H26" s="206"/>
      <c r="I26" s="207"/>
      <c r="J26" s="208"/>
    </row>
    <row r="27" spans="1:10" ht="15.6" x14ac:dyDescent="0.3">
      <c r="A27" s="194" t="s">
        <v>431</v>
      </c>
      <c r="B27" s="227">
        <v>20</v>
      </c>
      <c r="C27" s="184" t="s">
        <v>421</v>
      </c>
      <c r="D27" s="211"/>
      <c r="E27" s="211">
        <v>10465000</v>
      </c>
      <c r="F27" s="211"/>
      <c r="G27" s="205"/>
      <c r="H27" s="206">
        <f>1050000+1050000+1050000+1000000+525000+850000+840000+840000+810000</f>
        <v>8015000</v>
      </c>
      <c r="I27" s="207">
        <f>E27-H27</f>
        <v>2450000</v>
      </c>
      <c r="J27" s="208">
        <f>I27/6</f>
        <v>408333.33333333331</v>
      </c>
    </row>
    <row r="28" spans="1:10" ht="15.6" x14ac:dyDescent="0.3">
      <c r="A28" s="194" t="s">
        <v>431</v>
      </c>
      <c r="B28" s="227">
        <v>21</v>
      </c>
      <c r="C28" s="184" t="s">
        <v>425</v>
      </c>
      <c r="D28" s="210"/>
      <c r="E28" s="211"/>
      <c r="F28" s="211"/>
      <c r="G28" s="205">
        <v>1500000</v>
      </c>
      <c r="H28" s="206"/>
      <c r="I28" s="207"/>
      <c r="J28" s="208"/>
    </row>
    <row r="29" spans="1:10" ht="15.6" x14ac:dyDescent="0.3">
      <c r="A29" s="194" t="s">
        <v>430</v>
      </c>
      <c r="B29" s="227">
        <v>22</v>
      </c>
      <c r="C29" s="184" t="s">
        <v>421</v>
      </c>
      <c r="D29" s="211"/>
      <c r="E29" s="211">
        <v>11000000</v>
      </c>
      <c r="F29" s="211"/>
      <c r="G29" s="205"/>
      <c r="H29" s="206">
        <f>1050000+1050000+1000000+1050000+960000+840000+840000+840000+840000</f>
        <v>8470000</v>
      </c>
      <c r="I29" s="207">
        <f>E29-H29</f>
        <v>2530000</v>
      </c>
      <c r="J29" s="208">
        <f t="shared" ref="J29:J34" si="0">I29/6</f>
        <v>421666.66666666669</v>
      </c>
    </row>
    <row r="30" spans="1:10" ht="15.6" x14ac:dyDescent="0.3">
      <c r="A30" s="194" t="s">
        <v>429</v>
      </c>
      <c r="B30" s="227">
        <v>23</v>
      </c>
      <c r="C30" s="184" t="s">
        <v>421</v>
      </c>
      <c r="D30" s="211"/>
      <c r="E30" s="211">
        <v>11020000</v>
      </c>
      <c r="F30" s="211"/>
      <c r="G30" s="212"/>
      <c r="H30" s="206">
        <f>1050000+1050000+1000000+960000+1050000+840000+840000+840000+840000</f>
        <v>8470000</v>
      </c>
      <c r="I30" s="207">
        <f>E30-H30</f>
        <v>2550000</v>
      </c>
      <c r="J30" s="208">
        <f t="shared" si="0"/>
        <v>425000</v>
      </c>
    </row>
    <row r="31" spans="1:10" ht="15.6" x14ac:dyDescent="0.3">
      <c r="A31" s="194">
        <v>45757</v>
      </c>
      <c r="B31" s="227">
        <v>24</v>
      </c>
      <c r="C31" s="184" t="s">
        <v>421</v>
      </c>
      <c r="D31" s="211"/>
      <c r="E31" s="211">
        <v>10970000</v>
      </c>
      <c r="F31" s="211"/>
      <c r="G31" s="212"/>
      <c r="H31" s="206">
        <f>1050000+1050000+1000000+1050000+960000+840000+840000+840000+840000</f>
        <v>8470000</v>
      </c>
      <c r="I31" s="207">
        <f>E31-H31</f>
        <v>2500000</v>
      </c>
      <c r="J31" s="208">
        <f t="shared" si="0"/>
        <v>416666.66666666669</v>
      </c>
    </row>
    <row r="32" spans="1:10" ht="15.6" x14ac:dyDescent="0.3">
      <c r="A32" s="194">
        <v>45971</v>
      </c>
      <c r="B32" s="227">
        <v>25</v>
      </c>
      <c r="C32" s="184" t="s">
        <v>421</v>
      </c>
      <c r="D32" s="211"/>
      <c r="E32" s="211">
        <v>8950000</v>
      </c>
      <c r="F32" s="211"/>
      <c r="G32" s="212"/>
      <c r="H32" s="206">
        <f>1050000+1050000+350000+1000000+480000+840000+840000+840000</f>
        <v>6450000</v>
      </c>
      <c r="I32" s="207">
        <f>E32-H32</f>
        <v>2500000</v>
      </c>
      <c r="J32" s="208">
        <f t="shared" si="0"/>
        <v>416666.66666666669</v>
      </c>
    </row>
    <row r="33" spans="1:10" ht="15.6" x14ac:dyDescent="0.3">
      <c r="A33" s="194" t="s">
        <v>434</v>
      </c>
      <c r="B33" s="227">
        <v>26</v>
      </c>
      <c r="C33" s="184" t="s">
        <v>421</v>
      </c>
      <c r="D33" s="211"/>
      <c r="E33" s="211">
        <v>9255000</v>
      </c>
      <c r="F33" s="211"/>
      <c r="G33" s="212"/>
      <c r="H33" s="206">
        <f>650000+1050000+1000000+960000+840000+840000+840000+175000</f>
        <v>6355000</v>
      </c>
      <c r="I33" s="207">
        <f>E33-H33</f>
        <v>2900000</v>
      </c>
      <c r="J33" s="208">
        <f t="shared" si="0"/>
        <v>483333.33333333331</v>
      </c>
    </row>
    <row r="34" spans="1:10" ht="16.2" thickBot="1" x14ac:dyDescent="0.35">
      <c r="A34" s="194" t="s">
        <v>435</v>
      </c>
      <c r="B34" s="227">
        <v>27</v>
      </c>
      <c r="C34" s="184" t="s">
        <v>421</v>
      </c>
      <c r="D34" s="211"/>
      <c r="E34" s="211">
        <v>7500000</v>
      </c>
      <c r="F34" s="211"/>
      <c r="G34" s="213"/>
      <c r="H34" s="214">
        <f>E34-I34</f>
        <v>5580000</v>
      </c>
      <c r="I34" s="215">
        <v>1920000</v>
      </c>
      <c r="J34" s="216">
        <f t="shared" si="0"/>
        <v>320000</v>
      </c>
    </row>
    <row r="35" spans="1:10" ht="16.2" thickBot="1" x14ac:dyDescent="0.35">
      <c r="A35" s="195"/>
      <c r="B35" s="196"/>
      <c r="C35" s="185"/>
      <c r="D35" s="217"/>
      <c r="E35" s="217"/>
      <c r="F35" s="217"/>
      <c r="G35" s="218">
        <f>SUM(G6:G34)</f>
        <v>16500000</v>
      </c>
      <c r="H35" s="219">
        <f>SUM(H8:H34)</f>
        <v>121390000</v>
      </c>
      <c r="I35" s="220">
        <f>SUM(I9:I34)</f>
        <v>40780000</v>
      </c>
      <c r="J35" s="221"/>
    </row>
    <row r="36" spans="1:10" ht="16.2" thickBot="1" x14ac:dyDescent="0.35">
      <c r="A36" s="186" t="s">
        <v>419</v>
      </c>
      <c r="B36" s="187"/>
      <c r="C36" s="188"/>
      <c r="D36" s="222">
        <f>SUM(D6:D35)</f>
        <v>148000000</v>
      </c>
      <c r="E36" s="222">
        <f>SUM(E8:E34)</f>
        <v>162170000</v>
      </c>
      <c r="F36" s="228">
        <f>D36-E36</f>
        <v>-14170000</v>
      </c>
      <c r="G36" s="223"/>
      <c r="H36" s="224">
        <f>H35/E36%</f>
        <v>74.853548745143982</v>
      </c>
      <c r="I36" s="225">
        <f>I35/E36%</f>
        <v>25.146451254856014</v>
      </c>
      <c r="J36" s="226"/>
    </row>
    <row r="37" spans="1:10" ht="15.6" x14ac:dyDescent="0.3">
      <c r="A37" s="189"/>
      <c r="B37" s="190"/>
      <c r="C37" s="190"/>
      <c r="D37" s="191"/>
      <c r="E37" s="191"/>
      <c r="F37" s="191"/>
      <c r="G37" s="191"/>
      <c r="H37" s="191"/>
    </row>
    <row r="38" spans="1:10" ht="15.6" x14ac:dyDescent="0.3">
      <c r="A38" s="189"/>
      <c r="B38" s="190"/>
      <c r="C38" s="190"/>
      <c r="D38" s="191"/>
      <c r="E38" s="191"/>
      <c r="F38" s="191"/>
      <c r="G38" s="191"/>
      <c r="H38" s="191"/>
    </row>
    <row r="40" spans="1:10" ht="18" x14ac:dyDescent="0.35">
      <c r="B40" s="40" t="s">
        <v>436</v>
      </c>
      <c r="C40" s="40"/>
    </row>
    <row r="41" spans="1:10" ht="18" x14ac:dyDescent="0.35">
      <c r="B41" s="40"/>
      <c r="C41" s="40"/>
    </row>
    <row r="42" spans="1:10" ht="18" x14ac:dyDescent="0.35">
      <c r="B42" s="40"/>
      <c r="C42" s="40"/>
    </row>
    <row r="43" spans="1:10" ht="18" x14ac:dyDescent="0.35">
      <c r="B43" s="40"/>
      <c r="C43" s="40"/>
    </row>
    <row r="44" spans="1:10" ht="18" x14ac:dyDescent="0.35">
      <c r="B44" s="40"/>
      <c r="C44" s="40"/>
    </row>
    <row r="45" spans="1:10" ht="18" x14ac:dyDescent="0.35">
      <c r="B45" s="40"/>
      <c r="C45" s="40"/>
    </row>
    <row r="46" spans="1:10" ht="18" x14ac:dyDescent="0.35">
      <c r="B46" s="171" t="s">
        <v>54</v>
      </c>
      <c r="C46" s="171"/>
      <c r="D46" s="171"/>
      <c r="E46" s="171"/>
      <c r="F46" s="171"/>
      <c r="G46" s="171"/>
    </row>
  </sheetData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37A6-4067-4CF1-AAEB-7BC16C8CC2A9}">
  <dimension ref="A1:D38"/>
  <sheetViews>
    <sheetView topLeftCell="A3" workbookViewId="0">
      <selection activeCell="D26" sqref="D26"/>
    </sheetView>
  </sheetViews>
  <sheetFormatPr defaultRowHeight="14.4" x14ac:dyDescent="0.3"/>
  <cols>
    <col min="2" max="2" width="45" customWidth="1"/>
    <col min="3" max="3" width="38.21875" customWidth="1"/>
    <col min="4" max="4" width="30.88671875" customWidth="1"/>
    <col min="6" max="6" width="10" bestFit="1" customWidth="1"/>
  </cols>
  <sheetData>
    <row r="1" spans="1:4" ht="23.4" x14ac:dyDescent="0.45">
      <c r="A1" s="1"/>
      <c r="B1" s="2" t="s">
        <v>0</v>
      </c>
      <c r="C1" s="3"/>
      <c r="D1" s="4"/>
    </row>
    <row r="2" spans="1:4" ht="23.4" x14ac:dyDescent="0.35">
      <c r="A2" s="5"/>
      <c r="B2" s="6" t="s">
        <v>1</v>
      </c>
      <c r="C2" s="6" t="s">
        <v>2</v>
      </c>
      <c r="D2" s="7"/>
    </row>
    <row r="3" spans="1:4" ht="23.4" x14ac:dyDescent="0.35">
      <c r="A3" s="5"/>
      <c r="B3" s="6" t="s">
        <v>3</v>
      </c>
      <c r="C3" s="6" t="s">
        <v>4</v>
      </c>
      <c r="D3" s="7"/>
    </row>
    <row r="4" spans="1:4" ht="23.4" x14ac:dyDescent="0.35">
      <c r="A4" s="1"/>
      <c r="B4" s="6" t="s">
        <v>5</v>
      </c>
      <c r="C4" s="6" t="s">
        <v>6</v>
      </c>
      <c r="D4" s="7"/>
    </row>
    <row r="5" spans="1:4" ht="18.600000000000001" thickBot="1" x14ac:dyDescent="0.4">
      <c r="A5" s="6"/>
      <c r="B5" s="8" t="s">
        <v>7</v>
      </c>
      <c r="C5" s="9" t="s">
        <v>8</v>
      </c>
      <c r="D5" s="7"/>
    </row>
    <row r="6" spans="1:4" x14ac:dyDescent="0.3">
      <c r="A6" s="230" t="s">
        <v>9</v>
      </c>
      <c r="B6" s="232" t="s">
        <v>10</v>
      </c>
      <c r="C6" s="233"/>
      <c r="D6" s="236" t="s">
        <v>11</v>
      </c>
    </row>
    <row r="7" spans="1:4" ht="15" thickBot="1" x14ac:dyDescent="0.35">
      <c r="A7" s="231"/>
      <c r="B7" s="234"/>
      <c r="C7" s="235"/>
      <c r="D7" s="237"/>
    </row>
    <row r="8" spans="1:4" ht="18" x14ac:dyDescent="0.35">
      <c r="A8" s="10"/>
      <c r="B8" s="11"/>
      <c r="C8" s="12"/>
      <c r="D8" s="13"/>
    </row>
    <row r="9" spans="1:4" ht="18" x14ac:dyDescent="0.3">
      <c r="A9" s="14" t="s">
        <v>13</v>
      </c>
      <c r="B9" s="15" t="s">
        <v>14</v>
      </c>
      <c r="C9" s="16"/>
      <c r="D9" s="17"/>
    </row>
    <row r="10" spans="1:4" ht="18" x14ac:dyDescent="0.3">
      <c r="A10" s="18" t="s">
        <v>15</v>
      </c>
      <c r="B10" s="19" t="s">
        <v>16</v>
      </c>
      <c r="C10" s="16"/>
      <c r="D10" s="20">
        <f>RAB!H14</f>
        <v>2088000</v>
      </c>
    </row>
    <row r="11" spans="1:4" ht="18" x14ac:dyDescent="0.3">
      <c r="A11" s="18" t="s">
        <v>17</v>
      </c>
      <c r="B11" s="19" t="s">
        <v>18</v>
      </c>
      <c r="C11" s="16"/>
      <c r="D11" s="20">
        <f>RAB!H25</f>
        <v>6305625</v>
      </c>
    </row>
    <row r="12" spans="1:4" ht="18" x14ac:dyDescent="0.3">
      <c r="A12" s="18" t="s">
        <v>19</v>
      </c>
      <c r="B12" s="19" t="s">
        <v>20</v>
      </c>
      <c r="C12" s="16"/>
      <c r="D12" s="20">
        <f>RAB!H39</f>
        <v>36353700</v>
      </c>
    </row>
    <row r="13" spans="1:4" ht="18" x14ac:dyDescent="0.3">
      <c r="A13" s="18" t="s">
        <v>21</v>
      </c>
      <c r="B13" s="19" t="s">
        <v>22</v>
      </c>
      <c r="C13" s="16"/>
      <c r="D13" s="20">
        <f>RAB!H43</f>
        <v>25800000</v>
      </c>
    </row>
    <row r="14" spans="1:4" ht="18" x14ac:dyDescent="0.3">
      <c r="A14" s="18" t="s">
        <v>23</v>
      </c>
      <c r="B14" s="19" t="s">
        <v>24</v>
      </c>
      <c r="C14" s="16"/>
      <c r="D14" s="20">
        <f>RAB!H59</f>
        <v>42668000</v>
      </c>
    </row>
    <row r="15" spans="1:4" ht="18" x14ac:dyDescent="0.3">
      <c r="A15" s="18" t="s">
        <v>25</v>
      </c>
      <c r="B15" s="19" t="s">
        <v>26</v>
      </c>
      <c r="C15" s="16"/>
      <c r="D15" s="20">
        <f>RAB!H73</f>
        <v>7677782.9099307163</v>
      </c>
    </row>
    <row r="16" spans="1:4" ht="18" x14ac:dyDescent="0.3">
      <c r="A16" s="18" t="s">
        <v>27</v>
      </c>
      <c r="B16" s="19" t="s">
        <v>28</v>
      </c>
      <c r="C16" s="16"/>
      <c r="D16" s="20">
        <f>RAB!H84</f>
        <v>528000</v>
      </c>
    </row>
    <row r="17" spans="1:4" ht="18" x14ac:dyDescent="0.3">
      <c r="A17" s="18" t="s">
        <v>29</v>
      </c>
      <c r="B17" s="19" t="s">
        <v>30</v>
      </c>
      <c r="C17" s="16"/>
      <c r="D17" s="20">
        <f>RAB!H120</f>
        <v>5345750</v>
      </c>
    </row>
    <row r="18" spans="1:4" ht="18" x14ac:dyDescent="0.3">
      <c r="A18" s="18" t="s">
        <v>12</v>
      </c>
      <c r="B18" s="19" t="s">
        <v>31</v>
      </c>
      <c r="C18" s="16"/>
      <c r="D18" s="159">
        <f>RAB!H140</f>
        <v>0</v>
      </c>
    </row>
    <row r="19" spans="1:4" ht="18" x14ac:dyDescent="0.3">
      <c r="A19" s="18" t="s">
        <v>32</v>
      </c>
      <c r="B19" s="19" t="s">
        <v>33</v>
      </c>
      <c r="C19" s="16"/>
      <c r="D19" s="159">
        <f>RAB!H146</f>
        <v>0</v>
      </c>
    </row>
    <row r="20" spans="1:4" ht="18" x14ac:dyDescent="0.3">
      <c r="A20" s="18" t="s">
        <v>34</v>
      </c>
      <c r="B20" s="19" t="s">
        <v>35</v>
      </c>
      <c r="C20" s="16"/>
      <c r="D20" s="159">
        <f>RAB!H153</f>
        <v>0</v>
      </c>
    </row>
    <row r="21" spans="1:4" ht="18" x14ac:dyDescent="0.3">
      <c r="A21" s="18" t="s">
        <v>36</v>
      </c>
      <c r="B21" s="19" t="s">
        <v>37</v>
      </c>
      <c r="C21" s="16"/>
      <c r="D21" s="20">
        <f>RAB!H159</f>
        <v>420000</v>
      </c>
    </row>
    <row r="22" spans="1:4" ht="18" x14ac:dyDescent="0.3">
      <c r="A22" s="18" t="s">
        <v>38</v>
      </c>
      <c r="B22" s="19" t="s">
        <v>39</v>
      </c>
      <c r="C22" s="16"/>
      <c r="D22" s="20">
        <f>RAB!H173</f>
        <v>5560000</v>
      </c>
    </row>
    <row r="23" spans="1:4" ht="18" x14ac:dyDescent="0.3">
      <c r="A23" s="18" t="s">
        <v>40</v>
      </c>
      <c r="B23" s="19" t="s">
        <v>41</v>
      </c>
      <c r="C23" s="16"/>
      <c r="D23" s="159">
        <f>RAB!H195</f>
        <v>0</v>
      </c>
    </row>
    <row r="24" spans="1:4" ht="18" x14ac:dyDescent="0.3">
      <c r="A24" s="18" t="s">
        <v>42</v>
      </c>
      <c r="B24" s="19" t="s">
        <v>43</v>
      </c>
      <c r="C24" s="16"/>
      <c r="D24" s="159">
        <f>RAB!H213</f>
        <v>0</v>
      </c>
    </row>
    <row r="25" spans="1:4" x14ac:dyDescent="0.3">
      <c r="A25" s="18" t="s">
        <v>44</v>
      </c>
      <c r="B25" s="19" t="s">
        <v>45</v>
      </c>
      <c r="C25" s="16"/>
      <c r="D25" s="20">
        <f>RAB!H223</f>
        <v>2377000</v>
      </c>
    </row>
    <row r="26" spans="1:4" ht="18.600000000000001" thickBot="1" x14ac:dyDescent="0.4">
      <c r="A26" s="21" t="s">
        <v>46</v>
      </c>
      <c r="B26" s="22" t="s">
        <v>47</v>
      </c>
      <c r="C26" s="23"/>
      <c r="D26" s="160">
        <f>RAB!H229</f>
        <v>0</v>
      </c>
    </row>
    <row r="27" spans="1:4" ht="18" x14ac:dyDescent="0.35">
      <c r="A27" s="24"/>
      <c r="B27" s="25" t="s">
        <v>48</v>
      </c>
      <c r="C27" s="26"/>
      <c r="D27" s="27">
        <f>SUM(D10:D26)</f>
        <v>135123857.90993071</v>
      </c>
    </row>
    <row r="28" spans="1:4" ht="18" x14ac:dyDescent="0.35">
      <c r="A28" s="28"/>
      <c r="B28" s="29" t="s">
        <v>49</v>
      </c>
      <c r="C28" s="30"/>
      <c r="D28" s="20">
        <f>D27*0.1</f>
        <v>13512385.790993072</v>
      </c>
    </row>
    <row r="29" spans="1:4" ht="18" x14ac:dyDescent="0.35">
      <c r="A29" s="31"/>
      <c r="B29" s="32" t="s">
        <v>50</v>
      </c>
      <c r="C29" s="33"/>
      <c r="D29" s="20">
        <f>D27+D28</f>
        <v>148636243.70092377</v>
      </c>
    </row>
    <row r="30" spans="1:4" ht="18.600000000000001" thickBot="1" x14ac:dyDescent="0.4">
      <c r="A30" s="34"/>
      <c r="B30" s="35" t="s">
        <v>51</v>
      </c>
      <c r="C30" s="36"/>
      <c r="D30" s="37">
        <f>+ROUNDDOWN(D29,-6)</f>
        <v>148000000</v>
      </c>
    </row>
    <row r="31" spans="1:4" ht="18" x14ac:dyDescent="0.35">
      <c r="A31" s="38"/>
      <c r="B31" s="40"/>
      <c r="C31" s="38"/>
      <c r="D31" s="39"/>
    </row>
    <row r="32" spans="1:4" ht="18" x14ac:dyDescent="0.35">
      <c r="A32" s="40"/>
      <c r="B32" s="40" t="s">
        <v>52</v>
      </c>
      <c r="C32" s="40"/>
      <c r="D32" s="40"/>
    </row>
    <row r="33" spans="1:4" ht="18" x14ac:dyDescent="0.35">
      <c r="A33" s="40"/>
      <c r="B33" s="40"/>
      <c r="C33" s="40"/>
      <c r="D33" s="40" t="s">
        <v>53</v>
      </c>
    </row>
    <row r="34" spans="1:4" ht="18" x14ac:dyDescent="0.35">
      <c r="A34" s="40"/>
      <c r="B34" s="40"/>
      <c r="C34" s="40"/>
      <c r="D34" s="40"/>
    </row>
    <row r="35" spans="1:4" ht="18" x14ac:dyDescent="0.35">
      <c r="A35" s="40"/>
      <c r="B35" s="40"/>
      <c r="C35" s="40"/>
      <c r="D35" s="40"/>
    </row>
    <row r="36" spans="1:4" ht="18" x14ac:dyDescent="0.35">
      <c r="A36" s="40"/>
      <c r="B36" s="40"/>
      <c r="C36" s="40"/>
      <c r="D36" s="40"/>
    </row>
    <row r="37" spans="1:4" ht="18" x14ac:dyDescent="0.35">
      <c r="A37" s="40"/>
      <c r="B37" s="41" t="s">
        <v>54</v>
      </c>
      <c r="C37" s="40"/>
      <c r="D37" s="40"/>
    </row>
    <row r="38" spans="1:4" ht="18" x14ac:dyDescent="0.35">
      <c r="A38" s="41"/>
      <c r="C38" s="42"/>
      <c r="D38" s="6" t="s">
        <v>55</v>
      </c>
    </row>
  </sheetData>
  <mergeCells count="3">
    <mergeCell ref="A6:A7"/>
    <mergeCell ref="B6:C7"/>
    <mergeCell ref="D6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61FD-7DAB-4A6F-91A6-A6A35B1FEC33}">
  <dimension ref="A1:H230"/>
  <sheetViews>
    <sheetView tabSelected="1" topLeftCell="A187" workbookViewId="0">
      <selection activeCell="B37" sqref="B37"/>
    </sheetView>
  </sheetViews>
  <sheetFormatPr defaultRowHeight="14.4" x14ac:dyDescent="0.3"/>
  <cols>
    <col min="2" max="2" width="49.88671875" customWidth="1"/>
    <col min="3" max="3" width="35.6640625" bestFit="1" customWidth="1"/>
    <col min="4" max="4" width="45.109375" customWidth="1"/>
    <col min="6" max="6" width="8" bestFit="1" customWidth="1"/>
    <col min="7" max="7" width="11.21875" bestFit="1" customWidth="1"/>
    <col min="8" max="8" width="12.33203125" bestFit="1" customWidth="1"/>
    <col min="9" max="9" width="12.5546875" customWidth="1"/>
  </cols>
  <sheetData>
    <row r="1" spans="1:8" ht="20.399999999999999" x14ac:dyDescent="0.35">
      <c r="A1" s="43"/>
      <c r="B1" s="44" t="s">
        <v>56</v>
      </c>
      <c r="C1" s="44"/>
      <c r="D1" s="7"/>
      <c r="E1" s="45"/>
      <c r="F1" s="46"/>
      <c r="G1" s="47"/>
      <c r="H1" s="48"/>
    </row>
    <row r="2" spans="1:8" ht="15.6" x14ac:dyDescent="0.3">
      <c r="A2" s="49"/>
      <c r="B2" s="8" t="s">
        <v>1</v>
      </c>
      <c r="C2" s="49" t="s">
        <v>2</v>
      </c>
      <c r="D2" s="7"/>
      <c r="E2" s="45"/>
      <c r="F2" s="46"/>
      <c r="G2" s="47"/>
      <c r="H2" s="48"/>
    </row>
    <row r="3" spans="1:8" ht="15.6" x14ac:dyDescent="0.3">
      <c r="A3" s="49"/>
      <c r="B3" s="8" t="s">
        <v>3</v>
      </c>
      <c r="C3" s="49" t="s">
        <v>4</v>
      </c>
      <c r="D3" s="7"/>
      <c r="E3" s="45"/>
      <c r="F3" s="46"/>
      <c r="G3" s="47"/>
      <c r="H3" s="48"/>
    </row>
    <row r="4" spans="1:8" ht="15.6" x14ac:dyDescent="0.3">
      <c r="A4" s="49"/>
      <c r="B4" s="8" t="s">
        <v>5</v>
      </c>
      <c r="C4" s="49" t="s">
        <v>6</v>
      </c>
      <c r="D4" s="7"/>
      <c r="E4" s="45"/>
      <c r="F4" s="46"/>
      <c r="G4" s="47"/>
      <c r="H4" s="48"/>
    </row>
    <row r="5" spans="1:8" ht="16.2" thickBot="1" x14ac:dyDescent="0.35">
      <c r="A5" s="49"/>
      <c r="B5" s="8" t="s">
        <v>7</v>
      </c>
      <c r="C5" s="9" t="s">
        <v>8</v>
      </c>
      <c r="D5" s="7"/>
      <c r="E5" s="50"/>
      <c r="F5" s="51"/>
      <c r="G5" s="52"/>
      <c r="H5" s="53"/>
    </row>
    <row r="6" spans="1:8" ht="27.6" x14ac:dyDescent="0.3">
      <c r="A6" s="245" t="s">
        <v>9</v>
      </c>
      <c r="B6" s="247" t="s">
        <v>10</v>
      </c>
      <c r="C6" s="248"/>
      <c r="D6" s="54" t="s">
        <v>57</v>
      </c>
      <c r="E6" s="251" t="s">
        <v>58</v>
      </c>
      <c r="F6" s="238" t="s">
        <v>59</v>
      </c>
      <c r="G6" s="57" t="s">
        <v>60</v>
      </c>
      <c r="H6" s="58" t="s">
        <v>11</v>
      </c>
    </row>
    <row r="7" spans="1:8" ht="15" thickBot="1" x14ac:dyDescent="0.35">
      <c r="A7" s="246"/>
      <c r="B7" s="249"/>
      <c r="C7" s="250"/>
      <c r="D7" s="55"/>
      <c r="E7" s="252"/>
      <c r="F7" s="239"/>
      <c r="G7" s="59" t="s">
        <v>61</v>
      </c>
      <c r="H7" s="60" t="s">
        <v>61</v>
      </c>
    </row>
    <row r="8" spans="1:8" x14ac:dyDescent="0.3">
      <c r="A8" s="61" t="s">
        <v>15</v>
      </c>
      <c r="B8" s="62" t="s">
        <v>16</v>
      </c>
      <c r="C8" s="62"/>
      <c r="D8" s="63"/>
      <c r="E8" s="64"/>
      <c r="F8" s="65"/>
      <c r="G8" s="64"/>
      <c r="H8" s="66"/>
    </row>
    <row r="9" spans="1:8" ht="15.6" x14ac:dyDescent="0.3">
      <c r="A9" s="67">
        <v>1</v>
      </c>
      <c r="B9" s="68" t="s">
        <v>64</v>
      </c>
      <c r="C9" s="68"/>
      <c r="D9" s="69" t="s">
        <v>65</v>
      </c>
      <c r="E9" s="56" t="s">
        <v>66</v>
      </c>
      <c r="F9" s="70">
        <v>1</v>
      </c>
      <c r="G9" s="56">
        <v>800000</v>
      </c>
      <c r="H9" s="71">
        <f>F9*G9</f>
        <v>800000</v>
      </c>
    </row>
    <row r="10" spans="1:8" ht="15.6" x14ac:dyDescent="0.3">
      <c r="A10" s="67">
        <v>2</v>
      </c>
      <c r="B10" s="68" t="s">
        <v>67</v>
      </c>
      <c r="C10" s="68"/>
      <c r="D10" s="69" t="s">
        <v>68</v>
      </c>
      <c r="E10" s="56" t="s">
        <v>69</v>
      </c>
      <c r="F10" s="70">
        <f>(9+9)*2</f>
        <v>36</v>
      </c>
      <c r="G10" s="56">
        <v>8000</v>
      </c>
      <c r="H10" s="71">
        <f t="shared" ref="H10:H13" si="0">F10*G10</f>
        <v>288000</v>
      </c>
    </row>
    <row r="11" spans="1:8" ht="15.6" x14ac:dyDescent="0.3">
      <c r="A11" s="67">
        <v>3</v>
      </c>
      <c r="B11" s="68" t="s">
        <v>70</v>
      </c>
      <c r="C11" s="68"/>
      <c r="D11" s="69" t="s">
        <v>71</v>
      </c>
      <c r="E11" s="56" t="s">
        <v>66</v>
      </c>
      <c r="F11" s="70">
        <v>1</v>
      </c>
      <c r="G11" s="56">
        <v>1000000</v>
      </c>
      <c r="H11" s="71">
        <f t="shared" si="0"/>
        <v>1000000</v>
      </c>
    </row>
    <row r="12" spans="1:8" ht="15.6" x14ac:dyDescent="0.3">
      <c r="A12" s="67">
        <v>4</v>
      </c>
      <c r="B12" s="68" t="s">
        <v>72</v>
      </c>
      <c r="C12" s="68"/>
      <c r="D12" s="69" t="s">
        <v>73</v>
      </c>
      <c r="E12" s="56" t="s">
        <v>66</v>
      </c>
      <c r="F12" s="70">
        <v>1</v>
      </c>
      <c r="G12" s="161"/>
      <c r="H12" s="162">
        <f t="shared" si="0"/>
        <v>0</v>
      </c>
    </row>
    <row r="13" spans="1:8" ht="15.6" x14ac:dyDescent="0.3">
      <c r="A13" s="67">
        <v>5</v>
      </c>
      <c r="B13" s="68" t="s">
        <v>74</v>
      </c>
      <c r="C13" s="68"/>
      <c r="D13" s="69" t="s">
        <v>73</v>
      </c>
      <c r="E13" s="56" t="s">
        <v>66</v>
      </c>
      <c r="F13" s="70">
        <v>1</v>
      </c>
      <c r="G13" s="161"/>
      <c r="H13" s="162">
        <f t="shared" si="0"/>
        <v>0</v>
      </c>
    </row>
    <row r="14" spans="1:8" ht="15.6" x14ac:dyDescent="0.3">
      <c r="A14" s="72"/>
      <c r="B14" s="73"/>
      <c r="C14" s="73"/>
      <c r="D14" s="74" t="s">
        <v>75</v>
      </c>
      <c r="E14" s="75"/>
      <c r="F14" s="76"/>
      <c r="G14" s="56"/>
      <c r="H14" s="77">
        <f>SUM(H9:H13)</f>
        <v>2088000</v>
      </c>
    </row>
    <row r="15" spans="1:8" ht="15.6" x14ac:dyDescent="0.3">
      <c r="A15" s="78" t="s">
        <v>17</v>
      </c>
      <c r="B15" s="79" t="s">
        <v>18</v>
      </c>
      <c r="C15" s="79"/>
      <c r="D15" s="74"/>
      <c r="E15" s="75"/>
      <c r="F15" s="76"/>
      <c r="G15" s="56"/>
      <c r="H15" s="71"/>
    </row>
    <row r="16" spans="1:8" ht="15.6" x14ac:dyDescent="0.3">
      <c r="A16" s="67">
        <v>1</v>
      </c>
      <c r="B16" s="68" t="s">
        <v>76</v>
      </c>
      <c r="C16" s="68"/>
      <c r="D16" s="69"/>
      <c r="E16" s="56" t="s">
        <v>77</v>
      </c>
      <c r="F16" s="70">
        <f>(0.5*0.5*0.7)*17+(0.4*0.6*35)</f>
        <v>11.375</v>
      </c>
      <c r="G16" s="56">
        <v>100000</v>
      </c>
      <c r="H16" s="71">
        <f>F16*G16</f>
        <v>1137500</v>
      </c>
    </row>
    <row r="17" spans="1:8" ht="15.6" x14ac:dyDescent="0.3">
      <c r="A17" s="67">
        <v>2</v>
      </c>
      <c r="B17" s="68" t="s">
        <v>78</v>
      </c>
      <c r="C17" s="68"/>
      <c r="D17" s="69" t="s">
        <v>79</v>
      </c>
      <c r="E17" s="56" t="s">
        <v>62</v>
      </c>
      <c r="F17" s="70">
        <f>(0.5*0.5)*14+(0.4*35)</f>
        <v>17.5</v>
      </c>
      <c r="G17" s="161"/>
      <c r="H17" s="162">
        <f t="shared" ref="H17:H24" si="1">F17*G17</f>
        <v>0</v>
      </c>
    </row>
    <row r="18" spans="1:8" ht="15.6" x14ac:dyDescent="0.3">
      <c r="A18" s="67">
        <v>3</v>
      </c>
      <c r="B18" s="68" t="s">
        <v>80</v>
      </c>
      <c r="C18" s="68"/>
      <c r="D18" s="69" t="s">
        <v>81</v>
      </c>
      <c r="E18" s="56" t="s">
        <v>77</v>
      </c>
      <c r="F18" s="70">
        <f>F17*0.05</f>
        <v>0.875</v>
      </c>
      <c r="G18" s="56">
        <v>40000</v>
      </c>
      <c r="H18" s="71">
        <f t="shared" si="1"/>
        <v>35000</v>
      </c>
    </row>
    <row r="19" spans="1:8" ht="15.6" x14ac:dyDescent="0.3">
      <c r="A19" s="67">
        <v>4</v>
      </c>
      <c r="B19" s="68" t="s">
        <v>82</v>
      </c>
      <c r="C19" s="68"/>
      <c r="D19" s="69"/>
      <c r="E19" s="56" t="s">
        <v>77</v>
      </c>
      <c r="F19" s="70">
        <f>F18</f>
        <v>0.875</v>
      </c>
      <c r="G19" s="56">
        <v>180000</v>
      </c>
      <c r="H19" s="71">
        <f t="shared" si="1"/>
        <v>157500</v>
      </c>
    </row>
    <row r="20" spans="1:8" ht="15.6" x14ac:dyDescent="0.3">
      <c r="A20" s="67">
        <v>5</v>
      </c>
      <c r="B20" s="68" t="s">
        <v>83</v>
      </c>
      <c r="C20" s="68"/>
      <c r="D20" s="69" t="s">
        <v>84</v>
      </c>
      <c r="E20" s="56" t="s">
        <v>85</v>
      </c>
      <c r="F20" s="70">
        <f>0.25*3.14*0.3*0.3*4*14</f>
        <v>3.9563999999999995</v>
      </c>
      <c r="G20" s="161"/>
      <c r="H20" s="162">
        <f t="shared" si="1"/>
        <v>0</v>
      </c>
    </row>
    <row r="21" spans="1:8" ht="15.6" x14ac:dyDescent="0.3">
      <c r="A21" s="67">
        <v>6</v>
      </c>
      <c r="B21" s="68" t="s">
        <v>86</v>
      </c>
      <c r="C21" s="68" t="s">
        <v>87</v>
      </c>
      <c r="D21" s="69" t="s">
        <v>88</v>
      </c>
      <c r="E21" s="56" t="s">
        <v>77</v>
      </c>
      <c r="F21" s="70">
        <f>0.15*0.3*68</f>
        <v>3.06</v>
      </c>
      <c r="G21" s="56">
        <v>900000</v>
      </c>
      <c r="H21" s="71">
        <f t="shared" si="1"/>
        <v>2754000</v>
      </c>
    </row>
    <row r="22" spans="1:8" ht="15.6" x14ac:dyDescent="0.3">
      <c r="A22" s="67">
        <v>7</v>
      </c>
      <c r="B22" s="68" t="s">
        <v>89</v>
      </c>
      <c r="C22" s="68" t="s">
        <v>90</v>
      </c>
      <c r="D22" s="69" t="s">
        <v>88</v>
      </c>
      <c r="E22" s="56" t="s">
        <v>77</v>
      </c>
      <c r="F22" s="70">
        <f>0.5*0.5*0.5*17</f>
        <v>2.125</v>
      </c>
      <c r="G22" s="56">
        <v>900000</v>
      </c>
      <c r="H22" s="71">
        <f t="shared" si="1"/>
        <v>1912500</v>
      </c>
    </row>
    <row r="23" spans="1:8" ht="15.6" x14ac:dyDescent="0.3">
      <c r="A23" s="67">
        <v>8</v>
      </c>
      <c r="B23" s="68" t="s">
        <v>91</v>
      </c>
      <c r="C23" s="68"/>
      <c r="D23" s="69" t="s">
        <v>92</v>
      </c>
      <c r="E23" s="56" t="s">
        <v>77</v>
      </c>
      <c r="F23" s="70">
        <f>F16/2</f>
        <v>5.6875</v>
      </c>
      <c r="G23" s="56">
        <v>6000</v>
      </c>
      <c r="H23" s="71">
        <f t="shared" si="1"/>
        <v>34125</v>
      </c>
    </row>
    <row r="24" spans="1:8" ht="15.6" x14ac:dyDescent="0.3">
      <c r="A24" s="67">
        <v>9</v>
      </c>
      <c r="B24" s="68" t="s">
        <v>93</v>
      </c>
      <c r="C24" s="68"/>
      <c r="D24" s="69" t="s">
        <v>94</v>
      </c>
      <c r="E24" s="56" t="s">
        <v>69</v>
      </c>
      <c r="F24" s="70">
        <f>6+5</f>
        <v>11</v>
      </c>
      <c r="G24" s="56">
        <v>25000</v>
      </c>
      <c r="H24" s="71">
        <f t="shared" si="1"/>
        <v>275000</v>
      </c>
    </row>
    <row r="25" spans="1:8" ht="15.6" x14ac:dyDescent="0.3">
      <c r="A25" s="72"/>
      <c r="B25" s="73"/>
      <c r="C25" s="73"/>
      <c r="D25" s="74" t="s">
        <v>95</v>
      </c>
      <c r="E25" s="75"/>
      <c r="F25" s="80"/>
      <c r="G25" s="56"/>
      <c r="H25" s="77">
        <f>SUM(H16:H24)</f>
        <v>6305625</v>
      </c>
    </row>
    <row r="26" spans="1:8" ht="15.6" x14ac:dyDescent="0.3">
      <c r="A26" s="78" t="s">
        <v>19</v>
      </c>
      <c r="B26" s="79" t="s">
        <v>20</v>
      </c>
      <c r="C26" s="68"/>
      <c r="D26" s="81"/>
      <c r="E26" s="56"/>
      <c r="F26" s="70"/>
      <c r="G26" s="56"/>
      <c r="H26" s="71"/>
    </row>
    <row r="27" spans="1:8" ht="15.6" x14ac:dyDescent="0.3">
      <c r="A27" s="67">
        <v>1</v>
      </c>
      <c r="B27" s="68" t="s">
        <v>96</v>
      </c>
      <c r="C27" s="69" t="s">
        <v>88</v>
      </c>
      <c r="D27" s="69"/>
      <c r="E27" s="56"/>
      <c r="F27" s="82"/>
      <c r="G27" s="56"/>
      <c r="H27" s="71"/>
    </row>
    <row r="28" spans="1:8" ht="15.6" x14ac:dyDescent="0.3">
      <c r="A28" s="67">
        <v>2</v>
      </c>
      <c r="B28" s="68" t="s">
        <v>97</v>
      </c>
      <c r="C28" s="68" t="s">
        <v>98</v>
      </c>
      <c r="D28" s="69" t="s">
        <v>88</v>
      </c>
      <c r="E28" s="56" t="s">
        <v>77</v>
      </c>
      <c r="F28" s="82">
        <f>(0.15*0.4*5*14)+(0.15*0.3*4*12)+(0.15*0.25*4*8)</f>
        <v>7.5600000000000005</v>
      </c>
      <c r="G28" s="56">
        <v>1000000</v>
      </c>
      <c r="H28" s="71">
        <f>F28*G28</f>
        <v>7560000.0000000009</v>
      </c>
    </row>
    <row r="29" spans="1:8" ht="15.6" x14ac:dyDescent="0.3">
      <c r="A29" s="67">
        <v>4</v>
      </c>
      <c r="B29" s="68" t="s">
        <v>99</v>
      </c>
      <c r="C29" s="68" t="s">
        <v>100</v>
      </c>
      <c r="D29" s="69" t="s">
        <v>88</v>
      </c>
      <c r="E29" s="56" t="s">
        <v>77</v>
      </c>
      <c r="F29" s="82">
        <f>(0.15*0.15*5*14)+(0.15*0.15*4*11)+(0.15*0.15*4*4)</f>
        <v>2.9249999999999994</v>
      </c>
      <c r="G29" s="56">
        <v>900000</v>
      </c>
      <c r="H29" s="71">
        <f t="shared" ref="H29:H38" si="2">F29*G29</f>
        <v>2632499.9999999995</v>
      </c>
    </row>
    <row r="30" spans="1:8" ht="15.6" x14ac:dyDescent="0.3">
      <c r="A30" s="67">
        <v>5</v>
      </c>
      <c r="B30" s="68" t="s">
        <v>101</v>
      </c>
      <c r="C30" s="68"/>
      <c r="D30" s="69"/>
      <c r="E30" s="56"/>
      <c r="F30" s="70"/>
      <c r="G30" s="56"/>
      <c r="H30" s="71">
        <f t="shared" si="2"/>
        <v>0</v>
      </c>
    </row>
    <row r="31" spans="1:8" ht="15.6" x14ac:dyDescent="0.3">
      <c r="A31" s="67">
        <v>6</v>
      </c>
      <c r="B31" s="68" t="s">
        <v>102</v>
      </c>
      <c r="C31" s="68" t="s">
        <v>103</v>
      </c>
      <c r="D31" s="69" t="s">
        <v>104</v>
      </c>
      <c r="E31" s="56" t="s">
        <v>77</v>
      </c>
      <c r="F31" s="83">
        <f>(0.15*0.4*68)+(0.15*0.3*34)</f>
        <v>5.61</v>
      </c>
      <c r="G31" s="56">
        <v>1000000</v>
      </c>
      <c r="H31" s="71">
        <f t="shared" si="2"/>
        <v>5610000</v>
      </c>
    </row>
    <row r="32" spans="1:8" ht="15.6" x14ac:dyDescent="0.3">
      <c r="A32" s="67">
        <v>8</v>
      </c>
      <c r="B32" s="68" t="s">
        <v>105</v>
      </c>
      <c r="C32" s="68" t="s">
        <v>106</v>
      </c>
      <c r="D32" s="69" t="s">
        <v>88</v>
      </c>
      <c r="E32" s="56" t="s">
        <v>77</v>
      </c>
      <c r="F32" s="84">
        <f>(0.15*0.2*34)+(0.15*0.2*34)</f>
        <v>2.04</v>
      </c>
      <c r="G32" s="56">
        <v>1000000</v>
      </c>
      <c r="H32" s="71">
        <f t="shared" si="2"/>
        <v>2040000</v>
      </c>
    </row>
    <row r="33" spans="1:8" ht="15.6" x14ac:dyDescent="0.3">
      <c r="A33" s="67">
        <v>9</v>
      </c>
      <c r="B33" s="68" t="s">
        <v>107</v>
      </c>
      <c r="C33" s="68" t="s">
        <v>108</v>
      </c>
      <c r="D33" s="69" t="s">
        <v>104</v>
      </c>
      <c r="E33" s="56" t="s">
        <v>77</v>
      </c>
      <c r="F33" s="84">
        <f>(9*8*0.12)+(4*9*0.12)</f>
        <v>12.96</v>
      </c>
      <c r="G33" s="56">
        <v>1000000</v>
      </c>
      <c r="H33" s="71">
        <f t="shared" si="2"/>
        <v>12960000</v>
      </c>
    </row>
    <row r="34" spans="1:8" ht="15.6" x14ac:dyDescent="0.3">
      <c r="A34" s="67">
        <v>10</v>
      </c>
      <c r="B34" s="68" t="s">
        <v>109</v>
      </c>
      <c r="C34" s="68"/>
      <c r="D34" s="69" t="s">
        <v>104</v>
      </c>
      <c r="E34" s="56" t="s">
        <v>77</v>
      </c>
      <c r="F34" s="83">
        <f>6*1.2*0.15</f>
        <v>1.0799999999999998</v>
      </c>
      <c r="G34" s="56">
        <v>1200000</v>
      </c>
      <c r="H34" s="71">
        <f t="shared" si="2"/>
        <v>1295999.9999999998</v>
      </c>
    </row>
    <row r="35" spans="1:8" ht="15.6" x14ac:dyDescent="0.3">
      <c r="A35" s="67">
        <v>11</v>
      </c>
      <c r="B35" s="68" t="s">
        <v>110</v>
      </c>
      <c r="C35" s="68" t="s">
        <v>108</v>
      </c>
      <c r="D35" s="69" t="s">
        <v>88</v>
      </c>
      <c r="E35" s="56" t="s">
        <v>77</v>
      </c>
      <c r="F35" s="84">
        <f>(4*0.1*0.12*2)*2</f>
        <v>0.192</v>
      </c>
      <c r="G35" s="56">
        <v>900000</v>
      </c>
      <c r="H35" s="71">
        <f t="shared" si="2"/>
        <v>172800</v>
      </c>
    </row>
    <row r="36" spans="1:8" ht="15.6" x14ac:dyDescent="0.3">
      <c r="A36" s="67">
        <v>12</v>
      </c>
      <c r="B36" s="240" t="s">
        <v>111</v>
      </c>
      <c r="C36" s="241"/>
      <c r="D36" s="69" t="s">
        <v>88</v>
      </c>
      <c r="E36" s="56" t="s">
        <v>77</v>
      </c>
      <c r="F36" s="83">
        <f>(3.5*1.5*0.12)+(3.2*1.5*0.12)+(1+5*1.5*0.1)</f>
        <v>2.956</v>
      </c>
      <c r="G36" s="56">
        <v>900000</v>
      </c>
      <c r="H36" s="71">
        <f t="shared" si="2"/>
        <v>2660400</v>
      </c>
    </row>
    <row r="37" spans="1:8" ht="15.6" x14ac:dyDescent="0.3">
      <c r="A37" s="67">
        <v>13</v>
      </c>
      <c r="B37" s="68" t="s">
        <v>112</v>
      </c>
      <c r="C37" s="68"/>
      <c r="D37" s="69" t="s">
        <v>88</v>
      </c>
      <c r="E37" s="56" t="s">
        <v>77</v>
      </c>
      <c r="F37" s="83">
        <v>0.57999999999999996</v>
      </c>
      <c r="G37" s="56">
        <v>900000</v>
      </c>
      <c r="H37" s="71">
        <f t="shared" si="2"/>
        <v>521999.99999999994</v>
      </c>
    </row>
    <row r="38" spans="1:8" ht="15.6" x14ac:dyDescent="0.3">
      <c r="A38" s="67">
        <v>14</v>
      </c>
      <c r="B38" s="68" t="s">
        <v>113</v>
      </c>
      <c r="C38" s="68"/>
      <c r="D38" s="69" t="s">
        <v>88</v>
      </c>
      <c r="E38" s="56" t="s">
        <v>77</v>
      </c>
      <c r="F38" s="83">
        <v>1</v>
      </c>
      <c r="G38" s="56">
        <v>900000</v>
      </c>
      <c r="H38" s="71">
        <f t="shared" si="2"/>
        <v>900000</v>
      </c>
    </row>
    <row r="39" spans="1:8" ht="15.6" x14ac:dyDescent="0.3">
      <c r="A39" s="72"/>
      <c r="B39" s="73"/>
      <c r="C39" s="73"/>
      <c r="D39" s="74" t="s">
        <v>114</v>
      </c>
      <c r="E39" s="75"/>
      <c r="F39" s="85"/>
      <c r="G39" s="56"/>
      <c r="H39" s="86">
        <f>SUM(H28:H38)</f>
        <v>36353700</v>
      </c>
    </row>
    <row r="40" spans="1:8" ht="15.6" x14ac:dyDescent="0.3">
      <c r="A40" s="78" t="s">
        <v>21</v>
      </c>
      <c r="B40" s="79" t="s">
        <v>22</v>
      </c>
      <c r="C40" s="79"/>
      <c r="D40" s="81"/>
      <c r="E40" s="56"/>
      <c r="F40" s="87"/>
      <c r="G40" s="88"/>
      <c r="H40" s="86"/>
    </row>
    <row r="41" spans="1:8" ht="15.6" x14ac:dyDescent="0.3">
      <c r="A41" s="67">
        <v>1</v>
      </c>
      <c r="B41" s="68" t="s">
        <v>115</v>
      </c>
      <c r="C41" s="68"/>
      <c r="D41" s="69" t="s">
        <v>116</v>
      </c>
      <c r="E41" s="56" t="s">
        <v>62</v>
      </c>
      <c r="F41" s="82">
        <f>(68*4.5)+(62*3)+(38.5*3)+(7/2*2.5)*2</f>
        <v>625</v>
      </c>
      <c r="G41" s="56">
        <v>40000</v>
      </c>
      <c r="H41" s="89">
        <f>F41*G41</f>
        <v>25000000</v>
      </c>
    </row>
    <row r="42" spans="1:8" ht="15.6" x14ac:dyDescent="0.3">
      <c r="A42" s="67">
        <v>2</v>
      </c>
      <c r="B42" s="68" t="s">
        <v>117</v>
      </c>
      <c r="C42" s="68"/>
      <c r="D42" s="69" t="s">
        <v>118</v>
      </c>
      <c r="E42" s="56" t="s">
        <v>62</v>
      </c>
      <c r="F42" s="82">
        <f>4*2</f>
        <v>8</v>
      </c>
      <c r="G42" s="56">
        <v>100000</v>
      </c>
      <c r="H42" s="89">
        <f>F42*G42</f>
        <v>800000</v>
      </c>
    </row>
    <row r="43" spans="1:8" ht="15.6" x14ac:dyDescent="0.3">
      <c r="A43" s="72"/>
      <c r="B43" s="73"/>
      <c r="C43" s="73"/>
      <c r="D43" s="74" t="s">
        <v>119</v>
      </c>
      <c r="E43" s="75"/>
      <c r="F43" s="90"/>
      <c r="G43" s="56"/>
      <c r="H43" s="86">
        <f>SUM(H41:H42)</f>
        <v>25800000</v>
      </c>
    </row>
    <row r="44" spans="1:8" ht="15.6" x14ac:dyDescent="0.3">
      <c r="A44" s="78" t="s">
        <v>23</v>
      </c>
      <c r="B44" s="79" t="s">
        <v>24</v>
      </c>
      <c r="C44" s="79"/>
      <c r="D44" s="81"/>
      <c r="E44" s="56"/>
      <c r="F44" s="91"/>
      <c r="G44" s="56"/>
      <c r="H44" s="89"/>
    </row>
    <row r="45" spans="1:8" ht="15.6" x14ac:dyDescent="0.3">
      <c r="A45" s="67">
        <v>1</v>
      </c>
      <c r="B45" s="68" t="s">
        <v>120</v>
      </c>
      <c r="C45" s="68"/>
      <c r="D45" s="69" t="s">
        <v>121</v>
      </c>
      <c r="E45" s="56" t="s">
        <v>62</v>
      </c>
      <c r="F45" s="87">
        <f>F41*2*0.75</f>
        <v>937.5</v>
      </c>
      <c r="G45" s="56">
        <v>25000</v>
      </c>
      <c r="H45" s="89">
        <f>F45*G45</f>
        <v>23437500</v>
      </c>
    </row>
    <row r="46" spans="1:8" ht="15.6" x14ac:dyDescent="0.3">
      <c r="A46" s="67">
        <v>2</v>
      </c>
      <c r="B46" s="68" t="s">
        <v>122</v>
      </c>
      <c r="C46" s="68"/>
      <c r="D46" s="69" t="s">
        <v>123</v>
      </c>
      <c r="E46" s="56" t="s">
        <v>62</v>
      </c>
      <c r="F46" s="87">
        <f>F45</f>
        <v>937.5</v>
      </c>
      <c r="G46" s="56">
        <v>15000</v>
      </c>
      <c r="H46" s="89">
        <f t="shared" ref="H46:H58" si="3">F46*G46</f>
        <v>14062500</v>
      </c>
    </row>
    <row r="47" spans="1:8" ht="26.4" x14ac:dyDescent="0.3">
      <c r="A47" s="67">
        <v>3</v>
      </c>
      <c r="B47" s="158" t="s">
        <v>124</v>
      </c>
      <c r="C47" s="93"/>
      <c r="D47" s="94" t="s">
        <v>125</v>
      </c>
      <c r="E47" s="56" t="s">
        <v>126</v>
      </c>
      <c r="F47" s="87">
        <v>1</v>
      </c>
      <c r="G47" s="56">
        <v>2000000</v>
      </c>
      <c r="H47" s="89">
        <f t="shared" si="3"/>
        <v>2000000</v>
      </c>
    </row>
    <row r="48" spans="1:8" ht="15.6" x14ac:dyDescent="0.3">
      <c r="A48" s="67">
        <v>4</v>
      </c>
      <c r="B48" s="68" t="s">
        <v>127</v>
      </c>
      <c r="C48" s="93"/>
      <c r="D48" s="94"/>
      <c r="E48" s="56" t="s">
        <v>69</v>
      </c>
      <c r="F48" s="87">
        <v>211.2</v>
      </c>
      <c r="G48" s="56">
        <v>15000</v>
      </c>
      <c r="H48" s="89">
        <f t="shared" si="3"/>
        <v>3168000</v>
      </c>
    </row>
    <row r="49" spans="1:8" ht="15.6" x14ac:dyDescent="0.3">
      <c r="A49" s="67">
        <v>5</v>
      </c>
      <c r="B49" s="68" t="s">
        <v>128</v>
      </c>
      <c r="C49" s="68"/>
      <c r="D49" s="69"/>
      <c r="E49" s="56"/>
      <c r="F49" s="91"/>
      <c r="G49" s="56"/>
      <c r="H49" s="89">
        <f t="shared" si="3"/>
        <v>0</v>
      </c>
    </row>
    <row r="50" spans="1:8" ht="15.6" x14ac:dyDescent="0.3">
      <c r="A50" s="95" t="s">
        <v>129</v>
      </c>
      <c r="B50" s="68"/>
      <c r="C50" s="68" t="s">
        <v>130</v>
      </c>
      <c r="D50" s="96"/>
      <c r="E50" s="97"/>
      <c r="F50" s="56"/>
      <c r="G50" s="56"/>
      <c r="H50" s="89">
        <f t="shared" si="3"/>
        <v>0</v>
      </c>
    </row>
    <row r="51" spans="1:8" ht="15.6" x14ac:dyDescent="0.3">
      <c r="A51" s="95"/>
      <c r="B51" s="68"/>
      <c r="C51" s="98" t="s">
        <v>131</v>
      </c>
      <c r="D51" s="96" t="s">
        <v>132</v>
      </c>
      <c r="E51" s="56" t="s">
        <v>62</v>
      </c>
      <c r="F51" s="99">
        <f>(2.5+1.3)*2*2.8</f>
        <v>21.279999999999998</v>
      </c>
      <c r="G51" s="161"/>
      <c r="H51" s="163">
        <f t="shared" si="3"/>
        <v>0</v>
      </c>
    </row>
    <row r="52" spans="1:8" ht="15.6" x14ac:dyDescent="0.3">
      <c r="A52" s="95"/>
      <c r="B52" s="68"/>
      <c r="C52" s="98" t="s">
        <v>133</v>
      </c>
      <c r="D52" s="96" t="s">
        <v>134</v>
      </c>
      <c r="E52" s="56" t="s">
        <v>62</v>
      </c>
      <c r="F52" s="99">
        <f>(2+1.2)*2*2.5</f>
        <v>16</v>
      </c>
      <c r="G52" s="161"/>
      <c r="H52" s="163">
        <f t="shared" si="3"/>
        <v>0</v>
      </c>
    </row>
    <row r="53" spans="1:8" ht="15.6" x14ac:dyDescent="0.3">
      <c r="A53" s="95"/>
      <c r="B53" s="68"/>
      <c r="C53" s="98" t="s">
        <v>135</v>
      </c>
      <c r="D53" s="96" t="s">
        <v>136</v>
      </c>
      <c r="E53" s="56" t="s">
        <v>62</v>
      </c>
      <c r="F53" s="99">
        <v>5</v>
      </c>
      <c r="G53" s="161"/>
      <c r="H53" s="163">
        <f t="shared" si="3"/>
        <v>0</v>
      </c>
    </row>
    <row r="54" spans="1:8" ht="15.6" x14ac:dyDescent="0.3">
      <c r="A54" s="95"/>
      <c r="B54" s="68"/>
      <c r="C54" s="98" t="s">
        <v>137</v>
      </c>
      <c r="D54" s="96" t="s">
        <v>136</v>
      </c>
      <c r="E54" s="56" t="s">
        <v>62</v>
      </c>
      <c r="F54" s="99">
        <v>5</v>
      </c>
      <c r="G54" s="161"/>
      <c r="H54" s="163">
        <f t="shared" si="3"/>
        <v>0</v>
      </c>
    </row>
    <row r="55" spans="1:8" ht="15.6" x14ac:dyDescent="0.3">
      <c r="A55" s="95" t="s">
        <v>138</v>
      </c>
      <c r="B55" s="68"/>
      <c r="C55" s="68" t="s">
        <v>139</v>
      </c>
      <c r="D55" s="96"/>
      <c r="E55" s="56"/>
      <c r="F55" s="56"/>
      <c r="G55" s="56"/>
      <c r="H55" s="89">
        <f t="shared" si="3"/>
        <v>0</v>
      </c>
    </row>
    <row r="56" spans="1:8" ht="15.6" x14ac:dyDescent="0.3">
      <c r="A56" s="95"/>
      <c r="B56" s="68"/>
      <c r="C56" s="98" t="s">
        <v>140</v>
      </c>
      <c r="D56" s="96" t="s">
        <v>141</v>
      </c>
      <c r="E56" s="56" t="s">
        <v>62</v>
      </c>
      <c r="F56" s="99">
        <f>(2.5+2)*2*2.5</f>
        <v>22.5</v>
      </c>
      <c r="G56" s="161"/>
      <c r="H56" s="163">
        <f t="shared" si="3"/>
        <v>0</v>
      </c>
    </row>
    <row r="57" spans="1:8" ht="15.6" x14ac:dyDescent="0.3">
      <c r="A57" s="100"/>
      <c r="B57" s="68"/>
      <c r="C57" s="98" t="s">
        <v>142</v>
      </c>
      <c r="D57" s="96" t="s">
        <v>143</v>
      </c>
      <c r="E57" s="56" t="s">
        <v>62</v>
      </c>
      <c r="F57" s="99">
        <f>(1.5+2+1.5)*2.8</f>
        <v>14</v>
      </c>
      <c r="G57" s="161"/>
      <c r="H57" s="163">
        <f t="shared" si="3"/>
        <v>0</v>
      </c>
    </row>
    <row r="58" spans="1:8" ht="15.6" x14ac:dyDescent="0.3">
      <c r="A58" s="100"/>
      <c r="B58" s="68"/>
      <c r="C58" s="98" t="s">
        <v>144</v>
      </c>
      <c r="D58" s="96" t="s">
        <v>145</v>
      </c>
      <c r="E58" s="56" t="s">
        <v>62</v>
      </c>
      <c r="F58" s="99">
        <f>2*2.8</f>
        <v>5.6</v>
      </c>
      <c r="G58" s="161"/>
      <c r="H58" s="163">
        <f t="shared" si="3"/>
        <v>0</v>
      </c>
    </row>
    <row r="59" spans="1:8" ht="15.6" x14ac:dyDescent="0.3">
      <c r="A59" s="72"/>
      <c r="B59" s="73"/>
      <c r="C59" s="73"/>
      <c r="D59" s="101" t="s">
        <v>146</v>
      </c>
      <c r="E59" s="75"/>
      <c r="F59" s="75"/>
      <c r="G59" s="75"/>
      <c r="H59" s="86">
        <f>SUM(H45:H58)</f>
        <v>42668000</v>
      </c>
    </row>
    <row r="60" spans="1:8" ht="15.6" x14ac:dyDescent="0.3">
      <c r="A60" s="78" t="s">
        <v>25</v>
      </c>
      <c r="B60" s="79" t="s">
        <v>26</v>
      </c>
      <c r="C60" s="79"/>
      <c r="D60" s="102"/>
      <c r="E60" s="56"/>
      <c r="F60" s="56"/>
      <c r="G60" s="75"/>
      <c r="H60" s="86"/>
    </row>
    <row r="61" spans="1:8" ht="15.6" x14ac:dyDescent="0.3">
      <c r="A61" s="67">
        <v>1</v>
      </c>
      <c r="B61" s="68" t="s">
        <v>147</v>
      </c>
      <c r="C61" s="79"/>
      <c r="D61" s="103" t="s">
        <v>148</v>
      </c>
      <c r="E61" s="56" t="s">
        <v>62</v>
      </c>
      <c r="F61" s="99">
        <f>(9*4)/0.866+(4*6)/0.866</f>
        <v>69.284064665127019</v>
      </c>
      <c r="G61" s="161"/>
      <c r="H61" s="164">
        <f>F61*G61</f>
        <v>0</v>
      </c>
    </row>
    <row r="62" spans="1:8" ht="15.6" x14ac:dyDescent="0.3">
      <c r="A62" s="67">
        <v>2</v>
      </c>
      <c r="B62" s="68" t="s">
        <v>149</v>
      </c>
      <c r="C62" s="68"/>
      <c r="D62" s="103" t="s">
        <v>150</v>
      </c>
      <c r="E62" s="56" t="s">
        <v>62</v>
      </c>
      <c r="F62" s="99">
        <f>F61</f>
        <v>69.284064665127019</v>
      </c>
      <c r="G62" s="56">
        <v>40000</v>
      </c>
      <c r="H62" s="104">
        <f t="shared" ref="H62:H70" si="4">F62*G62</f>
        <v>2771362.5866050809</v>
      </c>
    </row>
    <row r="63" spans="1:8" ht="15.6" x14ac:dyDescent="0.3">
      <c r="A63" s="67">
        <v>3</v>
      </c>
      <c r="B63" s="242" t="s">
        <v>151</v>
      </c>
      <c r="C63" s="242"/>
      <c r="D63" s="103" t="str">
        <f>+D62</f>
        <v xml:space="preserve">ex Cisangkan </v>
      </c>
      <c r="E63" s="56" t="s">
        <v>69</v>
      </c>
      <c r="F63" s="99">
        <f>4.5+4.5</f>
        <v>9</v>
      </c>
      <c r="G63" s="56">
        <v>25000</v>
      </c>
      <c r="H63" s="104">
        <f t="shared" si="4"/>
        <v>225000</v>
      </c>
    </row>
    <row r="64" spans="1:8" ht="15.6" x14ac:dyDescent="0.3">
      <c r="A64" s="67">
        <v>4</v>
      </c>
      <c r="B64" s="242" t="s">
        <v>152</v>
      </c>
      <c r="C64" s="242"/>
      <c r="D64" s="96"/>
      <c r="E64" s="56" t="s">
        <v>69</v>
      </c>
      <c r="F64" s="99">
        <v>9</v>
      </c>
      <c r="G64" s="56">
        <v>15000</v>
      </c>
      <c r="H64" s="104">
        <f t="shared" si="4"/>
        <v>135000</v>
      </c>
    </row>
    <row r="65" spans="1:8" ht="15.6" x14ac:dyDescent="0.3">
      <c r="A65" s="67">
        <v>5</v>
      </c>
      <c r="B65" s="242" t="s">
        <v>153</v>
      </c>
      <c r="C65" s="242"/>
      <c r="D65" s="103"/>
      <c r="E65" s="56" t="s">
        <v>69</v>
      </c>
      <c r="F65" s="99">
        <v>5</v>
      </c>
      <c r="G65" s="56">
        <v>15000</v>
      </c>
      <c r="H65" s="104">
        <f t="shared" si="4"/>
        <v>75000</v>
      </c>
    </row>
    <row r="66" spans="1:8" ht="15.6" x14ac:dyDescent="0.3">
      <c r="A66" s="67">
        <v>6</v>
      </c>
      <c r="B66" s="68" t="s">
        <v>154</v>
      </c>
      <c r="C66" s="68"/>
      <c r="D66" s="103"/>
      <c r="E66" s="56" t="s">
        <v>69</v>
      </c>
      <c r="F66" s="99">
        <f>18</f>
        <v>18</v>
      </c>
      <c r="G66" s="161"/>
      <c r="H66" s="164">
        <f t="shared" si="4"/>
        <v>0</v>
      </c>
    </row>
    <row r="67" spans="1:8" ht="15.6" x14ac:dyDescent="0.3">
      <c r="A67" s="67">
        <v>7</v>
      </c>
      <c r="B67" s="68" t="s">
        <v>155</v>
      </c>
      <c r="C67" s="68"/>
      <c r="D67" s="103"/>
      <c r="E67" s="56" t="s">
        <v>69</v>
      </c>
      <c r="F67" s="99">
        <v>10</v>
      </c>
      <c r="G67" s="56">
        <v>150000</v>
      </c>
      <c r="H67" s="104">
        <f t="shared" si="4"/>
        <v>1500000</v>
      </c>
    </row>
    <row r="68" spans="1:8" ht="15.6" x14ac:dyDescent="0.3">
      <c r="A68" s="67">
        <v>8</v>
      </c>
      <c r="B68" s="243" t="s">
        <v>156</v>
      </c>
      <c r="C68" s="244"/>
      <c r="D68" s="103" t="s">
        <v>157</v>
      </c>
      <c r="E68" s="56" t="s">
        <v>62</v>
      </c>
      <c r="F68" s="99">
        <f>F61</f>
        <v>69.284064665127019</v>
      </c>
      <c r="G68" s="56">
        <v>5000</v>
      </c>
      <c r="H68" s="104">
        <f t="shared" si="4"/>
        <v>346420.32332563511</v>
      </c>
    </row>
    <row r="69" spans="1:8" ht="15.6" x14ac:dyDescent="0.3">
      <c r="A69" s="67">
        <v>9</v>
      </c>
      <c r="B69" s="68" t="s">
        <v>158</v>
      </c>
      <c r="C69" s="68"/>
      <c r="D69" s="96" t="s">
        <v>159</v>
      </c>
      <c r="E69" s="56"/>
      <c r="F69" s="99"/>
      <c r="G69" s="56"/>
      <c r="H69" s="104">
        <f t="shared" si="4"/>
        <v>0</v>
      </c>
    </row>
    <row r="70" spans="1:8" ht="15.6" x14ac:dyDescent="0.3">
      <c r="A70" s="67"/>
      <c r="B70" s="68" t="s">
        <v>160</v>
      </c>
      <c r="C70" s="68"/>
      <c r="D70" s="96" t="s">
        <v>161</v>
      </c>
      <c r="E70" s="56" t="s">
        <v>62</v>
      </c>
      <c r="F70" s="99">
        <f>(3*4)+(8)+(3*2.5)</f>
        <v>27.5</v>
      </c>
      <c r="G70" s="56">
        <v>30000</v>
      </c>
      <c r="H70" s="104">
        <f t="shared" si="4"/>
        <v>825000</v>
      </c>
    </row>
    <row r="71" spans="1:8" ht="15.6" x14ac:dyDescent="0.3">
      <c r="A71" s="67">
        <v>10</v>
      </c>
      <c r="B71" s="68" t="s">
        <v>147</v>
      </c>
      <c r="C71" s="79" t="s">
        <v>440</v>
      </c>
      <c r="D71" s="103" t="s">
        <v>148</v>
      </c>
      <c r="E71" s="56" t="s">
        <v>62</v>
      </c>
      <c r="F71" s="99">
        <f>3*6</f>
        <v>18</v>
      </c>
      <c r="G71" s="56">
        <v>50000</v>
      </c>
      <c r="H71" s="104">
        <f>F71*G71</f>
        <v>900000</v>
      </c>
    </row>
    <row r="72" spans="1:8" ht="15.6" x14ac:dyDescent="0.3">
      <c r="A72" s="67"/>
      <c r="B72" s="68" t="s">
        <v>439</v>
      </c>
      <c r="C72" s="79" t="s">
        <v>440</v>
      </c>
      <c r="D72" s="103"/>
      <c r="E72" s="56" t="s">
        <v>62</v>
      </c>
      <c r="F72" s="99">
        <f>F71</f>
        <v>18</v>
      </c>
      <c r="G72" s="56">
        <v>50000</v>
      </c>
      <c r="H72" s="104">
        <f t="shared" ref="H72" si="5">F72*G72</f>
        <v>900000</v>
      </c>
    </row>
    <row r="73" spans="1:8" ht="15.6" x14ac:dyDescent="0.3">
      <c r="A73" s="72"/>
      <c r="B73" s="73"/>
      <c r="C73" s="73"/>
      <c r="D73" s="101" t="s">
        <v>162</v>
      </c>
      <c r="E73" s="75"/>
      <c r="F73" s="75"/>
      <c r="G73" s="75"/>
      <c r="H73" s="86">
        <f>SUM(H61:H72)</f>
        <v>7677782.9099307163</v>
      </c>
    </row>
    <row r="74" spans="1:8" ht="15.6" x14ac:dyDescent="0.3">
      <c r="A74" s="78" t="s">
        <v>27</v>
      </c>
      <c r="B74" s="79" t="s">
        <v>28</v>
      </c>
      <c r="C74" s="79"/>
      <c r="D74" s="102"/>
      <c r="E74" s="56"/>
      <c r="F74" s="56"/>
      <c r="G74" s="56"/>
      <c r="H74" s="89">
        <v>0</v>
      </c>
    </row>
    <row r="75" spans="1:8" ht="15.6" x14ac:dyDescent="0.3">
      <c r="A75" s="67">
        <v>1</v>
      </c>
      <c r="B75" s="68" t="s">
        <v>163</v>
      </c>
      <c r="C75" s="68"/>
      <c r="D75" s="96" t="s">
        <v>164</v>
      </c>
      <c r="E75" s="56" t="s">
        <v>62</v>
      </c>
      <c r="F75" s="99">
        <v>200</v>
      </c>
      <c r="G75" s="161"/>
      <c r="H75" s="163">
        <f>F75*G75</f>
        <v>0</v>
      </c>
    </row>
    <row r="76" spans="1:8" ht="15.6" x14ac:dyDescent="0.3">
      <c r="A76" s="67"/>
      <c r="B76" s="79" t="s">
        <v>165</v>
      </c>
      <c r="C76" s="68"/>
      <c r="D76" s="96"/>
      <c r="E76" s="56"/>
      <c r="F76" s="99"/>
      <c r="G76" s="56"/>
      <c r="H76" s="89">
        <f t="shared" ref="H76:H83" si="6">F76*G76</f>
        <v>0</v>
      </c>
    </row>
    <row r="77" spans="1:8" ht="15.6" x14ac:dyDescent="0.3">
      <c r="A77" s="67">
        <v>2</v>
      </c>
      <c r="B77" s="68" t="s">
        <v>166</v>
      </c>
      <c r="C77" s="68"/>
      <c r="D77" s="96"/>
      <c r="E77" s="56"/>
      <c r="F77" s="99"/>
      <c r="G77" s="56"/>
      <c r="H77" s="89">
        <f t="shared" si="6"/>
        <v>0</v>
      </c>
    </row>
    <row r="78" spans="1:8" ht="15.6" x14ac:dyDescent="0.3">
      <c r="A78" s="67"/>
      <c r="B78" s="105" t="s">
        <v>167</v>
      </c>
      <c r="C78" s="68"/>
      <c r="D78" s="96" t="s">
        <v>168</v>
      </c>
      <c r="E78" s="56" t="s">
        <v>69</v>
      </c>
      <c r="F78" s="99">
        <v>162</v>
      </c>
      <c r="G78" s="161"/>
      <c r="H78" s="163">
        <f t="shared" si="6"/>
        <v>0</v>
      </c>
    </row>
    <row r="79" spans="1:8" ht="15.6" x14ac:dyDescent="0.3">
      <c r="A79" s="67"/>
      <c r="B79" s="105" t="s">
        <v>169</v>
      </c>
      <c r="C79" s="68"/>
      <c r="D79" s="96" t="s">
        <v>170</v>
      </c>
      <c r="E79" s="56" t="s">
        <v>69</v>
      </c>
      <c r="F79" s="99">
        <v>67</v>
      </c>
      <c r="G79" s="161"/>
      <c r="H79" s="163">
        <f t="shared" si="6"/>
        <v>0</v>
      </c>
    </row>
    <row r="80" spans="1:8" ht="15.6" x14ac:dyDescent="0.3">
      <c r="A80" s="67">
        <v>3</v>
      </c>
      <c r="B80" s="68" t="s">
        <v>171</v>
      </c>
      <c r="C80" s="68"/>
      <c r="D80" s="96" t="s">
        <v>172</v>
      </c>
      <c r="E80" s="56" t="s">
        <v>62</v>
      </c>
      <c r="F80" s="99">
        <v>17.600000000000001</v>
      </c>
      <c r="G80" s="56">
        <v>30000</v>
      </c>
      <c r="H80" s="89">
        <f t="shared" si="6"/>
        <v>528000</v>
      </c>
    </row>
    <row r="81" spans="1:8" ht="15.6" x14ac:dyDescent="0.3">
      <c r="A81" s="67">
        <v>4</v>
      </c>
      <c r="B81" s="68" t="s">
        <v>173</v>
      </c>
      <c r="C81" s="68"/>
      <c r="D81" s="96" t="s">
        <v>174</v>
      </c>
      <c r="E81" s="56" t="s">
        <v>175</v>
      </c>
      <c r="F81" s="106">
        <v>1</v>
      </c>
      <c r="G81" s="161"/>
      <c r="H81" s="163">
        <f t="shared" si="6"/>
        <v>0</v>
      </c>
    </row>
    <row r="82" spans="1:8" ht="15.6" x14ac:dyDescent="0.3">
      <c r="A82" s="67">
        <v>5</v>
      </c>
      <c r="B82" s="68" t="s">
        <v>176</v>
      </c>
      <c r="C82" s="68"/>
      <c r="D82" s="96" t="s">
        <v>177</v>
      </c>
      <c r="E82" s="56" t="s">
        <v>69</v>
      </c>
      <c r="F82" s="106">
        <v>66</v>
      </c>
      <c r="G82" s="161"/>
      <c r="H82" s="163">
        <f t="shared" si="6"/>
        <v>0</v>
      </c>
    </row>
    <row r="83" spans="1:8" ht="15.6" x14ac:dyDescent="0.3">
      <c r="A83" s="67">
        <v>6</v>
      </c>
      <c r="B83" s="68" t="s">
        <v>178</v>
      </c>
      <c r="C83" s="68"/>
      <c r="E83" s="56" t="s">
        <v>69</v>
      </c>
      <c r="F83" s="99">
        <v>33</v>
      </c>
      <c r="G83" s="161"/>
      <c r="H83" s="163">
        <f t="shared" si="6"/>
        <v>0</v>
      </c>
    </row>
    <row r="84" spans="1:8" ht="15.6" x14ac:dyDescent="0.3">
      <c r="A84" s="72"/>
      <c r="B84" s="73"/>
      <c r="C84" s="73"/>
      <c r="D84" s="101" t="s">
        <v>179</v>
      </c>
      <c r="E84" s="75"/>
      <c r="F84" s="75"/>
      <c r="G84" s="56"/>
      <c r="H84" s="107">
        <f>SUM(H74:H83)</f>
        <v>528000</v>
      </c>
    </row>
    <row r="85" spans="1:8" ht="15.6" x14ac:dyDescent="0.3">
      <c r="A85" s="78" t="s">
        <v>29</v>
      </c>
      <c r="B85" s="79" t="s">
        <v>30</v>
      </c>
      <c r="C85" s="79"/>
      <c r="D85" s="102"/>
      <c r="E85" s="56"/>
      <c r="F85" s="56"/>
      <c r="G85" s="56"/>
      <c r="H85" s="89"/>
    </row>
    <row r="86" spans="1:8" ht="15.6" x14ac:dyDescent="0.3">
      <c r="A86" s="108">
        <v>1</v>
      </c>
      <c r="B86" s="68" t="s">
        <v>180</v>
      </c>
      <c r="C86" s="68"/>
      <c r="D86" s="96" t="s">
        <v>181</v>
      </c>
      <c r="E86" s="56" t="s">
        <v>62</v>
      </c>
      <c r="F86" s="99">
        <f>'[1]LUASAN '!F18</f>
        <v>127.75</v>
      </c>
      <c r="G86" s="56">
        <v>2000</v>
      </c>
      <c r="H86" s="89">
        <f>F86*G86</f>
        <v>255500</v>
      </c>
    </row>
    <row r="87" spans="1:8" ht="15.6" x14ac:dyDescent="0.3">
      <c r="A87" s="108">
        <v>2</v>
      </c>
      <c r="B87" s="68" t="s">
        <v>182</v>
      </c>
      <c r="C87" s="68"/>
      <c r="D87" s="96" t="s">
        <v>183</v>
      </c>
      <c r="E87" s="56" t="s">
        <v>77</v>
      </c>
      <c r="F87" s="99">
        <f>F86*0.05</f>
        <v>6.3875000000000002</v>
      </c>
      <c r="G87" s="56">
        <v>50000</v>
      </c>
      <c r="H87" s="89">
        <f t="shared" ref="H87:H119" si="7">F87*G87</f>
        <v>319375</v>
      </c>
    </row>
    <row r="88" spans="1:8" ht="15.6" x14ac:dyDescent="0.3">
      <c r="A88" s="108">
        <v>3</v>
      </c>
      <c r="B88" s="68" t="s">
        <v>184</v>
      </c>
      <c r="C88" s="68"/>
      <c r="D88" s="96" t="s">
        <v>185</v>
      </c>
      <c r="E88" s="56"/>
      <c r="F88" s="56"/>
      <c r="G88" s="56"/>
      <c r="H88" s="89">
        <f t="shared" si="7"/>
        <v>0</v>
      </c>
    </row>
    <row r="89" spans="1:8" ht="15.6" x14ac:dyDescent="0.3">
      <c r="A89" s="95" t="s">
        <v>129</v>
      </c>
      <c r="B89" s="68"/>
      <c r="C89" s="68" t="s">
        <v>186</v>
      </c>
      <c r="D89" s="96" t="s">
        <v>187</v>
      </c>
      <c r="E89" s="56" t="s">
        <v>69</v>
      </c>
      <c r="F89" s="99">
        <f>(9+9+8+2)+(4+4+5)</f>
        <v>41</v>
      </c>
      <c r="G89" s="56">
        <v>15000</v>
      </c>
      <c r="H89" s="89">
        <f t="shared" si="7"/>
        <v>615000</v>
      </c>
    </row>
    <row r="90" spans="1:8" ht="15.6" x14ac:dyDescent="0.3">
      <c r="A90" s="95" t="s">
        <v>138</v>
      </c>
      <c r="B90" s="68"/>
      <c r="C90" s="68" t="s">
        <v>188</v>
      </c>
      <c r="D90" s="96" t="s">
        <v>189</v>
      </c>
      <c r="E90" s="56" t="s">
        <v>69</v>
      </c>
      <c r="F90" s="99">
        <f>(2*4)</f>
        <v>8</v>
      </c>
      <c r="G90" s="56">
        <v>15000</v>
      </c>
      <c r="H90" s="89">
        <f t="shared" si="7"/>
        <v>120000</v>
      </c>
    </row>
    <row r="91" spans="1:8" ht="15.6" x14ac:dyDescent="0.3">
      <c r="A91" s="108">
        <v>4</v>
      </c>
      <c r="B91" s="68" t="s">
        <v>190</v>
      </c>
      <c r="C91" s="73"/>
      <c r="D91" s="96"/>
      <c r="E91" s="56"/>
      <c r="F91" s="99"/>
      <c r="G91" s="56"/>
      <c r="H91" s="89">
        <f t="shared" si="7"/>
        <v>0</v>
      </c>
    </row>
    <row r="92" spans="1:8" ht="15.6" x14ac:dyDescent="0.3">
      <c r="A92" s="95" t="s">
        <v>129</v>
      </c>
      <c r="B92" s="68"/>
      <c r="C92" s="68" t="s">
        <v>191</v>
      </c>
      <c r="D92" s="96" t="s">
        <v>187</v>
      </c>
      <c r="E92" s="56" t="s">
        <v>69</v>
      </c>
      <c r="F92" s="99">
        <f>(3+4)*4+(4+4+5+5)</f>
        <v>46</v>
      </c>
      <c r="G92" s="56">
        <v>15000</v>
      </c>
      <c r="H92" s="89">
        <f t="shared" si="7"/>
        <v>690000</v>
      </c>
    </row>
    <row r="93" spans="1:8" ht="15.6" x14ac:dyDescent="0.3">
      <c r="A93" s="95" t="s">
        <v>138</v>
      </c>
      <c r="B93" s="68"/>
      <c r="C93" s="68" t="s">
        <v>192</v>
      </c>
      <c r="D93" s="96" t="s">
        <v>193</v>
      </c>
      <c r="E93" s="56" t="s">
        <v>69</v>
      </c>
      <c r="F93" s="99">
        <f>3.8+3.2+3.2+5</f>
        <v>15.2</v>
      </c>
      <c r="G93" s="56">
        <v>15000</v>
      </c>
      <c r="H93" s="89">
        <f t="shared" si="7"/>
        <v>228000</v>
      </c>
    </row>
    <row r="94" spans="1:8" ht="15.6" x14ac:dyDescent="0.3">
      <c r="A94" s="108">
        <v>5</v>
      </c>
      <c r="B94" s="68" t="s">
        <v>194</v>
      </c>
      <c r="C94" s="73"/>
      <c r="D94" s="96"/>
      <c r="E94" s="56"/>
      <c r="F94" s="99"/>
      <c r="G94" s="56"/>
      <c r="H94" s="89">
        <f t="shared" si="7"/>
        <v>0</v>
      </c>
    </row>
    <row r="95" spans="1:8" ht="15.6" x14ac:dyDescent="0.3">
      <c r="A95" s="95" t="s">
        <v>129</v>
      </c>
      <c r="B95" s="68"/>
      <c r="C95" s="68" t="s">
        <v>195</v>
      </c>
      <c r="D95" s="96" t="s">
        <v>196</v>
      </c>
      <c r="E95" s="56" t="s">
        <v>69</v>
      </c>
      <c r="F95" s="99">
        <f>8+8+3.2+3.2</f>
        <v>22.4</v>
      </c>
      <c r="G95" s="56">
        <v>15000</v>
      </c>
      <c r="H95" s="89">
        <f t="shared" si="7"/>
        <v>336000</v>
      </c>
    </row>
    <row r="96" spans="1:8" ht="15.6" x14ac:dyDescent="0.3">
      <c r="A96" s="95"/>
      <c r="B96" s="68"/>
      <c r="C96" s="68"/>
      <c r="D96" s="96"/>
      <c r="E96" s="56"/>
      <c r="F96" s="99"/>
      <c r="G96" s="56"/>
      <c r="H96" s="89"/>
    </row>
    <row r="97" spans="1:8" ht="15.6" x14ac:dyDescent="0.3">
      <c r="A97" s="108">
        <v>6</v>
      </c>
      <c r="B97" s="68" t="s">
        <v>197</v>
      </c>
      <c r="C97" s="73" t="s">
        <v>198</v>
      </c>
      <c r="D97" s="96" t="s">
        <v>199</v>
      </c>
      <c r="E97" s="56" t="s">
        <v>62</v>
      </c>
      <c r="F97" s="99">
        <f>5*6*0.1</f>
        <v>3</v>
      </c>
      <c r="G97" s="56">
        <v>250000</v>
      </c>
      <c r="H97" s="229">
        <f t="shared" si="7"/>
        <v>750000</v>
      </c>
    </row>
    <row r="98" spans="1:8" ht="15.6" x14ac:dyDescent="0.3">
      <c r="A98" s="108">
        <v>7</v>
      </c>
      <c r="B98" s="68" t="s">
        <v>200</v>
      </c>
      <c r="C98" s="73" t="s">
        <v>201</v>
      </c>
      <c r="D98" s="96" t="s">
        <v>202</v>
      </c>
      <c r="E98" s="56" t="s">
        <v>62</v>
      </c>
      <c r="F98" s="99">
        <f>8*1.5</f>
        <v>12</v>
      </c>
      <c r="G98" s="161"/>
      <c r="H98" s="163">
        <f t="shared" si="7"/>
        <v>0</v>
      </c>
    </row>
    <row r="99" spans="1:8" ht="15.6" x14ac:dyDescent="0.3">
      <c r="A99" s="108">
        <v>8</v>
      </c>
      <c r="B99" s="68" t="s">
        <v>203</v>
      </c>
      <c r="C99" s="68"/>
      <c r="D99" s="96" t="s">
        <v>204</v>
      </c>
      <c r="E99" s="56" t="s">
        <v>77</v>
      </c>
      <c r="F99" s="99">
        <f>F110+F112</f>
        <v>5.4</v>
      </c>
      <c r="G99" s="56">
        <v>25000</v>
      </c>
      <c r="H99" s="89">
        <f t="shared" si="7"/>
        <v>135000</v>
      </c>
    </row>
    <row r="100" spans="1:8" ht="15.6" x14ac:dyDescent="0.3">
      <c r="A100" s="108">
        <v>9</v>
      </c>
      <c r="B100" s="68" t="s">
        <v>205</v>
      </c>
      <c r="C100" s="68"/>
      <c r="D100" s="96"/>
      <c r="E100" s="56"/>
      <c r="F100" s="56"/>
      <c r="G100" s="56"/>
      <c r="H100" s="89">
        <f t="shared" si="7"/>
        <v>0</v>
      </c>
    </row>
    <row r="101" spans="1:8" ht="15.6" x14ac:dyDescent="0.3">
      <c r="A101" s="109" t="s">
        <v>129</v>
      </c>
      <c r="B101" s="110"/>
      <c r="C101" s="68" t="s">
        <v>206</v>
      </c>
      <c r="D101" s="96" t="s">
        <v>207</v>
      </c>
      <c r="E101" s="56" t="s">
        <v>62</v>
      </c>
      <c r="F101" s="99">
        <f>'[1]LUASAN '!F5+'[1]LUASAN '!F6</f>
        <v>6</v>
      </c>
      <c r="G101" s="161"/>
      <c r="H101" s="163">
        <f t="shared" si="7"/>
        <v>0</v>
      </c>
    </row>
    <row r="102" spans="1:8" ht="15.6" x14ac:dyDescent="0.3">
      <c r="A102" s="109" t="s">
        <v>138</v>
      </c>
      <c r="B102" s="110"/>
      <c r="C102" s="68" t="s">
        <v>208</v>
      </c>
      <c r="D102" s="96" t="s">
        <v>209</v>
      </c>
      <c r="E102" s="56"/>
      <c r="F102" s="99"/>
      <c r="G102" s="56"/>
      <c r="H102" s="89"/>
    </row>
    <row r="103" spans="1:8" ht="15.6" x14ac:dyDescent="0.3">
      <c r="A103" s="95" t="s">
        <v>210</v>
      </c>
      <c r="B103" s="68"/>
      <c r="C103" s="68" t="s">
        <v>211</v>
      </c>
      <c r="D103" s="111" t="s">
        <v>212</v>
      </c>
      <c r="E103" s="56" t="s">
        <v>62</v>
      </c>
      <c r="F103" s="99">
        <f>'[1]LUASAN '!F7+'[1]LUASAN '!F8+'[1]LUASAN '!F10+'[1]LUASAN '!F11</f>
        <v>64</v>
      </c>
      <c r="G103" s="161"/>
      <c r="H103" s="163">
        <f t="shared" si="7"/>
        <v>0</v>
      </c>
    </row>
    <row r="104" spans="1:8" ht="15.6" x14ac:dyDescent="0.3">
      <c r="A104" s="95" t="s">
        <v>213</v>
      </c>
      <c r="B104" s="92"/>
      <c r="C104" s="112" t="s">
        <v>131</v>
      </c>
      <c r="D104" s="96" t="s">
        <v>214</v>
      </c>
      <c r="E104" s="56" t="s">
        <v>62</v>
      </c>
      <c r="F104" s="99">
        <f>'[1]LUASAN '!F9</f>
        <v>3.75</v>
      </c>
      <c r="G104" s="161"/>
      <c r="H104" s="163">
        <f t="shared" si="7"/>
        <v>0</v>
      </c>
    </row>
    <row r="105" spans="1:8" ht="15.6" x14ac:dyDescent="0.3">
      <c r="A105" s="95" t="s">
        <v>215</v>
      </c>
      <c r="B105" s="92"/>
      <c r="C105" s="112" t="s">
        <v>133</v>
      </c>
      <c r="D105" s="96" t="s">
        <v>216</v>
      </c>
      <c r="E105" s="56" t="s">
        <v>62</v>
      </c>
      <c r="F105" s="99">
        <f>'[1]LUASAN '!F14</f>
        <v>2</v>
      </c>
      <c r="G105" s="161"/>
      <c r="H105" s="163">
        <f t="shared" si="7"/>
        <v>0</v>
      </c>
    </row>
    <row r="106" spans="1:8" ht="15.6" x14ac:dyDescent="0.3">
      <c r="A106" s="95" t="s">
        <v>217</v>
      </c>
      <c r="B106" s="68"/>
      <c r="C106" s="68" t="s">
        <v>188</v>
      </c>
      <c r="D106" s="96" t="s">
        <v>218</v>
      </c>
      <c r="E106" s="56" t="s">
        <v>62</v>
      </c>
      <c r="F106" s="99">
        <f>'[1]LUASAN '!F13</f>
        <v>4</v>
      </c>
      <c r="G106" s="161"/>
      <c r="H106" s="163">
        <f t="shared" si="7"/>
        <v>0</v>
      </c>
    </row>
    <row r="107" spans="1:8" ht="15.6" x14ac:dyDescent="0.3">
      <c r="A107" s="95" t="s">
        <v>219</v>
      </c>
      <c r="B107" s="68"/>
      <c r="C107" s="68" t="s">
        <v>220</v>
      </c>
      <c r="D107" s="96" t="s">
        <v>207</v>
      </c>
      <c r="E107" s="56" t="s">
        <v>62</v>
      </c>
      <c r="F107" s="99">
        <f>'[1]LUASAN '!F12+'[1]LUASAN '!F15</f>
        <v>9</v>
      </c>
      <c r="G107" s="161"/>
      <c r="H107" s="163">
        <f t="shared" si="7"/>
        <v>0</v>
      </c>
    </row>
    <row r="108" spans="1:8" ht="15.6" x14ac:dyDescent="0.3">
      <c r="A108" s="95"/>
      <c r="B108" s="68"/>
      <c r="C108" s="68"/>
      <c r="D108" s="113"/>
      <c r="E108" s="56"/>
      <c r="F108" s="99"/>
      <c r="G108" s="56"/>
      <c r="H108" s="89"/>
    </row>
    <row r="109" spans="1:8" ht="15.6" x14ac:dyDescent="0.3">
      <c r="A109" s="108">
        <v>10</v>
      </c>
      <c r="B109" s="68" t="s">
        <v>221</v>
      </c>
      <c r="C109" s="68"/>
      <c r="D109" s="96"/>
      <c r="E109" s="56"/>
      <c r="F109" s="56"/>
      <c r="G109" s="56"/>
      <c r="H109" s="89">
        <f t="shared" si="7"/>
        <v>0</v>
      </c>
    </row>
    <row r="110" spans="1:8" ht="15.6" x14ac:dyDescent="0.3">
      <c r="A110" s="95" t="s">
        <v>129</v>
      </c>
      <c r="B110" s="68"/>
      <c r="C110" s="68" t="s">
        <v>222</v>
      </c>
      <c r="D110" s="96" t="s">
        <v>223</v>
      </c>
      <c r="E110" s="56" t="s">
        <v>62</v>
      </c>
      <c r="F110" s="99">
        <f>'[1]LUASAN '!F21-(1.5*0.9 )</f>
        <v>2.4</v>
      </c>
      <c r="G110" s="161"/>
      <c r="H110" s="163">
        <f t="shared" si="7"/>
        <v>0</v>
      </c>
    </row>
    <row r="111" spans="1:8" ht="15.6" x14ac:dyDescent="0.3">
      <c r="A111" s="95" t="s">
        <v>138</v>
      </c>
      <c r="B111" s="68"/>
      <c r="C111" s="68" t="s">
        <v>224</v>
      </c>
      <c r="D111" s="96" t="s">
        <v>225</v>
      </c>
      <c r="E111" s="56" t="s">
        <v>62</v>
      </c>
      <c r="F111" s="99">
        <f>1.5*1</f>
        <v>1.5</v>
      </c>
      <c r="G111" s="161"/>
      <c r="H111" s="163">
        <f t="shared" si="7"/>
        <v>0</v>
      </c>
    </row>
    <row r="112" spans="1:8" ht="15.6" x14ac:dyDescent="0.3">
      <c r="A112" s="95" t="s">
        <v>210</v>
      </c>
      <c r="B112" s="68"/>
      <c r="C112" s="112" t="s">
        <v>226</v>
      </c>
      <c r="D112" s="96" t="s">
        <v>223</v>
      </c>
      <c r="E112" s="56" t="s">
        <v>62</v>
      </c>
      <c r="F112" s="99">
        <f>'[1]LUASAN '!F25</f>
        <v>3</v>
      </c>
      <c r="G112" s="161"/>
      <c r="H112" s="163">
        <f t="shared" si="7"/>
        <v>0</v>
      </c>
    </row>
    <row r="113" spans="1:8" ht="15.6" x14ac:dyDescent="0.3">
      <c r="A113" s="95" t="s">
        <v>213</v>
      </c>
      <c r="B113" s="68"/>
      <c r="C113" s="68" t="s">
        <v>227</v>
      </c>
      <c r="D113" s="111" t="s">
        <v>212</v>
      </c>
      <c r="E113" s="56" t="s">
        <v>62</v>
      </c>
      <c r="F113" s="99">
        <f>'[1]LUASAN '!F23+'[1]LUASAN '!F24+'[1]LUASAN '!F26</f>
        <v>47.33</v>
      </c>
      <c r="G113" s="161"/>
      <c r="H113" s="163">
        <f t="shared" si="7"/>
        <v>0</v>
      </c>
    </row>
    <row r="114" spans="1:8" ht="15.6" x14ac:dyDescent="0.3">
      <c r="A114" s="95" t="s">
        <v>215</v>
      </c>
      <c r="B114" s="68"/>
      <c r="C114" s="68" t="s">
        <v>228</v>
      </c>
      <c r="D114" s="96" t="s">
        <v>209</v>
      </c>
      <c r="E114" s="56" t="s">
        <v>62</v>
      </c>
      <c r="F114" s="99">
        <f>'[1]LUASAN '!F20</f>
        <v>12.25</v>
      </c>
      <c r="G114" s="161"/>
      <c r="H114" s="163">
        <f t="shared" si="7"/>
        <v>0</v>
      </c>
    </row>
    <row r="115" spans="1:8" ht="15.6" x14ac:dyDescent="0.3">
      <c r="A115" s="108">
        <v>11</v>
      </c>
      <c r="B115" s="68" t="s">
        <v>229</v>
      </c>
      <c r="C115" s="68"/>
      <c r="D115" s="96"/>
      <c r="E115" s="56"/>
      <c r="F115" s="56"/>
      <c r="G115" s="56"/>
      <c r="H115" s="89">
        <f t="shared" si="7"/>
        <v>0</v>
      </c>
    </row>
    <row r="116" spans="1:8" ht="15.6" x14ac:dyDescent="0.3">
      <c r="A116" s="95" t="s">
        <v>129</v>
      </c>
      <c r="B116" s="68"/>
      <c r="C116" s="68" t="s">
        <v>230</v>
      </c>
      <c r="D116" s="111" t="s">
        <v>212</v>
      </c>
      <c r="E116" s="56" t="s">
        <v>62</v>
      </c>
      <c r="F116" s="99">
        <f>'[1]LUASAN '!F30</f>
        <v>25</v>
      </c>
      <c r="G116" s="161"/>
      <c r="H116" s="163">
        <f t="shared" si="7"/>
        <v>0</v>
      </c>
    </row>
    <row r="117" spans="1:8" ht="15.6" x14ac:dyDescent="0.3">
      <c r="A117" s="95" t="s">
        <v>138</v>
      </c>
      <c r="B117" s="68"/>
      <c r="C117" s="112" t="s">
        <v>231</v>
      </c>
      <c r="D117" s="96" t="s">
        <v>209</v>
      </c>
      <c r="E117" s="56" t="s">
        <v>62</v>
      </c>
      <c r="F117" s="99">
        <f>'[1]LUASAN '!F31</f>
        <v>7.0687499999999996</v>
      </c>
      <c r="G117" s="161"/>
      <c r="H117" s="163">
        <f t="shared" si="7"/>
        <v>0</v>
      </c>
    </row>
    <row r="118" spans="1:8" ht="15.6" x14ac:dyDescent="0.3">
      <c r="A118" s="108">
        <v>12</v>
      </c>
      <c r="B118" s="68" t="s">
        <v>232</v>
      </c>
      <c r="C118" s="68"/>
      <c r="D118" s="96" t="s">
        <v>233</v>
      </c>
      <c r="E118" s="56" t="s">
        <v>77</v>
      </c>
      <c r="F118" s="99">
        <f>F87</f>
        <v>6.3875000000000002</v>
      </c>
      <c r="G118" s="56">
        <v>250000</v>
      </c>
      <c r="H118" s="89">
        <f t="shared" si="7"/>
        <v>1596875</v>
      </c>
    </row>
    <row r="119" spans="1:8" ht="15.6" x14ac:dyDescent="0.3">
      <c r="A119" s="108">
        <v>13</v>
      </c>
      <c r="B119" s="68" t="s">
        <v>234</v>
      </c>
      <c r="C119" s="68"/>
      <c r="D119" s="96" t="s">
        <v>235</v>
      </c>
      <c r="E119" s="56" t="s">
        <v>62</v>
      </c>
      <c r="F119" s="99">
        <v>6</v>
      </c>
      <c r="G119" s="56">
        <v>50000</v>
      </c>
      <c r="H119" s="89">
        <f t="shared" si="7"/>
        <v>300000</v>
      </c>
    </row>
    <row r="120" spans="1:8" ht="15.6" x14ac:dyDescent="0.3">
      <c r="A120" s="72"/>
      <c r="B120" s="73"/>
      <c r="C120" s="73"/>
      <c r="D120" s="101" t="s">
        <v>236</v>
      </c>
      <c r="E120" s="75"/>
      <c r="F120" s="75"/>
      <c r="G120" s="56"/>
      <c r="H120" s="86">
        <f>SUM(H86:H119)</f>
        <v>5345750</v>
      </c>
    </row>
    <row r="121" spans="1:8" ht="15.6" x14ac:dyDescent="0.3">
      <c r="A121" s="78" t="s">
        <v>12</v>
      </c>
      <c r="B121" s="79" t="s">
        <v>31</v>
      </c>
      <c r="C121" s="79"/>
      <c r="D121" s="102"/>
      <c r="E121" s="56"/>
      <c r="F121" s="56"/>
      <c r="G121" s="56"/>
      <c r="H121" s="89"/>
    </row>
    <row r="122" spans="1:8" ht="15.6" x14ac:dyDescent="0.3">
      <c r="A122" s="108">
        <v>1</v>
      </c>
      <c r="B122" s="68" t="s">
        <v>237</v>
      </c>
      <c r="C122" s="68" t="s">
        <v>238</v>
      </c>
      <c r="D122" s="96" t="s">
        <v>239</v>
      </c>
      <c r="E122" s="56" t="s">
        <v>85</v>
      </c>
      <c r="F122" s="99">
        <v>1</v>
      </c>
      <c r="G122" s="161"/>
      <c r="H122" s="163">
        <f t="shared" ref="H122:H139" si="8">F122*G122</f>
        <v>0</v>
      </c>
    </row>
    <row r="123" spans="1:8" ht="15.6" x14ac:dyDescent="0.3">
      <c r="A123" s="108">
        <v>2</v>
      </c>
      <c r="B123" s="68" t="s">
        <v>240</v>
      </c>
      <c r="C123" s="68" t="s">
        <v>241</v>
      </c>
      <c r="D123" s="96" t="s">
        <v>242</v>
      </c>
      <c r="E123" s="56" t="s">
        <v>85</v>
      </c>
      <c r="F123" s="99">
        <v>4</v>
      </c>
      <c r="G123" s="161"/>
      <c r="H123" s="163">
        <f t="shared" si="8"/>
        <v>0</v>
      </c>
    </row>
    <row r="124" spans="1:8" ht="15.6" x14ac:dyDescent="0.3">
      <c r="A124" s="108">
        <v>3</v>
      </c>
      <c r="B124" s="68" t="s">
        <v>243</v>
      </c>
      <c r="C124" s="68" t="s">
        <v>244</v>
      </c>
      <c r="D124" s="96" t="s">
        <v>242</v>
      </c>
      <c r="E124" s="56" t="s">
        <v>85</v>
      </c>
      <c r="F124" s="99">
        <v>3</v>
      </c>
      <c r="G124" s="161"/>
      <c r="H124" s="163">
        <f t="shared" si="8"/>
        <v>0</v>
      </c>
    </row>
    <row r="125" spans="1:8" ht="15.6" x14ac:dyDescent="0.3">
      <c r="A125" s="108">
        <v>4</v>
      </c>
      <c r="B125" s="68" t="s">
        <v>245</v>
      </c>
      <c r="C125" s="68" t="s">
        <v>246</v>
      </c>
      <c r="D125" s="96" t="s">
        <v>242</v>
      </c>
      <c r="E125" s="56" t="s">
        <v>85</v>
      </c>
      <c r="F125" s="99">
        <v>1</v>
      </c>
      <c r="G125" s="161"/>
      <c r="H125" s="163">
        <f t="shared" si="8"/>
        <v>0</v>
      </c>
    </row>
    <row r="126" spans="1:8" ht="15.6" x14ac:dyDescent="0.3">
      <c r="A126" s="108">
        <v>5</v>
      </c>
      <c r="B126" s="68" t="s">
        <v>247</v>
      </c>
      <c r="C126" s="68" t="s">
        <v>248</v>
      </c>
      <c r="D126" s="96" t="s">
        <v>249</v>
      </c>
      <c r="E126" s="56" t="s">
        <v>85</v>
      </c>
      <c r="F126" s="99">
        <v>1</v>
      </c>
      <c r="G126" s="161"/>
      <c r="H126" s="163">
        <f t="shared" si="8"/>
        <v>0</v>
      </c>
    </row>
    <row r="127" spans="1:8" ht="15.6" x14ac:dyDescent="0.3">
      <c r="A127" s="108">
        <v>6</v>
      </c>
      <c r="B127" s="68" t="s">
        <v>250</v>
      </c>
      <c r="C127" s="68" t="s">
        <v>251</v>
      </c>
      <c r="D127" s="96" t="s">
        <v>252</v>
      </c>
      <c r="E127" s="56" t="s">
        <v>85</v>
      </c>
      <c r="F127" s="99">
        <v>1</v>
      </c>
      <c r="G127" s="161"/>
      <c r="H127" s="163">
        <f t="shared" si="8"/>
        <v>0</v>
      </c>
    </row>
    <row r="128" spans="1:8" ht="15.6" x14ac:dyDescent="0.3">
      <c r="A128" s="108">
        <v>7</v>
      </c>
      <c r="B128" s="68" t="s">
        <v>253</v>
      </c>
      <c r="C128" s="68" t="s">
        <v>254</v>
      </c>
      <c r="D128" s="96" t="s">
        <v>252</v>
      </c>
      <c r="E128" s="56" t="s">
        <v>85</v>
      </c>
      <c r="F128" s="99">
        <v>1</v>
      </c>
      <c r="G128" s="161"/>
      <c r="H128" s="163">
        <f t="shared" si="8"/>
        <v>0</v>
      </c>
    </row>
    <row r="129" spans="1:8" ht="15.6" x14ac:dyDescent="0.3">
      <c r="A129" s="108">
        <v>8</v>
      </c>
      <c r="B129" s="68" t="s">
        <v>253</v>
      </c>
      <c r="C129" s="68" t="s">
        <v>255</v>
      </c>
      <c r="D129" s="96" t="s">
        <v>256</v>
      </c>
      <c r="E129" s="56" t="s">
        <v>85</v>
      </c>
      <c r="F129" s="99">
        <v>1</v>
      </c>
      <c r="G129" s="161"/>
      <c r="H129" s="163">
        <f t="shared" si="8"/>
        <v>0</v>
      </c>
    </row>
    <row r="130" spans="1:8" ht="15.6" x14ac:dyDescent="0.3">
      <c r="A130" s="108">
        <v>9</v>
      </c>
      <c r="B130" s="68" t="s">
        <v>257</v>
      </c>
      <c r="C130" s="68"/>
      <c r="D130" s="96" t="s">
        <v>258</v>
      </c>
      <c r="E130" s="56" t="s">
        <v>85</v>
      </c>
      <c r="F130" s="99">
        <v>1</v>
      </c>
      <c r="G130" s="161"/>
      <c r="H130" s="163">
        <f t="shared" si="8"/>
        <v>0</v>
      </c>
    </row>
    <row r="131" spans="1:8" ht="15.6" x14ac:dyDescent="0.3">
      <c r="A131" s="108">
        <v>10</v>
      </c>
      <c r="B131" s="68" t="s">
        <v>259</v>
      </c>
      <c r="C131" s="68"/>
      <c r="D131" s="96" t="s">
        <v>260</v>
      </c>
      <c r="E131" s="56" t="s">
        <v>85</v>
      </c>
      <c r="F131" s="99">
        <v>1</v>
      </c>
      <c r="G131" s="161"/>
      <c r="H131" s="163">
        <f t="shared" si="8"/>
        <v>0</v>
      </c>
    </row>
    <row r="132" spans="1:8" ht="15.6" x14ac:dyDescent="0.3">
      <c r="A132" s="108">
        <v>11</v>
      </c>
      <c r="B132" s="68" t="s">
        <v>261</v>
      </c>
      <c r="C132" s="68"/>
      <c r="D132" s="96" t="s">
        <v>262</v>
      </c>
      <c r="E132" s="56" t="s">
        <v>85</v>
      </c>
      <c r="F132" s="99">
        <v>2</v>
      </c>
      <c r="G132" s="161"/>
      <c r="H132" s="163">
        <f t="shared" si="8"/>
        <v>0</v>
      </c>
    </row>
    <row r="133" spans="1:8" ht="15.6" x14ac:dyDescent="0.3">
      <c r="A133" s="108">
        <v>12</v>
      </c>
      <c r="B133" s="68" t="s">
        <v>263</v>
      </c>
      <c r="C133" s="68"/>
      <c r="D133" s="96" t="s">
        <v>264</v>
      </c>
      <c r="E133" s="56" t="s">
        <v>85</v>
      </c>
      <c r="F133" s="99">
        <v>1</v>
      </c>
      <c r="G133" s="161"/>
      <c r="H133" s="163">
        <f t="shared" si="8"/>
        <v>0</v>
      </c>
    </row>
    <row r="134" spans="1:8" ht="15.6" x14ac:dyDescent="0.3">
      <c r="A134" s="108">
        <v>13</v>
      </c>
      <c r="B134" s="68" t="s">
        <v>265</v>
      </c>
      <c r="C134" s="68"/>
      <c r="D134" s="96" t="s">
        <v>262</v>
      </c>
      <c r="E134" s="56" t="s">
        <v>85</v>
      </c>
      <c r="F134" s="99">
        <v>1</v>
      </c>
      <c r="G134" s="161"/>
      <c r="H134" s="163">
        <f t="shared" si="8"/>
        <v>0</v>
      </c>
    </row>
    <row r="135" spans="1:8" ht="15.6" x14ac:dyDescent="0.3">
      <c r="A135" s="108">
        <v>14</v>
      </c>
      <c r="B135" s="68" t="s">
        <v>266</v>
      </c>
      <c r="C135" s="68"/>
      <c r="D135" s="96" t="s">
        <v>262</v>
      </c>
      <c r="E135" s="56" t="s">
        <v>85</v>
      </c>
      <c r="F135" s="99">
        <v>1</v>
      </c>
      <c r="G135" s="161"/>
      <c r="H135" s="163">
        <f t="shared" si="8"/>
        <v>0</v>
      </c>
    </row>
    <row r="136" spans="1:8" ht="15.6" x14ac:dyDescent="0.3">
      <c r="A136" s="108">
        <v>15</v>
      </c>
      <c r="B136" s="68" t="s">
        <v>267</v>
      </c>
      <c r="C136" s="68"/>
      <c r="D136" s="96" t="s">
        <v>262</v>
      </c>
      <c r="E136" s="56" t="s">
        <v>85</v>
      </c>
      <c r="F136" s="99">
        <v>1</v>
      </c>
      <c r="G136" s="161"/>
      <c r="H136" s="163">
        <f t="shared" si="8"/>
        <v>0</v>
      </c>
    </row>
    <row r="137" spans="1:8" ht="15.6" x14ac:dyDescent="0.3">
      <c r="A137" s="108">
        <v>16</v>
      </c>
      <c r="B137" s="68" t="s">
        <v>268</v>
      </c>
      <c r="C137" s="68"/>
      <c r="D137" s="96" t="s">
        <v>262</v>
      </c>
      <c r="E137" s="56" t="s">
        <v>85</v>
      </c>
      <c r="F137" s="99">
        <v>1</v>
      </c>
      <c r="G137" s="161"/>
      <c r="H137" s="163">
        <f t="shared" si="8"/>
        <v>0</v>
      </c>
    </row>
    <row r="138" spans="1:8" ht="15.6" x14ac:dyDescent="0.3">
      <c r="A138" s="108">
        <v>17</v>
      </c>
      <c r="B138" s="68" t="s">
        <v>269</v>
      </c>
      <c r="C138" s="68"/>
      <c r="D138" s="96" t="s">
        <v>262</v>
      </c>
      <c r="E138" s="56" t="s">
        <v>85</v>
      </c>
      <c r="F138" s="99">
        <v>1</v>
      </c>
      <c r="G138" s="161"/>
      <c r="H138" s="163">
        <f t="shared" si="8"/>
        <v>0</v>
      </c>
    </row>
    <row r="139" spans="1:8" ht="15.6" x14ac:dyDescent="0.3">
      <c r="A139" s="108">
        <v>18</v>
      </c>
      <c r="B139" s="68" t="s">
        <v>270</v>
      </c>
      <c r="C139" s="68"/>
      <c r="D139" s="96" t="s">
        <v>271</v>
      </c>
      <c r="E139" s="56" t="s">
        <v>85</v>
      </c>
      <c r="F139" s="99">
        <v>4</v>
      </c>
      <c r="G139" s="161"/>
      <c r="H139" s="163">
        <f t="shared" si="8"/>
        <v>0</v>
      </c>
    </row>
    <row r="140" spans="1:8" ht="15.6" x14ac:dyDescent="0.3">
      <c r="A140" s="95"/>
      <c r="B140" s="68"/>
      <c r="C140" s="73"/>
      <c r="D140" s="101" t="s">
        <v>272</v>
      </c>
      <c r="E140" s="75"/>
      <c r="F140" s="75"/>
      <c r="G140" s="75"/>
      <c r="H140" s="86">
        <f>SUM(H122:H139)</f>
        <v>0</v>
      </c>
    </row>
    <row r="141" spans="1:8" ht="15.6" x14ac:dyDescent="0.3">
      <c r="A141" s="78" t="s">
        <v>273</v>
      </c>
      <c r="B141" s="79" t="s">
        <v>33</v>
      </c>
      <c r="C141" s="79"/>
      <c r="D141" s="114" t="s">
        <v>185</v>
      </c>
      <c r="E141" s="56"/>
      <c r="F141" s="56"/>
      <c r="G141" s="56"/>
      <c r="H141" s="89"/>
    </row>
    <row r="142" spans="1:8" ht="15.6" x14ac:dyDescent="0.3">
      <c r="A142" s="67">
        <v>1</v>
      </c>
      <c r="B142" s="68" t="s">
        <v>274</v>
      </c>
      <c r="C142" s="68"/>
      <c r="D142" s="96" t="s">
        <v>275</v>
      </c>
      <c r="E142" s="56" t="s">
        <v>62</v>
      </c>
      <c r="F142" s="99">
        <v>1</v>
      </c>
      <c r="G142" s="161"/>
      <c r="H142" s="163">
        <f>F142*G142</f>
        <v>0</v>
      </c>
    </row>
    <row r="143" spans="1:8" ht="15.6" x14ac:dyDescent="0.3">
      <c r="A143" s="67">
        <v>2</v>
      </c>
      <c r="B143" s="68" t="s">
        <v>276</v>
      </c>
      <c r="C143" s="68"/>
      <c r="D143" s="96" t="s">
        <v>277</v>
      </c>
      <c r="E143" s="56" t="s">
        <v>62</v>
      </c>
      <c r="F143" s="99">
        <v>4</v>
      </c>
      <c r="G143" s="161"/>
      <c r="H143" s="163">
        <f t="shared" ref="H143:H145" si="9">F143*G143</f>
        <v>0</v>
      </c>
    </row>
    <row r="144" spans="1:8" ht="15.6" x14ac:dyDescent="0.3">
      <c r="A144" s="67">
        <v>3</v>
      </c>
      <c r="B144" s="68" t="s">
        <v>278</v>
      </c>
      <c r="C144" s="68"/>
      <c r="D144" s="96" t="s">
        <v>277</v>
      </c>
      <c r="E144" s="56" t="s">
        <v>69</v>
      </c>
      <c r="F144" s="99">
        <v>3</v>
      </c>
      <c r="G144" s="161"/>
      <c r="H144" s="163">
        <f t="shared" si="9"/>
        <v>0</v>
      </c>
    </row>
    <row r="145" spans="1:8" ht="15.6" x14ac:dyDescent="0.3">
      <c r="A145" s="67">
        <v>4</v>
      </c>
      <c r="B145" s="68" t="s">
        <v>279</v>
      </c>
      <c r="C145" s="68"/>
      <c r="D145" s="96" t="s">
        <v>280</v>
      </c>
      <c r="E145" s="56" t="s">
        <v>62</v>
      </c>
      <c r="F145" s="99">
        <v>1</v>
      </c>
      <c r="G145" s="161"/>
      <c r="H145" s="163">
        <f t="shared" si="9"/>
        <v>0</v>
      </c>
    </row>
    <row r="146" spans="1:8" ht="15.6" x14ac:dyDescent="0.3">
      <c r="A146" s="72"/>
      <c r="B146" s="73"/>
      <c r="C146" s="73"/>
      <c r="D146" s="101" t="s">
        <v>281</v>
      </c>
      <c r="E146" s="75"/>
      <c r="F146" s="75"/>
      <c r="G146" s="75"/>
      <c r="H146" s="86">
        <f>SUM(H142:H145)</f>
        <v>0</v>
      </c>
    </row>
    <row r="147" spans="1:8" ht="15.6" x14ac:dyDescent="0.3">
      <c r="A147" s="78" t="s">
        <v>34</v>
      </c>
      <c r="B147" s="79" t="s">
        <v>35</v>
      </c>
      <c r="C147" s="79"/>
      <c r="D147" s="114" t="s">
        <v>185</v>
      </c>
      <c r="E147" s="56"/>
      <c r="F147" s="56"/>
      <c r="G147" s="56"/>
      <c r="H147" s="89"/>
    </row>
    <row r="148" spans="1:8" ht="15.6" x14ac:dyDescent="0.3">
      <c r="A148" s="67">
        <v>1</v>
      </c>
      <c r="B148" s="68" t="s">
        <v>282</v>
      </c>
      <c r="C148" s="68"/>
      <c r="D148" s="96" t="s">
        <v>283</v>
      </c>
      <c r="E148" s="56" t="s">
        <v>62</v>
      </c>
      <c r="F148" s="99">
        <f>F45*0.7</f>
        <v>656.25</v>
      </c>
      <c r="G148" s="161"/>
      <c r="H148" s="163">
        <f>F148*G148</f>
        <v>0</v>
      </c>
    </row>
    <row r="149" spans="1:8" ht="15.6" x14ac:dyDescent="0.3">
      <c r="A149" s="67">
        <v>2</v>
      </c>
      <c r="B149" s="68" t="s">
        <v>284</v>
      </c>
      <c r="C149" s="68"/>
      <c r="D149" s="96" t="s">
        <v>285</v>
      </c>
      <c r="E149" s="56" t="s">
        <v>62</v>
      </c>
      <c r="F149" s="99">
        <f>9*4*6</f>
        <v>216</v>
      </c>
      <c r="G149" s="161"/>
      <c r="H149" s="163">
        <f t="shared" ref="H149:H152" si="10">F149*G149</f>
        <v>0</v>
      </c>
    </row>
    <row r="150" spans="1:8" ht="15.6" x14ac:dyDescent="0.3">
      <c r="A150" s="67">
        <v>3</v>
      </c>
      <c r="B150" s="68" t="s">
        <v>286</v>
      </c>
      <c r="C150" s="68"/>
      <c r="D150" s="96" t="s">
        <v>287</v>
      </c>
      <c r="E150" s="56" t="s">
        <v>69</v>
      </c>
      <c r="F150" s="99">
        <f>F66</f>
        <v>18</v>
      </c>
      <c r="G150" s="161"/>
      <c r="H150" s="163">
        <f t="shared" si="10"/>
        <v>0</v>
      </c>
    </row>
    <row r="151" spans="1:8" ht="15.6" x14ac:dyDescent="0.3">
      <c r="A151" s="67">
        <v>4</v>
      </c>
      <c r="B151" s="68" t="s">
        <v>288</v>
      </c>
      <c r="C151" s="68"/>
      <c r="D151" s="96" t="s">
        <v>283</v>
      </c>
      <c r="E151" s="56" t="s">
        <v>62</v>
      </c>
      <c r="F151" s="99">
        <f>F75</f>
        <v>200</v>
      </c>
      <c r="G151" s="161"/>
      <c r="H151" s="163">
        <f t="shared" si="10"/>
        <v>0</v>
      </c>
    </row>
    <row r="152" spans="1:8" ht="15.6" x14ac:dyDescent="0.3">
      <c r="A152" s="67">
        <v>5</v>
      </c>
      <c r="B152" s="68" t="s">
        <v>289</v>
      </c>
      <c r="C152" s="68"/>
      <c r="D152" s="96" t="s">
        <v>283</v>
      </c>
      <c r="E152" s="56" t="s">
        <v>62</v>
      </c>
      <c r="F152" s="99">
        <v>17.600000000000001</v>
      </c>
      <c r="G152" s="161"/>
      <c r="H152" s="163">
        <f t="shared" si="10"/>
        <v>0</v>
      </c>
    </row>
    <row r="153" spans="1:8" ht="15.6" x14ac:dyDescent="0.3">
      <c r="A153" s="72"/>
      <c r="B153" s="73"/>
      <c r="C153" s="73"/>
      <c r="D153" s="101" t="s">
        <v>290</v>
      </c>
      <c r="E153" s="75"/>
      <c r="F153" s="75"/>
      <c r="G153" s="75"/>
      <c r="H153" s="86">
        <f>SUM(H148:H152)</f>
        <v>0</v>
      </c>
    </row>
    <row r="154" spans="1:8" ht="15.6" x14ac:dyDescent="0.3">
      <c r="A154" s="78" t="s">
        <v>36</v>
      </c>
      <c r="B154" s="79" t="s">
        <v>37</v>
      </c>
      <c r="C154" s="79"/>
      <c r="D154" s="102"/>
      <c r="E154" s="56"/>
      <c r="F154" s="56"/>
      <c r="G154" s="75"/>
      <c r="H154" s="89"/>
    </row>
    <row r="155" spans="1:8" ht="15.6" x14ac:dyDescent="0.3">
      <c r="A155" s="67">
        <v>1</v>
      </c>
      <c r="B155" s="92" t="s">
        <v>291</v>
      </c>
      <c r="C155" s="68"/>
      <c r="D155" s="115" t="s">
        <v>292</v>
      </c>
      <c r="E155" s="56" t="s">
        <v>69</v>
      </c>
      <c r="F155" s="99">
        <v>10</v>
      </c>
      <c r="G155" s="165"/>
      <c r="H155" s="163">
        <f>F155*G155</f>
        <v>0</v>
      </c>
    </row>
    <row r="156" spans="1:8" ht="31.2" x14ac:dyDescent="0.3">
      <c r="A156" s="67">
        <v>2</v>
      </c>
      <c r="B156" s="92" t="s">
        <v>293</v>
      </c>
      <c r="C156" s="68"/>
      <c r="D156" s="115" t="s">
        <v>294</v>
      </c>
      <c r="E156" s="56" t="s">
        <v>69</v>
      </c>
      <c r="F156" s="99">
        <v>7</v>
      </c>
      <c r="G156" s="165"/>
      <c r="H156" s="163">
        <f t="shared" ref="H156:H158" si="11">F156*G156</f>
        <v>0</v>
      </c>
    </row>
    <row r="157" spans="1:8" ht="15.6" x14ac:dyDescent="0.3">
      <c r="A157" s="67">
        <v>3</v>
      </c>
      <c r="B157" s="116" t="s">
        <v>295</v>
      </c>
      <c r="C157" s="68"/>
      <c r="D157" s="96" t="s">
        <v>296</v>
      </c>
      <c r="E157" s="117" t="s">
        <v>62</v>
      </c>
      <c r="F157" s="99">
        <v>21</v>
      </c>
      <c r="G157" s="56">
        <v>20000</v>
      </c>
      <c r="H157" s="89">
        <f t="shared" si="11"/>
        <v>420000</v>
      </c>
    </row>
    <row r="158" spans="1:8" ht="15.6" x14ac:dyDescent="0.3">
      <c r="A158" s="67">
        <v>3</v>
      </c>
      <c r="B158" s="116" t="s">
        <v>297</v>
      </c>
      <c r="C158" s="68"/>
      <c r="D158" s="96" t="s">
        <v>298</v>
      </c>
      <c r="E158" s="117" t="s">
        <v>62</v>
      </c>
      <c r="F158" s="99">
        <v>21</v>
      </c>
      <c r="G158" s="56">
        <v>20000</v>
      </c>
      <c r="H158" s="89">
        <f t="shared" si="11"/>
        <v>420000</v>
      </c>
    </row>
    <row r="159" spans="1:8" ht="15.6" x14ac:dyDescent="0.3">
      <c r="A159" s="72"/>
      <c r="B159" s="73"/>
      <c r="C159" s="73"/>
      <c r="D159" s="101" t="s">
        <v>299</v>
      </c>
      <c r="E159" s="75"/>
      <c r="F159" s="75"/>
      <c r="G159" s="75"/>
      <c r="H159" s="86">
        <f>SUM(H155:H157)</f>
        <v>420000</v>
      </c>
    </row>
    <row r="160" spans="1:8" ht="15.6" x14ac:dyDescent="0.3">
      <c r="A160" s="78" t="s">
        <v>38</v>
      </c>
      <c r="B160" s="79" t="s">
        <v>39</v>
      </c>
      <c r="C160" s="79"/>
      <c r="D160" s="102"/>
      <c r="E160" s="56"/>
      <c r="F160" s="56"/>
      <c r="G160" s="56"/>
      <c r="H160" s="89"/>
    </row>
    <row r="161" spans="1:8" ht="15.6" x14ac:dyDescent="0.3">
      <c r="A161" s="67">
        <v>1</v>
      </c>
      <c r="B161" s="68" t="s">
        <v>300</v>
      </c>
      <c r="C161" s="68"/>
      <c r="D161" s="96" t="s">
        <v>301</v>
      </c>
      <c r="E161" s="56" t="s">
        <v>69</v>
      </c>
      <c r="F161" s="99">
        <v>121.8</v>
      </c>
      <c r="G161" s="161"/>
      <c r="H161" s="163">
        <f>F161*G161</f>
        <v>0</v>
      </c>
    </row>
    <row r="162" spans="1:8" ht="15.6" x14ac:dyDescent="0.3">
      <c r="A162" s="67">
        <v>2</v>
      </c>
      <c r="B162" s="68" t="s">
        <v>300</v>
      </c>
      <c r="C162" s="68"/>
      <c r="D162" s="96" t="s">
        <v>302</v>
      </c>
      <c r="E162" s="56" t="s">
        <v>69</v>
      </c>
      <c r="F162" s="99">
        <v>83.8</v>
      </c>
      <c r="G162" s="161"/>
      <c r="H162" s="163">
        <f t="shared" ref="H162:H172" si="12">F162*G162</f>
        <v>0</v>
      </c>
    </row>
    <row r="163" spans="1:8" ht="15.6" x14ac:dyDescent="0.3">
      <c r="A163" s="67">
        <v>3</v>
      </c>
      <c r="B163" s="68" t="s">
        <v>303</v>
      </c>
      <c r="C163" s="68"/>
      <c r="D163" s="96" t="s">
        <v>304</v>
      </c>
      <c r="E163" s="56" t="s">
        <v>69</v>
      </c>
      <c r="F163" s="99">
        <v>11</v>
      </c>
      <c r="G163" s="161"/>
      <c r="H163" s="163">
        <f t="shared" si="12"/>
        <v>0</v>
      </c>
    </row>
    <row r="164" spans="1:8" ht="15.6" x14ac:dyDescent="0.3">
      <c r="A164" s="67">
        <v>4</v>
      </c>
      <c r="B164" s="68" t="s">
        <v>305</v>
      </c>
      <c r="C164" s="68"/>
      <c r="D164" s="96" t="s">
        <v>306</v>
      </c>
      <c r="E164" s="56" t="s">
        <v>69</v>
      </c>
      <c r="F164" s="99">
        <v>6</v>
      </c>
      <c r="G164" s="56">
        <v>20000</v>
      </c>
      <c r="H164" s="89">
        <f t="shared" si="12"/>
        <v>120000</v>
      </c>
    </row>
    <row r="165" spans="1:8" ht="15.6" x14ac:dyDescent="0.3">
      <c r="A165" s="67">
        <v>5</v>
      </c>
      <c r="B165" s="68" t="s">
        <v>307</v>
      </c>
      <c r="C165" s="68"/>
      <c r="D165" s="96" t="s">
        <v>308</v>
      </c>
      <c r="E165" s="56" t="s">
        <v>69</v>
      </c>
      <c r="F165" s="99">
        <v>70</v>
      </c>
      <c r="G165" s="56">
        <v>20000</v>
      </c>
      <c r="H165" s="89">
        <f t="shared" si="12"/>
        <v>1400000</v>
      </c>
    </row>
    <row r="166" spans="1:8" ht="15.6" x14ac:dyDescent="0.3">
      <c r="A166" s="67">
        <v>6</v>
      </c>
      <c r="B166" s="68" t="s">
        <v>309</v>
      </c>
      <c r="C166" s="68"/>
      <c r="D166" s="96" t="s">
        <v>310</v>
      </c>
      <c r="E166" s="56" t="s">
        <v>69</v>
      </c>
      <c r="F166" s="99">
        <v>55</v>
      </c>
      <c r="G166" s="56">
        <v>20000</v>
      </c>
      <c r="H166" s="89">
        <f t="shared" si="12"/>
        <v>1100000</v>
      </c>
    </row>
    <row r="167" spans="1:8" ht="15.6" x14ac:dyDescent="0.3">
      <c r="A167" s="67">
        <v>7</v>
      </c>
      <c r="B167" s="68" t="s">
        <v>309</v>
      </c>
      <c r="C167" s="68"/>
      <c r="D167" s="96" t="s">
        <v>311</v>
      </c>
      <c r="E167" s="56" t="s">
        <v>69</v>
      </c>
      <c r="F167" s="99">
        <v>17</v>
      </c>
      <c r="G167" s="56">
        <v>20000</v>
      </c>
      <c r="H167" s="89">
        <f t="shared" si="12"/>
        <v>340000</v>
      </c>
    </row>
    <row r="168" spans="1:8" ht="15.6" x14ac:dyDescent="0.3">
      <c r="A168" s="67">
        <v>8</v>
      </c>
      <c r="B168" s="68" t="s">
        <v>312</v>
      </c>
      <c r="C168" s="68"/>
      <c r="D168" s="96" t="s">
        <v>301</v>
      </c>
      <c r="E168" s="56" t="s">
        <v>69</v>
      </c>
      <c r="F168" s="99">
        <v>42</v>
      </c>
      <c r="G168" s="161"/>
      <c r="H168" s="163">
        <f t="shared" si="12"/>
        <v>0</v>
      </c>
    </row>
    <row r="169" spans="1:8" ht="15.6" x14ac:dyDescent="0.3">
      <c r="A169" s="67">
        <v>9</v>
      </c>
      <c r="B169" s="68" t="s">
        <v>313</v>
      </c>
      <c r="C169" s="68"/>
      <c r="D169" s="96" t="s">
        <v>314</v>
      </c>
      <c r="E169" s="56" t="s">
        <v>175</v>
      </c>
      <c r="F169" s="99">
        <v>2</v>
      </c>
      <c r="G169" s="56">
        <v>300000</v>
      </c>
      <c r="H169" s="89">
        <f t="shared" si="12"/>
        <v>600000</v>
      </c>
    </row>
    <row r="170" spans="1:8" ht="15.6" x14ac:dyDescent="0.3">
      <c r="A170" s="67">
        <v>10</v>
      </c>
      <c r="B170" s="68" t="s">
        <v>313</v>
      </c>
      <c r="C170" s="68"/>
      <c r="D170" s="96" t="s">
        <v>315</v>
      </c>
      <c r="E170" s="56" t="s">
        <v>175</v>
      </c>
      <c r="F170" s="99">
        <v>1</v>
      </c>
      <c r="G170" s="56">
        <v>300000</v>
      </c>
      <c r="H170" s="89">
        <f t="shared" si="12"/>
        <v>300000</v>
      </c>
    </row>
    <row r="171" spans="1:8" ht="15.6" x14ac:dyDescent="0.3">
      <c r="A171" s="67">
        <v>11</v>
      </c>
      <c r="B171" s="68" t="s">
        <v>316</v>
      </c>
      <c r="C171" s="68"/>
      <c r="D171" s="96" t="s">
        <v>317</v>
      </c>
      <c r="E171" s="56" t="s">
        <v>318</v>
      </c>
      <c r="F171" s="99">
        <v>1</v>
      </c>
      <c r="G171" s="56">
        <v>1500000</v>
      </c>
      <c r="H171" s="89">
        <f t="shared" si="12"/>
        <v>1500000</v>
      </c>
    </row>
    <row r="172" spans="1:8" ht="15.6" x14ac:dyDescent="0.3">
      <c r="A172" s="67">
        <v>12</v>
      </c>
      <c r="B172" s="68" t="s">
        <v>319</v>
      </c>
      <c r="C172" s="68"/>
      <c r="D172" s="102"/>
      <c r="E172" s="56" t="s">
        <v>318</v>
      </c>
      <c r="F172" s="99">
        <v>1</v>
      </c>
      <c r="G172" s="56">
        <v>200000</v>
      </c>
      <c r="H172" s="89">
        <f t="shared" si="12"/>
        <v>200000</v>
      </c>
    </row>
    <row r="173" spans="1:8" ht="15.6" x14ac:dyDescent="0.3">
      <c r="A173" s="78"/>
      <c r="B173" s="73"/>
      <c r="C173" s="73"/>
      <c r="D173" s="101" t="s">
        <v>320</v>
      </c>
      <c r="E173" s="75"/>
      <c r="F173" s="75"/>
      <c r="G173" s="75"/>
      <c r="H173" s="86">
        <f>SUM(H161:H172)</f>
        <v>5560000</v>
      </c>
    </row>
    <row r="174" spans="1:8" ht="15.6" x14ac:dyDescent="0.3">
      <c r="A174" s="78" t="s">
        <v>40</v>
      </c>
      <c r="B174" s="79" t="s">
        <v>41</v>
      </c>
      <c r="C174" s="73" t="s">
        <v>321</v>
      </c>
      <c r="D174" s="101"/>
      <c r="E174" s="75"/>
      <c r="F174" s="75"/>
      <c r="G174" s="75"/>
      <c r="H174" s="86"/>
    </row>
    <row r="175" spans="1:8" ht="15.6" x14ac:dyDescent="0.3">
      <c r="A175" s="67">
        <v>1</v>
      </c>
      <c r="B175" s="68" t="s">
        <v>322</v>
      </c>
      <c r="C175" s="68"/>
      <c r="D175" s="96" t="s">
        <v>323</v>
      </c>
      <c r="E175" s="56" t="s">
        <v>324</v>
      </c>
      <c r="F175" s="99">
        <v>25</v>
      </c>
      <c r="G175" s="165"/>
      <c r="H175" s="163">
        <f>F175*G175</f>
        <v>0</v>
      </c>
    </row>
    <row r="176" spans="1:8" ht="15.6" x14ac:dyDescent="0.3">
      <c r="A176" s="67">
        <f t="shared" ref="A176:A194" si="13">A175+1</f>
        <v>2</v>
      </c>
      <c r="B176" s="68" t="s">
        <v>325</v>
      </c>
      <c r="C176" s="68"/>
      <c r="D176" s="96" t="s">
        <v>326</v>
      </c>
      <c r="E176" s="56" t="s">
        <v>175</v>
      </c>
      <c r="F176" s="99">
        <v>12</v>
      </c>
      <c r="G176" s="165"/>
      <c r="H176" s="163">
        <f t="shared" ref="H176:H194" si="14">F176*G176</f>
        <v>0</v>
      </c>
    </row>
    <row r="177" spans="1:8" ht="15.6" x14ac:dyDescent="0.3">
      <c r="A177" s="67">
        <f t="shared" si="13"/>
        <v>3</v>
      </c>
      <c r="B177" s="68" t="s">
        <v>327</v>
      </c>
      <c r="C177" s="68"/>
      <c r="D177" s="96" t="s">
        <v>326</v>
      </c>
      <c r="E177" s="56" t="s">
        <v>175</v>
      </c>
      <c r="F177" s="99">
        <v>12</v>
      </c>
      <c r="G177" s="165"/>
      <c r="H177" s="163">
        <f t="shared" si="14"/>
        <v>0</v>
      </c>
    </row>
    <row r="178" spans="1:8" ht="15.6" x14ac:dyDescent="0.3">
      <c r="A178" s="67">
        <f t="shared" si="13"/>
        <v>4</v>
      </c>
      <c r="B178" s="68" t="s">
        <v>328</v>
      </c>
      <c r="C178" s="68"/>
      <c r="D178" s="96" t="s">
        <v>326</v>
      </c>
      <c r="E178" s="56" t="s">
        <v>175</v>
      </c>
      <c r="F178" s="99">
        <v>2</v>
      </c>
      <c r="G178" s="165"/>
      <c r="H178" s="163">
        <f t="shared" si="14"/>
        <v>0</v>
      </c>
    </row>
    <row r="179" spans="1:8" ht="15.6" x14ac:dyDescent="0.3">
      <c r="A179" s="67">
        <f t="shared" si="13"/>
        <v>5</v>
      </c>
      <c r="B179" s="68" t="s">
        <v>329</v>
      </c>
      <c r="C179" s="68"/>
      <c r="D179" s="96" t="s">
        <v>330</v>
      </c>
      <c r="E179" s="56" t="s">
        <v>324</v>
      </c>
      <c r="F179" s="99">
        <v>25</v>
      </c>
      <c r="G179" s="165"/>
      <c r="H179" s="163">
        <f t="shared" si="14"/>
        <v>0</v>
      </c>
    </row>
    <row r="180" spans="1:8" ht="15.6" x14ac:dyDescent="0.3">
      <c r="A180" s="67">
        <f t="shared" si="13"/>
        <v>6</v>
      </c>
      <c r="B180" s="68" t="s">
        <v>331</v>
      </c>
      <c r="C180" s="68"/>
      <c r="D180" s="96" t="s">
        <v>326</v>
      </c>
      <c r="E180" s="56" t="s">
        <v>175</v>
      </c>
      <c r="F180" s="99">
        <v>16</v>
      </c>
      <c r="G180" s="165"/>
      <c r="H180" s="163">
        <f t="shared" si="14"/>
        <v>0</v>
      </c>
    </row>
    <row r="181" spans="1:8" ht="15.6" x14ac:dyDescent="0.3">
      <c r="A181" s="67">
        <f t="shared" si="13"/>
        <v>7</v>
      </c>
      <c r="B181" s="68" t="s">
        <v>332</v>
      </c>
      <c r="C181" s="68"/>
      <c r="D181" s="96" t="s">
        <v>333</v>
      </c>
      <c r="E181" s="56" t="s">
        <v>324</v>
      </c>
      <c r="F181" s="99">
        <v>3</v>
      </c>
      <c r="G181" s="165"/>
      <c r="H181" s="163">
        <f t="shared" si="14"/>
        <v>0</v>
      </c>
    </row>
    <row r="182" spans="1:8" ht="31.2" x14ac:dyDescent="0.3">
      <c r="A182" s="67">
        <f t="shared" si="13"/>
        <v>8</v>
      </c>
      <c r="B182" s="158" t="s">
        <v>334</v>
      </c>
      <c r="C182" s="68"/>
      <c r="D182" s="113" t="s">
        <v>335</v>
      </c>
      <c r="E182" s="56" t="s">
        <v>324</v>
      </c>
      <c r="F182" s="99">
        <v>3</v>
      </c>
      <c r="G182" s="165"/>
      <c r="H182" s="163">
        <f t="shared" si="14"/>
        <v>0</v>
      </c>
    </row>
    <row r="183" spans="1:8" ht="15.6" x14ac:dyDescent="0.3">
      <c r="A183" s="67">
        <f t="shared" si="13"/>
        <v>9</v>
      </c>
      <c r="B183" s="68" t="s">
        <v>336</v>
      </c>
      <c r="C183" s="68"/>
      <c r="D183" s="96" t="s">
        <v>337</v>
      </c>
      <c r="E183" s="56" t="s">
        <v>175</v>
      </c>
      <c r="F183" s="99">
        <v>8</v>
      </c>
      <c r="G183" s="165"/>
      <c r="H183" s="163">
        <f t="shared" si="14"/>
        <v>0</v>
      </c>
    </row>
    <row r="184" spans="1:8" ht="15.6" x14ac:dyDescent="0.3">
      <c r="A184" s="67">
        <f t="shared" si="13"/>
        <v>10</v>
      </c>
      <c r="B184" s="68" t="s">
        <v>338</v>
      </c>
      <c r="C184" s="68"/>
      <c r="D184" s="96"/>
      <c r="E184" s="56" t="s">
        <v>175</v>
      </c>
      <c r="F184" s="99">
        <v>25</v>
      </c>
      <c r="G184" s="165"/>
      <c r="H184" s="163">
        <f t="shared" si="14"/>
        <v>0</v>
      </c>
    </row>
    <row r="185" spans="1:8" ht="31.2" x14ac:dyDescent="0.3">
      <c r="A185" s="67">
        <f t="shared" si="13"/>
        <v>11</v>
      </c>
      <c r="B185" s="92" t="s">
        <v>339</v>
      </c>
      <c r="C185" s="68"/>
      <c r="D185" s="113" t="s">
        <v>340</v>
      </c>
      <c r="E185" s="56" t="s">
        <v>318</v>
      </c>
      <c r="F185" s="99">
        <v>2</v>
      </c>
      <c r="G185" s="165"/>
      <c r="H185" s="163">
        <f t="shared" si="14"/>
        <v>0</v>
      </c>
    </row>
    <row r="186" spans="1:8" ht="15.6" x14ac:dyDescent="0.3">
      <c r="A186" s="67">
        <v>12</v>
      </c>
      <c r="B186" s="68" t="s">
        <v>341</v>
      </c>
      <c r="C186" s="68"/>
      <c r="D186" s="96" t="s">
        <v>342</v>
      </c>
      <c r="E186" s="56" t="s">
        <v>69</v>
      </c>
      <c r="F186" s="99">
        <v>18</v>
      </c>
      <c r="G186" s="165"/>
      <c r="H186" s="163">
        <f t="shared" si="14"/>
        <v>0</v>
      </c>
    </row>
    <row r="187" spans="1:8" ht="15.6" x14ac:dyDescent="0.3">
      <c r="A187" s="67">
        <f t="shared" si="13"/>
        <v>13</v>
      </c>
      <c r="B187" s="68" t="s">
        <v>343</v>
      </c>
      <c r="C187" s="68"/>
      <c r="D187" s="96" t="s">
        <v>344</v>
      </c>
      <c r="E187" s="56" t="s">
        <v>318</v>
      </c>
      <c r="F187" s="99">
        <v>1</v>
      </c>
      <c r="G187" s="165"/>
      <c r="H187" s="163">
        <f t="shared" si="14"/>
        <v>0</v>
      </c>
    </row>
    <row r="188" spans="1:8" ht="15.6" x14ac:dyDescent="0.3">
      <c r="A188" s="67">
        <f t="shared" si="13"/>
        <v>14</v>
      </c>
      <c r="B188" s="68" t="s">
        <v>345</v>
      </c>
      <c r="C188" s="68"/>
      <c r="D188" s="96" t="s">
        <v>346</v>
      </c>
      <c r="E188" s="56" t="s">
        <v>324</v>
      </c>
      <c r="F188" s="99">
        <v>3</v>
      </c>
      <c r="G188" s="165"/>
      <c r="H188" s="163">
        <f t="shared" si="14"/>
        <v>0</v>
      </c>
    </row>
    <row r="189" spans="1:8" ht="15.6" x14ac:dyDescent="0.3">
      <c r="A189" s="67">
        <f t="shared" si="13"/>
        <v>15</v>
      </c>
      <c r="B189" s="68" t="s">
        <v>347</v>
      </c>
      <c r="C189" s="68"/>
      <c r="D189" s="96" t="s">
        <v>348</v>
      </c>
      <c r="E189" s="56" t="s">
        <v>324</v>
      </c>
      <c r="F189" s="99">
        <v>7</v>
      </c>
      <c r="G189" s="165"/>
      <c r="H189" s="163">
        <f t="shared" si="14"/>
        <v>0</v>
      </c>
    </row>
    <row r="190" spans="1:8" ht="15.6" x14ac:dyDescent="0.3">
      <c r="A190" s="67">
        <f t="shared" si="13"/>
        <v>16</v>
      </c>
      <c r="B190" s="68" t="s">
        <v>349</v>
      </c>
      <c r="C190" s="68"/>
      <c r="D190" s="96" t="s">
        <v>350</v>
      </c>
      <c r="E190" s="56" t="s">
        <v>175</v>
      </c>
      <c r="F190" s="99">
        <v>2</v>
      </c>
      <c r="G190" s="165"/>
      <c r="H190" s="163">
        <f t="shared" si="14"/>
        <v>0</v>
      </c>
    </row>
    <row r="191" spans="1:8" ht="15.6" x14ac:dyDescent="0.3">
      <c r="A191" s="67">
        <f t="shared" si="13"/>
        <v>17</v>
      </c>
      <c r="B191" s="68" t="s">
        <v>351</v>
      </c>
      <c r="C191" s="68"/>
      <c r="D191" s="96"/>
      <c r="E191" s="56" t="s">
        <v>69</v>
      </c>
      <c r="F191" s="99">
        <v>14</v>
      </c>
      <c r="G191" s="165"/>
      <c r="H191" s="163">
        <f t="shared" si="14"/>
        <v>0</v>
      </c>
    </row>
    <row r="192" spans="1:8" ht="15.6" x14ac:dyDescent="0.3">
      <c r="A192" s="67">
        <f t="shared" si="13"/>
        <v>18</v>
      </c>
      <c r="B192" s="68" t="s">
        <v>352</v>
      </c>
      <c r="C192" s="68"/>
      <c r="D192" s="96"/>
      <c r="E192" s="56" t="s">
        <v>175</v>
      </c>
      <c r="F192" s="99">
        <v>1</v>
      </c>
      <c r="G192" s="165"/>
      <c r="H192" s="163">
        <f t="shared" si="14"/>
        <v>0</v>
      </c>
    </row>
    <row r="193" spans="1:8" ht="15.6" x14ac:dyDescent="0.3">
      <c r="A193" s="67">
        <f t="shared" si="13"/>
        <v>19</v>
      </c>
      <c r="B193" s="68" t="s">
        <v>353</v>
      </c>
      <c r="C193" s="68"/>
      <c r="D193" s="96"/>
      <c r="E193" s="56" t="s">
        <v>63</v>
      </c>
      <c r="F193" s="99">
        <v>1</v>
      </c>
      <c r="G193" s="165"/>
      <c r="H193" s="163">
        <f t="shared" si="14"/>
        <v>0</v>
      </c>
    </row>
    <row r="194" spans="1:8" ht="15.6" x14ac:dyDescent="0.3">
      <c r="A194" s="67">
        <f t="shared" si="13"/>
        <v>20</v>
      </c>
      <c r="B194" s="68" t="s">
        <v>354</v>
      </c>
      <c r="C194" s="68"/>
      <c r="D194" s="96"/>
      <c r="E194" s="56" t="s">
        <v>63</v>
      </c>
      <c r="F194" s="99">
        <v>1</v>
      </c>
      <c r="G194" s="165"/>
      <c r="H194" s="163">
        <f t="shared" si="14"/>
        <v>0</v>
      </c>
    </row>
    <row r="195" spans="1:8" ht="15.6" x14ac:dyDescent="0.3">
      <c r="A195" s="78"/>
      <c r="B195" s="73"/>
      <c r="C195" s="73"/>
      <c r="D195" s="101" t="s">
        <v>355</v>
      </c>
      <c r="E195" s="75"/>
      <c r="F195" s="75"/>
      <c r="G195" s="75"/>
      <c r="H195" s="86">
        <f>SUM(H175:H194)</f>
        <v>0</v>
      </c>
    </row>
    <row r="196" spans="1:8" ht="15.6" x14ac:dyDescent="0.3">
      <c r="A196" s="78" t="s">
        <v>42</v>
      </c>
      <c r="B196" s="79" t="s">
        <v>356</v>
      </c>
      <c r="C196" s="79"/>
      <c r="D196" s="102" t="s">
        <v>357</v>
      </c>
      <c r="E196" s="56"/>
      <c r="F196" s="56"/>
      <c r="G196" s="56"/>
      <c r="H196" s="89"/>
    </row>
    <row r="197" spans="1:8" ht="15.6" x14ac:dyDescent="0.3">
      <c r="A197" s="67">
        <v>1</v>
      </c>
      <c r="B197" s="68" t="s">
        <v>358</v>
      </c>
      <c r="C197" s="68" t="s">
        <v>165</v>
      </c>
      <c r="D197" s="96" t="s">
        <v>359</v>
      </c>
      <c r="E197" s="56" t="s">
        <v>175</v>
      </c>
      <c r="F197" s="99">
        <v>1</v>
      </c>
      <c r="G197" s="161"/>
      <c r="H197" s="163">
        <f>F197*G197</f>
        <v>0</v>
      </c>
    </row>
    <row r="198" spans="1:8" ht="15.6" x14ac:dyDescent="0.3">
      <c r="A198" s="67">
        <v>2</v>
      </c>
      <c r="B198" s="68" t="s">
        <v>360</v>
      </c>
      <c r="C198" s="68"/>
      <c r="D198" s="96" t="s">
        <v>361</v>
      </c>
      <c r="E198" s="56" t="s">
        <v>175</v>
      </c>
      <c r="F198" s="99">
        <v>1</v>
      </c>
      <c r="G198" s="161"/>
      <c r="H198" s="163">
        <f t="shared" ref="H198:H212" si="15">F198*G198</f>
        <v>0</v>
      </c>
    </row>
    <row r="199" spans="1:8" ht="15.6" x14ac:dyDescent="0.3">
      <c r="A199" s="67">
        <v>3</v>
      </c>
      <c r="B199" s="68" t="s">
        <v>362</v>
      </c>
      <c r="C199" s="68"/>
      <c r="D199" s="96" t="s">
        <v>363</v>
      </c>
      <c r="E199" s="56" t="s">
        <v>175</v>
      </c>
      <c r="F199" s="99">
        <v>1</v>
      </c>
      <c r="G199" s="161"/>
      <c r="H199" s="163">
        <f t="shared" si="15"/>
        <v>0</v>
      </c>
    </row>
    <row r="200" spans="1:8" ht="15.6" x14ac:dyDescent="0.3">
      <c r="A200" s="67">
        <v>5</v>
      </c>
      <c r="B200" s="68" t="s">
        <v>364</v>
      </c>
      <c r="C200" s="68" t="s">
        <v>365</v>
      </c>
      <c r="D200" s="96" t="s">
        <v>366</v>
      </c>
      <c r="E200" s="56" t="s">
        <v>85</v>
      </c>
      <c r="F200" s="99">
        <v>3</v>
      </c>
      <c r="G200" s="161"/>
      <c r="H200" s="163">
        <f t="shared" si="15"/>
        <v>0</v>
      </c>
    </row>
    <row r="201" spans="1:8" ht="15.6" x14ac:dyDescent="0.3">
      <c r="A201" s="67">
        <v>7</v>
      </c>
      <c r="B201" s="68" t="s">
        <v>367</v>
      </c>
      <c r="C201" s="68"/>
      <c r="D201" s="96" t="s">
        <v>368</v>
      </c>
      <c r="E201" s="56" t="s">
        <v>175</v>
      </c>
      <c r="F201" s="99">
        <v>3</v>
      </c>
      <c r="G201" s="161"/>
      <c r="H201" s="163">
        <f t="shared" si="15"/>
        <v>0</v>
      </c>
    </row>
    <row r="202" spans="1:8" ht="15.6" x14ac:dyDescent="0.3">
      <c r="A202" s="67">
        <v>8</v>
      </c>
      <c r="B202" s="68" t="s">
        <v>369</v>
      </c>
      <c r="C202" s="68" t="s">
        <v>370</v>
      </c>
      <c r="D202" s="96" t="s">
        <v>371</v>
      </c>
      <c r="E202" s="56" t="s">
        <v>175</v>
      </c>
      <c r="F202" s="99">
        <v>1</v>
      </c>
      <c r="G202" s="161"/>
      <c r="H202" s="163">
        <f t="shared" si="15"/>
        <v>0</v>
      </c>
    </row>
    <row r="203" spans="1:8" ht="15.6" x14ac:dyDescent="0.3">
      <c r="A203" s="67">
        <v>9</v>
      </c>
      <c r="B203" s="68" t="s">
        <v>372</v>
      </c>
      <c r="C203" s="68"/>
      <c r="D203" s="96" t="s">
        <v>373</v>
      </c>
      <c r="E203" s="56" t="s">
        <v>175</v>
      </c>
      <c r="F203" s="99">
        <v>1</v>
      </c>
      <c r="G203" s="161"/>
      <c r="H203" s="163">
        <f t="shared" si="15"/>
        <v>0</v>
      </c>
    </row>
    <row r="204" spans="1:8" ht="15.6" x14ac:dyDescent="0.3">
      <c r="A204" s="67">
        <v>10</v>
      </c>
      <c r="B204" s="68" t="s">
        <v>369</v>
      </c>
      <c r="C204" s="68" t="s">
        <v>374</v>
      </c>
      <c r="D204" s="96" t="s">
        <v>375</v>
      </c>
      <c r="E204" s="56" t="s">
        <v>175</v>
      </c>
      <c r="F204" s="99">
        <v>1</v>
      </c>
      <c r="G204" s="161"/>
      <c r="H204" s="163">
        <f t="shared" si="15"/>
        <v>0</v>
      </c>
    </row>
    <row r="205" spans="1:8" ht="15.6" x14ac:dyDescent="0.3">
      <c r="A205" s="67">
        <v>11</v>
      </c>
      <c r="B205" s="68" t="s">
        <v>372</v>
      </c>
      <c r="C205" s="68"/>
      <c r="D205" s="96" t="s">
        <v>373</v>
      </c>
      <c r="E205" s="56" t="s">
        <v>175</v>
      </c>
      <c r="F205" s="99">
        <v>1</v>
      </c>
      <c r="G205" s="161"/>
      <c r="H205" s="163">
        <f t="shared" si="15"/>
        <v>0</v>
      </c>
    </row>
    <row r="206" spans="1:8" ht="15.6" x14ac:dyDescent="0.3">
      <c r="A206" s="67">
        <v>14</v>
      </c>
      <c r="B206" s="68" t="s">
        <v>376</v>
      </c>
      <c r="C206" s="68"/>
      <c r="D206" s="96" t="s">
        <v>377</v>
      </c>
      <c r="E206" s="56" t="s">
        <v>175</v>
      </c>
      <c r="F206" s="99">
        <v>10</v>
      </c>
      <c r="G206" s="161"/>
      <c r="H206" s="163">
        <f t="shared" si="15"/>
        <v>0</v>
      </c>
    </row>
    <row r="207" spans="1:8" ht="15.6" x14ac:dyDescent="0.3">
      <c r="A207" s="67">
        <v>15</v>
      </c>
      <c r="B207" s="68" t="s">
        <v>378</v>
      </c>
      <c r="C207" s="68"/>
      <c r="D207" s="96" t="s">
        <v>379</v>
      </c>
      <c r="E207" s="56" t="s">
        <v>175</v>
      </c>
      <c r="F207" s="99">
        <v>1</v>
      </c>
      <c r="G207" s="161"/>
      <c r="H207" s="163">
        <f t="shared" si="15"/>
        <v>0</v>
      </c>
    </row>
    <row r="208" spans="1:8" ht="15.6" x14ac:dyDescent="0.3">
      <c r="A208" s="67">
        <v>16</v>
      </c>
      <c r="B208" s="68" t="s">
        <v>380</v>
      </c>
      <c r="C208" s="68"/>
      <c r="D208" s="96" t="s">
        <v>381</v>
      </c>
      <c r="E208" s="56" t="s">
        <v>175</v>
      </c>
      <c r="F208" s="99">
        <v>2</v>
      </c>
      <c r="G208" s="161"/>
      <c r="H208" s="163">
        <f t="shared" si="15"/>
        <v>0</v>
      </c>
    </row>
    <row r="209" spans="1:8" ht="15.6" x14ac:dyDescent="0.3">
      <c r="A209" s="67">
        <v>17</v>
      </c>
      <c r="B209" s="68" t="s">
        <v>382</v>
      </c>
      <c r="C209" s="68"/>
      <c r="D209" s="96" t="s">
        <v>383</v>
      </c>
      <c r="E209" s="56" t="s">
        <v>175</v>
      </c>
      <c r="F209" s="99">
        <v>3</v>
      </c>
      <c r="G209" s="161"/>
      <c r="H209" s="163">
        <f t="shared" si="15"/>
        <v>0</v>
      </c>
    </row>
    <row r="210" spans="1:8" ht="15.6" x14ac:dyDescent="0.3">
      <c r="A210" s="67">
        <v>18</v>
      </c>
      <c r="B210" s="68" t="s">
        <v>384</v>
      </c>
      <c r="C210" s="68"/>
      <c r="D210" s="96" t="s">
        <v>385</v>
      </c>
      <c r="E210" s="56" t="s">
        <v>175</v>
      </c>
      <c r="F210" s="99">
        <v>1</v>
      </c>
      <c r="G210" s="161"/>
      <c r="H210" s="163">
        <f t="shared" si="15"/>
        <v>0</v>
      </c>
    </row>
    <row r="211" spans="1:8" ht="15.6" x14ac:dyDescent="0.3">
      <c r="A211" s="67">
        <v>19</v>
      </c>
      <c r="B211" s="68" t="s">
        <v>386</v>
      </c>
      <c r="C211" s="68"/>
      <c r="D211" s="96"/>
      <c r="E211" s="56" t="s">
        <v>175</v>
      </c>
      <c r="F211" s="99">
        <v>1</v>
      </c>
      <c r="G211" s="161"/>
      <c r="H211" s="163">
        <f t="shared" si="15"/>
        <v>0</v>
      </c>
    </row>
    <row r="212" spans="1:8" ht="15.6" x14ac:dyDescent="0.3">
      <c r="A212" s="67">
        <v>20</v>
      </c>
      <c r="B212" s="68" t="s">
        <v>387</v>
      </c>
      <c r="C212" s="68"/>
      <c r="D212" s="96"/>
      <c r="E212" s="56" t="s">
        <v>175</v>
      </c>
      <c r="F212" s="99">
        <v>1</v>
      </c>
      <c r="G212" s="161"/>
      <c r="H212" s="163">
        <f t="shared" si="15"/>
        <v>0</v>
      </c>
    </row>
    <row r="213" spans="1:8" ht="15.6" x14ac:dyDescent="0.3">
      <c r="A213" s="118"/>
      <c r="B213" s="73"/>
      <c r="C213" s="73"/>
      <c r="D213" s="101" t="s">
        <v>388</v>
      </c>
      <c r="E213" s="75"/>
      <c r="F213" s="75"/>
      <c r="G213" s="75"/>
      <c r="H213" s="119">
        <f>SUM(H197:H212)</f>
        <v>0</v>
      </c>
    </row>
    <row r="214" spans="1:8" ht="15.6" x14ac:dyDescent="0.3">
      <c r="A214" s="120" t="s">
        <v>44</v>
      </c>
      <c r="B214" s="121" t="s">
        <v>389</v>
      </c>
      <c r="C214" s="121"/>
      <c r="D214" s="121"/>
      <c r="E214" s="97"/>
      <c r="F214" s="97"/>
      <c r="G214" s="97"/>
      <c r="H214" s="122"/>
    </row>
    <row r="215" spans="1:8" ht="15.6" x14ac:dyDescent="0.3">
      <c r="A215" s="67">
        <v>1</v>
      </c>
      <c r="B215" s="68" t="s">
        <v>390</v>
      </c>
      <c r="C215" s="68" t="s">
        <v>391</v>
      </c>
      <c r="D215" s="69" t="s">
        <v>392</v>
      </c>
      <c r="E215" s="56" t="s">
        <v>62</v>
      </c>
      <c r="F215" s="70">
        <f>5.5*6</f>
        <v>33</v>
      </c>
      <c r="G215" s="166"/>
      <c r="H215" s="162">
        <f>F215*G215</f>
        <v>0</v>
      </c>
    </row>
    <row r="216" spans="1:8" ht="15.6" x14ac:dyDescent="0.3">
      <c r="A216" s="67">
        <v>2</v>
      </c>
      <c r="B216" s="68" t="s">
        <v>393</v>
      </c>
      <c r="C216" s="68" t="s">
        <v>391</v>
      </c>
      <c r="D216" s="69" t="s">
        <v>392</v>
      </c>
      <c r="E216" s="56" t="s">
        <v>62</v>
      </c>
      <c r="F216" s="70">
        <f>2*3</f>
        <v>6</v>
      </c>
      <c r="G216" s="166"/>
      <c r="H216" s="162">
        <f t="shared" ref="H216:H222" si="16">F216*G216</f>
        <v>0</v>
      </c>
    </row>
    <row r="217" spans="1:8" ht="15.6" x14ac:dyDescent="0.3">
      <c r="A217" s="67">
        <v>3</v>
      </c>
      <c r="B217" s="68" t="s">
        <v>394</v>
      </c>
      <c r="C217" s="68" t="s">
        <v>391</v>
      </c>
      <c r="D217" s="69" t="s">
        <v>392</v>
      </c>
      <c r="E217" s="56" t="s">
        <v>62</v>
      </c>
      <c r="F217" s="70">
        <f>1.5*1.5</f>
        <v>2.25</v>
      </c>
      <c r="G217" s="166"/>
      <c r="H217" s="162">
        <f t="shared" si="16"/>
        <v>0</v>
      </c>
    </row>
    <row r="218" spans="1:8" ht="15.6" x14ac:dyDescent="0.3">
      <c r="A218" s="67">
        <v>4</v>
      </c>
      <c r="B218" s="68" t="s">
        <v>395</v>
      </c>
      <c r="C218" s="68" t="s">
        <v>391</v>
      </c>
      <c r="D218" s="69" t="s">
        <v>392</v>
      </c>
      <c r="E218" s="56" t="s">
        <v>62</v>
      </c>
      <c r="F218" s="70">
        <f>3.5*3</f>
        <v>10.5</v>
      </c>
      <c r="G218" s="166"/>
      <c r="H218" s="162">
        <f t="shared" si="16"/>
        <v>0</v>
      </c>
    </row>
    <row r="219" spans="1:8" ht="15.6" x14ac:dyDescent="0.3">
      <c r="A219" s="67">
        <v>5</v>
      </c>
      <c r="B219" s="68" t="s">
        <v>86</v>
      </c>
      <c r="C219" s="68" t="s">
        <v>396</v>
      </c>
      <c r="D219" s="69" t="s">
        <v>397</v>
      </c>
      <c r="E219" s="56" t="s">
        <v>77</v>
      </c>
      <c r="F219" s="70">
        <f>0.15*0.2*11</f>
        <v>0.32999999999999996</v>
      </c>
      <c r="G219" s="56">
        <v>900000</v>
      </c>
      <c r="H219" s="71">
        <f t="shared" si="16"/>
        <v>296999.99999999994</v>
      </c>
    </row>
    <row r="220" spans="1:8" ht="15.6" x14ac:dyDescent="0.3">
      <c r="A220" s="67">
        <v>6</v>
      </c>
      <c r="B220" s="68" t="s">
        <v>115</v>
      </c>
      <c r="C220" s="68" t="s">
        <v>398</v>
      </c>
      <c r="D220" s="69" t="s">
        <v>116</v>
      </c>
      <c r="E220" s="56" t="s">
        <v>62</v>
      </c>
      <c r="F220" s="82">
        <f>(8*1)+(3*6)</f>
        <v>26</v>
      </c>
      <c r="G220" s="56">
        <v>40000</v>
      </c>
      <c r="H220" s="71">
        <f t="shared" si="16"/>
        <v>1040000</v>
      </c>
    </row>
    <row r="221" spans="1:8" ht="15.6" x14ac:dyDescent="0.3">
      <c r="A221" s="67">
        <v>7</v>
      </c>
      <c r="B221" s="68" t="s">
        <v>120</v>
      </c>
      <c r="C221" s="68"/>
      <c r="D221" s="69" t="s">
        <v>121</v>
      </c>
      <c r="E221" s="56" t="s">
        <v>62</v>
      </c>
      <c r="F221" s="87">
        <f>F220*2</f>
        <v>52</v>
      </c>
      <c r="G221" s="56">
        <v>20000</v>
      </c>
      <c r="H221" s="71">
        <f t="shared" si="16"/>
        <v>1040000</v>
      </c>
    </row>
    <row r="222" spans="1:8" ht="15.6" x14ac:dyDescent="0.3">
      <c r="A222" s="67">
        <v>8</v>
      </c>
      <c r="B222" s="68" t="s">
        <v>284</v>
      </c>
      <c r="C222" s="68"/>
      <c r="D222" s="96" t="s">
        <v>285</v>
      </c>
      <c r="E222" s="56" t="s">
        <v>62</v>
      </c>
      <c r="F222" s="99">
        <f>F221</f>
        <v>52</v>
      </c>
      <c r="G222" s="161"/>
      <c r="H222" s="162">
        <f t="shared" si="16"/>
        <v>0</v>
      </c>
    </row>
    <row r="223" spans="1:8" ht="16.2" thickBot="1" x14ac:dyDescent="0.35">
      <c r="A223" s="123"/>
      <c r="B223" s="124"/>
      <c r="C223" s="124"/>
      <c r="D223" s="125" t="s">
        <v>399</v>
      </c>
      <c r="E223" s="126"/>
      <c r="F223" s="126"/>
      <c r="G223" s="126"/>
      <c r="H223" s="127">
        <f>SUM(H215:H222)</f>
        <v>2377000</v>
      </c>
    </row>
    <row r="224" spans="1:8" ht="15.6" x14ac:dyDescent="0.3">
      <c r="A224" s="128" t="s">
        <v>46</v>
      </c>
      <c r="B224" s="129" t="s">
        <v>47</v>
      </c>
      <c r="C224" s="130"/>
      <c r="D224" s="131"/>
      <c r="E224" s="132"/>
      <c r="F224" s="133"/>
      <c r="G224" s="134"/>
      <c r="H224" s="135"/>
    </row>
    <row r="225" spans="1:8" ht="15.6" x14ac:dyDescent="0.3">
      <c r="A225" s="136">
        <v>1</v>
      </c>
      <c r="B225" s="157" t="s">
        <v>400</v>
      </c>
      <c r="C225" s="138"/>
      <c r="D225" s="139" t="s">
        <v>401</v>
      </c>
      <c r="E225" s="140" t="s">
        <v>402</v>
      </c>
      <c r="F225" s="141">
        <v>1</v>
      </c>
      <c r="G225" s="167"/>
      <c r="H225" s="168">
        <f>F225*G225</f>
        <v>0</v>
      </c>
    </row>
    <row r="226" spans="1:8" ht="15.6" x14ac:dyDescent="0.3">
      <c r="A226" s="142">
        <v>2</v>
      </c>
      <c r="B226" s="157" t="s">
        <v>403</v>
      </c>
      <c r="C226" s="138"/>
      <c r="D226" s="139" t="s">
        <v>404</v>
      </c>
      <c r="E226" s="140" t="s">
        <v>38</v>
      </c>
      <c r="F226" s="141">
        <v>40</v>
      </c>
      <c r="G226" s="167"/>
      <c r="H226" s="168">
        <f>F226*G226</f>
        <v>0</v>
      </c>
    </row>
    <row r="227" spans="1:8" ht="15.6" x14ac:dyDescent="0.3">
      <c r="A227" s="136">
        <v>3</v>
      </c>
      <c r="B227" s="157" t="s">
        <v>405</v>
      </c>
      <c r="C227" s="138"/>
      <c r="D227" s="139" t="s">
        <v>406</v>
      </c>
      <c r="E227" s="140" t="s">
        <v>407</v>
      </c>
      <c r="F227" s="141">
        <v>15</v>
      </c>
      <c r="G227" s="167"/>
      <c r="H227" s="168">
        <f>F227*G227</f>
        <v>0</v>
      </c>
    </row>
    <row r="228" spans="1:8" ht="15.6" x14ac:dyDescent="0.3">
      <c r="A228" s="136">
        <v>4</v>
      </c>
      <c r="B228" s="157" t="s">
        <v>408</v>
      </c>
      <c r="C228" s="138"/>
      <c r="D228" s="143" t="s">
        <v>409</v>
      </c>
      <c r="E228" s="140" t="s">
        <v>410</v>
      </c>
      <c r="F228" s="141">
        <v>1</v>
      </c>
      <c r="G228" s="167"/>
      <c r="H228" s="168">
        <f>F228*G228</f>
        <v>0</v>
      </c>
    </row>
    <row r="229" spans="1:8" ht="15.6" x14ac:dyDescent="0.3">
      <c r="A229" s="144"/>
      <c r="B229" s="137"/>
      <c r="C229" s="138"/>
      <c r="D229" s="74" t="s">
        <v>411</v>
      </c>
      <c r="E229" s="145"/>
      <c r="F229" s="146"/>
      <c r="G229" s="147"/>
      <c r="H229" s="148">
        <f>SUM(H225:H228)</f>
        <v>0</v>
      </c>
    </row>
    <row r="230" spans="1:8" ht="16.2" thickBot="1" x14ac:dyDescent="0.35">
      <c r="A230" s="149"/>
      <c r="B230" s="150"/>
      <c r="C230" s="151"/>
      <c r="D230" s="152"/>
      <c r="E230" s="153"/>
      <c r="F230" s="154"/>
      <c r="G230" s="155"/>
      <c r="H230" s="156"/>
    </row>
  </sheetData>
  <mergeCells count="9">
    <mergeCell ref="B68:C68"/>
    <mergeCell ref="A6:A7"/>
    <mergeCell ref="B6:C7"/>
    <mergeCell ref="E6:E7"/>
    <mergeCell ref="F6:F7"/>
    <mergeCell ref="B36:C36"/>
    <mergeCell ref="B63:C63"/>
    <mergeCell ref="B64:C64"/>
    <mergeCell ref="B65:C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REKAP</vt:lpstr>
      <vt:lpstr>RAB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hendi</dc:creator>
  <cp:lastModifiedBy>IT BBPK</cp:lastModifiedBy>
  <dcterms:created xsi:type="dcterms:W3CDTF">2025-06-19T03:14:38Z</dcterms:created>
  <dcterms:modified xsi:type="dcterms:W3CDTF">2025-12-18T07:57:54Z</dcterms:modified>
</cp:coreProperties>
</file>